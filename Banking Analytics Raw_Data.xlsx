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ABOTH A MULENGA\Downloads\"/>
    </mc:Choice>
  </mc:AlternateContent>
  <bookViews>
    <workbookView xWindow="0" yWindow="0" windowWidth="20490" windowHeight="9045" activeTab="2"/>
  </bookViews>
  <sheets>
    <sheet name="Customers" sheetId="1" r:id="rId1"/>
    <sheet name="Accounts" sheetId="2" r:id="rId2"/>
    <sheet name="EDA_CUSTOMERS" sheetId="15" r:id="rId3"/>
    <sheet name="Transactions" sheetId="3" r:id="rId4"/>
    <sheet name="VALIDATION_RESULTS" sheetId="14" r:id="rId5"/>
    <sheet name="Loans" sheetId="4" r:id="rId6"/>
    <sheet name="Branches" sheetId="5" r:id="rId7"/>
    <sheet name="DATA_PROFILE" sheetId="11" r:id="rId8"/>
    <sheet name="DATA_QUALITY_NOTES" sheetId="6" r:id="rId9"/>
    <sheet name="CLEANING LOG " sheetId="13" r:id="rId10"/>
  </sheets>
  <definedNames>
    <definedName name="_xlnm._FilterDatabase" localSheetId="1" hidden="1">Accounts!$I$1:$I$1001</definedName>
    <definedName name="_xlnm._FilterDatabase" localSheetId="0" hidden="1">Customers!$A$1:$J$1001</definedName>
    <definedName name="_xlnm._FilterDatabase" localSheetId="5" hidden="1">Loans!$A$1:$H$451</definedName>
    <definedName name="_xlnm._FilterDatabase" localSheetId="3" hidden="1">Transactions!$I$1:$I$6004</definedName>
  </definedNames>
  <calcPr calcId="152511"/>
  <pivotCaches>
    <pivotCache cacheId="0" r:id="rId11"/>
    <pivotCache cacheId="1" r:id="rId12"/>
    <pivotCache cacheId="2" r:id="rId13"/>
    <pivotCache cacheId="3" r:id="rId14"/>
  </pivotCaches>
</workbook>
</file>

<file path=xl/calcChain.xml><?xml version="1.0" encoding="utf-8"?>
<calcChain xmlns="http://schemas.openxmlformats.org/spreadsheetml/2006/main">
  <c r="C246" i="15" l="1"/>
  <c r="C243" i="15"/>
  <c r="C244" i="15"/>
  <c r="C245" i="15"/>
  <c r="C242" i="15"/>
  <c r="B246" i="15"/>
  <c r="B243" i="15"/>
  <c r="B244" i="15"/>
  <c r="B245" i="15"/>
  <c r="B242" i="15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5001" i="3"/>
  <c r="I5002" i="3"/>
  <c r="I5003" i="3"/>
  <c r="I5004" i="3"/>
  <c r="I5005" i="3"/>
  <c r="I5006" i="3"/>
  <c r="I5007" i="3"/>
  <c r="I5008" i="3"/>
  <c r="I5009" i="3"/>
  <c r="I5010" i="3"/>
  <c r="I5011" i="3"/>
  <c r="I5012" i="3"/>
  <c r="I5013" i="3"/>
  <c r="I5014" i="3"/>
  <c r="I5015" i="3"/>
  <c r="I5016" i="3"/>
  <c r="I5017" i="3"/>
  <c r="I5018" i="3"/>
  <c r="I5019" i="3"/>
  <c r="I5020" i="3"/>
  <c r="I5021" i="3"/>
  <c r="I5022" i="3"/>
  <c r="I5023" i="3"/>
  <c r="I5024" i="3"/>
  <c r="I5025" i="3"/>
  <c r="I5026" i="3"/>
  <c r="I5027" i="3"/>
  <c r="I5028" i="3"/>
  <c r="I5029" i="3"/>
  <c r="I5030" i="3"/>
  <c r="I5031" i="3"/>
  <c r="I5032" i="3"/>
  <c r="I5033" i="3"/>
  <c r="I5034" i="3"/>
  <c r="I5035" i="3"/>
  <c r="I5036" i="3"/>
  <c r="I5037" i="3"/>
  <c r="I5038" i="3"/>
  <c r="I5039" i="3"/>
  <c r="I5040" i="3"/>
  <c r="I5041" i="3"/>
  <c r="I5042" i="3"/>
  <c r="I5043" i="3"/>
  <c r="I5044" i="3"/>
  <c r="I5045" i="3"/>
  <c r="I5046" i="3"/>
  <c r="I5047" i="3"/>
  <c r="I5048" i="3"/>
  <c r="I5049" i="3"/>
  <c r="I5050" i="3"/>
  <c r="I5051" i="3"/>
  <c r="I5052" i="3"/>
  <c r="I5053" i="3"/>
  <c r="I5054" i="3"/>
  <c r="I5055" i="3"/>
  <c r="I5056" i="3"/>
  <c r="I5057" i="3"/>
  <c r="I5058" i="3"/>
  <c r="I5059" i="3"/>
  <c r="I5060" i="3"/>
  <c r="I5061" i="3"/>
  <c r="I5062" i="3"/>
  <c r="I5063" i="3"/>
  <c r="I5064" i="3"/>
  <c r="I5065" i="3"/>
  <c r="I5066" i="3"/>
  <c r="I5067" i="3"/>
  <c r="I5068" i="3"/>
  <c r="I5069" i="3"/>
  <c r="I5070" i="3"/>
  <c r="I5071" i="3"/>
  <c r="I5072" i="3"/>
  <c r="I5073" i="3"/>
  <c r="I5074" i="3"/>
  <c r="I5075" i="3"/>
  <c r="I5076" i="3"/>
  <c r="I5077" i="3"/>
  <c r="I5078" i="3"/>
  <c r="I5079" i="3"/>
  <c r="I5080" i="3"/>
  <c r="I5081" i="3"/>
  <c r="I5082" i="3"/>
  <c r="I5083" i="3"/>
  <c r="I5084" i="3"/>
  <c r="I5085" i="3"/>
  <c r="I5086" i="3"/>
  <c r="I5087" i="3"/>
  <c r="I5088" i="3"/>
  <c r="I5089" i="3"/>
  <c r="I5090" i="3"/>
  <c r="I5091" i="3"/>
  <c r="I5092" i="3"/>
  <c r="I5093" i="3"/>
  <c r="I5094" i="3"/>
  <c r="I5095" i="3"/>
  <c r="I5096" i="3"/>
  <c r="I5097" i="3"/>
  <c r="I5098" i="3"/>
  <c r="I5099" i="3"/>
  <c r="I5100" i="3"/>
  <c r="I5101" i="3"/>
  <c r="I5102" i="3"/>
  <c r="I5103" i="3"/>
  <c r="I5104" i="3"/>
  <c r="I5105" i="3"/>
  <c r="I5106" i="3"/>
  <c r="I5107" i="3"/>
  <c r="I5108" i="3"/>
  <c r="I5109" i="3"/>
  <c r="I5110" i="3"/>
  <c r="I5111" i="3"/>
  <c r="I5112" i="3"/>
  <c r="I5113" i="3"/>
  <c r="I5114" i="3"/>
  <c r="I5115" i="3"/>
  <c r="I5116" i="3"/>
  <c r="I5117" i="3"/>
  <c r="I5118" i="3"/>
  <c r="I5119" i="3"/>
  <c r="I5120" i="3"/>
  <c r="I5121" i="3"/>
  <c r="I5122" i="3"/>
  <c r="I5123" i="3"/>
  <c r="I5124" i="3"/>
  <c r="I5125" i="3"/>
  <c r="I5126" i="3"/>
  <c r="I5127" i="3"/>
  <c r="I5128" i="3"/>
  <c r="I5129" i="3"/>
  <c r="I5130" i="3"/>
  <c r="I5131" i="3"/>
  <c r="I5132" i="3"/>
  <c r="I5133" i="3"/>
  <c r="I5134" i="3"/>
  <c r="I5135" i="3"/>
  <c r="I5136" i="3"/>
  <c r="I5137" i="3"/>
  <c r="I5138" i="3"/>
  <c r="I5139" i="3"/>
  <c r="I5140" i="3"/>
  <c r="I5141" i="3"/>
  <c r="I5142" i="3"/>
  <c r="I5143" i="3"/>
  <c r="I5144" i="3"/>
  <c r="I5145" i="3"/>
  <c r="I5146" i="3"/>
  <c r="I5147" i="3"/>
  <c r="I5148" i="3"/>
  <c r="I5149" i="3"/>
  <c r="I5150" i="3"/>
  <c r="I5151" i="3"/>
  <c r="I5152" i="3"/>
  <c r="I5153" i="3"/>
  <c r="I5154" i="3"/>
  <c r="I5155" i="3"/>
  <c r="I5156" i="3"/>
  <c r="I5157" i="3"/>
  <c r="I5158" i="3"/>
  <c r="I5159" i="3"/>
  <c r="I5160" i="3"/>
  <c r="I5161" i="3"/>
  <c r="I5162" i="3"/>
  <c r="I5163" i="3"/>
  <c r="I5164" i="3"/>
  <c r="I5165" i="3"/>
  <c r="I5166" i="3"/>
  <c r="I5167" i="3"/>
  <c r="I5168" i="3"/>
  <c r="I5169" i="3"/>
  <c r="I5170" i="3"/>
  <c r="I5171" i="3"/>
  <c r="I5172" i="3"/>
  <c r="I5173" i="3"/>
  <c r="I5174" i="3"/>
  <c r="I5175" i="3"/>
  <c r="I5176" i="3"/>
  <c r="I5177" i="3"/>
  <c r="I5178" i="3"/>
  <c r="I5179" i="3"/>
  <c r="I5180" i="3"/>
  <c r="I5181" i="3"/>
  <c r="I5182" i="3"/>
  <c r="I5183" i="3"/>
  <c r="I5184" i="3"/>
  <c r="I5185" i="3"/>
  <c r="I5186" i="3"/>
  <c r="I5187" i="3"/>
  <c r="I5188" i="3"/>
  <c r="I5189" i="3"/>
  <c r="I5190" i="3"/>
  <c r="I5191" i="3"/>
  <c r="I5192" i="3"/>
  <c r="I5193" i="3"/>
  <c r="I5194" i="3"/>
  <c r="I5195" i="3"/>
  <c r="I5196" i="3"/>
  <c r="I5197" i="3"/>
  <c r="I5198" i="3"/>
  <c r="I5199" i="3"/>
  <c r="I5200" i="3"/>
  <c r="I5201" i="3"/>
  <c r="I5202" i="3"/>
  <c r="I5203" i="3"/>
  <c r="I5204" i="3"/>
  <c r="I5205" i="3"/>
  <c r="I5206" i="3"/>
  <c r="I5207" i="3"/>
  <c r="I5208" i="3"/>
  <c r="I5209" i="3"/>
  <c r="I5210" i="3"/>
  <c r="I5211" i="3"/>
  <c r="I5212" i="3"/>
  <c r="I5213" i="3"/>
  <c r="I5214" i="3"/>
  <c r="I5215" i="3"/>
  <c r="I5216" i="3"/>
  <c r="I5217" i="3"/>
  <c r="I5218" i="3"/>
  <c r="I5219" i="3"/>
  <c r="I5220" i="3"/>
  <c r="I5221" i="3"/>
  <c r="I5222" i="3"/>
  <c r="I5223" i="3"/>
  <c r="I5224" i="3"/>
  <c r="I5225" i="3"/>
  <c r="I5226" i="3"/>
  <c r="I5227" i="3"/>
  <c r="I5228" i="3"/>
  <c r="I5229" i="3"/>
  <c r="I5230" i="3"/>
  <c r="I5231" i="3"/>
  <c r="I5232" i="3"/>
  <c r="I5233" i="3"/>
  <c r="I5234" i="3"/>
  <c r="I5235" i="3"/>
  <c r="I5236" i="3"/>
  <c r="I5237" i="3"/>
  <c r="I5238" i="3"/>
  <c r="I5239" i="3"/>
  <c r="I5240" i="3"/>
  <c r="I5241" i="3"/>
  <c r="I5242" i="3"/>
  <c r="I5243" i="3"/>
  <c r="I5244" i="3"/>
  <c r="I5245" i="3"/>
  <c r="I5246" i="3"/>
  <c r="I5247" i="3"/>
  <c r="I5248" i="3"/>
  <c r="I5249" i="3"/>
  <c r="I5250" i="3"/>
  <c r="I5251" i="3"/>
  <c r="I5252" i="3"/>
  <c r="I5253" i="3"/>
  <c r="I5254" i="3"/>
  <c r="I5255" i="3"/>
  <c r="I5256" i="3"/>
  <c r="I5257" i="3"/>
  <c r="I5258" i="3"/>
  <c r="I5259" i="3"/>
  <c r="I5260" i="3"/>
  <c r="I5261" i="3"/>
  <c r="I5262" i="3"/>
  <c r="I5263" i="3"/>
  <c r="I5264" i="3"/>
  <c r="I5265" i="3"/>
  <c r="I5266" i="3"/>
  <c r="I5267" i="3"/>
  <c r="I5268" i="3"/>
  <c r="I5269" i="3"/>
  <c r="I5270" i="3"/>
  <c r="I5271" i="3"/>
  <c r="I5272" i="3"/>
  <c r="I5273" i="3"/>
  <c r="I5274" i="3"/>
  <c r="I5275" i="3"/>
  <c r="I5276" i="3"/>
  <c r="I5277" i="3"/>
  <c r="I5278" i="3"/>
  <c r="I5279" i="3"/>
  <c r="I5280" i="3"/>
  <c r="I5281" i="3"/>
  <c r="I5282" i="3"/>
  <c r="I5283" i="3"/>
  <c r="I5284" i="3"/>
  <c r="I5285" i="3"/>
  <c r="I5286" i="3"/>
  <c r="I5287" i="3"/>
  <c r="I5288" i="3"/>
  <c r="I5289" i="3"/>
  <c r="I5290" i="3"/>
  <c r="I5291" i="3"/>
  <c r="I5292" i="3"/>
  <c r="I5293" i="3"/>
  <c r="I5294" i="3"/>
  <c r="I5295" i="3"/>
  <c r="I5296" i="3"/>
  <c r="I5297" i="3"/>
  <c r="I5298" i="3"/>
  <c r="I5299" i="3"/>
  <c r="I5300" i="3"/>
  <c r="I5301" i="3"/>
  <c r="I5302" i="3"/>
  <c r="I5303" i="3"/>
  <c r="I5304" i="3"/>
  <c r="I5305" i="3"/>
  <c r="I5306" i="3"/>
  <c r="I5307" i="3"/>
  <c r="I5308" i="3"/>
  <c r="I5309" i="3"/>
  <c r="I5310" i="3"/>
  <c r="I5311" i="3"/>
  <c r="I5312" i="3"/>
  <c r="I5313" i="3"/>
  <c r="I5314" i="3"/>
  <c r="I5315" i="3"/>
  <c r="I5316" i="3"/>
  <c r="I5317" i="3"/>
  <c r="I5318" i="3"/>
  <c r="I5319" i="3"/>
  <c r="I5320" i="3"/>
  <c r="I5321" i="3"/>
  <c r="I5322" i="3"/>
  <c r="I5323" i="3"/>
  <c r="I5324" i="3"/>
  <c r="I5325" i="3"/>
  <c r="I5326" i="3"/>
  <c r="I5327" i="3"/>
  <c r="I5328" i="3"/>
  <c r="I5329" i="3"/>
  <c r="I5330" i="3"/>
  <c r="I5331" i="3"/>
  <c r="I5332" i="3"/>
  <c r="I5333" i="3"/>
  <c r="I5334" i="3"/>
  <c r="I5335" i="3"/>
  <c r="I5336" i="3"/>
  <c r="I5337" i="3"/>
  <c r="I5338" i="3"/>
  <c r="I5339" i="3"/>
  <c r="I5340" i="3"/>
  <c r="I5341" i="3"/>
  <c r="I5342" i="3"/>
  <c r="I5343" i="3"/>
  <c r="I5344" i="3"/>
  <c r="I5345" i="3"/>
  <c r="I5346" i="3"/>
  <c r="I5347" i="3"/>
  <c r="I5348" i="3"/>
  <c r="I5349" i="3"/>
  <c r="I5350" i="3"/>
  <c r="I5351" i="3"/>
  <c r="I5352" i="3"/>
  <c r="I5353" i="3"/>
  <c r="I5354" i="3"/>
  <c r="I5355" i="3"/>
  <c r="I5356" i="3"/>
  <c r="I5357" i="3"/>
  <c r="I5358" i="3"/>
  <c r="I5359" i="3"/>
  <c r="I5360" i="3"/>
  <c r="I5361" i="3"/>
  <c r="I5362" i="3"/>
  <c r="I5363" i="3"/>
  <c r="I5364" i="3"/>
  <c r="I5365" i="3"/>
  <c r="I5366" i="3"/>
  <c r="I5367" i="3"/>
  <c r="I5368" i="3"/>
  <c r="I5369" i="3"/>
  <c r="I5370" i="3"/>
  <c r="I5371" i="3"/>
  <c r="I5372" i="3"/>
  <c r="I5373" i="3"/>
  <c r="I5374" i="3"/>
  <c r="I5375" i="3"/>
  <c r="I5376" i="3"/>
  <c r="I5377" i="3"/>
  <c r="I5378" i="3"/>
  <c r="I5379" i="3"/>
  <c r="I5380" i="3"/>
  <c r="I5381" i="3"/>
  <c r="I5382" i="3"/>
  <c r="I5383" i="3"/>
  <c r="I5384" i="3"/>
  <c r="I5385" i="3"/>
  <c r="I5386" i="3"/>
  <c r="I5387" i="3"/>
  <c r="I5388" i="3"/>
  <c r="I5389" i="3"/>
  <c r="I5390" i="3"/>
  <c r="I5391" i="3"/>
  <c r="I5392" i="3"/>
  <c r="I5393" i="3"/>
  <c r="I5394" i="3"/>
  <c r="I5395" i="3"/>
  <c r="I5396" i="3"/>
  <c r="I5397" i="3"/>
  <c r="I5398" i="3"/>
  <c r="I5399" i="3"/>
  <c r="I5400" i="3"/>
  <c r="I5401" i="3"/>
  <c r="I5402" i="3"/>
  <c r="I5403" i="3"/>
  <c r="I5404" i="3"/>
  <c r="I5405" i="3"/>
  <c r="I5406" i="3"/>
  <c r="I5407" i="3"/>
  <c r="I5408" i="3"/>
  <c r="I5409" i="3"/>
  <c r="I5410" i="3"/>
  <c r="I5411" i="3"/>
  <c r="I5412" i="3"/>
  <c r="I5413" i="3"/>
  <c r="I5414" i="3"/>
  <c r="I5415" i="3"/>
  <c r="I5416" i="3"/>
  <c r="I5417" i="3"/>
  <c r="I5418" i="3"/>
  <c r="I5419" i="3"/>
  <c r="I5420" i="3"/>
  <c r="I5421" i="3"/>
  <c r="I5422" i="3"/>
  <c r="I5423" i="3"/>
  <c r="I5424" i="3"/>
  <c r="I5425" i="3"/>
  <c r="I5426" i="3"/>
  <c r="I5427" i="3"/>
  <c r="I5428" i="3"/>
  <c r="I5429" i="3"/>
  <c r="I5430" i="3"/>
  <c r="I5431" i="3"/>
  <c r="I5432" i="3"/>
  <c r="I5433" i="3"/>
  <c r="I5434" i="3"/>
  <c r="I5435" i="3"/>
  <c r="I5436" i="3"/>
  <c r="I5437" i="3"/>
  <c r="I5438" i="3"/>
  <c r="I5439" i="3"/>
  <c r="I5440" i="3"/>
  <c r="I5441" i="3"/>
  <c r="I5442" i="3"/>
  <c r="I5443" i="3"/>
  <c r="I5444" i="3"/>
  <c r="I5445" i="3"/>
  <c r="I5446" i="3"/>
  <c r="I5447" i="3"/>
  <c r="I5448" i="3"/>
  <c r="I5449" i="3"/>
  <c r="I5450" i="3"/>
  <c r="I5451" i="3"/>
  <c r="I5452" i="3"/>
  <c r="I5453" i="3"/>
  <c r="I5454" i="3"/>
  <c r="I5455" i="3"/>
  <c r="I5456" i="3"/>
  <c r="I5457" i="3"/>
  <c r="I5458" i="3"/>
  <c r="I5459" i="3"/>
  <c r="I5460" i="3"/>
  <c r="I5461" i="3"/>
  <c r="I5462" i="3"/>
  <c r="I5463" i="3"/>
  <c r="I5464" i="3"/>
  <c r="I5465" i="3"/>
  <c r="I5466" i="3"/>
  <c r="I5467" i="3"/>
  <c r="I5468" i="3"/>
  <c r="I5469" i="3"/>
  <c r="I5470" i="3"/>
  <c r="I5471" i="3"/>
  <c r="I5472" i="3"/>
  <c r="I5473" i="3"/>
  <c r="I5474" i="3"/>
  <c r="I5475" i="3"/>
  <c r="I5476" i="3"/>
  <c r="I5477" i="3"/>
  <c r="I5478" i="3"/>
  <c r="I5479" i="3"/>
  <c r="I5480" i="3"/>
  <c r="I5481" i="3"/>
  <c r="I5482" i="3"/>
  <c r="I5483" i="3"/>
  <c r="I5484" i="3"/>
  <c r="I5485" i="3"/>
  <c r="I5486" i="3"/>
  <c r="I5487" i="3"/>
  <c r="I5488" i="3"/>
  <c r="I5489" i="3"/>
  <c r="I5490" i="3"/>
  <c r="I5491" i="3"/>
  <c r="I5492" i="3"/>
  <c r="I5493" i="3"/>
  <c r="I5494" i="3"/>
  <c r="I5495" i="3"/>
  <c r="I5496" i="3"/>
  <c r="I5497" i="3"/>
  <c r="I5498" i="3"/>
  <c r="I5499" i="3"/>
  <c r="I5500" i="3"/>
  <c r="I5501" i="3"/>
  <c r="I5502" i="3"/>
  <c r="I5503" i="3"/>
  <c r="I5504" i="3"/>
  <c r="I5505" i="3"/>
  <c r="I5506" i="3"/>
  <c r="I5507" i="3"/>
  <c r="I5508" i="3"/>
  <c r="I5509" i="3"/>
  <c r="I5510" i="3"/>
  <c r="I5511" i="3"/>
  <c r="I5512" i="3"/>
  <c r="I5513" i="3"/>
  <c r="I5514" i="3"/>
  <c r="I5515" i="3"/>
  <c r="I5516" i="3"/>
  <c r="I5517" i="3"/>
  <c r="I5518" i="3"/>
  <c r="I5519" i="3"/>
  <c r="I5520" i="3"/>
  <c r="I5521" i="3"/>
  <c r="I5522" i="3"/>
  <c r="I5523" i="3"/>
  <c r="I5524" i="3"/>
  <c r="I5525" i="3"/>
  <c r="I5526" i="3"/>
  <c r="I5527" i="3"/>
  <c r="I5528" i="3"/>
  <c r="I5529" i="3"/>
  <c r="I5530" i="3"/>
  <c r="I5531" i="3"/>
  <c r="I5532" i="3"/>
  <c r="I5533" i="3"/>
  <c r="I5534" i="3"/>
  <c r="I5535" i="3"/>
  <c r="I5536" i="3"/>
  <c r="I5537" i="3"/>
  <c r="I5538" i="3"/>
  <c r="I5539" i="3"/>
  <c r="I5540" i="3"/>
  <c r="I5541" i="3"/>
  <c r="I5542" i="3"/>
  <c r="I5543" i="3"/>
  <c r="I5544" i="3"/>
  <c r="I5545" i="3"/>
  <c r="I5546" i="3"/>
  <c r="I5547" i="3"/>
  <c r="I5548" i="3"/>
  <c r="I5549" i="3"/>
  <c r="I5550" i="3"/>
  <c r="I5551" i="3"/>
  <c r="I5552" i="3"/>
  <c r="I5553" i="3"/>
  <c r="I5554" i="3"/>
  <c r="I5555" i="3"/>
  <c r="I5556" i="3"/>
  <c r="I5557" i="3"/>
  <c r="I5558" i="3"/>
  <c r="I5559" i="3"/>
  <c r="I5560" i="3"/>
  <c r="I5561" i="3"/>
  <c r="I5562" i="3"/>
  <c r="I5563" i="3"/>
  <c r="I5564" i="3"/>
  <c r="I5565" i="3"/>
  <c r="I5566" i="3"/>
  <c r="I5567" i="3"/>
  <c r="I5568" i="3"/>
  <c r="I5569" i="3"/>
  <c r="I5570" i="3"/>
  <c r="I5571" i="3"/>
  <c r="I5572" i="3"/>
  <c r="I5573" i="3"/>
  <c r="I5574" i="3"/>
  <c r="I5575" i="3"/>
  <c r="I5576" i="3"/>
  <c r="I5577" i="3"/>
  <c r="I5578" i="3"/>
  <c r="I5579" i="3"/>
  <c r="I5580" i="3"/>
  <c r="I5581" i="3"/>
  <c r="I5582" i="3"/>
  <c r="I5583" i="3"/>
  <c r="I5584" i="3"/>
  <c r="I5585" i="3"/>
  <c r="I5586" i="3"/>
  <c r="I5587" i="3"/>
  <c r="I5588" i="3"/>
  <c r="I5589" i="3"/>
  <c r="I5590" i="3"/>
  <c r="I5591" i="3"/>
  <c r="I5592" i="3"/>
  <c r="I5593" i="3"/>
  <c r="I5594" i="3"/>
  <c r="I5595" i="3"/>
  <c r="I5596" i="3"/>
  <c r="I5597" i="3"/>
  <c r="I5598" i="3"/>
  <c r="I5599" i="3"/>
  <c r="I5600" i="3"/>
  <c r="I5601" i="3"/>
  <c r="I5602" i="3"/>
  <c r="I5603" i="3"/>
  <c r="I5604" i="3"/>
  <c r="I5605" i="3"/>
  <c r="I5606" i="3"/>
  <c r="I5607" i="3"/>
  <c r="I5608" i="3"/>
  <c r="I5609" i="3"/>
  <c r="I5610" i="3"/>
  <c r="I5611" i="3"/>
  <c r="I5612" i="3"/>
  <c r="I5613" i="3"/>
  <c r="I5614" i="3"/>
  <c r="I5615" i="3"/>
  <c r="I5616" i="3"/>
  <c r="I5617" i="3"/>
  <c r="I5618" i="3"/>
  <c r="I5619" i="3"/>
  <c r="I5620" i="3"/>
  <c r="I5621" i="3"/>
  <c r="I5622" i="3"/>
  <c r="I5623" i="3"/>
  <c r="I5624" i="3"/>
  <c r="I5625" i="3"/>
  <c r="I5626" i="3"/>
  <c r="I5627" i="3"/>
  <c r="I5628" i="3"/>
  <c r="I5629" i="3"/>
  <c r="I5630" i="3"/>
  <c r="I5631" i="3"/>
  <c r="I5632" i="3"/>
  <c r="I5633" i="3"/>
  <c r="I5634" i="3"/>
  <c r="I5635" i="3"/>
  <c r="I5636" i="3"/>
  <c r="I5637" i="3"/>
  <c r="I5638" i="3"/>
  <c r="I5639" i="3"/>
  <c r="I5640" i="3"/>
  <c r="I5641" i="3"/>
  <c r="I5642" i="3"/>
  <c r="I5643" i="3"/>
  <c r="I5644" i="3"/>
  <c r="I5645" i="3"/>
  <c r="I5646" i="3"/>
  <c r="I5647" i="3"/>
  <c r="I5648" i="3"/>
  <c r="I5649" i="3"/>
  <c r="I5650" i="3"/>
  <c r="I5651" i="3"/>
  <c r="I5652" i="3"/>
  <c r="I5653" i="3"/>
  <c r="I5654" i="3"/>
  <c r="I5655" i="3"/>
  <c r="I5656" i="3"/>
  <c r="I5657" i="3"/>
  <c r="I5658" i="3"/>
  <c r="I5659" i="3"/>
  <c r="I5660" i="3"/>
  <c r="I5661" i="3"/>
  <c r="I5662" i="3"/>
  <c r="I5663" i="3"/>
  <c r="I5664" i="3"/>
  <c r="I5665" i="3"/>
  <c r="I5666" i="3"/>
  <c r="I5667" i="3"/>
  <c r="I5668" i="3"/>
  <c r="I5669" i="3"/>
  <c r="I5670" i="3"/>
  <c r="I5671" i="3"/>
  <c r="I5672" i="3"/>
  <c r="I5673" i="3"/>
  <c r="I5674" i="3"/>
  <c r="I5675" i="3"/>
  <c r="I5676" i="3"/>
  <c r="I5677" i="3"/>
  <c r="I5678" i="3"/>
  <c r="I5679" i="3"/>
  <c r="I5680" i="3"/>
  <c r="I5681" i="3"/>
  <c r="I5682" i="3"/>
  <c r="I5683" i="3"/>
  <c r="I5684" i="3"/>
  <c r="I5685" i="3"/>
  <c r="I5686" i="3"/>
  <c r="I5687" i="3"/>
  <c r="I5688" i="3"/>
  <c r="I5689" i="3"/>
  <c r="I5690" i="3"/>
  <c r="I5691" i="3"/>
  <c r="I5692" i="3"/>
  <c r="I5693" i="3"/>
  <c r="I5694" i="3"/>
  <c r="I5695" i="3"/>
  <c r="I5696" i="3"/>
  <c r="I5697" i="3"/>
  <c r="I5698" i="3"/>
  <c r="I5699" i="3"/>
  <c r="I5700" i="3"/>
  <c r="I5701" i="3"/>
  <c r="I5702" i="3"/>
  <c r="I5703" i="3"/>
  <c r="I5704" i="3"/>
  <c r="I5705" i="3"/>
  <c r="I5706" i="3"/>
  <c r="I5707" i="3"/>
  <c r="I5708" i="3"/>
  <c r="I5709" i="3"/>
  <c r="I5710" i="3"/>
  <c r="I5711" i="3"/>
  <c r="I5712" i="3"/>
  <c r="I5713" i="3"/>
  <c r="I5714" i="3"/>
  <c r="I5715" i="3"/>
  <c r="I5716" i="3"/>
  <c r="I5717" i="3"/>
  <c r="I5718" i="3"/>
  <c r="I5719" i="3"/>
  <c r="I5720" i="3"/>
  <c r="I5721" i="3"/>
  <c r="I5722" i="3"/>
  <c r="I5723" i="3"/>
  <c r="I5724" i="3"/>
  <c r="I5725" i="3"/>
  <c r="I5726" i="3"/>
  <c r="I5727" i="3"/>
  <c r="I5728" i="3"/>
  <c r="I5729" i="3"/>
  <c r="I5730" i="3"/>
  <c r="I5731" i="3"/>
  <c r="I5732" i="3"/>
  <c r="I5733" i="3"/>
  <c r="I5734" i="3"/>
  <c r="I5735" i="3"/>
  <c r="I5736" i="3"/>
  <c r="I5737" i="3"/>
  <c r="I5738" i="3"/>
  <c r="I5739" i="3"/>
  <c r="I5740" i="3"/>
  <c r="I5741" i="3"/>
  <c r="I5742" i="3"/>
  <c r="I5743" i="3"/>
  <c r="I5744" i="3"/>
  <c r="I5745" i="3"/>
  <c r="I5746" i="3"/>
  <c r="I5747" i="3"/>
  <c r="I5748" i="3"/>
  <c r="I5749" i="3"/>
  <c r="I5750" i="3"/>
  <c r="I5751" i="3"/>
  <c r="I5752" i="3"/>
  <c r="I5753" i="3"/>
  <c r="I5754" i="3"/>
  <c r="I5755" i="3"/>
  <c r="I5756" i="3"/>
  <c r="I5757" i="3"/>
  <c r="I5758" i="3"/>
  <c r="I5759" i="3"/>
  <c r="I5760" i="3"/>
  <c r="I5761" i="3"/>
  <c r="I5762" i="3"/>
  <c r="I5763" i="3"/>
  <c r="I5764" i="3"/>
  <c r="I5765" i="3"/>
  <c r="I5766" i="3"/>
  <c r="I5767" i="3"/>
  <c r="I5768" i="3"/>
  <c r="I5769" i="3"/>
  <c r="I5770" i="3"/>
  <c r="I5771" i="3"/>
  <c r="I5772" i="3"/>
  <c r="I5773" i="3"/>
  <c r="I5774" i="3"/>
  <c r="I5775" i="3"/>
  <c r="I5776" i="3"/>
  <c r="I5777" i="3"/>
  <c r="I5778" i="3"/>
  <c r="I5779" i="3"/>
  <c r="I5780" i="3"/>
  <c r="I5781" i="3"/>
  <c r="I5782" i="3"/>
  <c r="I5783" i="3"/>
  <c r="I5784" i="3"/>
  <c r="I5785" i="3"/>
  <c r="I5786" i="3"/>
  <c r="I5787" i="3"/>
  <c r="I5788" i="3"/>
  <c r="I5789" i="3"/>
  <c r="I5790" i="3"/>
  <c r="I5791" i="3"/>
  <c r="I5792" i="3"/>
  <c r="I5793" i="3"/>
  <c r="I5794" i="3"/>
  <c r="I5795" i="3"/>
  <c r="I5796" i="3"/>
  <c r="I5797" i="3"/>
  <c r="I5798" i="3"/>
  <c r="I5799" i="3"/>
  <c r="I5800" i="3"/>
  <c r="I5801" i="3"/>
  <c r="I5802" i="3"/>
  <c r="I5803" i="3"/>
  <c r="I5804" i="3"/>
  <c r="I5805" i="3"/>
  <c r="I5806" i="3"/>
  <c r="I5807" i="3"/>
  <c r="I5808" i="3"/>
  <c r="I5809" i="3"/>
  <c r="I5810" i="3"/>
  <c r="I5811" i="3"/>
  <c r="I5812" i="3"/>
  <c r="I5813" i="3"/>
  <c r="I5814" i="3"/>
  <c r="I5815" i="3"/>
  <c r="I5816" i="3"/>
  <c r="I5817" i="3"/>
  <c r="I5818" i="3"/>
  <c r="I5819" i="3"/>
  <c r="I5820" i="3"/>
  <c r="I5821" i="3"/>
  <c r="I5822" i="3"/>
  <c r="I5823" i="3"/>
  <c r="I5824" i="3"/>
  <c r="I5825" i="3"/>
  <c r="I5826" i="3"/>
  <c r="I5827" i="3"/>
  <c r="I5828" i="3"/>
  <c r="I5829" i="3"/>
  <c r="I5830" i="3"/>
  <c r="I5831" i="3"/>
  <c r="I5832" i="3"/>
  <c r="I5833" i="3"/>
  <c r="I5834" i="3"/>
  <c r="I5835" i="3"/>
  <c r="I5836" i="3"/>
  <c r="I5837" i="3"/>
  <c r="I5838" i="3"/>
  <c r="I5839" i="3"/>
  <c r="I5840" i="3"/>
  <c r="I5841" i="3"/>
  <c r="I5842" i="3"/>
  <c r="I5843" i="3"/>
  <c r="I5844" i="3"/>
  <c r="I5845" i="3"/>
  <c r="I5846" i="3"/>
  <c r="I5847" i="3"/>
  <c r="I5848" i="3"/>
  <c r="I5849" i="3"/>
  <c r="I5850" i="3"/>
  <c r="I5851" i="3"/>
  <c r="I5852" i="3"/>
  <c r="I5853" i="3"/>
  <c r="I5854" i="3"/>
  <c r="I5855" i="3"/>
  <c r="I5856" i="3"/>
  <c r="I5857" i="3"/>
  <c r="I5858" i="3"/>
  <c r="I5859" i="3"/>
  <c r="I5860" i="3"/>
  <c r="I5861" i="3"/>
  <c r="I5862" i="3"/>
  <c r="I5863" i="3"/>
  <c r="I5864" i="3"/>
  <c r="I5865" i="3"/>
  <c r="I5866" i="3"/>
  <c r="I5867" i="3"/>
  <c r="I5868" i="3"/>
  <c r="I5869" i="3"/>
  <c r="I5870" i="3"/>
  <c r="I5871" i="3"/>
  <c r="I5872" i="3"/>
  <c r="I5873" i="3"/>
  <c r="I5874" i="3"/>
  <c r="I5875" i="3"/>
  <c r="I5876" i="3"/>
  <c r="I5877" i="3"/>
  <c r="I5878" i="3"/>
  <c r="I5879" i="3"/>
  <c r="I5880" i="3"/>
  <c r="I5881" i="3"/>
  <c r="I5882" i="3"/>
  <c r="I5883" i="3"/>
  <c r="I5884" i="3"/>
  <c r="I5885" i="3"/>
  <c r="I5886" i="3"/>
  <c r="I5887" i="3"/>
  <c r="I5888" i="3"/>
  <c r="I5889" i="3"/>
  <c r="I5890" i="3"/>
  <c r="I5891" i="3"/>
  <c r="I5892" i="3"/>
  <c r="I5893" i="3"/>
  <c r="I5894" i="3"/>
  <c r="I5895" i="3"/>
  <c r="I5896" i="3"/>
  <c r="I5897" i="3"/>
  <c r="I5898" i="3"/>
  <c r="I5899" i="3"/>
  <c r="I5900" i="3"/>
  <c r="I5901" i="3"/>
  <c r="I5902" i="3"/>
  <c r="I5903" i="3"/>
  <c r="I5904" i="3"/>
  <c r="I5905" i="3"/>
  <c r="I5906" i="3"/>
  <c r="I5907" i="3"/>
  <c r="I5908" i="3"/>
  <c r="I5909" i="3"/>
  <c r="I5910" i="3"/>
  <c r="I5911" i="3"/>
  <c r="I5912" i="3"/>
  <c r="I5913" i="3"/>
  <c r="I5914" i="3"/>
  <c r="I5915" i="3"/>
  <c r="I5916" i="3"/>
  <c r="I5917" i="3"/>
  <c r="I5918" i="3"/>
  <c r="I5919" i="3"/>
  <c r="I5920" i="3"/>
  <c r="I5921" i="3"/>
  <c r="I5922" i="3"/>
  <c r="I5923" i="3"/>
  <c r="I5924" i="3"/>
  <c r="I5925" i="3"/>
  <c r="I5926" i="3"/>
  <c r="I5927" i="3"/>
  <c r="I5928" i="3"/>
  <c r="I5929" i="3"/>
  <c r="I5930" i="3"/>
  <c r="I5931" i="3"/>
  <c r="I5932" i="3"/>
  <c r="I5933" i="3"/>
  <c r="I5934" i="3"/>
  <c r="I5935" i="3"/>
  <c r="I5936" i="3"/>
  <c r="I5937" i="3"/>
  <c r="I5938" i="3"/>
  <c r="I5939" i="3"/>
  <c r="I5940" i="3"/>
  <c r="I5941" i="3"/>
  <c r="I5942" i="3"/>
  <c r="I5943" i="3"/>
  <c r="I5944" i="3"/>
  <c r="I5945" i="3"/>
  <c r="I5946" i="3"/>
  <c r="I5947" i="3"/>
  <c r="I5948" i="3"/>
  <c r="I5949" i="3"/>
  <c r="I5950" i="3"/>
  <c r="I5951" i="3"/>
  <c r="I5952" i="3"/>
  <c r="I5953" i="3"/>
  <c r="I5954" i="3"/>
  <c r="I5955" i="3"/>
  <c r="I5956" i="3"/>
  <c r="I5957" i="3"/>
  <c r="I5958" i="3"/>
  <c r="I5959" i="3"/>
  <c r="I5960" i="3"/>
  <c r="I5961" i="3"/>
  <c r="I5962" i="3"/>
  <c r="I5963" i="3"/>
  <c r="I5964" i="3"/>
  <c r="I5965" i="3"/>
  <c r="I5966" i="3"/>
  <c r="I5967" i="3"/>
  <c r="I5968" i="3"/>
  <c r="I5969" i="3"/>
  <c r="I5970" i="3"/>
  <c r="I5971" i="3"/>
  <c r="I5972" i="3"/>
  <c r="I5973" i="3"/>
  <c r="I5974" i="3"/>
  <c r="I5975" i="3"/>
  <c r="I5976" i="3"/>
  <c r="I5977" i="3"/>
  <c r="I5978" i="3"/>
  <c r="I5979" i="3"/>
  <c r="I5980" i="3"/>
  <c r="I5981" i="3"/>
  <c r="I5982" i="3"/>
  <c r="I5983" i="3"/>
  <c r="I5984" i="3"/>
  <c r="I5985" i="3"/>
  <c r="I5986" i="3"/>
  <c r="I5987" i="3"/>
  <c r="I5988" i="3"/>
  <c r="I5989" i="3"/>
  <c r="I5990" i="3"/>
  <c r="I5991" i="3"/>
  <c r="I5992" i="3"/>
  <c r="I5993" i="3"/>
  <c r="I5994" i="3"/>
  <c r="I5995" i="3"/>
  <c r="I5996" i="3"/>
  <c r="I5997" i="3"/>
  <c r="I5998" i="3"/>
  <c r="I5999" i="3"/>
  <c r="I6000" i="3"/>
  <c r="I6001" i="3"/>
  <c r="I6002" i="3"/>
  <c r="I6003" i="3"/>
  <c r="I6004" i="3"/>
  <c r="I2" i="3"/>
  <c r="B232" i="15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" i="3"/>
  <c r="C233" i="15"/>
  <c r="C234" i="15"/>
  <c r="C235" i="15"/>
  <c r="C236" i="15"/>
  <c r="C232" i="15"/>
  <c r="B233" i="15"/>
  <c r="B234" i="15"/>
  <c r="B235" i="15"/>
  <c r="B236" i="15"/>
  <c r="B237" i="15"/>
  <c r="B227" i="15"/>
  <c r="B224" i="15"/>
  <c r="B225" i="15"/>
  <c r="B226" i="15"/>
  <c r="B223" i="15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" i="2"/>
  <c r="B218" i="15"/>
  <c r="B215" i="15"/>
  <c r="B216" i="15"/>
  <c r="B217" i="15"/>
  <c r="B214" i="15"/>
  <c r="B209" i="15"/>
  <c r="B206" i="15"/>
  <c r="B207" i="15"/>
  <c r="B208" i="15"/>
  <c r="B205" i="15"/>
  <c r="C191" i="15"/>
  <c r="C192" i="15"/>
  <c r="C193" i="15"/>
  <c r="C194" i="15"/>
  <c r="C195" i="15"/>
  <c r="C196" i="15"/>
  <c r="C197" i="15"/>
  <c r="C198" i="15"/>
  <c r="C199" i="15"/>
  <c r="C190" i="15"/>
  <c r="C184" i="15"/>
  <c r="C183" i="15"/>
  <c r="C182" i="15"/>
  <c r="C181" i="15"/>
  <c r="C180" i="15"/>
  <c r="C179" i="15"/>
  <c r="C178" i="15"/>
  <c r="C177" i="15"/>
  <c r="C176" i="15"/>
  <c r="C175" i="15"/>
  <c r="C167" i="15"/>
  <c r="C169" i="15"/>
  <c r="C168" i="15"/>
  <c r="C166" i="15"/>
  <c r="C165" i="15"/>
  <c r="C164" i="15"/>
  <c r="C163" i="15"/>
  <c r="C162" i="15"/>
  <c r="C161" i="15"/>
  <c r="C160" i="15"/>
  <c r="C155" i="15"/>
  <c r="C154" i="15"/>
  <c r="C153" i="15"/>
  <c r="C152" i="15"/>
  <c r="C151" i="15"/>
  <c r="C150" i="15"/>
  <c r="C149" i="15"/>
  <c r="B155" i="15"/>
  <c r="B150" i="15"/>
  <c r="B151" i="15"/>
  <c r="B152" i="15"/>
  <c r="B153" i="15"/>
  <c r="B154" i="15"/>
  <c r="B149" i="15"/>
  <c r="B143" i="15"/>
  <c r="B144" i="15"/>
  <c r="B142" i="15"/>
  <c r="B137" i="15"/>
  <c r="B136" i="15"/>
  <c r="B135" i="15"/>
  <c r="B134" i="15"/>
  <c r="B133" i="15"/>
  <c r="B132" i="15"/>
  <c r="B127" i="15"/>
  <c r="B126" i="15"/>
  <c r="B125" i="15"/>
  <c r="B124" i="15"/>
  <c r="C119" i="15"/>
  <c r="C118" i="15"/>
  <c r="C117" i="15"/>
  <c r="C116" i="15"/>
  <c r="C115" i="15"/>
  <c r="B119" i="15"/>
  <c r="B118" i="15"/>
  <c r="B117" i="15"/>
  <c r="B116" i="15"/>
  <c r="B115" i="15"/>
  <c r="C110" i="15"/>
  <c r="C109" i="15"/>
  <c r="C108" i="15"/>
  <c r="C107" i="15"/>
  <c r="C106" i="15"/>
  <c r="B110" i="15"/>
  <c r="B109" i="15"/>
  <c r="B108" i="15"/>
  <c r="B107" i="15"/>
  <c r="B106" i="15"/>
  <c r="B88" i="15"/>
  <c r="B89" i="15"/>
  <c r="B87" i="15"/>
  <c r="B86" i="15"/>
  <c r="B100" i="15"/>
  <c r="B98" i="15"/>
  <c r="B97" i="15"/>
  <c r="B96" i="15"/>
  <c r="B101" i="15" s="1"/>
  <c r="B99" i="15"/>
  <c r="B90" i="15"/>
  <c r="B72" i="15"/>
  <c r="B80" i="15"/>
  <c r="B79" i="15"/>
  <c r="B78" i="15"/>
  <c r="B75" i="15"/>
  <c r="B74" i="15"/>
  <c r="B73" i="15"/>
  <c r="B63" i="15"/>
  <c r="B64" i="15"/>
  <c r="B65" i="15"/>
  <c r="B66" i="15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3" i="2"/>
  <c r="I4" i="2"/>
  <c r="I5" i="2"/>
  <c r="I6" i="2"/>
  <c r="I7" i="2"/>
  <c r="I8" i="2"/>
  <c r="I9" i="2"/>
  <c r="I10" i="2"/>
  <c r="I11" i="2"/>
  <c r="I12" i="2"/>
  <c r="I13" i="2"/>
  <c r="I2" i="2"/>
  <c r="B56" i="15"/>
  <c r="B57" i="15"/>
  <c r="B54" i="15"/>
  <c r="B55" i="15"/>
  <c r="B20" i="15"/>
  <c r="B49" i="15"/>
  <c r="B48" i="15"/>
  <c r="B47" i="15"/>
  <c r="B46" i="15"/>
  <c r="B45" i="15"/>
  <c r="C16" i="15"/>
  <c r="B16" i="15"/>
  <c r="C6" i="15"/>
  <c r="B6" i="15"/>
  <c r="B23" i="15"/>
  <c r="C40" i="15"/>
  <c r="B40" i="15"/>
  <c r="C36" i="15"/>
  <c r="C37" i="15"/>
  <c r="C38" i="15"/>
  <c r="C39" i="15"/>
  <c r="C35" i="15"/>
  <c r="B39" i="15"/>
  <c r="B38" i="15"/>
  <c r="B37" i="15"/>
  <c r="B36" i="15"/>
  <c r="B35" i="15"/>
  <c r="B30" i="15"/>
  <c r="B29" i="15"/>
  <c r="B28" i="15"/>
  <c r="Q3" i="15"/>
  <c r="Q4" i="15"/>
  <c r="Q2" i="15"/>
  <c r="B22" i="15"/>
  <c r="B21" i="15"/>
  <c r="C21" i="15" s="1"/>
  <c r="C20" i="15"/>
  <c r="B10" i="15"/>
  <c r="C10" i="15" s="1"/>
  <c r="B12" i="15"/>
  <c r="C12" i="15" s="1"/>
  <c r="B13" i="15"/>
  <c r="C13" i="15" s="1"/>
  <c r="B14" i="15"/>
  <c r="C14" i="15" s="1"/>
  <c r="B15" i="15"/>
  <c r="C15" i="15" s="1"/>
  <c r="B11" i="15"/>
  <c r="C11" i="15" s="1"/>
  <c r="B3" i="15"/>
  <c r="B4" i="15"/>
  <c r="B5" i="15"/>
  <c r="B2" i="15"/>
  <c r="M19" i="4"/>
  <c r="M18" i="4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R3257" i="3"/>
  <c r="R3258" i="3"/>
  <c r="R3259" i="3"/>
  <c r="R3260" i="3"/>
  <c r="R3261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6" i="3"/>
  <c r="R3277" i="3"/>
  <c r="R3278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R3293" i="3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2" i="3"/>
  <c r="R3313" i="3"/>
  <c r="R3314" i="3"/>
  <c r="R3315" i="3"/>
  <c r="R3316" i="3"/>
  <c r="R3317" i="3"/>
  <c r="R3318" i="3"/>
  <c r="R3319" i="3"/>
  <c r="R3320" i="3"/>
  <c r="R3321" i="3"/>
  <c r="R3322" i="3"/>
  <c r="R3323" i="3"/>
  <c r="R3324" i="3"/>
  <c r="R3325" i="3"/>
  <c r="R3326" i="3"/>
  <c r="R3327" i="3"/>
  <c r="R3328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8" i="3"/>
  <c r="R3349" i="3"/>
  <c r="R3350" i="3"/>
  <c r="R3351" i="3"/>
  <c r="R3352" i="3"/>
  <c r="R3353" i="3"/>
  <c r="R3354" i="3"/>
  <c r="R3355" i="3"/>
  <c r="R3356" i="3"/>
  <c r="R3357" i="3"/>
  <c r="R3358" i="3"/>
  <c r="R3359" i="3"/>
  <c r="R3360" i="3"/>
  <c r="R3361" i="3"/>
  <c r="R3362" i="3"/>
  <c r="R3363" i="3"/>
  <c r="R3364" i="3"/>
  <c r="R3365" i="3"/>
  <c r="R3366" i="3"/>
  <c r="R3367" i="3"/>
  <c r="R3368" i="3"/>
  <c r="R3369" i="3"/>
  <c r="R3370" i="3"/>
  <c r="R3371" i="3"/>
  <c r="R3372" i="3"/>
  <c r="R3373" i="3"/>
  <c r="R3374" i="3"/>
  <c r="R3375" i="3"/>
  <c r="R3376" i="3"/>
  <c r="R3377" i="3"/>
  <c r="R3378" i="3"/>
  <c r="R3379" i="3"/>
  <c r="R3380" i="3"/>
  <c r="R3381" i="3"/>
  <c r="R3382" i="3"/>
  <c r="R3383" i="3"/>
  <c r="R3384" i="3"/>
  <c r="R3385" i="3"/>
  <c r="R3386" i="3"/>
  <c r="R3387" i="3"/>
  <c r="R3388" i="3"/>
  <c r="R3389" i="3"/>
  <c r="R3390" i="3"/>
  <c r="R3391" i="3"/>
  <c r="R3392" i="3"/>
  <c r="R3393" i="3"/>
  <c r="R3394" i="3"/>
  <c r="R3395" i="3"/>
  <c r="R3396" i="3"/>
  <c r="R3397" i="3"/>
  <c r="R3398" i="3"/>
  <c r="R3399" i="3"/>
  <c r="R3400" i="3"/>
  <c r="R3401" i="3"/>
  <c r="R3402" i="3"/>
  <c r="R3403" i="3"/>
  <c r="R3404" i="3"/>
  <c r="R3405" i="3"/>
  <c r="R3406" i="3"/>
  <c r="R3407" i="3"/>
  <c r="R3408" i="3"/>
  <c r="R3409" i="3"/>
  <c r="R3410" i="3"/>
  <c r="R3411" i="3"/>
  <c r="R3412" i="3"/>
  <c r="R3413" i="3"/>
  <c r="R3414" i="3"/>
  <c r="R3415" i="3"/>
  <c r="R3416" i="3"/>
  <c r="R3417" i="3"/>
  <c r="R3418" i="3"/>
  <c r="R3419" i="3"/>
  <c r="R3420" i="3"/>
  <c r="R3421" i="3"/>
  <c r="R3422" i="3"/>
  <c r="R3423" i="3"/>
  <c r="R3424" i="3"/>
  <c r="R3425" i="3"/>
  <c r="R3426" i="3"/>
  <c r="R3427" i="3"/>
  <c r="R3428" i="3"/>
  <c r="R3429" i="3"/>
  <c r="R3430" i="3"/>
  <c r="R3431" i="3"/>
  <c r="R3432" i="3"/>
  <c r="R3433" i="3"/>
  <c r="R3434" i="3"/>
  <c r="R3435" i="3"/>
  <c r="R3436" i="3"/>
  <c r="R3437" i="3"/>
  <c r="R3438" i="3"/>
  <c r="R3439" i="3"/>
  <c r="R3440" i="3"/>
  <c r="R3441" i="3"/>
  <c r="R3442" i="3"/>
  <c r="R3443" i="3"/>
  <c r="R3444" i="3"/>
  <c r="R3445" i="3"/>
  <c r="R3446" i="3"/>
  <c r="R3447" i="3"/>
  <c r="R3448" i="3"/>
  <c r="R3449" i="3"/>
  <c r="R3450" i="3"/>
  <c r="R3451" i="3"/>
  <c r="R3452" i="3"/>
  <c r="R3453" i="3"/>
  <c r="R3454" i="3"/>
  <c r="R3455" i="3"/>
  <c r="R3456" i="3"/>
  <c r="R3457" i="3"/>
  <c r="R3458" i="3"/>
  <c r="R3459" i="3"/>
  <c r="R3460" i="3"/>
  <c r="R3461" i="3"/>
  <c r="R3462" i="3"/>
  <c r="R3463" i="3"/>
  <c r="R3464" i="3"/>
  <c r="R3465" i="3"/>
  <c r="R3466" i="3"/>
  <c r="R3467" i="3"/>
  <c r="R3468" i="3"/>
  <c r="R3469" i="3"/>
  <c r="R3470" i="3"/>
  <c r="R3471" i="3"/>
  <c r="R3472" i="3"/>
  <c r="R3473" i="3"/>
  <c r="R3474" i="3"/>
  <c r="R3475" i="3"/>
  <c r="R3476" i="3"/>
  <c r="R3477" i="3"/>
  <c r="R3478" i="3"/>
  <c r="R3479" i="3"/>
  <c r="R3480" i="3"/>
  <c r="R3481" i="3"/>
  <c r="R3482" i="3"/>
  <c r="R3483" i="3"/>
  <c r="R3484" i="3"/>
  <c r="R3485" i="3"/>
  <c r="R3486" i="3"/>
  <c r="R3487" i="3"/>
  <c r="R3488" i="3"/>
  <c r="R3489" i="3"/>
  <c r="R3490" i="3"/>
  <c r="R3491" i="3"/>
  <c r="R3492" i="3"/>
  <c r="R3493" i="3"/>
  <c r="R3494" i="3"/>
  <c r="R3495" i="3"/>
  <c r="R3496" i="3"/>
  <c r="R3497" i="3"/>
  <c r="R3498" i="3"/>
  <c r="R3499" i="3"/>
  <c r="R3500" i="3"/>
  <c r="R3501" i="3"/>
  <c r="R3502" i="3"/>
  <c r="R3503" i="3"/>
  <c r="R3504" i="3"/>
  <c r="R3505" i="3"/>
  <c r="R3506" i="3"/>
  <c r="R3507" i="3"/>
  <c r="R3508" i="3"/>
  <c r="R3509" i="3"/>
  <c r="R3510" i="3"/>
  <c r="R3511" i="3"/>
  <c r="R3512" i="3"/>
  <c r="R3513" i="3"/>
  <c r="R3514" i="3"/>
  <c r="R3515" i="3"/>
  <c r="R3516" i="3"/>
  <c r="R3517" i="3"/>
  <c r="R3518" i="3"/>
  <c r="R3519" i="3"/>
  <c r="R3520" i="3"/>
  <c r="R3521" i="3"/>
  <c r="R3522" i="3"/>
  <c r="R3523" i="3"/>
  <c r="R3524" i="3"/>
  <c r="R3525" i="3"/>
  <c r="R3526" i="3"/>
  <c r="R3527" i="3"/>
  <c r="R3528" i="3"/>
  <c r="R3529" i="3"/>
  <c r="R3530" i="3"/>
  <c r="R3531" i="3"/>
  <c r="R3532" i="3"/>
  <c r="R3533" i="3"/>
  <c r="R3534" i="3"/>
  <c r="R3535" i="3"/>
  <c r="R3536" i="3"/>
  <c r="R3537" i="3"/>
  <c r="R3538" i="3"/>
  <c r="R3539" i="3"/>
  <c r="R3540" i="3"/>
  <c r="R3541" i="3"/>
  <c r="R3542" i="3"/>
  <c r="R3543" i="3"/>
  <c r="R3544" i="3"/>
  <c r="R3545" i="3"/>
  <c r="R3546" i="3"/>
  <c r="R3547" i="3"/>
  <c r="R3548" i="3"/>
  <c r="R3549" i="3"/>
  <c r="R3550" i="3"/>
  <c r="R3551" i="3"/>
  <c r="R3552" i="3"/>
  <c r="R3553" i="3"/>
  <c r="R3554" i="3"/>
  <c r="R3555" i="3"/>
  <c r="R3556" i="3"/>
  <c r="R3557" i="3"/>
  <c r="R3558" i="3"/>
  <c r="R3559" i="3"/>
  <c r="R3560" i="3"/>
  <c r="R3561" i="3"/>
  <c r="R3562" i="3"/>
  <c r="R3563" i="3"/>
  <c r="R3564" i="3"/>
  <c r="R3565" i="3"/>
  <c r="R3566" i="3"/>
  <c r="R3567" i="3"/>
  <c r="R3568" i="3"/>
  <c r="R3569" i="3"/>
  <c r="R3570" i="3"/>
  <c r="R3571" i="3"/>
  <c r="R3572" i="3"/>
  <c r="R3573" i="3"/>
  <c r="R3574" i="3"/>
  <c r="R3575" i="3"/>
  <c r="R3576" i="3"/>
  <c r="R3577" i="3"/>
  <c r="R3578" i="3"/>
  <c r="R3579" i="3"/>
  <c r="R3580" i="3"/>
  <c r="R3581" i="3"/>
  <c r="R3582" i="3"/>
  <c r="R3583" i="3"/>
  <c r="R3584" i="3"/>
  <c r="R3585" i="3"/>
  <c r="R3586" i="3"/>
  <c r="R3587" i="3"/>
  <c r="R3588" i="3"/>
  <c r="R3589" i="3"/>
  <c r="R3590" i="3"/>
  <c r="R3591" i="3"/>
  <c r="R3592" i="3"/>
  <c r="R3593" i="3"/>
  <c r="R3594" i="3"/>
  <c r="R3595" i="3"/>
  <c r="R3596" i="3"/>
  <c r="R3597" i="3"/>
  <c r="R3598" i="3"/>
  <c r="R3599" i="3"/>
  <c r="R3600" i="3"/>
  <c r="R3601" i="3"/>
  <c r="R3602" i="3"/>
  <c r="R3603" i="3"/>
  <c r="R3604" i="3"/>
  <c r="R3605" i="3"/>
  <c r="R3606" i="3"/>
  <c r="R3607" i="3"/>
  <c r="R3608" i="3"/>
  <c r="R3609" i="3"/>
  <c r="R3610" i="3"/>
  <c r="R3611" i="3"/>
  <c r="R3612" i="3"/>
  <c r="R3613" i="3"/>
  <c r="R3614" i="3"/>
  <c r="R3615" i="3"/>
  <c r="R3616" i="3"/>
  <c r="R3617" i="3"/>
  <c r="R3618" i="3"/>
  <c r="R3619" i="3"/>
  <c r="R3620" i="3"/>
  <c r="R3621" i="3"/>
  <c r="R3622" i="3"/>
  <c r="R3623" i="3"/>
  <c r="R3624" i="3"/>
  <c r="R3625" i="3"/>
  <c r="R3626" i="3"/>
  <c r="R3627" i="3"/>
  <c r="R3628" i="3"/>
  <c r="R3629" i="3"/>
  <c r="R3630" i="3"/>
  <c r="R3631" i="3"/>
  <c r="R3632" i="3"/>
  <c r="R3633" i="3"/>
  <c r="R3634" i="3"/>
  <c r="R3635" i="3"/>
  <c r="R3636" i="3"/>
  <c r="R3637" i="3"/>
  <c r="R3638" i="3"/>
  <c r="R3639" i="3"/>
  <c r="R3640" i="3"/>
  <c r="R3641" i="3"/>
  <c r="R3642" i="3"/>
  <c r="R3643" i="3"/>
  <c r="R3644" i="3"/>
  <c r="R3645" i="3"/>
  <c r="R3646" i="3"/>
  <c r="R3647" i="3"/>
  <c r="R3648" i="3"/>
  <c r="R3649" i="3"/>
  <c r="R3650" i="3"/>
  <c r="R3651" i="3"/>
  <c r="R3652" i="3"/>
  <c r="R3653" i="3"/>
  <c r="R3654" i="3"/>
  <c r="R3655" i="3"/>
  <c r="R3656" i="3"/>
  <c r="R3657" i="3"/>
  <c r="R3658" i="3"/>
  <c r="R3659" i="3"/>
  <c r="R3660" i="3"/>
  <c r="R3661" i="3"/>
  <c r="R3662" i="3"/>
  <c r="R3663" i="3"/>
  <c r="R3664" i="3"/>
  <c r="R3665" i="3"/>
  <c r="R3666" i="3"/>
  <c r="R3667" i="3"/>
  <c r="R3668" i="3"/>
  <c r="R3669" i="3"/>
  <c r="R3670" i="3"/>
  <c r="R3671" i="3"/>
  <c r="R3672" i="3"/>
  <c r="R3673" i="3"/>
  <c r="R3674" i="3"/>
  <c r="R3675" i="3"/>
  <c r="R3676" i="3"/>
  <c r="R3677" i="3"/>
  <c r="R3678" i="3"/>
  <c r="R3679" i="3"/>
  <c r="R3680" i="3"/>
  <c r="R3681" i="3"/>
  <c r="R3682" i="3"/>
  <c r="R3683" i="3"/>
  <c r="R3684" i="3"/>
  <c r="R3685" i="3"/>
  <c r="R3686" i="3"/>
  <c r="R3687" i="3"/>
  <c r="R3688" i="3"/>
  <c r="R3689" i="3"/>
  <c r="R3690" i="3"/>
  <c r="R3691" i="3"/>
  <c r="R3692" i="3"/>
  <c r="R3693" i="3"/>
  <c r="R3694" i="3"/>
  <c r="R3695" i="3"/>
  <c r="R3696" i="3"/>
  <c r="R3697" i="3"/>
  <c r="R3698" i="3"/>
  <c r="R3699" i="3"/>
  <c r="R3700" i="3"/>
  <c r="R3701" i="3"/>
  <c r="R3702" i="3"/>
  <c r="R3703" i="3"/>
  <c r="R3704" i="3"/>
  <c r="R3705" i="3"/>
  <c r="R3706" i="3"/>
  <c r="R3707" i="3"/>
  <c r="R3708" i="3"/>
  <c r="R3709" i="3"/>
  <c r="R3710" i="3"/>
  <c r="R3711" i="3"/>
  <c r="R3712" i="3"/>
  <c r="R3713" i="3"/>
  <c r="R3714" i="3"/>
  <c r="R3715" i="3"/>
  <c r="R3716" i="3"/>
  <c r="R3717" i="3"/>
  <c r="R3718" i="3"/>
  <c r="R3719" i="3"/>
  <c r="R3720" i="3"/>
  <c r="R3721" i="3"/>
  <c r="R3722" i="3"/>
  <c r="R3723" i="3"/>
  <c r="R3724" i="3"/>
  <c r="R3725" i="3"/>
  <c r="R3726" i="3"/>
  <c r="R3727" i="3"/>
  <c r="R3728" i="3"/>
  <c r="R3729" i="3"/>
  <c r="R3730" i="3"/>
  <c r="R3731" i="3"/>
  <c r="R3732" i="3"/>
  <c r="R3733" i="3"/>
  <c r="R3734" i="3"/>
  <c r="R3735" i="3"/>
  <c r="R3736" i="3"/>
  <c r="R3737" i="3"/>
  <c r="R3738" i="3"/>
  <c r="R3739" i="3"/>
  <c r="R3740" i="3"/>
  <c r="R3741" i="3"/>
  <c r="R3742" i="3"/>
  <c r="R3743" i="3"/>
  <c r="R3744" i="3"/>
  <c r="R3745" i="3"/>
  <c r="R3746" i="3"/>
  <c r="R3747" i="3"/>
  <c r="R3748" i="3"/>
  <c r="R3749" i="3"/>
  <c r="R3750" i="3"/>
  <c r="R3751" i="3"/>
  <c r="R3752" i="3"/>
  <c r="R3753" i="3"/>
  <c r="R3754" i="3"/>
  <c r="R3755" i="3"/>
  <c r="R3756" i="3"/>
  <c r="R3757" i="3"/>
  <c r="R3758" i="3"/>
  <c r="R3759" i="3"/>
  <c r="R3760" i="3"/>
  <c r="R3761" i="3"/>
  <c r="R3762" i="3"/>
  <c r="R3763" i="3"/>
  <c r="R3764" i="3"/>
  <c r="R3765" i="3"/>
  <c r="R3766" i="3"/>
  <c r="R3767" i="3"/>
  <c r="R3768" i="3"/>
  <c r="R3769" i="3"/>
  <c r="R3770" i="3"/>
  <c r="R3771" i="3"/>
  <c r="R3772" i="3"/>
  <c r="R3773" i="3"/>
  <c r="R3774" i="3"/>
  <c r="R3775" i="3"/>
  <c r="R3776" i="3"/>
  <c r="R3777" i="3"/>
  <c r="R3778" i="3"/>
  <c r="R3779" i="3"/>
  <c r="R3780" i="3"/>
  <c r="R3781" i="3"/>
  <c r="R3782" i="3"/>
  <c r="R3783" i="3"/>
  <c r="R3784" i="3"/>
  <c r="R3785" i="3"/>
  <c r="R3786" i="3"/>
  <c r="R3787" i="3"/>
  <c r="R3788" i="3"/>
  <c r="R3789" i="3"/>
  <c r="R3790" i="3"/>
  <c r="R3791" i="3"/>
  <c r="R3792" i="3"/>
  <c r="R3793" i="3"/>
  <c r="R3794" i="3"/>
  <c r="R3795" i="3"/>
  <c r="R3796" i="3"/>
  <c r="R3797" i="3"/>
  <c r="R3798" i="3"/>
  <c r="R3799" i="3"/>
  <c r="R3800" i="3"/>
  <c r="R3801" i="3"/>
  <c r="R3802" i="3"/>
  <c r="R3803" i="3"/>
  <c r="R3804" i="3"/>
  <c r="R3805" i="3"/>
  <c r="R3806" i="3"/>
  <c r="R3807" i="3"/>
  <c r="R3808" i="3"/>
  <c r="R3809" i="3"/>
  <c r="R3810" i="3"/>
  <c r="R3811" i="3"/>
  <c r="R3812" i="3"/>
  <c r="R3813" i="3"/>
  <c r="R3814" i="3"/>
  <c r="R3815" i="3"/>
  <c r="R3816" i="3"/>
  <c r="R3817" i="3"/>
  <c r="R3818" i="3"/>
  <c r="R3819" i="3"/>
  <c r="R3820" i="3"/>
  <c r="R3821" i="3"/>
  <c r="R3822" i="3"/>
  <c r="R3823" i="3"/>
  <c r="R3824" i="3"/>
  <c r="R3825" i="3"/>
  <c r="R3826" i="3"/>
  <c r="R3827" i="3"/>
  <c r="R3828" i="3"/>
  <c r="R3829" i="3"/>
  <c r="R3830" i="3"/>
  <c r="R3831" i="3"/>
  <c r="R3832" i="3"/>
  <c r="R3833" i="3"/>
  <c r="R3834" i="3"/>
  <c r="R3835" i="3"/>
  <c r="R3836" i="3"/>
  <c r="R3837" i="3"/>
  <c r="R3838" i="3"/>
  <c r="R3839" i="3"/>
  <c r="R3840" i="3"/>
  <c r="R3841" i="3"/>
  <c r="R3842" i="3"/>
  <c r="R3843" i="3"/>
  <c r="R3844" i="3"/>
  <c r="R3845" i="3"/>
  <c r="R3846" i="3"/>
  <c r="R3847" i="3"/>
  <c r="R3848" i="3"/>
  <c r="R3849" i="3"/>
  <c r="R3850" i="3"/>
  <c r="R3851" i="3"/>
  <c r="R3852" i="3"/>
  <c r="R3853" i="3"/>
  <c r="R3854" i="3"/>
  <c r="R3855" i="3"/>
  <c r="R3856" i="3"/>
  <c r="R3857" i="3"/>
  <c r="R3858" i="3"/>
  <c r="R3859" i="3"/>
  <c r="R3860" i="3"/>
  <c r="R3861" i="3"/>
  <c r="R3862" i="3"/>
  <c r="R3863" i="3"/>
  <c r="R3864" i="3"/>
  <c r="R3865" i="3"/>
  <c r="R3866" i="3"/>
  <c r="R3867" i="3"/>
  <c r="R3868" i="3"/>
  <c r="R3869" i="3"/>
  <c r="R3870" i="3"/>
  <c r="R3871" i="3"/>
  <c r="R3872" i="3"/>
  <c r="R3873" i="3"/>
  <c r="R3874" i="3"/>
  <c r="R3875" i="3"/>
  <c r="R3876" i="3"/>
  <c r="R3877" i="3"/>
  <c r="R3878" i="3"/>
  <c r="R3879" i="3"/>
  <c r="R3880" i="3"/>
  <c r="R3881" i="3"/>
  <c r="R3882" i="3"/>
  <c r="R3883" i="3"/>
  <c r="R3884" i="3"/>
  <c r="R3885" i="3"/>
  <c r="R3886" i="3"/>
  <c r="R3887" i="3"/>
  <c r="R3888" i="3"/>
  <c r="R3889" i="3"/>
  <c r="R3890" i="3"/>
  <c r="R3891" i="3"/>
  <c r="R3892" i="3"/>
  <c r="R3893" i="3"/>
  <c r="R3894" i="3"/>
  <c r="R3895" i="3"/>
  <c r="R3896" i="3"/>
  <c r="R3897" i="3"/>
  <c r="R3898" i="3"/>
  <c r="R3899" i="3"/>
  <c r="R3900" i="3"/>
  <c r="R3901" i="3"/>
  <c r="R3902" i="3"/>
  <c r="R3903" i="3"/>
  <c r="R3904" i="3"/>
  <c r="R3905" i="3"/>
  <c r="R3906" i="3"/>
  <c r="R3907" i="3"/>
  <c r="R3908" i="3"/>
  <c r="R3909" i="3"/>
  <c r="R3910" i="3"/>
  <c r="R3911" i="3"/>
  <c r="R3912" i="3"/>
  <c r="R3913" i="3"/>
  <c r="R3914" i="3"/>
  <c r="R3915" i="3"/>
  <c r="R3916" i="3"/>
  <c r="R3917" i="3"/>
  <c r="R3918" i="3"/>
  <c r="R3919" i="3"/>
  <c r="R3920" i="3"/>
  <c r="R3921" i="3"/>
  <c r="R3922" i="3"/>
  <c r="R3923" i="3"/>
  <c r="R3924" i="3"/>
  <c r="R3925" i="3"/>
  <c r="R3926" i="3"/>
  <c r="R3927" i="3"/>
  <c r="R3928" i="3"/>
  <c r="R3929" i="3"/>
  <c r="R3930" i="3"/>
  <c r="R3931" i="3"/>
  <c r="R3932" i="3"/>
  <c r="R3933" i="3"/>
  <c r="R3934" i="3"/>
  <c r="R3935" i="3"/>
  <c r="R3936" i="3"/>
  <c r="R3937" i="3"/>
  <c r="R3938" i="3"/>
  <c r="R3939" i="3"/>
  <c r="R3940" i="3"/>
  <c r="R3941" i="3"/>
  <c r="R3942" i="3"/>
  <c r="R3943" i="3"/>
  <c r="R3944" i="3"/>
  <c r="R3945" i="3"/>
  <c r="R3946" i="3"/>
  <c r="R3947" i="3"/>
  <c r="R3948" i="3"/>
  <c r="R3949" i="3"/>
  <c r="R3950" i="3"/>
  <c r="R3951" i="3"/>
  <c r="R3952" i="3"/>
  <c r="R3953" i="3"/>
  <c r="R3954" i="3"/>
  <c r="R3955" i="3"/>
  <c r="R3956" i="3"/>
  <c r="R3957" i="3"/>
  <c r="R3958" i="3"/>
  <c r="R3959" i="3"/>
  <c r="R3960" i="3"/>
  <c r="R3961" i="3"/>
  <c r="R3962" i="3"/>
  <c r="R3963" i="3"/>
  <c r="R3964" i="3"/>
  <c r="R3965" i="3"/>
  <c r="R3966" i="3"/>
  <c r="R3967" i="3"/>
  <c r="R3968" i="3"/>
  <c r="R3969" i="3"/>
  <c r="R3970" i="3"/>
  <c r="R3971" i="3"/>
  <c r="R3972" i="3"/>
  <c r="R3973" i="3"/>
  <c r="R3974" i="3"/>
  <c r="R3975" i="3"/>
  <c r="R3976" i="3"/>
  <c r="R3977" i="3"/>
  <c r="R3978" i="3"/>
  <c r="R3979" i="3"/>
  <c r="R3980" i="3"/>
  <c r="R3981" i="3"/>
  <c r="R3982" i="3"/>
  <c r="R3983" i="3"/>
  <c r="R3984" i="3"/>
  <c r="R3985" i="3"/>
  <c r="R3986" i="3"/>
  <c r="R3987" i="3"/>
  <c r="R3988" i="3"/>
  <c r="R3989" i="3"/>
  <c r="R3990" i="3"/>
  <c r="R3991" i="3"/>
  <c r="R3992" i="3"/>
  <c r="R3993" i="3"/>
  <c r="R3994" i="3"/>
  <c r="R3995" i="3"/>
  <c r="R3996" i="3"/>
  <c r="R3997" i="3"/>
  <c r="R3998" i="3"/>
  <c r="R3999" i="3"/>
  <c r="R4000" i="3"/>
  <c r="R4001" i="3"/>
  <c r="R4002" i="3"/>
  <c r="R4003" i="3"/>
  <c r="R4004" i="3"/>
  <c r="R4005" i="3"/>
  <c r="R4006" i="3"/>
  <c r="R4007" i="3"/>
  <c r="R4008" i="3"/>
  <c r="R4009" i="3"/>
  <c r="R4010" i="3"/>
  <c r="R4011" i="3"/>
  <c r="R4012" i="3"/>
  <c r="R4013" i="3"/>
  <c r="R4014" i="3"/>
  <c r="R4015" i="3"/>
  <c r="R4016" i="3"/>
  <c r="R4017" i="3"/>
  <c r="R4018" i="3"/>
  <c r="R4019" i="3"/>
  <c r="R4020" i="3"/>
  <c r="R4021" i="3"/>
  <c r="R4022" i="3"/>
  <c r="R4023" i="3"/>
  <c r="R4024" i="3"/>
  <c r="R4025" i="3"/>
  <c r="R4026" i="3"/>
  <c r="R4027" i="3"/>
  <c r="R4028" i="3"/>
  <c r="R4029" i="3"/>
  <c r="R4030" i="3"/>
  <c r="R4031" i="3"/>
  <c r="R4032" i="3"/>
  <c r="R4033" i="3"/>
  <c r="R4034" i="3"/>
  <c r="R4035" i="3"/>
  <c r="R4036" i="3"/>
  <c r="R4037" i="3"/>
  <c r="R4038" i="3"/>
  <c r="R4039" i="3"/>
  <c r="R4040" i="3"/>
  <c r="R4041" i="3"/>
  <c r="R4042" i="3"/>
  <c r="R4043" i="3"/>
  <c r="R4044" i="3"/>
  <c r="R4045" i="3"/>
  <c r="R4046" i="3"/>
  <c r="R4047" i="3"/>
  <c r="R4048" i="3"/>
  <c r="R4049" i="3"/>
  <c r="R4050" i="3"/>
  <c r="R4051" i="3"/>
  <c r="R4052" i="3"/>
  <c r="R4053" i="3"/>
  <c r="R4054" i="3"/>
  <c r="R4055" i="3"/>
  <c r="R4056" i="3"/>
  <c r="R4057" i="3"/>
  <c r="R4058" i="3"/>
  <c r="R4059" i="3"/>
  <c r="R4060" i="3"/>
  <c r="R4061" i="3"/>
  <c r="R4062" i="3"/>
  <c r="R4063" i="3"/>
  <c r="R4064" i="3"/>
  <c r="R4065" i="3"/>
  <c r="R4066" i="3"/>
  <c r="R4067" i="3"/>
  <c r="R4068" i="3"/>
  <c r="R4069" i="3"/>
  <c r="R4070" i="3"/>
  <c r="R4071" i="3"/>
  <c r="R4072" i="3"/>
  <c r="R4073" i="3"/>
  <c r="R4074" i="3"/>
  <c r="R4075" i="3"/>
  <c r="R4076" i="3"/>
  <c r="R4077" i="3"/>
  <c r="R4078" i="3"/>
  <c r="R4079" i="3"/>
  <c r="R4080" i="3"/>
  <c r="R4081" i="3"/>
  <c r="R4082" i="3"/>
  <c r="R4083" i="3"/>
  <c r="R4084" i="3"/>
  <c r="R4085" i="3"/>
  <c r="R4086" i="3"/>
  <c r="R4087" i="3"/>
  <c r="R4088" i="3"/>
  <c r="R4089" i="3"/>
  <c r="R4090" i="3"/>
  <c r="R4091" i="3"/>
  <c r="R4092" i="3"/>
  <c r="R4093" i="3"/>
  <c r="R4094" i="3"/>
  <c r="R4095" i="3"/>
  <c r="R4096" i="3"/>
  <c r="R4097" i="3"/>
  <c r="R4098" i="3"/>
  <c r="R4099" i="3"/>
  <c r="R4100" i="3"/>
  <c r="R4101" i="3"/>
  <c r="R4102" i="3"/>
  <c r="R4103" i="3"/>
  <c r="R4104" i="3"/>
  <c r="R4105" i="3"/>
  <c r="R4106" i="3"/>
  <c r="R4107" i="3"/>
  <c r="R4108" i="3"/>
  <c r="R4109" i="3"/>
  <c r="R4110" i="3"/>
  <c r="R4111" i="3"/>
  <c r="R4112" i="3"/>
  <c r="R4113" i="3"/>
  <c r="R4114" i="3"/>
  <c r="R4115" i="3"/>
  <c r="R4116" i="3"/>
  <c r="R4117" i="3"/>
  <c r="R4118" i="3"/>
  <c r="R4119" i="3"/>
  <c r="R4120" i="3"/>
  <c r="R4121" i="3"/>
  <c r="R4122" i="3"/>
  <c r="R4123" i="3"/>
  <c r="R4124" i="3"/>
  <c r="R4125" i="3"/>
  <c r="R4126" i="3"/>
  <c r="R4127" i="3"/>
  <c r="R4128" i="3"/>
  <c r="R4129" i="3"/>
  <c r="R4130" i="3"/>
  <c r="R4131" i="3"/>
  <c r="R4132" i="3"/>
  <c r="R4133" i="3"/>
  <c r="R4134" i="3"/>
  <c r="R4135" i="3"/>
  <c r="R4136" i="3"/>
  <c r="R4137" i="3"/>
  <c r="R4138" i="3"/>
  <c r="R4139" i="3"/>
  <c r="R4140" i="3"/>
  <c r="R4141" i="3"/>
  <c r="R4142" i="3"/>
  <c r="R4143" i="3"/>
  <c r="R4144" i="3"/>
  <c r="R4145" i="3"/>
  <c r="R4146" i="3"/>
  <c r="R4147" i="3"/>
  <c r="R4148" i="3"/>
  <c r="R4149" i="3"/>
  <c r="R4150" i="3"/>
  <c r="R4151" i="3"/>
  <c r="R4152" i="3"/>
  <c r="R4153" i="3"/>
  <c r="R4154" i="3"/>
  <c r="R4155" i="3"/>
  <c r="R4156" i="3"/>
  <c r="R4157" i="3"/>
  <c r="R4158" i="3"/>
  <c r="R4159" i="3"/>
  <c r="R4160" i="3"/>
  <c r="R4161" i="3"/>
  <c r="R4162" i="3"/>
  <c r="R4163" i="3"/>
  <c r="R4164" i="3"/>
  <c r="R4165" i="3"/>
  <c r="R4166" i="3"/>
  <c r="R4167" i="3"/>
  <c r="R4168" i="3"/>
  <c r="R4169" i="3"/>
  <c r="R4170" i="3"/>
  <c r="R4171" i="3"/>
  <c r="R4172" i="3"/>
  <c r="R4173" i="3"/>
  <c r="R4174" i="3"/>
  <c r="R4175" i="3"/>
  <c r="R4176" i="3"/>
  <c r="R4177" i="3"/>
  <c r="R4178" i="3"/>
  <c r="R4179" i="3"/>
  <c r="R4180" i="3"/>
  <c r="R4181" i="3"/>
  <c r="R4182" i="3"/>
  <c r="R4183" i="3"/>
  <c r="R4184" i="3"/>
  <c r="R4185" i="3"/>
  <c r="R4186" i="3"/>
  <c r="R4187" i="3"/>
  <c r="R4188" i="3"/>
  <c r="R4189" i="3"/>
  <c r="R4190" i="3"/>
  <c r="R4191" i="3"/>
  <c r="R4192" i="3"/>
  <c r="R4193" i="3"/>
  <c r="R4194" i="3"/>
  <c r="R4195" i="3"/>
  <c r="R4196" i="3"/>
  <c r="R4197" i="3"/>
  <c r="R4198" i="3"/>
  <c r="R4199" i="3"/>
  <c r="R4200" i="3"/>
  <c r="R4201" i="3"/>
  <c r="R4202" i="3"/>
  <c r="R4203" i="3"/>
  <c r="R4204" i="3"/>
  <c r="R4205" i="3"/>
  <c r="R4206" i="3"/>
  <c r="R4207" i="3"/>
  <c r="R4208" i="3"/>
  <c r="R4209" i="3"/>
  <c r="R4210" i="3"/>
  <c r="R4211" i="3"/>
  <c r="R4212" i="3"/>
  <c r="R4213" i="3"/>
  <c r="R4214" i="3"/>
  <c r="R4215" i="3"/>
  <c r="R4216" i="3"/>
  <c r="R4217" i="3"/>
  <c r="R4218" i="3"/>
  <c r="R4219" i="3"/>
  <c r="R4220" i="3"/>
  <c r="R4221" i="3"/>
  <c r="R4222" i="3"/>
  <c r="R4223" i="3"/>
  <c r="R4224" i="3"/>
  <c r="R4225" i="3"/>
  <c r="R4226" i="3"/>
  <c r="R4227" i="3"/>
  <c r="R4228" i="3"/>
  <c r="R4229" i="3"/>
  <c r="R4230" i="3"/>
  <c r="R4231" i="3"/>
  <c r="R4232" i="3"/>
  <c r="R4233" i="3"/>
  <c r="R4234" i="3"/>
  <c r="R4235" i="3"/>
  <c r="R4236" i="3"/>
  <c r="R4237" i="3"/>
  <c r="R4238" i="3"/>
  <c r="R4239" i="3"/>
  <c r="R4240" i="3"/>
  <c r="R4241" i="3"/>
  <c r="R4242" i="3"/>
  <c r="R4243" i="3"/>
  <c r="R4244" i="3"/>
  <c r="R4245" i="3"/>
  <c r="R4246" i="3"/>
  <c r="R4247" i="3"/>
  <c r="R4248" i="3"/>
  <c r="R4249" i="3"/>
  <c r="R4250" i="3"/>
  <c r="R4251" i="3"/>
  <c r="R4252" i="3"/>
  <c r="R4253" i="3"/>
  <c r="R4254" i="3"/>
  <c r="R4255" i="3"/>
  <c r="R4256" i="3"/>
  <c r="R4257" i="3"/>
  <c r="R4258" i="3"/>
  <c r="R4259" i="3"/>
  <c r="R4260" i="3"/>
  <c r="R4261" i="3"/>
  <c r="R4262" i="3"/>
  <c r="R4263" i="3"/>
  <c r="R4264" i="3"/>
  <c r="R4265" i="3"/>
  <c r="R4266" i="3"/>
  <c r="R4267" i="3"/>
  <c r="R4268" i="3"/>
  <c r="R4269" i="3"/>
  <c r="R4270" i="3"/>
  <c r="R4271" i="3"/>
  <c r="R4272" i="3"/>
  <c r="R4273" i="3"/>
  <c r="R4274" i="3"/>
  <c r="R4275" i="3"/>
  <c r="R4276" i="3"/>
  <c r="R4277" i="3"/>
  <c r="R4278" i="3"/>
  <c r="R4279" i="3"/>
  <c r="R4280" i="3"/>
  <c r="R4281" i="3"/>
  <c r="R4282" i="3"/>
  <c r="R4283" i="3"/>
  <c r="R4284" i="3"/>
  <c r="R4285" i="3"/>
  <c r="R4286" i="3"/>
  <c r="R4287" i="3"/>
  <c r="R4288" i="3"/>
  <c r="R4289" i="3"/>
  <c r="R4290" i="3"/>
  <c r="R4291" i="3"/>
  <c r="R4292" i="3"/>
  <c r="R4293" i="3"/>
  <c r="R4294" i="3"/>
  <c r="R4295" i="3"/>
  <c r="R4296" i="3"/>
  <c r="R4297" i="3"/>
  <c r="R4298" i="3"/>
  <c r="R4299" i="3"/>
  <c r="R4300" i="3"/>
  <c r="R4301" i="3"/>
  <c r="R4302" i="3"/>
  <c r="R4303" i="3"/>
  <c r="R4304" i="3"/>
  <c r="R4305" i="3"/>
  <c r="R4306" i="3"/>
  <c r="R4307" i="3"/>
  <c r="R4308" i="3"/>
  <c r="R4309" i="3"/>
  <c r="R4310" i="3"/>
  <c r="R4311" i="3"/>
  <c r="R4312" i="3"/>
  <c r="R4313" i="3"/>
  <c r="R4314" i="3"/>
  <c r="R4315" i="3"/>
  <c r="R4316" i="3"/>
  <c r="R4317" i="3"/>
  <c r="R4318" i="3"/>
  <c r="R4319" i="3"/>
  <c r="R4320" i="3"/>
  <c r="R4321" i="3"/>
  <c r="R4322" i="3"/>
  <c r="R4323" i="3"/>
  <c r="R4324" i="3"/>
  <c r="R4325" i="3"/>
  <c r="R4326" i="3"/>
  <c r="R4327" i="3"/>
  <c r="R4328" i="3"/>
  <c r="R4329" i="3"/>
  <c r="R4330" i="3"/>
  <c r="R4331" i="3"/>
  <c r="R4332" i="3"/>
  <c r="R4333" i="3"/>
  <c r="R4334" i="3"/>
  <c r="R4335" i="3"/>
  <c r="R4336" i="3"/>
  <c r="R4337" i="3"/>
  <c r="R4338" i="3"/>
  <c r="R4339" i="3"/>
  <c r="R4340" i="3"/>
  <c r="R4341" i="3"/>
  <c r="R4342" i="3"/>
  <c r="R4343" i="3"/>
  <c r="R4344" i="3"/>
  <c r="R4345" i="3"/>
  <c r="R4346" i="3"/>
  <c r="R4347" i="3"/>
  <c r="R4348" i="3"/>
  <c r="R4349" i="3"/>
  <c r="R4350" i="3"/>
  <c r="R4351" i="3"/>
  <c r="R4352" i="3"/>
  <c r="R4353" i="3"/>
  <c r="R4354" i="3"/>
  <c r="R4355" i="3"/>
  <c r="R4356" i="3"/>
  <c r="R4357" i="3"/>
  <c r="R4358" i="3"/>
  <c r="R4359" i="3"/>
  <c r="R4360" i="3"/>
  <c r="R4361" i="3"/>
  <c r="R4362" i="3"/>
  <c r="R4363" i="3"/>
  <c r="R4364" i="3"/>
  <c r="R4365" i="3"/>
  <c r="R4366" i="3"/>
  <c r="R4367" i="3"/>
  <c r="R4368" i="3"/>
  <c r="R4369" i="3"/>
  <c r="R4370" i="3"/>
  <c r="R4371" i="3"/>
  <c r="R4372" i="3"/>
  <c r="R4373" i="3"/>
  <c r="R4374" i="3"/>
  <c r="R4375" i="3"/>
  <c r="R4376" i="3"/>
  <c r="R4377" i="3"/>
  <c r="R4378" i="3"/>
  <c r="R4379" i="3"/>
  <c r="R4380" i="3"/>
  <c r="R4381" i="3"/>
  <c r="R4382" i="3"/>
  <c r="R4383" i="3"/>
  <c r="R4384" i="3"/>
  <c r="R4385" i="3"/>
  <c r="R4386" i="3"/>
  <c r="R4387" i="3"/>
  <c r="R4388" i="3"/>
  <c r="R4389" i="3"/>
  <c r="R4390" i="3"/>
  <c r="R4391" i="3"/>
  <c r="R4392" i="3"/>
  <c r="R4393" i="3"/>
  <c r="R4394" i="3"/>
  <c r="R4395" i="3"/>
  <c r="R4396" i="3"/>
  <c r="R4397" i="3"/>
  <c r="R4398" i="3"/>
  <c r="R4399" i="3"/>
  <c r="R4400" i="3"/>
  <c r="R4401" i="3"/>
  <c r="R4402" i="3"/>
  <c r="R4403" i="3"/>
  <c r="R4404" i="3"/>
  <c r="R4405" i="3"/>
  <c r="R4406" i="3"/>
  <c r="R4407" i="3"/>
  <c r="R4408" i="3"/>
  <c r="R4409" i="3"/>
  <c r="R4410" i="3"/>
  <c r="R4411" i="3"/>
  <c r="R4412" i="3"/>
  <c r="R4413" i="3"/>
  <c r="R4414" i="3"/>
  <c r="R4415" i="3"/>
  <c r="R4416" i="3"/>
  <c r="R4417" i="3"/>
  <c r="R4418" i="3"/>
  <c r="R4419" i="3"/>
  <c r="R4420" i="3"/>
  <c r="R4421" i="3"/>
  <c r="R4422" i="3"/>
  <c r="R4423" i="3"/>
  <c r="R4424" i="3"/>
  <c r="R4425" i="3"/>
  <c r="R4426" i="3"/>
  <c r="R4427" i="3"/>
  <c r="R4428" i="3"/>
  <c r="R4429" i="3"/>
  <c r="R4430" i="3"/>
  <c r="R4431" i="3"/>
  <c r="R4432" i="3"/>
  <c r="R4433" i="3"/>
  <c r="R4434" i="3"/>
  <c r="R4435" i="3"/>
  <c r="R4436" i="3"/>
  <c r="R4437" i="3"/>
  <c r="R4438" i="3"/>
  <c r="R4439" i="3"/>
  <c r="R4440" i="3"/>
  <c r="R4441" i="3"/>
  <c r="R4442" i="3"/>
  <c r="R4443" i="3"/>
  <c r="R4444" i="3"/>
  <c r="R4445" i="3"/>
  <c r="R4446" i="3"/>
  <c r="R4447" i="3"/>
  <c r="R4448" i="3"/>
  <c r="R4449" i="3"/>
  <c r="R4450" i="3"/>
  <c r="R4451" i="3"/>
  <c r="R4452" i="3"/>
  <c r="R4453" i="3"/>
  <c r="R4454" i="3"/>
  <c r="R4455" i="3"/>
  <c r="R4456" i="3"/>
  <c r="R4457" i="3"/>
  <c r="R4458" i="3"/>
  <c r="R4459" i="3"/>
  <c r="R4460" i="3"/>
  <c r="R4461" i="3"/>
  <c r="R4462" i="3"/>
  <c r="R4463" i="3"/>
  <c r="R4464" i="3"/>
  <c r="R4465" i="3"/>
  <c r="R4466" i="3"/>
  <c r="R4467" i="3"/>
  <c r="R4468" i="3"/>
  <c r="R4469" i="3"/>
  <c r="R4470" i="3"/>
  <c r="R4471" i="3"/>
  <c r="R4472" i="3"/>
  <c r="R4473" i="3"/>
  <c r="R4474" i="3"/>
  <c r="R4475" i="3"/>
  <c r="R4476" i="3"/>
  <c r="R4477" i="3"/>
  <c r="R4478" i="3"/>
  <c r="R4479" i="3"/>
  <c r="R4480" i="3"/>
  <c r="R4481" i="3"/>
  <c r="R4482" i="3"/>
  <c r="R4483" i="3"/>
  <c r="R4484" i="3"/>
  <c r="R4485" i="3"/>
  <c r="R4486" i="3"/>
  <c r="R4487" i="3"/>
  <c r="R4488" i="3"/>
  <c r="R4489" i="3"/>
  <c r="R4490" i="3"/>
  <c r="R4491" i="3"/>
  <c r="R4492" i="3"/>
  <c r="R4493" i="3"/>
  <c r="R4494" i="3"/>
  <c r="R4495" i="3"/>
  <c r="R4496" i="3"/>
  <c r="R4497" i="3"/>
  <c r="R4498" i="3"/>
  <c r="R4499" i="3"/>
  <c r="R4500" i="3"/>
  <c r="R4501" i="3"/>
  <c r="R4502" i="3"/>
  <c r="R4503" i="3"/>
  <c r="R4504" i="3"/>
  <c r="R4505" i="3"/>
  <c r="R4506" i="3"/>
  <c r="R4507" i="3"/>
  <c r="R4508" i="3"/>
  <c r="R4509" i="3"/>
  <c r="R4510" i="3"/>
  <c r="R4511" i="3"/>
  <c r="R4512" i="3"/>
  <c r="R4513" i="3"/>
  <c r="R4514" i="3"/>
  <c r="R4515" i="3"/>
  <c r="R4516" i="3"/>
  <c r="R4517" i="3"/>
  <c r="R4518" i="3"/>
  <c r="R4519" i="3"/>
  <c r="R4520" i="3"/>
  <c r="R4521" i="3"/>
  <c r="R4522" i="3"/>
  <c r="R4523" i="3"/>
  <c r="R4524" i="3"/>
  <c r="R4525" i="3"/>
  <c r="R4526" i="3"/>
  <c r="R4527" i="3"/>
  <c r="R4528" i="3"/>
  <c r="R4529" i="3"/>
  <c r="R4530" i="3"/>
  <c r="R4531" i="3"/>
  <c r="R4532" i="3"/>
  <c r="R4533" i="3"/>
  <c r="R4534" i="3"/>
  <c r="R4535" i="3"/>
  <c r="R4536" i="3"/>
  <c r="R4537" i="3"/>
  <c r="R4538" i="3"/>
  <c r="R4539" i="3"/>
  <c r="R4540" i="3"/>
  <c r="R4541" i="3"/>
  <c r="R4542" i="3"/>
  <c r="R4543" i="3"/>
  <c r="R4544" i="3"/>
  <c r="R4545" i="3"/>
  <c r="R4546" i="3"/>
  <c r="R4547" i="3"/>
  <c r="R4548" i="3"/>
  <c r="R4549" i="3"/>
  <c r="R4550" i="3"/>
  <c r="R4551" i="3"/>
  <c r="R4552" i="3"/>
  <c r="R4553" i="3"/>
  <c r="R4554" i="3"/>
  <c r="R4555" i="3"/>
  <c r="R4556" i="3"/>
  <c r="R4557" i="3"/>
  <c r="R4558" i="3"/>
  <c r="R4559" i="3"/>
  <c r="R4560" i="3"/>
  <c r="R4561" i="3"/>
  <c r="R4562" i="3"/>
  <c r="R4563" i="3"/>
  <c r="R4564" i="3"/>
  <c r="R4565" i="3"/>
  <c r="R4566" i="3"/>
  <c r="R4567" i="3"/>
  <c r="R4568" i="3"/>
  <c r="R4569" i="3"/>
  <c r="R4570" i="3"/>
  <c r="R4571" i="3"/>
  <c r="R4572" i="3"/>
  <c r="R4573" i="3"/>
  <c r="R4574" i="3"/>
  <c r="R4575" i="3"/>
  <c r="R4576" i="3"/>
  <c r="R4577" i="3"/>
  <c r="R4578" i="3"/>
  <c r="R4579" i="3"/>
  <c r="R4580" i="3"/>
  <c r="R4581" i="3"/>
  <c r="R4582" i="3"/>
  <c r="R4583" i="3"/>
  <c r="R4584" i="3"/>
  <c r="R4585" i="3"/>
  <c r="R4586" i="3"/>
  <c r="R4587" i="3"/>
  <c r="R4588" i="3"/>
  <c r="R4589" i="3"/>
  <c r="R4590" i="3"/>
  <c r="R4591" i="3"/>
  <c r="R4592" i="3"/>
  <c r="R4593" i="3"/>
  <c r="R4594" i="3"/>
  <c r="R4595" i="3"/>
  <c r="R4596" i="3"/>
  <c r="R4597" i="3"/>
  <c r="R4598" i="3"/>
  <c r="R4599" i="3"/>
  <c r="R4600" i="3"/>
  <c r="R4601" i="3"/>
  <c r="R4602" i="3"/>
  <c r="R4603" i="3"/>
  <c r="R4604" i="3"/>
  <c r="R4605" i="3"/>
  <c r="R4606" i="3"/>
  <c r="R4607" i="3"/>
  <c r="R4608" i="3"/>
  <c r="R4609" i="3"/>
  <c r="R4610" i="3"/>
  <c r="R4611" i="3"/>
  <c r="R4612" i="3"/>
  <c r="R4613" i="3"/>
  <c r="R4614" i="3"/>
  <c r="R4615" i="3"/>
  <c r="R4616" i="3"/>
  <c r="R4617" i="3"/>
  <c r="R4618" i="3"/>
  <c r="R4619" i="3"/>
  <c r="R4620" i="3"/>
  <c r="R4621" i="3"/>
  <c r="R4622" i="3"/>
  <c r="R4623" i="3"/>
  <c r="R4624" i="3"/>
  <c r="R4625" i="3"/>
  <c r="R4626" i="3"/>
  <c r="R4627" i="3"/>
  <c r="R4628" i="3"/>
  <c r="R4629" i="3"/>
  <c r="R4630" i="3"/>
  <c r="R4631" i="3"/>
  <c r="R4632" i="3"/>
  <c r="R4633" i="3"/>
  <c r="R4634" i="3"/>
  <c r="R4635" i="3"/>
  <c r="R4636" i="3"/>
  <c r="R4637" i="3"/>
  <c r="R4638" i="3"/>
  <c r="R4639" i="3"/>
  <c r="R4640" i="3"/>
  <c r="R4641" i="3"/>
  <c r="R4642" i="3"/>
  <c r="R4643" i="3"/>
  <c r="R4644" i="3"/>
  <c r="R4645" i="3"/>
  <c r="R4646" i="3"/>
  <c r="R4647" i="3"/>
  <c r="R4648" i="3"/>
  <c r="R4649" i="3"/>
  <c r="R4650" i="3"/>
  <c r="R4651" i="3"/>
  <c r="R4652" i="3"/>
  <c r="R4653" i="3"/>
  <c r="R4654" i="3"/>
  <c r="R4655" i="3"/>
  <c r="R4656" i="3"/>
  <c r="R4657" i="3"/>
  <c r="R4658" i="3"/>
  <c r="R4659" i="3"/>
  <c r="R4660" i="3"/>
  <c r="R4661" i="3"/>
  <c r="R4662" i="3"/>
  <c r="R4663" i="3"/>
  <c r="R4664" i="3"/>
  <c r="R4665" i="3"/>
  <c r="R4666" i="3"/>
  <c r="R4667" i="3"/>
  <c r="R4668" i="3"/>
  <c r="R4669" i="3"/>
  <c r="R4670" i="3"/>
  <c r="R4671" i="3"/>
  <c r="R4672" i="3"/>
  <c r="R4673" i="3"/>
  <c r="R4674" i="3"/>
  <c r="R4675" i="3"/>
  <c r="R4676" i="3"/>
  <c r="R4677" i="3"/>
  <c r="R4678" i="3"/>
  <c r="R4679" i="3"/>
  <c r="R4680" i="3"/>
  <c r="R4681" i="3"/>
  <c r="R4682" i="3"/>
  <c r="R4683" i="3"/>
  <c r="R4684" i="3"/>
  <c r="R4685" i="3"/>
  <c r="R4686" i="3"/>
  <c r="R4687" i="3"/>
  <c r="R4688" i="3"/>
  <c r="R4689" i="3"/>
  <c r="R4690" i="3"/>
  <c r="R4691" i="3"/>
  <c r="R4692" i="3"/>
  <c r="R4693" i="3"/>
  <c r="R4694" i="3"/>
  <c r="R4695" i="3"/>
  <c r="R4696" i="3"/>
  <c r="R4697" i="3"/>
  <c r="R4698" i="3"/>
  <c r="R4699" i="3"/>
  <c r="R4700" i="3"/>
  <c r="R4701" i="3"/>
  <c r="R4702" i="3"/>
  <c r="R4703" i="3"/>
  <c r="R4704" i="3"/>
  <c r="R4705" i="3"/>
  <c r="R4706" i="3"/>
  <c r="R4707" i="3"/>
  <c r="R4708" i="3"/>
  <c r="R4709" i="3"/>
  <c r="R4710" i="3"/>
  <c r="R4711" i="3"/>
  <c r="R4712" i="3"/>
  <c r="R4713" i="3"/>
  <c r="R4714" i="3"/>
  <c r="R4715" i="3"/>
  <c r="R4716" i="3"/>
  <c r="R4717" i="3"/>
  <c r="R4718" i="3"/>
  <c r="R4719" i="3"/>
  <c r="R4720" i="3"/>
  <c r="R4721" i="3"/>
  <c r="R4722" i="3"/>
  <c r="R4723" i="3"/>
  <c r="R4724" i="3"/>
  <c r="R4725" i="3"/>
  <c r="R4726" i="3"/>
  <c r="R4727" i="3"/>
  <c r="R4728" i="3"/>
  <c r="R4729" i="3"/>
  <c r="R4730" i="3"/>
  <c r="R4731" i="3"/>
  <c r="R4732" i="3"/>
  <c r="R4733" i="3"/>
  <c r="R4734" i="3"/>
  <c r="R4735" i="3"/>
  <c r="R4736" i="3"/>
  <c r="R4737" i="3"/>
  <c r="R4738" i="3"/>
  <c r="R4739" i="3"/>
  <c r="R4740" i="3"/>
  <c r="R4741" i="3"/>
  <c r="R4742" i="3"/>
  <c r="R4743" i="3"/>
  <c r="R4744" i="3"/>
  <c r="R4745" i="3"/>
  <c r="R4746" i="3"/>
  <c r="R4747" i="3"/>
  <c r="R4748" i="3"/>
  <c r="R4749" i="3"/>
  <c r="R4750" i="3"/>
  <c r="R4751" i="3"/>
  <c r="R4752" i="3"/>
  <c r="R4753" i="3"/>
  <c r="R4754" i="3"/>
  <c r="R4755" i="3"/>
  <c r="R4756" i="3"/>
  <c r="R4757" i="3"/>
  <c r="R4758" i="3"/>
  <c r="R4759" i="3"/>
  <c r="R4760" i="3"/>
  <c r="R4761" i="3"/>
  <c r="R4762" i="3"/>
  <c r="R4763" i="3"/>
  <c r="R4764" i="3"/>
  <c r="R4765" i="3"/>
  <c r="R4766" i="3"/>
  <c r="R4767" i="3"/>
  <c r="R4768" i="3"/>
  <c r="R4769" i="3"/>
  <c r="R4770" i="3"/>
  <c r="R4771" i="3"/>
  <c r="R4772" i="3"/>
  <c r="R4773" i="3"/>
  <c r="R4774" i="3"/>
  <c r="R4775" i="3"/>
  <c r="R4776" i="3"/>
  <c r="R4777" i="3"/>
  <c r="R4778" i="3"/>
  <c r="R4779" i="3"/>
  <c r="R4780" i="3"/>
  <c r="R4781" i="3"/>
  <c r="R4782" i="3"/>
  <c r="R4783" i="3"/>
  <c r="R4784" i="3"/>
  <c r="R4785" i="3"/>
  <c r="R4786" i="3"/>
  <c r="R4787" i="3"/>
  <c r="R4788" i="3"/>
  <c r="R4789" i="3"/>
  <c r="R4790" i="3"/>
  <c r="R4791" i="3"/>
  <c r="R4792" i="3"/>
  <c r="R4793" i="3"/>
  <c r="R4794" i="3"/>
  <c r="R4795" i="3"/>
  <c r="R4796" i="3"/>
  <c r="R4797" i="3"/>
  <c r="R4798" i="3"/>
  <c r="R4799" i="3"/>
  <c r="R4800" i="3"/>
  <c r="R4801" i="3"/>
  <c r="R4802" i="3"/>
  <c r="R4803" i="3"/>
  <c r="R4804" i="3"/>
  <c r="R4805" i="3"/>
  <c r="R4806" i="3"/>
  <c r="R4807" i="3"/>
  <c r="R4808" i="3"/>
  <c r="R4809" i="3"/>
  <c r="R4810" i="3"/>
  <c r="R4811" i="3"/>
  <c r="R4812" i="3"/>
  <c r="R4813" i="3"/>
  <c r="R4814" i="3"/>
  <c r="R4815" i="3"/>
  <c r="R4816" i="3"/>
  <c r="R4817" i="3"/>
  <c r="R4818" i="3"/>
  <c r="R4819" i="3"/>
  <c r="R4820" i="3"/>
  <c r="R4821" i="3"/>
  <c r="R4822" i="3"/>
  <c r="R4823" i="3"/>
  <c r="R4824" i="3"/>
  <c r="R4825" i="3"/>
  <c r="R4826" i="3"/>
  <c r="R4827" i="3"/>
  <c r="R4828" i="3"/>
  <c r="R4829" i="3"/>
  <c r="R4830" i="3"/>
  <c r="R4831" i="3"/>
  <c r="R4832" i="3"/>
  <c r="R4833" i="3"/>
  <c r="R4834" i="3"/>
  <c r="R4835" i="3"/>
  <c r="R4836" i="3"/>
  <c r="R4837" i="3"/>
  <c r="R4838" i="3"/>
  <c r="R4839" i="3"/>
  <c r="R4840" i="3"/>
  <c r="R4841" i="3"/>
  <c r="R4842" i="3"/>
  <c r="R4843" i="3"/>
  <c r="R4844" i="3"/>
  <c r="R4845" i="3"/>
  <c r="R4846" i="3"/>
  <c r="R4847" i="3"/>
  <c r="R4848" i="3"/>
  <c r="R4849" i="3"/>
  <c r="R4850" i="3"/>
  <c r="R4851" i="3"/>
  <c r="R4852" i="3"/>
  <c r="R4853" i="3"/>
  <c r="R4854" i="3"/>
  <c r="R4855" i="3"/>
  <c r="R4856" i="3"/>
  <c r="R4857" i="3"/>
  <c r="R4858" i="3"/>
  <c r="R4859" i="3"/>
  <c r="R4860" i="3"/>
  <c r="R4861" i="3"/>
  <c r="R4862" i="3"/>
  <c r="R4863" i="3"/>
  <c r="R4864" i="3"/>
  <c r="R4865" i="3"/>
  <c r="R4866" i="3"/>
  <c r="R4867" i="3"/>
  <c r="R4868" i="3"/>
  <c r="R4869" i="3"/>
  <c r="R4870" i="3"/>
  <c r="R4871" i="3"/>
  <c r="R4872" i="3"/>
  <c r="R4873" i="3"/>
  <c r="R4874" i="3"/>
  <c r="R4875" i="3"/>
  <c r="R4876" i="3"/>
  <c r="R4877" i="3"/>
  <c r="R4878" i="3"/>
  <c r="R4879" i="3"/>
  <c r="R4880" i="3"/>
  <c r="R4881" i="3"/>
  <c r="R4882" i="3"/>
  <c r="R4883" i="3"/>
  <c r="R4884" i="3"/>
  <c r="R4885" i="3"/>
  <c r="R4886" i="3"/>
  <c r="R4887" i="3"/>
  <c r="R4888" i="3"/>
  <c r="R4889" i="3"/>
  <c r="R4890" i="3"/>
  <c r="R4891" i="3"/>
  <c r="R4892" i="3"/>
  <c r="R4893" i="3"/>
  <c r="R4894" i="3"/>
  <c r="R4895" i="3"/>
  <c r="R4896" i="3"/>
  <c r="R4897" i="3"/>
  <c r="R4898" i="3"/>
  <c r="R4899" i="3"/>
  <c r="R4900" i="3"/>
  <c r="R4901" i="3"/>
  <c r="R4902" i="3"/>
  <c r="R4903" i="3"/>
  <c r="R4904" i="3"/>
  <c r="R4905" i="3"/>
  <c r="R4906" i="3"/>
  <c r="R4907" i="3"/>
  <c r="R4908" i="3"/>
  <c r="R4909" i="3"/>
  <c r="R4910" i="3"/>
  <c r="R4911" i="3"/>
  <c r="R4912" i="3"/>
  <c r="R4913" i="3"/>
  <c r="R4914" i="3"/>
  <c r="R4915" i="3"/>
  <c r="R4916" i="3"/>
  <c r="R4917" i="3"/>
  <c r="R4918" i="3"/>
  <c r="R4919" i="3"/>
  <c r="R4920" i="3"/>
  <c r="R4921" i="3"/>
  <c r="R4922" i="3"/>
  <c r="R4923" i="3"/>
  <c r="R4924" i="3"/>
  <c r="R4925" i="3"/>
  <c r="R4926" i="3"/>
  <c r="R4927" i="3"/>
  <c r="R4928" i="3"/>
  <c r="R4929" i="3"/>
  <c r="R4930" i="3"/>
  <c r="R4931" i="3"/>
  <c r="R4932" i="3"/>
  <c r="R4933" i="3"/>
  <c r="R4934" i="3"/>
  <c r="R4935" i="3"/>
  <c r="R4936" i="3"/>
  <c r="R4937" i="3"/>
  <c r="R4938" i="3"/>
  <c r="R4939" i="3"/>
  <c r="R4940" i="3"/>
  <c r="R4941" i="3"/>
  <c r="R4942" i="3"/>
  <c r="R4943" i="3"/>
  <c r="R4944" i="3"/>
  <c r="R4945" i="3"/>
  <c r="R4946" i="3"/>
  <c r="R4947" i="3"/>
  <c r="R4948" i="3"/>
  <c r="R4949" i="3"/>
  <c r="R4950" i="3"/>
  <c r="R4951" i="3"/>
  <c r="R4952" i="3"/>
  <c r="R4953" i="3"/>
  <c r="R4954" i="3"/>
  <c r="R4955" i="3"/>
  <c r="R4956" i="3"/>
  <c r="R4957" i="3"/>
  <c r="R4958" i="3"/>
  <c r="R4959" i="3"/>
  <c r="R4960" i="3"/>
  <c r="R4961" i="3"/>
  <c r="R4962" i="3"/>
  <c r="R4963" i="3"/>
  <c r="R4964" i="3"/>
  <c r="R4965" i="3"/>
  <c r="R4966" i="3"/>
  <c r="R4967" i="3"/>
  <c r="R4968" i="3"/>
  <c r="R4969" i="3"/>
  <c r="R4970" i="3"/>
  <c r="R4971" i="3"/>
  <c r="R4972" i="3"/>
  <c r="R4973" i="3"/>
  <c r="R4974" i="3"/>
  <c r="R4975" i="3"/>
  <c r="R4976" i="3"/>
  <c r="R4977" i="3"/>
  <c r="R4978" i="3"/>
  <c r="R4979" i="3"/>
  <c r="R4980" i="3"/>
  <c r="R4981" i="3"/>
  <c r="R4982" i="3"/>
  <c r="R4983" i="3"/>
  <c r="R4984" i="3"/>
  <c r="R4985" i="3"/>
  <c r="R4986" i="3"/>
  <c r="R4987" i="3"/>
  <c r="R4988" i="3"/>
  <c r="R4989" i="3"/>
  <c r="R4990" i="3"/>
  <c r="R4991" i="3"/>
  <c r="R4992" i="3"/>
  <c r="R4993" i="3"/>
  <c r="R4994" i="3"/>
  <c r="R4995" i="3"/>
  <c r="R4996" i="3"/>
  <c r="R4997" i="3"/>
  <c r="R4998" i="3"/>
  <c r="R4999" i="3"/>
  <c r="R5000" i="3"/>
  <c r="R5001" i="3"/>
  <c r="R5002" i="3"/>
  <c r="R5003" i="3"/>
  <c r="R5004" i="3"/>
  <c r="R5005" i="3"/>
  <c r="R5006" i="3"/>
  <c r="R5007" i="3"/>
  <c r="R5008" i="3"/>
  <c r="R5009" i="3"/>
  <c r="R5010" i="3"/>
  <c r="R5011" i="3"/>
  <c r="R5012" i="3"/>
  <c r="R5013" i="3"/>
  <c r="R5014" i="3"/>
  <c r="R5015" i="3"/>
  <c r="R5016" i="3"/>
  <c r="R5017" i="3"/>
  <c r="R5018" i="3"/>
  <c r="R5019" i="3"/>
  <c r="R5020" i="3"/>
  <c r="R5021" i="3"/>
  <c r="R5022" i="3"/>
  <c r="R5023" i="3"/>
  <c r="R5024" i="3"/>
  <c r="R5025" i="3"/>
  <c r="R5026" i="3"/>
  <c r="R5027" i="3"/>
  <c r="R5028" i="3"/>
  <c r="R5029" i="3"/>
  <c r="R5030" i="3"/>
  <c r="R5031" i="3"/>
  <c r="R5032" i="3"/>
  <c r="R5033" i="3"/>
  <c r="R5034" i="3"/>
  <c r="R5035" i="3"/>
  <c r="R5036" i="3"/>
  <c r="R5037" i="3"/>
  <c r="R5038" i="3"/>
  <c r="R5039" i="3"/>
  <c r="R5040" i="3"/>
  <c r="R5041" i="3"/>
  <c r="R5042" i="3"/>
  <c r="R5043" i="3"/>
  <c r="R5044" i="3"/>
  <c r="R5045" i="3"/>
  <c r="R5046" i="3"/>
  <c r="R5047" i="3"/>
  <c r="R5048" i="3"/>
  <c r="R5049" i="3"/>
  <c r="R5050" i="3"/>
  <c r="R5051" i="3"/>
  <c r="R5052" i="3"/>
  <c r="R5053" i="3"/>
  <c r="R5054" i="3"/>
  <c r="R5055" i="3"/>
  <c r="R5056" i="3"/>
  <c r="R5057" i="3"/>
  <c r="R5058" i="3"/>
  <c r="R5059" i="3"/>
  <c r="R5060" i="3"/>
  <c r="R5061" i="3"/>
  <c r="R5062" i="3"/>
  <c r="R5063" i="3"/>
  <c r="R5064" i="3"/>
  <c r="R5065" i="3"/>
  <c r="R5066" i="3"/>
  <c r="R5067" i="3"/>
  <c r="R5068" i="3"/>
  <c r="R5069" i="3"/>
  <c r="R5070" i="3"/>
  <c r="R5071" i="3"/>
  <c r="R5072" i="3"/>
  <c r="R5073" i="3"/>
  <c r="R5074" i="3"/>
  <c r="R5075" i="3"/>
  <c r="R5076" i="3"/>
  <c r="R5077" i="3"/>
  <c r="R5078" i="3"/>
  <c r="R5079" i="3"/>
  <c r="R5080" i="3"/>
  <c r="R5081" i="3"/>
  <c r="R5082" i="3"/>
  <c r="R5083" i="3"/>
  <c r="R5084" i="3"/>
  <c r="R5085" i="3"/>
  <c r="R5086" i="3"/>
  <c r="R5087" i="3"/>
  <c r="R5088" i="3"/>
  <c r="R5089" i="3"/>
  <c r="R5090" i="3"/>
  <c r="R5091" i="3"/>
  <c r="R5092" i="3"/>
  <c r="R5093" i="3"/>
  <c r="R5094" i="3"/>
  <c r="R5095" i="3"/>
  <c r="R5096" i="3"/>
  <c r="R5097" i="3"/>
  <c r="R5098" i="3"/>
  <c r="R5099" i="3"/>
  <c r="R5100" i="3"/>
  <c r="R5101" i="3"/>
  <c r="R5102" i="3"/>
  <c r="R5103" i="3"/>
  <c r="R5104" i="3"/>
  <c r="R5105" i="3"/>
  <c r="R5106" i="3"/>
  <c r="R5107" i="3"/>
  <c r="R5108" i="3"/>
  <c r="R5109" i="3"/>
  <c r="R5110" i="3"/>
  <c r="R5111" i="3"/>
  <c r="R5112" i="3"/>
  <c r="R5113" i="3"/>
  <c r="R5114" i="3"/>
  <c r="R5115" i="3"/>
  <c r="R5116" i="3"/>
  <c r="R5117" i="3"/>
  <c r="R5118" i="3"/>
  <c r="R5119" i="3"/>
  <c r="R5120" i="3"/>
  <c r="R5121" i="3"/>
  <c r="R5122" i="3"/>
  <c r="R5123" i="3"/>
  <c r="R5124" i="3"/>
  <c r="R5125" i="3"/>
  <c r="R5126" i="3"/>
  <c r="R5127" i="3"/>
  <c r="R5128" i="3"/>
  <c r="R5129" i="3"/>
  <c r="R5130" i="3"/>
  <c r="R5131" i="3"/>
  <c r="R5132" i="3"/>
  <c r="R5133" i="3"/>
  <c r="R5134" i="3"/>
  <c r="R5135" i="3"/>
  <c r="R5136" i="3"/>
  <c r="R5137" i="3"/>
  <c r="R5138" i="3"/>
  <c r="R5139" i="3"/>
  <c r="R5140" i="3"/>
  <c r="R5141" i="3"/>
  <c r="R5142" i="3"/>
  <c r="R5143" i="3"/>
  <c r="R5144" i="3"/>
  <c r="R5145" i="3"/>
  <c r="R5146" i="3"/>
  <c r="R5147" i="3"/>
  <c r="R5148" i="3"/>
  <c r="R5149" i="3"/>
  <c r="R5150" i="3"/>
  <c r="R5151" i="3"/>
  <c r="R5152" i="3"/>
  <c r="R5153" i="3"/>
  <c r="R5154" i="3"/>
  <c r="R5155" i="3"/>
  <c r="R5156" i="3"/>
  <c r="R5157" i="3"/>
  <c r="R5158" i="3"/>
  <c r="R5159" i="3"/>
  <c r="R5160" i="3"/>
  <c r="R5161" i="3"/>
  <c r="R5162" i="3"/>
  <c r="R5163" i="3"/>
  <c r="R5164" i="3"/>
  <c r="R5165" i="3"/>
  <c r="R5166" i="3"/>
  <c r="R5167" i="3"/>
  <c r="R5168" i="3"/>
  <c r="R5169" i="3"/>
  <c r="R5170" i="3"/>
  <c r="R5171" i="3"/>
  <c r="R5172" i="3"/>
  <c r="R5173" i="3"/>
  <c r="R5174" i="3"/>
  <c r="R5175" i="3"/>
  <c r="R5176" i="3"/>
  <c r="R5177" i="3"/>
  <c r="R5178" i="3"/>
  <c r="R5179" i="3"/>
  <c r="R5180" i="3"/>
  <c r="R5181" i="3"/>
  <c r="R5182" i="3"/>
  <c r="R5183" i="3"/>
  <c r="R5184" i="3"/>
  <c r="R5185" i="3"/>
  <c r="R5186" i="3"/>
  <c r="R5187" i="3"/>
  <c r="R5188" i="3"/>
  <c r="R5189" i="3"/>
  <c r="R5190" i="3"/>
  <c r="R5191" i="3"/>
  <c r="R5192" i="3"/>
  <c r="R5193" i="3"/>
  <c r="R5194" i="3"/>
  <c r="R5195" i="3"/>
  <c r="R5196" i="3"/>
  <c r="R5197" i="3"/>
  <c r="R5198" i="3"/>
  <c r="R5199" i="3"/>
  <c r="R5200" i="3"/>
  <c r="R5201" i="3"/>
  <c r="R5202" i="3"/>
  <c r="R5203" i="3"/>
  <c r="R5204" i="3"/>
  <c r="R5205" i="3"/>
  <c r="R5206" i="3"/>
  <c r="R5207" i="3"/>
  <c r="R5208" i="3"/>
  <c r="R5209" i="3"/>
  <c r="R5210" i="3"/>
  <c r="R5211" i="3"/>
  <c r="R5212" i="3"/>
  <c r="R5213" i="3"/>
  <c r="R5214" i="3"/>
  <c r="R5215" i="3"/>
  <c r="R5216" i="3"/>
  <c r="R5217" i="3"/>
  <c r="R5218" i="3"/>
  <c r="R5219" i="3"/>
  <c r="R5220" i="3"/>
  <c r="R5221" i="3"/>
  <c r="R5222" i="3"/>
  <c r="R5223" i="3"/>
  <c r="R5224" i="3"/>
  <c r="R5225" i="3"/>
  <c r="R5226" i="3"/>
  <c r="R5227" i="3"/>
  <c r="R5228" i="3"/>
  <c r="R5229" i="3"/>
  <c r="R5230" i="3"/>
  <c r="R5231" i="3"/>
  <c r="R5232" i="3"/>
  <c r="R5233" i="3"/>
  <c r="R5234" i="3"/>
  <c r="R5235" i="3"/>
  <c r="R5236" i="3"/>
  <c r="R5237" i="3"/>
  <c r="R5238" i="3"/>
  <c r="R5239" i="3"/>
  <c r="R5240" i="3"/>
  <c r="R5241" i="3"/>
  <c r="R5242" i="3"/>
  <c r="R5243" i="3"/>
  <c r="R5244" i="3"/>
  <c r="R5245" i="3"/>
  <c r="R5246" i="3"/>
  <c r="R5247" i="3"/>
  <c r="R5248" i="3"/>
  <c r="R5249" i="3"/>
  <c r="R5250" i="3"/>
  <c r="R5251" i="3"/>
  <c r="R5252" i="3"/>
  <c r="R5253" i="3"/>
  <c r="R5254" i="3"/>
  <c r="R5255" i="3"/>
  <c r="R5256" i="3"/>
  <c r="R5257" i="3"/>
  <c r="R5258" i="3"/>
  <c r="R5259" i="3"/>
  <c r="R5260" i="3"/>
  <c r="R5261" i="3"/>
  <c r="R5262" i="3"/>
  <c r="R5263" i="3"/>
  <c r="R5264" i="3"/>
  <c r="R5265" i="3"/>
  <c r="R5266" i="3"/>
  <c r="R5267" i="3"/>
  <c r="R5268" i="3"/>
  <c r="R5269" i="3"/>
  <c r="R5270" i="3"/>
  <c r="R5271" i="3"/>
  <c r="R5272" i="3"/>
  <c r="R5273" i="3"/>
  <c r="R5274" i="3"/>
  <c r="R5275" i="3"/>
  <c r="R5276" i="3"/>
  <c r="R5277" i="3"/>
  <c r="R5278" i="3"/>
  <c r="R5279" i="3"/>
  <c r="R5280" i="3"/>
  <c r="R5281" i="3"/>
  <c r="R5282" i="3"/>
  <c r="R5283" i="3"/>
  <c r="R5284" i="3"/>
  <c r="R5285" i="3"/>
  <c r="R5286" i="3"/>
  <c r="R5287" i="3"/>
  <c r="R5288" i="3"/>
  <c r="R5289" i="3"/>
  <c r="R5290" i="3"/>
  <c r="R5291" i="3"/>
  <c r="R5292" i="3"/>
  <c r="R5293" i="3"/>
  <c r="R5294" i="3"/>
  <c r="R5295" i="3"/>
  <c r="R5296" i="3"/>
  <c r="R5297" i="3"/>
  <c r="R5298" i="3"/>
  <c r="R5299" i="3"/>
  <c r="R5300" i="3"/>
  <c r="R5301" i="3"/>
  <c r="R5302" i="3"/>
  <c r="R5303" i="3"/>
  <c r="R5304" i="3"/>
  <c r="R5305" i="3"/>
  <c r="R5306" i="3"/>
  <c r="R5307" i="3"/>
  <c r="R5308" i="3"/>
  <c r="R5309" i="3"/>
  <c r="R5310" i="3"/>
  <c r="R5311" i="3"/>
  <c r="R5312" i="3"/>
  <c r="R5313" i="3"/>
  <c r="R5314" i="3"/>
  <c r="R5315" i="3"/>
  <c r="R5316" i="3"/>
  <c r="R5317" i="3"/>
  <c r="R5318" i="3"/>
  <c r="R5319" i="3"/>
  <c r="R5320" i="3"/>
  <c r="R5321" i="3"/>
  <c r="R5322" i="3"/>
  <c r="R5323" i="3"/>
  <c r="R5324" i="3"/>
  <c r="R5325" i="3"/>
  <c r="R5326" i="3"/>
  <c r="R5327" i="3"/>
  <c r="R5328" i="3"/>
  <c r="R5329" i="3"/>
  <c r="R5330" i="3"/>
  <c r="R5331" i="3"/>
  <c r="R5332" i="3"/>
  <c r="R5333" i="3"/>
  <c r="R5334" i="3"/>
  <c r="R5335" i="3"/>
  <c r="R5336" i="3"/>
  <c r="R5337" i="3"/>
  <c r="R5338" i="3"/>
  <c r="R5339" i="3"/>
  <c r="R5340" i="3"/>
  <c r="R5341" i="3"/>
  <c r="R5342" i="3"/>
  <c r="R5343" i="3"/>
  <c r="R5344" i="3"/>
  <c r="R5345" i="3"/>
  <c r="R5346" i="3"/>
  <c r="R5347" i="3"/>
  <c r="R5348" i="3"/>
  <c r="R5349" i="3"/>
  <c r="R5350" i="3"/>
  <c r="R5351" i="3"/>
  <c r="R5352" i="3"/>
  <c r="R5353" i="3"/>
  <c r="R5354" i="3"/>
  <c r="R5355" i="3"/>
  <c r="R5356" i="3"/>
  <c r="R5357" i="3"/>
  <c r="R5358" i="3"/>
  <c r="R5359" i="3"/>
  <c r="R5360" i="3"/>
  <c r="R5361" i="3"/>
  <c r="R5362" i="3"/>
  <c r="R5363" i="3"/>
  <c r="R5364" i="3"/>
  <c r="R5365" i="3"/>
  <c r="R5366" i="3"/>
  <c r="R5367" i="3"/>
  <c r="R5368" i="3"/>
  <c r="R5369" i="3"/>
  <c r="R5370" i="3"/>
  <c r="R5371" i="3"/>
  <c r="R5372" i="3"/>
  <c r="R5373" i="3"/>
  <c r="R5374" i="3"/>
  <c r="R5375" i="3"/>
  <c r="R5376" i="3"/>
  <c r="R5377" i="3"/>
  <c r="R5378" i="3"/>
  <c r="R5379" i="3"/>
  <c r="R5380" i="3"/>
  <c r="R5381" i="3"/>
  <c r="R5382" i="3"/>
  <c r="R5383" i="3"/>
  <c r="R5384" i="3"/>
  <c r="R5385" i="3"/>
  <c r="R5386" i="3"/>
  <c r="R5387" i="3"/>
  <c r="R5388" i="3"/>
  <c r="R5389" i="3"/>
  <c r="R5390" i="3"/>
  <c r="R5391" i="3"/>
  <c r="R5392" i="3"/>
  <c r="R5393" i="3"/>
  <c r="R5394" i="3"/>
  <c r="R5395" i="3"/>
  <c r="R5396" i="3"/>
  <c r="R5397" i="3"/>
  <c r="R5398" i="3"/>
  <c r="R5399" i="3"/>
  <c r="R5400" i="3"/>
  <c r="R5401" i="3"/>
  <c r="R5402" i="3"/>
  <c r="R5403" i="3"/>
  <c r="R5404" i="3"/>
  <c r="R5405" i="3"/>
  <c r="R5406" i="3"/>
  <c r="R5407" i="3"/>
  <c r="R5408" i="3"/>
  <c r="R5409" i="3"/>
  <c r="R5410" i="3"/>
  <c r="R5411" i="3"/>
  <c r="R5412" i="3"/>
  <c r="R5413" i="3"/>
  <c r="R5414" i="3"/>
  <c r="R5415" i="3"/>
  <c r="R5416" i="3"/>
  <c r="R5417" i="3"/>
  <c r="R5418" i="3"/>
  <c r="R5419" i="3"/>
  <c r="R5420" i="3"/>
  <c r="R5421" i="3"/>
  <c r="R5422" i="3"/>
  <c r="R5423" i="3"/>
  <c r="R5424" i="3"/>
  <c r="R5425" i="3"/>
  <c r="R5426" i="3"/>
  <c r="R5427" i="3"/>
  <c r="R5428" i="3"/>
  <c r="R5429" i="3"/>
  <c r="R5430" i="3"/>
  <c r="R5431" i="3"/>
  <c r="R5432" i="3"/>
  <c r="R5433" i="3"/>
  <c r="R5434" i="3"/>
  <c r="R5435" i="3"/>
  <c r="R5436" i="3"/>
  <c r="R5437" i="3"/>
  <c r="R5438" i="3"/>
  <c r="R5439" i="3"/>
  <c r="R5440" i="3"/>
  <c r="R5441" i="3"/>
  <c r="R5442" i="3"/>
  <c r="R5443" i="3"/>
  <c r="R5444" i="3"/>
  <c r="R5445" i="3"/>
  <c r="R5446" i="3"/>
  <c r="R5447" i="3"/>
  <c r="R5448" i="3"/>
  <c r="R5449" i="3"/>
  <c r="R5450" i="3"/>
  <c r="R5451" i="3"/>
  <c r="R5452" i="3"/>
  <c r="R5453" i="3"/>
  <c r="R5454" i="3"/>
  <c r="R5455" i="3"/>
  <c r="R5456" i="3"/>
  <c r="R5457" i="3"/>
  <c r="R5458" i="3"/>
  <c r="R5459" i="3"/>
  <c r="R5460" i="3"/>
  <c r="R5461" i="3"/>
  <c r="R5462" i="3"/>
  <c r="R5463" i="3"/>
  <c r="R5464" i="3"/>
  <c r="R5465" i="3"/>
  <c r="R5466" i="3"/>
  <c r="R5467" i="3"/>
  <c r="R5468" i="3"/>
  <c r="R5469" i="3"/>
  <c r="R5470" i="3"/>
  <c r="R5471" i="3"/>
  <c r="R5472" i="3"/>
  <c r="R5473" i="3"/>
  <c r="R5474" i="3"/>
  <c r="R5475" i="3"/>
  <c r="R5476" i="3"/>
  <c r="R5477" i="3"/>
  <c r="R5478" i="3"/>
  <c r="R5479" i="3"/>
  <c r="R5480" i="3"/>
  <c r="R5481" i="3"/>
  <c r="R5482" i="3"/>
  <c r="R5483" i="3"/>
  <c r="R5484" i="3"/>
  <c r="R5485" i="3"/>
  <c r="R5486" i="3"/>
  <c r="R5487" i="3"/>
  <c r="R5488" i="3"/>
  <c r="R5489" i="3"/>
  <c r="R5490" i="3"/>
  <c r="R5491" i="3"/>
  <c r="R5492" i="3"/>
  <c r="R5493" i="3"/>
  <c r="R5494" i="3"/>
  <c r="R5495" i="3"/>
  <c r="R5496" i="3"/>
  <c r="R5497" i="3"/>
  <c r="R5498" i="3"/>
  <c r="R5499" i="3"/>
  <c r="R5500" i="3"/>
  <c r="R5501" i="3"/>
  <c r="R5502" i="3"/>
  <c r="R5503" i="3"/>
  <c r="R5504" i="3"/>
  <c r="R5505" i="3"/>
  <c r="R5506" i="3"/>
  <c r="R5507" i="3"/>
  <c r="R5508" i="3"/>
  <c r="R5509" i="3"/>
  <c r="R5510" i="3"/>
  <c r="R5511" i="3"/>
  <c r="R5512" i="3"/>
  <c r="R5513" i="3"/>
  <c r="R5514" i="3"/>
  <c r="R5515" i="3"/>
  <c r="R5516" i="3"/>
  <c r="R5517" i="3"/>
  <c r="R5518" i="3"/>
  <c r="R5519" i="3"/>
  <c r="R5520" i="3"/>
  <c r="R5521" i="3"/>
  <c r="R5522" i="3"/>
  <c r="R5523" i="3"/>
  <c r="R5524" i="3"/>
  <c r="R5525" i="3"/>
  <c r="R5526" i="3"/>
  <c r="R5527" i="3"/>
  <c r="R5528" i="3"/>
  <c r="R5529" i="3"/>
  <c r="R5530" i="3"/>
  <c r="R5531" i="3"/>
  <c r="R5532" i="3"/>
  <c r="R5533" i="3"/>
  <c r="R5534" i="3"/>
  <c r="R5535" i="3"/>
  <c r="R5536" i="3"/>
  <c r="R5537" i="3"/>
  <c r="R5538" i="3"/>
  <c r="R5539" i="3"/>
  <c r="R5540" i="3"/>
  <c r="R5541" i="3"/>
  <c r="R5542" i="3"/>
  <c r="R5543" i="3"/>
  <c r="R5544" i="3"/>
  <c r="R5545" i="3"/>
  <c r="R5546" i="3"/>
  <c r="R5547" i="3"/>
  <c r="R5548" i="3"/>
  <c r="R5549" i="3"/>
  <c r="R5550" i="3"/>
  <c r="R5551" i="3"/>
  <c r="R5552" i="3"/>
  <c r="R5553" i="3"/>
  <c r="R5554" i="3"/>
  <c r="R5555" i="3"/>
  <c r="R5556" i="3"/>
  <c r="R5557" i="3"/>
  <c r="R5558" i="3"/>
  <c r="R5559" i="3"/>
  <c r="R5560" i="3"/>
  <c r="R5561" i="3"/>
  <c r="R5562" i="3"/>
  <c r="R5563" i="3"/>
  <c r="R5564" i="3"/>
  <c r="R5565" i="3"/>
  <c r="R5566" i="3"/>
  <c r="R5567" i="3"/>
  <c r="R5568" i="3"/>
  <c r="R5569" i="3"/>
  <c r="R5570" i="3"/>
  <c r="R5571" i="3"/>
  <c r="R5572" i="3"/>
  <c r="R5573" i="3"/>
  <c r="R5574" i="3"/>
  <c r="R5575" i="3"/>
  <c r="R5576" i="3"/>
  <c r="R5577" i="3"/>
  <c r="R5578" i="3"/>
  <c r="R5579" i="3"/>
  <c r="R5580" i="3"/>
  <c r="R5581" i="3"/>
  <c r="R5582" i="3"/>
  <c r="R5583" i="3"/>
  <c r="R5584" i="3"/>
  <c r="R5585" i="3"/>
  <c r="R5586" i="3"/>
  <c r="R5587" i="3"/>
  <c r="R5588" i="3"/>
  <c r="R5589" i="3"/>
  <c r="R5590" i="3"/>
  <c r="R5591" i="3"/>
  <c r="R5592" i="3"/>
  <c r="R5593" i="3"/>
  <c r="R5594" i="3"/>
  <c r="R5595" i="3"/>
  <c r="R5596" i="3"/>
  <c r="R5597" i="3"/>
  <c r="R5598" i="3"/>
  <c r="R5599" i="3"/>
  <c r="R5600" i="3"/>
  <c r="R5601" i="3"/>
  <c r="R5602" i="3"/>
  <c r="R5603" i="3"/>
  <c r="R5604" i="3"/>
  <c r="R5605" i="3"/>
  <c r="R5606" i="3"/>
  <c r="R5607" i="3"/>
  <c r="R5608" i="3"/>
  <c r="R5609" i="3"/>
  <c r="R5610" i="3"/>
  <c r="R5611" i="3"/>
  <c r="R5612" i="3"/>
  <c r="R5613" i="3"/>
  <c r="R5614" i="3"/>
  <c r="R5615" i="3"/>
  <c r="R5616" i="3"/>
  <c r="R5617" i="3"/>
  <c r="R5618" i="3"/>
  <c r="R5619" i="3"/>
  <c r="R5620" i="3"/>
  <c r="R5621" i="3"/>
  <c r="R5622" i="3"/>
  <c r="R5623" i="3"/>
  <c r="R5624" i="3"/>
  <c r="R5625" i="3"/>
  <c r="R5626" i="3"/>
  <c r="R5627" i="3"/>
  <c r="R5628" i="3"/>
  <c r="R5629" i="3"/>
  <c r="R5630" i="3"/>
  <c r="R5631" i="3"/>
  <c r="R5632" i="3"/>
  <c r="R5633" i="3"/>
  <c r="R5634" i="3"/>
  <c r="R5635" i="3"/>
  <c r="R5636" i="3"/>
  <c r="R5637" i="3"/>
  <c r="R5638" i="3"/>
  <c r="R5639" i="3"/>
  <c r="R5640" i="3"/>
  <c r="R5641" i="3"/>
  <c r="R5642" i="3"/>
  <c r="R5643" i="3"/>
  <c r="R5644" i="3"/>
  <c r="R5645" i="3"/>
  <c r="R5646" i="3"/>
  <c r="R5647" i="3"/>
  <c r="R5648" i="3"/>
  <c r="R5649" i="3"/>
  <c r="R5650" i="3"/>
  <c r="R5651" i="3"/>
  <c r="R5652" i="3"/>
  <c r="R5653" i="3"/>
  <c r="R5654" i="3"/>
  <c r="R5655" i="3"/>
  <c r="R5656" i="3"/>
  <c r="R5657" i="3"/>
  <c r="R5658" i="3"/>
  <c r="R5659" i="3"/>
  <c r="R5660" i="3"/>
  <c r="R5661" i="3"/>
  <c r="R5662" i="3"/>
  <c r="R5663" i="3"/>
  <c r="R5664" i="3"/>
  <c r="R5665" i="3"/>
  <c r="R5666" i="3"/>
  <c r="R5667" i="3"/>
  <c r="R5668" i="3"/>
  <c r="R5669" i="3"/>
  <c r="R5670" i="3"/>
  <c r="R5671" i="3"/>
  <c r="R5672" i="3"/>
  <c r="R5673" i="3"/>
  <c r="R5674" i="3"/>
  <c r="R5675" i="3"/>
  <c r="R5676" i="3"/>
  <c r="R5677" i="3"/>
  <c r="R5678" i="3"/>
  <c r="R5679" i="3"/>
  <c r="R5680" i="3"/>
  <c r="R5681" i="3"/>
  <c r="R5682" i="3"/>
  <c r="R5683" i="3"/>
  <c r="R5684" i="3"/>
  <c r="R5685" i="3"/>
  <c r="R5686" i="3"/>
  <c r="R5687" i="3"/>
  <c r="R5688" i="3"/>
  <c r="R5689" i="3"/>
  <c r="R5690" i="3"/>
  <c r="R5691" i="3"/>
  <c r="R5692" i="3"/>
  <c r="R5693" i="3"/>
  <c r="R5694" i="3"/>
  <c r="R5695" i="3"/>
  <c r="R5696" i="3"/>
  <c r="R5697" i="3"/>
  <c r="R5698" i="3"/>
  <c r="R5699" i="3"/>
  <c r="R5700" i="3"/>
  <c r="R5701" i="3"/>
  <c r="R5702" i="3"/>
  <c r="R5703" i="3"/>
  <c r="R5704" i="3"/>
  <c r="R5705" i="3"/>
  <c r="R5706" i="3"/>
  <c r="R5707" i="3"/>
  <c r="R5708" i="3"/>
  <c r="R5709" i="3"/>
  <c r="R5710" i="3"/>
  <c r="R5711" i="3"/>
  <c r="R5712" i="3"/>
  <c r="R5713" i="3"/>
  <c r="R5714" i="3"/>
  <c r="R5715" i="3"/>
  <c r="R5716" i="3"/>
  <c r="R5717" i="3"/>
  <c r="R5718" i="3"/>
  <c r="R5719" i="3"/>
  <c r="R5720" i="3"/>
  <c r="R5721" i="3"/>
  <c r="R5722" i="3"/>
  <c r="R5723" i="3"/>
  <c r="R5724" i="3"/>
  <c r="R5725" i="3"/>
  <c r="R5726" i="3"/>
  <c r="R5727" i="3"/>
  <c r="R5728" i="3"/>
  <c r="R5729" i="3"/>
  <c r="R5730" i="3"/>
  <c r="R5731" i="3"/>
  <c r="R5732" i="3"/>
  <c r="R5733" i="3"/>
  <c r="R5734" i="3"/>
  <c r="R5735" i="3"/>
  <c r="R5736" i="3"/>
  <c r="R5737" i="3"/>
  <c r="R5738" i="3"/>
  <c r="R5739" i="3"/>
  <c r="R5740" i="3"/>
  <c r="R5741" i="3"/>
  <c r="R5742" i="3"/>
  <c r="R5743" i="3"/>
  <c r="R5744" i="3"/>
  <c r="R5745" i="3"/>
  <c r="R5746" i="3"/>
  <c r="R5747" i="3"/>
  <c r="R5748" i="3"/>
  <c r="R5749" i="3"/>
  <c r="R5750" i="3"/>
  <c r="R5751" i="3"/>
  <c r="R5752" i="3"/>
  <c r="R5753" i="3"/>
  <c r="R5754" i="3"/>
  <c r="R5755" i="3"/>
  <c r="R5756" i="3"/>
  <c r="R5757" i="3"/>
  <c r="R5758" i="3"/>
  <c r="R5759" i="3"/>
  <c r="R5760" i="3"/>
  <c r="R5761" i="3"/>
  <c r="R5762" i="3"/>
  <c r="R5763" i="3"/>
  <c r="R5764" i="3"/>
  <c r="R5765" i="3"/>
  <c r="R5766" i="3"/>
  <c r="R5767" i="3"/>
  <c r="R5768" i="3"/>
  <c r="R5769" i="3"/>
  <c r="R5770" i="3"/>
  <c r="R5771" i="3"/>
  <c r="R5772" i="3"/>
  <c r="R5773" i="3"/>
  <c r="R5774" i="3"/>
  <c r="R5775" i="3"/>
  <c r="R5776" i="3"/>
  <c r="R5777" i="3"/>
  <c r="R5778" i="3"/>
  <c r="R5779" i="3"/>
  <c r="R5780" i="3"/>
  <c r="R5781" i="3"/>
  <c r="R5782" i="3"/>
  <c r="R5783" i="3"/>
  <c r="R5784" i="3"/>
  <c r="R5785" i="3"/>
  <c r="R5786" i="3"/>
  <c r="R5787" i="3"/>
  <c r="R5788" i="3"/>
  <c r="R5789" i="3"/>
  <c r="R5790" i="3"/>
  <c r="R5791" i="3"/>
  <c r="R5792" i="3"/>
  <c r="R5793" i="3"/>
  <c r="R5794" i="3"/>
  <c r="R5795" i="3"/>
  <c r="R5796" i="3"/>
  <c r="R5797" i="3"/>
  <c r="R5798" i="3"/>
  <c r="R5799" i="3"/>
  <c r="R5800" i="3"/>
  <c r="R5801" i="3"/>
  <c r="R5802" i="3"/>
  <c r="R5803" i="3"/>
  <c r="R5804" i="3"/>
  <c r="R5805" i="3"/>
  <c r="R5806" i="3"/>
  <c r="R5807" i="3"/>
  <c r="R5808" i="3"/>
  <c r="R5809" i="3"/>
  <c r="R5810" i="3"/>
  <c r="R5811" i="3"/>
  <c r="R5812" i="3"/>
  <c r="R5813" i="3"/>
  <c r="R5814" i="3"/>
  <c r="R5815" i="3"/>
  <c r="R5816" i="3"/>
  <c r="R5817" i="3"/>
  <c r="R5818" i="3"/>
  <c r="R5819" i="3"/>
  <c r="R5820" i="3"/>
  <c r="R5821" i="3"/>
  <c r="R5822" i="3"/>
  <c r="R5823" i="3"/>
  <c r="R5824" i="3"/>
  <c r="R5825" i="3"/>
  <c r="R5826" i="3"/>
  <c r="R5827" i="3"/>
  <c r="R5828" i="3"/>
  <c r="R5829" i="3"/>
  <c r="R5830" i="3"/>
  <c r="R5831" i="3"/>
  <c r="R5832" i="3"/>
  <c r="R5833" i="3"/>
  <c r="R5834" i="3"/>
  <c r="R5835" i="3"/>
  <c r="R5836" i="3"/>
  <c r="R5837" i="3"/>
  <c r="R5838" i="3"/>
  <c r="R5839" i="3"/>
  <c r="R5840" i="3"/>
  <c r="R5841" i="3"/>
  <c r="R5842" i="3"/>
  <c r="R5843" i="3"/>
  <c r="R5844" i="3"/>
  <c r="R5845" i="3"/>
  <c r="R5846" i="3"/>
  <c r="R5847" i="3"/>
  <c r="R5848" i="3"/>
  <c r="R5849" i="3"/>
  <c r="R5850" i="3"/>
  <c r="R5851" i="3"/>
  <c r="R5852" i="3"/>
  <c r="R5853" i="3"/>
  <c r="R5854" i="3"/>
  <c r="R5855" i="3"/>
  <c r="R5856" i="3"/>
  <c r="R5857" i="3"/>
  <c r="R5858" i="3"/>
  <c r="R5859" i="3"/>
  <c r="R5860" i="3"/>
  <c r="R5861" i="3"/>
  <c r="R5862" i="3"/>
  <c r="R5863" i="3"/>
  <c r="R5864" i="3"/>
  <c r="R5865" i="3"/>
  <c r="R5866" i="3"/>
  <c r="R5867" i="3"/>
  <c r="R5868" i="3"/>
  <c r="R5869" i="3"/>
  <c r="R5870" i="3"/>
  <c r="R5871" i="3"/>
  <c r="R5872" i="3"/>
  <c r="R5873" i="3"/>
  <c r="R5874" i="3"/>
  <c r="R5875" i="3"/>
  <c r="R5876" i="3"/>
  <c r="R5877" i="3"/>
  <c r="R5878" i="3"/>
  <c r="R5879" i="3"/>
  <c r="R5880" i="3"/>
  <c r="R5881" i="3"/>
  <c r="R5882" i="3"/>
  <c r="R5883" i="3"/>
  <c r="R5884" i="3"/>
  <c r="R5885" i="3"/>
  <c r="R5886" i="3"/>
  <c r="R5887" i="3"/>
  <c r="R5888" i="3"/>
  <c r="R5889" i="3"/>
  <c r="R5890" i="3"/>
  <c r="R5891" i="3"/>
  <c r="R5892" i="3"/>
  <c r="R5893" i="3"/>
  <c r="R5894" i="3"/>
  <c r="R5895" i="3"/>
  <c r="R5896" i="3"/>
  <c r="R5897" i="3"/>
  <c r="R5898" i="3"/>
  <c r="R5899" i="3"/>
  <c r="R5900" i="3"/>
  <c r="R5901" i="3"/>
  <c r="R5902" i="3"/>
  <c r="R5903" i="3"/>
  <c r="R5904" i="3"/>
  <c r="R5905" i="3"/>
  <c r="R5906" i="3"/>
  <c r="R5907" i="3"/>
  <c r="R5908" i="3"/>
  <c r="R5909" i="3"/>
  <c r="R5910" i="3"/>
  <c r="R5911" i="3"/>
  <c r="R5912" i="3"/>
  <c r="R5913" i="3"/>
  <c r="R5914" i="3"/>
  <c r="R5915" i="3"/>
  <c r="R5916" i="3"/>
  <c r="R5917" i="3"/>
  <c r="R5918" i="3"/>
  <c r="R5919" i="3"/>
  <c r="R5920" i="3"/>
  <c r="R5921" i="3"/>
  <c r="R5922" i="3"/>
  <c r="R5923" i="3"/>
  <c r="R5924" i="3"/>
  <c r="R5925" i="3"/>
  <c r="R5926" i="3"/>
  <c r="R5927" i="3"/>
  <c r="R5928" i="3"/>
  <c r="R5929" i="3"/>
  <c r="R5930" i="3"/>
  <c r="R5931" i="3"/>
  <c r="R5932" i="3"/>
  <c r="R5933" i="3"/>
  <c r="R5934" i="3"/>
  <c r="R5935" i="3"/>
  <c r="R5936" i="3"/>
  <c r="R5937" i="3"/>
  <c r="R5938" i="3"/>
  <c r="R5939" i="3"/>
  <c r="R5940" i="3"/>
  <c r="R5941" i="3"/>
  <c r="R5942" i="3"/>
  <c r="R5943" i="3"/>
  <c r="R5944" i="3"/>
  <c r="R5945" i="3"/>
  <c r="R5946" i="3"/>
  <c r="R5947" i="3"/>
  <c r="R5948" i="3"/>
  <c r="R5949" i="3"/>
  <c r="R5950" i="3"/>
  <c r="R5951" i="3"/>
  <c r="R5952" i="3"/>
  <c r="R5953" i="3"/>
  <c r="R5954" i="3"/>
  <c r="R5955" i="3"/>
  <c r="R5956" i="3"/>
  <c r="R5957" i="3"/>
  <c r="R5958" i="3"/>
  <c r="R5959" i="3"/>
  <c r="R5960" i="3"/>
  <c r="R5961" i="3"/>
  <c r="R5962" i="3"/>
  <c r="R5963" i="3"/>
  <c r="R5964" i="3"/>
  <c r="R5965" i="3"/>
  <c r="R5966" i="3"/>
  <c r="R5967" i="3"/>
  <c r="R5968" i="3"/>
  <c r="R5969" i="3"/>
  <c r="R5970" i="3"/>
  <c r="R5971" i="3"/>
  <c r="R5972" i="3"/>
  <c r="R5973" i="3"/>
  <c r="R5974" i="3"/>
  <c r="R5975" i="3"/>
  <c r="R5976" i="3"/>
  <c r="R5977" i="3"/>
  <c r="R5978" i="3"/>
  <c r="R5979" i="3"/>
  <c r="R5980" i="3"/>
  <c r="R5981" i="3"/>
  <c r="R5982" i="3"/>
  <c r="R5983" i="3"/>
  <c r="R5984" i="3"/>
  <c r="R5985" i="3"/>
  <c r="R5986" i="3"/>
  <c r="R5987" i="3"/>
  <c r="R5988" i="3"/>
  <c r="R5989" i="3"/>
  <c r="R5990" i="3"/>
  <c r="R5991" i="3"/>
  <c r="R5992" i="3"/>
  <c r="R5993" i="3"/>
  <c r="R5994" i="3"/>
  <c r="R5995" i="3"/>
  <c r="R5996" i="3"/>
  <c r="R5997" i="3"/>
  <c r="R5998" i="3"/>
  <c r="R5999" i="3"/>
  <c r="R6000" i="3"/>
  <c r="R6001" i="3"/>
  <c r="R6002" i="3"/>
  <c r="R6003" i="3"/>
  <c r="R6004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2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1" i="3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2235" i="3"/>
  <c r="Q2236" i="3"/>
  <c r="Q2237" i="3"/>
  <c r="Q2238" i="3"/>
  <c r="Q2239" i="3"/>
  <c r="Q2240" i="3"/>
  <c r="Q2241" i="3"/>
  <c r="Q2242" i="3"/>
  <c r="Q2243" i="3"/>
  <c r="Q2244" i="3"/>
  <c r="Q2245" i="3"/>
  <c r="Q2246" i="3"/>
  <c r="Q2247" i="3"/>
  <c r="Q2248" i="3"/>
  <c r="Q2249" i="3"/>
  <c r="Q2250" i="3"/>
  <c r="Q2251" i="3"/>
  <c r="Q2252" i="3"/>
  <c r="Q2253" i="3"/>
  <c r="Q2254" i="3"/>
  <c r="Q2255" i="3"/>
  <c r="Q2256" i="3"/>
  <c r="Q2257" i="3"/>
  <c r="Q2258" i="3"/>
  <c r="Q2259" i="3"/>
  <c r="Q2260" i="3"/>
  <c r="Q2261" i="3"/>
  <c r="Q2262" i="3"/>
  <c r="Q2263" i="3"/>
  <c r="Q2264" i="3"/>
  <c r="Q2265" i="3"/>
  <c r="Q2266" i="3"/>
  <c r="Q2267" i="3"/>
  <c r="Q2268" i="3"/>
  <c r="Q2269" i="3"/>
  <c r="Q2270" i="3"/>
  <c r="Q2271" i="3"/>
  <c r="Q2272" i="3"/>
  <c r="Q2273" i="3"/>
  <c r="Q2274" i="3"/>
  <c r="Q2275" i="3"/>
  <c r="Q2276" i="3"/>
  <c r="Q2277" i="3"/>
  <c r="Q2278" i="3"/>
  <c r="Q2279" i="3"/>
  <c r="Q2280" i="3"/>
  <c r="Q2281" i="3"/>
  <c r="Q2282" i="3"/>
  <c r="Q2283" i="3"/>
  <c r="Q2284" i="3"/>
  <c r="Q2285" i="3"/>
  <c r="Q2286" i="3"/>
  <c r="Q2287" i="3"/>
  <c r="Q2288" i="3"/>
  <c r="Q2289" i="3"/>
  <c r="Q2290" i="3"/>
  <c r="Q2291" i="3"/>
  <c r="Q2292" i="3"/>
  <c r="Q2293" i="3"/>
  <c r="Q2294" i="3"/>
  <c r="Q2295" i="3"/>
  <c r="Q2296" i="3"/>
  <c r="Q2297" i="3"/>
  <c r="Q2298" i="3"/>
  <c r="Q2299" i="3"/>
  <c r="Q2300" i="3"/>
  <c r="Q2301" i="3"/>
  <c r="Q2302" i="3"/>
  <c r="Q2303" i="3"/>
  <c r="Q2304" i="3"/>
  <c r="Q2305" i="3"/>
  <c r="Q2306" i="3"/>
  <c r="Q2307" i="3"/>
  <c r="Q2308" i="3"/>
  <c r="Q2309" i="3"/>
  <c r="Q2310" i="3"/>
  <c r="Q2311" i="3"/>
  <c r="Q2312" i="3"/>
  <c r="Q2313" i="3"/>
  <c r="Q2314" i="3"/>
  <c r="Q2315" i="3"/>
  <c r="Q2316" i="3"/>
  <c r="Q2317" i="3"/>
  <c r="Q2318" i="3"/>
  <c r="Q2319" i="3"/>
  <c r="Q2320" i="3"/>
  <c r="Q2321" i="3"/>
  <c r="Q2322" i="3"/>
  <c r="Q2323" i="3"/>
  <c r="Q2324" i="3"/>
  <c r="Q2325" i="3"/>
  <c r="Q2326" i="3"/>
  <c r="Q2327" i="3"/>
  <c r="Q2328" i="3"/>
  <c r="Q2329" i="3"/>
  <c r="Q2330" i="3"/>
  <c r="Q2331" i="3"/>
  <c r="Q2332" i="3"/>
  <c r="Q2333" i="3"/>
  <c r="Q2334" i="3"/>
  <c r="Q2335" i="3"/>
  <c r="Q2336" i="3"/>
  <c r="Q2337" i="3"/>
  <c r="Q2338" i="3"/>
  <c r="Q2339" i="3"/>
  <c r="Q2340" i="3"/>
  <c r="Q2341" i="3"/>
  <c r="Q2342" i="3"/>
  <c r="Q2343" i="3"/>
  <c r="Q2344" i="3"/>
  <c r="Q2345" i="3"/>
  <c r="Q2346" i="3"/>
  <c r="Q2347" i="3"/>
  <c r="Q2348" i="3"/>
  <c r="Q2349" i="3"/>
  <c r="Q2350" i="3"/>
  <c r="Q2351" i="3"/>
  <c r="Q2352" i="3"/>
  <c r="Q2353" i="3"/>
  <c r="Q2354" i="3"/>
  <c r="Q2355" i="3"/>
  <c r="Q2356" i="3"/>
  <c r="Q2357" i="3"/>
  <c r="Q2358" i="3"/>
  <c r="Q2359" i="3"/>
  <c r="Q2360" i="3"/>
  <c r="Q2361" i="3"/>
  <c r="Q2362" i="3"/>
  <c r="Q2363" i="3"/>
  <c r="Q2364" i="3"/>
  <c r="Q2365" i="3"/>
  <c r="Q2366" i="3"/>
  <c r="Q2367" i="3"/>
  <c r="Q2368" i="3"/>
  <c r="Q2369" i="3"/>
  <c r="Q2370" i="3"/>
  <c r="Q2371" i="3"/>
  <c r="Q2372" i="3"/>
  <c r="Q2373" i="3"/>
  <c r="Q2374" i="3"/>
  <c r="Q2375" i="3"/>
  <c r="Q2376" i="3"/>
  <c r="Q2377" i="3"/>
  <c r="Q2378" i="3"/>
  <c r="Q2379" i="3"/>
  <c r="Q2380" i="3"/>
  <c r="Q2381" i="3"/>
  <c r="Q2382" i="3"/>
  <c r="Q2383" i="3"/>
  <c r="Q2384" i="3"/>
  <c r="Q2385" i="3"/>
  <c r="Q2386" i="3"/>
  <c r="Q2387" i="3"/>
  <c r="Q2388" i="3"/>
  <c r="Q2389" i="3"/>
  <c r="Q2390" i="3"/>
  <c r="Q2391" i="3"/>
  <c r="Q2392" i="3"/>
  <c r="Q2393" i="3"/>
  <c r="Q2394" i="3"/>
  <c r="Q2395" i="3"/>
  <c r="Q2396" i="3"/>
  <c r="Q2397" i="3"/>
  <c r="Q2398" i="3"/>
  <c r="Q2399" i="3"/>
  <c r="Q2400" i="3"/>
  <c r="Q2401" i="3"/>
  <c r="Q2402" i="3"/>
  <c r="Q2403" i="3"/>
  <c r="Q2404" i="3"/>
  <c r="Q2405" i="3"/>
  <c r="Q2406" i="3"/>
  <c r="Q2407" i="3"/>
  <c r="Q2408" i="3"/>
  <c r="Q2409" i="3"/>
  <c r="Q2410" i="3"/>
  <c r="Q2411" i="3"/>
  <c r="Q2412" i="3"/>
  <c r="Q2413" i="3"/>
  <c r="Q2414" i="3"/>
  <c r="Q2415" i="3"/>
  <c r="Q2416" i="3"/>
  <c r="Q2417" i="3"/>
  <c r="Q2418" i="3"/>
  <c r="Q2419" i="3"/>
  <c r="Q2420" i="3"/>
  <c r="Q2421" i="3"/>
  <c r="Q2422" i="3"/>
  <c r="Q2423" i="3"/>
  <c r="Q2424" i="3"/>
  <c r="Q2425" i="3"/>
  <c r="Q2426" i="3"/>
  <c r="Q2427" i="3"/>
  <c r="Q2428" i="3"/>
  <c r="Q2429" i="3"/>
  <c r="Q2430" i="3"/>
  <c r="Q2431" i="3"/>
  <c r="Q2432" i="3"/>
  <c r="Q2433" i="3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4" i="3"/>
  <c r="Q2455" i="3"/>
  <c r="Q2456" i="3"/>
  <c r="Q2457" i="3"/>
  <c r="Q2458" i="3"/>
  <c r="Q2459" i="3"/>
  <c r="Q2460" i="3"/>
  <c r="Q2461" i="3"/>
  <c r="Q2462" i="3"/>
  <c r="Q2463" i="3"/>
  <c r="Q2464" i="3"/>
  <c r="Q2465" i="3"/>
  <c r="Q2466" i="3"/>
  <c r="Q2467" i="3"/>
  <c r="Q2468" i="3"/>
  <c r="Q2469" i="3"/>
  <c r="Q2470" i="3"/>
  <c r="Q2471" i="3"/>
  <c r="Q2472" i="3"/>
  <c r="Q2473" i="3"/>
  <c r="Q2474" i="3"/>
  <c r="Q2475" i="3"/>
  <c r="Q2476" i="3"/>
  <c r="Q2477" i="3"/>
  <c r="Q2478" i="3"/>
  <c r="Q2479" i="3"/>
  <c r="Q2480" i="3"/>
  <c r="Q2481" i="3"/>
  <c r="Q2482" i="3"/>
  <c r="Q2483" i="3"/>
  <c r="Q2484" i="3"/>
  <c r="Q2485" i="3"/>
  <c r="Q2486" i="3"/>
  <c r="Q2487" i="3"/>
  <c r="Q2488" i="3"/>
  <c r="Q2489" i="3"/>
  <c r="Q2490" i="3"/>
  <c r="Q2491" i="3"/>
  <c r="Q2492" i="3"/>
  <c r="Q2493" i="3"/>
  <c r="Q2494" i="3"/>
  <c r="Q2495" i="3"/>
  <c r="Q2496" i="3"/>
  <c r="Q2497" i="3"/>
  <c r="Q2498" i="3"/>
  <c r="Q2499" i="3"/>
  <c r="Q2500" i="3"/>
  <c r="Q2501" i="3"/>
  <c r="Q2502" i="3"/>
  <c r="Q2503" i="3"/>
  <c r="Q2504" i="3"/>
  <c r="Q2505" i="3"/>
  <c r="Q2506" i="3"/>
  <c r="Q2507" i="3"/>
  <c r="Q2508" i="3"/>
  <c r="Q2509" i="3"/>
  <c r="Q2510" i="3"/>
  <c r="Q2511" i="3"/>
  <c r="Q2512" i="3"/>
  <c r="Q2513" i="3"/>
  <c r="Q2514" i="3"/>
  <c r="Q2515" i="3"/>
  <c r="Q2516" i="3"/>
  <c r="Q2517" i="3"/>
  <c r="Q2518" i="3"/>
  <c r="Q2519" i="3"/>
  <c r="Q2520" i="3"/>
  <c r="Q2521" i="3"/>
  <c r="Q2522" i="3"/>
  <c r="Q2523" i="3"/>
  <c r="Q2524" i="3"/>
  <c r="Q2525" i="3"/>
  <c r="Q2526" i="3"/>
  <c r="Q2527" i="3"/>
  <c r="Q2528" i="3"/>
  <c r="Q2529" i="3"/>
  <c r="Q2530" i="3"/>
  <c r="Q2531" i="3"/>
  <c r="Q2532" i="3"/>
  <c r="Q2533" i="3"/>
  <c r="Q2534" i="3"/>
  <c r="Q2535" i="3"/>
  <c r="Q2536" i="3"/>
  <c r="Q2537" i="3"/>
  <c r="Q2538" i="3"/>
  <c r="Q2539" i="3"/>
  <c r="Q2540" i="3"/>
  <c r="Q2541" i="3"/>
  <c r="Q2542" i="3"/>
  <c r="Q2543" i="3"/>
  <c r="Q2544" i="3"/>
  <c r="Q2545" i="3"/>
  <c r="Q2546" i="3"/>
  <c r="Q2547" i="3"/>
  <c r="Q2548" i="3"/>
  <c r="Q2549" i="3"/>
  <c r="Q2550" i="3"/>
  <c r="Q2551" i="3"/>
  <c r="Q2552" i="3"/>
  <c r="Q2553" i="3"/>
  <c r="Q2554" i="3"/>
  <c r="Q2555" i="3"/>
  <c r="Q2556" i="3"/>
  <c r="Q2557" i="3"/>
  <c r="Q2558" i="3"/>
  <c r="Q2559" i="3"/>
  <c r="Q2560" i="3"/>
  <c r="Q2561" i="3"/>
  <c r="Q2562" i="3"/>
  <c r="Q2563" i="3"/>
  <c r="Q2564" i="3"/>
  <c r="Q2565" i="3"/>
  <c r="Q2566" i="3"/>
  <c r="Q2567" i="3"/>
  <c r="Q2568" i="3"/>
  <c r="Q2569" i="3"/>
  <c r="Q2570" i="3"/>
  <c r="Q2571" i="3"/>
  <c r="Q2572" i="3"/>
  <c r="Q2573" i="3"/>
  <c r="Q2574" i="3"/>
  <c r="Q2575" i="3"/>
  <c r="Q2576" i="3"/>
  <c r="Q2577" i="3"/>
  <c r="Q2578" i="3"/>
  <c r="Q2579" i="3"/>
  <c r="Q2580" i="3"/>
  <c r="Q2581" i="3"/>
  <c r="Q2582" i="3"/>
  <c r="Q2583" i="3"/>
  <c r="Q2584" i="3"/>
  <c r="Q2585" i="3"/>
  <c r="Q2586" i="3"/>
  <c r="Q2587" i="3"/>
  <c r="Q2588" i="3"/>
  <c r="Q2589" i="3"/>
  <c r="Q2590" i="3"/>
  <c r="Q2591" i="3"/>
  <c r="Q2592" i="3"/>
  <c r="Q2593" i="3"/>
  <c r="Q2594" i="3"/>
  <c r="Q2595" i="3"/>
  <c r="Q2596" i="3"/>
  <c r="Q2597" i="3"/>
  <c r="Q2598" i="3"/>
  <c r="Q2599" i="3"/>
  <c r="Q2600" i="3"/>
  <c r="Q2601" i="3"/>
  <c r="Q2602" i="3"/>
  <c r="Q2603" i="3"/>
  <c r="Q2604" i="3"/>
  <c r="Q2605" i="3"/>
  <c r="Q2606" i="3"/>
  <c r="Q2607" i="3"/>
  <c r="Q2608" i="3"/>
  <c r="Q2609" i="3"/>
  <c r="Q2610" i="3"/>
  <c r="Q2611" i="3"/>
  <c r="Q2612" i="3"/>
  <c r="Q2613" i="3"/>
  <c r="Q2614" i="3"/>
  <c r="Q2615" i="3"/>
  <c r="Q2616" i="3"/>
  <c r="Q2617" i="3"/>
  <c r="Q2618" i="3"/>
  <c r="Q2619" i="3"/>
  <c r="Q2620" i="3"/>
  <c r="Q2621" i="3"/>
  <c r="Q2622" i="3"/>
  <c r="Q2623" i="3"/>
  <c r="Q2624" i="3"/>
  <c r="Q2625" i="3"/>
  <c r="Q2626" i="3"/>
  <c r="Q2627" i="3"/>
  <c r="Q2628" i="3"/>
  <c r="Q2629" i="3"/>
  <c r="Q2630" i="3"/>
  <c r="Q2631" i="3"/>
  <c r="Q2632" i="3"/>
  <c r="Q2633" i="3"/>
  <c r="Q2634" i="3"/>
  <c r="Q2635" i="3"/>
  <c r="Q2636" i="3"/>
  <c r="Q2637" i="3"/>
  <c r="Q2638" i="3"/>
  <c r="Q2639" i="3"/>
  <c r="Q2640" i="3"/>
  <c r="Q2641" i="3"/>
  <c r="Q2642" i="3"/>
  <c r="Q2643" i="3"/>
  <c r="Q2644" i="3"/>
  <c r="Q2645" i="3"/>
  <c r="Q2646" i="3"/>
  <c r="Q2647" i="3"/>
  <c r="Q2648" i="3"/>
  <c r="Q2649" i="3"/>
  <c r="Q2650" i="3"/>
  <c r="Q2651" i="3"/>
  <c r="Q2652" i="3"/>
  <c r="Q2653" i="3"/>
  <c r="Q2654" i="3"/>
  <c r="Q2655" i="3"/>
  <c r="Q2656" i="3"/>
  <c r="Q2657" i="3"/>
  <c r="Q2658" i="3"/>
  <c r="Q2659" i="3"/>
  <c r="Q2660" i="3"/>
  <c r="Q2661" i="3"/>
  <c r="Q2662" i="3"/>
  <c r="Q2663" i="3"/>
  <c r="Q2664" i="3"/>
  <c r="Q2665" i="3"/>
  <c r="Q2666" i="3"/>
  <c r="Q2667" i="3"/>
  <c r="Q2668" i="3"/>
  <c r="Q2669" i="3"/>
  <c r="Q2670" i="3"/>
  <c r="Q2671" i="3"/>
  <c r="Q2672" i="3"/>
  <c r="Q2673" i="3"/>
  <c r="Q2674" i="3"/>
  <c r="Q2675" i="3"/>
  <c r="Q2676" i="3"/>
  <c r="Q2677" i="3"/>
  <c r="Q2678" i="3"/>
  <c r="Q2679" i="3"/>
  <c r="Q2680" i="3"/>
  <c r="Q2681" i="3"/>
  <c r="Q2682" i="3"/>
  <c r="Q2683" i="3"/>
  <c r="Q2684" i="3"/>
  <c r="Q2685" i="3"/>
  <c r="Q2686" i="3"/>
  <c r="Q2687" i="3"/>
  <c r="Q2688" i="3"/>
  <c r="Q2689" i="3"/>
  <c r="Q2690" i="3"/>
  <c r="Q2691" i="3"/>
  <c r="Q2692" i="3"/>
  <c r="Q2693" i="3"/>
  <c r="Q2694" i="3"/>
  <c r="Q2695" i="3"/>
  <c r="Q2696" i="3"/>
  <c r="Q2697" i="3"/>
  <c r="Q2698" i="3"/>
  <c r="Q2699" i="3"/>
  <c r="Q2700" i="3"/>
  <c r="Q2701" i="3"/>
  <c r="Q2702" i="3"/>
  <c r="Q2703" i="3"/>
  <c r="Q2704" i="3"/>
  <c r="Q2705" i="3"/>
  <c r="Q2706" i="3"/>
  <c r="Q2707" i="3"/>
  <c r="Q2708" i="3"/>
  <c r="Q2709" i="3"/>
  <c r="Q2710" i="3"/>
  <c r="Q2711" i="3"/>
  <c r="Q2712" i="3"/>
  <c r="Q2713" i="3"/>
  <c r="Q2714" i="3"/>
  <c r="Q2715" i="3"/>
  <c r="Q2716" i="3"/>
  <c r="Q2717" i="3"/>
  <c r="Q2718" i="3"/>
  <c r="Q2719" i="3"/>
  <c r="Q2720" i="3"/>
  <c r="Q2721" i="3"/>
  <c r="Q2722" i="3"/>
  <c r="Q2723" i="3"/>
  <c r="Q2724" i="3"/>
  <c r="Q2725" i="3"/>
  <c r="Q2726" i="3"/>
  <c r="Q2727" i="3"/>
  <c r="Q2728" i="3"/>
  <c r="Q2729" i="3"/>
  <c r="Q2730" i="3"/>
  <c r="Q2731" i="3"/>
  <c r="Q2732" i="3"/>
  <c r="Q2733" i="3"/>
  <c r="Q2734" i="3"/>
  <c r="Q2735" i="3"/>
  <c r="Q2736" i="3"/>
  <c r="Q2737" i="3"/>
  <c r="Q2738" i="3"/>
  <c r="Q2739" i="3"/>
  <c r="Q2740" i="3"/>
  <c r="Q2741" i="3"/>
  <c r="Q2742" i="3"/>
  <c r="Q2743" i="3"/>
  <c r="Q2744" i="3"/>
  <c r="Q2745" i="3"/>
  <c r="Q2746" i="3"/>
  <c r="Q2747" i="3"/>
  <c r="Q2748" i="3"/>
  <c r="Q2749" i="3"/>
  <c r="Q2750" i="3"/>
  <c r="Q2751" i="3"/>
  <c r="Q2752" i="3"/>
  <c r="Q2753" i="3"/>
  <c r="Q2754" i="3"/>
  <c r="Q2755" i="3"/>
  <c r="Q2756" i="3"/>
  <c r="Q2757" i="3"/>
  <c r="Q2758" i="3"/>
  <c r="Q2759" i="3"/>
  <c r="Q2760" i="3"/>
  <c r="Q2761" i="3"/>
  <c r="Q2762" i="3"/>
  <c r="Q2763" i="3"/>
  <c r="Q2764" i="3"/>
  <c r="Q2765" i="3"/>
  <c r="Q2766" i="3"/>
  <c r="Q2767" i="3"/>
  <c r="Q2768" i="3"/>
  <c r="Q2769" i="3"/>
  <c r="Q2770" i="3"/>
  <c r="Q2771" i="3"/>
  <c r="Q2772" i="3"/>
  <c r="Q2773" i="3"/>
  <c r="Q2774" i="3"/>
  <c r="Q2775" i="3"/>
  <c r="Q2776" i="3"/>
  <c r="Q2777" i="3"/>
  <c r="Q2778" i="3"/>
  <c r="Q2779" i="3"/>
  <c r="Q2780" i="3"/>
  <c r="Q2781" i="3"/>
  <c r="Q2782" i="3"/>
  <c r="Q2783" i="3"/>
  <c r="Q2784" i="3"/>
  <c r="Q2785" i="3"/>
  <c r="Q2786" i="3"/>
  <c r="Q2787" i="3"/>
  <c r="Q2788" i="3"/>
  <c r="Q2789" i="3"/>
  <c r="Q2790" i="3"/>
  <c r="Q2791" i="3"/>
  <c r="Q2792" i="3"/>
  <c r="Q2793" i="3"/>
  <c r="Q2794" i="3"/>
  <c r="Q2795" i="3"/>
  <c r="Q2796" i="3"/>
  <c r="Q2797" i="3"/>
  <c r="Q2798" i="3"/>
  <c r="Q2799" i="3"/>
  <c r="Q2800" i="3"/>
  <c r="Q2801" i="3"/>
  <c r="Q2802" i="3"/>
  <c r="Q2803" i="3"/>
  <c r="Q2804" i="3"/>
  <c r="Q2805" i="3"/>
  <c r="Q2806" i="3"/>
  <c r="Q2807" i="3"/>
  <c r="Q2808" i="3"/>
  <c r="Q2809" i="3"/>
  <c r="Q2810" i="3"/>
  <c r="Q2811" i="3"/>
  <c r="Q2812" i="3"/>
  <c r="Q2813" i="3"/>
  <c r="Q2814" i="3"/>
  <c r="Q2815" i="3"/>
  <c r="Q2816" i="3"/>
  <c r="Q2817" i="3"/>
  <c r="Q2818" i="3"/>
  <c r="Q2819" i="3"/>
  <c r="Q2820" i="3"/>
  <c r="Q2821" i="3"/>
  <c r="Q2822" i="3"/>
  <c r="Q2823" i="3"/>
  <c r="Q2824" i="3"/>
  <c r="Q2825" i="3"/>
  <c r="Q2826" i="3"/>
  <c r="Q2827" i="3"/>
  <c r="Q2828" i="3"/>
  <c r="Q2829" i="3"/>
  <c r="Q2830" i="3"/>
  <c r="Q2831" i="3"/>
  <c r="Q2832" i="3"/>
  <c r="Q2833" i="3"/>
  <c r="Q2834" i="3"/>
  <c r="Q2835" i="3"/>
  <c r="Q2836" i="3"/>
  <c r="Q2837" i="3"/>
  <c r="Q2838" i="3"/>
  <c r="Q2839" i="3"/>
  <c r="Q2840" i="3"/>
  <c r="Q2841" i="3"/>
  <c r="Q2842" i="3"/>
  <c r="Q2843" i="3"/>
  <c r="Q2844" i="3"/>
  <c r="Q2845" i="3"/>
  <c r="Q2846" i="3"/>
  <c r="Q2847" i="3"/>
  <c r="Q2848" i="3"/>
  <c r="Q2849" i="3"/>
  <c r="Q2850" i="3"/>
  <c r="Q2851" i="3"/>
  <c r="Q2852" i="3"/>
  <c r="Q2853" i="3"/>
  <c r="Q2854" i="3"/>
  <c r="Q2855" i="3"/>
  <c r="Q2856" i="3"/>
  <c r="Q2857" i="3"/>
  <c r="Q2858" i="3"/>
  <c r="Q2859" i="3"/>
  <c r="Q2860" i="3"/>
  <c r="Q2861" i="3"/>
  <c r="Q2862" i="3"/>
  <c r="Q2863" i="3"/>
  <c r="Q2864" i="3"/>
  <c r="Q2865" i="3"/>
  <c r="Q2866" i="3"/>
  <c r="Q2867" i="3"/>
  <c r="Q2868" i="3"/>
  <c r="Q2869" i="3"/>
  <c r="Q2870" i="3"/>
  <c r="Q2871" i="3"/>
  <c r="Q2872" i="3"/>
  <c r="Q2873" i="3"/>
  <c r="Q2874" i="3"/>
  <c r="Q2875" i="3"/>
  <c r="Q2876" i="3"/>
  <c r="Q2877" i="3"/>
  <c r="Q2878" i="3"/>
  <c r="Q2879" i="3"/>
  <c r="Q2880" i="3"/>
  <c r="Q2881" i="3"/>
  <c r="Q2882" i="3"/>
  <c r="Q2883" i="3"/>
  <c r="Q2884" i="3"/>
  <c r="Q2885" i="3"/>
  <c r="Q2886" i="3"/>
  <c r="Q2887" i="3"/>
  <c r="Q2888" i="3"/>
  <c r="Q2889" i="3"/>
  <c r="Q2890" i="3"/>
  <c r="Q2891" i="3"/>
  <c r="Q2892" i="3"/>
  <c r="Q2893" i="3"/>
  <c r="Q2894" i="3"/>
  <c r="Q2895" i="3"/>
  <c r="Q2896" i="3"/>
  <c r="Q2897" i="3"/>
  <c r="Q2898" i="3"/>
  <c r="Q2899" i="3"/>
  <c r="Q2900" i="3"/>
  <c r="Q2901" i="3"/>
  <c r="Q2902" i="3"/>
  <c r="Q2903" i="3"/>
  <c r="Q2904" i="3"/>
  <c r="Q2905" i="3"/>
  <c r="Q2906" i="3"/>
  <c r="Q2907" i="3"/>
  <c r="Q2908" i="3"/>
  <c r="Q2909" i="3"/>
  <c r="Q2910" i="3"/>
  <c r="Q2911" i="3"/>
  <c r="Q2912" i="3"/>
  <c r="Q2913" i="3"/>
  <c r="Q2914" i="3"/>
  <c r="Q2915" i="3"/>
  <c r="Q2916" i="3"/>
  <c r="Q2917" i="3"/>
  <c r="Q2918" i="3"/>
  <c r="Q2919" i="3"/>
  <c r="Q2920" i="3"/>
  <c r="Q2921" i="3"/>
  <c r="Q2922" i="3"/>
  <c r="Q2923" i="3"/>
  <c r="Q2924" i="3"/>
  <c r="Q2925" i="3"/>
  <c r="Q2926" i="3"/>
  <c r="Q2927" i="3"/>
  <c r="Q2928" i="3"/>
  <c r="Q2929" i="3"/>
  <c r="Q2930" i="3"/>
  <c r="Q2931" i="3"/>
  <c r="Q2932" i="3"/>
  <c r="Q2933" i="3"/>
  <c r="Q2934" i="3"/>
  <c r="Q2935" i="3"/>
  <c r="Q2936" i="3"/>
  <c r="Q2937" i="3"/>
  <c r="Q2938" i="3"/>
  <c r="Q2939" i="3"/>
  <c r="Q2940" i="3"/>
  <c r="Q2941" i="3"/>
  <c r="Q2942" i="3"/>
  <c r="Q2943" i="3"/>
  <c r="Q2944" i="3"/>
  <c r="Q2945" i="3"/>
  <c r="Q2946" i="3"/>
  <c r="Q2947" i="3"/>
  <c r="Q2948" i="3"/>
  <c r="Q2949" i="3"/>
  <c r="Q2950" i="3"/>
  <c r="Q2951" i="3"/>
  <c r="Q2952" i="3"/>
  <c r="Q2953" i="3"/>
  <c r="Q2954" i="3"/>
  <c r="Q2955" i="3"/>
  <c r="Q2956" i="3"/>
  <c r="Q2957" i="3"/>
  <c r="Q2958" i="3"/>
  <c r="Q2959" i="3"/>
  <c r="Q2960" i="3"/>
  <c r="Q2961" i="3"/>
  <c r="Q2962" i="3"/>
  <c r="Q2963" i="3"/>
  <c r="Q2964" i="3"/>
  <c r="Q2965" i="3"/>
  <c r="Q2966" i="3"/>
  <c r="Q2967" i="3"/>
  <c r="Q2968" i="3"/>
  <c r="Q2969" i="3"/>
  <c r="Q2970" i="3"/>
  <c r="Q2971" i="3"/>
  <c r="Q2972" i="3"/>
  <c r="Q2973" i="3"/>
  <c r="Q2974" i="3"/>
  <c r="Q2975" i="3"/>
  <c r="Q2976" i="3"/>
  <c r="Q2977" i="3"/>
  <c r="Q2978" i="3"/>
  <c r="Q2979" i="3"/>
  <c r="Q2980" i="3"/>
  <c r="Q2981" i="3"/>
  <c r="Q2982" i="3"/>
  <c r="Q2983" i="3"/>
  <c r="Q2984" i="3"/>
  <c r="Q2985" i="3"/>
  <c r="Q2986" i="3"/>
  <c r="Q2987" i="3"/>
  <c r="Q2988" i="3"/>
  <c r="Q2989" i="3"/>
  <c r="Q2990" i="3"/>
  <c r="Q2991" i="3"/>
  <c r="Q2992" i="3"/>
  <c r="Q2993" i="3"/>
  <c r="Q2994" i="3"/>
  <c r="Q2995" i="3"/>
  <c r="Q2996" i="3"/>
  <c r="Q2997" i="3"/>
  <c r="Q2998" i="3"/>
  <c r="Q2999" i="3"/>
  <c r="Q3000" i="3"/>
  <c r="Q3001" i="3"/>
  <c r="Q3002" i="3"/>
  <c r="Q3003" i="3"/>
  <c r="Q3004" i="3"/>
  <c r="Q3005" i="3"/>
  <c r="Q3006" i="3"/>
  <c r="Q3007" i="3"/>
  <c r="Q3008" i="3"/>
  <c r="Q3009" i="3"/>
  <c r="Q3010" i="3"/>
  <c r="Q3011" i="3"/>
  <c r="Q3012" i="3"/>
  <c r="Q3013" i="3"/>
  <c r="Q3014" i="3"/>
  <c r="Q3015" i="3"/>
  <c r="Q3016" i="3"/>
  <c r="Q3017" i="3"/>
  <c r="Q3018" i="3"/>
  <c r="Q3019" i="3"/>
  <c r="Q3020" i="3"/>
  <c r="Q3021" i="3"/>
  <c r="Q3022" i="3"/>
  <c r="Q3023" i="3"/>
  <c r="Q3024" i="3"/>
  <c r="Q3025" i="3"/>
  <c r="Q3026" i="3"/>
  <c r="Q3027" i="3"/>
  <c r="Q3028" i="3"/>
  <c r="Q3029" i="3"/>
  <c r="Q3030" i="3"/>
  <c r="Q3031" i="3"/>
  <c r="Q3032" i="3"/>
  <c r="Q3033" i="3"/>
  <c r="Q3034" i="3"/>
  <c r="Q3035" i="3"/>
  <c r="Q3036" i="3"/>
  <c r="Q3037" i="3"/>
  <c r="Q3038" i="3"/>
  <c r="Q3039" i="3"/>
  <c r="Q3040" i="3"/>
  <c r="Q3041" i="3"/>
  <c r="Q3042" i="3"/>
  <c r="Q3043" i="3"/>
  <c r="Q3044" i="3"/>
  <c r="Q3045" i="3"/>
  <c r="Q3046" i="3"/>
  <c r="Q3047" i="3"/>
  <c r="Q3048" i="3"/>
  <c r="Q3049" i="3"/>
  <c r="Q3050" i="3"/>
  <c r="Q3051" i="3"/>
  <c r="Q3052" i="3"/>
  <c r="Q3053" i="3"/>
  <c r="Q3054" i="3"/>
  <c r="Q3055" i="3"/>
  <c r="Q3056" i="3"/>
  <c r="Q3057" i="3"/>
  <c r="Q3058" i="3"/>
  <c r="Q3059" i="3"/>
  <c r="Q3060" i="3"/>
  <c r="Q3061" i="3"/>
  <c r="Q3062" i="3"/>
  <c r="Q3063" i="3"/>
  <c r="Q3064" i="3"/>
  <c r="Q3065" i="3"/>
  <c r="Q3066" i="3"/>
  <c r="Q3067" i="3"/>
  <c r="Q3068" i="3"/>
  <c r="Q3069" i="3"/>
  <c r="Q3070" i="3"/>
  <c r="Q3071" i="3"/>
  <c r="Q3072" i="3"/>
  <c r="Q3073" i="3"/>
  <c r="Q3074" i="3"/>
  <c r="Q3075" i="3"/>
  <c r="Q3076" i="3"/>
  <c r="Q3077" i="3"/>
  <c r="Q3078" i="3"/>
  <c r="Q3079" i="3"/>
  <c r="Q3080" i="3"/>
  <c r="Q3081" i="3"/>
  <c r="Q3082" i="3"/>
  <c r="Q3083" i="3"/>
  <c r="Q3084" i="3"/>
  <c r="Q3085" i="3"/>
  <c r="Q3086" i="3"/>
  <c r="Q3087" i="3"/>
  <c r="Q3088" i="3"/>
  <c r="Q3089" i="3"/>
  <c r="Q3090" i="3"/>
  <c r="Q3091" i="3"/>
  <c r="Q3092" i="3"/>
  <c r="Q3093" i="3"/>
  <c r="Q3094" i="3"/>
  <c r="Q3095" i="3"/>
  <c r="Q3096" i="3"/>
  <c r="Q3097" i="3"/>
  <c r="Q3098" i="3"/>
  <c r="Q3099" i="3"/>
  <c r="Q3100" i="3"/>
  <c r="Q3101" i="3"/>
  <c r="Q3102" i="3"/>
  <c r="Q3103" i="3"/>
  <c r="Q3104" i="3"/>
  <c r="Q3105" i="3"/>
  <c r="Q3106" i="3"/>
  <c r="Q3107" i="3"/>
  <c r="Q3108" i="3"/>
  <c r="Q3109" i="3"/>
  <c r="Q3110" i="3"/>
  <c r="Q3111" i="3"/>
  <c r="Q3112" i="3"/>
  <c r="Q3113" i="3"/>
  <c r="Q3114" i="3"/>
  <c r="Q3115" i="3"/>
  <c r="Q3116" i="3"/>
  <c r="Q3117" i="3"/>
  <c r="Q3118" i="3"/>
  <c r="Q3119" i="3"/>
  <c r="Q3120" i="3"/>
  <c r="Q3121" i="3"/>
  <c r="Q3122" i="3"/>
  <c r="Q3123" i="3"/>
  <c r="Q3124" i="3"/>
  <c r="Q3125" i="3"/>
  <c r="Q3126" i="3"/>
  <c r="Q3127" i="3"/>
  <c r="Q3128" i="3"/>
  <c r="Q3129" i="3"/>
  <c r="Q3130" i="3"/>
  <c r="Q3131" i="3"/>
  <c r="Q3132" i="3"/>
  <c r="Q3133" i="3"/>
  <c r="Q3134" i="3"/>
  <c r="Q3135" i="3"/>
  <c r="Q3136" i="3"/>
  <c r="Q3137" i="3"/>
  <c r="Q3138" i="3"/>
  <c r="Q3139" i="3"/>
  <c r="Q3140" i="3"/>
  <c r="Q3141" i="3"/>
  <c r="Q3142" i="3"/>
  <c r="Q3143" i="3"/>
  <c r="Q3144" i="3"/>
  <c r="Q3145" i="3"/>
  <c r="Q3146" i="3"/>
  <c r="Q3147" i="3"/>
  <c r="Q3148" i="3"/>
  <c r="Q3149" i="3"/>
  <c r="Q3150" i="3"/>
  <c r="Q3151" i="3"/>
  <c r="Q3152" i="3"/>
  <c r="Q3153" i="3"/>
  <c r="Q3154" i="3"/>
  <c r="Q3155" i="3"/>
  <c r="Q3156" i="3"/>
  <c r="Q3157" i="3"/>
  <c r="Q3158" i="3"/>
  <c r="Q3159" i="3"/>
  <c r="Q3160" i="3"/>
  <c r="Q3161" i="3"/>
  <c r="Q3162" i="3"/>
  <c r="Q3163" i="3"/>
  <c r="Q3164" i="3"/>
  <c r="Q3165" i="3"/>
  <c r="Q3166" i="3"/>
  <c r="Q3167" i="3"/>
  <c r="Q3168" i="3"/>
  <c r="Q3169" i="3"/>
  <c r="Q3170" i="3"/>
  <c r="Q3171" i="3"/>
  <c r="Q3172" i="3"/>
  <c r="Q3173" i="3"/>
  <c r="Q3174" i="3"/>
  <c r="Q3175" i="3"/>
  <c r="Q3176" i="3"/>
  <c r="Q3177" i="3"/>
  <c r="Q3178" i="3"/>
  <c r="Q3179" i="3"/>
  <c r="Q3180" i="3"/>
  <c r="Q3181" i="3"/>
  <c r="Q3182" i="3"/>
  <c r="Q3183" i="3"/>
  <c r="Q3184" i="3"/>
  <c r="Q3185" i="3"/>
  <c r="Q3186" i="3"/>
  <c r="Q3187" i="3"/>
  <c r="Q3188" i="3"/>
  <c r="Q3189" i="3"/>
  <c r="Q3190" i="3"/>
  <c r="Q3191" i="3"/>
  <c r="Q3192" i="3"/>
  <c r="Q3193" i="3"/>
  <c r="Q3194" i="3"/>
  <c r="Q3195" i="3"/>
  <c r="Q3196" i="3"/>
  <c r="Q3197" i="3"/>
  <c r="Q3198" i="3"/>
  <c r="Q3199" i="3"/>
  <c r="Q3200" i="3"/>
  <c r="Q3201" i="3"/>
  <c r="Q3202" i="3"/>
  <c r="Q3203" i="3"/>
  <c r="Q3204" i="3"/>
  <c r="Q3205" i="3"/>
  <c r="Q3206" i="3"/>
  <c r="Q3207" i="3"/>
  <c r="Q3208" i="3"/>
  <c r="Q3209" i="3"/>
  <c r="Q3210" i="3"/>
  <c r="Q3211" i="3"/>
  <c r="Q3212" i="3"/>
  <c r="Q3213" i="3"/>
  <c r="Q3214" i="3"/>
  <c r="Q3215" i="3"/>
  <c r="Q3216" i="3"/>
  <c r="Q3217" i="3"/>
  <c r="Q3218" i="3"/>
  <c r="Q3219" i="3"/>
  <c r="Q3220" i="3"/>
  <c r="Q3221" i="3"/>
  <c r="Q3222" i="3"/>
  <c r="Q3223" i="3"/>
  <c r="Q3224" i="3"/>
  <c r="Q3225" i="3"/>
  <c r="Q3226" i="3"/>
  <c r="Q3227" i="3"/>
  <c r="Q3228" i="3"/>
  <c r="Q3229" i="3"/>
  <c r="Q3230" i="3"/>
  <c r="Q3231" i="3"/>
  <c r="Q3232" i="3"/>
  <c r="Q3233" i="3"/>
  <c r="Q3234" i="3"/>
  <c r="Q3235" i="3"/>
  <c r="Q3236" i="3"/>
  <c r="Q3237" i="3"/>
  <c r="Q3238" i="3"/>
  <c r="Q3239" i="3"/>
  <c r="Q3240" i="3"/>
  <c r="Q3241" i="3"/>
  <c r="Q3242" i="3"/>
  <c r="Q3243" i="3"/>
  <c r="Q3244" i="3"/>
  <c r="Q3245" i="3"/>
  <c r="Q3246" i="3"/>
  <c r="Q3247" i="3"/>
  <c r="Q3248" i="3"/>
  <c r="Q3249" i="3"/>
  <c r="Q3250" i="3"/>
  <c r="Q3251" i="3"/>
  <c r="Q3252" i="3"/>
  <c r="Q3253" i="3"/>
  <c r="Q3254" i="3"/>
  <c r="Q3255" i="3"/>
  <c r="Q3256" i="3"/>
  <c r="Q3257" i="3"/>
  <c r="Q3258" i="3"/>
  <c r="Q3259" i="3"/>
  <c r="Q3260" i="3"/>
  <c r="Q3261" i="3"/>
  <c r="Q3262" i="3"/>
  <c r="Q3263" i="3"/>
  <c r="Q3264" i="3"/>
  <c r="Q3265" i="3"/>
  <c r="Q3266" i="3"/>
  <c r="Q3267" i="3"/>
  <c r="Q3268" i="3"/>
  <c r="Q3269" i="3"/>
  <c r="Q3270" i="3"/>
  <c r="Q3271" i="3"/>
  <c r="Q3272" i="3"/>
  <c r="Q3273" i="3"/>
  <c r="Q3274" i="3"/>
  <c r="Q3275" i="3"/>
  <c r="Q3276" i="3"/>
  <c r="Q3277" i="3"/>
  <c r="Q3278" i="3"/>
  <c r="Q3279" i="3"/>
  <c r="Q3280" i="3"/>
  <c r="Q3281" i="3"/>
  <c r="Q3282" i="3"/>
  <c r="Q3283" i="3"/>
  <c r="Q3284" i="3"/>
  <c r="Q3285" i="3"/>
  <c r="Q3286" i="3"/>
  <c r="Q3287" i="3"/>
  <c r="Q3288" i="3"/>
  <c r="Q3289" i="3"/>
  <c r="Q3290" i="3"/>
  <c r="Q3291" i="3"/>
  <c r="Q3292" i="3"/>
  <c r="Q3293" i="3"/>
  <c r="Q3294" i="3"/>
  <c r="Q3295" i="3"/>
  <c r="Q3296" i="3"/>
  <c r="Q3297" i="3"/>
  <c r="Q3298" i="3"/>
  <c r="Q3299" i="3"/>
  <c r="Q3300" i="3"/>
  <c r="Q3301" i="3"/>
  <c r="Q3302" i="3"/>
  <c r="Q3303" i="3"/>
  <c r="Q3304" i="3"/>
  <c r="Q3305" i="3"/>
  <c r="Q3306" i="3"/>
  <c r="Q3307" i="3"/>
  <c r="Q3308" i="3"/>
  <c r="Q3309" i="3"/>
  <c r="Q3310" i="3"/>
  <c r="Q3311" i="3"/>
  <c r="Q3312" i="3"/>
  <c r="Q3313" i="3"/>
  <c r="Q3314" i="3"/>
  <c r="Q3315" i="3"/>
  <c r="Q3316" i="3"/>
  <c r="Q3317" i="3"/>
  <c r="Q3318" i="3"/>
  <c r="Q3319" i="3"/>
  <c r="Q3320" i="3"/>
  <c r="Q3321" i="3"/>
  <c r="Q3322" i="3"/>
  <c r="Q3323" i="3"/>
  <c r="Q3324" i="3"/>
  <c r="Q3325" i="3"/>
  <c r="Q3326" i="3"/>
  <c r="Q3327" i="3"/>
  <c r="Q3328" i="3"/>
  <c r="Q3329" i="3"/>
  <c r="Q3330" i="3"/>
  <c r="Q3331" i="3"/>
  <c r="Q3332" i="3"/>
  <c r="Q3333" i="3"/>
  <c r="Q3334" i="3"/>
  <c r="Q3335" i="3"/>
  <c r="Q3336" i="3"/>
  <c r="Q3337" i="3"/>
  <c r="Q3338" i="3"/>
  <c r="Q3339" i="3"/>
  <c r="Q3340" i="3"/>
  <c r="Q3341" i="3"/>
  <c r="Q3342" i="3"/>
  <c r="Q3343" i="3"/>
  <c r="Q3344" i="3"/>
  <c r="Q3345" i="3"/>
  <c r="Q3346" i="3"/>
  <c r="Q3347" i="3"/>
  <c r="Q3348" i="3"/>
  <c r="Q3349" i="3"/>
  <c r="Q3350" i="3"/>
  <c r="Q3351" i="3"/>
  <c r="Q3352" i="3"/>
  <c r="Q3353" i="3"/>
  <c r="Q3354" i="3"/>
  <c r="Q3355" i="3"/>
  <c r="Q3356" i="3"/>
  <c r="Q3357" i="3"/>
  <c r="Q3358" i="3"/>
  <c r="Q3359" i="3"/>
  <c r="Q3360" i="3"/>
  <c r="Q3361" i="3"/>
  <c r="Q3362" i="3"/>
  <c r="Q3363" i="3"/>
  <c r="Q3364" i="3"/>
  <c r="Q3365" i="3"/>
  <c r="Q3366" i="3"/>
  <c r="Q3367" i="3"/>
  <c r="Q3368" i="3"/>
  <c r="Q3369" i="3"/>
  <c r="Q3370" i="3"/>
  <c r="Q3371" i="3"/>
  <c r="Q3372" i="3"/>
  <c r="Q3373" i="3"/>
  <c r="Q3374" i="3"/>
  <c r="Q3375" i="3"/>
  <c r="Q3376" i="3"/>
  <c r="Q3377" i="3"/>
  <c r="Q3378" i="3"/>
  <c r="Q3379" i="3"/>
  <c r="Q3380" i="3"/>
  <c r="Q3381" i="3"/>
  <c r="Q3382" i="3"/>
  <c r="Q3383" i="3"/>
  <c r="Q3384" i="3"/>
  <c r="Q3385" i="3"/>
  <c r="Q3386" i="3"/>
  <c r="Q3387" i="3"/>
  <c r="Q3388" i="3"/>
  <c r="Q3389" i="3"/>
  <c r="Q3390" i="3"/>
  <c r="Q3391" i="3"/>
  <c r="Q3392" i="3"/>
  <c r="Q3393" i="3"/>
  <c r="Q3394" i="3"/>
  <c r="Q3395" i="3"/>
  <c r="Q3396" i="3"/>
  <c r="Q3397" i="3"/>
  <c r="Q3398" i="3"/>
  <c r="Q3399" i="3"/>
  <c r="Q3400" i="3"/>
  <c r="Q3401" i="3"/>
  <c r="Q3402" i="3"/>
  <c r="Q3403" i="3"/>
  <c r="Q3404" i="3"/>
  <c r="Q3405" i="3"/>
  <c r="Q3406" i="3"/>
  <c r="Q3407" i="3"/>
  <c r="Q3408" i="3"/>
  <c r="Q3409" i="3"/>
  <c r="Q3410" i="3"/>
  <c r="Q3411" i="3"/>
  <c r="Q3412" i="3"/>
  <c r="Q3413" i="3"/>
  <c r="Q3414" i="3"/>
  <c r="Q3415" i="3"/>
  <c r="Q3416" i="3"/>
  <c r="Q3417" i="3"/>
  <c r="Q3418" i="3"/>
  <c r="Q3419" i="3"/>
  <c r="Q3420" i="3"/>
  <c r="Q3421" i="3"/>
  <c r="Q3422" i="3"/>
  <c r="Q3423" i="3"/>
  <c r="Q3424" i="3"/>
  <c r="Q3425" i="3"/>
  <c r="Q3426" i="3"/>
  <c r="Q3427" i="3"/>
  <c r="Q3428" i="3"/>
  <c r="Q3429" i="3"/>
  <c r="Q3430" i="3"/>
  <c r="Q3431" i="3"/>
  <c r="Q3432" i="3"/>
  <c r="Q3433" i="3"/>
  <c r="Q3434" i="3"/>
  <c r="Q3435" i="3"/>
  <c r="Q3436" i="3"/>
  <c r="Q3437" i="3"/>
  <c r="Q3438" i="3"/>
  <c r="Q3439" i="3"/>
  <c r="Q3440" i="3"/>
  <c r="Q3441" i="3"/>
  <c r="Q3442" i="3"/>
  <c r="Q3443" i="3"/>
  <c r="Q3444" i="3"/>
  <c r="Q3445" i="3"/>
  <c r="Q3446" i="3"/>
  <c r="Q3447" i="3"/>
  <c r="Q3448" i="3"/>
  <c r="Q3449" i="3"/>
  <c r="Q3450" i="3"/>
  <c r="Q3451" i="3"/>
  <c r="Q3452" i="3"/>
  <c r="Q3453" i="3"/>
  <c r="Q3454" i="3"/>
  <c r="Q3455" i="3"/>
  <c r="Q3456" i="3"/>
  <c r="Q3457" i="3"/>
  <c r="Q3458" i="3"/>
  <c r="Q3459" i="3"/>
  <c r="Q3460" i="3"/>
  <c r="Q3461" i="3"/>
  <c r="Q3462" i="3"/>
  <c r="Q3463" i="3"/>
  <c r="Q3464" i="3"/>
  <c r="Q3465" i="3"/>
  <c r="Q3466" i="3"/>
  <c r="Q3467" i="3"/>
  <c r="Q3468" i="3"/>
  <c r="Q3469" i="3"/>
  <c r="Q3470" i="3"/>
  <c r="Q3471" i="3"/>
  <c r="Q3472" i="3"/>
  <c r="Q3473" i="3"/>
  <c r="Q3474" i="3"/>
  <c r="Q3475" i="3"/>
  <c r="Q3476" i="3"/>
  <c r="Q3477" i="3"/>
  <c r="Q3478" i="3"/>
  <c r="Q3479" i="3"/>
  <c r="Q3480" i="3"/>
  <c r="Q3481" i="3"/>
  <c r="Q3482" i="3"/>
  <c r="Q3483" i="3"/>
  <c r="Q3484" i="3"/>
  <c r="Q3485" i="3"/>
  <c r="Q3486" i="3"/>
  <c r="Q3487" i="3"/>
  <c r="Q3488" i="3"/>
  <c r="Q3489" i="3"/>
  <c r="Q3490" i="3"/>
  <c r="Q3491" i="3"/>
  <c r="Q3492" i="3"/>
  <c r="Q3493" i="3"/>
  <c r="Q3494" i="3"/>
  <c r="Q3495" i="3"/>
  <c r="Q3496" i="3"/>
  <c r="Q3497" i="3"/>
  <c r="Q3498" i="3"/>
  <c r="Q3499" i="3"/>
  <c r="Q3500" i="3"/>
  <c r="Q3501" i="3"/>
  <c r="Q3502" i="3"/>
  <c r="Q3503" i="3"/>
  <c r="Q3504" i="3"/>
  <c r="Q3505" i="3"/>
  <c r="Q3506" i="3"/>
  <c r="Q3507" i="3"/>
  <c r="Q3508" i="3"/>
  <c r="Q3509" i="3"/>
  <c r="Q3510" i="3"/>
  <c r="Q3511" i="3"/>
  <c r="Q3512" i="3"/>
  <c r="Q3513" i="3"/>
  <c r="Q3514" i="3"/>
  <c r="Q3515" i="3"/>
  <c r="Q3516" i="3"/>
  <c r="Q3517" i="3"/>
  <c r="Q3518" i="3"/>
  <c r="Q3519" i="3"/>
  <c r="Q3520" i="3"/>
  <c r="Q3521" i="3"/>
  <c r="Q3522" i="3"/>
  <c r="Q3523" i="3"/>
  <c r="Q3524" i="3"/>
  <c r="Q3525" i="3"/>
  <c r="Q3526" i="3"/>
  <c r="Q3527" i="3"/>
  <c r="Q3528" i="3"/>
  <c r="Q3529" i="3"/>
  <c r="Q3530" i="3"/>
  <c r="Q3531" i="3"/>
  <c r="Q3532" i="3"/>
  <c r="Q3533" i="3"/>
  <c r="Q3534" i="3"/>
  <c r="Q3535" i="3"/>
  <c r="Q3536" i="3"/>
  <c r="Q3537" i="3"/>
  <c r="Q3538" i="3"/>
  <c r="Q3539" i="3"/>
  <c r="Q3540" i="3"/>
  <c r="Q3541" i="3"/>
  <c r="Q3542" i="3"/>
  <c r="Q3543" i="3"/>
  <c r="Q3544" i="3"/>
  <c r="Q3545" i="3"/>
  <c r="Q3546" i="3"/>
  <c r="Q3547" i="3"/>
  <c r="Q3548" i="3"/>
  <c r="Q3549" i="3"/>
  <c r="Q3550" i="3"/>
  <c r="Q3551" i="3"/>
  <c r="Q3552" i="3"/>
  <c r="Q3553" i="3"/>
  <c r="Q3554" i="3"/>
  <c r="Q3555" i="3"/>
  <c r="Q3556" i="3"/>
  <c r="Q3557" i="3"/>
  <c r="Q3558" i="3"/>
  <c r="Q3559" i="3"/>
  <c r="Q3560" i="3"/>
  <c r="Q3561" i="3"/>
  <c r="Q3562" i="3"/>
  <c r="Q3563" i="3"/>
  <c r="Q3564" i="3"/>
  <c r="Q3565" i="3"/>
  <c r="Q3566" i="3"/>
  <c r="Q3567" i="3"/>
  <c r="Q3568" i="3"/>
  <c r="Q3569" i="3"/>
  <c r="Q3570" i="3"/>
  <c r="Q3571" i="3"/>
  <c r="Q3572" i="3"/>
  <c r="Q3573" i="3"/>
  <c r="Q3574" i="3"/>
  <c r="Q3575" i="3"/>
  <c r="Q3576" i="3"/>
  <c r="Q3577" i="3"/>
  <c r="Q3578" i="3"/>
  <c r="Q3579" i="3"/>
  <c r="Q3580" i="3"/>
  <c r="Q3581" i="3"/>
  <c r="Q3582" i="3"/>
  <c r="Q3583" i="3"/>
  <c r="Q3584" i="3"/>
  <c r="Q3585" i="3"/>
  <c r="Q3586" i="3"/>
  <c r="Q3587" i="3"/>
  <c r="Q3588" i="3"/>
  <c r="Q3589" i="3"/>
  <c r="Q3590" i="3"/>
  <c r="Q3591" i="3"/>
  <c r="Q3592" i="3"/>
  <c r="Q3593" i="3"/>
  <c r="Q3594" i="3"/>
  <c r="Q3595" i="3"/>
  <c r="Q3596" i="3"/>
  <c r="Q3597" i="3"/>
  <c r="Q3598" i="3"/>
  <c r="Q3599" i="3"/>
  <c r="Q3600" i="3"/>
  <c r="Q3601" i="3"/>
  <c r="Q3602" i="3"/>
  <c r="Q3603" i="3"/>
  <c r="Q3604" i="3"/>
  <c r="Q3605" i="3"/>
  <c r="Q3606" i="3"/>
  <c r="Q3607" i="3"/>
  <c r="Q3608" i="3"/>
  <c r="Q3609" i="3"/>
  <c r="Q3610" i="3"/>
  <c r="Q3611" i="3"/>
  <c r="Q3612" i="3"/>
  <c r="Q3613" i="3"/>
  <c r="Q3614" i="3"/>
  <c r="Q3615" i="3"/>
  <c r="Q3616" i="3"/>
  <c r="Q3617" i="3"/>
  <c r="Q3618" i="3"/>
  <c r="Q3619" i="3"/>
  <c r="Q3620" i="3"/>
  <c r="Q3621" i="3"/>
  <c r="Q3622" i="3"/>
  <c r="Q3623" i="3"/>
  <c r="Q3624" i="3"/>
  <c r="Q3625" i="3"/>
  <c r="Q3626" i="3"/>
  <c r="Q3627" i="3"/>
  <c r="Q3628" i="3"/>
  <c r="Q3629" i="3"/>
  <c r="Q3630" i="3"/>
  <c r="Q3631" i="3"/>
  <c r="Q3632" i="3"/>
  <c r="Q3633" i="3"/>
  <c r="Q3634" i="3"/>
  <c r="Q3635" i="3"/>
  <c r="Q3636" i="3"/>
  <c r="Q3637" i="3"/>
  <c r="Q3638" i="3"/>
  <c r="Q3639" i="3"/>
  <c r="Q3640" i="3"/>
  <c r="Q3641" i="3"/>
  <c r="Q3642" i="3"/>
  <c r="Q3643" i="3"/>
  <c r="Q3644" i="3"/>
  <c r="Q3645" i="3"/>
  <c r="Q3646" i="3"/>
  <c r="Q3647" i="3"/>
  <c r="Q3648" i="3"/>
  <c r="Q3649" i="3"/>
  <c r="Q3650" i="3"/>
  <c r="Q3651" i="3"/>
  <c r="Q3652" i="3"/>
  <c r="Q3653" i="3"/>
  <c r="Q3654" i="3"/>
  <c r="Q3655" i="3"/>
  <c r="Q3656" i="3"/>
  <c r="Q3657" i="3"/>
  <c r="Q3658" i="3"/>
  <c r="Q3659" i="3"/>
  <c r="Q3660" i="3"/>
  <c r="Q3661" i="3"/>
  <c r="Q3662" i="3"/>
  <c r="Q3663" i="3"/>
  <c r="Q3664" i="3"/>
  <c r="Q3665" i="3"/>
  <c r="Q3666" i="3"/>
  <c r="Q3667" i="3"/>
  <c r="Q3668" i="3"/>
  <c r="Q3669" i="3"/>
  <c r="Q3670" i="3"/>
  <c r="Q3671" i="3"/>
  <c r="Q3672" i="3"/>
  <c r="Q3673" i="3"/>
  <c r="Q3674" i="3"/>
  <c r="Q3675" i="3"/>
  <c r="Q3676" i="3"/>
  <c r="Q3677" i="3"/>
  <c r="Q3678" i="3"/>
  <c r="Q3679" i="3"/>
  <c r="Q3680" i="3"/>
  <c r="Q3681" i="3"/>
  <c r="Q3682" i="3"/>
  <c r="Q3683" i="3"/>
  <c r="Q3684" i="3"/>
  <c r="Q3685" i="3"/>
  <c r="Q3686" i="3"/>
  <c r="Q3687" i="3"/>
  <c r="Q3688" i="3"/>
  <c r="Q3689" i="3"/>
  <c r="Q3690" i="3"/>
  <c r="Q3691" i="3"/>
  <c r="Q3692" i="3"/>
  <c r="Q3693" i="3"/>
  <c r="Q3694" i="3"/>
  <c r="Q3695" i="3"/>
  <c r="Q3696" i="3"/>
  <c r="Q3697" i="3"/>
  <c r="Q3698" i="3"/>
  <c r="Q3699" i="3"/>
  <c r="Q3700" i="3"/>
  <c r="Q3701" i="3"/>
  <c r="Q3702" i="3"/>
  <c r="Q3703" i="3"/>
  <c r="Q3704" i="3"/>
  <c r="Q3705" i="3"/>
  <c r="Q3706" i="3"/>
  <c r="Q3707" i="3"/>
  <c r="Q3708" i="3"/>
  <c r="Q3709" i="3"/>
  <c r="Q3710" i="3"/>
  <c r="Q3711" i="3"/>
  <c r="Q3712" i="3"/>
  <c r="Q3713" i="3"/>
  <c r="Q3714" i="3"/>
  <c r="Q3715" i="3"/>
  <c r="Q3716" i="3"/>
  <c r="Q3717" i="3"/>
  <c r="Q3718" i="3"/>
  <c r="Q3719" i="3"/>
  <c r="Q3720" i="3"/>
  <c r="Q3721" i="3"/>
  <c r="Q3722" i="3"/>
  <c r="Q3723" i="3"/>
  <c r="Q3724" i="3"/>
  <c r="Q3725" i="3"/>
  <c r="Q3726" i="3"/>
  <c r="Q3727" i="3"/>
  <c r="Q3728" i="3"/>
  <c r="Q3729" i="3"/>
  <c r="Q3730" i="3"/>
  <c r="Q3731" i="3"/>
  <c r="Q3732" i="3"/>
  <c r="Q3733" i="3"/>
  <c r="Q3734" i="3"/>
  <c r="Q3735" i="3"/>
  <c r="Q3736" i="3"/>
  <c r="Q3737" i="3"/>
  <c r="Q3738" i="3"/>
  <c r="Q3739" i="3"/>
  <c r="Q3740" i="3"/>
  <c r="Q3741" i="3"/>
  <c r="Q3742" i="3"/>
  <c r="Q3743" i="3"/>
  <c r="Q3744" i="3"/>
  <c r="Q3745" i="3"/>
  <c r="Q3746" i="3"/>
  <c r="Q3747" i="3"/>
  <c r="Q3748" i="3"/>
  <c r="Q3749" i="3"/>
  <c r="Q3750" i="3"/>
  <c r="Q3751" i="3"/>
  <c r="Q3752" i="3"/>
  <c r="Q3753" i="3"/>
  <c r="Q3754" i="3"/>
  <c r="Q3755" i="3"/>
  <c r="Q3756" i="3"/>
  <c r="Q3757" i="3"/>
  <c r="Q3758" i="3"/>
  <c r="Q3759" i="3"/>
  <c r="Q3760" i="3"/>
  <c r="Q3761" i="3"/>
  <c r="Q3762" i="3"/>
  <c r="Q3763" i="3"/>
  <c r="Q3764" i="3"/>
  <c r="Q3765" i="3"/>
  <c r="Q3766" i="3"/>
  <c r="Q3767" i="3"/>
  <c r="Q3768" i="3"/>
  <c r="Q3769" i="3"/>
  <c r="Q3770" i="3"/>
  <c r="Q3771" i="3"/>
  <c r="Q3772" i="3"/>
  <c r="Q3773" i="3"/>
  <c r="Q3774" i="3"/>
  <c r="Q3775" i="3"/>
  <c r="Q3776" i="3"/>
  <c r="Q3777" i="3"/>
  <c r="Q3778" i="3"/>
  <c r="Q3779" i="3"/>
  <c r="Q3780" i="3"/>
  <c r="Q3781" i="3"/>
  <c r="Q3782" i="3"/>
  <c r="Q3783" i="3"/>
  <c r="Q3784" i="3"/>
  <c r="Q3785" i="3"/>
  <c r="Q3786" i="3"/>
  <c r="Q3787" i="3"/>
  <c r="Q3788" i="3"/>
  <c r="Q3789" i="3"/>
  <c r="Q3790" i="3"/>
  <c r="Q3791" i="3"/>
  <c r="Q3792" i="3"/>
  <c r="Q3793" i="3"/>
  <c r="Q3794" i="3"/>
  <c r="Q3795" i="3"/>
  <c r="Q3796" i="3"/>
  <c r="Q3797" i="3"/>
  <c r="Q3798" i="3"/>
  <c r="Q3799" i="3"/>
  <c r="Q3800" i="3"/>
  <c r="Q3801" i="3"/>
  <c r="Q3802" i="3"/>
  <c r="Q3803" i="3"/>
  <c r="Q3804" i="3"/>
  <c r="Q3805" i="3"/>
  <c r="Q3806" i="3"/>
  <c r="Q3807" i="3"/>
  <c r="Q3808" i="3"/>
  <c r="Q3809" i="3"/>
  <c r="Q3810" i="3"/>
  <c r="Q3811" i="3"/>
  <c r="Q3812" i="3"/>
  <c r="Q3813" i="3"/>
  <c r="Q3814" i="3"/>
  <c r="Q3815" i="3"/>
  <c r="Q3816" i="3"/>
  <c r="Q3817" i="3"/>
  <c r="Q3818" i="3"/>
  <c r="Q3819" i="3"/>
  <c r="Q3820" i="3"/>
  <c r="Q3821" i="3"/>
  <c r="Q3822" i="3"/>
  <c r="Q3823" i="3"/>
  <c r="Q3824" i="3"/>
  <c r="Q3825" i="3"/>
  <c r="Q3826" i="3"/>
  <c r="Q3827" i="3"/>
  <c r="Q3828" i="3"/>
  <c r="Q3829" i="3"/>
  <c r="Q3830" i="3"/>
  <c r="Q3831" i="3"/>
  <c r="Q3832" i="3"/>
  <c r="Q3833" i="3"/>
  <c r="Q3834" i="3"/>
  <c r="Q3835" i="3"/>
  <c r="Q3836" i="3"/>
  <c r="Q3837" i="3"/>
  <c r="Q3838" i="3"/>
  <c r="Q3839" i="3"/>
  <c r="Q3840" i="3"/>
  <c r="Q3841" i="3"/>
  <c r="Q3842" i="3"/>
  <c r="Q3843" i="3"/>
  <c r="Q3844" i="3"/>
  <c r="Q3845" i="3"/>
  <c r="Q3846" i="3"/>
  <c r="Q3847" i="3"/>
  <c r="Q3848" i="3"/>
  <c r="Q3849" i="3"/>
  <c r="Q3850" i="3"/>
  <c r="Q3851" i="3"/>
  <c r="Q3852" i="3"/>
  <c r="Q3853" i="3"/>
  <c r="Q3854" i="3"/>
  <c r="Q3855" i="3"/>
  <c r="Q3856" i="3"/>
  <c r="Q3857" i="3"/>
  <c r="Q3858" i="3"/>
  <c r="Q3859" i="3"/>
  <c r="Q3860" i="3"/>
  <c r="Q3861" i="3"/>
  <c r="Q3862" i="3"/>
  <c r="Q3863" i="3"/>
  <c r="Q3864" i="3"/>
  <c r="Q3865" i="3"/>
  <c r="Q3866" i="3"/>
  <c r="Q3867" i="3"/>
  <c r="Q3868" i="3"/>
  <c r="Q3869" i="3"/>
  <c r="Q3870" i="3"/>
  <c r="Q3871" i="3"/>
  <c r="Q3872" i="3"/>
  <c r="Q3873" i="3"/>
  <c r="Q3874" i="3"/>
  <c r="Q3875" i="3"/>
  <c r="Q3876" i="3"/>
  <c r="Q3877" i="3"/>
  <c r="Q3878" i="3"/>
  <c r="Q3879" i="3"/>
  <c r="Q3880" i="3"/>
  <c r="Q3881" i="3"/>
  <c r="Q3882" i="3"/>
  <c r="Q3883" i="3"/>
  <c r="Q3884" i="3"/>
  <c r="Q3885" i="3"/>
  <c r="Q3886" i="3"/>
  <c r="Q3887" i="3"/>
  <c r="Q3888" i="3"/>
  <c r="Q3889" i="3"/>
  <c r="Q3890" i="3"/>
  <c r="Q3891" i="3"/>
  <c r="Q3892" i="3"/>
  <c r="Q3893" i="3"/>
  <c r="Q3894" i="3"/>
  <c r="Q3895" i="3"/>
  <c r="Q3896" i="3"/>
  <c r="Q3897" i="3"/>
  <c r="Q3898" i="3"/>
  <c r="Q3899" i="3"/>
  <c r="Q3900" i="3"/>
  <c r="Q3901" i="3"/>
  <c r="Q3902" i="3"/>
  <c r="Q3903" i="3"/>
  <c r="Q3904" i="3"/>
  <c r="Q3905" i="3"/>
  <c r="Q3906" i="3"/>
  <c r="Q3907" i="3"/>
  <c r="Q3908" i="3"/>
  <c r="Q3909" i="3"/>
  <c r="Q3910" i="3"/>
  <c r="Q3911" i="3"/>
  <c r="Q3912" i="3"/>
  <c r="Q3913" i="3"/>
  <c r="Q3914" i="3"/>
  <c r="Q3915" i="3"/>
  <c r="Q3916" i="3"/>
  <c r="Q3917" i="3"/>
  <c r="Q3918" i="3"/>
  <c r="Q3919" i="3"/>
  <c r="Q3920" i="3"/>
  <c r="Q3921" i="3"/>
  <c r="Q3922" i="3"/>
  <c r="Q3923" i="3"/>
  <c r="Q3924" i="3"/>
  <c r="Q3925" i="3"/>
  <c r="Q3926" i="3"/>
  <c r="Q3927" i="3"/>
  <c r="Q3928" i="3"/>
  <c r="Q3929" i="3"/>
  <c r="Q3930" i="3"/>
  <c r="Q3931" i="3"/>
  <c r="Q3932" i="3"/>
  <c r="Q3933" i="3"/>
  <c r="Q3934" i="3"/>
  <c r="Q3935" i="3"/>
  <c r="Q3936" i="3"/>
  <c r="Q3937" i="3"/>
  <c r="Q3938" i="3"/>
  <c r="Q3939" i="3"/>
  <c r="Q3940" i="3"/>
  <c r="Q3941" i="3"/>
  <c r="Q3942" i="3"/>
  <c r="Q3943" i="3"/>
  <c r="Q3944" i="3"/>
  <c r="Q3945" i="3"/>
  <c r="Q3946" i="3"/>
  <c r="Q3947" i="3"/>
  <c r="Q3948" i="3"/>
  <c r="Q3949" i="3"/>
  <c r="Q3950" i="3"/>
  <c r="Q3951" i="3"/>
  <c r="Q3952" i="3"/>
  <c r="Q3953" i="3"/>
  <c r="Q3954" i="3"/>
  <c r="Q3955" i="3"/>
  <c r="Q3956" i="3"/>
  <c r="Q3957" i="3"/>
  <c r="Q3958" i="3"/>
  <c r="Q3959" i="3"/>
  <c r="Q3960" i="3"/>
  <c r="Q3961" i="3"/>
  <c r="Q3962" i="3"/>
  <c r="Q3963" i="3"/>
  <c r="Q3964" i="3"/>
  <c r="Q3965" i="3"/>
  <c r="Q3966" i="3"/>
  <c r="Q3967" i="3"/>
  <c r="Q3968" i="3"/>
  <c r="Q3969" i="3"/>
  <c r="Q3970" i="3"/>
  <c r="Q3971" i="3"/>
  <c r="Q3972" i="3"/>
  <c r="Q3973" i="3"/>
  <c r="Q3974" i="3"/>
  <c r="Q3975" i="3"/>
  <c r="Q3976" i="3"/>
  <c r="Q3977" i="3"/>
  <c r="Q3978" i="3"/>
  <c r="Q3979" i="3"/>
  <c r="Q3980" i="3"/>
  <c r="Q3981" i="3"/>
  <c r="Q3982" i="3"/>
  <c r="Q3983" i="3"/>
  <c r="Q3984" i="3"/>
  <c r="Q3985" i="3"/>
  <c r="Q3986" i="3"/>
  <c r="Q3987" i="3"/>
  <c r="Q3988" i="3"/>
  <c r="Q3989" i="3"/>
  <c r="Q3990" i="3"/>
  <c r="Q3991" i="3"/>
  <c r="Q3992" i="3"/>
  <c r="Q3993" i="3"/>
  <c r="Q3994" i="3"/>
  <c r="Q3995" i="3"/>
  <c r="Q3996" i="3"/>
  <c r="Q3997" i="3"/>
  <c r="Q3998" i="3"/>
  <c r="Q3999" i="3"/>
  <c r="Q4000" i="3"/>
  <c r="Q4001" i="3"/>
  <c r="Q4002" i="3"/>
  <c r="Q4003" i="3"/>
  <c r="Q4004" i="3"/>
  <c r="Q4005" i="3"/>
  <c r="Q4006" i="3"/>
  <c r="Q4007" i="3"/>
  <c r="Q4008" i="3"/>
  <c r="Q4009" i="3"/>
  <c r="Q4010" i="3"/>
  <c r="Q4011" i="3"/>
  <c r="Q4012" i="3"/>
  <c r="Q4013" i="3"/>
  <c r="Q4014" i="3"/>
  <c r="Q4015" i="3"/>
  <c r="Q4016" i="3"/>
  <c r="Q4017" i="3"/>
  <c r="Q4018" i="3"/>
  <c r="Q4019" i="3"/>
  <c r="Q4020" i="3"/>
  <c r="Q4021" i="3"/>
  <c r="Q4022" i="3"/>
  <c r="Q4023" i="3"/>
  <c r="Q4024" i="3"/>
  <c r="Q4025" i="3"/>
  <c r="Q4026" i="3"/>
  <c r="Q4027" i="3"/>
  <c r="Q4028" i="3"/>
  <c r="Q4029" i="3"/>
  <c r="Q4030" i="3"/>
  <c r="Q4031" i="3"/>
  <c r="Q4032" i="3"/>
  <c r="Q4033" i="3"/>
  <c r="Q4034" i="3"/>
  <c r="Q4035" i="3"/>
  <c r="Q4036" i="3"/>
  <c r="Q4037" i="3"/>
  <c r="Q4038" i="3"/>
  <c r="Q4039" i="3"/>
  <c r="Q4040" i="3"/>
  <c r="Q4041" i="3"/>
  <c r="Q4042" i="3"/>
  <c r="Q4043" i="3"/>
  <c r="Q4044" i="3"/>
  <c r="Q4045" i="3"/>
  <c r="Q4046" i="3"/>
  <c r="Q4047" i="3"/>
  <c r="Q4048" i="3"/>
  <c r="Q4049" i="3"/>
  <c r="Q4050" i="3"/>
  <c r="Q4051" i="3"/>
  <c r="Q4052" i="3"/>
  <c r="Q4053" i="3"/>
  <c r="Q4054" i="3"/>
  <c r="Q4055" i="3"/>
  <c r="Q4056" i="3"/>
  <c r="Q4057" i="3"/>
  <c r="Q4058" i="3"/>
  <c r="Q4059" i="3"/>
  <c r="Q4060" i="3"/>
  <c r="Q4061" i="3"/>
  <c r="Q4062" i="3"/>
  <c r="Q4063" i="3"/>
  <c r="Q4064" i="3"/>
  <c r="Q4065" i="3"/>
  <c r="Q4066" i="3"/>
  <c r="Q4067" i="3"/>
  <c r="Q4068" i="3"/>
  <c r="Q4069" i="3"/>
  <c r="Q4070" i="3"/>
  <c r="Q4071" i="3"/>
  <c r="Q4072" i="3"/>
  <c r="Q4073" i="3"/>
  <c r="Q4074" i="3"/>
  <c r="Q4075" i="3"/>
  <c r="Q4076" i="3"/>
  <c r="Q4077" i="3"/>
  <c r="Q4078" i="3"/>
  <c r="Q4079" i="3"/>
  <c r="Q4080" i="3"/>
  <c r="Q4081" i="3"/>
  <c r="Q4082" i="3"/>
  <c r="Q4083" i="3"/>
  <c r="Q4084" i="3"/>
  <c r="Q4085" i="3"/>
  <c r="Q4086" i="3"/>
  <c r="Q4087" i="3"/>
  <c r="Q4088" i="3"/>
  <c r="Q4089" i="3"/>
  <c r="Q4090" i="3"/>
  <c r="Q4091" i="3"/>
  <c r="Q4092" i="3"/>
  <c r="Q4093" i="3"/>
  <c r="Q4094" i="3"/>
  <c r="Q4095" i="3"/>
  <c r="Q4096" i="3"/>
  <c r="Q4097" i="3"/>
  <c r="Q4098" i="3"/>
  <c r="Q4099" i="3"/>
  <c r="Q4100" i="3"/>
  <c r="Q4101" i="3"/>
  <c r="Q4102" i="3"/>
  <c r="Q4103" i="3"/>
  <c r="Q4104" i="3"/>
  <c r="Q4105" i="3"/>
  <c r="Q4106" i="3"/>
  <c r="Q4107" i="3"/>
  <c r="Q4108" i="3"/>
  <c r="Q4109" i="3"/>
  <c r="Q4110" i="3"/>
  <c r="Q4111" i="3"/>
  <c r="Q4112" i="3"/>
  <c r="Q4113" i="3"/>
  <c r="Q4114" i="3"/>
  <c r="Q4115" i="3"/>
  <c r="Q4116" i="3"/>
  <c r="Q4117" i="3"/>
  <c r="Q4118" i="3"/>
  <c r="Q4119" i="3"/>
  <c r="Q4120" i="3"/>
  <c r="Q4121" i="3"/>
  <c r="Q4122" i="3"/>
  <c r="Q4123" i="3"/>
  <c r="Q4124" i="3"/>
  <c r="Q4125" i="3"/>
  <c r="Q4126" i="3"/>
  <c r="Q4127" i="3"/>
  <c r="Q4128" i="3"/>
  <c r="Q4129" i="3"/>
  <c r="Q4130" i="3"/>
  <c r="Q4131" i="3"/>
  <c r="Q4132" i="3"/>
  <c r="Q4133" i="3"/>
  <c r="Q4134" i="3"/>
  <c r="Q4135" i="3"/>
  <c r="Q4136" i="3"/>
  <c r="Q4137" i="3"/>
  <c r="Q4138" i="3"/>
  <c r="Q4139" i="3"/>
  <c r="Q4140" i="3"/>
  <c r="Q4141" i="3"/>
  <c r="Q4142" i="3"/>
  <c r="Q4143" i="3"/>
  <c r="Q4144" i="3"/>
  <c r="Q4145" i="3"/>
  <c r="Q4146" i="3"/>
  <c r="Q4147" i="3"/>
  <c r="Q4148" i="3"/>
  <c r="Q4149" i="3"/>
  <c r="Q4150" i="3"/>
  <c r="Q4151" i="3"/>
  <c r="Q4152" i="3"/>
  <c r="Q4153" i="3"/>
  <c r="Q4154" i="3"/>
  <c r="Q4155" i="3"/>
  <c r="Q4156" i="3"/>
  <c r="Q4157" i="3"/>
  <c r="Q4158" i="3"/>
  <c r="Q4159" i="3"/>
  <c r="Q4160" i="3"/>
  <c r="Q4161" i="3"/>
  <c r="Q4162" i="3"/>
  <c r="Q4163" i="3"/>
  <c r="Q4164" i="3"/>
  <c r="Q4165" i="3"/>
  <c r="Q4166" i="3"/>
  <c r="Q4167" i="3"/>
  <c r="Q4168" i="3"/>
  <c r="Q4169" i="3"/>
  <c r="Q4170" i="3"/>
  <c r="Q4171" i="3"/>
  <c r="Q4172" i="3"/>
  <c r="Q4173" i="3"/>
  <c r="Q4174" i="3"/>
  <c r="Q4175" i="3"/>
  <c r="Q4176" i="3"/>
  <c r="Q4177" i="3"/>
  <c r="Q4178" i="3"/>
  <c r="Q4179" i="3"/>
  <c r="Q4180" i="3"/>
  <c r="Q4181" i="3"/>
  <c r="Q4182" i="3"/>
  <c r="Q4183" i="3"/>
  <c r="Q4184" i="3"/>
  <c r="Q4185" i="3"/>
  <c r="Q4186" i="3"/>
  <c r="Q4187" i="3"/>
  <c r="Q4188" i="3"/>
  <c r="Q4189" i="3"/>
  <c r="Q4190" i="3"/>
  <c r="Q4191" i="3"/>
  <c r="Q4192" i="3"/>
  <c r="Q4193" i="3"/>
  <c r="Q4194" i="3"/>
  <c r="Q4195" i="3"/>
  <c r="Q4196" i="3"/>
  <c r="Q4197" i="3"/>
  <c r="Q4198" i="3"/>
  <c r="Q4199" i="3"/>
  <c r="Q4200" i="3"/>
  <c r="Q4201" i="3"/>
  <c r="Q4202" i="3"/>
  <c r="Q4203" i="3"/>
  <c r="Q4204" i="3"/>
  <c r="Q4205" i="3"/>
  <c r="Q4206" i="3"/>
  <c r="Q4207" i="3"/>
  <c r="Q4208" i="3"/>
  <c r="Q4209" i="3"/>
  <c r="Q4210" i="3"/>
  <c r="Q4211" i="3"/>
  <c r="Q4212" i="3"/>
  <c r="Q4213" i="3"/>
  <c r="Q4214" i="3"/>
  <c r="Q4215" i="3"/>
  <c r="Q4216" i="3"/>
  <c r="Q4217" i="3"/>
  <c r="Q4218" i="3"/>
  <c r="Q4219" i="3"/>
  <c r="Q4220" i="3"/>
  <c r="Q4221" i="3"/>
  <c r="Q4222" i="3"/>
  <c r="Q4223" i="3"/>
  <c r="Q4224" i="3"/>
  <c r="Q4225" i="3"/>
  <c r="Q4226" i="3"/>
  <c r="Q4227" i="3"/>
  <c r="Q4228" i="3"/>
  <c r="Q4229" i="3"/>
  <c r="Q4230" i="3"/>
  <c r="Q4231" i="3"/>
  <c r="Q4232" i="3"/>
  <c r="Q4233" i="3"/>
  <c r="Q4234" i="3"/>
  <c r="Q4235" i="3"/>
  <c r="Q4236" i="3"/>
  <c r="Q4237" i="3"/>
  <c r="Q4238" i="3"/>
  <c r="Q4239" i="3"/>
  <c r="Q4240" i="3"/>
  <c r="Q4241" i="3"/>
  <c r="Q4242" i="3"/>
  <c r="Q4243" i="3"/>
  <c r="Q4244" i="3"/>
  <c r="Q4245" i="3"/>
  <c r="Q4246" i="3"/>
  <c r="Q4247" i="3"/>
  <c r="Q4248" i="3"/>
  <c r="Q4249" i="3"/>
  <c r="Q4250" i="3"/>
  <c r="Q4251" i="3"/>
  <c r="Q4252" i="3"/>
  <c r="Q4253" i="3"/>
  <c r="Q4254" i="3"/>
  <c r="Q4255" i="3"/>
  <c r="Q4256" i="3"/>
  <c r="Q4257" i="3"/>
  <c r="Q4258" i="3"/>
  <c r="Q4259" i="3"/>
  <c r="Q4260" i="3"/>
  <c r="Q4261" i="3"/>
  <c r="Q4262" i="3"/>
  <c r="Q4263" i="3"/>
  <c r="Q4264" i="3"/>
  <c r="Q4265" i="3"/>
  <c r="Q4266" i="3"/>
  <c r="Q4267" i="3"/>
  <c r="Q4268" i="3"/>
  <c r="Q4269" i="3"/>
  <c r="Q4270" i="3"/>
  <c r="Q4271" i="3"/>
  <c r="Q4272" i="3"/>
  <c r="Q4273" i="3"/>
  <c r="Q4274" i="3"/>
  <c r="Q4275" i="3"/>
  <c r="Q4276" i="3"/>
  <c r="Q4277" i="3"/>
  <c r="Q4278" i="3"/>
  <c r="Q4279" i="3"/>
  <c r="Q4280" i="3"/>
  <c r="Q4281" i="3"/>
  <c r="Q4282" i="3"/>
  <c r="Q4283" i="3"/>
  <c r="Q4284" i="3"/>
  <c r="Q4285" i="3"/>
  <c r="Q4286" i="3"/>
  <c r="Q4287" i="3"/>
  <c r="Q4288" i="3"/>
  <c r="Q4289" i="3"/>
  <c r="Q4290" i="3"/>
  <c r="Q4291" i="3"/>
  <c r="Q4292" i="3"/>
  <c r="Q4293" i="3"/>
  <c r="Q4294" i="3"/>
  <c r="Q4295" i="3"/>
  <c r="Q4296" i="3"/>
  <c r="Q4297" i="3"/>
  <c r="Q4298" i="3"/>
  <c r="Q4299" i="3"/>
  <c r="Q4300" i="3"/>
  <c r="Q4301" i="3"/>
  <c r="Q4302" i="3"/>
  <c r="Q4303" i="3"/>
  <c r="Q4304" i="3"/>
  <c r="Q4305" i="3"/>
  <c r="Q4306" i="3"/>
  <c r="Q4307" i="3"/>
  <c r="Q4308" i="3"/>
  <c r="Q4309" i="3"/>
  <c r="Q4310" i="3"/>
  <c r="Q4311" i="3"/>
  <c r="Q4312" i="3"/>
  <c r="Q4313" i="3"/>
  <c r="Q4314" i="3"/>
  <c r="Q4315" i="3"/>
  <c r="Q4316" i="3"/>
  <c r="Q4317" i="3"/>
  <c r="Q4318" i="3"/>
  <c r="Q4319" i="3"/>
  <c r="Q4320" i="3"/>
  <c r="Q4321" i="3"/>
  <c r="Q4322" i="3"/>
  <c r="Q4323" i="3"/>
  <c r="Q4324" i="3"/>
  <c r="Q4325" i="3"/>
  <c r="Q4326" i="3"/>
  <c r="Q4327" i="3"/>
  <c r="Q4328" i="3"/>
  <c r="Q4329" i="3"/>
  <c r="Q4330" i="3"/>
  <c r="Q4331" i="3"/>
  <c r="Q4332" i="3"/>
  <c r="Q4333" i="3"/>
  <c r="Q4334" i="3"/>
  <c r="Q4335" i="3"/>
  <c r="Q4336" i="3"/>
  <c r="Q4337" i="3"/>
  <c r="Q4338" i="3"/>
  <c r="Q4339" i="3"/>
  <c r="Q4340" i="3"/>
  <c r="Q4341" i="3"/>
  <c r="Q4342" i="3"/>
  <c r="Q4343" i="3"/>
  <c r="Q4344" i="3"/>
  <c r="Q4345" i="3"/>
  <c r="Q4346" i="3"/>
  <c r="Q4347" i="3"/>
  <c r="Q4348" i="3"/>
  <c r="Q4349" i="3"/>
  <c r="Q4350" i="3"/>
  <c r="Q4351" i="3"/>
  <c r="Q4352" i="3"/>
  <c r="Q4353" i="3"/>
  <c r="Q4354" i="3"/>
  <c r="Q4355" i="3"/>
  <c r="Q4356" i="3"/>
  <c r="Q4357" i="3"/>
  <c r="Q4358" i="3"/>
  <c r="Q4359" i="3"/>
  <c r="Q4360" i="3"/>
  <c r="Q4361" i="3"/>
  <c r="Q4362" i="3"/>
  <c r="Q4363" i="3"/>
  <c r="Q4364" i="3"/>
  <c r="Q4365" i="3"/>
  <c r="Q4366" i="3"/>
  <c r="Q4367" i="3"/>
  <c r="Q4368" i="3"/>
  <c r="Q4369" i="3"/>
  <c r="Q4370" i="3"/>
  <c r="Q4371" i="3"/>
  <c r="Q4372" i="3"/>
  <c r="Q4373" i="3"/>
  <c r="Q4374" i="3"/>
  <c r="Q4375" i="3"/>
  <c r="Q4376" i="3"/>
  <c r="Q4377" i="3"/>
  <c r="Q4378" i="3"/>
  <c r="Q4379" i="3"/>
  <c r="Q4380" i="3"/>
  <c r="Q4381" i="3"/>
  <c r="Q4382" i="3"/>
  <c r="Q4383" i="3"/>
  <c r="Q4384" i="3"/>
  <c r="Q4385" i="3"/>
  <c r="Q4386" i="3"/>
  <c r="Q4387" i="3"/>
  <c r="Q4388" i="3"/>
  <c r="Q4389" i="3"/>
  <c r="Q4390" i="3"/>
  <c r="Q4391" i="3"/>
  <c r="Q4392" i="3"/>
  <c r="Q4393" i="3"/>
  <c r="Q4394" i="3"/>
  <c r="Q4395" i="3"/>
  <c r="Q4396" i="3"/>
  <c r="Q4397" i="3"/>
  <c r="Q4398" i="3"/>
  <c r="Q4399" i="3"/>
  <c r="Q4400" i="3"/>
  <c r="Q4401" i="3"/>
  <c r="Q4402" i="3"/>
  <c r="Q4403" i="3"/>
  <c r="Q4404" i="3"/>
  <c r="Q4405" i="3"/>
  <c r="Q4406" i="3"/>
  <c r="Q4407" i="3"/>
  <c r="Q4408" i="3"/>
  <c r="Q4409" i="3"/>
  <c r="Q4410" i="3"/>
  <c r="Q4411" i="3"/>
  <c r="Q4412" i="3"/>
  <c r="Q4413" i="3"/>
  <c r="Q4414" i="3"/>
  <c r="Q4415" i="3"/>
  <c r="Q4416" i="3"/>
  <c r="Q4417" i="3"/>
  <c r="Q4418" i="3"/>
  <c r="Q4419" i="3"/>
  <c r="Q4420" i="3"/>
  <c r="Q4421" i="3"/>
  <c r="Q4422" i="3"/>
  <c r="Q4423" i="3"/>
  <c r="Q4424" i="3"/>
  <c r="Q4425" i="3"/>
  <c r="Q4426" i="3"/>
  <c r="Q4427" i="3"/>
  <c r="Q4428" i="3"/>
  <c r="Q4429" i="3"/>
  <c r="Q4430" i="3"/>
  <c r="Q4431" i="3"/>
  <c r="Q4432" i="3"/>
  <c r="Q4433" i="3"/>
  <c r="Q4434" i="3"/>
  <c r="Q4435" i="3"/>
  <c r="Q4436" i="3"/>
  <c r="Q4437" i="3"/>
  <c r="Q4438" i="3"/>
  <c r="Q4439" i="3"/>
  <c r="Q4440" i="3"/>
  <c r="Q4441" i="3"/>
  <c r="Q4442" i="3"/>
  <c r="Q4443" i="3"/>
  <c r="Q4444" i="3"/>
  <c r="Q4445" i="3"/>
  <c r="Q4446" i="3"/>
  <c r="Q4447" i="3"/>
  <c r="Q4448" i="3"/>
  <c r="Q4449" i="3"/>
  <c r="Q4450" i="3"/>
  <c r="Q4451" i="3"/>
  <c r="Q4452" i="3"/>
  <c r="Q4453" i="3"/>
  <c r="Q4454" i="3"/>
  <c r="Q4455" i="3"/>
  <c r="Q4456" i="3"/>
  <c r="Q4457" i="3"/>
  <c r="Q4458" i="3"/>
  <c r="Q4459" i="3"/>
  <c r="Q4460" i="3"/>
  <c r="Q4461" i="3"/>
  <c r="Q4462" i="3"/>
  <c r="Q4463" i="3"/>
  <c r="Q4464" i="3"/>
  <c r="Q4465" i="3"/>
  <c r="Q4466" i="3"/>
  <c r="Q4467" i="3"/>
  <c r="Q4468" i="3"/>
  <c r="Q4469" i="3"/>
  <c r="Q4470" i="3"/>
  <c r="Q4471" i="3"/>
  <c r="Q4472" i="3"/>
  <c r="Q4473" i="3"/>
  <c r="Q4474" i="3"/>
  <c r="Q4475" i="3"/>
  <c r="Q4476" i="3"/>
  <c r="Q4477" i="3"/>
  <c r="Q4478" i="3"/>
  <c r="Q4479" i="3"/>
  <c r="Q4480" i="3"/>
  <c r="Q4481" i="3"/>
  <c r="Q4482" i="3"/>
  <c r="Q4483" i="3"/>
  <c r="Q4484" i="3"/>
  <c r="Q4485" i="3"/>
  <c r="Q4486" i="3"/>
  <c r="Q4487" i="3"/>
  <c r="Q4488" i="3"/>
  <c r="Q4489" i="3"/>
  <c r="Q4490" i="3"/>
  <c r="Q4491" i="3"/>
  <c r="Q4492" i="3"/>
  <c r="Q4493" i="3"/>
  <c r="Q4494" i="3"/>
  <c r="Q4495" i="3"/>
  <c r="Q4496" i="3"/>
  <c r="Q4497" i="3"/>
  <c r="Q4498" i="3"/>
  <c r="Q4499" i="3"/>
  <c r="Q4500" i="3"/>
  <c r="Q4501" i="3"/>
  <c r="Q4502" i="3"/>
  <c r="Q4503" i="3"/>
  <c r="Q4504" i="3"/>
  <c r="Q4505" i="3"/>
  <c r="Q4506" i="3"/>
  <c r="Q4507" i="3"/>
  <c r="Q4508" i="3"/>
  <c r="Q4509" i="3"/>
  <c r="Q4510" i="3"/>
  <c r="Q4511" i="3"/>
  <c r="Q4512" i="3"/>
  <c r="Q4513" i="3"/>
  <c r="Q4514" i="3"/>
  <c r="Q4515" i="3"/>
  <c r="Q4516" i="3"/>
  <c r="Q4517" i="3"/>
  <c r="Q4518" i="3"/>
  <c r="Q4519" i="3"/>
  <c r="Q4520" i="3"/>
  <c r="Q4521" i="3"/>
  <c r="Q4522" i="3"/>
  <c r="Q4523" i="3"/>
  <c r="Q4524" i="3"/>
  <c r="Q4525" i="3"/>
  <c r="Q4526" i="3"/>
  <c r="Q4527" i="3"/>
  <c r="Q4528" i="3"/>
  <c r="Q4529" i="3"/>
  <c r="Q4530" i="3"/>
  <c r="Q4531" i="3"/>
  <c r="Q4532" i="3"/>
  <c r="Q4533" i="3"/>
  <c r="Q4534" i="3"/>
  <c r="Q4535" i="3"/>
  <c r="Q4536" i="3"/>
  <c r="Q4537" i="3"/>
  <c r="Q4538" i="3"/>
  <c r="Q4539" i="3"/>
  <c r="Q4540" i="3"/>
  <c r="Q4541" i="3"/>
  <c r="Q4542" i="3"/>
  <c r="Q4543" i="3"/>
  <c r="Q4544" i="3"/>
  <c r="Q4545" i="3"/>
  <c r="Q4546" i="3"/>
  <c r="Q4547" i="3"/>
  <c r="Q4548" i="3"/>
  <c r="Q4549" i="3"/>
  <c r="Q4550" i="3"/>
  <c r="Q4551" i="3"/>
  <c r="Q4552" i="3"/>
  <c r="Q4553" i="3"/>
  <c r="Q4554" i="3"/>
  <c r="Q4555" i="3"/>
  <c r="Q4556" i="3"/>
  <c r="Q4557" i="3"/>
  <c r="Q4558" i="3"/>
  <c r="Q4559" i="3"/>
  <c r="Q4560" i="3"/>
  <c r="Q4561" i="3"/>
  <c r="Q4562" i="3"/>
  <c r="Q4563" i="3"/>
  <c r="Q4564" i="3"/>
  <c r="Q4565" i="3"/>
  <c r="Q4566" i="3"/>
  <c r="Q4567" i="3"/>
  <c r="Q4568" i="3"/>
  <c r="Q4569" i="3"/>
  <c r="Q4570" i="3"/>
  <c r="Q4571" i="3"/>
  <c r="Q4572" i="3"/>
  <c r="Q4573" i="3"/>
  <c r="Q4574" i="3"/>
  <c r="Q4575" i="3"/>
  <c r="Q4576" i="3"/>
  <c r="Q4577" i="3"/>
  <c r="Q4578" i="3"/>
  <c r="Q4579" i="3"/>
  <c r="Q4580" i="3"/>
  <c r="Q4581" i="3"/>
  <c r="Q4582" i="3"/>
  <c r="Q4583" i="3"/>
  <c r="Q4584" i="3"/>
  <c r="Q4585" i="3"/>
  <c r="Q4586" i="3"/>
  <c r="Q4587" i="3"/>
  <c r="Q4588" i="3"/>
  <c r="Q4589" i="3"/>
  <c r="Q4590" i="3"/>
  <c r="Q4591" i="3"/>
  <c r="Q4592" i="3"/>
  <c r="Q4593" i="3"/>
  <c r="Q4594" i="3"/>
  <c r="Q4595" i="3"/>
  <c r="Q4596" i="3"/>
  <c r="Q4597" i="3"/>
  <c r="Q4598" i="3"/>
  <c r="Q4599" i="3"/>
  <c r="Q4600" i="3"/>
  <c r="Q4601" i="3"/>
  <c r="Q4602" i="3"/>
  <c r="Q4603" i="3"/>
  <c r="Q4604" i="3"/>
  <c r="Q4605" i="3"/>
  <c r="Q4606" i="3"/>
  <c r="Q4607" i="3"/>
  <c r="Q4608" i="3"/>
  <c r="Q4609" i="3"/>
  <c r="Q4610" i="3"/>
  <c r="Q4611" i="3"/>
  <c r="Q4612" i="3"/>
  <c r="Q4613" i="3"/>
  <c r="Q4614" i="3"/>
  <c r="Q4615" i="3"/>
  <c r="Q4616" i="3"/>
  <c r="Q4617" i="3"/>
  <c r="Q4618" i="3"/>
  <c r="Q4619" i="3"/>
  <c r="Q4620" i="3"/>
  <c r="Q4621" i="3"/>
  <c r="Q4622" i="3"/>
  <c r="Q4623" i="3"/>
  <c r="Q4624" i="3"/>
  <c r="Q4625" i="3"/>
  <c r="Q4626" i="3"/>
  <c r="Q4627" i="3"/>
  <c r="Q4628" i="3"/>
  <c r="Q4629" i="3"/>
  <c r="Q4630" i="3"/>
  <c r="Q4631" i="3"/>
  <c r="Q4632" i="3"/>
  <c r="Q4633" i="3"/>
  <c r="Q4634" i="3"/>
  <c r="Q4635" i="3"/>
  <c r="Q4636" i="3"/>
  <c r="Q4637" i="3"/>
  <c r="Q4638" i="3"/>
  <c r="Q4639" i="3"/>
  <c r="Q4640" i="3"/>
  <c r="Q4641" i="3"/>
  <c r="Q4642" i="3"/>
  <c r="Q4643" i="3"/>
  <c r="Q4644" i="3"/>
  <c r="Q4645" i="3"/>
  <c r="Q4646" i="3"/>
  <c r="Q4647" i="3"/>
  <c r="Q4648" i="3"/>
  <c r="Q4649" i="3"/>
  <c r="Q4650" i="3"/>
  <c r="Q4651" i="3"/>
  <c r="Q4652" i="3"/>
  <c r="Q4653" i="3"/>
  <c r="Q4654" i="3"/>
  <c r="Q4655" i="3"/>
  <c r="Q4656" i="3"/>
  <c r="Q4657" i="3"/>
  <c r="Q4658" i="3"/>
  <c r="Q4659" i="3"/>
  <c r="Q4660" i="3"/>
  <c r="Q4661" i="3"/>
  <c r="Q4662" i="3"/>
  <c r="Q4663" i="3"/>
  <c r="Q4664" i="3"/>
  <c r="Q4665" i="3"/>
  <c r="Q4666" i="3"/>
  <c r="Q4667" i="3"/>
  <c r="Q4668" i="3"/>
  <c r="Q4669" i="3"/>
  <c r="Q4670" i="3"/>
  <c r="Q4671" i="3"/>
  <c r="Q4672" i="3"/>
  <c r="Q4673" i="3"/>
  <c r="Q4674" i="3"/>
  <c r="Q4675" i="3"/>
  <c r="Q4676" i="3"/>
  <c r="Q4677" i="3"/>
  <c r="Q4678" i="3"/>
  <c r="Q4679" i="3"/>
  <c r="Q4680" i="3"/>
  <c r="Q4681" i="3"/>
  <c r="Q4682" i="3"/>
  <c r="Q4683" i="3"/>
  <c r="Q4684" i="3"/>
  <c r="Q4685" i="3"/>
  <c r="Q4686" i="3"/>
  <c r="Q4687" i="3"/>
  <c r="Q4688" i="3"/>
  <c r="Q4689" i="3"/>
  <c r="Q4690" i="3"/>
  <c r="Q4691" i="3"/>
  <c r="Q4692" i="3"/>
  <c r="Q4693" i="3"/>
  <c r="Q4694" i="3"/>
  <c r="Q4695" i="3"/>
  <c r="Q4696" i="3"/>
  <c r="Q4697" i="3"/>
  <c r="Q4698" i="3"/>
  <c r="Q4699" i="3"/>
  <c r="Q4700" i="3"/>
  <c r="Q4701" i="3"/>
  <c r="Q4702" i="3"/>
  <c r="Q4703" i="3"/>
  <c r="Q4704" i="3"/>
  <c r="Q4705" i="3"/>
  <c r="Q4706" i="3"/>
  <c r="Q4707" i="3"/>
  <c r="Q4708" i="3"/>
  <c r="Q4709" i="3"/>
  <c r="Q4710" i="3"/>
  <c r="Q4711" i="3"/>
  <c r="Q4712" i="3"/>
  <c r="Q4713" i="3"/>
  <c r="Q4714" i="3"/>
  <c r="Q4715" i="3"/>
  <c r="Q4716" i="3"/>
  <c r="Q4717" i="3"/>
  <c r="Q4718" i="3"/>
  <c r="Q4719" i="3"/>
  <c r="Q4720" i="3"/>
  <c r="Q4721" i="3"/>
  <c r="Q4722" i="3"/>
  <c r="Q4723" i="3"/>
  <c r="Q4724" i="3"/>
  <c r="Q4725" i="3"/>
  <c r="Q4726" i="3"/>
  <c r="Q4727" i="3"/>
  <c r="Q4728" i="3"/>
  <c r="Q4729" i="3"/>
  <c r="Q4730" i="3"/>
  <c r="Q4731" i="3"/>
  <c r="Q4732" i="3"/>
  <c r="Q4733" i="3"/>
  <c r="Q4734" i="3"/>
  <c r="Q4735" i="3"/>
  <c r="Q4736" i="3"/>
  <c r="Q4737" i="3"/>
  <c r="Q4738" i="3"/>
  <c r="Q4739" i="3"/>
  <c r="Q4740" i="3"/>
  <c r="Q4741" i="3"/>
  <c r="Q4742" i="3"/>
  <c r="Q4743" i="3"/>
  <c r="Q4744" i="3"/>
  <c r="Q4745" i="3"/>
  <c r="Q4746" i="3"/>
  <c r="Q4747" i="3"/>
  <c r="Q4748" i="3"/>
  <c r="Q4749" i="3"/>
  <c r="Q4750" i="3"/>
  <c r="Q4751" i="3"/>
  <c r="Q4752" i="3"/>
  <c r="Q4753" i="3"/>
  <c r="Q4754" i="3"/>
  <c r="Q4755" i="3"/>
  <c r="Q4756" i="3"/>
  <c r="Q4757" i="3"/>
  <c r="Q4758" i="3"/>
  <c r="Q4759" i="3"/>
  <c r="Q4760" i="3"/>
  <c r="Q4761" i="3"/>
  <c r="Q4762" i="3"/>
  <c r="Q4763" i="3"/>
  <c r="Q4764" i="3"/>
  <c r="Q4765" i="3"/>
  <c r="Q4766" i="3"/>
  <c r="Q4767" i="3"/>
  <c r="Q4768" i="3"/>
  <c r="Q4769" i="3"/>
  <c r="Q4770" i="3"/>
  <c r="Q4771" i="3"/>
  <c r="Q4772" i="3"/>
  <c r="Q4773" i="3"/>
  <c r="Q4774" i="3"/>
  <c r="Q4775" i="3"/>
  <c r="Q4776" i="3"/>
  <c r="Q4777" i="3"/>
  <c r="Q4778" i="3"/>
  <c r="Q4779" i="3"/>
  <c r="Q4780" i="3"/>
  <c r="Q4781" i="3"/>
  <c r="Q4782" i="3"/>
  <c r="Q4783" i="3"/>
  <c r="Q4784" i="3"/>
  <c r="Q4785" i="3"/>
  <c r="Q4786" i="3"/>
  <c r="Q4787" i="3"/>
  <c r="Q4788" i="3"/>
  <c r="Q4789" i="3"/>
  <c r="Q4790" i="3"/>
  <c r="Q4791" i="3"/>
  <c r="Q4792" i="3"/>
  <c r="Q4793" i="3"/>
  <c r="Q4794" i="3"/>
  <c r="Q4795" i="3"/>
  <c r="Q4796" i="3"/>
  <c r="Q4797" i="3"/>
  <c r="Q4798" i="3"/>
  <c r="Q4799" i="3"/>
  <c r="Q4800" i="3"/>
  <c r="Q4801" i="3"/>
  <c r="Q4802" i="3"/>
  <c r="Q4803" i="3"/>
  <c r="Q4804" i="3"/>
  <c r="Q4805" i="3"/>
  <c r="Q4806" i="3"/>
  <c r="Q4807" i="3"/>
  <c r="Q4808" i="3"/>
  <c r="Q4809" i="3"/>
  <c r="Q4810" i="3"/>
  <c r="Q4811" i="3"/>
  <c r="Q4812" i="3"/>
  <c r="Q4813" i="3"/>
  <c r="Q4814" i="3"/>
  <c r="Q4815" i="3"/>
  <c r="Q4816" i="3"/>
  <c r="Q4817" i="3"/>
  <c r="Q4818" i="3"/>
  <c r="Q4819" i="3"/>
  <c r="Q4820" i="3"/>
  <c r="Q4821" i="3"/>
  <c r="Q4822" i="3"/>
  <c r="Q4823" i="3"/>
  <c r="Q4824" i="3"/>
  <c r="Q4825" i="3"/>
  <c r="Q4826" i="3"/>
  <c r="Q4827" i="3"/>
  <c r="Q4828" i="3"/>
  <c r="Q4829" i="3"/>
  <c r="Q4830" i="3"/>
  <c r="Q4831" i="3"/>
  <c r="Q4832" i="3"/>
  <c r="Q4833" i="3"/>
  <c r="Q4834" i="3"/>
  <c r="Q4835" i="3"/>
  <c r="Q4836" i="3"/>
  <c r="Q4837" i="3"/>
  <c r="Q4838" i="3"/>
  <c r="Q4839" i="3"/>
  <c r="Q4840" i="3"/>
  <c r="Q4841" i="3"/>
  <c r="Q4842" i="3"/>
  <c r="Q4843" i="3"/>
  <c r="Q4844" i="3"/>
  <c r="Q4845" i="3"/>
  <c r="Q4846" i="3"/>
  <c r="Q4847" i="3"/>
  <c r="Q4848" i="3"/>
  <c r="Q4849" i="3"/>
  <c r="Q4850" i="3"/>
  <c r="Q4851" i="3"/>
  <c r="Q4852" i="3"/>
  <c r="Q4853" i="3"/>
  <c r="Q4854" i="3"/>
  <c r="Q4855" i="3"/>
  <c r="Q4856" i="3"/>
  <c r="Q4857" i="3"/>
  <c r="Q4858" i="3"/>
  <c r="Q4859" i="3"/>
  <c r="Q4860" i="3"/>
  <c r="Q4861" i="3"/>
  <c r="Q4862" i="3"/>
  <c r="Q4863" i="3"/>
  <c r="Q4864" i="3"/>
  <c r="Q4865" i="3"/>
  <c r="Q4866" i="3"/>
  <c r="Q4867" i="3"/>
  <c r="Q4868" i="3"/>
  <c r="Q4869" i="3"/>
  <c r="Q4870" i="3"/>
  <c r="Q4871" i="3"/>
  <c r="Q4872" i="3"/>
  <c r="Q4873" i="3"/>
  <c r="Q4874" i="3"/>
  <c r="Q4875" i="3"/>
  <c r="Q4876" i="3"/>
  <c r="Q4877" i="3"/>
  <c r="Q4878" i="3"/>
  <c r="Q4879" i="3"/>
  <c r="Q4880" i="3"/>
  <c r="Q4881" i="3"/>
  <c r="Q4882" i="3"/>
  <c r="Q4883" i="3"/>
  <c r="Q4884" i="3"/>
  <c r="Q4885" i="3"/>
  <c r="Q4886" i="3"/>
  <c r="Q4887" i="3"/>
  <c r="Q4888" i="3"/>
  <c r="Q4889" i="3"/>
  <c r="Q4890" i="3"/>
  <c r="Q4891" i="3"/>
  <c r="Q4892" i="3"/>
  <c r="Q4893" i="3"/>
  <c r="Q4894" i="3"/>
  <c r="Q4895" i="3"/>
  <c r="Q4896" i="3"/>
  <c r="Q4897" i="3"/>
  <c r="Q4898" i="3"/>
  <c r="Q4899" i="3"/>
  <c r="Q4900" i="3"/>
  <c r="Q4901" i="3"/>
  <c r="Q4902" i="3"/>
  <c r="Q4903" i="3"/>
  <c r="Q4904" i="3"/>
  <c r="Q4905" i="3"/>
  <c r="Q4906" i="3"/>
  <c r="Q4907" i="3"/>
  <c r="Q4908" i="3"/>
  <c r="Q4909" i="3"/>
  <c r="Q4910" i="3"/>
  <c r="Q4911" i="3"/>
  <c r="Q4912" i="3"/>
  <c r="Q4913" i="3"/>
  <c r="Q4914" i="3"/>
  <c r="Q4915" i="3"/>
  <c r="Q4916" i="3"/>
  <c r="Q4917" i="3"/>
  <c r="Q4918" i="3"/>
  <c r="Q4919" i="3"/>
  <c r="Q4920" i="3"/>
  <c r="Q4921" i="3"/>
  <c r="Q4922" i="3"/>
  <c r="Q4923" i="3"/>
  <c r="Q4924" i="3"/>
  <c r="Q4925" i="3"/>
  <c r="Q4926" i="3"/>
  <c r="Q4927" i="3"/>
  <c r="Q4928" i="3"/>
  <c r="Q4929" i="3"/>
  <c r="Q4930" i="3"/>
  <c r="Q4931" i="3"/>
  <c r="Q4932" i="3"/>
  <c r="Q4933" i="3"/>
  <c r="Q4934" i="3"/>
  <c r="Q4935" i="3"/>
  <c r="Q4936" i="3"/>
  <c r="Q4937" i="3"/>
  <c r="Q4938" i="3"/>
  <c r="Q4939" i="3"/>
  <c r="Q4940" i="3"/>
  <c r="Q4941" i="3"/>
  <c r="Q4942" i="3"/>
  <c r="Q4943" i="3"/>
  <c r="Q4944" i="3"/>
  <c r="Q4945" i="3"/>
  <c r="Q4946" i="3"/>
  <c r="Q4947" i="3"/>
  <c r="Q4948" i="3"/>
  <c r="Q4949" i="3"/>
  <c r="Q4950" i="3"/>
  <c r="Q4951" i="3"/>
  <c r="Q4952" i="3"/>
  <c r="Q4953" i="3"/>
  <c r="Q4954" i="3"/>
  <c r="Q4955" i="3"/>
  <c r="Q4956" i="3"/>
  <c r="Q4957" i="3"/>
  <c r="Q4958" i="3"/>
  <c r="Q4959" i="3"/>
  <c r="Q4960" i="3"/>
  <c r="Q4961" i="3"/>
  <c r="Q4962" i="3"/>
  <c r="Q4963" i="3"/>
  <c r="Q4964" i="3"/>
  <c r="Q4965" i="3"/>
  <c r="Q4966" i="3"/>
  <c r="Q4967" i="3"/>
  <c r="Q4968" i="3"/>
  <c r="Q4969" i="3"/>
  <c r="Q4970" i="3"/>
  <c r="Q4971" i="3"/>
  <c r="Q4972" i="3"/>
  <c r="Q4973" i="3"/>
  <c r="Q4974" i="3"/>
  <c r="Q4975" i="3"/>
  <c r="Q4976" i="3"/>
  <c r="Q4977" i="3"/>
  <c r="Q4978" i="3"/>
  <c r="Q4979" i="3"/>
  <c r="Q4980" i="3"/>
  <c r="Q4981" i="3"/>
  <c r="Q4982" i="3"/>
  <c r="Q4983" i="3"/>
  <c r="Q4984" i="3"/>
  <c r="Q4985" i="3"/>
  <c r="Q4986" i="3"/>
  <c r="Q4987" i="3"/>
  <c r="Q4988" i="3"/>
  <c r="Q4989" i="3"/>
  <c r="Q4990" i="3"/>
  <c r="Q4991" i="3"/>
  <c r="Q4992" i="3"/>
  <c r="Q4993" i="3"/>
  <c r="Q4994" i="3"/>
  <c r="Q4995" i="3"/>
  <c r="Q4996" i="3"/>
  <c r="Q4997" i="3"/>
  <c r="Q4998" i="3"/>
  <c r="Q4999" i="3"/>
  <c r="Q5000" i="3"/>
  <c r="Q5001" i="3"/>
  <c r="Q5002" i="3"/>
  <c r="Q5003" i="3"/>
  <c r="Q5004" i="3"/>
  <c r="Q5005" i="3"/>
  <c r="Q5006" i="3"/>
  <c r="Q5007" i="3"/>
  <c r="Q5008" i="3"/>
  <c r="Q5009" i="3"/>
  <c r="Q5010" i="3"/>
  <c r="Q5011" i="3"/>
  <c r="Q5012" i="3"/>
  <c r="Q5013" i="3"/>
  <c r="Q5014" i="3"/>
  <c r="Q5015" i="3"/>
  <c r="Q5016" i="3"/>
  <c r="Q5017" i="3"/>
  <c r="Q5018" i="3"/>
  <c r="Q5019" i="3"/>
  <c r="Q5020" i="3"/>
  <c r="Q5021" i="3"/>
  <c r="Q5022" i="3"/>
  <c r="Q5023" i="3"/>
  <c r="Q5024" i="3"/>
  <c r="Q5025" i="3"/>
  <c r="Q5026" i="3"/>
  <c r="Q5027" i="3"/>
  <c r="Q5028" i="3"/>
  <c r="Q5029" i="3"/>
  <c r="Q5030" i="3"/>
  <c r="Q5031" i="3"/>
  <c r="Q5032" i="3"/>
  <c r="Q5033" i="3"/>
  <c r="Q5034" i="3"/>
  <c r="Q5035" i="3"/>
  <c r="Q5036" i="3"/>
  <c r="Q5037" i="3"/>
  <c r="Q5038" i="3"/>
  <c r="Q5039" i="3"/>
  <c r="Q5040" i="3"/>
  <c r="Q5041" i="3"/>
  <c r="Q5042" i="3"/>
  <c r="Q5043" i="3"/>
  <c r="Q5044" i="3"/>
  <c r="Q5045" i="3"/>
  <c r="Q5046" i="3"/>
  <c r="Q5047" i="3"/>
  <c r="Q5048" i="3"/>
  <c r="Q5049" i="3"/>
  <c r="Q5050" i="3"/>
  <c r="Q5051" i="3"/>
  <c r="Q5052" i="3"/>
  <c r="Q5053" i="3"/>
  <c r="Q5054" i="3"/>
  <c r="Q5055" i="3"/>
  <c r="Q5056" i="3"/>
  <c r="Q5057" i="3"/>
  <c r="Q5058" i="3"/>
  <c r="Q5059" i="3"/>
  <c r="Q5060" i="3"/>
  <c r="Q5061" i="3"/>
  <c r="Q5062" i="3"/>
  <c r="Q5063" i="3"/>
  <c r="Q5064" i="3"/>
  <c r="Q5065" i="3"/>
  <c r="Q5066" i="3"/>
  <c r="Q5067" i="3"/>
  <c r="Q5068" i="3"/>
  <c r="Q5069" i="3"/>
  <c r="Q5070" i="3"/>
  <c r="Q5071" i="3"/>
  <c r="Q5072" i="3"/>
  <c r="Q5073" i="3"/>
  <c r="Q5074" i="3"/>
  <c r="Q5075" i="3"/>
  <c r="Q5076" i="3"/>
  <c r="Q5077" i="3"/>
  <c r="Q5078" i="3"/>
  <c r="Q5079" i="3"/>
  <c r="Q5080" i="3"/>
  <c r="Q5081" i="3"/>
  <c r="Q5082" i="3"/>
  <c r="Q5083" i="3"/>
  <c r="Q5084" i="3"/>
  <c r="Q5085" i="3"/>
  <c r="Q5086" i="3"/>
  <c r="Q5087" i="3"/>
  <c r="Q5088" i="3"/>
  <c r="Q5089" i="3"/>
  <c r="Q5090" i="3"/>
  <c r="Q5091" i="3"/>
  <c r="Q5092" i="3"/>
  <c r="Q5093" i="3"/>
  <c r="Q5094" i="3"/>
  <c r="Q5095" i="3"/>
  <c r="Q5096" i="3"/>
  <c r="Q5097" i="3"/>
  <c r="Q5098" i="3"/>
  <c r="Q5099" i="3"/>
  <c r="Q5100" i="3"/>
  <c r="Q5101" i="3"/>
  <c r="Q5102" i="3"/>
  <c r="Q5103" i="3"/>
  <c r="Q5104" i="3"/>
  <c r="Q5105" i="3"/>
  <c r="Q5106" i="3"/>
  <c r="Q5107" i="3"/>
  <c r="Q5108" i="3"/>
  <c r="Q5109" i="3"/>
  <c r="Q5110" i="3"/>
  <c r="Q5111" i="3"/>
  <c r="Q5112" i="3"/>
  <c r="Q5113" i="3"/>
  <c r="Q5114" i="3"/>
  <c r="Q5115" i="3"/>
  <c r="Q5116" i="3"/>
  <c r="Q5117" i="3"/>
  <c r="Q5118" i="3"/>
  <c r="Q5119" i="3"/>
  <c r="Q5120" i="3"/>
  <c r="Q5121" i="3"/>
  <c r="Q5122" i="3"/>
  <c r="Q5123" i="3"/>
  <c r="Q5124" i="3"/>
  <c r="Q5125" i="3"/>
  <c r="Q5126" i="3"/>
  <c r="Q5127" i="3"/>
  <c r="Q5128" i="3"/>
  <c r="Q5129" i="3"/>
  <c r="Q5130" i="3"/>
  <c r="Q5131" i="3"/>
  <c r="Q5132" i="3"/>
  <c r="Q5133" i="3"/>
  <c r="Q5134" i="3"/>
  <c r="Q5135" i="3"/>
  <c r="Q5136" i="3"/>
  <c r="Q5137" i="3"/>
  <c r="Q5138" i="3"/>
  <c r="Q5139" i="3"/>
  <c r="Q5140" i="3"/>
  <c r="Q5141" i="3"/>
  <c r="Q5142" i="3"/>
  <c r="Q5143" i="3"/>
  <c r="Q5144" i="3"/>
  <c r="Q5145" i="3"/>
  <c r="Q5146" i="3"/>
  <c r="Q5147" i="3"/>
  <c r="Q5148" i="3"/>
  <c r="Q5149" i="3"/>
  <c r="Q5150" i="3"/>
  <c r="Q5151" i="3"/>
  <c r="Q5152" i="3"/>
  <c r="Q5153" i="3"/>
  <c r="Q5154" i="3"/>
  <c r="Q5155" i="3"/>
  <c r="Q5156" i="3"/>
  <c r="Q5157" i="3"/>
  <c r="Q5158" i="3"/>
  <c r="Q5159" i="3"/>
  <c r="Q5160" i="3"/>
  <c r="Q5161" i="3"/>
  <c r="Q5162" i="3"/>
  <c r="Q5163" i="3"/>
  <c r="Q5164" i="3"/>
  <c r="Q5165" i="3"/>
  <c r="Q5166" i="3"/>
  <c r="Q5167" i="3"/>
  <c r="Q5168" i="3"/>
  <c r="Q5169" i="3"/>
  <c r="Q5170" i="3"/>
  <c r="Q5171" i="3"/>
  <c r="Q5172" i="3"/>
  <c r="Q5173" i="3"/>
  <c r="Q5174" i="3"/>
  <c r="Q5175" i="3"/>
  <c r="Q5176" i="3"/>
  <c r="Q5177" i="3"/>
  <c r="Q5178" i="3"/>
  <c r="Q5179" i="3"/>
  <c r="Q5180" i="3"/>
  <c r="Q5181" i="3"/>
  <c r="Q5182" i="3"/>
  <c r="Q5183" i="3"/>
  <c r="Q5184" i="3"/>
  <c r="Q5185" i="3"/>
  <c r="Q5186" i="3"/>
  <c r="Q5187" i="3"/>
  <c r="Q5188" i="3"/>
  <c r="Q5189" i="3"/>
  <c r="Q5190" i="3"/>
  <c r="Q5191" i="3"/>
  <c r="Q5192" i="3"/>
  <c r="Q5193" i="3"/>
  <c r="Q5194" i="3"/>
  <c r="Q5195" i="3"/>
  <c r="Q5196" i="3"/>
  <c r="Q5197" i="3"/>
  <c r="Q5198" i="3"/>
  <c r="Q5199" i="3"/>
  <c r="Q5200" i="3"/>
  <c r="Q5201" i="3"/>
  <c r="Q5202" i="3"/>
  <c r="Q5203" i="3"/>
  <c r="Q5204" i="3"/>
  <c r="Q5205" i="3"/>
  <c r="Q5206" i="3"/>
  <c r="Q5207" i="3"/>
  <c r="Q5208" i="3"/>
  <c r="Q5209" i="3"/>
  <c r="Q5210" i="3"/>
  <c r="Q5211" i="3"/>
  <c r="Q5212" i="3"/>
  <c r="Q5213" i="3"/>
  <c r="Q5214" i="3"/>
  <c r="Q5215" i="3"/>
  <c r="Q5216" i="3"/>
  <c r="Q5217" i="3"/>
  <c r="Q5218" i="3"/>
  <c r="Q5219" i="3"/>
  <c r="Q5220" i="3"/>
  <c r="Q5221" i="3"/>
  <c r="Q5222" i="3"/>
  <c r="Q5223" i="3"/>
  <c r="Q5224" i="3"/>
  <c r="Q5225" i="3"/>
  <c r="Q5226" i="3"/>
  <c r="Q5227" i="3"/>
  <c r="Q5228" i="3"/>
  <c r="Q5229" i="3"/>
  <c r="Q5230" i="3"/>
  <c r="Q5231" i="3"/>
  <c r="Q5232" i="3"/>
  <c r="Q5233" i="3"/>
  <c r="Q5234" i="3"/>
  <c r="Q5235" i="3"/>
  <c r="Q5236" i="3"/>
  <c r="Q5237" i="3"/>
  <c r="Q5238" i="3"/>
  <c r="Q5239" i="3"/>
  <c r="Q5240" i="3"/>
  <c r="Q5241" i="3"/>
  <c r="Q5242" i="3"/>
  <c r="Q5243" i="3"/>
  <c r="Q5244" i="3"/>
  <c r="Q5245" i="3"/>
  <c r="Q5246" i="3"/>
  <c r="Q5247" i="3"/>
  <c r="Q5248" i="3"/>
  <c r="Q5249" i="3"/>
  <c r="Q5250" i="3"/>
  <c r="Q5251" i="3"/>
  <c r="Q5252" i="3"/>
  <c r="Q5253" i="3"/>
  <c r="Q5254" i="3"/>
  <c r="Q5255" i="3"/>
  <c r="Q5256" i="3"/>
  <c r="Q5257" i="3"/>
  <c r="Q5258" i="3"/>
  <c r="Q5259" i="3"/>
  <c r="Q5260" i="3"/>
  <c r="Q5261" i="3"/>
  <c r="Q5262" i="3"/>
  <c r="Q5263" i="3"/>
  <c r="Q5264" i="3"/>
  <c r="Q5265" i="3"/>
  <c r="Q5266" i="3"/>
  <c r="Q5267" i="3"/>
  <c r="Q5268" i="3"/>
  <c r="Q5269" i="3"/>
  <c r="Q5270" i="3"/>
  <c r="Q5271" i="3"/>
  <c r="Q5272" i="3"/>
  <c r="Q5273" i="3"/>
  <c r="Q5274" i="3"/>
  <c r="Q5275" i="3"/>
  <c r="Q5276" i="3"/>
  <c r="Q5277" i="3"/>
  <c r="Q5278" i="3"/>
  <c r="Q5279" i="3"/>
  <c r="Q5280" i="3"/>
  <c r="Q5281" i="3"/>
  <c r="Q5282" i="3"/>
  <c r="Q5283" i="3"/>
  <c r="Q5284" i="3"/>
  <c r="Q5285" i="3"/>
  <c r="Q5286" i="3"/>
  <c r="Q5287" i="3"/>
  <c r="Q5288" i="3"/>
  <c r="Q5289" i="3"/>
  <c r="Q5290" i="3"/>
  <c r="Q5291" i="3"/>
  <c r="Q5292" i="3"/>
  <c r="Q5293" i="3"/>
  <c r="Q5294" i="3"/>
  <c r="Q5295" i="3"/>
  <c r="Q5296" i="3"/>
  <c r="Q5297" i="3"/>
  <c r="Q5298" i="3"/>
  <c r="Q5299" i="3"/>
  <c r="Q5300" i="3"/>
  <c r="Q5301" i="3"/>
  <c r="Q5302" i="3"/>
  <c r="Q5303" i="3"/>
  <c r="Q5304" i="3"/>
  <c r="Q5305" i="3"/>
  <c r="Q5306" i="3"/>
  <c r="Q5307" i="3"/>
  <c r="Q5308" i="3"/>
  <c r="Q5309" i="3"/>
  <c r="Q5310" i="3"/>
  <c r="Q5311" i="3"/>
  <c r="Q5312" i="3"/>
  <c r="Q5313" i="3"/>
  <c r="Q5314" i="3"/>
  <c r="Q5315" i="3"/>
  <c r="Q5316" i="3"/>
  <c r="Q5317" i="3"/>
  <c r="Q5318" i="3"/>
  <c r="Q5319" i="3"/>
  <c r="Q5320" i="3"/>
  <c r="Q5321" i="3"/>
  <c r="Q5322" i="3"/>
  <c r="Q5323" i="3"/>
  <c r="Q5324" i="3"/>
  <c r="Q5325" i="3"/>
  <c r="Q5326" i="3"/>
  <c r="Q5327" i="3"/>
  <c r="Q5328" i="3"/>
  <c r="Q5329" i="3"/>
  <c r="Q5330" i="3"/>
  <c r="Q5331" i="3"/>
  <c r="Q5332" i="3"/>
  <c r="Q5333" i="3"/>
  <c r="Q5334" i="3"/>
  <c r="Q5335" i="3"/>
  <c r="Q5336" i="3"/>
  <c r="Q5337" i="3"/>
  <c r="Q5338" i="3"/>
  <c r="Q5339" i="3"/>
  <c r="Q5340" i="3"/>
  <c r="Q5341" i="3"/>
  <c r="Q5342" i="3"/>
  <c r="Q5343" i="3"/>
  <c r="Q5344" i="3"/>
  <c r="Q5345" i="3"/>
  <c r="Q5346" i="3"/>
  <c r="Q5347" i="3"/>
  <c r="Q5348" i="3"/>
  <c r="Q5349" i="3"/>
  <c r="Q5350" i="3"/>
  <c r="Q5351" i="3"/>
  <c r="Q5352" i="3"/>
  <c r="Q5353" i="3"/>
  <c r="Q5354" i="3"/>
  <c r="Q5355" i="3"/>
  <c r="Q5356" i="3"/>
  <c r="Q5357" i="3"/>
  <c r="Q5358" i="3"/>
  <c r="Q5359" i="3"/>
  <c r="Q5360" i="3"/>
  <c r="Q5361" i="3"/>
  <c r="Q5362" i="3"/>
  <c r="Q5363" i="3"/>
  <c r="Q5364" i="3"/>
  <c r="Q5365" i="3"/>
  <c r="Q5366" i="3"/>
  <c r="Q5367" i="3"/>
  <c r="Q5368" i="3"/>
  <c r="Q5369" i="3"/>
  <c r="Q5370" i="3"/>
  <c r="Q5371" i="3"/>
  <c r="Q5372" i="3"/>
  <c r="Q5373" i="3"/>
  <c r="Q5374" i="3"/>
  <c r="Q5375" i="3"/>
  <c r="Q5376" i="3"/>
  <c r="Q5377" i="3"/>
  <c r="Q5378" i="3"/>
  <c r="Q5379" i="3"/>
  <c r="Q5380" i="3"/>
  <c r="Q5381" i="3"/>
  <c r="Q5382" i="3"/>
  <c r="Q5383" i="3"/>
  <c r="Q5384" i="3"/>
  <c r="Q5385" i="3"/>
  <c r="Q5386" i="3"/>
  <c r="Q5387" i="3"/>
  <c r="Q5388" i="3"/>
  <c r="Q5389" i="3"/>
  <c r="Q5390" i="3"/>
  <c r="Q5391" i="3"/>
  <c r="Q5392" i="3"/>
  <c r="Q5393" i="3"/>
  <c r="Q5394" i="3"/>
  <c r="Q5395" i="3"/>
  <c r="Q5396" i="3"/>
  <c r="Q5397" i="3"/>
  <c r="Q5398" i="3"/>
  <c r="Q5399" i="3"/>
  <c r="Q5400" i="3"/>
  <c r="Q5401" i="3"/>
  <c r="Q5402" i="3"/>
  <c r="Q5403" i="3"/>
  <c r="Q5404" i="3"/>
  <c r="Q5405" i="3"/>
  <c r="Q5406" i="3"/>
  <c r="Q5407" i="3"/>
  <c r="Q5408" i="3"/>
  <c r="Q5409" i="3"/>
  <c r="Q5410" i="3"/>
  <c r="Q5411" i="3"/>
  <c r="Q5412" i="3"/>
  <c r="Q5413" i="3"/>
  <c r="Q5414" i="3"/>
  <c r="Q5415" i="3"/>
  <c r="Q5416" i="3"/>
  <c r="Q5417" i="3"/>
  <c r="Q5418" i="3"/>
  <c r="Q5419" i="3"/>
  <c r="Q5420" i="3"/>
  <c r="Q5421" i="3"/>
  <c r="Q5422" i="3"/>
  <c r="Q5423" i="3"/>
  <c r="Q5424" i="3"/>
  <c r="Q5425" i="3"/>
  <c r="Q5426" i="3"/>
  <c r="Q5427" i="3"/>
  <c r="Q5428" i="3"/>
  <c r="Q5429" i="3"/>
  <c r="Q5430" i="3"/>
  <c r="Q5431" i="3"/>
  <c r="Q5432" i="3"/>
  <c r="Q5433" i="3"/>
  <c r="Q5434" i="3"/>
  <c r="Q5435" i="3"/>
  <c r="Q5436" i="3"/>
  <c r="Q5437" i="3"/>
  <c r="Q5438" i="3"/>
  <c r="Q5439" i="3"/>
  <c r="Q5440" i="3"/>
  <c r="Q5441" i="3"/>
  <c r="Q5442" i="3"/>
  <c r="Q5443" i="3"/>
  <c r="Q5444" i="3"/>
  <c r="Q5445" i="3"/>
  <c r="Q5446" i="3"/>
  <c r="Q5447" i="3"/>
  <c r="Q5448" i="3"/>
  <c r="Q5449" i="3"/>
  <c r="Q5450" i="3"/>
  <c r="Q5451" i="3"/>
  <c r="Q5452" i="3"/>
  <c r="Q5453" i="3"/>
  <c r="Q5454" i="3"/>
  <c r="Q5455" i="3"/>
  <c r="Q5456" i="3"/>
  <c r="Q5457" i="3"/>
  <c r="Q5458" i="3"/>
  <c r="Q5459" i="3"/>
  <c r="Q5460" i="3"/>
  <c r="Q5461" i="3"/>
  <c r="Q5462" i="3"/>
  <c r="Q5463" i="3"/>
  <c r="Q5464" i="3"/>
  <c r="Q5465" i="3"/>
  <c r="Q5466" i="3"/>
  <c r="Q5467" i="3"/>
  <c r="Q5468" i="3"/>
  <c r="Q5469" i="3"/>
  <c r="Q5470" i="3"/>
  <c r="Q5471" i="3"/>
  <c r="Q5472" i="3"/>
  <c r="Q5473" i="3"/>
  <c r="Q5474" i="3"/>
  <c r="Q5475" i="3"/>
  <c r="Q5476" i="3"/>
  <c r="Q5477" i="3"/>
  <c r="Q5478" i="3"/>
  <c r="Q5479" i="3"/>
  <c r="Q5480" i="3"/>
  <c r="Q5481" i="3"/>
  <c r="Q5482" i="3"/>
  <c r="Q5483" i="3"/>
  <c r="Q5484" i="3"/>
  <c r="Q5485" i="3"/>
  <c r="Q5486" i="3"/>
  <c r="Q5487" i="3"/>
  <c r="Q5488" i="3"/>
  <c r="Q5489" i="3"/>
  <c r="Q5490" i="3"/>
  <c r="Q5491" i="3"/>
  <c r="Q5492" i="3"/>
  <c r="Q5493" i="3"/>
  <c r="Q5494" i="3"/>
  <c r="Q5495" i="3"/>
  <c r="Q5496" i="3"/>
  <c r="Q5497" i="3"/>
  <c r="Q5498" i="3"/>
  <c r="Q5499" i="3"/>
  <c r="Q5500" i="3"/>
  <c r="Q5501" i="3"/>
  <c r="Q5502" i="3"/>
  <c r="Q5503" i="3"/>
  <c r="Q5504" i="3"/>
  <c r="Q5505" i="3"/>
  <c r="Q5506" i="3"/>
  <c r="Q5507" i="3"/>
  <c r="Q5508" i="3"/>
  <c r="Q5509" i="3"/>
  <c r="Q5510" i="3"/>
  <c r="Q5511" i="3"/>
  <c r="Q5512" i="3"/>
  <c r="Q5513" i="3"/>
  <c r="Q5514" i="3"/>
  <c r="Q5515" i="3"/>
  <c r="Q5516" i="3"/>
  <c r="Q5517" i="3"/>
  <c r="Q5518" i="3"/>
  <c r="Q5519" i="3"/>
  <c r="Q5520" i="3"/>
  <c r="Q5521" i="3"/>
  <c r="Q5522" i="3"/>
  <c r="Q5523" i="3"/>
  <c r="Q5524" i="3"/>
  <c r="Q5525" i="3"/>
  <c r="Q5526" i="3"/>
  <c r="Q5527" i="3"/>
  <c r="Q5528" i="3"/>
  <c r="Q5529" i="3"/>
  <c r="Q5530" i="3"/>
  <c r="Q5531" i="3"/>
  <c r="Q5532" i="3"/>
  <c r="Q5533" i="3"/>
  <c r="Q5534" i="3"/>
  <c r="Q5535" i="3"/>
  <c r="Q5536" i="3"/>
  <c r="Q5537" i="3"/>
  <c r="Q5538" i="3"/>
  <c r="Q5539" i="3"/>
  <c r="Q5540" i="3"/>
  <c r="Q5541" i="3"/>
  <c r="Q5542" i="3"/>
  <c r="Q5543" i="3"/>
  <c r="Q5544" i="3"/>
  <c r="Q5545" i="3"/>
  <c r="Q5546" i="3"/>
  <c r="Q5547" i="3"/>
  <c r="Q5548" i="3"/>
  <c r="Q5549" i="3"/>
  <c r="Q5550" i="3"/>
  <c r="Q5551" i="3"/>
  <c r="Q5552" i="3"/>
  <c r="Q5553" i="3"/>
  <c r="Q5554" i="3"/>
  <c r="Q5555" i="3"/>
  <c r="Q5556" i="3"/>
  <c r="Q5557" i="3"/>
  <c r="Q5558" i="3"/>
  <c r="Q5559" i="3"/>
  <c r="Q5560" i="3"/>
  <c r="Q5561" i="3"/>
  <c r="Q5562" i="3"/>
  <c r="Q5563" i="3"/>
  <c r="Q5564" i="3"/>
  <c r="Q5565" i="3"/>
  <c r="Q5566" i="3"/>
  <c r="Q5567" i="3"/>
  <c r="Q5568" i="3"/>
  <c r="Q5569" i="3"/>
  <c r="Q5570" i="3"/>
  <c r="Q5571" i="3"/>
  <c r="Q5572" i="3"/>
  <c r="Q5573" i="3"/>
  <c r="Q5574" i="3"/>
  <c r="Q5575" i="3"/>
  <c r="Q5576" i="3"/>
  <c r="Q5577" i="3"/>
  <c r="Q5578" i="3"/>
  <c r="Q5579" i="3"/>
  <c r="Q5580" i="3"/>
  <c r="Q5581" i="3"/>
  <c r="Q5582" i="3"/>
  <c r="Q5583" i="3"/>
  <c r="Q5584" i="3"/>
  <c r="Q5585" i="3"/>
  <c r="Q5586" i="3"/>
  <c r="Q5587" i="3"/>
  <c r="Q5588" i="3"/>
  <c r="Q5589" i="3"/>
  <c r="Q5590" i="3"/>
  <c r="Q5591" i="3"/>
  <c r="Q5592" i="3"/>
  <c r="Q5593" i="3"/>
  <c r="Q5594" i="3"/>
  <c r="Q5595" i="3"/>
  <c r="Q5596" i="3"/>
  <c r="Q5597" i="3"/>
  <c r="Q5598" i="3"/>
  <c r="Q5599" i="3"/>
  <c r="Q5600" i="3"/>
  <c r="Q5601" i="3"/>
  <c r="Q5602" i="3"/>
  <c r="Q5603" i="3"/>
  <c r="Q5604" i="3"/>
  <c r="Q5605" i="3"/>
  <c r="Q5606" i="3"/>
  <c r="Q5607" i="3"/>
  <c r="Q5608" i="3"/>
  <c r="Q5609" i="3"/>
  <c r="Q5610" i="3"/>
  <c r="Q5611" i="3"/>
  <c r="Q5612" i="3"/>
  <c r="Q5613" i="3"/>
  <c r="Q5614" i="3"/>
  <c r="Q5615" i="3"/>
  <c r="Q5616" i="3"/>
  <c r="Q5617" i="3"/>
  <c r="Q5618" i="3"/>
  <c r="Q5619" i="3"/>
  <c r="Q5620" i="3"/>
  <c r="Q5621" i="3"/>
  <c r="Q5622" i="3"/>
  <c r="Q5623" i="3"/>
  <c r="Q5624" i="3"/>
  <c r="Q5625" i="3"/>
  <c r="Q5626" i="3"/>
  <c r="Q5627" i="3"/>
  <c r="Q5628" i="3"/>
  <c r="Q5629" i="3"/>
  <c r="Q5630" i="3"/>
  <c r="Q5631" i="3"/>
  <c r="Q5632" i="3"/>
  <c r="Q5633" i="3"/>
  <c r="Q5634" i="3"/>
  <c r="Q5635" i="3"/>
  <c r="Q5636" i="3"/>
  <c r="Q5637" i="3"/>
  <c r="Q5638" i="3"/>
  <c r="Q5639" i="3"/>
  <c r="Q5640" i="3"/>
  <c r="Q5641" i="3"/>
  <c r="Q5642" i="3"/>
  <c r="Q5643" i="3"/>
  <c r="Q5644" i="3"/>
  <c r="Q5645" i="3"/>
  <c r="Q5646" i="3"/>
  <c r="Q5647" i="3"/>
  <c r="Q5648" i="3"/>
  <c r="Q5649" i="3"/>
  <c r="Q5650" i="3"/>
  <c r="Q5651" i="3"/>
  <c r="Q5652" i="3"/>
  <c r="Q5653" i="3"/>
  <c r="Q5654" i="3"/>
  <c r="Q5655" i="3"/>
  <c r="Q5656" i="3"/>
  <c r="Q5657" i="3"/>
  <c r="Q5658" i="3"/>
  <c r="Q5659" i="3"/>
  <c r="Q5660" i="3"/>
  <c r="Q5661" i="3"/>
  <c r="Q5662" i="3"/>
  <c r="Q5663" i="3"/>
  <c r="Q5664" i="3"/>
  <c r="Q5665" i="3"/>
  <c r="Q5666" i="3"/>
  <c r="Q5667" i="3"/>
  <c r="Q5668" i="3"/>
  <c r="Q5669" i="3"/>
  <c r="Q5670" i="3"/>
  <c r="Q5671" i="3"/>
  <c r="Q5672" i="3"/>
  <c r="Q5673" i="3"/>
  <c r="Q5674" i="3"/>
  <c r="Q5675" i="3"/>
  <c r="Q5676" i="3"/>
  <c r="Q5677" i="3"/>
  <c r="Q5678" i="3"/>
  <c r="Q5679" i="3"/>
  <c r="Q5680" i="3"/>
  <c r="Q5681" i="3"/>
  <c r="Q5682" i="3"/>
  <c r="Q5683" i="3"/>
  <c r="Q5684" i="3"/>
  <c r="Q5685" i="3"/>
  <c r="Q5686" i="3"/>
  <c r="Q5687" i="3"/>
  <c r="Q5688" i="3"/>
  <c r="Q5689" i="3"/>
  <c r="Q5690" i="3"/>
  <c r="Q5691" i="3"/>
  <c r="Q5692" i="3"/>
  <c r="Q5693" i="3"/>
  <c r="Q5694" i="3"/>
  <c r="Q5695" i="3"/>
  <c r="Q5696" i="3"/>
  <c r="Q5697" i="3"/>
  <c r="Q5698" i="3"/>
  <c r="Q5699" i="3"/>
  <c r="Q5700" i="3"/>
  <c r="Q5701" i="3"/>
  <c r="Q5702" i="3"/>
  <c r="Q5703" i="3"/>
  <c r="Q5704" i="3"/>
  <c r="Q5705" i="3"/>
  <c r="Q5706" i="3"/>
  <c r="Q5707" i="3"/>
  <c r="Q5708" i="3"/>
  <c r="Q5709" i="3"/>
  <c r="Q5710" i="3"/>
  <c r="Q5711" i="3"/>
  <c r="Q5712" i="3"/>
  <c r="Q5713" i="3"/>
  <c r="Q5714" i="3"/>
  <c r="Q5715" i="3"/>
  <c r="Q5716" i="3"/>
  <c r="Q5717" i="3"/>
  <c r="Q5718" i="3"/>
  <c r="Q5719" i="3"/>
  <c r="Q5720" i="3"/>
  <c r="Q5721" i="3"/>
  <c r="Q5722" i="3"/>
  <c r="Q5723" i="3"/>
  <c r="Q5724" i="3"/>
  <c r="Q5725" i="3"/>
  <c r="Q5726" i="3"/>
  <c r="Q5727" i="3"/>
  <c r="Q5728" i="3"/>
  <c r="Q5729" i="3"/>
  <c r="Q5730" i="3"/>
  <c r="Q5731" i="3"/>
  <c r="Q5732" i="3"/>
  <c r="Q5733" i="3"/>
  <c r="Q5734" i="3"/>
  <c r="Q5735" i="3"/>
  <c r="Q5736" i="3"/>
  <c r="Q5737" i="3"/>
  <c r="Q5738" i="3"/>
  <c r="Q5739" i="3"/>
  <c r="Q5740" i="3"/>
  <c r="Q5741" i="3"/>
  <c r="Q5742" i="3"/>
  <c r="Q5743" i="3"/>
  <c r="Q5744" i="3"/>
  <c r="Q5745" i="3"/>
  <c r="Q5746" i="3"/>
  <c r="Q5747" i="3"/>
  <c r="Q5748" i="3"/>
  <c r="Q5749" i="3"/>
  <c r="Q5750" i="3"/>
  <c r="Q5751" i="3"/>
  <c r="Q5752" i="3"/>
  <c r="Q5753" i="3"/>
  <c r="Q5754" i="3"/>
  <c r="Q5755" i="3"/>
  <c r="Q5756" i="3"/>
  <c r="Q5757" i="3"/>
  <c r="Q5758" i="3"/>
  <c r="Q5759" i="3"/>
  <c r="Q5760" i="3"/>
  <c r="Q5761" i="3"/>
  <c r="Q5762" i="3"/>
  <c r="Q5763" i="3"/>
  <c r="Q5764" i="3"/>
  <c r="Q5765" i="3"/>
  <c r="Q5766" i="3"/>
  <c r="Q5767" i="3"/>
  <c r="Q5768" i="3"/>
  <c r="Q5769" i="3"/>
  <c r="Q5770" i="3"/>
  <c r="Q5771" i="3"/>
  <c r="Q5772" i="3"/>
  <c r="Q5773" i="3"/>
  <c r="Q5774" i="3"/>
  <c r="Q5775" i="3"/>
  <c r="Q5776" i="3"/>
  <c r="Q5777" i="3"/>
  <c r="Q5778" i="3"/>
  <c r="Q5779" i="3"/>
  <c r="Q5780" i="3"/>
  <c r="Q5781" i="3"/>
  <c r="Q5782" i="3"/>
  <c r="Q5783" i="3"/>
  <c r="Q5784" i="3"/>
  <c r="Q5785" i="3"/>
  <c r="Q5786" i="3"/>
  <c r="Q5787" i="3"/>
  <c r="Q5788" i="3"/>
  <c r="Q5789" i="3"/>
  <c r="Q5790" i="3"/>
  <c r="Q5791" i="3"/>
  <c r="Q5792" i="3"/>
  <c r="Q5793" i="3"/>
  <c r="Q5794" i="3"/>
  <c r="Q5795" i="3"/>
  <c r="Q5796" i="3"/>
  <c r="Q5797" i="3"/>
  <c r="Q5798" i="3"/>
  <c r="Q5799" i="3"/>
  <c r="Q5800" i="3"/>
  <c r="Q5801" i="3"/>
  <c r="Q5802" i="3"/>
  <c r="Q5803" i="3"/>
  <c r="Q5804" i="3"/>
  <c r="Q5805" i="3"/>
  <c r="Q5806" i="3"/>
  <c r="Q5807" i="3"/>
  <c r="Q5808" i="3"/>
  <c r="Q5809" i="3"/>
  <c r="Q5810" i="3"/>
  <c r="Q5811" i="3"/>
  <c r="Q5812" i="3"/>
  <c r="Q5813" i="3"/>
  <c r="Q5814" i="3"/>
  <c r="Q5815" i="3"/>
  <c r="Q5816" i="3"/>
  <c r="Q5817" i="3"/>
  <c r="Q5818" i="3"/>
  <c r="Q5819" i="3"/>
  <c r="Q5820" i="3"/>
  <c r="Q5821" i="3"/>
  <c r="Q5822" i="3"/>
  <c r="Q5823" i="3"/>
  <c r="Q5824" i="3"/>
  <c r="Q5825" i="3"/>
  <c r="Q5826" i="3"/>
  <c r="Q5827" i="3"/>
  <c r="Q5828" i="3"/>
  <c r="Q5829" i="3"/>
  <c r="Q5830" i="3"/>
  <c r="Q5831" i="3"/>
  <c r="Q5832" i="3"/>
  <c r="Q5833" i="3"/>
  <c r="Q5834" i="3"/>
  <c r="Q5835" i="3"/>
  <c r="Q5836" i="3"/>
  <c r="Q5837" i="3"/>
  <c r="Q5838" i="3"/>
  <c r="Q5839" i="3"/>
  <c r="Q5840" i="3"/>
  <c r="Q5841" i="3"/>
  <c r="Q5842" i="3"/>
  <c r="Q5843" i="3"/>
  <c r="Q5844" i="3"/>
  <c r="Q5845" i="3"/>
  <c r="Q5846" i="3"/>
  <c r="Q5847" i="3"/>
  <c r="Q5848" i="3"/>
  <c r="Q5849" i="3"/>
  <c r="Q5850" i="3"/>
  <c r="Q5851" i="3"/>
  <c r="Q5852" i="3"/>
  <c r="Q5853" i="3"/>
  <c r="Q5854" i="3"/>
  <c r="Q5855" i="3"/>
  <c r="Q5856" i="3"/>
  <c r="Q5857" i="3"/>
  <c r="Q5858" i="3"/>
  <c r="Q5859" i="3"/>
  <c r="Q5860" i="3"/>
  <c r="Q5861" i="3"/>
  <c r="Q5862" i="3"/>
  <c r="Q5863" i="3"/>
  <c r="Q5864" i="3"/>
  <c r="Q5865" i="3"/>
  <c r="Q5866" i="3"/>
  <c r="Q5867" i="3"/>
  <c r="Q5868" i="3"/>
  <c r="Q5869" i="3"/>
  <c r="Q5870" i="3"/>
  <c r="Q5871" i="3"/>
  <c r="Q5872" i="3"/>
  <c r="Q5873" i="3"/>
  <c r="Q5874" i="3"/>
  <c r="Q5875" i="3"/>
  <c r="Q5876" i="3"/>
  <c r="Q5877" i="3"/>
  <c r="Q5878" i="3"/>
  <c r="Q5879" i="3"/>
  <c r="Q5880" i="3"/>
  <c r="Q5881" i="3"/>
  <c r="Q5882" i="3"/>
  <c r="Q5883" i="3"/>
  <c r="Q5884" i="3"/>
  <c r="Q5885" i="3"/>
  <c r="Q5886" i="3"/>
  <c r="Q5887" i="3"/>
  <c r="Q5888" i="3"/>
  <c r="Q5889" i="3"/>
  <c r="Q5890" i="3"/>
  <c r="Q5891" i="3"/>
  <c r="Q5892" i="3"/>
  <c r="Q5893" i="3"/>
  <c r="Q5894" i="3"/>
  <c r="Q5895" i="3"/>
  <c r="Q5896" i="3"/>
  <c r="Q5897" i="3"/>
  <c r="Q5898" i="3"/>
  <c r="Q5899" i="3"/>
  <c r="Q5900" i="3"/>
  <c r="Q5901" i="3"/>
  <c r="Q5902" i="3"/>
  <c r="Q5903" i="3"/>
  <c r="Q5904" i="3"/>
  <c r="Q5905" i="3"/>
  <c r="Q5906" i="3"/>
  <c r="Q5907" i="3"/>
  <c r="Q5908" i="3"/>
  <c r="Q5909" i="3"/>
  <c r="Q5910" i="3"/>
  <c r="Q5911" i="3"/>
  <c r="Q5912" i="3"/>
  <c r="Q5913" i="3"/>
  <c r="Q5914" i="3"/>
  <c r="Q5915" i="3"/>
  <c r="Q5916" i="3"/>
  <c r="Q5917" i="3"/>
  <c r="Q5918" i="3"/>
  <c r="Q5919" i="3"/>
  <c r="Q5920" i="3"/>
  <c r="Q5921" i="3"/>
  <c r="Q5922" i="3"/>
  <c r="Q5923" i="3"/>
  <c r="Q5924" i="3"/>
  <c r="Q5925" i="3"/>
  <c r="Q5926" i="3"/>
  <c r="Q5927" i="3"/>
  <c r="Q5928" i="3"/>
  <c r="Q5929" i="3"/>
  <c r="Q5930" i="3"/>
  <c r="Q5931" i="3"/>
  <c r="Q5932" i="3"/>
  <c r="Q5933" i="3"/>
  <c r="Q5934" i="3"/>
  <c r="Q5935" i="3"/>
  <c r="Q5936" i="3"/>
  <c r="Q5937" i="3"/>
  <c r="Q5938" i="3"/>
  <c r="Q5939" i="3"/>
  <c r="Q5940" i="3"/>
  <c r="Q5941" i="3"/>
  <c r="Q5942" i="3"/>
  <c r="Q5943" i="3"/>
  <c r="Q5944" i="3"/>
  <c r="Q5945" i="3"/>
  <c r="Q5946" i="3"/>
  <c r="Q5947" i="3"/>
  <c r="Q5948" i="3"/>
  <c r="Q5949" i="3"/>
  <c r="Q5950" i="3"/>
  <c r="Q5951" i="3"/>
  <c r="Q5952" i="3"/>
  <c r="Q5953" i="3"/>
  <c r="Q5954" i="3"/>
  <c r="Q5955" i="3"/>
  <c r="Q5956" i="3"/>
  <c r="Q5957" i="3"/>
  <c r="Q5958" i="3"/>
  <c r="Q5959" i="3"/>
  <c r="Q5960" i="3"/>
  <c r="Q5961" i="3"/>
  <c r="Q5962" i="3"/>
  <c r="Q5963" i="3"/>
  <c r="Q5964" i="3"/>
  <c r="Q5965" i="3"/>
  <c r="Q5966" i="3"/>
  <c r="Q5967" i="3"/>
  <c r="Q5968" i="3"/>
  <c r="Q5969" i="3"/>
  <c r="Q5970" i="3"/>
  <c r="Q5971" i="3"/>
  <c r="Q5972" i="3"/>
  <c r="Q5973" i="3"/>
  <c r="Q5974" i="3"/>
  <c r="Q5975" i="3"/>
  <c r="Q5976" i="3"/>
  <c r="Q5977" i="3"/>
  <c r="Q5978" i="3"/>
  <c r="Q5979" i="3"/>
  <c r="Q5980" i="3"/>
  <c r="Q5981" i="3"/>
  <c r="Q5982" i="3"/>
  <c r="Q5983" i="3"/>
  <c r="Q5984" i="3"/>
  <c r="Q5985" i="3"/>
  <c r="Q5986" i="3"/>
  <c r="Q5987" i="3"/>
  <c r="Q5988" i="3"/>
  <c r="Q5989" i="3"/>
  <c r="Q5990" i="3"/>
  <c r="Q5991" i="3"/>
  <c r="Q5992" i="3"/>
  <c r="Q5993" i="3"/>
  <c r="Q5994" i="3"/>
  <c r="Q5995" i="3"/>
  <c r="Q5996" i="3"/>
  <c r="Q5997" i="3"/>
  <c r="Q5998" i="3"/>
  <c r="Q5999" i="3"/>
  <c r="Q6000" i="3"/>
  <c r="Q6001" i="3"/>
  <c r="Q6002" i="3"/>
  <c r="Q6003" i="3"/>
  <c r="Q6004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2" i="3"/>
  <c r="H1001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3" i="2"/>
  <c r="H4" i="2"/>
  <c r="H5" i="2"/>
  <c r="H6" i="2"/>
  <c r="H7" i="2"/>
  <c r="H8" i="2"/>
  <c r="H9" i="2"/>
  <c r="H10" i="2"/>
  <c r="H2" i="2"/>
  <c r="L25" i="1"/>
  <c r="M26" i="1"/>
  <c r="C97" i="15" l="1"/>
  <c r="C185" i="15"/>
  <c r="C200" i="15"/>
  <c r="C237" i="15"/>
  <c r="C99" i="15"/>
  <c r="C100" i="15"/>
  <c r="C98" i="15"/>
  <c r="C96" i="15"/>
  <c r="B81" i="15"/>
  <c r="C80" i="15" s="1"/>
  <c r="C170" i="15"/>
  <c r="B91" i="15"/>
  <c r="C89" i="15" s="1"/>
  <c r="B67" i="15"/>
  <c r="C64" i="15" s="1"/>
  <c r="C66" i="15"/>
  <c r="C65" i="15"/>
  <c r="C63" i="15"/>
  <c r="B58" i="15"/>
  <c r="C54" i="15" s="1"/>
  <c r="C22" i="15"/>
  <c r="C23" i="15" s="1"/>
  <c r="C3" i="15"/>
  <c r="L12" i="3"/>
  <c r="L13" i="3"/>
  <c r="L23" i="1"/>
  <c r="L22" i="1"/>
  <c r="C87" i="15" l="1"/>
  <c r="C79" i="15"/>
  <c r="C86" i="15"/>
  <c r="C101" i="15"/>
  <c r="C78" i="15"/>
  <c r="C88" i="15"/>
  <c r="C90" i="15"/>
  <c r="C67" i="15"/>
  <c r="C57" i="15"/>
  <c r="C56" i="15"/>
  <c r="C55" i="15"/>
  <c r="C4" i="15"/>
  <c r="C2" i="15"/>
  <c r="C5" i="15"/>
  <c r="C91" i="15" l="1"/>
</calcChain>
</file>

<file path=xl/sharedStrings.xml><?xml version="1.0" encoding="utf-8"?>
<sst xmlns="http://schemas.openxmlformats.org/spreadsheetml/2006/main" count="48498" uniqueCount="8704">
  <si>
    <t>Customer_ID</t>
  </si>
  <si>
    <t>Age</t>
  </si>
  <si>
    <t>Gender</t>
  </si>
  <si>
    <t>Province</t>
  </si>
  <si>
    <t>City</t>
  </si>
  <si>
    <t>Branch_ID</t>
  </si>
  <si>
    <t>Customer_Segment</t>
  </si>
  <si>
    <t>Join_Date</t>
  </si>
  <si>
    <t>C00001</t>
  </si>
  <si>
    <t>Male</t>
  </si>
  <si>
    <t>Lusaka</t>
  </si>
  <si>
    <t>B003</t>
  </si>
  <si>
    <t>Individual</t>
  </si>
  <si>
    <t>C00002</t>
  </si>
  <si>
    <t>Eastern</t>
  </si>
  <si>
    <t>Chipata</t>
  </si>
  <si>
    <t>B010</t>
  </si>
  <si>
    <t>Student</t>
  </si>
  <si>
    <t>C00003</t>
  </si>
  <si>
    <t>Southern</t>
  </si>
  <si>
    <t>Livingstone</t>
  </si>
  <si>
    <t>B007</t>
  </si>
  <si>
    <t>SME</t>
  </si>
  <si>
    <t>C00004</t>
  </si>
  <si>
    <t>Female</t>
  </si>
  <si>
    <t>Copperbelt</t>
  </si>
  <si>
    <t>Kitwe</t>
  </si>
  <si>
    <t>B005</t>
  </si>
  <si>
    <t>C00005</t>
  </si>
  <si>
    <t>B001</t>
  </si>
  <si>
    <t>C00006</t>
  </si>
  <si>
    <t>C00007</t>
  </si>
  <si>
    <t>C00008</t>
  </si>
  <si>
    <t>Western</t>
  </si>
  <si>
    <t>Mongu</t>
  </si>
  <si>
    <t>B009</t>
  </si>
  <si>
    <t>C00009</t>
  </si>
  <si>
    <t>C00010</t>
  </si>
  <si>
    <t>Ndola</t>
  </si>
  <si>
    <t>B006</t>
  </si>
  <si>
    <t>C00011</t>
  </si>
  <si>
    <t>C00012</t>
  </si>
  <si>
    <t>C00013</t>
  </si>
  <si>
    <t>Central</t>
  </si>
  <si>
    <t>Kabwe</t>
  </si>
  <si>
    <t>B008</t>
  </si>
  <si>
    <t>C00014</t>
  </si>
  <si>
    <t>B002</t>
  </si>
  <si>
    <t>C00015</t>
  </si>
  <si>
    <t>C00016</t>
  </si>
  <si>
    <t>C00017</t>
  </si>
  <si>
    <t>C00018</t>
  </si>
  <si>
    <t>C00019</t>
  </si>
  <si>
    <t>B004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</si>
  <si>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</si>
  <si>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</si>
  <si>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</si>
  <si>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</si>
  <si>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</si>
  <si>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</si>
  <si>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</si>
  <si>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</si>
  <si>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</si>
  <si>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</si>
  <si>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</si>
  <si>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</si>
  <si>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</si>
  <si>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</si>
  <si>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</si>
  <si>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</si>
  <si>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</si>
  <si>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</si>
  <si>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</si>
  <si>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</si>
  <si>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</si>
  <si>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</si>
  <si>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</si>
  <si>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</si>
  <si>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Corporate</t>
  </si>
  <si>
    <t>C00044</t>
  </si>
  <si>
    <t>C00045</t>
  </si>
  <si>
    <t>C00046</t>
  </si>
  <si>
    <t xml:space="preserve"> Ndola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</si>
  <si>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</si>
  <si>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</si>
  <si>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</si>
  <si>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</si>
  <si>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</si>
  <si>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</si>
  <si>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</si>
  <si>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</si>
  <si>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</si>
  <si>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</si>
  <si>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</si>
  <si>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</si>
  <si>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</si>
  <si>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</si>
  <si>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</si>
  <si>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</si>
  <si>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</si>
  <si>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</si>
  <si>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</si>
  <si>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</si>
  <si>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</si>
  <si>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</si>
  <si>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</si>
  <si>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</si>
  <si>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</si>
  <si>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</si>
  <si>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</si>
  <si>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</si>
  <si>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</si>
  <si>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</si>
  <si>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</si>
  <si>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</si>
  <si>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</si>
  <si>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</si>
  <si>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</si>
  <si>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</si>
  <si>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</si>
  <si>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</si>
  <si>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</si>
  <si>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</si>
  <si>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</si>
  <si>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</si>
  <si>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</si>
  <si>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</si>
  <si>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</si>
  <si>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</si>
  <si>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</si>
  <si>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</si>
  <si>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</si>
  <si>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</si>
  <si>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</si>
  <si>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</si>
  <si>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</si>
  <si>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</si>
  <si>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</si>
  <si>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</si>
  <si>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</si>
  <si>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</si>
  <si>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</si>
  <si>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</si>
  <si>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</si>
  <si>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</si>
  <si>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</si>
  <si>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</si>
  <si>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</si>
  <si>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</si>
  <si>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</si>
  <si>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</si>
  <si>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</si>
  <si>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</si>
  <si>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</si>
  <si>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</si>
  <si>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</si>
  <si>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</si>
  <si>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</si>
  <si>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</si>
  <si>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</si>
  <si>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</si>
  <si>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</si>
  <si>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</si>
  <si>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</si>
  <si>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</si>
  <si>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</si>
  <si>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</si>
  <si>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</si>
  <si>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</si>
  <si>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</si>
  <si>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</si>
  <si>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</si>
  <si>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</si>
  <si>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</si>
  <si>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</si>
  <si>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</si>
  <si>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</si>
  <si>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</si>
  <si>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</si>
  <si>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</si>
  <si>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</si>
  <si>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</si>
  <si>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</si>
  <si>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</si>
  <si>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</si>
  <si>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</si>
  <si>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</si>
  <si>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</si>
  <si>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</si>
  <si>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</si>
  <si>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</si>
  <si>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</si>
  <si>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</si>
  <si>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</si>
  <si>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</si>
  <si>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</si>
  <si>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</si>
  <si>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</si>
  <si>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</si>
  <si>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</si>
  <si>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</si>
  <si>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</si>
  <si>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</si>
  <si>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</si>
  <si>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</si>
  <si>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</si>
  <si>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</si>
  <si>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</si>
  <si>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</si>
  <si>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</si>
  <si>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</si>
  <si>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</si>
  <si>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</si>
  <si>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</si>
  <si>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</si>
  <si>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</si>
  <si>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 xml:space="preserve"> Chipata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</si>
  <si>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</si>
  <si>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</si>
  <si>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</si>
  <si>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</si>
  <si>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</si>
  <si>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</si>
  <si>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</si>
  <si>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</si>
  <si>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</si>
  <si>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</si>
  <si>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</si>
  <si>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</si>
  <si>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</si>
  <si>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</si>
  <si>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</si>
  <si>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</si>
  <si>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</si>
  <si>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</si>
  <si>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</si>
  <si>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</si>
  <si>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</si>
  <si>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</si>
  <si>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</si>
  <si>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</si>
  <si>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</si>
  <si>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</si>
  <si>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</si>
  <si>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</si>
  <si>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</si>
  <si>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</si>
  <si>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</si>
  <si>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</si>
  <si>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</si>
  <si>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</si>
  <si>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</si>
  <si>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</si>
  <si>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</si>
  <si>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</si>
  <si>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</si>
  <si>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</si>
  <si>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</si>
  <si>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</si>
  <si>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</si>
  <si>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</si>
  <si>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</si>
  <si>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</si>
  <si>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</si>
  <si>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</si>
  <si>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</si>
  <si>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</si>
  <si>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</si>
  <si>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</si>
  <si>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Lusaka Province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</si>
  <si>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</si>
  <si>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</si>
  <si>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</si>
  <si>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</si>
  <si>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</si>
  <si>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</si>
  <si>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</si>
  <si>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</si>
  <si>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</si>
  <si>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</si>
  <si>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</si>
  <si>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</si>
  <si>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</si>
  <si>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</si>
  <si>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</si>
  <si>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</si>
  <si>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</si>
  <si>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</si>
  <si>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</si>
  <si>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</si>
  <si>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</si>
  <si>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</si>
  <si>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</si>
  <si>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</si>
  <si>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</si>
  <si>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</si>
  <si>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</si>
  <si>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</si>
  <si>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</si>
  <si>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</si>
  <si>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</si>
  <si>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</si>
  <si>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</si>
  <si>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</si>
  <si>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</si>
  <si>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</si>
  <si>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</si>
  <si>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</si>
  <si>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</si>
  <si>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</si>
  <si>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</si>
  <si>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</si>
  <si>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</si>
  <si>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</si>
  <si>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</si>
  <si>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</si>
  <si>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</si>
  <si>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</si>
  <si>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</si>
  <si>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</si>
  <si>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</si>
  <si>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</si>
  <si>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</si>
  <si>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</si>
  <si>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</si>
  <si>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</si>
  <si>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</si>
  <si>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</si>
  <si>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</si>
  <si>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</si>
  <si>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</si>
  <si>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</si>
  <si>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</si>
  <si>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</si>
  <si>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</si>
  <si>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</si>
  <si>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</si>
  <si>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</si>
  <si>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</si>
  <si>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</si>
  <si>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</si>
  <si>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</si>
  <si>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</si>
  <si>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</si>
  <si>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</si>
  <si>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</si>
  <si>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</si>
  <si>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</si>
  <si>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</si>
  <si>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</si>
  <si>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</si>
  <si>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</si>
  <si>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</si>
  <si>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</si>
  <si>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</si>
  <si>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</si>
  <si>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</si>
  <si>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</si>
  <si>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</si>
  <si>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</si>
  <si>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</si>
  <si>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</si>
  <si>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</si>
  <si>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</si>
  <si>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</si>
  <si>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</si>
  <si>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</si>
  <si>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</si>
  <si>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</si>
  <si>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</si>
  <si>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</si>
  <si>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</si>
  <si>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</si>
  <si>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</si>
  <si>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</si>
  <si>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</si>
  <si>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</si>
  <si>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</si>
  <si>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</si>
  <si>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</si>
  <si>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</si>
  <si>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</si>
  <si>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</si>
  <si>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</si>
  <si>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</si>
  <si>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</si>
  <si>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</si>
  <si>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</si>
  <si>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</si>
  <si>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</si>
  <si>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</si>
  <si>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</si>
  <si>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</si>
  <si>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</si>
  <si>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</si>
  <si>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</si>
  <si>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</si>
  <si>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</si>
  <si>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</si>
  <si>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</si>
  <si>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</si>
  <si>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</si>
  <si>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</si>
  <si>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</si>
  <si>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</si>
  <si>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</si>
  <si>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</si>
  <si>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</si>
  <si>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</si>
  <si>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</si>
  <si>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</si>
  <si>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</si>
  <si>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</si>
  <si>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</si>
  <si>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</si>
  <si>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</si>
  <si>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</si>
  <si>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</si>
  <si>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</si>
  <si>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</si>
  <si>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</si>
  <si>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</si>
  <si>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</si>
  <si>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</si>
  <si>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</si>
  <si>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</si>
  <si>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</si>
  <si>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</si>
  <si>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</si>
  <si>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</si>
  <si>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</si>
  <si>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</si>
  <si>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</si>
  <si>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</si>
  <si>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</si>
  <si>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</si>
  <si>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</si>
  <si>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</si>
  <si>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</si>
  <si>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</si>
  <si>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</si>
  <si>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</si>
  <si>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</si>
  <si>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</si>
  <si>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</si>
  <si>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</si>
  <si>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</si>
  <si>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</si>
  <si>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</si>
  <si>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</si>
  <si>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</si>
  <si>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</si>
  <si>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</si>
  <si>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</si>
  <si>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</si>
  <si>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</si>
  <si>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</si>
  <si>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</si>
  <si>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</si>
  <si>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</si>
  <si>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</si>
  <si>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</si>
  <si>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</si>
  <si>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</si>
  <si>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</si>
  <si>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</si>
  <si>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</si>
  <si>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</si>
  <si>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</si>
  <si>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</si>
  <si>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</si>
  <si>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</si>
  <si>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</si>
  <si>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</si>
  <si>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</si>
  <si>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</si>
  <si>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</si>
  <si>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</si>
  <si>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</si>
  <si>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</si>
  <si>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</si>
  <si>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</si>
  <si>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</si>
  <si>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</si>
  <si>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</si>
  <si>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</si>
  <si>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</si>
  <si>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</si>
  <si>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</si>
  <si>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</si>
  <si>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</si>
  <si>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</si>
  <si>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</si>
  <si>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</si>
  <si>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</si>
  <si>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</si>
  <si>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</si>
  <si>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</si>
  <si>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</si>
  <si>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</si>
  <si>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</si>
  <si>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</si>
  <si>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</si>
  <si>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</si>
  <si>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</si>
  <si>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</si>
  <si>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</si>
  <si>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</si>
  <si>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</si>
  <si>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</si>
  <si>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</si>
  <si>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</si>
  <si>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</si>
  <si>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</si>
  <si>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</si>
  <si>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</si>
  <si>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</si>
  <si>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</si>
  <si>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</si>
  <si>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</si>
  <si>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</si>
  <si>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</si>
  <si>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</si>
  <si>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</si>
  <si>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</si>
  <si>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</si>
  <si>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</si>
  <si>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</si>
  <si>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</si>
  <si>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</si>
  <si>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</si>
  <si>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</si>
  <si>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</si>
  <si>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</si>
  <si>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</si>
  <si>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</si>
  <si>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</si>
  <si>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</si>
  <si>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</si>
  <si>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</si>
  <si>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</si>
  <si>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</si>
  <si>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</si>
  <si>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</si>
  <si>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</si>
  <si>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</si>
  <si>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</si>
  <si>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</si>
  <si>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</si>
  <si>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</si>
  <si>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</si>
  <si>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</si>
  <si>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</si>
  <si>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</si>
  <si>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</si>
  <si>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</si>
  <si>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</si>
  <si>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</si>
  <si>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</si>
  <si>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</si>
  <si>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</si>
  <si>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</si>
  <si>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</si>
  <si>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</si>
  <si>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</si>
  <si>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</si>
  <si>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</si>
  <si>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</si>
  <si>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</si>
  <si>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</si>
  <si>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</si>
  <si>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</si>
  <si>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</si>
  <si>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</si>
  <si>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</si>
  <si>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</si>
  <si>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</si>
  <si>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</si>
  <si>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</si>
  <si>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</si>
  <si>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</si>
  <si>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</si>
  <si>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</si>
  <si>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</si>
  <si>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</si>
  <si>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</si>
  <si>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</si>
  <si>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</si>
  <si>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</si>
  <si>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</si>
  <si>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</si>
  <si>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</si>
  <si>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</si>
  <si>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</si>
  <si>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</si>
  <si>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</si>
  <si>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</si>
  <si>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</si>
  <si>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</si>
  <si>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</si>
  <si>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</si>
  <si>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</si>
  <si>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</si>
  <si>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</si>
  <si>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</si>
  <si>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</si>
  <si>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</si>
  <si>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</si>
  <si>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</si>
  <si>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</si>
  <si>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</si>
  <si>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</si>
  <si>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</si>
  <si>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</si>
  <si>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</si>
  <si>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</si>
  <si>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</si>
  <si>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</si>
  <si>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</si>
  <si>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</si>
  <si>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</si>
  <si>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</si>
  <si>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</si>
  <si>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</si>
  <si>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</si>
  <si>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</si>
  <si>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</si>
  <si>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</si>
  <si>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</si>
  <si>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</si>
  <si>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</si>
  <si>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</si>
  <si>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</si>
  <si>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</si>
  <si>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</si>
  <si>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</si>
  <si>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</si>
  <si>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</si>
  <si>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</si>
  <si>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</si>
  <si>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</si>
  <si>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</si>
  <si>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</si>
  <si>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</si>
  <si>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</si>
  <si>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</si>
  <si>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</si>
  <si>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</si>
  <si>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</si>
  <si>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</si>
  <si>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</si>
  <si>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</si>
  <si>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</si>
  <si>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</si>
  <si>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</si>
  <si>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</si>
  <si>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</si>
  <si>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</si>
  <si>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</si>
  <si>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</si>
  <si>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</si>
  <si>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</si>
  <si>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</si>
  <si>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</si>
  <si>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</si>
  <si>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</si>
  <si>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</si>
  <si>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</si>
  <si>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</si>
  <si>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</si>
  <si>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</si>
  <si>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</si>
  <si>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</si>
  <si>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</si>
  <si>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</si>
  <si>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</si>
  <si>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</si>
  <si>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</si>
  <si>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</si>
  <si>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</si>
  <si>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</si>
  <si>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</si>
  <si>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</si>
  <si>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</si>
  <si>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</si>
  <si>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</si>
  <si>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</si>
  <si>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</si>
  <si>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</si>
  <si>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</si>
  <si>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</si>
  <si>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</si>
  <si>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</si>
  <si>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</si>
  <si>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</si>
  <si>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</si>
  <si>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</si>
  <si>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</si>
  <si>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</si>
  <si>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</si>
  <si>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</si>
  <si>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</si>
  <si>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</si>
  <si>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</si>
  <si>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</si>
  <si>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</si>
  <si>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</si>
  <si>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</si>
  <si>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</si>
  <si>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</si>
  <si>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</si>
  <si>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</si>
  <si>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</si>
  <si>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</si>
  <si>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</si>
  <si>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</si>
  <si>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</si>
  <si>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</si>
  <si>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</si>
  <si>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</si>
  <si>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</si>
  <si>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</si>
  <si>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</si>
  <si>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</si>
  <si>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</si>
  <si>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</si>
  <si>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</si>
  <si>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</si>
  <si>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</si>
  <si>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</si>
  <si>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</si>
  <si>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</si>
  <si>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</si>
  <si>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</si>
  <si>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</si>
  <si>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</si>
  <si>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</si>
  <si>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</si>
  <si>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</si>
  <si>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</si>
  <si>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</si>
  <si>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</si>
  <si>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</si>
  <si>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</si>
  <si>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</si>
  <si>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</si>
  <si>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</si>
  <si>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</si>
  <si>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</si>
  <si>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</si>
  <si>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</si>
  <si>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</si>
  <si>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</si>
  <si>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</si>
  <si>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</si>
  <si>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</si>
  <si>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</si>
  <si>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</si>
  <si>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</si>
  <si>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</si>
  <si>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</si>
  <si>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</si>
  <si>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</si>
  <si>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</si>
  <si>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</si>
  <si>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</si>
  <si>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</si>
  <si>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</si>
  <si>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</si>
  <si>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</si>
  <si>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</si>
  <si>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</si>
  <si>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</si>
  <si>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</si>
  <si>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</si>
  <si>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</si>
  <si>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</si>
  <si>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</si>
  <si>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</si>
  <si>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</si>
  <si>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</si>
  <si>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</si>
  <si>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</si>
  <si>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</si>
  <si>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</si>
  <si>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</si>
  <si>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</si>
  <si>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</si>
  <si>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</si>
  <si>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</si>
  <si>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</si>
  <si>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</si>
  <si>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</si>
  <si>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</si>
  <si>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</si>
  <si>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</si>
  <si>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</si>
  <si>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</si>
  <si>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</si>
  <si>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</si>
  <si>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</si>
  <si>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</si>
  <si>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</si>
  <si>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</si>
  <si>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</si>
  <si>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</si>
  <si>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</si>
  <si>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</si>
  <si>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</si>
  <si>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</si>
  <si>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</si>
  <si>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</si>
  <si>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</si>
  <si>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</si>
  <si>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</si>
  <si>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</si>
  <si>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</si>
  <si>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</si>
  <si>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</si>
  <si>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</si>
  <si>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</si>
  <si>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</si>
  <si>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</si>
  <si>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</si>
  <si>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</si>
  <si>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</si>
  <si>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</si>
  <si>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</si>
  <si>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</si>
  <si>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</si>
  <si>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</si>
  <si>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</si>
  <si>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</si>
  <si>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</si>
  <si>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</si>
  <si>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</si>
  <si>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</si>
  <si>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</si>
  <si>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</si>
  <si>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</si>
  <si>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</si>
  <si>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</si>
  <si>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</si>
  <si>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</si>
  <si>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</si>
  <si>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</si>
  <si>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</si>
  <si>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</si>
  <si>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</si>
  <si>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</si>
  <si>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</si>
  <si>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</si>
  <si>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</si>
  <si>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</si>
  <si>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</si>
  <si>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</si>
  <si>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</si>
  <si>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</si>
  <si>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</si>
  <si>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</si>
  <si>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</si>
  <si>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</si>
  <si>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</si>
  <si>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</si>
  <si>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</si>
  <si>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</si>
  <si>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</si>
  <si>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</si>
  <si>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</si>
  <si>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</si>
  <si>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</si>
  <si>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</si>
  <si>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</si>
  <si>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</si>
  <si>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</si>
  <si>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</si>
  <si>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</si>
  <si>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</si>
  <si>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</si>
  <si>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</si>
  <si>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</si>
  <si>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</si>
  <si>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</si>
  <si>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</si>
  <si>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</si>
  <si>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</si>
  <si>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</si>
  <si>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</si>
  <si>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</si>
  <si>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</si>
  <si>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</si>
  <si>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</si>
  <si>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</si>
  <si>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</si>
  <si>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</si>
  <si>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</si>
  <si>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</si>
  <si>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</si>
  <si>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</si>
  <si>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</si>
  <si>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</si>
  <si>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</si>
  <si>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</si>
  <si>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</si>
  <si>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</si>
  <si>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</si>
  <si>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</si>
  <si>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</si>
  <si>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</si>
  <si>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</si>
  <si>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</si>
  <si>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</si>
  <si>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</si>
  <si>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</si>
  <si>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</si>
  <si>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</si>
  <si>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</si>
  <si>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</si>
  <si>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</si>
  <si>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</si>
  <si>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</si>
  <si>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</si>
  <si>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</si>
  <si>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</si>
  <si>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</si>
  <si>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</si>
  <si>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</si>
  <si>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</si>
  <si>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</si>
  <si>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</si>
  <si>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</si>
  <si>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</si>
  <si>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</si>
  <si>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</si>
  <si>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</si>
  <si>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</si>
  <si>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</si>
  <si>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</si>
  <si>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</si>
  <si>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</si>
  <si>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</si>
  <si>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</si>
  <si>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</si>
  <si>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</si>
  <si>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</si>
  <si>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</si>
  <si>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</si>
  <si>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</si>
  <si>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</si>
  <si>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</si>
  <si>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</si>
  <si>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</si>
  <si>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</si>
  <si>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</si>
  <si>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</si>
  <si>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</si>
  <si>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</si>
  <si>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</si>
  <si>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</si>
  <si>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</si>
  <si>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</si>
  <si>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</si>
  <si>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</si>
  <si>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</si>
  <si>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</si>
  <si>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</si>
  <si>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</si>
  <si>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</si>
  <si>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</si>
  <si>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</si>
  <si>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</si>
  <si>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</si>
  <si>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</si>
  <si>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</si>
  <si>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</si>
  <si>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</si>
  <si>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</si>
  <si>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</si>
  <si>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</si>
  <si>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</si>
  <si>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</si>
  <si>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</si>
  <si>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</si>
  <si>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</si>
  <si>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</si>
  <si>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</si>
  <si>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</si>
  <si>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</si>
  <si>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</si>
  <si>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</si>
  <si>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</si>
  <si>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</si>
  <si>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</si>
  <si>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</si>
  <si>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</si>
  <si>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</si>
  <si>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</si>
  <si>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</si>
  <si>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</si>
  <si>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</si>
  <si>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</si>
  <si>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</si>
  <si>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</si>
  <si>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</si>
  <si>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</si>
  <si>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</si>
  <si>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</si>
  <si>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</si>
  <si>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</si>
  <si>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</si>
  <si>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</si>
  <si>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</si>
  <si>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</si>
  <si>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</si>
  <si>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</si>
  <si>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</si>
  <si>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</si>
  <si>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</si>
  <si>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</si>
  <si>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</si>
  <si>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</si>
  <si>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</si>
  <si>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</si>
  <si>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</si>
  <si>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</si>
  <si>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</si>
  <si>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</si>
  <si>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</si>
  <si>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</si>
  <si>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</si>
  <si>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</si>
  <si>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</si>
  <si>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</si>
  <si>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</si>
  <si>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</si>
  <si>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</si>
  <si>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</si>
  <si>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</si>
  <si>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</si>
  <si>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Account_ID</t>
  </si>
  <si>
    <t>Account_Type</t>
  </si>
  <si>
    <t>Account_Status</t>
  </si>
  <si>
    <t>Opening_Balance</t>
  </si>
  <si>
    <t>Account_Open_Date</t>
  </si>
  <si>
    <t>A000001</t>
  </si>
  <si>
    <t>Savings</t>
  </si>
  <si>
    <t>Inactive</t>
  </si>
  <si>
    <t>A000002</t>
  </si>
  <si>
    <t>A000003</t>
  </si>
  <si>
    <t>Business</t>
  </si>
  <si>
    <t>Active</t>
  </si>
  <si>
    <t>A000004</t>
  </si>
  <si>
    <t>A000005</t>
  </si>
  <si>
    <t>A000006</t>
  </si>
  <si>
    <t>A000007</t>
  </si>
  <si>
    <t>A000008</t>
  </si>
  <si>
    <t>Current</t>
  </si>
  <si>
    <t>A000009</t>
  </si>
  <si>
    <t>A000010</t>
  </si>
  <si>
    <t>A000011</t>
  </si>
  <si>
    <t>A000012</t>
  </si>
  <si>
    <t>A000013</t>
  </si>
  <si>
    <t>A000014</t>
  </si>
  <si>
    <t>A000015</t>
  </si>
  <si>
    <t>A000016</t>
  </si>
  <si>
    <t>A000017</t>
  </si>
  <si>
    <t>A000018</t>
  </si>
  <si>
    <t>A000019</t>
  </si>
  <si>
    <t>Closed</t>
  </si>
  <si>
    <t>A000020</t>
  </si>
  <si>
    <t>A000021</t>
  </si>
  <si>
    <t>A000022</t>
  </si>
  <si>
    <t>A000023</t>
  </si>
  <si>
    <t>Dormant</t>
  </si>
  <si>
    <t>A000024</t>
  </si>
  <si>
    <t>A000025</t>
  </si>
  <si>
    <t>A000026</t>
  </si>
  <si>
    <t>A000027</t>
  </si>
  <si>
    <t>A000028</t>
  </si>
  <si>
    <t>A000029</t>
  </si>
  <si>
    <t>A000030</t>
  </si>
  <si>
    <t>A000031</t>
  </si>
  <si>
    <t>A000032</t>
  </si>
  <si>
    <t>A000033</t>
  </si>
  <si>
    <t>A000034</t>
  </si>
  <si>
    <t>A000035</t>
  </si>
  <si>
    <t>A000036</t>
  </si>
  <si>
    <t>A000037</t>
  </si>
  <si>
    <t>A000038</t>
  </si>
  <si>
    <t>A000039</t>
  </si>
  <si>
    <t>A000040</t>
  </si>
  <si>
    <t>A000041</t>
  </si>
  <si>
    <t>A000042</t>
  </si>
  <si>
    <t>A000043</t>
  </si>
  <si>
    <t>A000044</t>
  </si>
  <si>
    <t>A000045</t>
  </si>
  <si>
    <t>A000046</t>
  </si>
  <si>
    <t>A000047</t>
  </si>
  <si>
    <t>A000048</t>
  </si>
  <si>
    <t>A000049</t>
  </si>
  <si>
    <t>A000050</t>
  </si>
  <si>
    <t>A000051</t>
  </si>
  <si>
    <t>A000052</t>
  </si>
  <si>
    <t>A000053</t>
  </si>
  <si>
    <t>A000054</t>
  </si>
  <si>
    <t>A000055</t>
  </si>
  <si>
    <t>A000056</t>
  </si>
  <si>
    <t>A000057</t>
  </si>
  <si>
    <t>A000058</t>
  </si>
  <si>
    <t>A000059</t>
  </si>
  <si>
    <t>A000060</t>
  </si>
  <si>
    <t>A000061</t>
  </si>
  <si>
    <t>A000062</t>
  </si>
  <si>
    <t>A000063</t>
  </si>
  <si>
    <t>A000064</t>
  </si>
  <si>
    <t>A000065</t>
  </si>
  <si>
    <t>A000066</t>
  </si>
  <si>
    <t>A000067</t>
  </si>
  <si>
    <t>A000068</t>
  </si>
  <si>
    <t>A000069</t>
  </si>
  <si>
    <t>A000070</t>
  </si>
  <si>
    <t>A000071</t>
  </si>
  <si>
    <t>A000072</t>
  </si>
  <si>
    <t>A000073</t>
  </si>
  <si>
    <t>A000074</t>
  </si>
  <si>
    <t>A000075</t>
  </si>
  <si>
    <t>A000076</t>
  </si>
  <si>
    <t>A000077</t>
  </si>
  <si>
    <t>A000078</t>
  </si>
  <si>
    <t>A000079</t>
  </si>
  <si>
    <t>A000080</t>
  </si>
  <si>
    <t>A000081</t>
  </si>
  <si>
    <t>A000082</t>
  </si>
  <si>
    <t>A000083</t>
  </si>
  <si>
    <t>A000084</t>
  </si>
  <si>
    <t>A000085</t>
  </si>
  <si>
    <t>A000086</t>
  </si>
  <si>
    <t>A000087</t>
  </si>
  <si>
    <t>A000088</t>
  </si>
  <si>
    <t>A000089</t>
  </si>
  <si>
    <t>A000090</t>
  </si>
  <si>
    <t>A000091</t>
  </si>
  <si>
    <t>A000092</t>
  </si>
  <si>
    <t>A000093</t>
  </si>
  <si>
    <t>A000094</t>
  </si>
  <si>
    <t>A000095</t>
  </si>
  <si>
    <t>A000096</t>
  </si>
  <si>
    <t>A000097</t>
  </si>
  <si>
    <t>A000098</t>
  </si>
  <si>
    <t>A000099</t>
  </si>
  <si>
    <t>A000100</t>
  </si>
  <si>
    <t>A000101</t>
  </si>
  <si>
    <t>A000102</t>
  </si>
  <si>
    <t>A000103</t>
  </si>
  <si>
    <t>A000104</t>
  </si>
  <si>
    <t>A000105</t>
  </si>
  <si>
    <t>A000106</t>
  </si>
  <si>
    <t>A000107</t>
  </si>
  <si>
    <t>A000108</t>
  </si>
  <si>
    <t>A000109</t>
  </si>
  <si>
    <t>A000110</t>
  </si>
  <si>
    <t>A000111</t>
  </si>
  <si>
    <t>A000112</t>
  </si>
  <si>
    <t>A000113</t>
  </si>
  <si>
    <t>A000114</t>
  </si>
  <si>
    <t>A000115</t>
  </si>
  <si>
    <t>A000116</t>
  </si>
  <si>
    <t>A000117</t>
  </si>
  <si>
    <t>A000118</t>
  </si>
  <si>
    <t>A000119</t>
  </si>
  <si>
    <t>A000120</t>
  </si>
  <si>
    <t>A000121</t>
  </si>
  <si>
    <t>A000122</t>
  </si>
  <si>
    <t>A000123</t>
  </si>
  <si>
    <t>A000124</t>
  </si>
  <si>
    <t>A000125</t>
  </si>
  <si>
    <t>A000126</t>
  </si>
  <si>
    <t>A000127</t>
  </si>
  <si>
    <t>A000128</t>
  </si>
  <si>
    <t>A000129</t>
  </si>
  <si>
    <t>A000130</t>
  </si>
  <si>
    <t>A000131</t>
  </si>
  <si>
    <t>A000132</t>
  </si>
  <si>
    <t>A000133</t>
  </si>
  <si>
    <t>A000134</t>
  </si>
  <si>
    <t>A000135</t>
  </si>
  <si>
    <t>A000136</t>
  </si>
  <si>
    <t>A000137</t>
  </si>
  <si>
    <t>A000138</t>
  </si>
  <si>
    <t>A000139</t>
  </si>
  <si>
    <t>A000140</t>
  </si>
  <si>
    <t>A000141</t>
  </si>
  <si>
    <t>A000142</t>
  </si>
  <si>
    <t>A000143</t>
  </si>
  <si>
    <t>A000144</t>
  </si>
  <si>
    <t>A000145</t>
  </si>
  <si>
    <t>A000146</t>
  </si>
  <si>
    <t>A000147</t>
  </si>
  <si>
    <t>A000148</t>
  </si>
  <si>
    <t>A000149</t>
  </si>
  <si>
    <t>A000150</t>
  </si>
  <si>
    <t>A000151</t>
  </si>
  <si>
    <t>A000152</t>
  </si>
  <si>
    <t>A000153</t>
  </si>
  <si>
    <t>A000154</t>
  </si>
  <si>
    <t>A000155</t>
  </si>
  <si>
    <t>A000156</t>
  </si>
  <si>
    <t>A000157</t>
  </si>
  <si>
    <t>A000158</t>
  </si>
  <si>
    <t>A000159</t>
  </si>
  <si>
    <t>A000160</t>
  </si>
  <si>
    <t>A000161</t>
  </si>
  <si>
    <t>A000162</t>
  </si>
  <si>
    <t>A000163</t>
  </si>
  <si>
    <t>A000164</t>
  </si>
  <si>
    <t>A000165</t>
  </si>
  <si>
    <t>A000166</t>
  </si>
  <si>
    <t>A000167</t>
  </si>
  <si>
    <t>A000168</t>
  </si>
  <si>
    <t>A000169</t>
  </si>
  <si>
    <t>A000170</t>
  </si>
  <si>
    <t>A000171</t>
  </si>
  <si>
    <t>A000172</t>
  </si>
  <si>
    <t>A000173</t>
  </si>
  <si>
    <t>A000174</t>
  </si>
  <si>
    <t>A000175</t>
  </si>
  <si>
    <t>A000176</t>
  </si>
  <si>
    <t>A000177</t>
  </si>
  <si>
    <t>A000178</t>
  </si>
  <si>
    <t>A000179</t>
  </si>
  <si>
    <t>A000180</t>
  </si>
  <si>
    <t>A000181</t>
  </si>
  <si>
    <t>A000182</t>
  </si>
  <si>
    <t>A000183</t>
  </si>
  <si>
    <t>A000184</t>
  </si>
  <si>
    <t>A000185</t>
  </si>
  <si>
    <t>A000186</t>
  </si>
  <si>
    <t>A000187</t>
  </si>
  <si>
    <t>A000188</t>
  </si>
  <si>
    <t>A000189</t>
  </si>
  <si>
    <t>A000190</t>
  </si>
  <si>
    <t>A000191</t>
  </si>
  <si>
    <t>A000192</t>
  </si>
  <si>
    <t>A000193</t>
  </si>
  <si>
    <t>A000194</t>
  </si>
  <si>
    <t>A000195</t>
  </si>
  <si>
    <t>A000196</t>
  </si>
  <si>
    <t>A000197</t>
  </si>
  <si>
    <t>A000198</t>
  </si>
  <si>
    <t>A000199</t>
  </si>
  <si>
    <t>A000200</t>
  </si>
  <si>
    <t>A000201</t>
  </si>
  <si>
    <t>A000202</t>
  </si>
  <si>
    <t>A000203</t>
  </si>
  <si>
    <t>A000204</t>
  </si>
  <si>
    <t>A000205</t>
  </si>
  <si>
    <t>A000206</t>
  </si>
  <si>
    <t>A000207</t>
  </si>
  <si>
    <t>A000208</t>
  </si>
  <si>
    <t>A000209</t>
  </si>
  <si>
    <t>A000210</t>
  </si>
  <si>
    <t>A000211</t>
  </si>
  <si>
    <t>A000212</t>
  </si>
  <si>
    <t>A000213</t>
  </si>
  <si>
    <t>A000214</t>
  </si>
  <si>
    <t>A000215</t>
  </si>
  <si>
    <t>A000216</t>
  </si>
  <si>
    <t>A000217</t>
  </si>
  <si>
    <t>A000218</t>
  </si>
  <si>
    <t>A000219</t>
  </si>
  <si>
    <t>A000220</t>
  </si>
  <si>
    <t>A000221</t>
  </si>
  <si>
    <t>A000222</t>
  </si>
  <si>
    <t>A000223</t>
  </si>
  <si>
    <t>A000224</t>
  </si>
  <si>
    <t>A000225</t>
  </si>
  <si>
    <t>A000226</t>
  </si>
  <si>
    <t>A000227</t>
  </si>
  <si>
    <t>A000228</t>
  </si>
  <si>
    <t>A000229</t>
  </si>
  <si>
    <t>A000230</t>
  </si>
  <si>
    <t>A000231</t>
  </si>
  <si>
    <t>A000232</t>
  </si>
  <si>
    <t>A000233</t>
  </si>
  <si>
    <t>A000234</t>
  </si>
  <si>
    <t>A000235</t>
  </si>
  <si>
    <t>A000236</t>
  </si>
  <si>
    <t>A000237</t>
  </si>
  <si>
    <t>A000238</t>
  </si>
  <si>
    <t>A000239</t>
  </si>
  <si>
    <t>A000240</t>
  </si>
  <si>
    <t>A000241</t>
  </si>
  <si>
    <t>A000242</t>
  </si>
  <si>
    <t>A000243</t>
  </si>
  <si>
    <t>A000244</t>
  </si>
  <si>
    <t>A000245</t>
  </si>
  <si>
    <t>A000246</t>
  </si>
  <si>
    <t>A000247</t>
  </si>
  <si>
    <t>A000248</t>
  </si>
  <si>
    <t>A000249</t>
  </si>
  <si>
    <t>A000250</t>
  </si>
  <si>
    <t>A000251</t>
  </si>
  <si>
    <t>A000252</t>
  </si>
  <si>
    <t>A000253</t>
  </si>
  <si>
    <t>A000254</t>
  </si>
  <si>
    <t>A000255</t>
  </si>
  <si>
    <t>A000256</t>
  </si>
  <si>
    <t>A000257</t>
  </si>
  <si>
    <t>A000258</t>
  </si>
  <si>
    <t>A000259</t>
  </si>
  <si>
    <t>A000260</t>
  </si>
  <si>
    <t>A000261</t>
  </si>
  <si>
    <t>A000262</t>
  </si>
  <si>
    <t>A000263</t>
  </si>
  <si>
    <t>A000264</t>
  </si>
  <si>
    <t>A000265</t>
  </si>
  <si>
    <t>A000266</t>
  </si>
  <si>
    <t>A000267</t>
  </si>
  <si>
    <t>A000268</t>
  </si>
  <si>
    <t>A000269</t>
  </si>
  <si>
    <t>A000270</t>
  </si>
  <si>
    <t>A000271</t>
  </si>
  <si>
    <t>A000272</t>
  </si>
  <si>
    <t>A000273</t>
  </si>
  <si>
    <t>A000274</t>
  </si>
  <si>
    <t>A000275</t>
  </si>
  <si>
    <t>A000276</t>
  </si>
  <si>
    <t>A000277</t>
  </si>
  <si>
    <t>A000278</t>
  </si>
  <si>
    <t>A000279</t>
  </si>
  <si>
    <t>A000280</t>
  </si>
  <si>
    <t>A000281</t>
  </si>
  <si>
    <t>A000282</t>
  </si>
  <si>
    <t>A000283</t>
  </si>
  <si>
    <t>A000284</t>
  </si>
  <si>
    <t>A000285</t>
  </si>
  <si>
    <t>A000286</t>
  </si>
  <si>
    <t>A000287</t>
  </si>
  <si>
    <t>A000288</t>
  </si>
  <si>
    <t>A000289</t>
  </si>
  <si>
    <t>A000290</t>
  </si>
  <si>
    <t>A000291</t>
  </si>
  <si>
    <t>A000292</t>
  </si>
  <si>
    <t>A000293</t>
  </si>
  <si>
    <t>A000294</t>
  </si>
  <si>
    <t>A000295</t>
  </si>
  <si>
    <t>A000296</t>
  </si>
  <si>
    <t>A000297</t>
  </si>
  <si>
    <t>A000298</t>
  </si>
  <si>
    <t>A000299</t>
  </si>
  <si>
    <t>A000300</t>
  </si>
  <si>
    <t>A000301</t>
  </si>
  <si>
    <t>A000302</t>
  </si>
  <si>
    <t>A000303</t>
  </si>
  <si>
    <t>A000304</t>
  </si>
  <si>
    <t>A000305</t>
  </si>
  <si>
    <t>A000306</t>
  </si>
  <si>
    <t>A000307</t>
  </si>
  <si>
    <t>A000308</t>
  </si>
  <si>
    <t>A000309</t>
  </si>
  <si>
    <t>A000310</t>
  </si>
  <si>
    <t>A000311</t>
  </si>
  <si>
    <t>A000312</t>
  </si>
  <si>
    <t>A000313</t>
  </si>
  <si>
    <t>A000314</t>
  </si>
  <si>
    <t>A000315</t>
  </si>
  <si>
    <t>A000316</t>
  </si>
  <si>
    <t>A000317</t>
  </si>
  <si>
    <t>A000318</t>
  </si>
  <si>
    <t>A000319</t>
  </si>
  <si>
    <t>A000320</t>
  </si>
  <si>
    <t>A000321</t>
  </si>
  <si>
    <t>A000322</t>
  </si>
  <si>
    <t>A000323</t>
  </si>
  <si>
    <t>A000324</t>
  </si>
  <si>
    <t>A000325</t>
  </si>
  <si>
    <t>A000326</t>
  </si>
  <si>
    <t>A000327</t>
  </si>
  <si>
    <t>A000328</t>
  </si>
  <si>
    <t>A000329</t>
  </si>
  <si>
    <t>A000330</t>
  </si>
  <si>
    <t>A000331</t>
  </si>
  <si>
    <t>A000332</t>
  </si>
  <si>
    <t>A000333</t>
  </si>
  <si>
    <t>A000334</t>
  </si>
  <si>
    <t>A000335</t>
  </si>
  <si>
    <t>A000336</t>
  </si>
  <si>
    <t>A000337</t>
  </si>
  <si>
    <t>A000338</t>
  </si>
  <si>
    <t>A000339</t>
  </si>
  <si>
    <t>A000340</t>
  </si>
  <si>
    <t>A000341</t>
  </si>
  <si>
    <t>A000342</t>
  </si>
  <si>
    <t>A000343</t>
  </si>
  <si>
    <t>A000344</t>
  </si>
  <si>
    <t>A000345</t>
  </si>
  <si>
    <t>A000346</t>
  </si>
  <si>
    <t>A000347</t>
  </si>
  <si>
    <t>A000348</t>
  </si>
  <si>
    <t>A000349</t>
  </si>
  <si>
    <t>A000350</t>
  </si>
  <si>
    <t>A000351</t>
  </si>
  <si>
    <t>A000352</t>
  </si>
  <si>
    <t>A000353</t>
  </si>
  <si>
    <t>A000354</t>
  </si>
  <si>
    <t>A000355</t>
  </si>
  <si>
    <t>A000356</t>
  </si>
  <si>
    <t>A000357</t>
  </si>
  <si>
    <t>A000358</t>
  </si>
  <si>
    <t>A000359</t>
  </si>
  <si>
    <t>A000360</t>
  </si>
  <si>
    <t>A000361</t>
  </si>
  <si>
    <t>A000362</t>
  </si>
  <si>
    <t>A000363</t>
  </si>
  <si>
    <t>A000364</t>
  </si>
  <si>
    <t>A000365</t>
  </si>
  <si>
    <t>A000366</t>
  </si>
  <si>
    <t>A000367</t>
  </si>
  <si>
    <t>A000368</t>
  </si>
  <si>
    <t>A000369</t>
  </si>
  <si>
    <t>A000370</t>
  </si>
  <si>
    <t>A000371</t>
  </si>
  <si>
    <t>A000372</t>
  </si>
  <si>
    <t>A000373</t>
  </si>
  <si>
    <t>A000374</t>
  </si>
  <si>
    <t>A000375</t>
  </si>
  <si>
    <t>A000376</t>
  </si>
  <si>
    <t>A000377</t>
  </si>
  <si>
    <t>A000378</t>
  </si>
  <si>
    <t>A000379</t>
  </si>
  <si>
    <t>A000380</t>
  </si>
  <si>
    <t>A000381</t>
  </si>
  <si>
    <t>A000382</t>
  </si>
  <si>
    <t>A000383</t>
  </si>
  <si>
    <t>A000384</t>
  </si>
  <si>
    <t>A000385</t>
  </si>
  <si>
    <t>A000386</t>
  </si>
  <si>
    <t>A000387</t>
  </si>
  <si>
    <t>A000388</t>
  </si>
  <si>
    <t>A000389</t>
  </si>
  <si>
    <t>A000390</t>
  </si>
  <si>
    <t>A000391</t>
  </si>
  <si>
    <t>A000392</t>
  </si>
  <si>
    <t>A000393</t>
  </si>
  <si>
    <t>A000394</t>
  </si>
  <si>
    <t>A000395</t>
  </si>
  <si>
    <t>A000396</t>
  </si>
  <si>
    <t>A000397</t>
  </si>
  <si>
    <t>A000398</t>
  </si>
  <si>
    <t>A000399</t>
  </si>
  <si>
    <t>A000400</t>
  </si>
  <si>
    <t>A000401</t>
  </si>
  <si>
    <t>A000402</t>
  </si>
  <si>
    <t>A000403</t>
  </si>
  <si>
    <t>A000404</t>
  </si>
  <si>
    <t>A000405</t>
  </si>
  <si>
    <t>A000406</t>
  </si>
  <si>
    <t>A000407</t>
  </si>
  <si>
    <t>A000408</t>
  </si>
  <si>
    <t>A000409</t>
  </si>
  <si>
    <t>A000410</t>
  </si>
  <si>
    <t>A000411</t>
  </si>
  <si>
    <t>A000412</t>
  </si>
  <si>
    <t>A000413</t>
  </si>
  <si>
    <t>A000414</t>
  </si>
  <si>
    <t>A000415</t>
  </si>
  <si>
    <t>A000416</t>
  </si>
  <si>
    <t>A000417</t>
  </si>
  <si>
    <t>A000418</t>
  </si>
  <si>
    <t>A000419</t>
  </si>
  <si>
    <t>A000420</t>
  </si>
  <si>
    <t>A000421</t>
  </si>
  <si>
    <t>A000422</t>
  </si>
  <si>
    <t>A000423</t>
  </si>
  <si>
    <t>A000424</t>
  </si>
  <si>
    <t>A000425</t>
  </si>
  <si>
    <t>A000426</t>
  </si>
  <si>
    <t>A000427</t>
  </si>
  <si>
    <t>A000428</t>
  </si>
  <si>
    <t>A000429</t>
  </si>
  <si>
    <t>A000430</t>
  </si>
  <si>
    <t>A000431</t>
  </si>
  <si>
    <t>A000432</t>
  </si>
  <si>
    <t>A000433</t>
  </si>
  <si>
    <t>A000434</t>
  </si>
  <si>
    <t>A000435</t>
  </si>
  <si>
    <t>A000436</t>
  </si>
  <si>
    <t>A000437</t>
  </si>
  <si>
    <t>A000438</t>
  </si>
  <si>
    <t>A000439</t>
  </si>
  <si>
    <t>A000440</t>
  </si>
  <si>
    <t>A000441</t>
  </si>
  <si>
    <t>A000442</t>
  </si>
  <si>
    <t>A000443</t>
  </si>
  <si>
    <t>A000444</t>
  </si>
  <si>
    <t>A000445</t>
  </si>
  <si>
    <t>A000446</t>
  </si>
  <si>
    <t>A000447</t>
  </si>
  <si>
    <t>A000448</t>
  </si>
  <si>
    <t>A000449</t>
  </si>
  <si>
    <t>A000450</t>
  </si>
  <si>
    <t>A000451</t>
  </si>
  <si>
    <t>A000452</t>
  </si>
  <si>
    <t>A000453</t>
  </si>
  <si>
    <t>A000454</t>
  </si>
  <si>
    <t>A000455</t>
  </si>
  <si>
    <t>A000456</t>
  </si>
  <si>
    <t>A000457</t>
  </si>
  <si>
    <t>A000458</t>
  </si>
  <si>
    <t>A000459</t>
  </si>
  <si>
    <t>A000460</t>
  </si>
  <si>
    <t>A000461</t>
  </si>
  <si>
    <t>A000462</t>
  </si>
  <si>
    <t>A000463</t>
  </si>
  <si>
    <t>A000464</t>
  </si>
  <si>
    <t>A000465</t>
  </si>
  <si>
    <t>A000466</t>
  </si>
  <si>
    <t>A000467</t>
  </si>
  <si>
    <t>A000468</t>
  </si>
  <si>
    <t>A000469</t>
  </si>
  <si>
    <t>A000470</t>
  </si>
  <si>
    <t>A000471</t>
  </si>
  <si>
    <t>A000472</t>
  </si>
  <si>
    <t>A000473</t>
  </si>
  <si>
    <t>A000474</t>
  </si>
  <si>
    <t>A000475</t>
  </si>
  <si>
    <t>A000476</t>
  </si>
  <si>
    <t>A000477</t>
  </si>
  <si>
    <t>A000478</t>
  </si>
  <si>
    <t>A000479</t>
  </si>
  <si>
    <t>A000480</t>
  </si>
  <si>
    <t>A000481</t>
  </si>
  <si>
    <t>A000482</t>
  </si>
  <si>
    <t>A000483</t>
  </si>
  <si>
    <t>A000484</t>
  </si>
  <si>
    <t>A000485</t>
  </si>
  <si>
    <t>A000486</t>
  </si>
  <si>
    <t>A000487</t>
  </si>
  <si>
    <t>A000488</t>
  </si>
  <si>
    <t>A000489</t>
  </si>
  <si>
    <t>A000490</t>
  </si>
  <si>
    <t>A000491</t>
  </si>
  <si>
    <t>A000492</t>
  </si>
  <si>
    <t>A000493</t>
  </si>
  <si>
    <t>A000494</t>
  </si>
  <si>
    <t>A000495</t>
  </si>
  <si>
    <t>A000496</t>
  </si>
  <si>
    <t>A000497</t>
  </si>
  <si>
    <t>A000498</t>
  </si>
  <si>
    <t>A000499</t>
  </si>
  <si>
    <t>A000500</t>
  </si>
  <si>
    <t>A000501</t>
  </si>
  <si>
    <t>A000502</t>
  </si>
  <si>
    <t>A000503</t>
  </si>
  <si>
    <t>A000504</t>
  </si>
  <si>
    <t>A000505</t>
  </si>
  <si>
    <t>A000506</t>
  </si>
  <si>
    <t>A000507</t>
  </si>
  <si>
    <t>A000508</t>
  </si>
  <si>
    <t>A000509</t>
  </si>
  <si>
    <t>A000510</t>
  </si>
  <si>
    <t>A000511</t>
  </si>
  <si>
    <t>A000512</t>
  </si>
  <si>
    <t>A000513</t>
  </si>
  <si>
    <t>A000514</t>
  </si>
  <si>
    <t>A000515</t>
  </si>
  <si>
    <t>A000516</t>
  </si>
  <si>
    <t>A000517</t>
  </si>
  <si>
    <t>A000518</t>
  </si>
  <si>
    <t>A000519</t>
  </si>
  <si>
    <t>A000520</t>
  </si>
  <si>
    <t>A000521</t>
  </si>
  <si>
    <t>A000522</t>
  </si>
  <si>
    <t>A000523</t>
  </si>
  <si>
    <t>A000524</t>
  </si>
  <si>
    <t>A000525</t>
  </si>
  <si>
    <t>A000526</t>
  </si>
  <si>
    <t>A000527</t>
  </si>
  <si>
    <t>A000528</t>
  </si>
  <si>
    <t>A000529</t>
  </si>
  <si>
    <t>A000530</t>
  </si>
  <si>
    <t>A000531</t>
  </si>
  <si>
    <t>A000532</t>
  </si>
  <si>
    <t>A000533</t>
  </si>
  <si>
    <t>A000534</t>
  </si>
  <si>
    <t>A000535</t>
  </si>
  <si>
    <t>A000536</t>
  </si>
  <si>
    <t>A000537</t>
  </si>
  <si>
    <t>A000538</t>
  </si>
  <si>
    <t>A000539</t>
  </si>
  <si>
    <t>A000540</t>
  </si>
  <si>
    <t>A000541</t>
  </si>
  <si>
    <t>A000542</t>
  </si>
  <si>
    <t>A000543</t>
  </si>
  <si>
    <t>A000544</t>
  </si>
  <si>
    <t>A000545</t>
  </si>
  <si>
    <t>A000546</t>
  </si>
  <si>
    <t>A000547</t>
  </si>
  <si>
    <t>A000548</t>
  </si>
  <si>
    <t>A000549</t>
  </si>
  <si>
    <t>A000550</t>
  </si>
  <si>
    <t>A000551</t>
  </si>
  <si>
    <t>A000552</t>
  </si>
  <si>
    <t>A000553</t>
  </si>
  <si>
    <t>A000554</t>
  </si>
  <si>
    <t>A000555</t>
  </si>
  <si>
    <t>A000556</t>
  </si>
  <si>
    <t>A000557</t>
  </si>
  <si>
    <t>A000558</t>
  </si>
  <si>
    <t>A000559</t>
  </si>
  <si>
    <t>A000560</t>
  </si>
  <si>
    <t>A000561</t>
  </si>
  <si>
    <t>A000562</t>
  </si>
  <si>
    <t>A000563</t>
  </si>
  <si>
    <t>A000564</t>
  </si>
  <si>
    <t>A000565</t>
  </si>
  <si>
    <t>A000566</t>
  </si>
  <si>
    <t>A000567</t>
  </si>
  <si>
    <t>A000568</t>
  </si>
  <si>
    <t>A000569</t>
  </si>
  <si>
    <t>A000570</t>
  </si>
  <si>
    <t>A000571</t>
  </si>
  <si>
    <t>A000572</t>
  </si>
  <si>
    <t>A000573</t>
  </si>
  <si>
    <t>A000574</t>
  </si>
  <si>
    <t>A000575</t>
  </si>
  <si>
    <t>A000576</t>
  </si>
  <si>
    <t>A000577</t>
  </si>
  <si>
    <t>A000578</t>
  </si>
  <si>
    <t>A000579</t>
  </si>
  <si>
    <t>A000580</t>
  </si>
  <si>
    <t>A000581</t>
  </si>
  <si>
    <t>A000582</t>
  </si>
  <si>
    <t>A000583</t>
  </si>
  <si>
    <t>A000584</t>
  </si>
  <si>
    <t>A000585</t>
  </si>
  <si>
    <t>A000586</t>
  </si>
  <si>
    <t>A000587</t>
  </si>
  <si>
    <t>A000588</t>
  </si>
  <si>
    <t>A000589</t>
  </si>
  <si>
    <t>A000590</t>
  </si>
  <si>
    <t>A000591</t>
  </si>
  <si>
    <t>A000592</t>
  </si>
  <si>
    <t>A000593</t>
  </si>
  <si>
    <t>A000594</t>
  </si>
  <si>
    <t>A000595</t>
  </si>
  <si>
    <t>A000596</t>
  </si>
  <si>
    <t>A000597</t>
  </si>
  <si>
    <t>A000598</t>
  </si>
  <si>
    <t>A000599</t>
  </si>
  <si>
    <t>A000600</t>
  </si>
  <si>
    <t>A000601</t>
  </si>
  <si>
    <t>A000602</t>
  </si>
  <si>
    <t>A000603</t>
  </si>
  <si>
    <t>A000604</t>
  </si>
  <si>
    <t>A000605</t>
  </si>
  <si>
    <t>A000606</t>
  </si>
  <si>
    <t>A000607</t>
  </si>
  <si>
    <t>A000608</t>
  </si>
  <si>
    <t>A000609</t>
  </si>
  <si>
    <t>A000610</t>
  </si>
  <si>
    <t>A000611</t>
  </si>
  <si>
    <t>A000612</t>
  </si>
  <si>
    <t>A000613</t>
  </si>
  <si>
    <t>A000614</t>
  </si>
  <si>
    <t>A000615</t>
  </si>
  <si>
    <t>A000616</t>
  </si>
  <si>
    <t>A000617</t>
  </si>
  <si>
    <t>A000618</t>
  </si>
  <si>
    <t>A000619</t>
  </si>
  <si>
    <t>A000620</t>
  </si>
  <si>
    <t>A000621</t>
  </si>
  <si>
    <t>A000622</t>
  </si>
  <si>
    <t>A000623</t>
  </si>
  <si>
    <t>A000624</t>
  </si>
  <si>
    <t>A000625</t>
  </si>
  <si>
    <t>A000626</t>
  </si>
  <si>
    <t>A000627</t>
  </si>
  <si>
    <t>A000628</t>
  </si>
  <si>
    <t>A000629</t>
  </si>
  <si>
    <t>A000630</t>
  </si>
  <si>
    <t>A000631</t>
  </si>
  <si>
    <t>A000632</t>
  </si>
  <si>
    <t>A000633</t>
  </si>
  <si>
    <t>A000634</t>
  </si>
  <si>
    <t>A000635</t>
  </si>
  <si>
    <t>A000636</t>
  </si>
  <si>
    <t>A000637</t>
  </si>
  <si>
    <t>A000638</t>
  </si>
  <si>
    <t>A000639</t>
  </si>
  <si>
    <t>A000640</t>
  </si>
  <si>
    <t>A000641</t>
  </si>
  <si>
    <t>A000642</t>
  </si>
  <si>
    <t>A000643</t>
  </si>
  <si>
    <t>A000644</t>
  </si>
  <si>
    <t>A000645</t>
  </si>
  <si>
    <t>A000646</t>
  </si>
  <si>
    <t>A000647</t>
  </si>
  <si>
    <t>A000648</t>
  </si>
  <si>
    <t>A000649</t>
  </si>
  <si>
    <t>A000650</t>
  </si>
  <si>
    <t>A000651</t>
  </si>
  <si>
    <t>A000652</t>
  </si>
  <si>
    <t>A000653</t>
  </si>
  <si>
    <t>A000654</t>
  </si>
  <si>
    <t>A000655</t>
  </si>
  <si>
    <t>A000656</t>
  </si>
  <si>
    <t>A000657</t>
  </si>
  <si>
    <t>A000658</t>
  </si>
  <si>
    <t>A000659</t>
  </si>
  <si>
    <t>A000660</t>
  </si>
  <si>
    <t>A000661</t>
  </si>
  <si>
    <t>A000662</t>
  </si>
  <si>
    <t>A000663</t>
  </si>
  <si>
    <t>A000664</t>
  </si>
  <si>
    <t>A000665</t>
  </si>
  <si>
    <t>A000666</t>
  </si>
  <si>
    <t>A000667</t>
  </si>
  <si>
    <t>A000668</t>
  </si>
  <si>
    <t>A000669</t>
  </si>
  <si>
    <t>A000670</t>
  </si>
  <si>
    <t>A000671</t>
  </si>
  <si>
    <t>A000672</t>
  </si>
  <si>
    <t>A000673</t>
  </si>
  <si>
    <t>A000674</t>
  </si>
  <si>
    <t>A000675</t>
  </si>
  <si>
    <t>A000676</t>
  </si>
  <si>
    <t>A000677</t>
  </si>
  <si>
    <t>A000678</t>
  </si>
  <si>
    <t>A000679</t>
  </si>
  <si>
    <t>A000680</t>
  </si>
  <si>
    <t>A000681</t>
  </si>
  <si>
    <t>A000682</t>
  </si>
  <si>
    <t>A000683</t>
  </si>
  <si>
    <t>A000684</t>
  </si>
  <si>
    <t>A000685</t>
  </si>
  <si>
    <t>A000686</t>
  </si>
  <si>
    <t>A000687</t>
  </si>
  <si>
    <t>A000688</t>
  </si>
  <si>
    <t>A000689</t>
  </si>
  <si>
    <t>A000690</t>
  </si>
  <si>
    <t>A000691</t>
  </si>
  <si>
    <t>A000692</t>
  </si>
  <si>
    <t>A000693</t>
  </si>
  <si>
    <t>A000694</t>
  </si>
  <si>
    <t>A000695</t>
  </si>
  <si>
    <t>A000696</t>
  </si>
  <si>
    <t>A000697</t>
  </si>
  <si>
    <t>A000698</t>
  </si>
  <si>
    <t>A000699</t>
  </si>
  <si>
    <t>A000700</t>
  </si>
  <si>
    <t>A000701</t>
  </si>
  <si>
    <t>A000702</t>
  </si>
  <si>
    <t>A000703</t>
  </si>
  <si>
    <t>A000704</t>
  </si>
  <si>
    <t>A000705</t>
  </si>
  <si>
    <t>A000706</t>
  </si>
  <si>
    <t>A000707</t>
  </si>
  <si>
    <t>A000708</t>
  </si>
  <si>
    <t>A000709</t>
  </si>
  <si>
    <t>A000710</t>
  </si>
  <si>
    <t>A000711</t>
  </si>
  <si>
    <t>A000712</t>
  </si>
  <si>
    <t>A000713</t>
  </si>
  <si>
    <t>A000714</t>
  </si>
  <si>
    <t>A000715</t>
  </si>
  <si>
    <t>A000716</t>
  </si>
  <si>
    <t>A000717</t>
  </si>
  <si>
    <t>A000718</t>
  </si>
  <si>
    <t>A000719</t>
  </si>
  <si>
    <t>A000720</t>
  </si>
  <si>
    <t>A000721</t>
  </si>
  <si>
    <t>A000722</t>
  </si>
  <si>
    <t>A000723</t>
  </si>
  <si>
    <t>A000724</t>
  </si>
  <si>
    <t>A000725</t>
  </si>
  <si>
    <t>A000726</t>
  </si>
  <si>
    <t>A000727</t>
  </si>
  <si>
    <t>A000728</t>
  </si>
  <si>
    <t>A000729</t>
  </si>
  <si>
    <t>A000730</t>
  </si>
  <si>
    <t>A000731</t>
  </si>
  <si>
    <t>A000732</t>
  </si>
  <si>
    <t>A000733</t>
  </si>
  <si>
    <t>A000734</t>
  </si>
  <si>
    <t>A000735</t>
  </si>
  <si>
    <t>A000736</t>
  </si>
  <si>
    <t>A000737</t>
  </si>
  <si>
    <t>A000738</t>
  </si>
  <si>
    <t>A000739</t>
  </si>
  <si>
    <t>A000740</t>
  </si>
  <si>
    <t>A000741</t>
  </si>
  <si>
    <t>A000742</t>
  </si>
  <si>
    <t>A000743</t>
  </si>
  <si>
    <t>A000744</t>
  </si>
  <si>
    <t>A000745</t>
  </si>
  <si>
    <t>A000746</t>
  </si>
  <si>
    <t>A000747</t>
  </si>
  <si>
    <t>A000748</t>
  </si>
  <si>
    <t>A000749</t>
  </si>
  <si>
    <t>A000750</t>
  </si>
  <si>
    <t>A000751</t>
  </si>
  <si>
    <t>A000752</t>
  </si>
  <si>
    <t>A000753</t>
  </si>
  <si>
    <t>A000754</t>
  </si>
  <si>
    <t>A000755</t>
  </si>
  <si>
    <t>A000756</t>
  </si>
  <si>
    <t>A000757</t>
  </si>
  <si>
    <t>A000758</t>
  </si>
  <si>
    <t>A000759</t>
  </si>
  <si>
    <t>A000760</t>
  </si>
  <si>
    <t>A000761</t>
  </si>
  <si>
    <t>A000762</t>
  </si>
  <si>
    <t>A000763</t>
  </si>
  <si>
    <t>A000764</t>
  </si>
  <si>
    <t>A000765</t>
  </si>
  <si>
    <t>A000766</t>
  </si>
  <si>
    <t>A000767</t>
  </si>
  <si>
    <t>A000768</t>
  </si>
  <si>
    <t>A000769</t>
  </si>
  <si>
    <t>A000770</t>
  </si>
  <si>
    <t>A000771</t>
  </si>
  <si>
    <t>A000772</t>
  </si>
  <si>
    <t>A000773</t>
  </si>
  <si>
    <t>A000774</t>
  </si>
  <si>
    <t>A000775</t>
  </si>
  <si>
    <t>A000776</t>
  </si>
  <si>
    <t>A000777</t>
  </si>
  <si>
    <t>A000778</t>
  </si>
  <si>
    <t>A000779</t>
  </si>
  <si>
    <t>A000780</t>
  </si>
  <si>
    <t>A000781</t>
  </si>
  <si>
    <t>A000782</t>
  </si>
  <si>
    <t>A000783</t>
  </si>
  <si>
    <t>A000784</t>
  </si>
  <si>
    <t>A000785</t>
  </si>
  <si>
    <t>A000786</t>
  </si>
  <si>
    <t>A000787</t>
  </si>
  <si>
    <t>A000788</t>
  </si>
  <si>
    <t>A000789</t>
  </si>
  <si>
    <t>A000790</t>
  </si>
  <si>
    <t>A000791</t>
  </si>
  <si>
    <t>A000792</t>
  </si>
  <si>
    <t>A000793</t>
  </si>
  <si>
    <t>A000794</t>
  </si>
  <si>
    <t>A000795</t>
  </si>
  <si>
    <t>A000796</t>
  </si>
  <si>
    <t>A000797</t>
  </si>
  <si>
    <t>A000798</t>
  </si>
  <si>
    <t>A000799</t>
  </si>
  <si>
    <t>A000800</t>
  </si>
  <si>
    <t>A000801</t>
  </si>
  <si>
    <t>A000802</t>
  </si>
  <si>
    <t>A000803</t>
  </si>
  <si>
    <t>A000804</t>
  </si>
  <si>
    <t>A000805</t>
  </si>
  <si>
    <t>A000806</t>
  </si>
  <si>
    <t>A000807</t>
  </si>
  <si>
    <t>A000808</t>
  </si>
  <si>
    <t>A000809</t>
  </si>
  <si>
    <t>A000810</t>
  </si>
  <si>
    <t>A000811</t>
  </si>
  <si>
    <t>A000812</t>
  </si>
  <si>
    <t>A000813</t>
  </si>
  <si>
    <t>A000814</t>
  </si>
  <si>
    <t>A000815</t>
  </si>
  <si>
    <t>A000816</t>
  </si>
  <si>
    <t>A000817</t>
  </si>
  <si>
    <t>A000818</t>
  </si>
  <si>
    <t>A000819</t>
  </si>
  <si>
    <t>A000820</t>
  </si>
  <si>
    <t>A000821</t>
  </si>
  <si>
    <t>A000822</t>
  </si>
  <si>
    <t>A000823</t>
  </si>
  <si>
    <t>A000824</t>
  </si>
  <si>
    <t>A000825</t>
  </si>
  <si>
    <t>A000826</t>
  </si>
  <si>
    <t>A000827</t>
  </si>
  <si>
    <t>A000828</t>
  </si>
  <si>
    <t>A000829</t>
  </si>
  <si>
    <t>A000830</t>
  </si>
  <si>
    <t>A000831</t>
  </si>
  <si>
    <t>A000832</t>
  </si>
  <si>
    <t>A000833</t>
  </si>
  <si>
    <t>A000834</t>
  </si>
  <si>
    <t>A000835</t>
  </si>
  <si>
    <t>A000836</t>
  </si>
  <si>
    <t>A000837</t>
  </si>
  <si>
    <t>A000838</t>
  </si>
  <si>
    <t>A000839</t>
  </si>
  <si>
    <t>A000840</t>
  </si>
  <si>
    <t>A000841</t>
  </si>
  <si>
    <t>A000842</t>
  </si>
  <si>
    <t>A000843</t>
  </si>
  <si>
    <t>A000844</t>
  </si>
  <si>
    <t>A000845</t>
  </si>
  <si>
    <t>A000846</t>
  </si>
  <si>
    <t>A000847</t>
  </si>
  <si>
    <t>A000848</t>
  </si>
  <si>
    <t>A000849</t>
  </si>
  <si>
    <t>A000850</t>
  </si>
  <si>
    <t>A000851</t>
  </si>
  <si>
    <t>A000852</t>
  </si>
  <si>
    <t>A000853</t>
  </si>
  <si>
    <t>A000854</t>
  </si>
  <si>
    <t>A000855</t>
  </si>
  <si>
    <t>A000856</t>
  </si>
  <si>
    <t>A000857</t>
  </si>
  <si>
    <t>A000858</t>
  </si>
  <si>
    <t>A000859</t>
  </si>
  <si>
    <t>A000860</t>
  </si>
  <si>
    <t>A000861</t>
  </si>
  <si>
    <t>A000862</t>
  </si>
  <si>
    <t>A000863</t>
  </si>
  <si>
    <t>A000864</t>
  </si>
  <si>
    <t>A000865</t>
  </si>
  <si>
    <t>A000866</t>
  </si>
  <si>
    <t>A000867</t>
  </si>
  <si>
    <t>A000868</t>
  </si>
  <si>
    <t>A000869</t>
  </si>
  <si>
    <t>A000870</t>
  </si>
  <si>
    <t>A000871</t>
  </si>
  <si>
    <t>A000872</t>
  </si>
  <si>
    <t>A000873</t>
  </si>
  <si>
    <t>A000874</t>
  </si>
  <si>
    <t>A000875</t>
  </si>
  <si>
    <t>A000876</t>
  </si>
  <si>
    <t>A000877</t>
  </si>
  <si>
    <t>A000878</t>
  </si>
  <si>
    <t>A000879</t>
  </si>
  <si>
    <t>A000880</t>
  </si>
  <si>
    <t>A000881</t>
  </si>
  <si>
    <t>A000882</t>
  </si>
  <si>
    <t>A000883</t>
  </si>
  <si>
    <t>A000884</t>
  </si>
  <si>
    <t>A000885</t>
  </si>
  <si>
    <t>A000886</t>
  </si>
  <si>
    <t>A000887</t>
  </si>
  <si>
    <t>A000888</t>
  </si>
  <si>
    <t>A000889</t>
  </si>
  <si>
    <t>A000890</t>
  </si>
  <si>
    <t>A000891</t>
  </si>
  <si>
    <t>A000892</t>
  </si>
  <si>
    <t>A000893</t>
  </si>
  <si>
    <t>A000894</t>
  </si>
  <si>
    <t>A000895</t>
  </si>
  <si>
    <t>A000896</t>
  </si>
  <si>
    <t>A000897</t>
  </si>
  <si>
    <t>A000898</t>
  </si>
  <si>
    <t>A000899</t>
  </si>
  <si>
    <t>A000900</t>
  </si>
  <si>
    <t>A000901</t>
  </si>
  <si>
    <t>A000902</t>
  </si>
  <si>
    <t>A000903</t>
  </si>
  <si>
    <t>A000904</t>
  </si>
  <si>
    <t>A000905</t>
  </si>
  <si>
    <t>A000906</t>
  </si>
  <si>
    <t>A000907</t>
  </si>
  <si>
    <t>A000908</t>
  </si>
  <si>
    <t>A000909</t>
  </si>
  <si>
    <t>A000910</t>
  </si>
  <si>
    <t>A000911</t>
  </si>
  <si>
    <t>A000912</t>
  </si>
  <si>
    <t>A000913</t>
  </si>
  <si>
    <t>A000914</t>
  </si>
  <si>
    <t>A000915</t>
  </si>
  <si>
    <t>A000916</t>
  </si>
  <si>
    <t>A000917</t>
  </si>
  <si>
    <t>A000918</t>
  </si>
  <si>
    <t>A000919</t>
  </si>
  <si>
    <t>A000920</t>
  </si>
  <si>
    <t>A000921</t>
  </si>
  <si>
    <t>A000922</t>
  </si>
  <si>
    <t>A000923</t>
  </si>
  <si>
    <t>A000924</t>
  </si>
  <si>
    <t>A000925</t>
  </si>
  <si>
    <t>A000926</t>
  </si>
  <si>
    <t>A000927</t>
  </si>
  <si>
    <t>A000928</t>
  </si>
  <si>
    <t>A000929</t>
  </si>
  <si>
    <t>A000930</t>
  </si>
  <si>
    <t>A000931</t>
  </si>
  <si>
    <t>A000932</t>
  </si>
  <si>
    <t>A000933</t>
  </si>
  <si>
    <t>A000934</t>
  </si>
  <si>
    <t>A000935</t>
  </si>
  <si>
    <t>A000936</t>
  </si>
  <si>
    <t>A000937</t>
  </si>
  <si>
    <t>A000938</t>
  </si>
  <si>
    <t>A000939</t>
  </si>
  <si>
    <t>A000940</t>
  </si>
  <si>
    <t>A000941</t>
  </si>
  <si>
    <t>A000942</t>
  </si>
  <si>
    <t>A000943</t>
  </si>
  <si>
    <t>A000944</t>
  </si>
  <si>
    <t>A000945</t>
  </si>
  <si>
    <t>A000946</t>
  </si>
  <si>
    <t>A000947</t>
  </si>
  <si>
    <t>A000948</t>
  </si>
  <si>
    <t>A000949</t>
  </si>
  <si>
    <t>A000950</t>
  </si>
  <si>
    <t>A000951</t>
  </si>
  <si>
    <t>A000952</t>
  </si>
  <si>
    <t>A000953</t>
  </si>
  <si>
    <t>A000954</t>
  </si>
  <si>
    <t>A000955</t>
  </si>
  <si>
    <t>A000956</t>
  </si>
  <si>
    <t>A000957</t>
  </si>
  <si>
    <t>A000958</t>
  </si>
  <si>
    <t>A000959</t>
  </si>
  <si>
    <t>A000960</t>
  </si>
  <si>
    <t>A000961</t>
  </si>
  <si>
    <t>A000962</t>
  </si>
  <si>
    <t>A000963</t>
  </si>
  <si>
    <t>A000964</t>
  </si>
  <si>
    <t>A000965</t>
  </si>
  <si>
    <t>A000966</t>
  </si>
  <si>
    <t>A000967</t>
  </si>
  <si>
    <t>A000968</t>
  </si>
  <si>
    <t>A000969</t>
  </si>
  <si>
    <t>A000970</t>
  </si>
  <si>
    <t>A000971</t>
  </si>
  <si>
    <t>A000972</t>
  </si>
  <si>
    <t>A000973</t>
  </si>
  <si>
    <t>A000974</t>
  </si>
  <si>
    <t>A000975</t>
  </si>
  <si>
    <t>A000976</t>
  </si>
  <si>
    <t>A000977</t>
  </si>
  <si>
    <t>A000978</t>
  </si>
  <si>
    <t>A000979</t>
  </si>
  <si>
    <t>A000980</t>
  </si>
  <si>
    <t>A000981</t>
  </si>
  <si>
    <t>A000982</t>
  </si>
  <si>
    <t>A000983</t>
  </si>
  <si>
    <t>A000984</t>
  </si>
  <si>
    <t>A000985</t>
  </si>
  <si>
    <t>A000986</t>
  </si>
  <si>
    <t>A000987</t>
  </si>
  <si>
    <t>A000988</t>
  </si>
  <si>
    <t>A000989</t>
  </si>
  <si>
    <t>A000990</t>
  </si>
  <si>
    <t>A000991</t>
  </si>
  <si>
    <t>A000992</t>
  </si>
  <si>
    <t>A000993</t>
  </si>
  <si>
    <t>A000994</t>
  </si>
  <si>
    <t>A000995</t>
  </si>
  <si>
    <t>A000996</t>
  </si>
  <si>
    <t>A000997</t>
  </si>
  <si>
    <t>A000998</t>
  </si>
  <si>
    <t>A000999</t>
  </si>
  <si>
    <t>A001000</t>
  </si>
  <si>
    <t>Transaction_ID</t>
  </si>
  <si>
    <t>Transaction_Date</t>
  </si>
  <si>
    <t>Transaction_Type</t>
  </si>
  <si>
    <t>Channel</t>
  </si>
  <si>
    <t>Amount</t>
  </si>
  <si>
    <t>Transaction_Status</t>
  </si>
  <si>
    <t>T0000001</t>
  </si>
  <si>
    <t>Transfer</t>
  </si>
  <si>
    <t>ATM</t>
  </si>
  <si>
    <t>Completed</t>
  </si>
  <si>
    <t>T0000002</t>
  </si>
  <si>
    <t>Payment</t>
  </si>
  <si>
    <t>Mobile Banking</t>
  </si>
  <si>
    <t>T0000003</t>
  </si>
  <si>
    <t>Deposit</t>
  </si>
  <si>
    <t>T0000004</t>
  </si>
  <si>
    <t>Withdrawal</t>
  </si>
  <si>
    <t>Internet Banking</t>
  </si>
  <si>
    <t>T0000005</t>
  </si>
  <si>
    <t>Loan Repayment</t>
  </si>
  <si>
    <t>T0000006</t>
  </si>
  <si>
    <t>T0000007</t>
  </si>
  <si>
    <t>POS</t>
  </si>
  <si>
    <t>T0000008</t>
  </si>
  <si>
    <t>T0000009</t>
  </si>
  <si>
    <t>Branch</t>
  </si>
  <si>
    <t>T0000010</t>
  </si>
  <si>
    <t>T0000011</t>
  </si>
  <si>
    <t>T0000012</t>
  </si>
  <si>
    <t>T0000013</t>
  </si>
  <si>
    <t>T0000014</t>
  </si>
  <si>
    <t>T0000015</t>
  </si>
  <si>
    <t>T0000016</t>
  </si>
  <si>
    <t>T0000017</t>
  </si>
  <si>
    <t>T0000018</t>
  </si>
  <si>
    <t>T0000019</t>
  </si>
  <si>
    <t>T0000020</t>
  </si>
  <si>
    <t>T0000021</t>
  </si>
  <si>
    <t>T0000022</t>
  </si>
  <si>
    <t>T0000023</t>
  </si>
  <si>
    <t>T0000024</t>
  </si>
  <si>
    <t>T0000025</t>
  </si>
  <si>
    <t>T0000026</t>
  </si>
  <si>
    <t>T0000027</t>
  </si>
  <si>
    <t>T0000028</t>
  </si>
  <si>
    <t>T0000029</t>
  </si>
  <si>
    <t>T0000030</t>
  </si>
  <si>
    <t>T0000031</t>
  </si>
  <si>
    <t>T0000032</t>
  </si>
  <si>
    <t>T0000033</t>
  </si>
  <si>
    <t>T0000034</t>
  </si>
  <si>
    <t>T0000035</t>
  </si>
  <si>
    <t>T0000036</t>
  </si>
  <si>
    <t>T0000037</t>
  </si>
  <si>
    <t>T0000038</t>
  </si>
  <si>
    <t>T0000039</t>
  </si>
  <si>
    <t>Reversed</t>
  </si>
  <si>
    <t>T0000040</t>
  </si>
  <si>
    <t>T0000041</t>
  </si>
  <si>
    <t>T0000042</t>
  </si>
  <si>
    <t>T0000043</t>
  </si>
  <si>
    <t>T0000044</t>
  </si>
  <si>
    <t>T0000045</t>
  </si>
  <si>
    <t>T0000046</t>
  </si>
  <si>
    <t>Failed</t>
  </si>
  <si>
    <t>T0000047</t>
  </si>
  <si>
    <t>T0000048</t>
  </si>
  <si>
    <t>T0000049</t>
  </si>
  <si>
    <t>T0000050</t>
  </si>
  <si>
    <t>T0000051</t>
  </si>
  <si>
    <t>T0000052</t>
  </si>
  <si>
    <t>T0000053</t>
  </si>
  <si>
    <t>T0000054</t>
  </si>
  <si>
    <t>T0000055</t>
  </si>
  <si>
    <t>T0000056</t>
  </si>
  <si>
    <t>T0000057</t>
  </si>
  <si>
    <t>T0000058</t>
  </si>
  <si>
    <t>T0000059</t>
  </si>
  <si>
    <t>T0000060</t>
  </si>
  <si>
    <t>T0000061</t>
  </si>
  <si>
    <t>T0000062</t>
  </si>
  <si>
    <t>T0000063</t>
  </si>
  <si>
    <t>T0000064</t>
  </si>
  <si>
    <t>T0000065</t>
  </si>
  <si>
    <t>T0000066</t>
  </si>
  <si>
    <t>T0000067</t>
  </si>
  <si>
    <t>T0000068</t>
  </si>
  <si>
    <t>T0000069</t>
  </si>
  <si>
    <t>T0000070</t>
  </si>
  <si>
    <t>T0000071</t>
  </si>
  <si>
    <t>T0000072</t>
  </si>
  <si>
    <t>T0000073</t>
  </si>
  <si>
    <t>T0000074</t>
  </si>
  <si>
    <t>T0000075</t>
  </si>
  <si>
    <t>T0000076</t>
  </si>
  <si>
    <t>T0000077</t>
  </si>
  <si>
    <t>T0000078</t>
  </si>
  <si>
    <t>T0000079</t>
  </si>
  <si>
    <t>T0000080</t>
  </si>
  <si>
    <t>T0000081</t>
  </si>
  <si>
    <t>T0000082</t>
  </si>
  <si>
    <t>T0000083</t>
  </si>
  <si>
    <t>T0000084</t>
  </si>
  <si>
    <t>T0000085</t>
  </si>
  <si>
    <t>T0000086</t>
  </si>
  <si>
    <t>T0000087</t>
  </si>
  <si>
    <t>T0000088</t>
  </si>
  <si>
    <t>T0000089</t>
  </si>
  <si>
    <t>T0000090</t>
  </si>
  <si>
    <t>T0000091</t>
  </si>
  <si>
    <t>T0000092</t>
  </si>
  <si>
    <t>T0000093</t>
  </si>
  <si>
    <t>T0000094</t>
  </si>
  <si>
    <t>T0000095</t>
  </si>
  <si>
    <t>T0000096</t>
  </si>
  <si>
    <t>T0000097</t>
  </si>
  <si>
    <t>T0000098</t>
  </si>
  <si>
    <t>T0000099</t>
  </si>
  <si>
    <t>T0000100</t>
  </si>
  <si>
    <t>T0000101</t>
  </si>
  <si>
    <t>T0000102</t>
  </si>
  <si>
    <t>mobile banking</t>
  </si>
  <si>
    <t>T0000103</t>
  </si>
  <si>
    <t>T0000104</t>
  </si>
  <si>
    <t>T0000105</t>
  </si>
  <si>
    <t>T0000106</t>
  </si>
  <si>
    <t>T0000107</t>
  </si>
  <si>
    <t>T0000108</t>
  </si>
  <si>
    <t>T0000109</t>
  </si>
  <si>
    <t>T0000110</t>
  </si>
  <si>
    <t>T0000111</t>
  </si>
  <si>
    <t>T0000112</t>
  </si>
  <si>
    <t>T0000113</t>
  </si>
  <si>
    <t>T0000114</t>
  </si>
  <si>
    <t>T0000115</t>
  </si>
  <si>
    <t>T0000116</t>
  </si>
  <si>
    <t>T0000117</t>
  </si>
  <si>
    <t>T0000118</t>
  </si>
  <si>
    <t>T0000119</t>
  </si>
  <si>
    <t>T0000120</t>
  </si>
  <si>
    <t>T0000121</t>
  </si>
  <si>
    <t>T0000122</t>
  </si>
  <si>
    <t>T0000123</t>
  </si>
  <si>
    <t>T0000124</t>
  </si>
  <si>
    <t>T0000125</t>
  </si>
  <si>
    <t>T0000126</t>
  </si>
  <si>
    <t>T0000127</t>
  </si>
  <si>
    <t>T0000128</t>
  </si>
  <si>
    <t>T0000129</t>
  </si>
  <si>
    <t>T0000130</t>
  </si>
  <si>
    <t>T0000131</t>
  </si>
  <si>
    <t>T0000132</t>
  </si>
  <si>
    <t>T0000133</t>
  </si>
  <si>
    <t>T0000134</t>
  </si>
  <si>
    <t>T0000135</t>
  </si>
  <si>
    <t>T0000136</t>
  </si>
  <si>
    <t>T0000137</t>
  </si>
  <si>
    <t>T0000138</t>
  </si>
  <si>
    <t>T0000139</t>
  </si>
  <si>
    <t>T0000140</t>
  </si>
  <si>
    <t>T0000141</t>
  </si>
  <si>
    <t>T0000142</t>
  </si>
  <si>
    <t>T0000143</t>
  </si>
  <si>
    <t>T0000144</t>
  </si>
  <si>
    <t>T0000145</t>
  </si>
  <si>
    <t>T0000146</t>
  </si>
  <si>
    <t>T0000147</t>
  </si>
  <si>
    <t>T0000148</t>
  </si>
  <si>
    <t>T0000149</t>
  </si>
  <si>
    <t>T0000150</t>
  </si>
  <si>
    <t>T0000151</t>
  </si>
  <si>
    <t xml:space="preserve"> MOBILE BANKING </t>
  </si>
  <si>
    <t>T0000152</t>
  </si>
  <si>
    <t>T0000153</t>
  </si>
  <si>
    <t>T0000154</t>
  </si>
  <si>
    <t>T0000155</t>
  </si>
  <si>
    <t>T0000156</t>
  </si>
  <si>
    <t>T0000157</t>
  </si>
  <si>
    <t>T0000158</t>
  </si>
  <si>
    <t>T0000159</t>
  </si>
  <si>
    <t>T0000160</t>
  </si>
  <si>
    <t>T0000161</t>
  </si>
  <si>
    <t>T0000162</t>
  </si>
  <si>
    <t>T0000163</t>
  </si>
  <si>
    <t>T0000164</t>
  </si>
  <si>
    <t>T0000165</t>
  </si>
  <si>
    <t>T0000166</t>
  </si>
  <si>
    <t>T0000167</t>
  </si>
  <si>
    <t>T0000168</t>
  </si>
  <si>
    <t>T0000169</t>
  </si>
  <si>
    <t>T0000170</t>
  </si>
  <si>
    <t>T0000171</t>
  </si>
  <si>
    <t>T0000172</t>
  </si>
  <si>
    <t>T0000173</t>
  </si>
  <si>
    <t>T0000174</t>
  </si>
  <si>
    <t>T0000175</t>
  </si>
  <si>
    <t>T0000176</t>
  </si>
  <si>
    <t>T0000177</t>
  </si>
  <si>
    <t>T0000178</t>
  </si>
  <si>
    <t>T0000179</t>
  </si>
  <si>
    <t>T0000180</t>
  </si>
  <si>
    <t>T0000181</t>
  </si>
  <si>
    <t>T0000182</t>
  </si>
  <si>
    <t>T0000183</t>
  </si>
  <si>
    <t>T0000184</t>
  </si>
  <si>
    <t>T0000185</t>
  </si>
  <si>
    <t>T0000186</t>
  </si>
  <si>
    <t>T0000187</t>
  </si>
  <si>
    <t>T0000188</t>
  </si>
  <si>
    <t>T0000189</t>
  </si>
  <si>
    <t>T0000190</t>
  </si>
  <si>
    <t>T0000191</t>
  </si>
  <si>
    <t>T0000192</t>
  </si>
  <si>
    <t>T0000193</t>
  </si>
  <si>
    <t>T0000194</t>
  </si>
  <si>
    <t>T0000195</t>
  </si>
  <si>
    <t>T0000196</t>
  </si>
  <si>
    <t>T0000197</t>
  </si>
  <si>
    <t>T0000198</t>
  </si>
  <si>
    <t>T0000199</t>
  </si>
  <si>
    <t>T0000200</t>
  </si>
  <si>
    <t>T0000201</t>
  </si>
  <si>
    <t>T0000202</t>
  </si>
  <si>
    <t>T0000203</t>
  </si>
  <si>
    <t>T0000204</t>
  </si>
  <si>
    <t>T0000205</t>
  </si>
  <si>
    <t>T0000206</t>
  </si>
  <si>
    <t xml:space="preserve">ATM </t>
  </si>
  <si>
    <t>T0000207</t>
  </si>
  <si>
    <t>T0000208</t>
  </si>
  <si>
    <t>T0000209</t>
  </si>
  <si>
    <t>T0000210</t>
  </si>
  <si>
    <t>T0000211</t>
  </si>
  <si>
    <t>T0000212</t>
  </si>
  <si>
    <t>T0000213</t>
  </si>
  <si>
    <t>T0000214</t>
  </si>
  <si>
    <t>T0000215</t>
  </si>
  <si>
    <t>T0000216</t>
  </si>
  <si>
    <t>T0000217</t>
  </si>
  <si>
    <t>T0000218</t>
  </si>
  <si>
    <t>T0000219</t>
  </si>
  <si>
    <t>T0000220</t>
  </si>
  <si>
    <t>T0000221</t>
  </si>
  <si>
    <t>T0000222</t>
  </si>
  <si>
    <t>T0000223</t>
  </si>
  <si>
    <t>T0000224</t>
  </si>
  <si>
    <t>T0000225</t>
  </si>
  <si>
    <t>T0000226</t>
  </si>
  <si>
    <t>T0000227</t>
  </si>
  <si>
    <t>T0000228</t>
  </si>
  <si>
    <t>T0000229</t>
  </si>
  <si>
    <t>T0000230</t>
  </si>
  <si>
    <t>T0000231</t>
  </si>
  <si>
    <t>T0000232</t>
  </si>
  <si>
    <t>T0000233</t>
  </si>
  <si>
    <t>T0000234</t>
  </si>
  <si>
    <t>T0000235</t>
  </si>
  <si>
    <t>T0000236</t>
  </si>
  <si>
    <t>T0000237</t>
  </si>
  <si>
    <t>T0000238</t>
  </si>
  <si>
    <t>T0000239</t>
  </si>
  <si>
    <t>T0000240</t>
  </si>
  <si>
    <t>T0000241</t>
  </si>
  <si>
    <t>T0000242</t>
  </si>
  <si>
    <t>T0000243</t>
  </si>
  <si>
    <t>T0000244</t>
  </si>
  <si>
    <t>T0000245</t>
  </si>
  <si>
    <t>T0000246</t>
  </si>
  <si>
    <t>T0000247</t>
  </si>
  <si>
    <t>T0000248</t>
  </si>
  <si>
    <t>T0000249</t>
  </si>
  <si>
    <t>T0000250</t>
  </si>
  <si>
    <t>T0000251</t>
  </si>
  <si>
    <t>T0000252</t>
  </si>
  <si>
    <t>T0000253</t>
  </si>
  <si>
    <t>T0000254</t>
  </si>
  <si>
    <t>T0000255</t>
  </si>
  <si>
    <t>T0000256</t>
  </si>
  <si>
    <t>T0000257</t>
  </si>
  <si>
    <t>T0000258</t>
  </si>
  <si>
    <t>T0000259</t>
  </si>
  <si>
    <t>T0000260</t>
  </si>
  <si>
    <t>T0000261</t>
  </si>
  <si>
    <t>T0000262</t>
  </si>
  <si>
    <t>T0000263</t>
  </si>
  <si>
    <t>T0000264</t>
  </si>
  <si>
    <t>T0000265</t>
  </si>
  <si>
    <t>T0000266</t>
  </si>
  <si>
    <t>T0000267</t>
  </si>
  <si>
    <t>T0000268</t>
  </si>
  <si>
    <t>T0000269</t>
  </si>
  <si>
    <t>T0000270</t>
  </si>
  <si>
    <t>T0000271</t>
  </si>
  <si>
    <t>T0000272</t>
  </si>
  <si>
    <t>T0000273</t>
  </si>
  <si>
    <t>T0000274</t>
  </si>
  <si>
    <t>T0000275</t>
  </si>
  <si>
    <t>T0000276</t>
  </si>
  <si>
    <t>T0000277</t>
  </si>
  <si>
    <t>T0000278</t>
  </si>
  <si>
    <t>T0000279</t>
  </si>
  <si>
    <t>T0000280</t>
  </si>
  <si>
    <t>T0000281</t>
  </si>
  <si>
    <t>T0000282</t>
  </si>
  <si>
    <t>T0000283</t>
  </si>
  <si>
    <t>T0000284</t>
  </si>
  <si>
    <t>T0000285</t>
  </si>
  <si>
    <t>T0000286</t>
  </si>
  <si>
    <t>T0000287</t>
  </si>
  <si>
    <t>T0000288</t>
  </si>
  <si>
    <t>T0000289</t>
  </si>
  <si>
    <t>T0000290</t>
  </si>
  <si>
    <t>T0000291</t>
  </si>
  <si>
    <t>T0000292</t>
  </si>
  <si>
    <t>T0000293</t>
  </si>
  <si>
    <t>T0000294</t>
  </si>
  <si>
    <t>T0000295</t>
  </si>
  <si>
    <t>T0000296</t>
  </si>
  <si>
    <t>T0000297</t>
  </si>
  <si>
    <t>T0000298</t>
  </si>
  <si>
    <t>T0000299</t>
  </si>
  <si>
    <t>T0000300</t>
  </si>
  <si>
    <t>T0000301</t>
  </si>
  <si>
    <t>T0000302</t>
  </si>
  <si>
    <t>T0000303</t>
  </si>
  <si>
    <t>T0000304</t>
  </si>
  <si>
    <t>T0000305</t>
  </si>
  <si>
    <t>T0000306</t>
  </si>
  <si>
    <t>T0000307</t>
  </si>
  <si>
    <t>T0000308</t>
  </si>
  <si>
    <t>T0000309</t>
  </si>
  <si>
    <t>T0000310</t>
  </si>
  <si>
    <t>T0000311</t>
  </si>
  <si>
    <t>T0000312</t>
  </si>
  <si>
    <t>T0000313</t>
  </si>
  <si>
    <t>T0000314</t>
  </si>
  <si>
    <t>T0000315</t>
  </si>
  <si>
    <t>T0000316</t>
  </si>
  <si>
    <t>T0000317</t>
  </si>
  <si>
    <t>T0000318</t>
  </si>
  <si>
    <t>T0000319</t>
  </si>
  <si>
    <t>T0000320</t>
  </si>
  <si>
    <t>T0000321</t>
  </si>
  <si>
    <t>T0000322</t>
  </si>
  <si>
    <t>T0000323</t>
  </si>
  <si>
    <t>T0000324</t>
  </si>
  <si>
    <t>T0000325</t>
  </si>
  <si>
    <t>T0000326</t>
  </si>
  <si>
    <t>T0000327</t>
  </si>
  <si>
    <t>T0000328</t>
  </si>
  <si>
    <t>T0000329</t>
  </si>
  <si>
    <t>T0000330</t>
  </si>
  <si>
    <t>T0000331</t>
  </si>
  <si>
    <t>T0000332</t>
  </si>
  <si>
    <t>T0000333</t>
  </si>
  <si>
    <t>T0000334</t>
  </si>
  <si>
    <t>T0000335</t>
  </si>
  <si>
    <t>T0000336</t>
  </si>
  <si>
    <t>T0000337</t>
  </si>
  <si>
    <t>T0000338</t>
  </si>
  <si>
    <t>T0000339</t>
  </si>
  <si>
    <t>T0000340</t>
  </si>
  <si>
    <t>T0000341</t>
  </si>
  <si>
    <t>T0000342</t>
  </si>
  <si>
    <t>T0000343</t>
  </si>
  <si>
    <t>T0000344</t>
  </si>
  <si>
    <t>T0000345</t>
  </si>
  <si>
    <t>T0000346</t>
  </si>
  <si>
    <t>T0000347</t>
  </si>
  <si>
    <t>T0000348</t>
  </si>
  <si>
    <t>T0000349</t>
  </si>
  <si>
    <t>T0000350</t>
  </si>
  <si>
    <t>T0000351</t>
  </si>
  <si>
    <t>T0000352</t>
  </si>
  <si>
    <t>T0000353</t>
  </si>
  <si>
    <t>T0000354</t>
  </si>
  <si>
    <t>T0000355</t>
  </si>
  <si>
    <t>T0000356</t>
  </si>
  <si>
    <t>T0000357</t>
  </si>
  <si>
    <t>T0000358</t>
  </si>
  <si>
    <t>T0000359</t>
  </si>
  <si>
    <t>T0000360</t>
  </si>
  <si>
    <t>T0000361</t>
  </si>
  <si>
    <t>T0000362</t>
  </si>
  <si>
    <t>T0000363</t>
  </si>
  <si>
    <t>T0000364</t>
  </si>
  <si>
    <t>T0000365</t>
  </si>
  <si>
    <t>T0000366</t>
  </si>
  <si>
    <t>T0000367</t>
  </si>
  <si>
    <t>T0000368</t>
  </si>
  <si>
    <t>T0000369</t>
  </si>
  <si>
    <t>T0000370</t>
  </si>
  <si>
    <t>T0000371</t>
  </si>
  <si>
    <t>T0000372</t>
  </si>
  <si>
    <t>T0000373</t>
  </si>
  <si>
    <t>T0000374</t>
  </si>
  <si>
    <t>T0000375</t>
  </si>
  <si>
    <t>T0000376</t>
  </si>
  <si>
    <t>T0000377</t>
  </si>
  <si>
    <t>T0000378</t>
  </si>
  <si>
    <t>T0000379</t>
  </si>
  <si>
    <t>T0000380</t>
  </si>
  <si>
    <t>T0000381</t>
  </si>
  <si>
    <t>T0000382</t>
  </si>
  <si>
    <t>T0000383</t>
  </si>
  <si>
    <t>T0000384</t>
  </si>
  <si>
    <t>T0000385</t>
  </si>
  <si>
    <t>T0000386</t>
  </si>
  <si>
    <t>T0000387</t>
  </si>
  <si>
    <t>T0000388</t>
  </si>
  <si>
    <t>T0000389</t>
  </si>
  <si>
    <t>T0000390</t>
  </si>
  <si>
    <t>T0000391</t>
  </si>
  <si>
    <t>T0000392</t>
  </si>
  <si>
    <t>T0000393</t>
  </si>
  <si>
    <t>T0000394</t>
  </si>
  <si>
    <t>T0000395</t>
  </si>
  <si>
    <t>T0000396</t>
  </si>
  <si>
    <t>T0000397</t>
  </si>
  <si>
    <t>T0000398</t>
  </si>
  <si>
    <t>T0000399</t>
  </si>
  <si>
    <t>T0000400</t>
  </si>
  <si>
    <t>T0000401</t>
  </si>
  <si>
    <t>T0000402</t>
  </si>
  <si>
    <t>T0000403</t>
  </si>
  <si>
    <t>T0000404</t>
  </si>
  <si>
    <t>T0000405</t>
  </si>
  <si>
    <t>T0000406</t>
  </si>
  <si>
    <t>T0000407</t>
  </si>
  <si>
    <t>T0000408</t>
  </si>
  <si>
    <t>T0000409</t>
  </si>
  <si>
    <t>T0000410</t>
  </si>
  <si>
    <t>T0000411</t>
  </si>
  <si>
    <t>T0000412</t>
  </si>
  <si>
    <t>T0000413</t>
  </si>
  <si>
    <t>T0000414</t>
  </si>
  <si>
    <t>T0000415</t>
  </si>
  <si>
    <t>T0000416</t>
  </si>
  <si>
    <t>T0000417</t>
  </si>
  <si>
    <t>T0000418</t>
  </si>
  <si>
    <t>T0000419</t>
  </si>
  <si>
    <t>T0000420</t>
  </si>
  <si>
    <t>T0000421</t>
  </si>
  <si>
    <t>T0000422</t>
  </si>
  <si>
    <t>T0000423</t>
  </si>
  <si>
    <t>T0000424</t>
  </si>
  <si>
    <t>T0000425</t>
  </si>
  <si>
    <t>T0000426</t>
  </si>
  <si>
    <t>T0000427</t>
  </si>
  <si>
    <t>T0000428</t>
  </si>
  <si>
    <t>T0000429</t>
  </si>
  <si>
    <t>T0000430</t>
  </si>
  <si>
    <t>T0000431</t>
  </si>
  <si>
    <t>T0000432</t>
  </si>
  <si>
    <t>T0000433</t>
  </si>
  <si>
    <t>T0000434</t>
  </si>
  <si>
    <t>T0000435</t>
  </si>
  <si>
    <t>T0000436</t>
  </si>
  <si>
    <t>T0000437</t>
  </si>
  <si>
    <t>T0000438</t>
  </si>
  <si>
    <t>T0000439</t>
  </si>
  <si>
    <t>T0000440</t>
  </si>
  <si>
    <t>T0000441</t>
  </si>
  <si>
    <t>T0000442</t>
  </si>
  <si>
    <t>T0000443</t>
  </si>
  <si>
    <t>T0000444</t>
  </si>
  <si>
    <t>T0000445</t>
  </si>
  <si>
    <t>T0000446</t>
  </si>
  <si>
    <t>T0000447</t>
  </si>
  <si>
    <t>T0000448</t>
  </si>
  <si>
    <t>T0000449</t>
  </si>
  <si>
    <t>T0000450</t>
  </si>
  <si>
    <t>T0000451</t>
  </si>
  <si>
    <t>T0000452</t>
  </si>
  <si>
    <t>T0000453</t>
  </si>
  <si>
    <t>T0000454</t>
  </si>
  <si>
    <t>T0000455</t>
  </si>
  <si>
    <t>T0000456</t>
  </si>
  <si>
    <t>T0000457</t>
  </si>
  <si>
    <t>T0000458</t>
  </si>
  <si>
    <t>T0000459</t>
  </si>
  <si>
    <t>T0000460</t>
  </si>
  <si>
    <t>T0000461</t>
  </si>
  <si>
    <t>T0000462</t>
  </si>
  <si>
    <t>T0000463</t>
  </si>
  <si>
    <t>T0000464</t>
  </si>
  <si>
    <t>T0000465</t>
  </si>
  <si>
    <t>T0000466</t>
  </si>
  <si>
    <t>T0000467</t>
  </si>
  <si>
    <t>T0000468</t>
  </si>
  <si>
    <t>T0000469</t>
  </si>
  <si>
    <t>T0000470</t>
  </si>
  <si>
    <t>T0000471</t>
  </si>
  <si>
    <t>T0000472</t>
  </si>
  <si>
    <t>T0000473</t>
  </si>
  <si>
    <t>T0000474</t>
  </si>
  <si>
    <t>T0000475</t>
  </si>
  <si>
    <t>T0000476</t>
  </si>
  <si>
    <t>T0000477</t>
  </si>
  <si>
    <t>T0000478</t>
  </si>
  <si>
    <t>T0000479</t>
  </si>
  <si>
    <t>T0000480</t>
  </si>
  <si>
    <t>T0000481</t>
  </si>
  <si>
    <t>T0000482</t>
  </si>
  <si>
    <t>T0000483</t>
  </si>
  <si>
    <t>T0000484</t>
  </si>
  <si>
    <t>T0000485</t>
  </si>
  <si>
    <t>T0000486</t>
  </si>
  <si>
    <t>T0000487</t>
  </si>
  <si>
    <t>T0000488</t>
  </si>
  <si>
    <t>T0000489</t>
  </si>
  <si>
    <t>T0000490</t>
  </si>
  <si>
    <t>T0000491</t>
  </si>
  <si>
    <t>T0000492</t>
  </si>
  <si>
    <t>T0000493</t>
  </si>
  <si>
    <t>T0000494</t>
  </si>
  <si>
    <t>T0000495</t>
  </si>
  <si>
    <t>T0000496</t>
  </si>
  <si>
    <t>T0000497</t>
  </si>
  <si>
    <t>T0000498</t>
  </si>
  <si>
    <t>T0000499</t>
  </si>
  <si>
    <t>T0000500</t>
  </si>
  <si>
    <t>T0000501</t>
  </si>
  <si>
    <t>T0000502</t>
  </si>
  <si>
    <t>T0000503</t>
  </si>
  <si>
    <t>T0000504</t>
  </si>
  <si>
    <t>T0000505</t>
  </si>
  <si>
    <t>T0000506</t>
  </si>
  <si>
    <t>T0000507</t>
  </si>
  <si>
    <t>T0000508</t>
  </si>
  <si>
    <t>T0000509</t>
  </si>
  <si>
    <t>T0000510</t>
  </si>
  <si>
    <t>T0000511</t>
  </si>
  <si>
    <t>T0000512</t>
  </si>
  <si>
    <t>T0000513</t>
  </si>
  <si>
    <t>T0000514</t>
  </si>
  <si>
    <t>T0000515</t>
  </si>
  <si>
    <t>T0000516</t>
  </si>
  <si>
    <t>T0000517</t>
  </si>
  <si>
    <t>T0000518</t>
  </si>
  <si>
    <t>T0000519</t>
  </si>
  <si>
    <t>T0000520</t>
  </si>
  <si>
    <t>T0000521</t>
  </si>
  <si>
    <t>T0000522</t>
  </si>
  <si>
    <t>T0000523</t>
  </si>
  <si>
    <t>T0000524</t>
  </si>
  <si>
    <t>T0000525</t>
  </si>
  <si>
    <t>T0000526</t>
  </si>
  <si>
    <t>T0000527</t>
  </si>
  <si>
    <t>T0000528</t>
  </si>
  <si>
    <t>T0000529</t>
  </si>
  <si>
    <t>T0000530</t>
  </si>
  <si>
    <t>T0000531</t>
  </si>
  <si>
    <t>T0000532</t>
  </si>
  <si>
    <t>T0000533</t>
  </si>
  <si>
    <t>T0000534</t>
  </si>
  <si>
    <t>T0000535</t>
  </si>
  <si>
    <t>T0000536</t>
  </si>
  <si>
    <t>T0000537</t>
  </si>
  <si>
    <t>T0000538</t>
  </si>
  <si>
    <t>T0000539</t>
  </si>
  <si>
    <t>T0000540</t>
  </si>
  <si>
    <t>T0000541</t>
  </si>
  <si>
    <t>T0000542</t>
  </si>
  <si>
    <t>T0000543</t>
  </si>
  <si>
    <t>T0000544</t>
  </si>
  <si>
    <t>T0000545</t>
  </si>
  <si>
    <t>T0000546</t>
  </si>
  <si>
    <t>T0000547</t>
  </si>
  <si>
    <t>T0000548</t>
  </si>
  <si>
    <t>T0000549</t>
  </si>
  <si>
    <t>T0000550</t>
  </si>
  <si>
    <t>T0000551</t>
  </si>
  <si>
    <t>T0000552</t>
  </si>
  <si>
    <t>T0000553</t>
  </si>
  <si>
    <t>T0000554</t>
  </si>
  <si>
    <t>T0000555</t>
  </si>
  <si>
    <t>T0000556</t>
  </si>
  <si>
    <t>T0000557</t>
  </si>
  <si>
    <t>T0000558</t>
  </si>
  <si>
    <t>T0000559</t>
  </si>
  <si>
    <t>T0000560</t>
  </si>
  <si>
    <t>T0000561</t>
  </si>
  <si>
    <t>T0000562</t>
  </si>
  <si>
    <t>T0000563</t>
  </si>
  <si>
    <t>T0000564</t>
  </si>
  <si>
    <t>T0000565</t>
  </si>
  <si>
    <t>T0000566</t>
  </si>
  <si>
    <t>T0000567</t>
  </si>
  <si>
    <t>T0000568</t>
  </si>
  <si>
    <t>T0000569</t>
  </si>
  <si>
    <t>T0000570</t>
  </si>
  <si>
    <t>T0000571</t>
  </si>
  <si>
    <t>T0000572</t>
  </si>
  <si>
    <t>T0000573</t>
  </si>
  <si>
    <t>T0000574</t>
  </si>
  <si>
    <t>T0000575</t>
  </si>
  <si>
    <t>T0000576</t>
  </si>
  <si>
    <t>T0000577</t>
  </si>
  <si>
    <t>T0000578</t>
  </si>
  <si>
    <t>T0000579</t>
  </si>
  <si>
    <t>T0000580</t>
  </si>
  <si>
    <t>T0000581</t>
  </si>
  <si>
    <t>T0000582</t>
  </si>
  <si>
    <t>T0000583</t>
  </si>
  <si>
    <t>T0000584</t>
  </si>
  <si>
    <t>T0000585</t>
  </si>
  <si>
    <t>T0000586</t>
  </si>
  <si>
    <t>T0000587</t>
  </si>
  <si>
    <t>T0000588</t>
  </si>
  <si>
    <t>T0000589</t>
  </si>
  <si>
    <t>T0000590</t>
  </si>
  <si>
    <t>T0000591</t>
  </si>
  <si>
    <t>T0000592</t>
  </si>
  <si>
    <t>T0000593</t>
  </si>
  <si>
    <t>T0000594</t>
  </si>
  <si>
    <t>T0000595</t>
  </si>
  <si>
    <t>T0000596</t>
  </si>
  <si>
    <t>T0000597</t>
  </si>
  <si>
    <t>T0000598</t>
  </si>
  <si>
    <t>T0000599</t>
  </si>
  <si>
    <t>T0000600</t>
  </si>
  <si>
    <t>T0000601</t>
  </si>
  <si>
    <t>T0000602</t>
  </si>
  <si>
    <t>T0000603</t>
  </si>
  <si>
    <t>T0000604</t>
  </si>
  <si>
    <t>T0000605</t>
  </si>
  <si>
    <t>T0000606</t>
  </si>
  <si>
    <t>T0000607</t>
  </si>
  <si>
    <t>T0000608</t>
  </si>
  <si>
    <t>T0000609</t>
  </si>
  <si>
    <t>T0000610</t>
  </si>
  <si>
    <t>T0000611</t>
  </si>
  <si>
    <t>T0000612</t>
  </si>
  <si>
    <t>T0000613</t>
  </si>
  <si>
    <t>T0000614</t>
  </si>
  <si>
    <t>T0000615</t>
  </si>
  <si>
    <t>T0000616</t>
  </si>
  <si>
    <t>T0000617</t>
  </si>
  <si>
    <t>T0000618</t>
  </si>
  <si>
    <t>T0000619</t>
  </si>
  <si>
    <t>T0000620</t>
  </si>
  <si>
    <t>T0000621</t>
  </si>
  <si>
    <t>T0000622</t>
  </si>
  <si>
    <t>T0000623</t>
  </si>
  <si>
    <t>T0000624</t>
  </si>
  <si>
    <t>T0000625</t>
  </si>
  <si>
    <t>T0000626</t>
  </si>
  <si>
    <t>T0000627</t>
  </si>
  <si>
    <t>T0000628</t>
  </si>
  <si>
    <t>T0000629</t>
  </si>
  <si>
    <t>T0000630</t>
  </si>
  <si>
    <t>T0000631</t>
  </si>
  <si>
    <t>T0000632</t>
  </si>
  <si>
    <t>T0000633</t>
  </si>
  <si>
    <t>T0000634</t>
  </si>
  <si>
    <t>T0000635</t>
  </si>
  <si>
    <t>T0000636</t>
  </si>
  <si>
    <t>T0000637</t>
  </si>
  <si>
    <t>T0000638</t>
  </si>
  <si>
    <t>T0000639</t>
  </si>
  <si>
    <t>T0000640</t>
  </si>
  <si>
    <t>T0000641</t>
  </si>
  <si>
    <t>T0000642</t>
  </si>
  <si>
    <t>T0000643</t>
  </si>
  <si>
    <t>T0000644</t>
  </si>
  <si>
    <t>T0000645</t>
  </si>
  <si>
    <t>T0000646</t>
  </si>
  <si>
    <t>T0000647</t>
  </si>
  <si>
    <t>T0000648</t>
  </si>
  <si>
    <t>T0000649</t>
  </si>
  <si>
    <t>T0000650</t>
  </si>
  <si>
    <t>T0000651</t>
  </si>
  <si>
    <t>T0000652</t>
  </si>
  <si>
    <t>T0000653</t>
  </si>
  <si>
    <t>T0000654</t>
  </si>
  <si>
    <t>T0000655</t>
  </si>
  <si>
    <t>T0000656</t>
  </si>
  <si>
    <t>T0000657</t>
  </si>
  <si>
    <t>T0000658</t>
  </si>
  <si>
    <t>T0000659</t>
  </si>
  <si>
    <t>T0000660</t>
  </si>
  <si>
    <t>T0000661</t>
  </si>
  <si>
    <t>T0000662</t>
  </si>
  <si>
    <t>T0000663</t>
  </si>
  <si>
    <t>T0000664</t>
  </si>
  <si>
    <t>T0000665</t>
  </si>
  <si>
    <t>T0000666</t>
  </si>
  <si>
    <t>T0000667</t>
  </si>
  <si>
    <t>T0000668</t>
  </si>
  <si>
    <t>T0000669</t>
  </si>
  <si>
    <t>T0000670</t>
  </si>
  <si>
    <t>T0000671</t>
  </si>
  <si>
    <t>T0000672</t>
  </si>
  <si>
    <t>T0000673</t>
  </si>
  <si>
    <t>T0000674</t>
  </si>
  <si>
    <t>T0000675</t>
  </si>
  <si>
    <t>T0000676</t>
  </si>
  <si>
    <t>T0000677</t>
  </si>
  <si>
    <t>T0000678</t>
  </si>
  <si>
    <t>T0000679</t>
  </si>
  <si>
    <t>T0000680</t>
  </si>
  <si>
    <t>T0000681</t>
  </si>
  <si>
    <t>T0000682</t>
  </si>
  <si>
    <t>T0000683</t>
  </si>
  <si>
    <t>T0000684</t>
  </si>
  <si>
    <t>T0000685</t>
  </si>
  <si>
    <t>T0000686</t>
  </si>
  <si>
    <t>T0000687</t>
  </si>
  <si>
    <t>T0000688</t>
  </si>
  <si>
    <t>T0000689</t>
  </si>
  <si>
    <t>T0000690</t>
  </si>
  <si>
    <t>T0000691</t>
  </si>
  <si>
    <t>T0000692</t>
  </si>
  <si>
    <t>T0000693</t>
  </si>
  <si>
    <t>T0000694</t>
  </si>
  <si>
    <t>T0000695</t>
  </si>
  <si>
    <t>T0000696</t>
  </si>
  <si>
    <t>T0000697</t>
  </si>
  <si>
    <t>T0000698</t>
  </si>
  <si>
    <t>T0000699</t>
  </si>
  <si>
    <t>T0000700</t>
  </si>
  <si>
    <t>T0000701</t>
  </si>
  <si>
    <t>T0000702</t>
  </si>
  <si>
    <t>T0000703</t>
  </si>
  <si>
    <t>T0000704</t>
  </si>
  <si>
    <t>T0000705</t>
  </si>
  <si>
    <t>T0000706</t>
  </si>
  <si>
    <t>T0000707</t>
  </si>
  <si>
    <t>T0000708</t>
  </si>
  <si>
    <t>T0000709</t>
  </si>
  <si>
    <t>T0000710</t>
  </si>
  <si>
    <t>T0000711</t>
  </si>
  <si>
    <t>T0000712</t>
  </si>
  <si>
    <t>T0000713</t>
  </si>
  <si>
    <t>T0000714</t>
  </si>
  <si>
    <t>T0000715</t>
  </si>
  <si>
    <t>T0000716</t>
  </si>
  <si>
    <t>T0000717</t>
  </si>
  <si>
    <t>T0000718</t>
  </si>
  <si>
    <t>T0000719</t>
  </si>
  <si>
    <t>T0000720</t>
  </si>
  <si>
    <t>T0000721</t>
  </si>
  <si>
    <t>T0000722</t>
  </si>
  <si>
    <t>T0000723</t>
  </si>
  <si>
    <t>T0000724</t>
  </si>
  <si>
    <t>T0000725</t>
  </si>
  <si>
    <t>T0000726</t>
  </si>
  <si>
    <t>T0000727</t>
  </si>
  <si>
    <t>T0000728</t>
  </si>
  <si>
    <t>T0000729</t>
  </si>
  <si>
    <t>T0000730</t>
  </si>
  <si>
    <t>T0000731</t>
  </si>
  <si>
    <t>T0000732</t>
  </si>
  <si>
    <t>T0000733</t>
  </si>
  <si>
    <t>T0000734</t>
  </si>
  <si>
    <t>T0000735</t>
  </si>
  <si>
    <t>T0000736</t>
  </si>
  <si>
    <t>T0000737</t>
  </si>
  <si>
    <t>T0000738</t>
  </si>
  <si>
    <t>T0000739</t>
  </si>
  <si>
    <t>T0000740</t>
  </si>
  <si>
    <t>T0000741</t>
  </si>
  <si>
    <t>T0000742</t>
  </si>
  <si>
    <t>T0000743</t>
  </si>
  <si>
    <t>T0000744</t>
  </si>
  <si>
    <t>T0000745</t>
  </si>
  <si>
    <t>T0000746</t>
  </si>
  <si>
    <t>T0000747</t>
  </si>
  <si>
    <t>T0000748</t>
  </si>
  <si>
    <t>T0000749</t>
  </si>
  <si>
    <t>T0000750</t>
  </si>
  <si>
    <t>T0000751</t>
  </si>
  <si>
    <t>T0000752</t>
  </si>
  <si>
    <t>T0000753</t>
  </si>
  <si>
    <t>T0000754</t>
  </si>
  <si>
    <t>T0000755</t>
  </si>
  <si>
    <t>T0000756</t>
  </si>
  <si>
    <t>T0000757</t>
  </si>
  <si>
    <t>T0000758</t>
  </si>
  <si>
    <t>T0000759</t>
  </si>
  <si>
    <t>T0000760</t>
  </si>
  <si>
    <t>T0000761</t>
  </si>
  <si>
    <t>T0000762</t>
  </si>
  <si>
    <t>T0000763</t>
  </si>
  <si>
    <t>T0000764</t>
  </si>
  <si>
    <t>T0000765</t>
  </si>
  <si>
    <t>T0000766</t>
  </si>
  <si>
    <t>T0000767</t>
  </si>
  <si>
    <t>T0000768</t>
  </si>
  <si>
    <t>T0000769</t>
  </si>
  <si>
    <t>T0000770</t>
  </si>
  <si>
    <t>T0000771</t>
  </si>
  <si>
    <t>T0000772</t>
  </si>
  <si>
    <t>T0000773</t>
  </si>
  <si>
    <t>T0000774</t>
  </si>
  <si>
    <t>T0000775</t>
  </si>
  <si>
    <t>T0000776</t>
  </si>
  <si>
    <t>T0000777</t>
  </si>
  <si>
    <t>T0000778</t>
  </si>
  <si>
    <t>T0000779</t>
  </si>
  <si>
    <t>T0000780</t>
  </si>
  <si>
    <t>T0000781</t>
  </si>
  <si>
    <t>T0000782</t>
  </si>
  <si>
    <t>T0000783</t>
  </si>
  <si>
    <t>T0000784</t>
  </si>
  <si>
    <t>T0000785</t>
  </si>
  <si>
    <t>T0000786</t>
  </si>
  <si>
    <t>T0000787</t>
  </si>
  <si>
    <t>T0000788</t>
  </si>
  <si>
    <t>T0000789</t>
  </si>
  <si>
    <t>T0000790</t>
  </si>
  <si>
    <t>T0000791</t>
  </si>
  <si>
    <t>T0000792</t>
  </si>
  <si>
    <t>T0000793</t>
  </si>
  <si>
    <t>T0000794</t>
  </si>
  <si>
    <t>T0000795</t>
  </si>
  <si>
    <t>T0000796</t>
  </si>
  <si>
    <t>T0000797</t>
  </si>
  <si>
    <t>T0000798</t>
  </si>
  <si>
    <t>T0000799</t>
  </si>
  <si>
    <t>T0000800</t>
  </si>
  <si>
    <t>T0000801</t>
  </si>
  <si>
    <t>T0000802</t>
  </si>
  <si>
    <t>T0000803</t>
  </si>
  <si>
    <t>T0000804</t>
  </si>
  <si>
    <t>T0000805</t>
  </si>
  <si>
    <t>T0000806</t>
  </si>
  <si>
    <t>T0000807</t>
  </si>
  <si>
    <t>T0000808</t>
  </si>
  <si>
    <t>T0000809</t>
  </si>
  <si>
    <t>T0000810</t>
  </si>
  <si>
    <t>T0000811</t>
  </si>
  <si>
    <t>T0000812</t>
  </si>
  <si>
    <t>T0000813</t>
  </si>
  <si>
    <t>T0000814</t>
  </si>
  <si>
    <t>T0000815</t>
  </si>
  <si>
    <t>T0000816</t>
  </si>
  <si>
    <t>T0000817</t>
  </si>
  <si>
    <t>T0000818</t>
  </si>
  <si>
    <t>T0000819</t>
  </si>
  <si>
    <t>T0000820</t>
  </si>
  <si>
    <t>T0000821</t>
  </si>
  <si>
    <t>T0000822</t>
  </si>
  <si>
    <t>T0000823</t>
  </si>
  <si>
    <t>T0000824</t>
  </si>
  <si>
    <t>T0000825</t>
  </si>
  <si>
    <t>T0000826</t>
  </si>
  <si>
    <t>T0000827</t>
  </si>
  <si>
    <t>T0000828</t>
  </si>
  <si>
    <t>T0000829</t>
  </si>
  <si>
    <t>T0000830</t>
  </si>
  <si>
    <t>T0000831</t>
  </si>
  <si>
    <t>T0000832</t>
  </si>
  <si>
    <t>T0000833</t>
  </si>
  <si>
    <t>T0000834</t>
  </si>
  <si>
    <t>T0000835</t>
  </si>
  <si>
    <t>T0000836</t>
  </si>
  <si>
    <t>T0000837</t>
  </si>
  <si>
    <t>T0000838</t>
  </si>
  <si>
    <t>T0000839</t>
  </si>
  <si>
    <t>T0000840</t>
  </si>
  <si>
    <t>T0000841</t>
  </si>
  <si>
    <t>T0000842</t>
  </si>
  <si>
    <t>T0000843</t>
  </si>
  <si>
    <t>T0000844</t>
  </si>
  <si>
    <t>T0000845</t>
  </si>
  <si>
    <t>T0000846</t>
  </si>
  <si>
    <t>T0000847</t>
  </si>
  <si>
    <t>T0000848</t>
  </si>
  <si>
    <t>T0000849</t>
  </si>
  <si>
    <t>T0000850</t>
  </si>
  <si>
    <t>T0000851</t>
  </si>
  <si>
    <t>T0000852</t>
  </si>
  <si>
    <t>T0000853</t>
  </si>
  <si>
    <t>T0000854</t>
  </si>
  <si>
    <t>T0000855</t>
  </si>
  <si>
    <t>T0000856</t>
  </si>
  <si>
    <t>T0000857</t>
  </si>
  <si>
    <t>T0000858</t>
  </si>
  <si>
    <t>T0000859</t>
  </si>
  <si>
    <t>T0000860</t>
  </si>
  <si>
    <t>T0000861</t>
  </si>
  <si>
    <t>T0000862</t>
  </si>
  <si>
    <t>T0000863</t>
  </si>
  <si>
    <t>T0000864</t>
  </si>
  <si>
    <t>T0000865</t>
  </si>
  <si>
    <t>T0000866</t>
  </si>
  <si>
    <t>T0000867</t>
  </si>
  <si>
    <t>T0000868</t>
  </si>
  <si>
    <t>T0000869</t>
  </si>
  <si>
    <t>T0000870</t>
  </si>
  <si>
    <t>T0000871</t>
  </si>
  <si>
    <t>T0000872</t>
  </si>
  <si>
    <t>T0000873</t>
  </si>
  <si>
    <t>T0000874</t>
  </si>
  <si>
    <t>T0000875</t>
  </si>
  <si>
    <t>T0000876</t>
  </si>
  <si>
    <t>T0000877</t>
  </si>
  <si>
    <t>T0000878</t>
  </si>
  <si>
    <t>T0000879</t>
  </si>
  <si>
    <t>T0000880</t>
  </si>
  <si>
    <t>T0000881</t>
  </si>
  <si>
    <t>T0000882</t>
  </si>
  <si>
    <t>T0000883</t>
  </si>
  <si>
    <t>T0000884</t>
  </si>
  <si>
    <t>T0000885</t>
  </si>
  <si>
    <t>T0000886</t>
  </si>
  <si>
    <t>T0000887</t>
  </si>
  <si>
    <t>T0000888</t>
  </si>
  <si>
    <t>T0000889</t>
  </si>
  <si>
    <t>T0000890</t>
  </si>
  <si>
    <t>T0000891</t>
  </si>
  <si>
    <t>T0000892</t>
  </si>
  <si>
    <t>T0000893</t>
  </si>
  <si>
    <t>T0000894</t>
  </si>
  <si>
    <t>T0000895</t>
  </si>
  <si>
    <t>T0000896</t>
  </si>
  <si>
    <t>T0000897</t>
  </si>
  <si>
    <t>T0000898</t>
  </si>
  <si>
    <t>T0000899</t>
  </si>
  <si>
    <t>T0000900</t>
  </si>
  <si>
    <t>T0000901</t>
  </si>
  <si>
    <t>T0000902</t>
  </si>
  <si>
    <t>T0000903</t>
  </si>
  <si>
    <t>T0000904</t>
  </si>
  <si>
    <t>T0000905</t>
  </si>
  <si>
    <t>T0000906</t>
  </si>
  <si>
    <t>T0000907</t>
  </si>
  <si>
    <t>T0000908</t>
  </si>
  <si>
    <t>T0000909</t>
  </si>
  <si>
    <t>T0000910</t>
  </si>
  <si>
    <t>T0000911</t>
  </si>
  <si>
    <t>T0000912</t>
  </si>
  <si>
    <t>T0000913</t>
  </si>
  <si>
    <t>T0000914</t>
  </si>
  <si>
    <t>T0000915</t>
  </si>
  <si>
    <t>T0000916</t>
  </si>
  <si>
    <t>T0000917</t>
  </si>
  <si>
    <t>T0000918</t>
  </si>
  <si>
    <t>T0000919</t>
  </si>
  <si>
    <t>T0000920</t>
  </si>
  <si>
    <t>T0000921</t>
  </si>
  <si>
    <t>T0000922</t>
  </si>
  <si>
    <t>T0000923</t>
  </si>
  <si>
    <t>T0000924</t>
  </si>
  <si>
    <t>T0000925</t>
  </si>
  <si>
    <t>T0000926</t>
  </si>
  <si>
    <t>T0000927</t>
  </si>
  <si>
    <t>T0000928</t>
  </si>
  <si>
    <t>T0000929</t>
  </si>
  <si>
    <t>T0000930</t>
  </si>
  <si>
    <t>T0000931</t>
  </si>
  <si>
    <t>T0000932</t>
  </si>
  <si>
    <t>T0000933</t>
  </si>
  <si>
    <t>T0000934</t>
  </si>
  <si>
    <t>T0000935</t>
  </si>
  <si>
    <t>T0000936</t>
  </si>
  <si>
    <t>T0000937</t>
  </si>
  <si>
    <t>T0000938</t>
  </si>
  <si>
    <t>T0000939</t>
  </si>
  <si>
    <t>T0000940</t>
  </si>
  <si>
    <t>T0000941</t>
  </si>
  <si>
    <t>T0000942</t>
  </si>
  <si>
    <t>T0000943</t>
  </si>
  <si>
    <t>T0000944</t>
  </si>
  <si>
    <t>T0000945</t>
  </si>
  <si>
    <t>T0000946</t>
  </si>
  <si>
    <t>T0000947</t>
  </si>
  <si>
    <t>T0000948</t>
  </si>
  <si>
    <t>T0000949</t>
  </si>
  <si>
    <t>T0000950</t>
  </si>
  <si>
    <t>T0000951</t>
  </si>
  <si>
    <t>T0000952</t>
  </si>
  <si>
    <t>T0000953</t>
  </si>
  <si>
    <t>T0000954</t>
  </si>
  <si>
    <t>T0000955</t>
  </si>
  <si>
    <t>T0000956</t>
  </si>
  <si>
    <t>T0000957</t>
  </si>
  <si>
    <t>T0000958</t>
  </si>
  <si>
    <t>T0000959</t>
  </si>
  <si>
    <t>T0000960</t>
  </si>
  <si>
    <t>T0000961</t>
  </si>
  <si>
    <t>T0000962</t>
  </si>
  <si>
    <t>T0000963</t>
  </si>
  <si>
    <t>T0000964</t>
  </si>
  <si>
    <t>T0000965</t>
  </si>
  <si>
    <t>T0000966</t>
  </si>
  <si>
    <t>T0000967</t>
  </si>
  <si>
    <t>T0000968</t>
  </si>
  <si>
    <t>T0000969</t>
  </si>
  <si>
    <t>T0000970</t>
  </si>
  <si>
    <t>T0000971</t>
  </si>
  <si>
    <t>T0000972</t>
  </si>
  <si>
    <t>T0000973</t>
  </si>
  <si>
    <t>T0000974</t>
  </si>
  <si>
    <t>T0000975</t>
  </si>
  <si>
    <t>T0000976</t>
  </si>
  <si>
    <t>T0000977</t>
  </si>
  <si>
    <t>T0000978</t>
  </si>
  <si>
    <t>T0000979</t>
  </si>
  <si>
    <t>T0000980</t>
  </si>
  <si>
    <t>T0000981</t>
  </si>
  <si>
    <t>T0000982</t>
  </si>
  <si>
    <t>T0000983</t>
  </si>
  <si>
    <t>T0000984</t>
  </si>
  <si>
    <t>T0000985</t>
  </si>
  <si>
    <t>T0000986</t>
  </si>
  <si>
    <t>T0000987</t>
  </si>
  <si>
    <t>T0000988</t>
  </si>
  <si>
    <t>T0000989</t>
  </si>
  <si>
    <t>T0000990</t>
  </si>
  <si>
    <t>T0000991</t>
  </si>
  <si>
    <t>T0000992</t>
  </si>
  <si>
    <t>T0000993</t>
  </si>
  <si>
    <t>T0000994</t>
  </si>
  <si>
    <t>T0000995</t>
  </si>
  <si>
    <t>T0000996</t>
  </si>
  <si>
    <t>T0000997</t>
  </si>
  <si>
    <t>T0000998</t>
  </si>
  <si>
    <t>T0000999</t>
  </si>
  <si>
    <t>T0001000</t>
  </si>
  <si>
    <t>T0001001</t>
  </si>
  <si>
    <t>T0001002</t>
  </si>
  <si>
    <t>T0001003</t>
  </si>
  <si>
    <t>T0001004</t>
  </si>
  <si>
    <t>T0001005</t>
  </si>
  <si>
    <t>T0001006</t>
  </si>
  <si>
    <t>T0001007</t>
  </si>
  <si>
    <t>T0001008</t>
  </si>
  <si>
    <t>T0001009</t>
  </si>
  <si>
    <t>T0001010</t>
  </si>
  <si>
    <t>T0001011</t>
  </si>
  <si>
    <t>T0001012</t>
  </si>
  <si>
    <t>T0001013</t>
  </si>
  <si>
    <t>T0001014</t>
  </si>
  <si>
    <t>T0001015</t>
  </si>
  <si>
    <t>T0001016</t>
  </si>
  <si>
    <t>T0001017</t>
  </si>
  <si>
    <t>T0001018</t>
  </si>
  <si>
    <t>T0001019</t>
  </si>
  <si>
    <t>T0001020</t>
  </si>
  <si>
    <t>T0001021</t>
  </si>
  <si>
    <t>T0001022</t>
  </si>
  <si>
    <t>T0001023</t>
  </si>
  <si>
    <t>T0001024</t>
  </si>
  <si>
    <t>T0001025</t>
  </si>
  <si>
    <t>T0001026</t>
  </si>
  <si>
    <t>T0001027</t>
  </si>
  <si>
    <t>T0001028</t>
  </si>
  <si>
    <t>T0001029</t>
  </si>
  <si>
    <t>T0001030</t>
  </si>
  <si>
    <t>T0001031</t>
  </si>
  <si>
    <t>T0001032</t>
  </si>
  <si>
    <t>T0001033</t>
  </si>
  <si>
    <t>T0001034</t>
  </si>
  <si>
    <t>T0001035</t>
  </si>
  <si>
    <t>T0001036</t>
  </si>
  <si>
    <t>T0001037</t>
  </si>
  <si>
    <t>T0001038</t>
  </si>
  <si>
    <t>T0001039</t>
  </si>
  <si>
    <t>T0001040</t>
  </si>
  <si>
    <t>T0001041</t>
  </si>
  <si>
    <t>T0001042</t>
  </si>
  <si>
    <t>T0001043</t>
  </si>
  <si>
    <t>T0001044</t>
  </si>
  <si>
    <t>T0001045</t>
  </si>
  <si>
    <t>T0001046</t>
  </si>
  <si>
    <t>T0001047</t>
  </si>
  <si>
    <t>T0001048</t>
  </si>
  <si>
    <t>T0001049</t>
  </si>
  <si>
    <t>T0001050</t>
  </si>
  <si>
    <t>T0001051</t>
  </si>
  <si>
    <t>T0001052</t>
  </si>
  <si>
    <t>T0001053</t>
  </si>
  <si>
    <t>T0001054</t>
  </si>
  <si>
    <t>T0001055</t>
  </si>
  <si>
    <t>T0001056</t>
  </si>
  <si>
    <t>T0001057</t>
  </si>
  <si>
    <t>T0001058</t>
  </si>
  <si>
    <t>T0001059</t>
  </si>
  <si>
    <t>T0001060</t>
  </si>
  <si>
    <t>T0001061</t>
  </si>
  <si>
    <t>T0001062</t>
  </si>
  <si>
    <t>T0001063</t>
  </si>
  <si>
    <t>T0001064</t>
  </si>
  <si>
    <t>T0001065</t>
  </si>
  <si>
    <t>T0001066</t>
  </si>
  <si>
    <t>T0001067</t>
  </si>
  <si>
    <t>T0001068</t>
  </si>
  <si>
    <t>T0001069</t>
  </si>
  <si>
    <t>T0001070</t>
  </si>
  <si>
    <t>T0001071</t>
  </si>
  <si>
    <t>T0001072</t>
  </si>
  <si>
    <t>T0001073</t>
  </si>
  <si>
    <t>T0001074</t>
  </si>
  <si>
    <t>T0001075</t>
  </si>
  <si>
    <t>T0001076</t>
  </si>
  <si>
    <t>T0001077</t>
  </si>
  <si>
    <t>T0001078</t>
  </si>
  <si>
    <t>T0001079</t>
  </si>
  <si>
    <t>T0001080</t>
  </si>
  <si>
    <t>T0001081</t>
  </si>
  <si>
    <t>T0001082</t>
  </si>
  <si>
    <t>T0001083</t>
  </si>
  <si>
    <t>T0001084</t>
  </si>
  <si>
    <t>T0001085</t>
  </si>
  <si>
    <t>T0001086</t>
  </si>
  <si>
    <t>T0001087</t>
  </si>
  <si>
    <t>T0001088</t>
  </si>
  <si>
    <t>T0001089</t>
  </si>
  <si>
    <t>T0001090</t>
  </si>
  <si>
    <t>T0001091</t>
  </si>
  <si>
    <t>T0001092</t>
  </si>
  <si>
    <t>T0001093</t>
  </si>
  <si>
    <t>T0001094</t>
  </si>
  <si>
    <t>T0001095</t>
  </si>
  <si>
    <t>T0001096</t>
  </si>
  <si>
    <t>T0001097</t>
  </si>
  <si>
    <t>T0001098</t>
  </si>
  <si>
    <t>T0001099</t>
  </si>
  <si>
    <t>T0001100</t>
  </si>
  <si>
    <t>T0001101</t>
  </si>
  <si>
    <t>T0001102</t>
  </si>
  <si>
    <t>T0001103</t>
  </si>
  <si>
    <t>T0001104</t>
  </si>
  <si>
    <t>T0001105</t>
  </si>
  <si>
    <t>T0001106</t>
  </si>
  <si>
    <t>T0001107</t>
  </si>
  <si>
    <t>T0001108</t>
  </si>
  <si>
    <t>T0001109</t>
  </si>
  <si>
    <t>T0001110</t>
  </si>
  <si>
    <t>T0001111</t>
  </si>
  <si>
    <t>T0001112</t>
  </si>
  <si>
    <t>T0001113</t>
  </si>
  <si>
    <t>T0001114</t>
  </si>
  <si>
    <t>T0001115</t>
  </si>
  <si>
    <t>T0001116</t>
  </si>
  <si>
    <t>T0001117</t>
  </si>
  <si>
    <t>T0001118</t>
  </si>
  <si>
    <t>T0001119</t>
  </si>
  <si>
    <t>T0001120</t>
  </si>
  <si>
    <t>T0001121</t>
  </si>
  <si>
    <t>T0001122</t>
  </si>
  <si>
    <t>T0001123</t>
  </si>
  <si>
    <t>T0001124</t>
  </si>
  <si>
    <t>T0001125</t>
  </si>
  <si>
    <t>T0001126</t>
  </si>
  <si>
    <t>T0001127</t>
  </si>
  <si>
    <t>T0001128</t>
  </si>
  <si>
    <t>T0001129</t>
  </si>
  <si>
    <t>T0001130</t>
  </si>
  <si>
    <t>T0001131</t>
  </si>
  <si>
    <t>T0001132</t>
  </si>
  <si>
    <t>T0001133</t>
  </si>
  <si>
    <t>T0001134</t>
  </si>
  <si>
    <t>T0001135</t>
  </si>
  <si>
    <t>T0001136</t>
  </si>
  <si>
    <t>T0001137</t>
  </si>
  <si>
    <t>T0001138</t>
  </si>
  <si>
    <t>T0001139</t>
  </si>
  <si>
    <t>T0001140</t>
  </si>
  <si>
    <t>T0001141</t>
  </si>
  <si>
    <t>T0001142</t>
  </si>
  <si>
    <t>T0001143</t>
  </si>
  <si>
    <t>T0001144</t>
  </si>
  <si>
    <t>T0001145</t>
  </si>
  <si>
    <t>T0001146</t>
  </si>
  <si>
    <t>T0001147</t>
  </si>
  <si>
    <t>T0001148</t>
  </si>
  <si>
    <t>T0001149</t>
  </si>
  <si>
    <t>T0001150</t>
  </si>
  <si>
    <t>T0001151</t>
  </si>
  <si>
    <t>T0001152</t>
  </si>
  <si>
    <t>T0001153</t>
  </si>
  <si>
    <t>T0001154</t>
  </si>
  <si>
    <t>T0001155</t>
  </si>
  <si>
    <t>T0001156</t>
  </si>
  <si>
    <t>T0001157</t>
  </si>
  <si>
    <t>T0001158</t>
  </si>
  <si>
    <t>T0001159</t>
  </si>
  <si>
    <t>T0001160</t>
  </si>
  <si>
    <t>T0001161</t>
  </si>
  <si>
    <t>T0001162</t>
  </si>
  <si>
    <t>T0001163</t>
  </si>
  <si>
    <t>T0001164</t>
  </si>
  <si>
    <t>T0001165</t>
  </si>
  <si>
    <t>T0001166</t>
  </si>
  <si>
    <t>T0001167</t>
  </si>
  <si>
    <t>T0001168</t>
  </si>
  <si>
    <t>T0001169</t>
  </si>
  <si>
    <t>T0001170</t>
  </si>
  <si>
    <t>T0001171</t>
  </si>
  <si>
    <t>T0001172</t>
  </si>
  <si>
    <t>T0001173</t>
  </si>
  <si>
    <t>T0001174</t>
  </si>
  <si>
    <t>T0001175</t>
  </si>
  <si>
    <t>T0001176</t>
  </si>
  <si>
    <t>T0001177</t>
  </si>
  <si>
    <t>T0001178</t>
  </si>
  <si>
    <t>T0001179</t>
  </si>
  <si>
    <t>T0001180</t>
  </si>
  <si>
    <t>T0001181</t>
  </si>
  <si>
    <t>T0001182</t>
  </si>
  <si>
    <t>T0001183</t>
  </si>
  <si>
    <t>T0001184</t>
  </si>
  <si>
    <t>T0001185</t>
  </si>
  <si>
    <t>T0001186</t>
  </si>
  <si>
    <t>T0001187</t>
  </si>
  <si>
    <t>T0001188</t>
  </si>
  <si>
    <t>T0001189</t>
  </si>
  <si>
    <t>T0001190</t>
  </si>
  <si>
    <t>T0001191</t>
  </si>
  <si>
    <t>T0001192</t>
  </si>
  <si>
    <t>T0001193</t>
  </si>
  <si>
    <t>T0001194</t>
  </si>
  <si>
    <t>T0001195</t>
  </si>
  <si>
    <t>T0001196</t>
  </si>
  <si>
    <t>T0001197</t>
  </si>
  <si>
    <t>T0001198</t>
  </si>
  <si>
    <t>T0001199</t>
  </si>
  <si>
    <t>T0001200</t>
  </si>
  <si>
    <t>T0001201</t>
  </si>
  <si>
    <t>T0001202</t>
  </si>
  <si>
    <t>T0001203</t>
  </si>
  <si>
    <t>T0001204</t>
  </si>
  <si>
    <t>T0001205</t>
  </si>
  <si>
    <t>T0001206</t>
  </si>
  <si>
    <t>T0001207</t>
  </si>
  <si>
    <t>T0001208</t>
  </si>
  <si>
    <t>T0001209</t>
  </si>
  <si>
    <t>T0001210</t>
  </si>
  <si>
    <t>T0001211</t>
  </si>
  <si>
    <t>T0001212</t>
  </si>
  <si>
    <t>T0001213</t>
  </si>
  <si>
    <t>T0001214</t>
  </si>
  <si>
    <t>T0001215</t>
  </si>
  <si>
    <t>T0001216</t>
  </si>
  <si>
    <t>T0001217</t>
  </si>
  <si>
    <t>T0001218</t>
  </si>
  <si>
    <t>T0001219</t>
  </si>
  <si>
    <t>T0001220</t>
  </si>
  <si>
    <t>T0001221</t>
  </si>
  <si>
    <t>T0001222</t>
  </si>
  <si>
    <t>T0001223</t>
  </si>
  <si>
    <t>T0001224</t>
  </si>
  <si>
    <t>T0001225</t>
  </si>
  <si>
    <t>T0001226</t>
  </si>
  <si>
    <t>T0001227</t>
  </si>
  <si>
    <t>T0001228</t>
  </si>
  <si>
    <t>T0001229</t>
  </si>
  <si>
    <t>T0001230</t>
  </si>
  <si>
    <t>T0001231</t>
  </si>
  <si>
    <t>T0001232</t>
  </si>
  <si>
    <t>T0001233</t>
  </si>
  <si>
    <t>T0001234</t>
  </si>
  <si>
    <t>T0001235</t>
  </si>
  <si>
    <t>T0001236</t>
  </si>
  <si>
    <t>T0001237</t>
  </si>
  <si>
    <t>T0001238</t>
  </si>
  <si>
    <t>T0001239</t>
  </si>
  <si>
    <t>T0001240</t>
  </si>
  <si>
    <t>T0001241</t>
  </si>
  <si>
    <t>T0001242</t>
  </si>
  <si>
    <t>T0001243</t>
  </si>
  <si>
    <t>T0001244</t>
  </si>
  <si>
    <t>T0001245</t>
  </si>
  <si>
    <t>T0001246</t>
  </si>
  <si>
    <t>T0001247</t>
  </si>
  <si>
    <t>T0001248</t>
  </si>
  <si>
    <t>T0001249</t>
  </si>
  <si>
    <t>T0001250</t>
  </si>
  <si>
    <t>T0001251</t>
  </si>
  <si>
    <t>T0001252</t>
  </si>
  <si>
    <t>T0001253</t>
  </si>
  <si>
    <t>T0001254</t>
  </si>
  <si>
    <t>T0001255</t>
  </si>
  <si>
    <t>T0001256</t>
  </si>
  <si>
    <t>T0001257</t>
  </si>
  <si>
    <t>T0001258</t>
  </si>
  <si>
    <t>T0001259</t>
  </si>
  <si>
    <t>T0001260</t>
  </si>
  <si>
    <t>T0001261</t>
  </si>
  <si>
    <t>T0001262</t>
  </si>
  <si>
    <t>T0001263</t>
  </si>
  <si>
    <t>T0001264</t>
  </si>
  <si>
    <t>T0001265</t>
  </si>
  <si>
    <t>T0001266</t>
  </si>
  <si>
    <t>T0001267</t>
  </si>
  <si>
    <t>T0001268</t>
  </si>
  <si>
    <t>T0001269</t>
  </si>
  <si>
    <t>T0001270</t>
  </si>
  <si>
    <t>T0001271</t>
  </si>
  <si>
    <t>T0001272</t>
  </si>
  <si>
    <t>T0001273</t>
  </si>
  <si>
    <t>T0001274</t>
  </si>
  <si>
    <t>T0001275</t>
  </si>
  <si>
    <t>T0001276</t>
  </si>
  <si>
    <t>T0001277</t>
  </si>
  <si>
    <t>T0001278</t>
  </si>
  <si>
    <t>T0001279</t>
  </si>
  <si>
    <t>T0001280</t>
  </si>
  <si>
    <t>T0001281</t>
  </si>
  <si>
    <t>T0001282</t>
  </si>
  <si>
    <t>T0001283</t>
  </si>
  <si>
    <t>T0001284</t>
  </si>
  <si>
    <t>T0001285</t>
  </si>
  <si>
    <t>T0001286</t>
  </si>
  <si>
    <t>T0001287</t>
  </si>
  <si>
    <t>T0001288</t>
  </si>
  <si>
    <t>T0001289</t>
  </si>
  <si>
    <t>T0001290</t>
  </si>
  <si>
    <t>T0001291</t>
  </si>
  <si>
    <t>T0001292</t>
  </si>
  <si>
    <t>T0001293</t>
  </si>
  <si>
    <t>T0001294</t>
  </si>
  <si>
    <t>T0001295</t>
  </si>
  <si>
    <t>T0001296</t>
  </si>
  <si>
    <t>T0001297</t>
  </si>
  <si>
    <t>T0001298</t>
  </si>
  <si>
    <t>T0001299</t>
  </si>
  <si>
    <t>T0001300</t>
  </si>
  <si>
    <t>T0001301</t>
  </si>
  <si>
    <t>T0001302</t>
  </si>
  <si>
    <t>T0001303</t>
  </si>
  <si>
    <t>T0001304</t>
  </si>
  <si>
    <t>T0001305</t>
  </si>
  <si>
    <t>T0001306</t>
  </si>
  <si>
    <t>T0001307</t>
  </si>
  <si>
    <t>T0001308</t>
  </si>
  <si>
    <t>T0001309</t>
  </si>
  <si>
    <t>T0001310</t>
  </si>
  <si>
    <t>T0001311</t>
  </si>
  <si>
    <t>T0001312</t>
  </si>
  <si>
    <t>T0001313</t>
  </si>
  <si>
    <t>T0001314</t>
  </si>
  <si>
    <t>T0001315</t>
  </si>
  <si>
    <t>T0001316</t>
  </si>
  <si>
    <t>T0001317</t>
  </si>
  <si>
    <t>T0001318</t>
  </si>
  <si>
    <t>T0001319</t>
  </si>
  <si>
    <t>T0001320</t>
  </si>
  <si>
    <t>T0001321</t>
  </si>
  <si>
    <t>T0001322</t>
  </si>
  <si>
    <t>T0001323</t>
  </si>
  <si>
    <t>T0001324</t>
  </si>
  <si>
    <t>T0001325</t>
  </si>
  <si>
    <t>T0001326</t>
  </si>
  <si>
    <t>T0001327</t>
  </si>
  <si>
    <t>T0001328</t>
  </si>
  <si>
    <t>T0001329</t>
  </si>
  <si>
    <t>T0001330</t>
  </si>
  <si>
    <t>T0001331</t>
  </si>
  <si>
    <t>T0001332</t>
  </si>
  <si>
    <t>T0001333</t>
  </si>
  <si>
    <t>T0001334</t>
  </si>
  <si>
    <t>T0001335</t>
  </si>
  <si>
    <t>T0001336</t>
  </si>
  <si>
    <t>T0001337</t>
  </si>
  <si>
    <t>T0001338</t>
  </si>
  <si>
    <t>T0001339</t>
  </si>
  <si>
    <t>T0001340</t>
  </si>
  <si>
    <t>T0001341</t>
  </si>
  <si>
    <t>T0001342</t>
  </si>
  <si>
    <t>T0001343</t>
  </si>
  <si>
    <t>T0001344</t>
  </si>
  <si>
    <t>T0001345</t>
  </si>
  <si>
    <t>T0001346</t>
  </si>
  <si>
    <t>T0001347</t>
  </si>
  <si>
    <t>T0001348</t>
  </si>
  <si>
    <t>T0001349</t>
  </si>
  <si>
    <t>T0001350</t>
  </si>
  <si>
    <t>T0001351</t>
  </si>
  <si>
    <t>T0001352</t>
  </si>
  <si>
    <t>T0001353</t>
  </si>
  <si>
    <t>T0001354</t>
  </si>
  <si>
    <t>T0001355</t>
  </si>
  <si>
    <t>T0001356</t>
  </si>
  <si>
    <t>T0001357</t>
  </si>
  <si>
    <t>T0001358</t>
  </si>
  <si>
    <t>T0001359</t>
  </si>
  <si>
    <t>T0001360</t>
  </si>
  <si>
    <t>T0001361</t>
  </si>
  <si>
    <t>T0001362</t>
  </si>
  <si>
    <t>T0001363</t>
  </si>
  <si>
    <t>T0001364</t>
  </si>
  <si>
    <t>T0001365</t>
  </si>
  <si>
    <t>T0001366</t>
  </si>
  <si>
    <t>T0001367</t>
  </si>
  <si>
    <t>T0001368</t>
  </si>
  <si>
    <t>T0001369</t>
  </si>
  <si>
    <t>T0001370</t>
  </si>
  <si>
    <t>T0001371</t>
  </si>
  <si>
    <t>T0001372</t>
  </si>
  <si>
    <t>T0001373</t>
  </si>
  <si>
    <t>T0001374</t>
  </si>
  <si>
    <t>T0001375</t>
  </si>
  <si>
    <t>T0001376</t>
  </si>
  <si>
    <t>T0001377</t>
  </si>
  <si>
    <t>T0001378</t>
  </si>
  <si>
    <t>T0001379</t>
  </si>
  <si>
    <t>T0001380</t>
  </si>
  <si>
    <t>T0001381</t>
  </si>
  <si>
    <t>T0001382</t>
  </si>
  <si>
    <t>T0001383</t>
  </si>
  <si>
    <t>T0001384</t>
  </si>
  <si>
    <t>T0001385</t>
  </si>
  <si>
    <t>T0001386</t>
  </si>
  <si>
    <t>T0001387</t>
  </si>
  <si>
    <t>T0001388</t>
  </si>
  <si>
    <t>T0001389</t>
  </si>
  <si>
    <t>T0001390</t>
  </si>
  <si>
    <t>T0001391</t>
  </si>
  <si>
    <t>T0001392</t>
  </si>
  <si>
    <t>T0001393</t>
  </si>
  <si>
    <t>T0001394</t>
  </si>
  <si>
    <t>T0001395</t>
  </si>
  <si>
    <t>T0001396</t>
  </si>
  <si>
    <t>T0001397</t>
  </si>
  <si>
    <t>T0001398</t>
  </si>
  <si>
    <t>T0001399</t>
  </si>
  <si>
    <t>T0001400</t>
  </si>
  <si>
    <t>T0001401</t>
  </si>
  <si>
    <t>T0001402</t>
  </si>
  <si>
    <t>T0001403</t>
  </si>
  <si>
    <t>T0001404</t>
  </si>
  <si>
    <t>T0001405</t>
  </si>
  <si>
    <t>T0001406</t>
  </si>
  <si>
    <t>T0001407</t>
  </si>
  <si>
    <t>T0001408</t>
  </si>
  <si>
    <t>T0001409</t>
  </si>
  <si>
    <t>T0001410</t>
  </si>
  <si>
    <t>T0001411</t>
  </si>
  <si>
    <t>T0001412</t>
  </si>
  <si>
    <t>T0001413</t>
  </si>
  <si>
    <t>T0001414</t>
  </si>
  <si>
    <t>T0001415</t>
  </si>
  <si>
    <t>T0001416</t>
  </si>
  <si>
    <t>T0001417</t>
  </si>
  <si>
    <t>T0001418</t>
  </si>
  <si>
    <t>T0001419</t>
  </si>
  <si>
    <t>T0001420</t>
  </si>
  <si>
    <t>T0001421</t>
  </si>
  <si>
    <t>T0001422</t>
  </si>
  <si>
    <t>T0001423</t>
  </si>
  <si>
    <t>T0001424</t>
  </si>
  <si>
    <t>T0001425</t>
  </si>
  <si>
    <t>T0001426</t>
  </si>
  <si>
    <t>T0001427</t>
  </si>
  <si>
    <t>T0001428</t>
  </si>
  <si>
    <t>T0001429</t>
  </si>
  <si>
    <t>T0001430</t>
  </si>
  <si>
    <t>T0001431</t>
  </si>
  <si>
    <t>T0001432</t>
  </si>
  <si>
    <t>T0001433</t>
  </si>
  <si>
    <t>T0001434</t>
  </si>
  <si>
    <t>T0001435</t>
  </si>
  <si>
    <t>T0001436</t>
  </si>
  <si>
    <t>T0001437</t>
  </si>
  <si>
    <t>T0001438</t>
  </si>
  <si>
    <t>T0001439</t>
  </si>
  <si>
    <t>T0001440</t>
  </si>
  <si>
    <t>T0001441</t>
  </si>
  <si>
    <t>T0001442</t>
  </si>
  <si>
    <t>T0001443</t>
  </si>
  <si>
    <t>T0001444</t>
  </si>
  <si>
    <t>T0001445</t>
  </si>
  <si>
    <t>T0001446</t>
  </si>
  <si>
    <t>T0001447</t>
  </si>
  <si>
    <t>T0001448</t>
  </si>
  <si>
    <t>T0001449</t>
  </si>
  <si>
    <t>T0001450</t>
  </si>
  <si>
    <t>T0001451</t>
  </si>
  <si>
    <t>T0001452</t>
  </si>
  <si>
    <t>T0001453</t>
  </si>
  <si>
    <t>T0001454</t>
  </si>
  <si>
    <t>T0001455</t>
  </si>
  <si>
    <t>T0001456</t>
  </si>
  <si>
    <t>T0001457</t>
  </si>
  <si>
    <t>T0001458</t>
  </si>
  <si>
    <t>T0001459</t>
  </si>
  <si>
    <t>T0001460</t>
  </si>
  <si>
    <t>T0001461</t>
  </si>
  <si>
    <t>T0001462</t>
  </si>
  <si>
    <t>T0001463</t>
  </si>
  <si>
    <t>T0001464</t>
  </si>
  <si>
    <t>T0001465</t>
  </si>
  <si>
    <t>T0001466</t>
  </si>
  <si>
    <t>T0001467</t>
  </si>
  <si>
    <t>T0001468</t>
  </si>
  <si>
    <t>T0001469</t>
  </si>
  <si>
    <t>T0001470</t>
  </si>
  <si>
    <t>T0001471</t>
  </si>
  <si>
    <t>T0001472</t>
  </si>
  <si>
    <t>T0001473</t>
  </si>
  <si>
    <t>T0001474</t>
  </si>
  <si>
    <t>T0001475</t>
  </si>
  <si>
    <t>T0001476</t>
  </si>
  <si>
    <t>T0001477</t>
  </si>
  <si>
    <t>T0001478</t>
  </si>
  <si>
    <t>T0001479</t>
  </si>
  <si>
    <t>T0001480</t>
  </si>
  <si>
    <t>T0001481</t>
  </si>
  <si>
    <t>T0001482</t>
  </si>
  <si>
    <t>T0001483</t>
  </si>
  <si>
    <t>T0001484</t>
  </si>
  <si>
    <t>T0001485</t>
  </si>
  <si>
    <t>T0001486</t>
  </si>
  <si>
    <t>T0001487</t>
  </si>
  <si>
    <t>T0001488</t>
  </si>
  <si>
    <t>T0001489</t>
  </si>
  <si>
    <t>T0001490</t>
  </si>
  <si>
    <t>T0001491</t>
  </si>
  <si>
    <t>T0001492</t>
  </si>
  <si>
    <t>T0001493</t>
  </si>
  <si>
    <t>T0001494</t>
  </si>
  <si>
    <t>T0001495</t>
  </si>
  <si>
    <t>T0001496</t>
  </si>
  <si>
    <t>T0001497</t>
  </si>
  <si>
    <t>T0001498</t>
  </si>
  <si>
    <t>T0001499</t>
  </si>
  <si>
    <t>T0001500</t>
  </si>
  <si>
    <t>T0001501</t>
  </si>
  <si>
    <t>T0001502</t>
  </si>
  <si>
    <t>T0001503</t>
  </si>
  <si>
    <t>T0001504</t>
  </si>
  <si>
    <t>T0001505</t>
  </si>
  <si>
    <t>T0001506</t>
  </si>
  <si>
    <t>T0001507</t>
  </si>
  <si>
    <t>T0001508</t>
  </si>
  <si>
    <t>T0001509</t>
  </si>
  <si>
    <t>T0001510</t>
  </si>
  <si>
    <t>T0001511</t>
  </si>
  <si>
    <t>T0001512</t>
  </si>
  <si>
    <t>T0001513</t>
  </si>
  <si>
    <t>T0001514</t>
  </si>
  <si>
    <t>T0001515</t>
  </si>
  <si>
    <t>T0001516</t>
  </si>
  <si>
    <t>T0001517</t>
  </si>
  <si>
    <t>T0001518</t>
  </si>
  <si>
    <t>T0001519</t>
  </si>
  <si>
    <t>T0001520</t>
  </si>
  <si>
    <t>T0001521</t>
  </si>
  <si>
    <t>T0001522</t>
  </si>
  <si>
    <t>T0001523</t>
  </si>
  <si>
    <t>T0001524</t>
  </si>
  <si>
    <t>T0001525</t>
  </si>
  <si>
    <t>T0001526</t>
  </si>
  <si>
    <t>T0001527</t>
  </si>
  <si>
    <t>T0001528</t>
  </si>
  <si>
    <t>T0001529</t>
  </si>
  <si>
    <t>T0001530</t>
  </si>
  <si>
    <t>T0001531</t>
  </si>
  <si>
    <t>T0001532</t>
  </si>
  <si>
    <t>T0001533</t>
  </si>
  <si>
    <t>T0001534</t>
  </si>
  <si>
    <t>T0001535</t>
  </si>
  <si>
    <t>T0001536</t>
  </si>
  <si>
    <t>T0001537</t>
  </si>
  <si>
    <t>T0001538</t>
  </si>
  <si>
    <t>T0001539</t>
  </si>
  <si>
    <t>T0001540</t>
  </si>
  <si>
    <t>T0001541</t>
  </si>
  <si>
    <t>T0001542</t>
  </si>
  <si>
    <t>T0001543</t>
  </si>
  <si>
    <t>T0001544</t>
  </si>
  <si>
    <t>T0001545</t>
  </si>
  <si>
    <t>T0001546</t>
  </si>
  <si>
    <t>T0001547</t>
  </si>
  <si>
    <t>T0001548</t>
  </si>
  <si>
    <t>T0001549</t>
  </si>
  <si>
    <t>T0001550</t>
  </si>
  <si>
    <t>T0001551</t>
  </si>
  <si>
    <t>T0001552</t>
  </si>
  <si>
    <t>T0001553</t>
  </si>
  <si>
    <t>T0001554</t>
  </si>
  <si>
    <t>T0001555</t>
  </si>
  <si>
    <t>T0001556</t>
  </si>
  <si>
    <t>T0001557</t>
  </si>
  <si>
    <t>T0001558</t>
  </si>
  <si>
    <t>T0001559</t>
  </si>
  <si>
    <t>T0001560</t>
  </si>
  <si>
    <t>T0001561</t>
  </si>
  <si>
    <t>T0001562</t>
  </si>
  <si>
    <t>T0001563</t>
  </si>
  <si>
    <t>T0001564</t>
  </si>
  <si>
    <t>T0001565</t>
  </si>
  <si>
    <t>T0001566</t>
  </si>
  <si>
    <t>T0001567</t>
  </si>
  <si>
    <t>T0001568</t>
  </si>
  <si>
    <t>T0001569</t>
  </si>
  <si>
    <t>T0001570</t>
  </si>
  <si>
    <t>T0001571</t>
  </si>
  <si>
    <t>T0001572</t>
  </si>
  <si>
    <t>T0001573</t>
  </si>
  <si>
    <t>T0001574</t>
  </si>
  <si>
    <t>T0001575</t>
  </si>
  <si>
    <t>T0001576</t>
  </si>
  <si>
    <t>T0001577</t>
  </si>
  <si>
    <t>T0001578</t>
  </si>
  <si>
    <t>T0001579</t>
  </si>
  <si>
    <t>T0001580</t>
  </si>
  <si>
    <t>T0001581</t>
  </si>
  <si>
    <t>T0001582</t>
  </si>
  <si>
    <t>T0001583</t>
  </si>
  <si>
    <t>T0001584</t>
  </si>
  <si>
    <t>T0001585</t>
  </si>
  <si>
    <t>T0001586</t>
  </si>
  <si>
    <t>T0001587</t>
  </si>
  <si>
    <t>T0001588</t>
  </si>
  <si>
    <t>T0001589</t>
  </si>
  <si>
    <t>T0001590</t>
  </si>
  <si>
    <t>T0001591</t>
  </si>
  <si>
    <t>T0001592</t>
  </si>
  <si>
    <t>T0001593</t>
  </si>
  <si>
    <t>T0001594</t>
  </si>
  <si>
    <t>T0001595</t>
  </si>
  <si>
    <t>T0001596</t>
  </si>
  <si>
    <t>T0001597</t>
  </si>
  <si>
    <t>T0001598</t>
  </si>
  <si>
    <t>T0001599</t>
  </si>
  <si>
    <t>T0001600</t>
  </si>
  <si>
    <t>T0001601</t>
  </si>
  <si>
    <t>T0001602</t>
  </si>
  <si>
    <t>T0001603</t>
  </si>
  <si>
    <t>T0001604</t>
  </si>
  <si>
    <t>T0001605</t>
  </si>
  <si>
    <t>T0001606</t>
  </si>
  <si>
    <t>T0001607</t>
  </si>
  <si>
    <t>T0001608</t>
  </si>
  <si>
    <t>T0001609</t>
  </si>
  <si>
    <t>T0001610</t>
  </si>
  <si>
    <t>T0001611</t>
  </si>
  <si>
    <t>T0001612</t>
  </si>
  <si>
    <t>T0001613</t>
  </si>
  <si>
    <t>T0001614</t>
  </si>
  <si>
    <t>T0001615</t>
  </si>
  <si>
    <t>T0001616</t>
  </si>
  <si>
    <t>T0001617</t>
  </si>
  <si>
    <t>T0001618</t>
  </si>
  <si>
    <t>T0001619</t>
  </si>
  <si>
    <t>T0001620</t>
  </si>
  <si>
    <t>T0001621</t>
  </si>
  <si>
    <t>T0001622</t>
  </si>
  <si>
    <t>T0001623</t>
  </si>
  <si>
    <t>T0001624</t>
  </si>
  <si>
    <t>T0001625</t>
  </si>
  <si>
    <t>T0001626</t>
  </si>
  <si>
    <t>T0001627</t>
  </si>
  <si>
    <t>T0001628</t>
  </si>
  <si>
    <t>T0001629</t>
  </si>
  <si>
    <t>T0001630</t>
  </si>
  <si>
    <t>T0001631</t>
  </si>
  <si>
    <t>T0001632</t>
  </si>
  <si>
    <t>T0001633</t>
  </si>
  <si>
    <t>T0001634</t>
  </si>
  <si>
    <t>T0001635</t>
  </si>
  <si>
    <t>T0001636</t>
  </si>
  <si>
    <t>T0001637</t>
  </si>
  <si>
    <t>T0001638</t>
  </si>
  <si>
    <t>T0001639</t>
  </si>
  <si>
    <t>T0001640</t>
  </si>
  <si>
    <t>T0001641</t>
  </si>
  <si>
    <t>T0001642</t>
  </si>
  <si>
    <t>T0001643</t>
  </si>
  <si>
    <t>T0001644</t>
  </si>
  <si>
    <t>T0001645</t>
  </si>
  <si>
    <t>T0001646</t>
  </si>
  <si>
    <t>T0001647</t>
  </si>
  <si>
    <t>T0001648</t>
  </si>
  <si>
    <t>T0001649</t>
  </si>
  <si>
    <t>T0001650</t>
  </si>
  <si>
    <t>T0001651</t>
  </si>
  <si>
    <t>T0001652</t>
  </si>
  <si>
    <t>T0001653</t>
  </si>
  <si>
    <t>T0001654</t>
  </si>
  <si>
    <t>T0001655</t>
  </si>
  <si>
    <t>T0001656</t>
  </si>
  <si>
    <t>T0001657</t>
  </si>
  <si>
    <t>T0001658</t>
  </si>
  <si>
    <t>T0001659</t>
  </si>
  <si>
    <t>T0001660</t>
  </si>
  <si>
    <t>T0001661</t>
  </si>
  <si>
    <t>T0001662</t>
  </si>
  <si>
    <t>T0001663</t>
  </si>
  <si>
    <t>T0001664</t>
  </si>
  <si>
    <t>T0001665</t>
  </si>
  <si>
    <t>T0001666</t>
  </si>
  <si>
    <t>T0001667</t>
  </si>
  <si>
    <t>T0001668</t>
  </si>
  <si>
    <t>T0001669</t>
  </si>
  <si>
    <t>T0001670</t>
  </si>
  <si>
    <t>T0001671</t>
  </si>
  <si>
    <t>T0001672</t>
  </si>
  <si>
    <t>T0001673</t>
  </si>
  <si>
    <t>T0001674</t>
  </si>
  <si>
    <t>T0001675</t>
  </si>
  <si>
    <t>T0001676</t>
  </si>
  <si>
    <t>T0001677</t>
  </si>
  <si>
    <t>T0001678</t>
  </si>
  <si>
    <t>T0001679</t>
  </si>
  <si>
    <t>T0001680</t>
  </si>
  <si>
    <t>T0001681</t>
  </si>
  <si>
    <t>T0001682</t>
  </si>
  <si>
    <t>T0001683</t>
  </si>
  <si>
    <t>T0001684</t>
  </si>
  <si>
    <t>T0001685</t>
  </si>
  <si>
    <t>T0001686</t>
  </si>
  <si>
    <t>T0001687</t>
  </si>
  <si>
    <t>T0001688</t>
  </si>
  <si>
    <t>T0001689</t>
  </si>
  <si>
    <t>T0001690</t>
  </si>
  <si>
    <t>T0001691</t>
  </si>
  <si>
    <t>T0001692</t>
  </si>
  <si>
    <t>T0001693</t>
  </si>
  <si>
    <t>T0001694</t>
  </si>
  <si>
    <t>T0001695</t>
  </si>
  <si>
    <t>T0001696</t>
  </si>
  <si>
    <t>T0001697</t>
  </si>
  <si>
    <t>T0001698</t>
  </si>
  <si>
    <t>T0001699</t>
  </si>
  <si>
    <t>T0001700</t>
  </si>
  <si>
    <t>T0001701</t>
  </si>
  <si>
    <t>T0001702</t>
  </si>
  <si>
    <t>T0001703</t>
  </si>
  <si>
    <t>T0001704</t>
  </si>
  <si>
    <t>T0001705</t>
  </si>
  <si>
    <t>T0001706</t>
  </si>
  <si>
    <t>T0001707</t>
  </si>
  <si>
    <t>T0001708</t>
  </si>
  <si>
    <t>T0001709</t>
  </si>
  <si>
    <t>T0001710</t>
  </si>
  <si>
    <t>T0001711</t>
  </si>
  <si>
    <t>T0001712</t>
  </si>
  <si>
    <t>T0001713</t>
  </si>
  <si>
    <t>T0001714</t>
  </si>
  <si>
    <t>T0001715</t>
  </si>
  <si>
    <t>T0001716</t>
  </si>
  <si>
    <t>T0001717</t>
  </si>
  <si>
    <t>T0001718</t>
  </si>
  <si>
    <t>T0001719</t>
  </si>
  <si>
    <t>T0001720</t>
  </si>
  <si>
    <t>T0001721</t>
  </si>
  <si>
    <t>T0001722</t>
  </si>
  <si>
    <t>T0001723</t>
  </si>
  <si>
    <t>T0001724</t>
  </si>
  <si>
    <t>T0001725</t>
  </si>
  <si>
    <t>T0001726</t>
  </si>
  <si>
    <t>T0001727</t>
  </si>
  <si>
    <t>T0001728</t>
  </si>
  <si>
    <t>T0001729</t>
  </si>
  <si>
    <t>T0001730</t>
  </si>
  <si>
    <t>T0001731</t>
  </si>
  <si>
    <t>T0001732</t>
  </si>
  <si>
    <t>T0001733</t>
  </si>
  <si>
    <t>T0001734</t>
  </si>
  <si>
    <t>T0001735</t>
  </si>
  <si>
    <t>T0001736</t>
  </si>
  <si>
    <t>T0001737</t>
  </si>
  <si>
    <t>T0001738</t>
  </si>
  <si>
    <t>T0001739</t>
  </si>
  <si>
    <t>T0001740</t>
  </si>
  <si>
    <t>T0001741</t>
  </si>
  <si>
    <t>T0001742</t>
  </si>
  <si>
    <t>T0001743</t>
  </si>
  <si>
    <t>T0001744</t>
  </si>
  <si>
    <t>T0001745</t>
  </si>
  <si>
    <t>T0001746</t>
  </si>
  <si>
    <t>T0001747</t>
  </si>
  <si>
    <t>T0001748</t>
  </si>
  <si>
    <t>T0001749</t>
  </si>
  <si>
    <t>T0001750</t>
  </si>
  <si>
    <t>T0001751</t>
  </si>
  <si>
    <t>T0001752</t>
  </si>
  <si>
    <t>T0001753</t>
  </si>
  <si>
    <t>T0001754</t>
  </si>
  <si>
    <t>T0001755</t>
  </si>
  <si>
    <t>T0001756</t>
  </si>
  <si>
    <t>T0001757</t>
  </si>
  <si>
    <t>T0001758</t>
  </si>
  <si>
    <t>T0001759</t>
  </si>
  <si>
    <t>T0001760</t>
  </si>
  <si>
    <t>T0001761</t>
  </si>
  <si>
    <t>T0001762</t>
  </si>
  <si>
    <t>T0001763</t>
  </si>
  <si>
    <t>T0001764</t>
  </si>
  <si>
    <t>T0001765</t>
  </si>
  <si>
    <t>T0001766</t>
  </si>
  <si>
    <t>T0001767</t>
  </si>
  <si>
    <t>T0001768</t>
  </si>
  <si>
    <t>T0001769</t>
  </si>
  <si>
    <t>T0001770</t>
  </si>
  <si>
    <t>T0001771</t>
  </si>
  <si>
    <t>T0001772</t>
  </si>
  <si>
    <t>T0001773</t>
  </si>
  <si>
    <t>T0001774</t>
  </si>
  <si>
    <t>T0001775</t>
  </si>
  <si>
    <t>T0001776</t>
  </si>
  <si>
    <t>T0001777</t>
  </si>
  <si>
    <t>T0001778</t>
  </si>
  <si>
    <t>T0001779</t>
  </si>
  <si>
    <t>T0001780</t>
  </si>
  <si>
    <t>T0001781</t>
  </si>
  <si>
    <t>T0001782</t>
  </si>
  <si>
    <t>T0001783</t>
  </si>
  <si>
    <t>T0001784</t>
  </si>
  <si>
    <t>T0001785</t>
  </si>
  <si>
    <t>T0001786</t>
  </si>
  <si>
    <t>T0001787</t>
  </si>
  <si>
    <t>T0001788</t>
  </si>
  <si>
    <t>T0001789</t>
  </si>
  <si>
    <t>T0001790</t>
  </si>
  <si>
    <t>T0001791</t>
  </si>
  <si>
    <t>T0001792</t>
  </si>
  <si>
    <t>T0001793</t>
  </si>
  <si>
    <t>T0001794</t>
  </si>
  <si>
    <t>T0001795</t>
  </si>
  <si>
    <t>T0001796</t>
  </si>
  <si>
    <t>T0001797</t>
  </si>
  <si>
    <t>T0001798</t>
  </si>
  <si>
    <t>T0001799</t>
  </si>
  <si>
    <t>T0001800</t>
  </si>
  <si>
    <t>T0001801</t>
  </si>
  <si>
    <t>T0001802</t>
  </si>
  <si>
    <t>T0001803</t>
  </si>
  <si>
    <t>T0001804</t>
  </si>
  <si>
    <t>T0001805</t>
  </si>
  <si>
    <t>T0001806</t>
  </si>
  <si>
    <t>T0001807</t>
  </si>
  <si>
    <t>T0001808</t>
  </si>
  <si>
    <t>T0001809</t>
  </si>
  <si>
    <t>T0001810</t>
  </si>
  <si>
    <t>T0001811</t>
  </si>
  <si>
    <t>T0001812</t>
  </si>
  <si>
    <t>T0001813</t>
  </si>
  <si>
    <t>T0001814</t>
  </si>
  <si>
    <t>T0001815</t>
  </si>
  <si>
    <t>T0001816</t>
  </si>
  <si>
    <t>T0001817</t>
  </si>
  <si>
    <t>T0001818</t>
  </si>
  <si>
    <t>T0001819</t>
  </si>
  <si>
    <t>T0001820</t>
  </si>
  <si>
    <t>T0001821</t>
  </si>
  <si>
    <t>T0001822</t>
  </si>
  <si>
    <t>T0001823</t>
  </si>
  <si>
    <t>T0001824</t>
  </si>
  <si>
    <t>T0001825</t>
  </si>
  <si>
    <t>T0001826</t>
  </si>
  <si>
    <t>T0001827</t>
  </si>
  <si>
    <t>T0001828</t>
  </si>
  <si>
    <t>T0001829</t>
  </si>
  <si>
    <t>T0001830</t>
  </si>
  <si>
    <t>T0001831</t>
  </si>
  <si>
    <t>T0001832</t>
  </si>
  <si>
    <t>T0001833</t>
  </si>
  <si>
    <t>T0001834</t>
  </si>
  <si>
    <t>T0001835</t>
  </si>
  <si>
    <t>T0001836</t>
  </si>
  <si>
    <t>T0001837</t>
  </si>
  <si>
    <t>T0001838</t>
  </si>
  <si>
    <t>T0001839</t>
  </si>
  <si>
    <t>T0001840</t>
  </si>
  <si>
    <t>T0001841</t>
  </si>
  <si>
    <t>T0001842</t>
  </si>
  <si>
    <t>T0001843</t>
  </si>
  <si>
    <t>T0001844</t>
  </si>
  <si>
    <t>T0001845</t>
  </si>
  <si>
    <t>T0001846</t>
  </si>
  <si>
    <t>T0001847</t>
  </si>
  <si>
    <t>T0001848</t>
  </si>
  <si>
    <t>T0001849</t>
  </si>
  <si>
    <t>T0001850</t>
  </si>
  <si>
    <t>T0001851</t>
  </si>
  <si>
    <t>T0001852</t>
  </si>
  <si>
    <t>T0001853</t>
  </si>
  <si>
    <t>T0001854</t>
  </si>
  <si>
    <t>T0001855</t>
  </si>
  <si>
    <t>T0001856</t>
  </si>
  <si>
    <t>T0001857</t>
  </si>
  <si>
    <t>T0001858</t>
  </si>
  <si>
    <t>T0001859</t>
  </si>
  <si>
    <t>T0001860</t>
  </si>
  <si>
    <t>T0001861</t>
  </si>
  <si>
    <t>T0001862</t>
  </si>
  <si>
    <t>T0001863</t>
  </si>
  <si>
    <t>T0001864</t>
  </si>
  <si>
    <t>T0001865</t>
  </si>
  <si>
    <t>T0001866</t>
  </si>
  <si>
    <t>T0001867</t>
  </si>
  <si>
    <t>T0001868</t>
  </si>
  <si>
    <t>T0001869</t>
  </si>
  <si>
    <t>T0001870</t>
  </si>
  <si>
    <t>T0001871</t>
  </si>
  <si>
    <t>T0001872</t>
  </si>
  <si>
    <t>T0001873</t>
  </si>
  <si>
    <t>T0001874</t>
  </si>
  <si>
    <t>T0001875</t>
  </si>
  <si>
    <t>T0001876</t>
  </si>
  <si>
    <t>T0001877</t>
  </si>
  <si>
    <t>T0001878</t>
  </si>
  <si>
    <t>T0001879</t>
  </si>
  <si>
    <t>T0001880</t>
  </si>
  <si>
    <t>T0001881</t>
  </si>
  <si>
    <t>T0001882</t>
  </si>
  <si>
    <t>T0001883</t>
  </si>
  <si>
    <t>T0001884</t>
  </si>
  <si>
    <t>T0001885</t>
  </si>
  <si>
    <t>T0001886</t>
  </si>
  <si>
    <t>T0001887</t>
  </si>
  <si>
    <t>T0001888</t>
  </si>
  <si>
    <t>T0001889</t>
  </si>
  <si>
    <t>T0001890</t>
  </si>
  <si>
    <t>T0001891</t>
  </si>
  <si>
    <t>T0001892</t>
  </si>
  <si>
    <t>T0001893</t>
  </si>
  <si>
    <t>T0001894</t>
  </si>
  <si>
    <t>T0001895</t>
  </si>
  <si>
    <t>T0001896</t>
  </si>
  <si>
    <t>T0001897</t>
  </si>
  <si>
    <t>T0001898</t>
  </si>
  <si>
    <t>T0001899</t>
  </si>
  <si>
    <t>T0001900</t>
  </si>
  <si>
    <t>T0001901</t>
  </si>
  <si>
    <t>T0001902</t>
  </si>
  <si>
    <t>T0001903</t>
  </si>
  <si>
    <t>T0001904</t>
  </si>
  <si>
    <t>T0001905</t>
  </si>
  <si>
    <t>T0001906</t>
  </si>
  <si>
    <t>T0001907</t>
  </si>
  <si>
    <t>T0001908</t>
  </si>
  <si>
    <t>T0001909</t>
  </si>
  <si>
    <t>T0001910</t>
  </si>
  <si>
    <t>T0001911</t>
  </si>
  <si>
    <t>T0001912</t>
  </si>
  <si>
    <t>T0001913</t>
  </si>
  <si>
    <t>T0001914</t>
  </si>
  <si>
    <t>T0001915</t>
  </si>
  <si>
    <t>T0001916</t>
  </si>
  <si>
    <t>T0001917</t>
  </si>
  <si>
    <t>T0001918</t>
  </si>
  <si>
    <t>T0001919</t>
  </si>
  <si>
    <t>T0001920</t>
  </si>
  <si>
    <t>T0001921</t>
  </si>
  <si>
    <t>T0001922</t>
  </si>
  <si>
    <t>T0001923</t>
  </si>
  <si>
    <t>T0001924</t>
  </si>
  <si>
    <t>T0001925</t>
  </si>
  <si>
    <t>T0001926</t>
  </si>
  <si>
    <t>T0001927</t>
  </si>
  <si>
    <t>T0001928</t>
  </si>
  <si>
    <t>T0001929</t>
  </si>
  <si>
    <t>T0001930</t>
  </si>
  <si>
    <t>T0001931</t>
  </si>
  <si>
    <t>T0001932</t>
  </si>
  <si>
    <t>T0001933</t>
  </si>
  <si>
    <t>T0001934</t>
  </si>
  <si>
    <t>T0001935</t>
  </si>
  <si>
    <t>T0001936</t>
  </si>
  <si>
    <t>T0001937</t>
  </si>
  <si>
    <t>T0001938</t>
  </si>
  <si>
    <t>T0001939</t>
  </si>
  <si>
    <t>T0001940</t>
  </si>
  <si>
    <t>T0001941</t>
  </si>
  <si>
    <t>T0001942</t>
  </si>
  <si>
    <t>T0001943</t>
  </si>
  <si>
    <t>T0001944</t>
  </si>
  <si>
    <t>T0001945</t>
  </si>
  <si>
    <t>T0001946</t>
  </si>
  <si>
    <t>T0001947</t>
  </si>
  <si>
    <t>T0001948</t>
  </si>
  <si>
    <t>T0001949</t>
  </si>
  <si>
    <t>T0001950</t>
  </si>
  <si>
    <t>T0001951</t>
  </si>
  <si>
    <t>T0001952</t>
  </si>
  <si>
    <t>T0001953</t>
  </si>
  <si>
    <t>T0001954</t>
  </si>
  <si>
    <t>T0001955</t>
  </si>
  <si>
    <t>T0001956</t>
  </si>
  <si>
    <t>T0001957</t>
  </si>
  <si>
    <t>T0001958</t>
  </si>
  <si>
    <t>T0001959</t>
  </si>
  <si>
    <t>T0001960</t>
  </si>
  <si>
    <t>T0001961</t>
  </si>
  <si>
    <t>T0001962</t>
  </si>
  <si>
    <t>T0001963</t>
  </si>
  <si>
    <t>T0001964</t>
  </si>
  <si>
    <t>T0001965</t>
  </si>
  <si>
    <t>T0001966</t>
  </si>
  <si>
    <t>T0001967</t>
  </si>
  <si>
    <t>T0001968</t>
  </si>
  <si>
    <t>T0001969</t>
  </si>
  <si>
    <t>T0001970</t>
  </si>
  <si>
    <t>T0001971</t>
  </si>
  <si>
    <t>T0001972</t>
  </si>
  <si>
    <t>T0001973</t>
  </si>
  <si>
    <t>T0001974</t>
  </si>
  <si>
    <t>T0001975</t>
  </si>
  <si>
    <t>T0001976</t>
  </si>
  <si>
    <t>T0001977</t>
  </si>
  <si>
    <t>T0001978</t>
  </si>
  <si>
    <t>T0001979</t>
  </si>
  <si>
    <t>T0001980</t>
  </si>
  <si>
    <t>T0001981</t>
  </si>
  <si>
    <t>T0001982</t>
  </si>
  <si>
    <t>T0001983</t>
  </si>
  <si>
    <t>T0001984</t>
  </si>
  <si>
    <t>T0001985</t>
  </si>
  <si>
    <t>T0001986</t>
  </si>
  <si>
    <t>T0001987</t>
  </si>
  <si>
    <t>T0001988</t>
  </si>
  <si>
    <t>T0001989</t>
  </si>
  <si>
    <t>T0001990</t>
  </si>
  <si>
    <t>T0001991</t>
  </si>
  <si>
    <t>T0001992</t>
  </si>
  <si>
    <t>T0001993</t>
  </si>
  <si>
    <t>T0001994</t>
  </si>
  <si>
    <t>T0001995</t>
  </si>
  <si>
    <t>T0001996</t>
  </si>
  <si>
    <t>T0001997</t>
  </si>
  <si>
    <t>T0001998</t>
  </si>
  <si>
    <t>T0001999</t>
  </si>
  <si>
    <t>T0002000</t>
  </si>
  <si>
    <t>T0002001</t>
  </si>
  <si>
    <t>T0002002</t>
  </si>
  <si>
    <t>T0002003</t>
  </si>
  <si>
    <t>T0002004</t>
  </si>
  <si>
    <t>T0002005</t>
  </si>
  <si>
    <t>T0002006</t>
  </si>
  <si>
    <t>T0002007</t>
  </si>
  <si>
    <t>T0002008</t>
  </si>
  <si>
    <t>T0002009</t>
  </si>
  <si>
    <t>T0002010</t>
  </si>
  <si>
    <t>T0002011</t>
  </si>
  <si>
    <t>T0002012</t>
  </si>
  <si>
    <t>T0002013</t>
  </si>
  <si>
    <t>T0002014</t>
  </si>
  <si>
    <t>T0002015</t>
  </si>
  <si>
    <t>T0002016</t>
  </si>
  <si>
    <t>T0002017</t>
  </si>
  <si>
    <t>T0002018</t>
  </si>
  <si>
    <t>T0002019</t>
  </si>
  <si>
    <t>T0002020</t>
  </si>
  <si>
    <t>T0002021</t>
  </si>
  <si>
    <t>T0002022</t>
  </si>
  <si>
    <t>T0002023</t>
  </si>
  <si>
    <t>T0002024</t>
  </si>
  <si>
    <t>T0002025</t>
  </si>
  <si>
    <t>T0002026</t>
  </si>
  <si>
    <t>T0002027</t>
  </si>
  <si>
    <t>T0002028</t>
  </si>
  <si>
    <t>T0002029</t>
  </si>
  <si>
    <t>T0002030</t>
  </si>
  <si>
    <t>T0002031</t>
  </si>
  <si>
    <t>T0002032</t>
  </si>
  <si>
    <t>T0002033</t>
  </si>
  <si>
    <t>T0002034</t>
  </si>
  <si>
    <t>T0002035</t>
  </si>
  <si>
    <t>T0002036</t>
  </si>
  <si>
    <t>T0002037</t>
  </si>
  <si>
    <t>T0002038</t>
  </si>
  <si>
    <t>T0002039</t>
  </si>
  <si>
    <t>T0002040</t>
  </si>
  <si>
    <t>T0002041</t>
  </si>
  <si>
    <t>T0002042</t>
  </si>
  <si>
    <t>T0002043</t>
  </si>
  <si>
    <t>T0002044</t>
  </si>
  <si>
    <t>T0002045</t>
  </si>
  <si>
    <t>T0002046</t>
  </si>
  <si>
    <t>T0002047</t>
  </si>
  <si>
    <t>T0002048</t>
  </si>
  <si>
    <t>T0002049</t>
  </si>
  <si>
    <t>T0002050</t>
  </si>
  <si>
    <t>T0002051</t>
  </si>
  <si>
    <t>T0002052</t>
  </si>
  <si>
    <t>T0002053</t>
  </si>
  <si>
    <t>T0002054</t>
  </si>
  <si>
    <t>T0002055</t>
  </si>
  <si>
    <t>T0002056</t>
  </si>
  <si>
    <t>T0002057</t>
  </si>
  <si>
    <t>T0002058</t>
  </si>
  <si>
    <t>T0002059</t>
  </si>
  <si>
    <t>T0002060</t>
  </si>
  <si>
    <t>T0002061</t>
  </si>
  <si>
    <t>T0002062</t>
  </si>
  <si>
    <t>T0002063</t>
  </si>
  <si>
    <t>T0002064</t>
  </si>
  <si>
    <t>T0002065</t>
  </si>
  <si>
    <t>T0002066</t>
  </si>
  <si>
    <t>T0002067</t>
  </si>
  <si>
    <t>T0002068</t>
  </si>
  <si>
    <t>T0002069</t>
  </si>
  <si>
    <t>T0002070</t>
  </si>
  <si>
    <t>T0002071</t>
  </si>
  <si>
    <t>T0002072</t>
  </si>
  <si>
    <t>T0002073</t>
  </si>
  <si>
    <t>T0002074</t>
  </si>
  <si>
    <t>T0002075</t>
  </si>
  <si>
    <t>T0002076</t>
  </si>
  <si>
    <t>T0002077</t>
  </si>
  <si>
    <t>T0002078</t>
  </si>
  <si>
    <t>T0002079</t>
  </si>
  <si>
    <t>T0002080</t>
  </si>
  <si>
    <t>T0002081</t>
  </si>
  <si>
    <t>T0002082</t>
  </si>
  <si>
    <t>T0002083</t>
  </si>
  <si>
    <t>T0002084</t>
  </si>
  <si>
    <t>T0002085</t>
  </si>
  <si>
    <t>T0002086</t>
  </si>
  <si>
    <t>T0002087</t>
  </si>
  <si>
    <t>T0002088</t>
  </si>
  <si>
    <t>T0002089</t>
  </si>
  <si>
    <t>T0002090</t>
  </si>
  <si>
    <t>T0002091</t>
  </si>
  <si>
    <t>T0002092</t>
  </si>
  <si>
    <t>T0002093</t>
  </si>
  <si>
    <t>T0002094</t>
  </si>
  <si>
    <t>T0002095</t>
  </si>
  <si>
    <t>T0002096</t>
  </si>
  <si>
    <t>T0002097</t>
  </si>
  <si>
    <t>T0002098</t>
  </si>
  <si>
    <t>T0002099</t>
  </si>
  <si>
    <t>T0002100</t>
  </si>
  <si>
    <t>T0002101</t>
  </si>
  <si>
    <t>T0002102</t>
  </si>
  <si>
    <t>T0002103</t>
  </si>
  <si>
    <t>T0002104</t>
  </si>
  <si>
    <t>T0002105</t>
  </si>
  <si>
    <t>T0002106</t>
  </si>
  <si>
    <t>T0002107</t>
  </si>
  <si>
    <t>T0002108</t>
  </si>
  <si>
    <t>T0002109</t>
  </si>
  <si>
    <t>T0002110</t>
  </si>
  <si>
    <t>T0002111</t>
  </si>
  <si>
    <t>T0002112</t>
  </si>
  <si>
    <t>T0002113</t>
  </si>
  <si>
    <t>T0002114</t>
  </si>
  <si>
    <t>T0002115</t>
  </si>
  <si>
    <t>T0002116</t>
  </si>
  <si>
    <t>T0002117</t>
  </si>
  <si>
    <t>T0002118</t>
  </si>
  <si>
    <t>T0002119</t>
  </si>
  <si>
    <t>T0002120</t>
  </si>
  <si>
    <t>T0002121</t>
  </si>
  <si>
    <t>T0002122</t>
  </si>
  <si>
    <t>T0002123</t>
  </si>
  <si>
    <t>T0002124</t>
  </si>
  <si>
    <t>T0002125</t>
  </si>
  <si>
    <t>T0002126</t>
  </si>
  <si>
    <t>T0002127</t>
  </si>
  <si>
    <t>T0002128</t>
  </si>
  <si>
    <t>T0002129</t>
  </si>
  <si>
    <t>T0002130</t>
  </si>
  <si>
    <t>T0002131</t>
  </si>
  <si>
    <t>T0002132</t>
  </si>
  <si>
    <t>T0002133</t>
  </si>
  <si>
    <t>T0002134</t>
  </si>
  <si>
    <t>T0002135</t>
  </si>
  <si>
    <t>T0002136</t>
  </si>
  <si>
    <t>T0002137</t>
  </si>
  <si>
    <t>T0002138</t>
  </si>
  <si>
    <t>T0002139</t>
  </si>
  <si>
    <t>T0002140</t>
  </si>
  <si>
    <t>T0002141</t>
  </si>
  <si>
    <t>T0002142</t>
  </si>
  <si>
    <t>T0002143</t>
  </si>
  <si>
    <t>T0002144</t>
  </si>
  <si>
    <t>T0002145</t>
  </si>
  <si>
    <t>T0002146</t>
  </si>
  <si>
    <t>T0002147</t>
  </si>
  <si>
    <t>T0002148</t>
  </si>
  <si>
    <t>T0002149</t>
  </si>
  <si>
    <t>T0002150</t>
  </si>
  <si>
    <t>T0002151</t>
  </si>
  <si>
    <t>T0002152</t>
  </si>
  <si>
    <t>T0002153</t>
  </si>
  <si>
    <t>T0002154</t>
  </si>
  <si>
    <t>T0002155</t>
  </si>
  <si>
    <t>T0002156</t>
  </si>
  <si>
    <t>T0002157</t>
  </si>
  <si>
    <t>T0002158</t>
  </si>
  <si>
    <t>T0002159</t>
  </si>
  <si>
    <t>T0002160</t>
  </si>
  <si>
    <t>T0002161</t>
  </si>
  <si>
    <t>T0002162</t>
  </si>
  <si>
    <t>T0002163</t>
  </si>
  <si>
    <t>T0002164</t>
  </si>
  <si>
    <t>T0002165</t>
  </si>
  <si>
    <t>T0002166</t>
  </si>
  <si>
    <t>T0002167</t>
  </si>
  <si>
    <t>T0002168</t>
  </si>
  <si>
    <t>T0002169</t>
  </si>
  <si>
    <t>T0002170</t>
  </si>
  <si>
    <t>T0002171</t>
  </si>
  <si>
    <t>T0002172</t>
  </si>
  <si>
    <t>T0002173</t>
  </si>
  <si>
    <t>T0002174</t>
  </si>
  <si>
    <t>T0002175</t>
  </si>
  <si>
    <t>T0002176</t>
  </si>
  <si>
    <t>T0002177</t>
  </si>
  <si>
    <t>T0002178</t>
  </si>
  <si>
    <t>T0002179</t>
  </si>
  <si>
    <t>T0002180</t>
  </si>
  <si>
    <t>T0002181</t>
  </si>
  <si>
    <t>T0002182</t>
  </si>
  <si>
    <t>T0002183</t>
  </si>
  <si>
    <t>T0002184</t>
  </si>
  <si>
    <t>T0002185</t>
  </si>
  <si>
    <t>T0002186</t>
  </si>
  <si>
    <t>T0002187</t>
  </si>
  <si>
    <t>T0002188</t>
  </si>
  <si>
    <t>T0002189</t>
  </si>
  <si>
    <t>T0002190</t>
  </si>
  <si>
    <t>T0002191</t>
  </si>
  <si>
    <t>T0002192</t>
  </si>
  <si>
    <t>T0002193</t>
  </si>
  <si>
    <t>T0002194</t>
  </si>
  <si>
    <t>T0002195</t>
  </si>
  <si>
    <t>T0002196</t>
  </si>
  <si>
    <t>T0002197</t>
  </si>
  <si>
    <t>T0002198</t>
  </si>
  <si>
    <t>T0002199</t>
  </si>
  <si>
    <t>T0002200</t>
  </si>
  <si>
    <t>T0002201</t>
  </si>
  <si>
    <t>T0002202</t>
  </si>
  <si>
    <t>T0002203</t>
  </si>
  <si>
    <t>T0002204</t>
  </si>
  <si>
    <t>T0002205</t>
  </si>
  <si>
    <t>T0002206</t>
  </si>
  <si>
    <t>T0002207</t>
  </si>
  <si>
    <t>T0002208</t>
  </si>
  <si>
    <t>T0002209</t>
  </si>
  <si>
    <t>T0002210</t>
  </si>
  <si>
    <t>T0002211</t>
  </si>
  <si>
    <t>T0002212</t>
  </si>
  <si>
    <t>T0002213</t>
  </si>
  <si>
    <t>T0002214</t>
  </si>
  <si>
    <t>T0002215</t>
  </si>
  <si>
    <t>T0002216</t>
  </si>
  <si>
    <t>T0002217</t>
  </si>
  <si>
    <t>T0002218</t>
  </si>
  <si>
    <t>T0002219</t>
  </si>
  <si>
    <t>T0002220</t>
  </si>
  <si>
    <t>T0002221</t>
  </si>
  <si>
    <t>T0002222</t>
  </si>
  <si>
    <t>T0002223</t>
  </si>
  <si>
    <t>T0002224</t>
  </si>
  <si>
    <t>T0002225</t>
  </si>
  <si>
    <t>T0002226</t>
  </si>
  <si>
    <t>T0002227</t>
  </si>
  <si>
    <t>T0002228</t>
  </si>
  <si>
    <t>T0002229</t>
  </si>
  <si>
    <t>T0002230</t>
  </si>
  <si>
    <t>T0002231</t>
  </si>
  <si>
    <t>T0002232</t>
  </si>
  <si>
    <t>T0002233</t>
  </si>
  <si>
    <t>T0002234</t>
  </si>
  <si>
    <t>T0002235</t>
  </si>
  <si>
    <t>T0002236</t>
  </si>
  <si>
    <t>T0002237</t>
  </si>
  <si>
    <t>T0002238</t>
  </si>
  <si>
    <t>T0002239</t>
  </si>
  <si>
    <t>T0002240</t>
  </si>
  <si>
    <t>T0002241</t>
  </si>
  <si>
    <t>T0002242</t>
  </si>
  <si>
    <t>T0002243</t>
  </si>
  <si>
    <t>T0002244</t>
  </si>
  <si>
    <t>T0002245</t>
  </si>
  <si>
    <t>T0002246</t>
  </si>
  <si>
    <t>T0002247</t>
  </si>
  <si>
    <t>T0002248</t>
  </si>
  <si>
    <t>T0002249</t>
  </si>
  <si>
    <t>T0002250</t>
  </si>
  <si>
    <t>T0002251</t>
  </si>
  <si>
    <t>T0002252</t>
  </si>
  <si>
    <t>T0002253</t>
  </si>
  <si>
    <t>T0002254</t>
  </si>
  <si>
    <t>T0002255</t>
  </si>
  <si>
    <t>T0002256</t>
  </si>
  <si>
    <t>T0002257</t>
  </si>
  <si>
    <t>T0002258</t>
  </si>
  <si>
    <t>T0002259</t>
  </si>
  <si>
    <t>T0002260</t>
  </si>
  <si>
    <t>T0002261</t>
  </si>
  <si>
    <t>T0002262</t>
  </si>
  <si>
    <t>T0002263</t>
  </si>
  <si>
    <t>T0002264</t>
  </si>
  <si>
    <t>T0002265</t>
  </si>
  <si>
    <t>T0002266</t>
  </si>
  <si>
    <t>T0002267</t>
  </si>
  <si>
    <t>T0002268</t>
  </si>
  <si>
    <t>T0002269</t>
  </si>
  <si>
    <t>T0002270</t>
  </si>
  <si>
    <t>T0002271</t>
  </si>
  <si>
    <t>T0002272</t>
  </si>
  <si>
    <t>T0002273</t>
  </si>
  <si>
    <t>T0002274</t>
  </si>
  <si>
    <t>T0002275</t>
  </si>
  <si>
    <t>T0002276</t>
  </si>
  <si>
    <t>T0002277</t>
  </si>
  <si>
    <t>T0002278</t>
  </si>
  <si>
    <t>T0002279</t>
  </si>
  <si>
    <t>T0002280</t>
  </si>
  <si>
    <t>T0002281</t>
  </si>
  <si>
    <t>T0002282</t>
  </si>
  <si>
    <t>T0002283</t>
  </si>
  <si>
    <t>T0002284</t>
  </si>
  <si>
    <t>T0002285</t>
  </si>
  <si>
    <t>T0002286</t>
  </si>
  <si>
    <t>T0002287</t>
  </si>
  <si>
    <t>T0002288</t>
  </si>
  <si>
    <t>T0002289</t>
  </si>
  <si>
    <t>T0002290</t>
  </si>
  <si>
    <t>T0002291</t>
  </si>
  <si>
    <t>T0002292</t>
  </si>
  <si>
    <t>T0002293</t>
  </si>
  <si>
    <t>T0002294</t>
  </si>
  <si>
    <t>T0002295</t>
  </si>
  <si>
    <t>T0002296</t>
  </si>
  <si>
    <t>T0002297</t>
  </si>
  <si>
    <t>T0002298</t>
  </si>
  <si>
    <t>T0002299</t>
  </si>
  <si>
    <t>T0002300</t>
  </si>
  <si>
    <t>T0002301</t>
  </si>
  <si>
    <t>T0002302</t>
  </si>
  <si>
    <t>T0002303</t>
  </si>
  <si>
    <t>T0002304</t>
  </si>
  <si>
    <t>T0002305</t>
  </si>
  <si>
    <t>T0002306</t>
  </si>
  <si>
    <t>T0002307</t>
  </si>
  <si>
    <t>T0002308</t>
  </si>
  <si>
    <t>T0002309</t>
  </si>
  <si>
    <t>T0002310</t>
  </si>
  <si>
    <t>T0002311</t>
  </si>
  <si>
    <t>T0002312</t>
  </si>
  <si>
    <t>T0002313</t>
  </si>
  <si>
    <t>T0002314</t>
  </si>
  <si>
    <t>T0002315</t>
  </si>
  <si>
    <t>T0002316</t>
  </si>
  <si>
    <t>T0002317</t>
  </si>
  <si>
    <t>T0002318</t>
  </si>
  <si>
    <t>T0002319</t>
  </si>
  <si>
    <t>T0002320</t>
  </si>
  <si>
    <t>T0002321</t>
  </si>
  <si>
    <t>T0002322</t>
  </si>
  <si>
    <t>T0002323</t>
  </si>
  <si>
    <t>T0002324</t>
  </si>
  <si>
    <t>T0002325</t>
  </si>
  <si>
    <t>T0002326</t>
  </si>
  <si>
    <t>T0002327</t>
  </si>
  <si>
    <t>T0002328</t>
  </si>
  <si>
    <t>T0002329</t>
  </si>
  <si>
    <t>T0002330</t>
  </si>
  <si>
    <t>T0002331</t>
  </si>
  <si>
    <t>T0002332</t>
  </si>
  <si>
    <t>T0002333</t>
  </si>
  <si>
    <t>T0002334</t>
  </si>
  <si>
    <t>T0002335</t>
  </si>
  <si>
    <t>T0002336</t>
  </si>
  <si>
    <t>T0002337</t>
  </si>
  <si>
    <t>T0002338</t>
  </si>
  <si>
    <t>T0002339</t>
  </si>
  <si>
    <t>T0002340</t>
  </si>
  <si>
    <t>T0002341</t>
  </si>
  <si>
    <t>T0002342</t>
  </si>
  <si>
    <t>T0002343</t>
  </si>
  <si>
    <t>T0002344</t>
  </si>
  <si>
    <t>T0002345</t>
  </si>
  <si>
    <t>T0002346</t>
  </si>
  <si>
    <t>T0002347</t>
  </si>
  <si>
    <t>T0002348</t>
  </si>
  <si>
    <t>T0002349</t>
  </si>
  <si>
    <t>T0002350</t>
  </si>
  <si>
    <t>T0002351</t>
  </si>
  <si>
    <t>T0002352</t>
  </si>
  <si>
    <t>T0002353</t>
  </si>
  <si>
    <t>T0002354</t>
  </si>
  <si>
    <t>T0002355</t>
  </si>
  <si>
    <t>T0002356</t>
  </si>
  <si>
    <t>T0002357</t>
  </si>
  <si>
    <t>T0002358</t>
  </si>
  <si>
    <t>T0002359</t>
  </si>
  <si>
    <t>T0002360</t>
  </si>
  <si>
    <t>T0002361</t>
  </si>
  <si>
    <t>T0002362</t>
  </si>
  <si>
    <t>T0002363</t>
  </si>
  <si>
    <t>T0002364</t>
  </si>
  <si>
    <t>T0002365</t>
  </si>
  <si>
    <t>T0002366</t>
  </si>
  <si>
    <t>T0002367</t>
  </si>
  <si>
    <t>T0002368</t>
  </si>
  <si>
    <t>T0002369</t>
  </si>
  <si>
    <t>T0002370</t>
  </si>
  <si>
    <t>T0002371</t>
  </si>
  <si>
    <t>T0002372</t>
  </si>
  <si>
    <t>T0002373</t>
  </si>
  <si>
    <t>T0002374</t>
  </si>
  <si>
    <t>T0002375</t>
  </si>
  <si>
    <t>T0002376</t>
  </si>
  <si>
    <t>T0002377</t>
  </si>
  <si>
    <t>T0002378</t>
  </si>
  <si>
    <t>T0002379</t>
  </si>
  <si>
    <t>T0002380</t>
  </si>
  <si>
    <t>T0002381</t>
  </si>
  <si>
    <t>T0002382</t>
  </si>
  <si>
    <t>T0002383</t>
  </si>
  <si>
    <t>T0002384</t>
  </si>
  <si>
    <t>T0002385</t>
  </si>
  <si>
    <t>T0002386</t>
  </si>
  <si>
    <t>T0002387</t>
  </si>
  <si>
    <t>T0002388</t>
  </si>
  <si>
    <t>T0002389</t>
  </si>
  <si>
    <t>T0002390</t>
  </si>
  <si>
    <t>T0002391</t>
  </si>
  <si>
    <t>T0002392</t>
  </si>
  <si>
    <t>T0002393</t>
  </si>
  <si>
    <t>T0002394</t>
  </si>
  <si>
    <t>T0002395</t>
  </si>
  <si>
    <t>T0002396</t>
  </si>
  <si>
    <t>T0002397</t>
  </si>
  <si>
    <t>T0002398</t>
  </si>
  <si>
    <t>T0002399</t>
  </si>
  <si>
    <t>T0002400</t>
  </si>
  <si>
    <t>T0002401</t>
  </si>
  <si>
    <t>T0002402</t>
  </si>
  <si>
    <t>T0002403</t>
  </si>
  <si>
    <t>T0002404</t>
  </si>
  <si>
    <t>T0002405</t>
  </si>
  <si>
    <t>T0002406</t>
  </si>
  <si>
    <t>T0002407</t>
  </si>
  <si>
    <t>T0002408</t>
  </si>
  <si>
    <t>T0002409</t>
  </si>
  <si>
    <t>T0002410</t>
  </si>
  <si>
    <t>T0002411</t>
  </si>
  <si>
    <t>T0002412</t>
  </si>
  <si>
    <t>T0002413</t>
  </si>
  <si>
    <t>T0002414</t>
  </si>
  <si>
    <t>T0002415</t>
  </si>
  <si>
    <t>T0002416</t>
  </si>
  <si>
    <t>T0002417</t>
  </si>
  <si>
    <t>T0002418</t>
  </si>
  <si>
    <t>T0002419</t>
  </si>
  <si>
    <t>T0002420</t>
  </si>
  <si>
    <t>T0002421</t>
  </si>
  <si>
    <t>T0002422</t>
  </si>
  <si>
    <t>T0002423</t>
  </si>
  <si>
    <t>T0002424</t>
  </si>
  <si>
    <t>T0002425</t>
  </si>
  <si>
    <t>T0002426</t>
  </si>
  <si>
    <t>T0002427</t>
  </si>
  <si>
    <t>T0002428</t>
  </si>
  <si>
    <t>T0002429</t>
  </si>
  <si>
    <t>T0002430</t>
  </si>
  <si>
    <t>T0002431</t>
  </si>
  <si>
    <t>T0002432</t>
  </si>
  <si>
    <t>T0002433</t>
  </si>
  <si>
    <t>T0002434</t>
  </si>
  <si>
    <t>T0002435</t>
  </si>
  <si>
    <t>T0002436</t>
  </si>
  <si>
    <t>T0002437</t>
  </si>
  <si>
    <t>T0002438</t>
  </si>
  <si>
    <t>T0002439</t>
  </si>
  <si>
    <t>T0002440</t>
  </si>
  <si>
    <t>T0002441</t>
  </si>
  <si>
    <t>T0002442</t>
  </si>
  <si>
    <t>T0002443</t>
  </si>
  <si>
    <t>T0002444</t>
  </si>
  <si>
    <t>T0002445</t>
  </si>
  <si>
    <t>T0002446</t>
  </si>
  <si>
    <t>T0002447</t>
  </si>
  <si>
    <t>T0002448</t>
  </si>
  <si>
    <t>T0002449</t>
  </si>
  <si>
    <t>T0002450</t>
  </si>
  <si>
    <t>T0002451</t>
  </si>
  <si>
    <t>T0002452</t>
  </si>
  <si>
    <t>T0002453</t>
  </si>
  <si>
    <t>T0002454</t>
  </si>
  <si>
    <t>T0002455</t>
  </si>
  <si>
    <t>T0002456</t>
  </si>
  <si>
    <t>T0002457</t>
  </si>
  <si>
    <t>T0002458</t>
  </si>
  <si>
    <t>T0002459</t>
  </si>
  <si>
    <t>T0002460</t>
  </si>
  <si>
    <t>T0002461</t>
  </si>
  <si>
    <t>T0002462</t>
  </si>
  <si>
    <t>T0002463</t>
  </si>
  <si>
    <t>T0002464</t>
  </si>
  <si>
    <t>T0002465</t>
  </si>
  <si>
    <t>T0002466</t>
  </si>
  <si>
    <t>T0002467</t>
  </si>
  <si>
    <t>T0002468</t>
  </si>
  <si>
    <t>T0002469</t>
  </si>
  <si>
    <t>T0002470</t>
  </si>
  <si>
    <t>T0002471</t>
  </si>
  <si>
    <t>T0002472</t>
  </si>
  <si>
    <t>T0002473</t>
  </si>
  <si>
    <t>T0002474</t>
  </si>
  <si>
    <t>T0002475</t>
  </si>
  <si>
    <t>T0002476</t>
  </si>
  <si>
    <t>T0002477</t>
  </si>
  <si>
    <t>T0002478</t>
  </si>
  <si>
    <t>T0002479</t>
  </si>
  <si>
    <t>T0002480</t>
  </si>
  <si>
    <t>T0002481</t>
  </si>
  <si>
    <t>T0002482</t>
  </si>
  <si>
    <t>T0002483</t>
  </si>
  <si>
    <t>T0002484</t>
  </si>
  <si>
    <t>T0002485</t>
  </si>
  <si>
    <t>T0002486</t>
  </si>
  <si>
    <t>T0002487</t>
  </si>
  <si>
    <t>T0002488</t>
  </si>
  <si>
    <t>T0002489</t>
  </si>
  <si>
    <t>T0002490</t>
  </si>
  <si>
    <t>T0002491</t>
  </si>
  <si>
    <t>T0002492</t>
  </si>
  <si>
    <t>T0002493</t>
  </si>
  <si>
    <t>T0002494</t>
  </si>
  <si>
    <t>T0002495</t>
  </si>
  <si>
    <t>T0002496</t>
  </si>
  <si>
    <t>T0002497</t>
  </si>
  <si>
    <t>T0002498</t>
  </si>
  <si>
    <t>T0002499</t>
  </si>
  <si>
    <t>T0002500</t>
  </si>
  <si>
    <t>T0002501</t>
  </si>
  <si>
    <t>T0002502</t>
  </si>
  <si>
    <t>T0002503</t>
  </si>
  <si>
    <t>T0002504</t>
  </si>
  <si>
    <t>T0002505</t>
  </si>
  <si>
    <t>T0002506</t>
  </si>
  <si>
    <t>T0002507</t>
  </si>
  <si>
    <t>T0002508</t>
  </si>
  <si>
    <t>T0002509</t>
  </si>
  <si>
    <t>T0002510</t>
  </si>
  <si>
    <t>T0002511</t>
  </si>
  <si>
    <t>T0002512</t>
  </si>
  <si>
    <t>T0002513</t>
  </si>
  <si>
    <t>T0002514</t>
  </si>
  <si>
    <t>T0002515</t>
  </si>
  <si>
    <t>T0002516</t>
  </si>
  <si>
    <t>T0002517</t>
  </si>
  <si>
    <t>T0002518</t>
  </si>
  <si>
    <t>T0002519</t>
  </si>
  <si>
    <t>T0002520</t>
  </si>
  <si>
    <t>T0002521</t>
  </si>
  <si>
    <t>T0002522</t>
  </si>
  <si>
    <t>T0002523</t>
  </si>
  <si>
    <t>T0002524</t>
  </si>
  <si>
    <t>T0002525</t>
  </si>
  <si>
    <t>T0002526</t>
  </si>
  <si>
    <t>T0002527</t>
  </si>
  <si>
    <t>T0002528</t>
  </si>
  <si>
    <t>T0002529</t>
  </si>
  <si>
    <t>T0002530</t>
  </si>
  <si>
    <t>T0002531</t>
  </si>
  <si>
    <t>T0002532</t>
  </si>
  <si>
    <t>T0002533</t>
  </si>
  <si>
    <t>T0002534</t>
  </si>
  <si>
    <t>T0002535</t>
  </si>
  <si>
    <t>T0002536</t>
  </si>
  <si>
    <t>T0002537</t>
  </si>
  <si>
    <t>T0002538</t>
  </si>
  <si>
    <t>T0002539</t>
  </si>
  <si>
    <t>T0002540</t>
  </si>
  <si>
    <t>T0002541</t>
  </si>
  <si>
    <t>T0002542</t>
  </si>
  <si>
    <t>T0002543</t>
  </si>
  <si>
    <t>T0002544</t>
  </si>
  <si>
    <t>T0002545</t>
  </si>
  <si>
    <t>T0002546</t>
  </si>
  <si>
    <t>T0002547</t>
  </si>
  <si>
    <t>T0002548</t>
  </si>
  <si>
    <t>T0002549</t>
  </si>
  <si>
    <t>T0002550</t>
  </si>
  <si>
    <t>T0002551</t>
  </si>
  <si>
    <t>T0002552</t>
  </si>
  <si>
    <t>T0002553</t>
  </si>
  <si>
    <t>T0002554</t>
  </si>
  <si>
    <t>T0002555</t>
  </si>
  <si>
    <t>T0002556</t>
  </si>
  <si>
    <t>T0002557</t>
  </si>
  <si>
    <t>T0002558</t>
  </si>
  <si>
    <t>T0002559</t>
  </si>
  <si>
    <t>T0002560</t>
  </si>
  <si>
    <t>T0002561</t>
  </si>
  <si>
    <t>T0002562</t>
  </si>
  <si>
    <t>T0002563</t>
  </si>
  <si>
    <t>T0002564</t>
  </si>
  <si>
    <t>T0002565</t>
  </si>
  <si>
    <t>T0002566</t>
  </si>
  <si>
    <t>T0002567</t>
  </si>
  <si>
    <t>T0002568</t>
  </si>
  <si>
    <t>T0002569</t>
  </si>
  <si>
    <t>T0002570</t>
  </si>
  <si>
    <t>T0002571</t>
  </si>
  <si>
    <t>T0002572</t>
  </si>
  <si>
    <t>T0002573</t>
  </si>
  <si>
    <t>T0002574</t>
  </si>
  <si>
    <t>T0002575</t>
  </si>
  <si>
    <t>T0002576</t>
  </si>
  <si>
    <t>T0002577</t>
  </si>
  <si>
    <t>T0002578</t>
  </si>
  <si>
    <t>T0002579</t>
  </si>
  <si>
    <t>T0002580</t>
  </si>
  <si>
    <t>T0002581</t>
  </si>
  <si>
    <t>T0002582</t>
  </si>
  <si>
    <t>T0002583</t>
  </si>
  <si>
    <t>T0002584</t>
  </si>
  <si>
    <t>T0002585</t>
  </si>
  <si>
    <t>T0002586</t>
  </si>
  <si>
    <t>T0002587</t>
  </si>
  <si>
    <t>T0002588</t>
  </si>
  <si>
    <t>T0002589</t>
  </si>
  <si>
    <t>T0002590</t>
  </si>
  <si>
    <t>T0002591</t>
  </si>
  <si>
    <t>T0002592</t>
  </si>
  <si>
    <t>T0002593</t>
  </si>
  <si>
    <t>T0002594</t>
  </si>
  <si>
    <t>T0002595</t>
  </si>
  <si>
    <t>T0002596</t>
  </si>
  <si>
    <t>T0002597</t>
  </si>
  <si>
    <t>T0002598</t>
  </si>
  <si>
    <t>T0002599</t>
  </si>
  <si>
    <t>T0002600</t>
  </si>
  <si>
    <t>T0002601</t>
  </si>
  <si>
    <t>T0002602</t>
  </si>
  <si>
    <t>T0002603</t>
  </si>
  <si>
    <t>T0002604</t>
  </si>
  <si>
    <t>T0002605</t>
  </si>
  <si>
    <t>T0002606</t>
  </si>
  <si>
    <t>T0002607</t>
  </si>
  <si>
    <t>T0002608</t>
  </si>
  <si>
    <t>T0002609</t>
  </si>
  <si>
    <t>T0002610</t>
  </si>
  <si>
    <t>T0002611</t>
  </si>
  <si>
    <t>T0002612</t>
  </si>
  <si>
    <t>T0002613</t>
  </si>
  <si>
    <t>T0002614</t>
  </si>
  <si>
    <t>T0002615</t>
  </si>
  <si>
    <t>T0002616</t>
  </si>
  <si>
    <t>T0002617</t>
  </si>
  <si>
    <t>T0002618</t>
  </si>
  <si>
    <t>T0002619</t>
  </si>
  <si>
    <t>T0002620</t>
  </si>
  <si>
    <t>T0002621</t>
  </si>
  <si>
    <t>T0002622</t>
  </si>
  <si>
    <t>T0002623</t>
  </si>
  <si>
    <t>T0002624</t>
  </si>
  <si>
    <t>T0002625</t>
  </si>
  <si>
    <t>T0002626</t>
  </si>
  <si>
    <t>T0002627</t>
  </si>
  <si>
    <t>T0002628</t>
  </si>
  <si>
    <t>T0002629</t>
  </si>
  <si>
    <t>T0002630</t>
  </si>
  <si>
    <t>T0002631</t>
  </si>
  <si>
    <t>T0002632</t>
  </si>
  <si>
    <t>T0002633</t>
  </si>
  <si>
    <t>T0002634</t>
  </si>
  <si>
    <t>T0002635</t>
  </si>
  <si>
    <t>T0002636</t>
  </si>
  <si>
    <t>T0002637</t>
  </si>
  <si>
    <t>T0002638</t>
  </si>
  <si>
    <t>T0002639</t>
  </si>
  <si>
    <t>T0002640</t>
  </si>
  <si>
    <t>T0002641</t>
  </si>
  <si>
    <t>T0002642</t>
  </si>
  <si>
    <t>T0002643</t>
  </si>
  <si>
    <t>T0002644</t>
  </si>
  <si>
    <t>T0002645</t>
  </si>
  <si>
    <t>T0002646</t>
  </si>
  <si>
    <t>T0002647</t>
  </si>
  <si>
    <t>T0002648</t>
  </si>
  <si>
    <t>T0002649</t>
  </si>
  <si>
    <t>T0002650</t>
  </si>
  <si>
    <t>T0002651</t>
  </si>
  <si>
    <t>T0002652</t>
  </si>
  <si>
    <t>T0002653</t>
  </si>
  <si>
    <t>T0002654</t>
  </si>
  <si>
    <t>T0002655</t>
  </si>
  <si>
    <t>T0002656</t>
  </si>
  <si>
    <t>T0002657</t>
  </si>
  <si>
    <t>T0002658</t>
  </si>
  <si>
    <t>T0002659</t>
  </si>
  <si>
    <t>T0002660</t>
  </si>
  <si>
    <t>T0002661</t>
  </si>
  <si>
    <t>T0002662</t>
  </si>
  <si>
    <t>T0002663</t>
  </si>
  <si>
    <t>T0002664</t>
  </si>
  <si>
    <t>T0002665</t>
  </si>
  <si>
    <t>T0002666</t>
  </si>
  <si>
    <t>T0002667</t>
  </si>
  <si>
    <t>T0002668</t>
  </si>
  <si>
    <t>T0002669</t>
  </si>
  <si>
    <t>T0002670</t>
  </si>
  <si>
    <t>T0002671</t>
  </si>
  <si>
    <t>T0002672</t>
  </si>
  <si>
    <t>T0002673</t>
  </si>
  <si>
    <t>T0002674</t>
  </si>
  <si>
    <t>T0002675</t>
  </si>
  <si>
    <t>T0002676</t>
  </si>
  <si>
    <t>T0002677</t>
  </si>
  <si>
    <t>T0002678</t>
  </si>
  <si>
    <t>T0002679</t>
  </si>
  <si>
    <t>T0002680</t>
  </si>
  <si>
    <t>T0002681</t>
  </si>
  <si>
    <t>T0002682</t>
  </si>
  <si>
    <t>T0002683</t>
  </si>
  <si>
    <t>T0002684</t>
  </si>
  <si>
    <t>T0002685</t>
  </si>
  <si>
    <t>T0002686</t>
  </si>
  <si>
    <t>T0002687</t>
  </si>
  <si>
    <t>T0002688</t>
  </si>
  <si>
    <t>T0002689</t>
  </si>
  <si>
    <t>T0002690</t>
  </si>
  <si>
    <t>T0002691</t>
  </si>
  <si>
    <t>T0002692</t>
  </si>
  <si>
    <t>T0002693</t>
  </si>
  <si>
    <t>T0002694</t>
  </si>
  <si>
    <t>T0002695</t>
  </si>
  <si>
    <t>T0002696</t>
  </si>
  <si>
    <t>T0002697</t>
  </si>
  <si>
    <t>T0002698</t>
  </si>
  <si>
    <t>T0002699</t>
  </si>
  <si>
    <t>T0002700</t>
  </si>
  <si>
    <t>T0002701</t>
  </si>
  <si>
    <t>T0002702</t>
  </si>
  <si>
    <t>T0002703</t>
  </si>
  <si>
    <t>T0002704</t>
  </si>
  <si>
    <t>T0002705</t>
  </si>
  <si>
    <t>T0002706</t>
  </si>
  <si>
    <t>T0002707</t>
  </si>
  <si>
    <t>T0002708</t>
  </si>
  <si>
    <t>T0002709</t>
  </si>
  <si>
    <t>T0002710</t>
  </si>
  <si>
    <t>T0002711</t>
  </si>
  <si>
    <t>T0002712</t>
  </si>
  <si>
    <t>T0002713</t>
  </si>
  <si>
    <t>T0002714</t>
  </si>
  <si>
    <t>T0002715</t>
  </si>
  <si>
    <t>T0002716</t>
  </si>
  <si>
    <t>T0002717</t>
  </si>
  <si>
    <t>T0002718</t>
  </si>
  <si>
    <t>T0002719</t>
  </si>
  <si>
    <t>T0002720</t>
  </si>
  <si>
    <t>T0002721</t>
  </si>
  <si>
    <t>T0002722</t>
  </si>
  <si>
    <t>T0002723</t>
  </si>
  <si>
    <t>T0002724</t>
  </si>
  <si>
    <t>T0002725</t>
  </si>
  <si>
    <t>T0002726</t>
  </si>
  <si>
    <t>T0002727</t>
  </si>
  <si>
    <t>T0002728</t>
  </si>
  <si>
    <t>T0002729</t>
  </si>
  <si>
    <t>T0002730</t>
  </si>
  <si>
    <t>T0002731</t>
  </si>
  <si>
    <t>T0002732</t>
  </si>
  <si>
    <t>T0002733</t>
  </si>
  <si>
    <t>T0002734</t>
  </si>
  <si>
    <t>T0002735</t>
  </si>
  <si>
    <t>T0002736</t>
  </si>
  <si>
    <t>T0002737</t>
  </si>
  <si>
    <t>T0002738</t>
  </si>
  <si>
    <t>T0002739</t>
  </si>
  <si>
    <t>T0002740</t>
  </si>
  <si>
    <t>T0002741</t>
  </si>
  <si>
    <t>T0002742</t>
  </si>
  <si>
    <t>T0002743</t>
  </si>
  <si>
    <t>T0002744</t>
  </si>
  <si>
    <t>T0002745</t>
  </si>
  <si>
    <t>T0002746</t>
  </si>
  <si>
    <t>T0002747</t>
  </si>
  <si>
    <t>T0002748</t>
  </si>
  <si>
    <t>T0002749</t>
  </si>
  <si>
    <t>T0002750</t>
  </si>
  <si>
    <t>T0002751</t>
  </si>
  <si>
    <t>T0002752</t>
  </si>
  <si>
    <t>T0002753</t>
  </si>
  <si>
    <t>T0002754</t>
  </si>
  <si>
    <t>T0002755</t>
  </si>
  <si>
    <t>T0002756</t>
  </si>
  <si>
    <t>T0002757</t>
  </si>
  <si>
    <t>T0002758</t>
  </si>
  <si>
    <t>T0002759</t>
  </si>
  <si>
    <t>T0002760</t>
  </si>
  <si>
    <t>T0002761</t>
  </si>
  <si>
    <t>T0002762</t>
  </si>
  <si>
    <t>T0002763</t>
  </si>
  <si>
    <t>T0002764</t>
  </si>
  <si>
    <t>T0002765</t>
  </si>
  <si>
    <t>T0002766</t>
  </si>
  <si>
    <t>T0002767</t>
  </si>
  <si>
    <t>T0002768</t>
  </si>
  <si>
    <t>T0002769</t>
  </si>
  <si>
    <t>T0002770</t>
  </si>
  <si>
    <t>T0002771</t>
  </si>
  <si>
    <t>T0002772</t>
  </si>
  <si>
    <t>T0002773</t>
  </si>
  <si>
    <t>T0002774</t>
  </si>
  <si>
    <t>T0002775</t>
  </si>
  <si>
    <t>T0002776</t>
  </si>
  <si>
    <t>T0002777</t>
  </si>
  <si>
    <t>T0002778</t>
  </si>
  <si>
    <t>T0002779</t>
  </si>
  <si>
    <t>T0002780</t>
  </si>
  <si>
    <t>T0002781</t>
  </si>
  <si>
    <t>T0002782</t>
  </si>
  <si>
    <t>T0002783</t>
  </si>
  <si>
    <t>T0002784</t>
  </si>
  <si>
    <t>T0002785</t>
  </si>
  <si>
    <t>T0002786</t>
  </si>
  <si>
    <t>T0002787</t>
  </si>
  <si>
    <t>T0002788</t>
  </si>
  <si>
    <t>T0002789</t>
  </si>
  <si>
    <t>T0002790</t>
  </si>
  <si>
    <t>T0002791</t>
  </si>
  <si>
    <t>T0002792</t>
  </si>
  <si>
    <t>T0002793</t>
  </si>
  <si>
    <t>T0002794</t>
  </si>
  <si>
    <t>T0002795</t>
  </si>
  <si>
    <t>T0002796</t>
  </si>
  <si>
    <t>T0002797</t>
  </si>
  <si>
    <t>T0002798</t>
  </si>
  <si>
    <t>T0002799</t>
  </si>
  <si>
    <t>T0002800</t>
  </si>
  <si>
    <t>T0002801</t>
  </si>
  <si>
    <t>T0002802</t>
  </si>
  <si>
    <t>T0002803</t>
  </si>
  <si>
    <t>T0002804</t>
  </si>
  <si>
    <t>T0002805</t>
  </si>
  <si>
    <t>T0002806</t>
  </si>
  <si>
    <t>T0002807</t>
  </si>
  <si>
    <t>T0002808</t>
  </si>
  <si>
    <t>T0002809</t>
  </si>
  <si>
    <t>T0002810</t>
  </si>
  <si>
    <t>T0002811</t>
  </si>
  <si>
    <t>T0002812</t>
  </si>
  <si>
    <t>T0002813</t>
  </si>
  <si>
    <t>T0002814</t>
  </si>
  <si>
    <t>T0002815</t>
  </si>
  <si>
    <t>T0002816</t>
  </si>
  <si>
    <t>T0002817</t>
  </si>
  <si>
    <t>T0002818</t>
  </si>
  <si>
    <t>T0002819</t>
  </si>
  <si>
    <t>T0002820</t>
  </si>
  <si>
    <t>T0002821</t>
  </si>
  <si>
    <t>T0002822</t>
  </si>
  <si>
    <t>T0002823</t>
  </si>
  <si>
    <t>T0002824</t>
  </si>
  <si>
    <t>T0002825</t>
  </si>
  <si>
    <t>T0002826</t>
  </si>
  <si>
    <t>T0002827</t>
  </si>
  <si>
    <t>T0002828</t>
  </si>
  <si>
    <t>T0002829</t>
  </si>
  <si>
    <t>T0002830</t>
  </si>
  <si>
    <t>T0002831</t>
  </si>
  <si>
    <t>T0002832</t>
  </si>
  <si>
    <t>T0002833</t>
  </si>
  <si>
    <t>T0002834</t>
  </si>
  <si>
    <t>T0002835</t>
  </si>
  <si>
    <t>T0002836</t>
  </si>
  <si>
    <t>T0002837</t>
  </si>
  <si>
    <t>T0002838</t>
  </si>
  <si>
    <t>T0002839</t>
  </si>
  <si>
    <t>T0002840</t>
  </si>
  <si>
    <t>T0002841</t>
  </si>
  <si>
    <t>T0002842</t>
  </si>
  <si>
    <t>T0002843</t>
  </si>
  <si>
    <t>T0002844</t>
  </si>
  <si>
    <t>T0002845</t>
  </si>
  <si>
    <t>T0002846</t>
  </si>
  <si>
    <t>T0002847</t>
  </si>
  <si>
    <t>T0002848</t>
  </si>
  <si>
    <t>T0002849</t>
  </si>
  <si>
    <t>T0002850</t>
  </si>
  <si>
    <t>T0002851</t>
  </si>
  <si>
    <t>T0002852</t>
  </si>
  <si>
    <t>T0002853</t>
  </si>
  <si>
    <t>T0002854</t>
  </si>
  <si>
    <t>T0002855</t>
  </si>
  <si>
    <t>T0002856</t>
  </si>
  <si>
    <t>T0002857</t>
  </si>
  <si>
    <t>T0002858</t>
  </si>
  <si>
    <t>T0002859</t>
  </si>
  <si>
    <t>T0002860</t>
  </si>
  <si>
    <t>T0002861</t>
  </si>
  <si>
    <t>T0002862</t>
  </si>
  <si>
    <t>T0002863</t>
  </si>
  <si>
    <t>T0002864</t>
  </si>
  <si>
    <t>T0002865</t>
  </si>
  <si>
    <t>T0002866</t>
  </si>
  <si>
    <t>T0002867</t>
  </si>
  <si>
    <t>T0002868</t>
  </si>
  <si>
    <t>T0002869</t>
  </si>
  <si>
    <t>T0002870</t>
  </si>
  <si>
    <t>T0002871</t>
  </si>
  <si>
    <t>T0002872</t>
  </si>
  <si>
    <t>T0002873</t>
  </si>
  <si>
    <t>T0002874</t>
  </si>
  <si>
    <t>T0002875</t>
  </si>
  <si>
    <t>T0002876</t>
  </si>
  <si>
    <t>T0002877</t>
  </si>
  <si>
    <t>T0002878</t>
  </si>
  <si>
    <t>T0002879</t>
  </si>
  <si>
    <t>T0002880</t>
  </si>
  <si>
    <t>T0002881</t>
  </si>
  <si>
    <t>T0002882</t>
  </si>
  <si>
    <t>T0002883</t>
  </si>
  <si>
    <t>T0002884</t>
  </si>
  <si>
    <t>T0002885</t>
  </si>
  <si>
    <t>T0002886</t>
  </si>
  <si>
    <t>T0002887</t>
  </si>
  <si>
    <t>T0002888</t>
  </si>
  <si>
    <t>T0002889</t>
  </si>
  <si>
    <t>T0002890</t>
  </si>
  <si>
    <t>T0002891</t>
  </si>
  <si>
    <t>T0002892</t>
  </si>
  <si>
    <t>T0002893</t>
  </si>
  <si>
    <t>T0002894</t>
  </si>
  <si>
    <t>T0002895</t>
  </si>
  <si>
    <t>T0002896</t>
  </si>
  <si>
    <t>T0002897</t>
  </si>
  <si>
    <t>T0002898</t>
  </si>
  <si>
    <t>T0002899</t>
  </si>
  <si>
    <t>T0002900</t>
  </si>
  <si>
    <t>T0002901</t>
  </si>
  <si>
    <t>T0002902</t>
  </si>
  <si>
    <t>T0002903</t>
  </si>
  <si>
    <t>T0002904</t>
  </si>
  <si>
    <t>T0002905</t>
  </si>
  <si>
    <t>T0002906</t>
  </si>
  <si>
    <t>T0002907</t>
  </si>
  <si>
    <t>T0002908</t>
  </si>
  <si>
    <t>T0002909</t>
  </si>
  <si>
    <t>T0002910</t>
  </si>
  <si>
    <t>T0002911</t>
  </si>
  <si>
    <t>T0002912</t>
  </si>
  <si>
    <t>T0002913</t>
  </si>
  <si>
    <t>T0002914</t>
  </si>
  <si>
    <t>T0002915</t>
  </si>
  <si>
    <t>T0002916</t>
  </si>
  <si>
    <t>T0002917</t>
  </si>
  <si>
    <t>T0002918</t>
  </si>
  <si>
    <t>T0002919</t>
  </si>
  <si>
    <t>T0002920</t>
  </si>
  <si>
    <t>T0002921</t>
  </si>
  <si>
    <t>T0002922</t>
  </si>
  <si>
    <t>T0002923</t>
  </si>
  <si>
    <t>T0002924</t>
  </si>
  <si>
    <t>T0002925</t>
  </si>
  <si>
    <t>T0002926</t>
  </si>
  <si>
    <t>T0002927</t>
  </si>
  <si>
    <t>T0002928</t>
  </si>
  <si>
    <t>T0002929</t>
  </si>
  <si>
    <t>T0002930</t>
  </si>
  <si>
    <t>T0002931</t>
  </si>
  <si>
    <t>T0002932</t>
  </si>
  <si>
    <t>T0002933</t>
  </si>
  <si>
    <t>T0002934</t>
  </si>
  <si>
    <t>T0002935</t>
  </si>
  <si>
    <t>T0002936</t>
  </si>
  <si>
    <t>T0002937</t>
  </si>
  <si>
    <t>T0002938</t>
  </si>
  <si>
    <t>T0002939</t>
  </si>
  <si>
    <t>T0002940</t>
  </si>
  <si>
    <t>T0002941</t>
  </si>
  <si>
    <t>T0002942</t>
  </si>
  <si>
    <t>T0002943</t>
  </si>
  <si>
    <t>T0002944</t>
  </si>
  <si>
    <t>T0002945</t>
  </si>
  <si>
    <t>T0002946</t>
  </si>
  <si>
    <t>T0002947</t>
  </si>
  <si>
    <t>T0002948</t>
  </si>
  <si>
    <t>T0002949</t>
  </si>
  <si>
    <t>T0002950</t>
  </si>
  <si>
    <t>T0002951</t>
  </si>
  <si>
    <t>T0002952</t>
  </si>
  <si>
    <t>T0002953</t>
  </si>
  <si>
    <t>T0002954</t>
  </si>
  <si>
    <t>T0002955</t>
  </si>
  <si>
    <t>T0002956</t>
  </si>
  <si>
    <t>T0002957</t>
  </si>
  <si>
    <t>T0002958</t>
  </si>
  <si>
    <t>T0002959</t>
  </si>
  <si>
    <t>T0002960</t>
  </si>
  <si>
    <t>T0002961</t>
  </si>
  <si>
    <t>T0002962</t>
  </si>
  <si>
    <t>T0002963</t>
  </si>
  <si>
    <t>T0002964</t>
  </si>
  <si>
    <t>T0002965</t>
  </si>
  <si>
    <t>T0002966</t>
  </si>
  <si>
    <t>T0002967</t>
  </si>
  <si>
    <t>T0002968</t>
  </si>
  <si>
    <t>T0002969</t>
  </si>
  <si>
    <t>T0002970</t>
  </si>
  <si>
    <t>T0002971</t>
  </si>
  <si>
    <t>T0002972</t>
  </si>
  <si>
    <t>T0002973</t>
  </si>
  <si>
    <t>T0002974</t>
  </si>
  <si>
    <t>T0002975</t>
  </si>
  <si>
    <t>T0002976</t>
  </si>
  <si>
    <t>T0002977</t>
  </si>
  <si>
    <t>T0002978</t>
  </si>
  <si>
    <t>T0002979</t>
  </si>
  <si>
    <t>T0002980</t>
  </si>
  <si>
    <t>T0002981</t>
  </si>
  <si>
    <t>T0002982</t>
  </si>
  <si>
    <t>T0002983</t>
  </si>
  <si>
    <t>T0002984</t>
  </si>
  <si>
    <t>T0002985</t>
  </si>
  <si>
    <t>T0002986</t>
  </si>
  <si>
    <t>T0002987</t>
  </si>
  <si>
    <t>T0002988</t>
  </si>
  <si>
    <t>T0002989</t>
  </si>
  <si>
    <t>T0002990</t>
  </si>
  <si>
    <t>T0002991</t>
  </si>
  <si>
    <t>T0002992</t>
  </si>
  <si>
    <t>T0002993</t>
  </si>
  <si>
    <t>T0002994</t>
  </si>
  <si>
    <t>T0002995</t>
  </si>
  <si>
    <t>T0002996</t>
  </si>
  <si>
    <t>T0002997</t>
  </si>
  <si>
    <t>T0002998</t>
  </si>
  <si>
    <t>T0002999</t>
  </si>
  <si>
    <t>T0003000</t>
  </si>
  <si>
    <t>T0003001</t>
  </si>
  <si>
    <t>T0003002</t>
  </si>
  <si>
    <t>T0003003</t>
  </si>
  <si>
    <t>T0003004</t>
  </si>
  <si>
    <t>T0003005</t>
  </si>
  <si>
    <t>T0003006</t>
  </si>
  <si>
    <t>T0003007</t>
  </si>
  <si>
    <t>T0003008</t>
  </si>
  <si>
    <t>T0003009</t>
  </si>
  <si>
    <t>T0003010</t>
  </si>
  <si>
    <t>T0003011</t>
  </si>
  <si>
    <t>T0003012</t>
  </si>
  <si>
    <t>T0003013</t>
  </si>
  <si>
    <t>T0003014</t>
  </si>
  <si>
    <t>T0003015</t>
  </si>
  <si>
    <t>T0003016</t>
  </si>
  <si>
    <t>T0003017</t>
  </si>
  <si>
    <t>T0003018</t>
  </si>
  <si>
    <t>T0003019</t>
  </si>
  <si>
    <t>T0003020</t>
  </si>
  <si>
    <t>T0003021</t>
  </si>
  <si>
    <t>T0003022</t>
  </si>
  <si>
    <t>T0003023</t>
  </si>
  <si>
    <t>T0003024</t>
  </si>
  <si>
    <t>T0003025</t>
  </si>
  <si>
    <t>T0003026</t>
  </si>
  <si>
    <t>T0003027</t>
  </si>
  <si>
    <t>T0003028</t>
  </si>
  <si>
    <t>T0003029</t>
  </si>
  <si>
    <t>T0003030</t>
  </si>
  <si>
    <t>T0003031</t>
  </si>
  <si>
    <t>T0003032</t>
  </si>
  <si>
    <t>T0003033</t>
  </si>
  <si>
    <t>T0003034</t>
  </si>
  <si>
    <t>T0003035</t>
  </si>
  <si>
    <t>T0003036</t>
  </si>
  <si>
    <t>T0003037</t>
  </si>
  <si>
    <t>T0003038</t>
  </si>
  <si>
    <t>T0003039</t>
  </si>
  <si>
    <t>T0003040</t>
  </si>
  <si>
    <t>T0003041</t>
  </si>
  <si>
    <t>T0003042</t>
  </si>
  <si>
    <t>T0003043</t>
  </si>
  <si>
    <t>T0003044</t>
  </si>
  <si>
    <t>T0003045</t>
  </si>
  <si>
    <t>T0003046</t>
  </si>
  <si>
    <t>T0003047</t>
  </si>
  <si>
    <t>T0003048</t>
  </si>
  <si>
    <t>T0003049</t>
  </si>
  <si>
    <t>T0003050</t>
  </si>
  <si>
    <t>T0003051</t>
  </si>
  <si>
    <t>T0003052</t>
  </si>
  <si>
    <t>T0003053</t>
  </si>
  <si>
    <t>T0003054</t>
  </si>
  <si>
    <t>T0003055</t>
  </si>
  <si>
    <t>T0003056</t>
  </si>
  <si>
    <t>T0003057</t>
  </si>
  <si>
    <t>T0003058</t>
  </si>
  <si>
    <t>T0003059</t>
  </si>
  <si>
    <t>T0003060</t>
  </si>
  <si>
    <t>T0003061</t>
  </si>
  <si>
    <t>T0003062</t>
  </si>
  <si>
    <t>T0003063</t>
  </si>
  <si>
    <t>T0003064</t>
  </si>
  <si>
    <t>T0003065</t>
  </si>
  <si>
    <t>T0003066</t>
  </si>
  <si>
    <t>T0003067</t>
  </si>
  <si>
    <t>T0003068</t>
  </si>
  <si>
    <t>T0003069</t>
  </si>
  <si>
    <t>T0003070</t>
  </si>
  <si>
    <t>T0003071</t>
  </si>
  <si>
    <t>T0003072</t>
  </si>
  <si>
    <t>T0003073</t>
  </si>
  <si>
    <t>T0003074</t>
  </si>
  <si>
    <t>T0003075</t>
  </si>
  <si>
    <t>T0003076</t>
  </si>
  <si>
    <t>T0003077</t>
  </si>
  <si>
    <t>T0003078</t>
  </si>
  <si>
    <t>T0003079</t>
  </si>
  <si>
    <t>T0003080</t>
  </si>
  <si>
    <t>T0003081</t>
  </si>
  <si>
    <t>T0003082</t>
  </si>
  <si>
    <t>T0003083</t>
  </si>
  <si>
    <t>T0003084</t>
  </si>
  <si>
    <t>T0003085</t>
  </si>
  <si>
    <t>T0003086</t>
  </si>
  <si>
    <t>T0003087</t>
  </si>
  <si>
    <t>T0003088</t>
  </si>
  <si>
    <t>T0003089</t>
  </si>
  <si>
    <t>T0003090</t>
  </si>
  <si>
    <t>T0003091</t>
  </si>
  <si>
    <t>T0003092</t>
  </si>
  <si>
    <t>T0003093</t>
  </si>
  <si>
    <t>T0003094</t>
  </si>
  <si>
    <t>T0003095</t>
  </si>
  <si>
    <t>T0003096</t>
  </si>
  <si>
    <t>T0003097</t>
  </si>
  <si>
    <t>T0003098</t>
  </si>
  <si>
    <t>T0003099</t>
  </si>
  <si>
    <t>T0003100</t>
  </si>
  <si>
    <t>T0003101</t>
  </si>
  <si>
    <t>T0003102</t>
  </si>
  <si>
    <t>T0003103</t>
  </si>
  <si>
    <t>T0003104</t>
  </si>
  <si>
    <t>T0003105</t>
  </si>
  <si>
    <t>T0003106</t>
  </si>
  <si>
    <t>T0003107</t>
  </si>
  <si>
    <t>T0003108</t>
  </si>
  <si>
    <t>T0003109</t>
  </si>
  <si>
    <t>T0003110</t>
  </si>
  <si>
    <t>T0003111</t>
  </si>
  <si>
    <t>T0003112</t>
  </si>
  <si>
    <t>T0003113</t>
  </si>
  <si>
    <t>T0003114</t>
  </si>
  <si>
    <t>T0003115</t>
  </si>
  <si>
    <t>T0003116</t>
  </si>
  <si>
    <t>T0003117</t>
  </si>
  <si>
    <t>T0003118</t>
  </si>
  <si>
    <t>T0003119</t>
  </si>
  <si>
    <t>T0003120</t>
  </si>
  <si>
    <t>T0003121</t>
  </si>
  <si>
    <t>T0003122</t>
  </si>
  <si>
    <t>T0003123</t>
  </si>
  <si>
    <t>T0003124</t>
  </si>
  <si>
    <t>T0003125</t>
  </si>
  <si>
    <t>T0003126</t>
  </si>
  <si>
    <t>T0003127</t>
  </si>
  <si>
    <t>T0003128</t>
  </si>
  <si>
    <t>T0003129</t>
  </si>
  <si>
    <t>T0003130</t>
  </si>
  <si>
    <t>T0003131</t>
  </si>
  <si>
    <t>T0003132</t>
  </si>
  <si>
    <t>T0003133</t>
  </si>
  <si>
    <t>T0003134</t>
  </si>
  <si>
    <t>T0003135</t>
  </si>
  <si>
    <t>T0003136</t>
  </si>
  <si>
    <t>T0003137</t>
  </si>
  <si>
    <t>T0003138</t>
  </si>
  <si>
    <t>T0003139</t>
  </si>
  <si>
    <t>T0003140</t>
  </si>
  <si>
    <t>T0003141</t>
  </si>
  <si>
    <t>T0003142</t>
  </si>
  <si>
    <t>T0003143</t>
  </si>
  <si>
    <t>T0003144</t>
  </si>
  <si>
    <t>T0003145</t>
  </si>
  <si>
    <t>T0003146</t>
  </si>
  <si>
    <t>T0003147</t>
  </si>
  <si>
    <t>T0003148</t>
  </si>
  <si>
    <t>T0003149</t>
  </si>
  <si>
    <t>T0003150</t>
  </si>
  <si>
    <t>T0003151</t>
  </si>
  <si>
    <t>T0003152</t>
  </si>
  <si>
    <t>T0003153</t>
  </si>
  <si>
    <t>T0003154</t>
  </si>
  <si>
    <t>T0003155</t>
  </si>
  <si>
    <t>T0003156</t>
  </si>
  <si>
    <t>T0003157</t>
  </si>
  <si>
    <t>T0003158</t>
  </si>
  <si>
    <t>T0003159</t>
  </si>
  <si>
    <t>T0003160</t>
  </si>
  <si>
    <t>T0003161</t>
  </si>
  <si>
    <t>T0003162</t>
  </si>
  <si>
    <t>T0003163</t>
  </si>
  <si>
    <t>T0003164</t>
  </si>
  <si>
    <t>T0003165</t>
  </si>
  <si>
    <t>T0003166</t>
  </si>
  <si>
    <t>T0003167</t>
  </si>
  <si>
    <t>T0003168</t>
  </si>
  <si>
    <t>T0003169</t>
  </si>
  <si>
    <t>T0003170</t>
  </si>
  <si>
    <t>T0003171</t>
  </si>
  <si>
    <t>T0003172</t>
  </si>
  <si>
    <t>T0003173</t>
  </si>
  <si>
    <t>T0003174</t>
  </si>
  <si>
    <t>T0003175</t>
  </si>
  <si>
    <t>T0003176</t>
  </si>
  <si>
    <t>T0003177</t>
  </si>
  <si>
    <t>T0003178</t>
  </si>
  <si>
    <t>T0003179</t>
  </si>
  <si>
    <t>T0003180</t>
  </si>
  <si>
    <t>T0003181</t>
  </si>
  <si>
    <t>T0003182</t>
  </si>
  <si>
    <t>T0003183</t>
  </si>
  <si>
    <t>T0003184</t>
  </si>
  <si>
    <t>T0003185</t>
  </si>
  <si>
    <t>T0003186</t>
  </si>
  <si>
    <t>T0003187</t>
  </si>
  <si>
    <t>T0003188</t>
  </si>
  <si>
    <t>T0003189</t>
  </si>
  <si>
    <t>T0003190</t>
  </si>
  <si>
    <t>T0003191</t>
  </si>
  <si>
    <t>T0003192</t>
  </si>
  <si>
    <t>T0003193</t>
  </si>
  <si>
    <t>T0003194</t>
  </si>
  <si>
    <t>T0003195</t>
  </si>
  <si>
    <t>T0003196</t>
  </si>
  <si>
    <t>T0003197</t>
  </si>
  <si>
    <t>T0003198</t>
  </si>
  <si>
    <t>T0003199</t>
  </si>
  <si>
    <t>T0003200</t>
  </si>
  <si>
    <t>T0003201</t>
  </si>
  <si>
    <t>T0003202</t>
  </si>
  <si>
    <t>T0003203</t>
  </si>
  <si>
    <t>T0003204</t>
  </si>
  <si>
    <t>T0003205</t>
  </si>
  <si>
    <t>T0003206</t>
  </si>
  <si>
    <t>T0003207</t>
  </si>
  <si>
    <t>T0003208</t>
  </si>
  <si>
    <t>T0003209</t>
  </si>
  <si>
    <t>T0003210</t>
  </si>
  <si>
    <t>T0003211</t>
  </si>
  <si>
    <t>T0003212</t>
  </si>
  <si>
    <t>T0003213</t>
  </si>
  <si>
    <t>T0003214</t>
  </si>
  <si>
    <t>T0003215</t>
  </si>
  <si>
    <t>T0003216</t>
  </si>
  <si>
    <t>T0003217</t>
  </si>
  <si>
    <t>T0003218</t>
  </si>
  <si>
    <t>T0003219</t>
  </si>
  <si>
    <t>T0003220</t>
  </si>
  <si>
    <t>T0003221</t>
  </si>
  <si>
    <t>T0003222</t>
  </si>
  <si>
    <t>T0003223</t>
  </si>
  <si>
    <t>T0003224</t>
  </si>
  <si>
    <t>T0003225</t>
  </si>
  <si>
    <t>T0003226</t>
  </si>
  <si>
    <t>T0003227</t>
  </si>
  <si>
    <t>T0003228</t>
  </si>
  <si>
    <t>T0003229</t>
  </si>
  <si>
    <t>T0003230</t>
  </si>
  <si>
    <t>T0003231</t>
  </si>
  <si>
    <t>T0003232</t>
  </si>
  <si>
    <t>T0003233</t>
  </si>
  <si>
    <t>T0003234</t>
  </si>
  <si>
    <t>T0003235</t>
  </si>
  <si>
    <t>T0003236</t>
  </si>
  <si>
    <t>T0003237</t>
  </si>
  <si>
    <t>T0003238</t>
  </si>
  <si>
    <t>T0003239</t>
  </si>
  <si>
    <t>T0003240</t>
  </si>
  <si>
    <t>T0003241</t>
  </si>
  <si>
    <t>T0003242</t>
  </si>
  <si>
    <t>T0003243</t>
  </si>
  <si>
    <t>T0003244</t>
  </si>
  <si>
    <t>T0003245</t>
  </si>
  <si>
    <t>T0003246</t>
  </si>
  <si>
    <t>T0003247</t>
  </si>
  <si>
    <t>T0003248</t>
  </si>
  <si>
    <t>T0003249</t>
  </si>
  <si>
    <t>T0003250</t>
  </si>
  <si>
    <t>T0003251</t>
  </si>
  <si>
    <t>T0003252</t>
  </si>
  <si>
    <t>T0003253</t>
  </si>
  <si>
    <t>T0003254</t>
  </si>
  <si>
    <t>T0003255</t>
  </si>
  <si>
    <t>T0003256</t>
  </si>
  <si>
    <t>T0003257</t>
  </si>
  <si>
    <t>T0003258</t>
  </si>
  <si>
    <t>T0003259</t>
  </si>
  <si>
    <t>T0003260</t>
  </si>
  <si>
    <t>T0003261</t>
  </si>
  <si>
    <t>T0003262</t>
  </si>
  <si>
    <t>T0003263</t>
  </si>
  <si>
    <t>T0003264</t>
  </si>
  <si>
    <t>T0003265</t>
  </si>
  <si>
    <t>T0003266</t>
  </si>
  <si>
    <t>T0003267</t>
  </si>
  <si>
    <t>T0003268</t>
  </si>
  <si>
    <t>T0003269</t>
  </si>
  <si>
    <t>T0003270</t>
  </si>
  <si>
    <t>T0003271</t>
  </si>
  <si>
    <t>T0003272</t>
  </si>
  <si>
    <t>T0003273</t>
  </si>
  <si>
    <t>T0003274</t>
  </si>
  <si>
    <t>T0003275</t>
  </si>
  <si>
    <t>T0003276</t>
  </si>
  <si>
    <t>T0003277</t>
  </si>
  <si>
    <t>T0003278</t>
  </si>
  <si>
    <t>T0003279</t>
  </si>
  <si>
    <t>T0003280</t>
  </si>
  <si>
    <t>T0003281</t>
  </si>
  <si>
    <t>T0003282</t>
  </si>
  <si>
    <t>T0003283</t>
  </si>
  <si>
    <t>T0003284</t>
  </si>
  <si>
    <t>T0003285</t>
  </si>
  <si>
    <t>T0003286</t>
  </si>
  <si>
    <t>T0003287</t>
  </si>
  <si>
    <t>T0003288</t>
  </si>
  <si>
    <t>T0003289</t>
  </si>
  <si>
    <t>T0003290</t>
  </si>
  <si>
    <t>T0003291</t>
  </si>
  <si>
    <t>T0003292</t>
  </si>
  <si>
    <t>T0003293</t>
  </si>
  <si>
    <t>T0003294</t>
  </si>
  <si>
    <t>T0003295</t>
  </si>
  <si>
    <t>T0003296</t>
  </si>
  <si>
    <t>T0003297</t>
  </si>
  <si>
    <t>T0003298</t>
  </si>
  <si>
    <t>T0003299</t>
  </si>
  <si>
    <t>T0003300</t>
  </si>
  <si>
    <t>T0003301</t>
  </si>
  <si>
    <t>T0003302</t>
  </si>
  <si>
    <t>T0003303</t>
  </si>
  <si>
    <t>T0003304</t>
  </si>
  <si>
    <t>T0003305</t>
  </si>
  <si>
    <t>T0003306</t>
  </si>
  <si>
    <t>T0003307</t>
  </si>
  <si>
    <t>T0003308</t>
  </si>
  <si>
    <t>T0003309</t>
  </si>
  <si>
    <t>T0003310</t>
  </si>
  <si>
    <t>T0003311</t>
  </si>
  <si>
    <t>T0003312</t>
  </si>
  <si>
    <t>T0003313</t>
  </si>
  <si>
    <t>T0003314</t>
  </si>
  <si>
    <t>T0003315</t>
  </si>
  <si>
    <t>T0003316</t>
  </si>
  <si>
    <t>T0003317</t>
  </si>
  <si>
    <t>T0003318</t>
  </si>
  <si>
    <t>T0003319</t>
  </si>
  <si>
    <t>T0003320</t>
  </si>
  <si>
    <t>T0003321</t>
  </si>
  <si>
    <t>T0003322</t>
  </si>
  <si>
    <t>T0003323</t>
  </si>
  <si>
    <t>T0003324</t>
  </si>
  <si>
    <t>T0003325</t>
  </si>
  <si>
    <t>T0003326</t>
  </si>
  <si>
    <t>T0003327</t>
  </si>
  <si>
    <t>T0003328</t>
  </si>
  <si>
    <t>T0003329</t>
  </si>
  <si>
    <t>T0003330</t>
  </si>
  <si>
    <t>T0003331</t>
  </si>
  <si>
    <t>T0003332</t>
  </si>
  <si>
    <t>T0003333</t>
  </si>
  <si>
    <t>T0003334</t>
  </si>
  <si>
    <t>T0003335</t>
  </si>
  <si>
    <t>T0003336</t>
  </si>
  <si>
    <t>T0003337</t>
  </si>
  <si>
    <t>T0003338</t>
  </si>
  <si>
    <t>T0003339</t>
  </si>
  <si>
    <t>T0003340</t>
  </si>
  <si>
    <t>T0003341</t>
  </si>
  <si>
    <t>T0003342</t>
  </si>
  <si>
    <t>T0003343</t>
  </si>
  <si>
    <t>T0003344</t>
  </si>
  <si>
    <t>T0003345</t>
  </si>
  <si>
    <t>T0003346</t>
  </si>
  <si>
    <t>T0003347</t>
  </si>
  <si>
    <t>T0003348</t>
  </si>
  <si>
    <t>T0003349</t>
  </si>
  <si>
    <t>T0003350</t>
  </si>
  <si>
    <t>T0003351</t>
  </si>
  <si>
    <t>T0003352</t>
  </si>
  <si>
    <t>T0003353</t>
  </si>
  <si>
    <t>T0003354</t>
  </si>
  <si>
    <t>T0003355</t>
  </si>
  <si>
    <t>T0003356</t>
  </si>
  <si>
    <t>T0003357</t>
  </si>
  <si>
    <t>T0003358</t>
  </si>
  <si>
    <t>T0003359</t>
  </si>
  <si>
    <t>T0003360</t>
  </si>
  <si>
    <t>T0003361</t>
  </si>
  <si>
    <t>T0003362</t>
  </si>
  <si>
    <t>T0003363</t>
  </si>
  <si>
    <t>T0003364</t>
  </si>
  <si>
    <t>T0003365</t>
  </si>
  <si>
    <t>T0003366</t>
  </si>
  <si>
    <t>T0003367</t>
  </si>
  <si>
    <t>T0003368</t>
  </si>
  <si>
    <t>T0003369</t>
  </si>
  <si>
    <t>T0003370</t>
  </si>
  <si>
    <t>T0003371</t>
  </si>
  <si>
    <t>T0003372</t>
  </si>
  <si>
    <t>T0003373</t>
  </si>
  <si>
    <t>T0003374</t>
  </si>
  <si>
    <t>T0003375</t>
  </si>
  <si>
    <t>T0003376</t>
  </si>
  <si>
    <t>T0003377</t>
  </si>
  <si>
    <t>T0003378</t>
  </si>
  <si>
    <t>T0003379</t>
  </si>
  <si>
    <t>T0003380</t>
  </si>
  <si>
    <t>T0003381</t>
  </si>
  <si>
    <t>T0003382</t>
  </si>
  <si>
    <t>T0003383</t>
  </si>
  <si>
    <t>T0003384</t>
  </si>
  <si>
    <t>T0003385</t>
  </si>
  <si>
    <t>T0003386</t>
  </si>
  <si>
    <t>T0003387</t>
  </si>
  <si>
    <t>T0003388</t>
  </si>
  <si>
    <t>T0003389</t>
  </si>
  <si>
    <t>T0003390</t>
  </si>
  <si>
    <t>T0003391</t>
  </si>
  <si>
    <t>T0003392</t>
  </si>
  <si>
    <t>T0003393</t>
  </si>
  <si>
    <t>T0003394</t>
  </si>
  <si>
    <t>T0003395</t>
  </si>
  <si>
    <t>T0003396</t>
  </si>
  <si>
    <t>T0003397</t>
  </si>
  <si>
    <t>T0003398</t>
  </si>
  <si>
    <t>T0003399</t>
  </si>
  <si>
    <t>T0003400</t>
  </si>
  <si>
    <t>T0003401</t>
  </si>
  <si>
    <t>T0003402</t>
  </si>
  <si>
    <t>T0003403</t>
  </si>
  <si>
    <t>T0003404</t>
  </si>
  <si>
    <t>T0003405</t>
  </si>
  <si>
    <t>T0003406</t>
  </si>
  <si>
    <t>T0003407</t>
  </si>
  <si>
    <t>T0003408</t>
  </si>
  <si>
    <t>T0003409</t>
  </si>
  <si>
    <t>T0003410</t>
  </si>
  <si>
    <t>T0003411</t>
  </si>
  <si>
    <t>T0003412</t>
  </si>
  <si>
    <t>T0003413</t>
  </si>
  <si>
    <t>T0003414</t>
  </si>
  <si>
    <t>T0003415</t>
  </si>
  <si>
    <t>T0003416</t>
  </si>
  <si>
    <t>T0003417</t>
  </si>
  <si>
    <t>T0003418</t>
  </si>
  <si>
    <t>T0003419</t>
  </si>
  <si>
    <t>T0003420</t>
  </si>
  <si>
    <t>T0003421</t>
  </si>
  <si>
    <t>T0003422</t>
  </si>
  <si>
    <t>T0003423</t>
  </si>
  <si>
    <t>T0003424</t>
  </si>
  <si>
    <t>T0003425</t>
  </si>
  <si>
    <t>T0003426</t>
  </si>
  <si>
    <t>T0003427</t>
  </si>
  <si>
    <t>T0003428</t>
  </si>
  <si>
    <t>T0003429</t>
  </si>
  <si>
    <t>T0003430</t>
  </si>
  <si>
    <t>T0003431</t>
  </si>
  <si>
    <t>T0003432</t>
  </si>
  <si>
    <t>T0003433</t>
  </si>
  <si>
    <t>T0003434</t>
  </si>
  <si>
    <t>T0003435</t>
  </si>
  <si>
    <t>T0003436</t>
  </si>
  <si>
    <t>T0003437</t>
  </si>
  <si>
    <t>T0003438</t>
  </si>
  <si>
    <t>T0003439</t>
  </si>
  <si>
    <t>T0003440</t>
  </si>
  <si>
    <t>T0003441</t>
  </si>
  <si>
    <t>T0003442</t>
  </si>
  <si>
    <t>T0003443</t>
  </si>
  <si>
    <t>T0003444</t>
  </si>
  <si>
    <t>T0003445</t>
  </si>
  <si>
    <t>T0003446</t>
  </si>
  <si>
    <t>T0003447</t>
  </si>
  <si>
    <t>T0003448</t>
  </si>
  <si>
    <t>T0003449</t>
  </si>
  <si>
    <t>T0003450</t>
  </si>
  <si>
    <t>T0003451</t>
  </si>
  <si>
    <t>T0003452</t>
  </si>
  <si>
    <t>T0003453</t>
  </si>
  <si>
    <t>T0003454</t>
  </si>
  <si>
    <t>T0003455</t>
  </si>
  <si>
    <t>T0003456</t>
  </si>
  <si>
    <t>T0003457</t>
  </si>
  <si>
    <t>T0003458</t>
  </si>
  <si>
    <t>T0003459</t>
  </si>
  <si>
    <t>T0003460</t>
  </si>
  <si>
    <t>T0003461</t>
  </si>
  <si>
    <t>T0003462</t>
  </si>
  <si>
    <t>T0003463</t>
  </si>
  <si>
    <t>T0003464</t>
  </si>
  <si>
    <t>T0003465</t>
  </si>
  <si>
    <t>T0003466</t>
  </si>
  <si>
    <t>T0003467</t>
  </si>
  <si>
    <t>T0003468</t>
  </si>
  <si>
    <t>T0003469</t>
  </si>
  <si>
    <t>T0003470</t>
  </si>
  <si>
    <t>T0003471</t>
  </si>
  <si>
    <t>T0003472</t>
  </si>
  <si>
    <t>T0003473</t>
  </si>
  <si>
    <t>T0003474</t>
  </si>
  <si>
    <t>T0003475</t>
  </si>
  <si>
    <t>T0003476</t>
  </si>
  <si>
    <t>T0003477</t>
  </si>
  <si>
    <t>T0003478</t>
  </si>
  <si>
    <t>T0003479</t>
  </si>
  <si>
    <t>T0003480</t>
  </si>
  <si>
    <t>T0003481</t>
  </si>
  <si>
    <t>T0003482</t>
  </si>
  <si>
    <t>T0003483</t>
  </si>
  <si>
    <t>T0003484</t>
  </si>
  <si>
    <t>T0003485</t>
  </si>
  <si>
    <t>T0003486</t>
  </si>
  <si>
    <t>T0003487</t>
  </si>
  <si>
    <t>T0003488</t>
  </si>
  <si>
    <t>T0003489</t>
  </si>
  <si>
    <t>T0003490</t>
  </si>
  <si>
    <t>T0003491</t>
  </si>
  <si>
    <t>T0003492</t>
  </si>
  <si>
    <t>T0003493</t>
  </si>
  <si>
    <t>T0003494</t>
  </si>
  <si>
    <t>T0003495</t>
  </si>
  <si>
    <t>T0003496</t>
  </si>
  <si>
    <t>T0003497</t>
  </si>
  <si>
    <t>T0003498</t>
  </si>
  <si>
    <t>T0003499</t>
  </si>
  <si>
    <t>T0003500</t>
  </si>
  <si>
    <t>T0003501</t>
  </si>
  <si>
    <t>T0003502</t>
  </si>
  <si>
    <t>T0003503</t>
  </si>
  <si>
    <t>T0003504</t>
  </si>
  <si>
    <t>T0003505</t>
  </si>
  <si>
    <t>T0003506</t>
  </si>
  <si>
    <t>T0003507</t>
  </si>
  <si>
    <t>T0003508</t>
  </si>
  <si>
    <t>T0003509</t>
  </si>
  <si>
    <t>T0003510</t>
  </si>
  <si>
    <t>T0003511</t>
  </si>
  <si>
    <t>T0003512</t>
  </si>
  <si>
    <t>T0003513</t>
  </si>
  <si>
    <t>T0003514</t>
  </si>
  <si>
    <t>T0003515</t>
  </si>
  <si>
    <t>T0003516</t>
  </si>
  <si>
    <t>T0003517</t>
  </si>
  <si>
    <t>T0003518</t>
  </si>
  <si>
    <t>T0003519</t>
  </si>
  <si>
    <t>T0003520</t>
  </si>
  <si>
    <t>T0003521</t>
  </si>
  <si>
    <t>T0003522</t>
  </si>
  <si>
    <t>T0003523</t>
  </si>
  <si>
    <t>T0003524</t>
  </si>
  <si>
    <t>T0003525</t>
  </si>
  <si>
    <t>T0003526</t>
  </si>
  <si>
    <t>T0003527</t>
  </si>
  <si>
    <t>T0003528</t>
  </si>
  <si>
    <t>T0003529</t>
  </si>
  <si>
    <t>T0003530</t>
  </si>
  <si>
    <t>T0003531</t>
  </si>
  <si>
    <t>T0003532</t>
  </si>
  <si>
    <t>T0003533</t>
  </si>
  <si>
    <t>T0003534</t>
  </si>
  <si>
    <t>T0003535</t>
  </si>
  <si>
    <t>T0003536</t>
  </si>
  <si>
    <t>T0003537</t>
  </si>
  <si>
    <t>T0003538</t>
  </si>
  <si>
    <t>T0003539</t>
  </si>
  <si>
    <t>T0003540</t>
  </si>
  <si>
    <t>T0003541</t>
  </si>
  <si>
    <t>T0003542</t>
  </si>
  <si>
    <t>T0003543</t>
  </si>
  <si>
    <t>T0003544</t>
  </si>
  <si>
    <t>T0003545</t>
  </si>
  <si>
    <t>T0003546</t>
  </si>
  <si>
    <t>T0003547</t>
  </si>
  <si>
    <t>T0003548</t>
  </si>
  <si>
    <t>T0003549</t>
  </si>
  <si>
    <t>T0003550</t>
  </si>
  <si>
    <t>T0003551</t>
  </si>
  <si>
    <t>T0003552</t>
  </si>
  <si>
    <t>T0003553</t>
  </si>
  <si>
    <t>T0003554</t>
  </si>
  <si>
    <t>T0003555</t>
  </si>
  <si>
    <t>T0003556</t>
  </si>
  <si>
    <t>T0003557</t>
  </si>
  <si>
    <t>T0003558</t>
  </si>
  <si>
    <t>T0003559</t>
  </si>
  <si>
    <t>T0003560</t>
  </si>
  <si>
    <t>T0003561</t>
  </si>
  <si>
    <t>T0003562</t>
  </si>
  <si>
    <t>T0003563</t>
  </si>
  <si>
    <t>T0003564</t>
  </si>
  <si>
    <t>T0003565</t>
  </si>
  <si>
    <t>T0003566</t>
  </si>
  <si>
    <t>T0003567</t>
  </si>
  <si>
    <t>T0003568</t>
  </si>
  <si>
    <t>T0003569</t>
  </si>
  <si>
    <t>T0003570</t>
  </si>
  <si>
    <t>T0003571</t>
  </si>
  <si>
    <t>T0003572</t>
  </si>
  <si>
    <t>T0003573</t>
  </si>
  <si>
    <t>T0003574</t>
  </si>
  <si>
    <t>T0003575</t>
  </si>
  <si>
    <t>T0003576</t>
  </si>
  <si>
    <t>T0003577</t>
  </si>
  <si>
    <t>T0003578</t>
  </si>
  <si>
    <t>T0003579</t>
  </si>
  <si>
    <t>T0003580</t>
  </si>
  <si>
    <t>T0003581</t>
  </si>
  <si>
    <t>T0003582</t>
  </si>
  <si>
    <t>T0003583</t>
  </si>
  <si>
    <t>T0003584</t>
  </si>
  <si>
    <t>T0003585</t>
  </si>
  <si>
    <t>T0003586</t>
  </si>
  <si>
    <t>T0003587</t>
  </si>
  <si>
    <t>T0003588</t>
  </si>
  <si>
    <t>T0003589</t>
  </si>
  <si>
    <t>T0003590</t>
  </si>
  <si>
    <t>T0003591</t>
  </si>
  <si>
    <t>T0003592</t>
  </si>
  <si>
    <t>T0003593</t>
  </si>
  <si>
    <t>T0003594</t>
  </si>
  <si>
    <t>T0003595</t>
  </si>
  <si>
    <t>T0003596</t>
  </si>
  <si>
    <t>T0003597</t>
  </si>
  <si>
    <t>T0003598</t>
  </si>
  <si>
    <t>T0003599</t>
  </si>
  <si>
    <t>T0003600</t>
  </si>
  <si>
    <t>T0003601</t>
  </si>
  <si>
    <t>T0003602</t>
  </si>
  <si>
    <t>T0003603</t>
  </si>
  <si>
    <t>T0003604</t>
  </si>
  <si>
    <t>T0003605</t>
  </si>
  <si>
    <t>T0003606</t>
  </si>
  <si>
    <t>T0003607</t>
  </si>
  <si>
    <t>T0003608</t>
  </si>
  <si>
    <t>T0003609</t>
  </si>
  <si>
    <t>T0003610</t>
  </si>
  <si>
    <t>T0003611</t>
  </si>
  <si>
    <t>T0003612</t>
  </si>
  <si>
    <t>T0003613</t>
  </si>
  <si>
    <t>T0003614</t>
  </si>
  <si>
    <t>T0003615</t>
  </si>
  <si>
    <t>T0003616</t>
  </si>
  <si>
    <t>T0003617</t>
  </si>
  <si>
    <t>T0003618</t>
  </si>
  <si>
    <t>T0003619</t>
  </si>
  <si>
    <t>T0003620</t>
  </si>
  <si>
    <t>T0003621</t>
  </si>
  <si>
    <t>T0003622</t>
  </si>
  <si>
    <t>T0003623</t>
  </si>
  <si>
    <t>T0003624</t>
  </si>
  <si>
    <t>T0003625</t>
  </si>
  <si>
    <t>T0003626</t>
  </si>
  <si>
    <t>T0003627</t>
  </si>
  <si>
    <t>T0003628</t>
  </si>
  <si>
    <t>T0003629</t>
  </si>
  <si>
    <t>T0003630</t>
  </si>
  <si>
    <t>T0003631</t>
  </si>
  <si>
    <t>T0003632</t>
  </si>
  <si>
    <t>T0003633</t>
  </si>
  <si>
    <t>T0003634</t>
  </si>
  <si>
    <t>T0003635</t>
  </si>
  <si>
    <t>T0003636</t>
  </si>
  <si>
    <t>T0003637</t>
  </si>
  <si>
    <t>T0003638</t>
  </si>
  <si>
    <t>T0003639</t>
  </si>
  <si>
    <t>T0003640</t>
  </si>
  <si>
    <t>T0003641</t>
  </si>
  <si>
    <t>T0003642</t>
  </si>
  <si>
    <t>T0003643</t>
  </si>
  <si>
    <t>T0003644</t>
  </si>
  <si>
    <t>T0003645</t>
  </si>
  <si>
    <t>T0003646</t>
  </si>
  <si>
    <t>T0003647</t>
  </si>
  <si>
    <t>T0003648</t>
  </si>
  <si>
    <t>T0003649</t>
  </si>
  <si>
    <t>T0003650</t>
  </si>
  <si>
    <t>T0003651</t>
  </si>
  <si>
    <t>T0003652</t>
  </si>
  <si>
    <t>T0003653</t>
  </si>
  <si>
    <t>T0003654</t>
  </si>
  <si>
    <t>T0003655</t>
  </si>
  <si>
    <t>T0003656</t>
  </si>
  <si>
    <t>T0003657</t>
  </si>
  <si>
    <t>T0003658</t>
  </si>
  <si>
    <t>T0003659</t>
  </si>
  <si>
    <t>T0003660</t>
  </si>
  <si>
    <t>T0003661</t>
  </si>
  <si>
    <t>T0003662</t>
  </si>
  <si>
    <t>T0003663</t>
  </si>
  <si>
    <t>T0003664</t>
  </si>
  <si>
    <t>T0003665</t>
  </si>
  <si>
    <t>T0003666</t>
  </si>
  <si>
    <t>T0003667</t>
  </si>
  <si>
    <t>T0003668</t>
  </si>
  <si>
    <t>T0003669</t>
  </si>
  <si>
    <t>T0003670</t>
  </si>
  <si>
    <t>T0003671</t>
  </si>
  <si>
    <t>T0003672</t>
  </si>
  <si>
    <t>T0003673</t>
  </si>
  <si>
    <t>T0003674</t>
  </si>
  <si>
    <t>T0003675</t>
  </si>
  <si>
    <t>T0003676</t>
  </si>
  <si>
    <t>T0003677</t>
  </si>
  <si>
    <t>T0003678</t>
  </si>
  <si>
    <t>T0003679</t>
  </si>
  <si>
    <t>T0003680</t>
  </si>
  <si>
    <t>T0003681</t>
  </si>
  <si>
    <t>T0003682</t>
  </si>
  <si>
    <t>T0003683</t>
  </si>
  <si>
    <t>T0003684</t>
  </si>
  <si>
    <t>T0003685</t>
  </si>
  <si>
    <t>T0003686</t>
  </si>
  <si>
    <t>T0003687</t>
  </si>
  <si>
    <t>T0003688</t>
  </si>
  <si>
    <t>T0003689</t>
  </si>
  <si>
    <t>T0003690</t>
  </si>
  <si>
    <t>T0003691</t>
  </si>
  <si>
    <t>T0003692</t>
  </si>
  <si>
    <t>T0003693</t>
  </si>
  <si>
    <t>T0003694</t>
  </si>
  <si>
    <t>T0003695</t>
  </si>
  <si>
    <t>T0003696</t>
  </si>
  <si>
    <t>T0003697</t>
  </si>
  <si>
    <t>T0003698</t>
  </si>
  <si>
    <t>T0003699</t>
  </si>
  <si>
    <t>T0003700</t>
  </si>
  <si>
    <t>T0003701</t>
  </si>
  <si>
    <t>T0003702</t>
  </si>
  <si>
    <t>T0003703</t>
  </si>
  <si>
    <t>T0003704</t>
  </si>
  <si>
    <t>T0003705</t>
  </si>
  <si>
    <t>T0003706</t>
  </si>
  <si>
    <t>T0003707</t>
  </si>
  <si>
    <t>T0003708</t>
  </si>
  <si>
    <t>T0003709</t>
  </si>
  <si>
    <t>T0003710</t>
  </si>
  <si>
    <t>T0003711</t>
  </si>
  <si>
    <t>T0003712</t>
  </si>
  <si>
    <t>T0003713</t>
  </si>
  <si>
    <t>T0003714</t>
  </si>
  <si>
    <t>T0003715</t>
  </si>
  <si>
    <t>T0003716</t>
  </si>
  <si>
    <t>T0003717</t>
  </si>
  <si>
    <t>T0003718</t>
  </si>
  <si>
    <t>T0003719</t>
  </si>
  <si>
    <t>T0003720</t>
  </si>
  <si>
    <t>T0003721</t>
  </si>
  <si>
    <t>T0003722</t>
  </si>
  <si>
    <t>T0003723</t>
  </si>
  <si>
    <t>T0003724</t>
  </si>
  <si>
    <t>T0003725</t>
  </si>
  <si>
    <t>T0003726</t>
  </si>
  <si>
    <t>T0003727</t>
  </si>
  <si>
    <t>T0003728</t>
  </si>
  <si>
    <t>T0003729</t>
  </si>
  <si>
    <t>T0003730</t>
  </si>
  <si>
    <t>T0003731</t>
  </si>
  <si>
    <t>T0003732</t>
  </si>
  <si>
    <t>T0003733</t>
  </si>
  <si>
    <t>T0003734</t>
  </si>
  <si>
    <t>T0003735</t>
  </si>
  <si>
    <t>T0003736</t>
  </si>
  <si>
    <t>T0003737</t>
  </si>
  <si>
    <t>T0003738</t>
  </si>
  <si>
    <t>T0003739</t>
  </si>
  <si>
    <t>T0003740</t>
  </si>
  <si>
    <t>T0003741</t>
  </si>
  <si>
    <t>T0003742</t>
  </si>
  <si>
    <t>T0003743</t>
  </si>
  <si>
    <t>T0003744</t>
  </si>
  <si>
    <t>T0003745</t>
  </si>
  <si>
    <t>T0003746</t>
  </si>
  <si>
    <t>T0003747</t>
  </si>
  <si>
    <t>T0003748</t>
  </si>
  <si>
    <t>T0003749</t>
  </si>
  <si>
    <t>T0003750</t>
  </si>
  <si>
    <t>T0003751</t>
  </si>
  <si>
    <t>T0003752</t>
  </si>
  <si>
    <t>T0003753</t>
  </si>
  <si>
    <t>T0003754</t>
  </si>
  <si>
    <t>T0003755</t>
  </si>
  <si>
    <t>T0003756</t>
  </si>
  <si>
    <t>T0003757</t>
  </si>
  <si>
    <t>T0003758</t>
  </si>
  <si>
    <t>T0003759</t>
  </si>
  <si>
    <t>T0003760</t>
  </si>
  <si>
    <t>T0003761</t>
  </si>
  <si>
    <t>T0003762</t>
  </si>
  <si>
    <t>T0003763</t>
  </si>
  <si>
    <t>T0003764</t>
  </si>
  <si>
    <t>T0003765</t>
  </si>
  <si>
    <t>T0003766</t>
  </si>
  <si>
    <t>T0003767</t>
  </si>
  <si>
    <t>T0003768</t>
  </si>
  <si>
    <t>T0003769</t>
  </si>
  <si>
    <t>T0003770</t>
  </si>
  <si>
    <t>T0003771</t>
  </si>
  <si>
    <t>T0003772</t>
  </si>
  <si>
    <t>T0003773</t>
  </si>
  <si>
    <t>T0003774</t>
  </si>
  <si>
    <t>T0003775</t>
  </si>
  <si>
    <t>T0003776</t>
  </si>
  <si>
    <t>T0003777</t>
  </si>
  <si>
    <t>T0003778</t>
  </si>
  <si>
    <t>T0003779</t>
  </si>
  <si>
    <t>T0003780</t>
  </si>
  <si>
    <t>T0003781</t>
  </si>
  <si>
    <t>T0003782</t>
  </si>
  <si>
    <t>T0003783</t>
  </si>
  <si>
    <t>T0003784</t>
  </si>
  <si>
    <t>T0003785</t>
  </si>
  <si>
    <t>T0003786</t>
  </si>
  <si>
    <t>T0003787</t>
  </si>
  <si>
    <t>T0003788</t>
  </si>
  <si>
    <t>T0003789</t>
  </si>
  <si>
    <t>T0003790</t>
  </si>
  <si>
    <t>T0003791</t>
  </si>
  <si>
    <t>T0003792</t>
  </si>
  <si>
    <t>T0003793</t>
  </si>
  <si>
    <t>T0003794</t>
  </si>
  <si>
    <t>T0003795</t>
  </si>
  <si>
    <t>T0003796</t>
  </si>
  <si>
    <t>T0003797</t>
  </si>
  <si>
    <t>T0003798</t>
  </si>
  <si>
    <t>T0003799</t>
  </si>
  <si>
    <t>T0003800</t>
  </si>
  <si>
    <t>T0003801</t>
  </si>
  <si>
    <t>T0003802</t>
  </si>
  <si>
    <t>T0003803</t>
  </si>
  <si>
    <t>T0003804</t>
  </si>
  <si>
    <t>T0003805</t>
  </si>
  <si>
    <t>T0003806</t>
  </si>
  <si>
    <t>T0003807</t>
  </si>
  <si>
    <t>T0003808</t>
  </si>
  <si>
    <t>T0003809</t>
  </si>
  <si>
    <t>T0003810</t>
  </si>
  <si>
    <t>T0003811</t>
  </si>
  <si>
    <t>T0003812</t>
  </si>
  <si>
    <t>T0003813</t>
  </si>
  <si>
    <t>T0003814</t>
  </si>
  <si>
    <t>T0003815</t>
  </si>
  <si>
    <t>T0003816</t>
  </si>
  <si>
    <t>T0003817</t>
  </si>
  <si>
    <t>T0003818</t>
  </si>
  <si>
    <t>T0003819</t>
  </si>
  <si>
    <t>T0003820</t>
  </si>
  <si>
    <t>T0003821</t>
  </si>
  <si>
    <t>T0003822</t>
  </si>
  <si>
    <t>T0003823</t>
  </si>
  <si>
    <t>T0003824</t>
  </si>
  <si>
    <t>T0003825</t>
  </si>
  <si>
    <t>T0003826</t>
  </si>
  <si>
    <t>T0003827</t>
  </si>
  <si>
    <t>T0003828</t>
  </si>
  <si>
    <t>T0003829</t>
  </si>
  <si>
    <t>T0003830</t>
  </si>
  <si>
    <t>T0003831</t>
  </si>
  <si>
    <t>T0003832</t>
  </si>
  <si>
    <t>T0003833</t>
  </si>
  <si>
    <t>T0003834</t>
  </si>
  <si>
    <t>T0003835</t>
  </si>
  <si>
    <t>T0003836</t>
  </si>
  <si>
    <t>T0003837</t>
  </si>
  <si>
    <t>T0003838</t>
  </si>
  <si>
    <t>T0003839</t>
  </si>
  <si>
    <t>T0003840</t>
  </si>
  <si>
    <t>T0003841</t>
  </si>
  <si>
    <t>T0003842</t>
  </si>
  <si>
    <t>T0003843</t>
  </si>
  <si>
    <t>T0003844</t>
  </si>
  <si>
    <t>T0003845</t>
  </si>
  <si>
    <t>T0003846</t>
  </si>
  <si>
    <t>T0003847</t>
  </si>
  <si>
    <t>T0003848</t>
  </si>
  <si>
    <t>T0003849</t>
  </si>
  <si>
    <t>T0003850</t>
  </si>
  <si>
    <t>T0003851</t>
  </si>
  <si>
    <t>T0003852</t>
  </si>
  <si>
    <t>T0003853</t>
  </si>
  <si>
    <t>T0003854</t>
  </si>
  <si>
    <t>T0003855</t>
  </si>
  <si>
    <t>T0003856</t>
  </si>
  <si>
    <t>T0003857</t>
  </si>
  <si>
    <t>T0003858</t>
  </si>
  <si>
    <t>T0003859</t>
  </si>
  <si>
    <t>T0003860</t>
  </si>
  <si>
    <t>T0003861</t>
  </si>
  <si>
    <t>T0003862</t>
  </si>
  <si>
    <t>T0003863</t>
  </si>
  <si>
    <t>T0003864</t>
  </si>
  <si>
    <t>T0003865</t>
  </si>
  <si>
    <t>T0003866</t>
  </si>
  <si>
    <t>T0003867</t>
  </si>
  <si>
    <t>T0003868</t>
  </si>
  <si>
    <t>T0003869</t>
  </si>
  <si>
    <t>T0003870</t>
  </si>
  <si>
    <t>T0003871</t>
  </si>
  <si>
    <t>T0003872</t>
  </si>
  <si>
    <t>T0003873</t>
  </si>
  <si>
    <t>T0003874</t>
  </si>
  <si>
    <t>T0003875</t>
  </si>
  <si>
    <t>T0003876</t>
  </si>
  <si>
    <t>T0003877</t>
  </si>
  <si>
    <t>T0003878</t>
  </si>
  <si>
    <t>T0003879</t>
  </si>
  <si>
    <t>T0003880</t>
  </si>
  <si>
    <t>T0003881</t>
  </si>
  <si>
    <t>T0003882</t>
  </si>
  <si>
    <t>T0003883</t>
  </si>
  <si>
    <t>T0003884</t>
  </si>
  <si>
    <t>T0003885</t>
  </si>
  <si>
    <t>T0003886</t>
  </si>
  <si>
    <t>T0003887</t>
  </si>
  <si>
    <t>T0003888</t>
  </si>
  <si>
    <t>T0003889</t>
  </si>
  <si>
    <t>T0003890</t>
  </si>
  <si>
    <t>T0003891</t>
  </si>
  <si>
    <t>T0003892</t>
  </si>
  <si>
    <t>T0003893</t>
  </si>
  <si>
    <t>T0003894</t>
  </si>
  <si>
    <t>T0003895</t>
  </si>
  <si>
    <t>T0003896</t>
  </si>
  <si>
    <t>T0003897</t>
  </si>
  <si>
    <t>T0003898</t>
  </si>
  <si>
    <t>T0003899</t>
  </si>
  <si>
    <t>T0003900</t>
  </si>
  <si>
    <t>T0003901</t>
  </si>
  <si>
    <t>T0003902</t>
  </si>
  <si>
    <t>T0003903</t>
  </si>
  <si>
    <t>T0003904</t>
  </si>
  <si>
    <t>T0003905</t>
  </si>
  <si>
    <t>T0003906</t>
  </si>
  <si>
    <t>T0003907</t>
  </si>
  <si>
    <t>T0003908</t>
  </si>
  <si>
    <t>T0003909</t>
  </si>
  <si>
    <t>T0003910</t>
  </si>
  <si>
    <t>T0003911</t>
  </si>
  <si>
    <t>T0003912</t>
  </si>
  <si>
    <t>T0003913</t>
  </si>
  <si>
    <t>T0003914</t>
  </si>
  <si>
    <t>T0003915</t>
  </si>
  <si>
    <t>T0003916</t>
  </si>
  <si>
    <t>T0003917</t>
  </si>
  <si>
    <t>T0003918</t>
  </si>
  <si>
    <t>T0003919</t>
  </si>
  <si>
    <t>T0003920</t>
  </si>
  <si>
    <t>T0003921</t>
  </si>
  <si>
    <t>T0003922</t>
  </si>
  <si>
    <t>T0003923</t>
  </si>
  <si>
    <t>T0003924</t>
  </si>
  <si>
    <t>T0003925</t>
  </si>
  <si>
    <t>T0003926</t>
  </si>
  <si>
    <t>T0003927</t>
  </si>
  <si>
    <t>T0003928</t>
  </si>
  <si>
    <t>T0003929</t>
  </si>
  <si>
    <t>T0003930</t>
  </si>
  <si>
    <t>T0003931</t>
  </si>
  <si>
    <t>T0003932</t>
  </si>
  <si>
    <t>T0003933</t>
  </si>
  <si>
    <t>T0003934</t>
  </si>
  <si>
    <t>T0003935</t>
  </si>
  <si>
    <t>T0003936</t>
  </si>
  <si>
    <t>T0003937</t>
  </si>
  <si>
    <t>T0003938</t>
  </si>
  <si>
    <t>T0003939</t>
  </si>
  <si>
    <t>T0003940</t>
  </si>
  <si>
    <t>T0003941</t>
  </si>
  <si>
    <t>T0003942</t>
  </si>
  <si>
    <t>T0003943</t>
  </si>
  <si>
    <t>T0003944</t>
  </si>
  <si>
    <t>T0003945</t>
  </si>
  <si>
    <t>T0003946</t>
  </si>
  <si>
    <t>T0003947</t>
  </si>
  <si>
    <t>T0003948</t>
  </si>
  <si>
    <t>T0003949</t>
  </si>
  <si>
    <t>T0003950</t>
  </si>
  <si>
    <t>T0003951</t>
  </si>
  <si>
    <t>T0003952</t>
  </si>
  <si>
    <t>T0003953</t>
  </si>
  <si>
    <t>T0003954</t>
  </si>
  <si>
    <t>T0003955</t>
  </si>
  <si>
    <t>T0003956</t>
  </si>
  <si>
    <t>T0003957</t>
  </si>
  <si>
    <t>T0003958</t>
  </si>
  <si>
    <t>T0003959</t>
  </si>
  <si>
    <t>T0003960</t>
  </si>
  <si>
    <t>T0003961</t>
  </si>
  <si>
    <t>T0003962</t>
  </si>
  <si>
    <t>T0003963</t>
  </si>
  <si>
    <t>T0003964</t>
  </si>
  <si>
    <t>T0003965</t>
  </si>
  <si>
    <t>T0003966</t>
  </si>
  <si>
    <t>T0003967</t>
  </si>
  <si>
    <t>T0003968</t>
  </si>
  <si>
    <t>T0003969</t>
  </si>
  <si>
    <t>T0003970</t>
  </si>
  <si>
    <t>T0003971</t>
  </si>
  <si>
    <t>T0003972</t>
  </si>
  <si>
    <t>T0003973</t>
  </si>
  <si>
    <t>T0003974</t>
  </si>
  <si>
    <t>T0003975</t>
  </si>
  <si>
    <t>T0003976</t>
  </si>
  <si>
    <t>T0003977</t>
  </si>
  <si>
    <t>T0003978</t>
  </si>
  <si>
    <t>T0003979</t>
  </si>
  <si>
    <t>T0003980</t>
  </si>
  <si>
    <t>T0003981</t>
  </si>
  <si>
    <t>T0003982</t>
  </si>
  <si>
    <t>T0003983</t>
  </si>
  <si>
    <t>T0003984</t>
  </si>
  <si>
    <t>T0003985</t>
  </si>
  <si>
    <t>T0003986</t>
  </si>
  <si>
    <t>T0003987</t>
  </si>
  <si>
    <t>T0003988</t>
  </si>
  <si>
    <t>T0003989</t>
  </si>
  <si>
    <t>T0003990</t>
  </si>
  <si>
    <t>T0003991</t>
  </si>
  <si>
    <t>T0003992</t>
  </si>
  <si>
    <t>T0003993</t>
  </si>
  <si>
    <t>T0003994</t>
  </si>
  <si>
    <t>T0003995</t>
  </si>
  <si>
    <t>T0003996</t>
  </si>
  <si>
    <t>T0003997</t>
  </si>
  <si>
    <t>T0003998</t>
  </si>
  <si>
    <t>T0003999</t>
  </si>
  <si>
    <t>T0004000</t>
  </si>
  <si>
    <t>T0004001</t>
  </si>
  <si>
    <t>T0004002</t>
  </si>
  <si>
    <t>T0004003</t>
  </si>
  <si>
    <t>T0004004</t>
  </si>
  <si>
    <t>T0004005</t>
  </si>
  <si>
    <t>T0004006</t>
  </si>
  <si>
    <t>T0004007</t>
  </si>
  <si>
    <t>T0004008</t>
  </si>
  <si>
    <t>T0004009</t>
  </si>
  <si>
    <t>T0004010</t>
  </si>
  <si>
    <t>T0004011</t>
  </si>
  <si>
    <t>T0004012</t>
  </si>
  <si>
    <t>T0004013</t>
  </si>
  <si>
    <t>T0004014</t>
  </si>
  <si>
    <t>T0004015</t>
  </si>
  <si>
    <t>T0004016</t>
  </si>
  <si>
    <t>T0004017</t>
  </si>
  <si>
    <t>T0004018</t>
  </si>
  <si>
    <t>T0004019</t>
  </si>
  <si>
    <t>T0004020</t>
  </si>
  <si>
    <t>T0004021</t>
  </si>
  <si>
    <t>T0004022</t>
  </si>
  <si>
    <t>T0004023</t>
  </si>
  <si>
    <t>T0004024</t>
  </si>
  <si>
    <t>T0004025</t>
  </si>
  <si>
    <t>T0004026</t>
  </si>
  <si>
    <t>T0004027</t>
  </si>
  <si>
    <t>T0004028</t>
  </si>
  <si>
    <t>T0004029</t>
  </si>
  <si>
    <t>T0004030</t>
  </si>
  <si>
    <t>T0004031</t>
  </si>
  <si>
    <t>T0004032</t>
  </si>
  <si>
    <t>T0004033</t>
  </si>
  <si>
    <t>T0004034</t>
  </si>
  <si>
    <t>T0004035</t>
  </si>
  <si>
    <t>T0004036</t>
  </si>
  <si>
    <t>T0004037</t>
  </si>
  <si>
    <t>T0004038</t>
  </si>
  <si>
    <t>T0004039</t>
  </si>
  <si>
    <t>T0004040</t>
  </si>
  <si>
    <t>T0004041</t>
  </si>
  <si>
    <t>T0004042</t>
  </si>
  <si>
    <t>T0004043</t>
  </si>
  <si>
    <t>T0004044</t>
  </si>
  <si>
    <t>T0004045</t>
  </si>
  <si>
    <t>T0004046</t>
  </si>
  <si>
    <t>T0004047</t>
  </si>
  <si>
    <t>T0004048</t>
  </si>
  <si>
    <t>T0004049</t>
  </si>
  <si>
    <t>T0004050</t>
  </si>
  <si>
    <t>T0004051</t>
  </si>
  <si>
    <t>T0004052</t>
  </si>
  <si>
    <t>T0004053</t>
  </si>
  <si>
    <t>T0004054</t>
  </si>
  <si>
    <t>T0004055</t>
  </si>
  <si>
    <t>T0004056</t>
  </si>
  <si>
    <t>T0004057</t>
  </si>
  <si>
    <t>T0004058</t>
  </si>
  <si>
    <t>T0004059</t>
  </si>
  <si>
    <t>T0004060</t>
  </si>
  <si>
    <t>T0004061</t>
  </si>
  <si>
    <t>T0004062</t>
  </si>
  <si>
    <t>T0004063</t>
  </si>
  <si>
    <t>T0004064</t>
  </si>
  <si>
    <t>T0004065</t>
  </si>
  <si>
    <t>T0004066</t>
  </si>
  <si>
    <t>T0004067</t>
  </si>
  <si>
    <t>T0004068</t>
  </si>
  <si>
    <t>T0004069</t>
  </si>
  <si>
    <t>T0004070</t>
  </si>
  <si>
    <t>T0004071</t>
  </si>
  <si>
    <t>T0004072</t>
  </si>
  <si>
    <t>T0004073</t>
  </si>
  <si>
    <t>T0004074</t>
  </si>
  <si>
    <t>T0004075</t>
  </si>
  <si>
    <t>T0004076</t>
  </si>
  <si>
    <t>T0004077</t>
  </si>
  <si>
    <t>T0004078</t>
  </si>
  <si>
    <t>T0004079</t>
  </si>
  <si>
    <t>T0004080</t>
  </si>
  <si>
    <t>T0004081</t>
  </si>
  <si>
    <t>T0004082</t>
  </si>
  <si>
    <t>T0004083</t>
  </si>
  <si>
    <t>T0004084</t>
  </si>
  <si>
    <t>T0004085</t>
  </si>
  <si>
    <t>T0004086</t>
  </si>
  <si>
    <t>T0004087</t>
  </si>
  <si>
    <t>T0004088</t>
  </si>
  <si>
    <t>T0004089</t>
  </si>
  <si>
    <t>T0004090</t>
  </si>
  <si>
    <t>T0004091</t>
  </si>
  <si>
    <t>T0004092</t>
  </si>
  <si>
    <t>T0004093</t>
  </si>
  <si>
    <t>T0004094</t>
  </si>
  <si>
    <t>T0004095</t>
  </si>
  <si>
    <t>T0004096</t>
  </si>
  <si>
    <t>T0004097</t>
  </si>
  <si>
    <t>T0004098</t>
  </si>
  <si>
    <t>T0004099</t>
  </si>
  <si>
    <t>T0004100</t>
  </si>
  <si>
    <t>T0004101</t>
  </si>
  <si>
    <t>T0004102</t>
  </si>
  <si>
    <t>T0004103</t>
  </si>
  <si>
    <t>T0004104</t>
  </si>
  <si>
    <t>T0004105</t>
  </si>
  <si>
    <t>T0004106</t>
  </si>
  <si>
    <t>T0004107</t>
  </si>
  <si>
    <t>T0004108</t>
  </si>
  <si>
    <t>T0004109</t>
  </si>
  <si>
    <t>T0004110</t>
  </si>
  <si>
    <t>T0004111</t>
  </si>
  <si>
    <t>T0004112</t>
  </si>
  <si>
    <t>T0004113</t>
  </si>
  <si>
    <t>T0004114</t>
  </si>
  <si>
    <t>T0004115</t>
  </si>
  <si>
    <t>T0004116</t>
  </si>
  <si>
    <t>T0004117</t>
  </si>
  <si>
    <t>T0004118</t>
  </si>
  <si>
    <t>T0004119</t>
  </si>
  <si>
    <t>T0004120</t>
  </si>
  <si>
    <t>T0004121</t>
  </si>
  <si>
    <t>T0004122</t>
  </si>
  <si>
    <t>T0004123</t>
  </si>
  <si>
    <t>T0004124</t>
  </si>
  <si>
    <t>T0004125</t>
  </si>
  <si>
    <t>T0004126</t>
  </si>
  <si>
    <t>T0004127</t>
  </si>
  <si>
    <t>T0004128</t>
  </si>
  <si>
    <t>T0004129</t>
  </si>
  <si>
    <t>T0004130</t>
  </si>
  <si>
    <t>T0004131</t>
  </si>
  <si>
    <t>T0004132</t>
  </si>
  <si>
    <t>T0004133</t>
  </si>
  <si>
    <t>T0004134</t>
  </si>
  <si>
    <t>T0004135</t>
  </si>
  <si>
    <t>T0004136</t>
  </si>
  <si>
    <t>T0004137</t>
  </si>
  <si>
    <t>T0004138</t>
  </si>
  <si>
    <t>T0004139</t>
  </si>
  <si>
    <t>T0004140</t>
  </si>
  <si>
    <t>T0004141</t>
  </si>
  <si>
    <t>T0004142</t>
  </si>
  <si>
    <t>T0004143</t>
  </si>
  <si>
    <t>T0004144</t>
  </si>
  <si>
    <t>T0004145</t>
  </si>
  <si>
    <t>T0004146</t>
  </si>
  <si>
    <t>T0004147</t>
  </si>
  <si>
    <t>T0004148</t>
  </si>
  <si>
    <t>T0004149</t>
  </si>
  <si>
    <t>T0004150</t>
  </si>
  <si>
    <t>T0004151</t>
  </si>
  <si>
    <t>T0004152</t>
  </si>
  <si>
    <t>T0004153</t>
  </si>
  <si>
    <t>T0004154</t>
  </si>
  <si>
    <t>T0004155</t>
  </si>
  <si>
    <t>T0004156</t>
  </si>
  <si>
    <t>T0004157</t>
  </si>
  <si>
    <t>T0004158</t>
  </si>
  <si>
    <t>T0004159</t>
  </si>
  <si>
    <t>T0004160</t>
  </si>
  <si>
    <t>T0004161</t>
  </si>
  <si>
    <t>T0004162</t>
  </si>
  <si>
    <t>T0004163</t>
  </si>
  <si>
    <t>T0004164</t>
  </si>
  <si>
    <t>T0004165</t>
  </si>
  <si>
    <t>T0004166</t>
  </si>
  <si>
    <t>T0004167</t>
  </si>
  <si>
    <t>T0004168</t>
  </si>
  <si>
    <t>T0004169</t>
  </si>
  <si>
    <t>T0004170</t>
  </si>
  <si>
    <t>T0004171</t>
  </si>
  <si>
    <t>T0004172</t>
  </si>
  <si>
    <t>T0004173</t>
  </si>
  <si>
    <t>T0004174</t>
  </si>
  <si>
    <t>T0004175</t>
  </si>
  <si>
    <t>T0004176</t>
  </si>
  <si>
    <t>T0004177</t>
  </si>
  <si>
    <t>T0004178</t>
  </si>
  <si>
    <t>T0004179</t>
  </si>
  <si>
    <t>T0004180</t>
  </si>
  <si>
    <t>T0004181</t>
  </si>
  <si>
    <t>T0004182</t>
  </si>
  <si>
    <t>T0004183</t>
  </si>
  <si>
    <t>T0004184</t>
  </si>
  <si>
    <t>T0004185</t>
  </si>
  <si>
    <t>T0004186</t>
  </si>
  <si>
    <t>T0004187</t>
  </si>
  <si>
    <t>T0004188</t>
  </si>
  <si>
    <t>T0004189</t>
  </si>
  <si>
    <t>T0004190</t>
  </si>
  <si>
    <t>T0004191</t>
  </si>
  <si>
    <t>T0004192</t>
  </si>
  <si>
    <t>T0004193</t>
  </si>
  <si>
    <t>T0004194</t>
  </si>
  <si>
    <t>T0004195</t>
  </si>
  <si>
    <t>T0004196</t>
  </si>
  <si>
    <t>T0004197</t>
  </si>
  <si>
    <t>T0004198</t>
  </si>
  <si>
    <t>T0004199</t>
  </si>
  <si>
    <t>T0004200</t>
  </si>
  <si>
    <t>T0004201</t>
  </si>
  <si>
    <t>T0004202</t>
  </si>
  <si>
    <t>T0004203</t>
  </si>
  <si>
    <t>T0004204</t>
  </si>
  <si>
    <t>T0004205</t>
  </si>
  <si>
    <t>T0004206</t>
  </si>
  <si>
    <t>T0004207</t>
  </si>
  <si>
    <t>T0004208</t>
  </si>
  <si>
    <t>T0004209</t>
  </si>
  <si>
    <t>T0004210</t>
  </si>
  <si>
    <t>T0004211</t>
  </si>
  <si>
    <t>T0004212</t>
  </si>
  <si>
    <t>T0004213</t>
  </si>
  <si>
    <t>T0004214</t>
  </si>
  <si>
    <t>T0004215</t>
  </si>
  <si>
    <t>T0004216</t>
  </si>
  <si>
    <t>T0004217</t>
  </si>
  <si>
    <t>T0004218</t>
  </si>
  <si>
    <t>T0004219</t>
  </si>
  <si>
    <t>T0004220</t>
  </si>
  <si>
    <t>T0004221</t>
  </si>
  <si>
    <t>T0004222</t>
  </si>
  <si>
    <t>T0004223</t>
  </si>
  <si>
    <t>T0004224</t>
  </si>
  <si>
    <t>T0004225</t>
  </si>
  <si>
    <t>T0004226</t>
  </si>
  <si>
    <t>T0004227</t>
  </si>
  <si>
    <t>T0004228</t>
  </si>
  <si>
    <t>T0004229</t>
  </si>
  <si>
    <t>T0004230</t>
  </si>
  <si>
    <t>T0004231</t>
  </si>
  <si>
    <t>T0004232</t>
  </si>
  <si>
    <t>T0004233</t>
  </si>
  <si>
    <t>T0004234</t>
  </si>
  <si>
    <t>T0004235</t>
  </si>
  <si>
    <t>T0004236</t>
  </si>
  <si>
    <t>T0004237</t>
  </si>
  <si>
    <t>T0004238</t>
  </si>
  <si>
    <t>T0004239</t>
  </si>
  <si>
    <t>T0004240</t>
  </si>
  <si>
    <t>T0004241</t>
  </si>
  <si>
    <t>T0004242</t>
  </si>
  <si>
    <t>T0004243</t>
  </si>
  <si>
    <t>T0004244</t>
  </si>
  <si>
    <t>T0004245</t>
  </si>
  <si>
    <t>T0004246</t>
  </si>
  <si>
    <t>T0004247</t>
  </si>
  <si>
    <t>T0004248</t>
  </si>
  <si>
    <t>T0004249</t>
  </si>
  <si>
    <t>T0004250</t>
  </si>
  <si>
    <t>T0004251</t>
  </si>
  <si>
    <t>T0004252</t>
  </si>
  <si>
    <t>T0004253</t>
  </si>
  <si>
    <t>T0004254</t>
  </si>
  <si>
    <t>T0004255</t>
  </si>
  <si>
    <t>T0004256</t>
  </si>
  <si>
    <t>T0004257</t>
  </si>
  <si>
    <t>T0004258</t>
  </si>
  <si>
    <t>T0004259</t>
  </si>
  <si>
    <t>T0004260</t>
  </si>
  <si>
    <t>T0004261</t>
  </si>
  <si>
    <t>T0004262</t>
  </si>
  <si>
    <t>T0004263</t>
  </si>
  <si>
    <t>T0004264</t>
  </si>
  <si>
    <t>T0004265</t>
  </si>
  <si>
    <t>T0004266</t>
  </si>
  <si>
    <t>T0004267</t>
  </si>
  <si>
    <t>T0004268</t>
  </si>
  <si>
    <t>T0004269</t>
  </si>
  <si>
    <t>T0004270</t>
  </si>
  <si>
    <t>T0004271</t>
  </si>
  <si>
    <t>T0004272</t>
  </si>
  <si>
    <t>T0004273</t>
  </si>
  <si>
    <t>T0004274</t>
  </si>
  <si>
    <t>T0004275</t>
  </si>
  <si>
    <t>T0004276</t>
  </si>
  <si>
    <t>T0004277</t>
  </si>
  <si>
    <t>T0004278</t>
  </si>
  <si>
    <t>T0004279</t>
  </si>
  <si>
    <t>T0004280</t>
  </si>
  <si>
    <t>T0004281</t>
  </si>
  <si>
    <t>T0004282</t>
  </si>
  <si>
    <t>T0004283</t>
  </si>
  <si>
    <t>T0004284</t>
  </si>
  <si>
    <t>T0004285</t>
  </si>
  <si>
    <t>T0004286</t>
  </si>
  <si>
    <t>T0004287</t>
  </si>
  <si>
    <t>T0004288</t>
  </si>
  <si>
    <t>T0004289</t>
  </si>
  <si>
    <t>T0004290</t>
  </si>
  <si>
    <t>T0004291</t>
  </si>
  <si>
    <t>T0004292</t>
  </si>
  <si>
    <t>T0004293</t>
  </si>
  <si>
    <t>T0004294</t>
  </si>
  <si>
    <t>T0004295</t>
  </si>
  <si>
    <t>T0004296</t>
  </si>
  <si>
    <t>T0004297</t>
  </si>
  <si>
    <t>T0004298</t>
  </si>
  <si>
    <t>T0004299</t>
  </si>
  <si>
    <t>T0004300</t>
  </si>
  <si>
    <t>T0004301</t>
  </si>
  <si>
    <t>T0004302</t>
  </si>
  <si>
    <t>T0004303</t>
  </si>
  <si>
    <t>T0004304</t>
  </si>
  <si>
    <t>T0004305</t>
  </si>
  <si>
    <t>T0004306</t>
  </si>
  <si>
    <t>T0004307</t>
  </si>
  <si>
    <t>T0004308</t>
  </si>
  <si>
    <t>T0004309</t>
  </si>
  <si>
    <t>T0004310</t>
  </si>
  <si>
    <t>T0004311</t>
  </si>
  <si>
    <t>T0004312</t>
  </si>
  <si>
    <t>T0004313</t>
  </si>
  <si>
    <t>T0004314</t>
  </si>
  <si>
    <t>T0004315</t>
  </si>
  <si>
    <t>T0004316</t>
  </si>
  <si>
    <t>T0004317</t>
  </si>
  <si>
    <t>T0004318</t>
  </si>
  <si>
    <t>T0004319</t>
  </si>
  <si>
    <t>T0004320</t>
  </si>
  <si>
    <t>T0004321</t>
  </si>
  <si>
    <t>T0004322</t>
  </si>
  <si>
    <t>T0004323</t>
  </si>
  <si>
    <t>T0004324</t>
  </si>
  <si>
    <t>T0004325</t>
  </si>
  <si>
    <t>T0004326</t>
  </si>
  <si>
    <t>T0004327</t>
  </si>
  <si>
    <t>T0004328</t>
  </si>
  <si>
    <t>T0004329</t>
  </si>
  <si>
    <t>T0004330</t>
  </si>
  <si>
    <t>T0004331</t>
  </si>
  <si>
    <t>T0004332</t>
  </si>
  <si>
    <t>T0004333</t>
  </si>
  <si>
    <t>T0004334</t>
  </si>
  <si>
    <t>T0004335</t>
  </si>
  <si>
    <t>T0004336</t>
  </si>
  <si>
    <t>T0004337</t>
  </si>
  <si>
    <t>T0004338</t>
  </si>
  <si>
    <t>T0004339</t>
  </si>
  <si>
    <t>T0004340</t>
  </si>
  <si>
    <t>T0004341</t>
  </si>
  <si>
    <t>T0004342</t>
  </si>
  <si>
    <t>T0004343</t>
  </si>
  <si>
    <t>T0004344</t>
  </si>
  <si>
    <t>T0004345</t>
  </si>
  <si>
    <t>T0004346</t>
  </si>
  <si>
    <t>T0004347</t>
  </si>
  <si>
    <t>T0004348</t>
  </si>
  <si>
    <t>T0004349</t>
  </si>
  <si>
    <t>T0004350</t>
  </si>
  <si>
    <t>T0004351</t>
  </si>
  <si>
    <t>T0004352</t>
  </si>
  <si>
    <t>T0004353</t>
  </si>
  <si>
    <t>T0004354</t>
  </si>
  <si>
    <t>T0004355</t>
  </si>
  <si>
    <t>T0004356</t>
  </si>
  <si>
    <t>T0004357</t>
  </si>
  <si>
    <t>T0004358</t>
  </si>
  <si>
    <t>T0004359</t>
  </si>
  <si>
    <t>T0004360</t>
  </si>
  <si>
    <t>T0004361</t>
  </si>
  <si>
    <t>T0004362</t>
  </si>
  <si>
    <t>T0004363</t>
  </si>
  <si>
    <t>T0004364</t>
  </si>
  <si>
    <t>T0004365</t>
  </si>
  <si>
    <t>T0004366</t>
  </si>
  <si>
    <t>T0004367</t>
  </si>
  <si>
    <t>T0004368</t>
  </si>
  <si>
    <t>T0004369</t>
  </si>
  <si>
    <t>T0004370</t>
  </si>
  <si>
    <t>T0004371</t>
  </si>
  <si>
    <t>T0004372</t>
  </si>
  <si>
    <t>T0004373</t>
  </si>
  <si>
    <t>T0004374</t>
  </si>
  <si>
    <t>T0004375</t>
  </si>
  <si>
    <t>T0004376</t>
  </si>
  <si>
    <t>T0004377</t>
  </si>
  <si>
    <t>T0004378</t>
  </si>
  <si>
    <t>T0004379</t>
  </si>
  <si>
    <t>T0004380</t>
  </si>
  <si>
    <t>T0004381</t>
  </si>
  <si>
    <t>T0004382</t>
  </si>
  <si>
    <t>T0004383</t>
  </si>
  <si>
    <t>T0004384</t>
  </si>
  <si>
    <t>T0004385</t>
  </si>
  <si>
    <t>T0004386</t>
  </si>
  <si>
    <t>T0004387</t>
  </si>
  <si>
    <t>T0004388</t>
  </si>
  <si>
    <t>T0004389</t>
  </si>
  <si>
    <t>T0004390</t>
  </si>
  <si>
    <t>T0004391</t>
  </si>
  <si>
    <t>T0004392</t>
  </si>
  <si>
    <t>T0004393</t>
  </si>
  <si>
    <t>T0004394</t>
  </si>
  <si>
    <t>T0004395</t>
  </si>
  <si>
    <t>T0004396</t>
  </si>
  <si>
    <t>T0004397</t>
  </si>
  <si>
    <t>T0004398</t>
  </si>
  <si>
    <t>T0004399</t>
  </si>
  <si>
    <t>T0004400</t>
  </si>
  <si>
    <t>T0004401</t>
  </si>
  <si>
    <t>T0004402</t>
  </si>
  <si>
    <t>T0004403</t>
  </si>
  <si>
    <t>T0004404</t>
  </si>
  <si>
    <t>T0004405</t>
  </si>
  <si>
    <t>T0004406</t>
  </si>
  <si>
    <t>T0004407</t>
  </si>
  <si>
    <t>T0004408</t>
  </si>
  <si>
    <t>T0004409</t>
  </si>
  <si>
    <t>T0004410</t>
  </si>
  <si>
    <t>T0004411</t>
  </si>
  <si>
    <t>T0004412</t>
  </si>
  <si>
    <t>T0004413</t>
  </si>
  <si>
    <t>T0004414</t>
  </si>
  <si>
    <t>T0004415</t>
  </si>
  <si>
    <t>T0004416</t>
  </si>
  <si>
    <t>T0004417</t>
  </si>
  <si>
    <t>T0004418</t>
  </si>
  <si>
    <t>T0004419</t>
  </si>
  <si>
    <t>T0004420</t>
  </si>
  <si>
    <t>T0004421</t>
  </si>
  <si>
    <t>T0004422</t>
  </si>
  <si>
    <t>T0004423</t>
  </si>
  <si>
    <t>T0004424</t>
  </si>
  <si>
    <t>T0004425</t>
  </si>
  <si>
    <t>T0004426</t>
  </si>
  <si>
    <t>T0004427</t>
  </si>
  <si>
    <t>T0004428</t>
  </si>
  <si>
    <t>T0004429</t>
  </si>
  <si>
    <t>T0004430</t>
  </si>
  <si>
    <t>T0004431</t>
  </si>
  <si>
    <t>T0004432</t>
  </si>
  <si>
    <t>T0004433</t>
  </si>
  <si>
    <t>T0004434</t>
  </si>
  <si>
    <t>T0004435</t>
  </si>
  <si>
    <t>T0004436</t>
  </si>
  <si>
    <t>T0004437</t>
  </si>
  <si>
    <t>T0004438</t>
  </si>
  <si>
    <t>T0004439</t>
  </si>
  <si>
    <t>T0004440</t>
  </si>
  <si>
    <t>T0004441</t>
  </si>
  <si>
    <t>T0004442</t>
  </si>
  <si>
    <t>T0004443</t>
  </si>
  <si>
    <t>T0004444</t>
  </si>
  <si>
    <t>T0004445</t>
  </si>
  <si>
    <t>T0004446</t>
  </si>
  <si>
    <t>T0004447</t>
  </si>
  <si>
    <t>T0004448</t>
  </si>
  <si>
    <t>T0004449</t>
  </si>
  <si>
    <t>T0004450</t>
  </si>
  <si>
    <t>T0004451</t>
  </si>
  <si>
    <t>T0004452</t>
  </si>
  <si>
    <t>T0004453</t>
  </si>
  <si>
    <t>T0004454</t>
  </si>
  <si>
    <t>T0004455</t>
  </si>
  <si>
    <t>T0004456</t>
  </si>
  <si>
    <t>T0004457</t>
  </si>
  <si>
    <t>T0004458</t>
  </si>
  <si>
    <t>T0004459</t>
  </si>
  <si>
    <t>T0004460</t>
  </si>
  <si>
    <t>T0004461</t>
  </si>
  <si>
    <t>T0004462</t>
  </si>
  <si>
    <t>T0004463</t>
  </si>
  <si>
    <t>T0004464</t>
  </si>
  <si>
    <t>T0004465</t>
  </si>
  <si>
    <t>T0004466</t>
  </si>
  <si>
    <t>T0004467</t>
  </si>
  <si>
    <t>T0004468</t>
  </si>
  <si>
    <t>T0004469</t>
  </si>
  <si>
    <t>T0004470</t>
  </si>
  <si>
    <t>T0004471</t>
  </si>
  <si>
    <t>T0004472</t>
  </si>
  <si>
    <t>T0004473</t>
  </si>
  <si>
    <t>T0004474</t>
  </si>
  <si>
    <t>T0004475</t>
  </si>
  <si>
    <t>T0004476</t>
  </si>
  <si>
    <t>T0004477</t>
  </si>
  <si>
    <t>T0004478</t>
  </si>
  <si>
    <t>T0004479</t>
  </si>
  <si>
    <t>T0004480</t>
  </si>
  <si>
    <t>T0004481</t>
  </si>
  <si>
    <t>T0004482</t>
  </si>
  <si>
    <t>T0004483</t>
  </si>
  <si>
    <t>T0004484</t>
  </si>
  <si>
    <t>T0004485</t>
  </si>
  <si>
    <t>T0004486</t>
  </si>
  <si>
    <t>T0004487</t>
  </si>
  <si>
    <t>T0004488</t>
  </si>
  <si>
    <t>T0004489</t>
  </si>
  <si>
    <t>T0004490</t>
  </si>
  <si>
    <t>T0004491</t>
  </si>
  <si>
    <t>T0004492</t>
  </si>
  <si>
    <t>T0004493</t>
  </si>
  <si>
    <t>T0004494</t>
  </si>
  <si>
    <t>T0004495</t>
  </si>
  <si>
    <t>T0004496</t>
  </si>
  <si>
    <t>T0004497</t>
  </si>
  <si>
    <t>T0004498</t>
  </si>
  <si>
    <t>T0004499</t>
  </si>
  <si>
    <t>T0004500</t>
  </si>
  <si>
    <t>T0004501</t>
  </si>
  <si>
    <t>T0004502</t>
  </si>
  <si>
    <t>T0004503</t>
  </si>
  <si>
    <t>T0004504</t>
  </si>
  <si>
    <t>T0004505</t>
  </si>
  <si>
    <t>T0004506</t>
  </si>
  <si>
    <t>T0004507</t>
  </si>
  <si>
    <t>T0004508</t>
  </si>
  <si>
    <t>T0004509</t>
  </si>
  <si>
    <t>T0004510</t>
  </si>
  <si>
    <t>T0004511</t>
  </si>
  <si>
    <t>T0004512</t>
  </si>
  <si>
    <t>T0004513</t>
  </si>
  <si>
    <t>T0004514</t>
  </si>
  <si>
    <t>T0004515</t>
  </si>
  <si>
    <t>T0004516</t>
  </si>
  <si>
    <t>T0004517</t>
  </si>
  <si>
    <t>T0004518</t>
  </si>
  <si>
    <t>T0004519</t>
  </si>
  <si>
    <t>T0004520</t>
  </si>
  <si>
    <t>T0004521</t>
  </si>
  <si>
    <t>T0004522</t>
  </si>
  <si>
    <t>T0004523</t>
  </si>
  <si>
    <t>T0004524</t>
  </si>
  <si>
    <t>T0004525</t>
  </si>
  <si>
    <t>T0004526</t>
  </si>
  <si>
    <t>T0004527</t>
  </si>
  <si>
    <t>T0004528</t>
  </si>
  <si>
    <t>T0004529</t>
  </si>
  <si>
    <t>T0004530</t>
  </si>
  <si>
    <t>T0004531</t>
  </si>
  <si>
    <t>T0004532</t>
  </si>
  <si>
    <t>T0004533</t>
  </si>
  <si>
    <t>T0004534</t>
  </si>
  <si>
    <t>T0004535</t>
  </si>
  <si>
    <t>T0004536</t>
  </si>
  <si>
    <t>T0004537</t>
  </si>
  <si>
    <t>T0004538</t>
  </si>
  <si>
    <t>T0004539</t>
  </si>
  <si>
    <t>T0004540</t>
  </si>
  <si>
    <t>T0004541</t>
  </si>
  <si>
    <t>T0004542</t>
  </si>
  <si>
    <t>T0004543</t>
  </si>
  <si>
    <t>T0004544</t>
  </si>
  <si>
    <t>T0004545</t>
  </si>
  <si>
    <t>T0004546</t>
  </si>
  <si>
    <t>T0004547</t>
  </si>
  <si>
    <t>T0004548</t>
  </si>
  <si>
    <t>T0004549</t>
  </si>
  <si>
    <t>T0004550</t>
  </si>
  <si>
    <t>T0004551</t>
  </si>
  <si>
    <t>T0004552</t>
  </si>
  <si>
    <t>T0004553</t>
  </si>
  <si>
    <t>T0004554</t>
  </si>
  <si>
    <t>T0004555</t>
  </si>
  <si>
    <t>T0004556</t>
  </si>
  <si>
    <t>T0004557</t>
  </si>
  <si>
    <t>T0004558</t>
  </si>
  <si>
    <t>T0004559</t>
  </si>
  <si>
    <t>T0004560</t>
  </si>
  <si>
    <t>T0004561</t>
  </si>
  <si>
    <t>T0004562</t>
  </si>
  <si>
    <t>T0004563</t>
  </si>
  <si>
    <t>T0004564</t>
  </si>
  <si>
    <t>T0004565</t>
  </si>
  <si>
    <t>T0004566</t>
  </si>
  <si>
    <t>T0004567</t>
  </si>
  <si>
    <t>T0004568</t>
  </si>
  <si>
    <t>T0004569</t>
  </si>
  <si>
    <t>T0004570</t>
  </si>
  <si>
    <t>T0004571</t>
  </si>
  <si>
    <t>T0004572</t>
  </si>
  <si>
    <t>T0004573</t>
  </si>
  <si>
    <t>T0004574</t>
  </si>
  <si>
    <t>T0004575</t>
  </si>
  <si>
    <t>T0004576</t>
  </si>
  <si>
    <t>T0004577</t>
  </si>
  <si>
    <t>T0004578</t>
  </si>
  <si>
    <t>T0004579</t>
  </si>
  <si>
    <t>T0004580</t>
  </si>
  <si>
    <t>T0004581</t>
  </si>
  <si>
    <t>T0004582</t>
  </si>
  <si>
    <t>T0004583</t>
  </si>
  <si>
    <t>T0004584</t>
  </si>
  <si>
    <t>T0004585</t>
  </si>
  <si>
    <t>T0004586</t>
  </si>
  <si>
    <t>T0004587</t>
  </si>
  <si>
    <t>T0004588</t>
  </si>
  <si>
    <t>T0004589</t>
  </si>
  <si>
    <t>T0004590</t>
  </si>
  <si>
    <t>T0004591</t>
  </si>
  <si>
    <t>T0004592</t>
  </si>
  <si>
    <t>T0004593</t>
  </si>
  <si>
    <t>T0004594</t>
  </si>
  <si>
    <t>T0004595</t>
  </si>
  <si>
    <t>T0004596</t>
  </si>
  <si>
    <t>T0004597</t>
  </si>
  <si>
    <t>T0004598</t>
  </si>
  <si>
    <t>T0004599</t>
  </si>
  <si>
    <t>T0004600</t>
  </si>
  <si>
    <t>T0004601</t>
  </si>
  <si>
    <t>T0004602</t>
  </si>
  <si>
    <t>T0004603</t>
  </si>
  <si>
    <t>T0004604</t>
  </si>
  <si>
    <t>T0004605</t>
  </si>
  <si>
    <t>T0004606</t>
  </si>
  <si>
    <t>T0004607</t>
  </si>
  <si>
    <t>T0004608</t>
  </si>
  <si>
    <t>T0004609</t>
  </si>
  <si>
    <t>T0004610</t>
  </si>
  <si>
    <t>T0004611</t>
  </si>
  <si>
    <t>T0004612</t>
  </si>
  <si>
    <t>T0004613</t>
  </si>
  <si>
    <t>T0004614</t>
  </si>
  <si>
    <t>T0004615</t>
  </si>
  <si>
    <t>T0004616</t>
  </si>
  <si>
    <t>T0004617</t>
  </si>
  <si>
    <t>T0004618</t>
  </si>
  <si>
    <t>T0004619</t>
  </si>
  <si>
    <t>T0004620</t>
  </si>
  <si>
    <t>T0004621</t>
  </si>
  <si>
    <t>T0004622</t>
  </si>
  <si>
    <t>T0004623</t>
  </si>
  <si>
    <t>T0004624</t>
  </si>
  <si>
    <t>T0004625</t>
  </si>
  <si>
    <t>T0004626</t>
  </si>
  <si>
    <t>T0004627</t>
  </si>
  <si>
    <t>T0004628</t>
  </si>
  <si>
    <t>T0004629</t>
  </si>
  <si>
    <t>T0004630</t>
  </si>
  <si>
    <t>T0004631</t>
  </si>
  <si>
    <t>T0004632</t>
  </si>
  <si>
    <t>T0004633</t>
  </si>
  <si>
    <t>T0004634</t>
  </si>
  <si>
    <t>T0004635</t>
  </si>
  <si>
    <t>T0004636</t>
  </si>
  <si>
    <t>T0004637</t>
  </si>
  <si>
    <t>T0004638</t>
  </si>
  <si>
    <t>T0004639</t>
  </si>
  <si>
    <t>T0004640</t>
  </si>
  <si>
    <t>T0004641</t>
  </si>
  <si>
    <t>T0004642</t>
  </si>
  <si>
    <t>T0004643</t>
  </si>
  <si>
    <t>T0004644</t>
  </si>
  <si>
    <t>T0004645</t>
  </si>
  <si>
    <t>T0004646</t>
  </si>
  <si>
    <t>T0004647</t>
  </si>
  <si>
    <t>T0004648</t>
  </si>
  <si>
    <t>T0004649</t>
  </si>
  <si>
    <t>T0004650</t>
  </si>
  <si>
    <t>T0004651</t>
  </si>
  <si>
    <t>T0004652</t>
  </si>
  <si>
    <t>T0004653</t>
  </si>
  <si>
    <t>T0004654</t>
  </si>
  <si>
    <t>T0004655</t>
  </si>
  <si>
    <t>T0004656</t>
  </si>
  <si>
    <t>T0004657</t>
  </si>
  <si>
    <t>T0004658</t>
  </si>
  <si>
    <t>T0004659</t>
  </si>
  <si>
    <t>T0004660</t>
  </si>
  <si>
    <t>T0004661</t>
  </si>
  <si>
    <t>T0004662</t>
  </si>
  <si>
    <t>T0004663</t>
  </si>
  <si>
    <t>T0004664</t>
  </si>
  <si>
    <t>T0004665</t>
  </si>
  <si>
    <t>T0004666</t>
  </si>
  <si>
    <t>T0004667</t>
  </si>
  <si>
    <t>T0004668</t>
  </si>
  <si>
    <t>T0004669</t>
  </si>
  <si>
    <t>T0004670</t>
  </si>
  <si>
    <t>T0004671</t>
  </si>
  <si>
    <t>T0004672</t>
  </si>
  <si>
    <t>T0004673</t>
  </si>
  <si>
    <t>T0004674</t>
  </si>
  <si>
    <t>T0004675</t>
  </si>
  <si>
    <t>T0004676</t>
  </si>
  <si>
    <t>T0004677</t>
  </si>
  <si>
    <t>T0004678</t>
  </si>
  <si>
    <t>T0004679</t>
  </si>
  <si>
    <t>T0004680</t>
  </si>
  <si>
    <t>T0004681</t>
  </si>
  <si>
    <t>T0004682</t>
  </si>
  <si>
    <t>T0004683</t>
  </si>
  <si>
    <t>T0004684</t>
  </si>
  <si>
    <t>T0004685</t>
  </si>
  <si>
    <t>T0004686</t>
  </si>
  <si>
    <t>T0004687</t>
  </si>
  <si>
    <t>T0004688</t>
  </si>
  <si>
    <t>T0004689</t>
  </si>
  <si>
    <t>T0004690</t>
  </si>
  <si>
    <t>T0004691</t>
  </si>
  <si>
    <t>T0004692</t>
  </si>
  <si>
    <t>T0004693</t>
  </si>
  <si>
    <t>T0004694</t>
  </si>
  <si>
    <t>T0004695</t>
  </si>
  <si>
    <t>T0004696</t>
  </si>
  <si>
    <t>T0004697</t>
  </si>
  <si>
    <t>T0004698</t>
  </si>
  <si>
    <t>T0004699</t>
  </si>
  <si>
    <t>T0004700</t>
  </si>
  <si>
    <t>T0004701</t>
  </si>
  <si>
    <t>T0004702</t>
  </si>
  <si>
    <t>T0004703</t>
  </si>
  <si>
    <t>T0004704</t>
  </si>
  <si>
    <t>T0004705</t>
  </si>
  <si>
    <t>T0004706</t>
  </si>
  <si>
    <t>T0004707</t>
  </si>
  <si>
    <t>T0004708</t>
  </si>
  <si>
    <t>T0004709</t>
  </si>
  <si>
    <t>T0004710</t>
  </si>
  <si>
    <t>T0004711</t>
  </si>
  <si>
    <t>T0004712</t>
  </si>
  <si>
    <t>T0004713</t>
  </si>
  <si>
    <t>T0004714</t>
  </si>
  <si>
    <t>T0004715</t>
  </si>
  <si>
    <t>T0004716</t>
  </si>
  <si>
    <t>T0004717</t>
  </si>
  <si>
    <t>T0004718</t>
  </si>
  <si>
    <t>T0004719</t>
  </si>
  <si>
    <t>T0004720</t>
  </si>
  <si>
    <t>T0004721</t>
  </si>
  <si>
    <t>T0004722</t>
  </si>
  <si>
    <t>T0004723</t>
  </si>
  <si>
    <t>T0004724</t>
  </si>
  <si>
    <t>T0004725</t>
  </si>
  <si>
    <t>T0004726</t>
  </si>
  <si>
    <t>T0004727</t>
  </si>
  <si>
    <t>T0004728</t>
  </si>
  <si>
    <t>T0004729</t>
  </si>
  <si>
    <t>T0004730</t>
  </si>
  <si>
    <t>T0004731</t>
  </si>
  <si>
    <t>T0004732</t>
  </si>
  <si>
    <t>T0004733</t>
  </si>
  <si>
    <t>T0004734</t>
  </si>
  <si>
    <t>T0004735</t>
  </si>
  <si>
    <t>T0004736</t>
  </si>
  <si>
    <t>T0004737</t>
  </si>
  <si>
    <t>T0004738</t>
  </si>
  <si>
    <t>T0004739</t>
  </si>
  <si>
    <t>T0004740</t>
  </si>
  <si>
    <t>T0004741</t>
  </si>
  <si>
    <t>T0004742</t>
  </si>
  <si>
    <t>T0004743</t>
  </si>
  <si>
    <t>T0004744</t>
  </si>
  <si>
    <t>T0004745</t>
  </si>
  <si>
    <t>T0004746</t>
  </si>
  <si>
    <t>T0004747</t>
  </si>
  <si>
    <t>T0004748</t>
  </si>
  <si>
    <t>T0004749</t>
  </si>
  <si>
    <t>T0004750</t>
  </si>
  <si>
    <t>T0004751</t>
  </si>
  <si>
    <t>T0004752</t>
  </si>
  <si>
    <t>T0004753</t>
  </si>
  <si>
    <t>T0004754</t>
  </si>
  <si>
    <t>T0004755</t>
  </si>
  <si>
    <t>T0004756</t>
  </si>
  <si>
    <t>T0004757</t>
  </si>
  <si>
    <t>T0004758</t>
  </si>
  <si>
    <t>T0004759</t>
  </si>
  <si>
    <t>T0004760</t>
  </si>
  <si>
    <t>T0004761</t>
  </si>
  <si>
    <t>T0004762</t>
  </si>
  <si>
    <t>T0004763</t>
  </si>
  <si>
    <t>T0004764</t>
  </si>
  <si>
    <t>T0004765</t>
  </si>
  <si>
    <t>T0004766</t>
  </si>
  <si>
    <t>T0004767</t>
  </si>
  <si>
    <t>T0004768</t>
  </si>
  <si>
    <t>T0004769</t>
  </si>
  <si>
    <t>T0004770</t>
  </si>
  <si>
    <t>T0004771</t>
  </si>
  <si>
    <t>T0004772</t>
  </si>
  <si>
    <t>T0004773</t>
  </si>
  <si>
    <t>T0004774</t>
  </si>
  <si>
    <t>T0004775</t>
  </si>
  <si>
    <t>T0004776</t>
  </si>
  <si>
    <t>T0004777</t>
  </si>
  <si>
    <t>T0004778</t>
  </si>
  <si>
    <t>T0004779</t>
  </si>
  <si>
    <t>T0004780</t>
  </si>
  <si>
    <t>T0004781</t>
  </si>
  <si>
    <t>T0004782</t>
  </si>
  <si>
    <t>T0004783</t>
  </si>
  <si>
    <t>T0004784</t>
  </si>
  <si>
    <t>T0004785</t>
  </si>
  <si>
    <t>T0004786</t>
  </si>
  <si>
    <t>T0004787</t>
  </si>
  <si>
    <t>T0004788</t>
  </si>
  <si>
    <t>T0004789</t>
  </si>
  <si>
    <t>T0004790</t>
  </si>
  <si>
    <t>T0004791</t>
  </si>
  <si>
    <t>T0004792</t>
  </si>
  <si>
    <t>T0004793</t>
  </si>
  <si>
    <t>T0004794</t>
  </si>
  <si>
    <t>T0004795</t>
  </si>
  <si>
    <t>T0004796</t>
  </si>
  <si>
    <t>T0004797</t>
  </si>
  <si>
    <t>T0004798</t>
  </si>
  <si>
    <t>T0004799</t>
  </si>
  <si>
    <t>T0004800</t>
  </si>
  <si>
    <t>T0004801</t>
  </si>
  <si>
    <t>T0004802</t>
  </si>
  <si>
    <t>T0004803</t>
  </si>
  <si>
    <t>T0004804</t>
  </si>
  <si>
    <t>T0004805</t>
  </si>
  <si>
    <t>T0004806</t>
  </si>
  <si>
    <t>T0004807</t>
  </si>
  <si>
    <t>T0004808</t>
  </si>
  <si>
    <t>T0004809</t>
  </si>
  <si>
    <t>T0004810</t>
  </si>
  <si>
    <t>T0004811</t>
  </si>
  <si>
    <t>T0004812</t>
  </si>
  <si>
    <t>T0004813</t>
  </si>
  <si>
    <t>T0004814</t>
  </si>
  <si>
    <t>T0004815</t>
  </si>
  <si>
    <t>T0004816</t>
  </si>
  <si>
    <t>T0004817</t>
  </si>
  <si>
    <t>T0004818</t>
  </si>
  <si>
    <t>T0004819</t>
  </si>
  <si>
    <t>T0004820</t>
  </si>
  <si>
    <t>T0004821</t>
  </si>
  <si>
    <t>T0004822</t>
  </si>
  <si>
    <t>T0004823</t>
  </si>
  <si>
    <t>T0004824</t>
  </si>
  <si>
    <t>T0004825</t>
  </si>
  <si>
    <t>T0004826</t>
  </si>
  <si>
    <t>T0004827</t>
  </si>
  <si>
    <t>T0004828</t>
  </si>
  <si>
    <t>T0004829</t>
  </si>
  <si>
    <t>T0004830</t>
  </si>
  <si>
    <t>T0004831</t>
  </si>
  <si>
    <t>T0004832</t>
  </si>
  <si>
    <t>T0004833</t>
  </si>
  <si>
    <t>T0004834</t>
  </si>
  <si>
    <t>T0004835</t>
  </si>
  <si>
    <t>T0004836</t>
  </si>
  <si>
    <t>T0004837</t>
  </si>
  <si>
    <t>T0004838</t>
  </si>
  <si>
    <t>T0004839</t>
  </si>
  <si>
    <t>T0004840</t>
  </si>
  <si>
    <t>T0004841</t>
  </si>
  <si>
    <t>T0004842</t>
  </si>
  <si>
    <t>T0004843</t>
  </si>
  <si>
    <t>T0004844</t>
  </si>
  <si>
    <t>T0004845</t>
  </si>
  <si>
    <t>T0004846</t>
  </si>
  <si>
    <t>T0004847</t>
  </si>
  <si>
    <t>T0004848</t>
  </si>
  <si>
    <t>T0004849</t>
  </si>
  <si>
    <t>T0004850</t>
  </si>
  <si>
    <t>T0004851</t>
  </si>
  <si>
    <t>T0004852</t>
  </si>
  <si>
    <t>T0004853</t>
  </si>
  <si>
    <t>T0004854</t>
  </si>
  <si>
    <t>T0004855</t>
  </si>
  <si>
    <t>T0004856</t>
  </si>
  <si>
    <t>T0004857</t>
  </si>
  <si>
    <t>T0004858</t>
  </si>
  <si>
    <t>T0004859</t>
  </si>
  <si>
    <t>T0004860</t>
  </si>
  <si>
    <t>T0004861</t>
  </si>
  <si>
    <t>T0004862</t>
  </si>
  <si>
    <t>T0004863</t>
  </si>
  <si>
    <t>T0004864</t>
  </si>
  <si>
    <t>T0004865</t>
  </si>
  <si>
    <t>T0004866</t>
  </si>
  <si>
    <t>T0004867</t>
  </si>
  <si>
    <t>T0004868</t>
  </si>
  <si>
    <t>T0004869</t>
  </si>
  <si>
    <t>T0004870</t>
  </si>
  <si>
    <t>T0004871</t>
  </si>
  <si>
    <t>T0004872</t>
  </si>
  <si>
    <t>T0004873</t>
  </si>
  <si>
    <t>T0004874</t>
  </si>
  <si>
    <t>T0004875</t>
  </si>
  <si>
    <t>T0004876</t>
  </si>
  <si>
    <t>T0004877</t>
  </si>
  <si>
    <t>T0004878</t>
  </si>
  <si>
    <t>T0004879</t>
  </si>
  <si>
    <t>T0004880</t>
  </si>
  <si>
    <t>T0004881</t>
  </si>
  <si>
    <t>T0004882</t>
  </si>
  <si>
    <t>T0004883</t>
  </si>
  <si>
    <t>T0004884</t>
  </si>
  <si>
    <t>T0004885</t>
  </si>
  <si>
    <t>T0004886</t>
  </si>
  <si>
    <t>T0004887</t>
  </si>
  <si>
    <t>T0004888</t>
  </si>
  <si>
    <t>T0004889</t>
  </si>
  <si>
    <t>T0004890</t>
  </si>
  <si>
    <t>T0004891</t>
  </si>
  <si>
    <t>T0004892</t>
  </si>
  <si>
    <t>T0004893</t>
  </si>
  <si>
    <t>T0004894</t>
  </si>
  <si>
    <t>T0004895</t>
  </si>
  <si>
    <t>T0004896</t>
  </si>
  <si>
    <t>T0004897</t>
  </si>
  <si>
    <t>T0004898</t>
  </si>
  <si>
    <t>T0004899</t>
  </si>
  <si>
    <t>T0004900</t>
  </si>
  <si>
    <t>T0004901</t>
  </si>
  <si>
    <t>T0004902</t>
  </si>
  <si>
    <t>T0004903</t>
  </si>
  <si>
    <t>T0004904</t>
  </si>
  <si>
    <t>T0004905</t>
  </si>
  <si>
    <t>T0004906</t>
  </si>
  <si>
    <t>T0004907</t>
  </si>
  <si>
    <t>T0004908</t>
  </si>
  <si>
    <t>T0004909</t>
  </si>
  <si>
    <t>T0004910</t>
  </si>
  <si>
    <t>T0004911</t>
  </si>
  <si>
    <t>T0004912</t>
  </si>
  <si>
    <t>T0004913</t>
  </si>
  <si>
    <t>T0004914</t>
  </si>
  <si>
    <t>T0004915</t>
  </si>
  <si>
    <t>T0004916</t>
  </si>
  <si>
    <t>T0004917</t>
  </si>
  <si>
    <t>T0004918</t>
  </si>
  <si>
    <t>T0004919</t>
  </si>
  <si>
    <t>T0004920</t>
  </si>
  <si>
    <t>T0004921</t>
  </si>
  <si>
    <t>T0004922</t>
  </si>
  <si>
    <t>T0004923</t>
  </si>
  <si>
    <t>T0004924</t>
  </si>
  <si>
    <t>T0004925</t>
  </si>
  <si>
    <t>T0004926</t>
  </si>
  <si>
    <t>T0004927</t>
  </si>
  <si>
    <t>T0004928</t>
  </si>
  <si>
    <t>T0004929</t>
  </si>
  <si>
    <t>T0004930</t>
  </si>
  <si>
    <t>T0004931</t>
  </si>
  <si>
    <t>T0004932</t>
  </si>
  <si>
    <t>T0004933</t>
  </si>
  <si>
    <t>T0004934</t>
  </si>
  <si>
    <t>T0004935</t>
  </si>
  <si>
    <t>T0004936</t>
  </si>
  <si>
    <t>T0004937</t>
  </si>
  <si>
    <t>T0004938</t>
  </si>
  <si>
    <t>T0004939</t>
  </si>
  <si>
    <t>T0004940</t>
  </si>
  <si>
    <t>T0004941</t>
  </si>
  <si>
    <t>T0004942</t>
  </si>
  <si>
    <t>T0004943</t>
  </si>
  <si>
    <t>T0004944</t>
  </si>
  <si>
    <t>T0004945</t>
  </si>
  <si>
    <t>T0004946</t>
  </si>
  <si>
    <t>T0004947</t>
  </si>
  <si>
    <t>T0004948</t>
  </si>
  <si>
    <t>T0004949</t>
  </si>
  <si>
    <t>T0004950</t>
  </si>
  <si>
    <t>T0004951</t>
  </si>
  <si>
    <t>T0004952</t>
  </si>
  <si>
    <t>T0004953</t>
  </si>
  <si>
    <t>T0004954</t>
  </si>
  <si>
    <t>T0004955</t>
  </si>
  <si>
    <t>T0004956</t>
  </si>
  <si>
    <t>T0004957</t>
  </si>
  <si>
    <t>T0004958</t>
  </si>
  <si>
    <t>T0004959</t>
  </si>
  <si>
    <t>T0004960</t>
  </si>
  <si>
    <t>T0004961</t>
  </si>
  <si>
    <t>T0004962</t>
  </si>
  <si>
    <t>T0004963</t>
  </si>
  <si>
    <t>T0004964</t>
  </si>
  <si>
    <t>T0004965</t>
  </si>
  <si>
    <t>T0004966</t>
  </si>
  <si>
    <t>T0004967</t>
  </si>
  <si>
    <t>T0004968</t>
  </si>
  <si>
    <t>T0004969</t>
  </si>
  <si>
    <t>T0004970</t>
  </si>
  <si>
    <t>T0004971</t>
  </si>
  <si>
    <t>T0004972</t>
  </si>
  <si>
    <t>T0004973</t>
  </si>
  <si>
    <t>T0004974</t>
  </si>
  <si>
    <t>T0004975</t>
  </si>
  <si>
    <t>T0004976</t>
  </si>
  <si>
    <t>T0004977</t>
  </si>
  <si>
    <t>T0004978</t>
  </si>
  <si>
    <t>T0004979</t>
  </si>
  <si>
    <t>T0004980</t>
  </si>
  <si>
    <t>T0004981</t>
  </si>
  <si>
    <t>T0004982</t>
  </si>
  <si>
    <t>T0004983</t>
  </si>
  <si>
    <t>T0004984</t>
  </si>
  <si>
    <t>T0004985</t>
  </si>
  <si>
    <t>T0004986</t>
  </si>
  <si>
    <t>T0004987</t>
  </si>
  <si>
    <t>T0004988</t>
  </si>
  <si>
    <t>T0004989</t>
  </si>
  <si>
    <t>T0004990</t>
  </si>
  <si>
    <t>T0004991</t>
  </si>
  <si>
    <t>T0004992</t>
  </si>
  <si>
    <t>T0004993</t>
  </si>
  <si>
    <t>T0004994</t>
  </si>
  <si>
    <t>T0004995</t>
  </si>
  <si>
    <t>T0004996</t>
  </si>
  <si>
    <t>T0004997</t>
  </si>
  <si>
    <t>T0004998</t>
  </si>
  <si>
    <t>T0004999</t>
  </si>
  <si>
    <t>T0005000</t>
  </si>
  <si>
    <t>T0005001</t>
  </si>
  <si>
    <t>T0005002</t>
  </si>
  <si>
    <t>T0005003</t>
  </si>
  <si>
    <t>T0005004</t>
  </si>
  <si>
    <t>T0005005</t>
  </si>
  <si>
    <t>T0005006</t>
  </si>
  <si>
    <t>T0005007</t>
  </si>
  <si>
    <t>T0005008</t>
  </si>
  <si>
    <t>T0005009</t>
  </si>
  <si>
    <t>T0005010</t>
  </si>
  <si>
    <t>T0005011</t>
  </si>
  <si>
    <t>T0005012</t>
  </si>
  <si>
    <t>T0005013</t>
  </si>
  <si>
    <t>T0005014</t>
  </si>
  <si>
    <t>T0005015</t>
  </si>
  <si>
    <t>T0005016</t>
  </si>
  <si>
    <t>T0005017</t>
  </si>
  <si>
    <t>T0005018</t>
  </si>
  <si>
    <t>T0005019</t>
  </si>
  <si>
    <t>T0005020</t>
  </si>
  <si>
    <t>T0005021</t>
  </si>
  <si>
    <t>T0005022</t>
  </si>
  <si>
    <t>T0005023</t>
  </si>
  <si>
    <t>T0005024</t>
  </si>
  <si>
    <t>T0005025</t>
  </si>
  <si>
    <t>T0005026</t>
  </si>
  <si>
    <t>T0005027</t>
  </si>
  <si>
    <t>T0005028</t>
  </si>
  <si>
    <t>T0005029</t>
  </si>
  <si>
    <t>T0005030</t>
  </si>
  <si>
    <t>T0005031</t>
  </si>
  <si>
    <t>T0005032</t>
  </si>
  <si>
    <t>T0005033</t>
  </si>
  <si>
    <t>T0005034</t>
  </si>
  <si>
    <t>T0005035</t>
  </si>
  <si>
    <t>T0005036</t>
  </si>
  <si>
    <t>T0005037</t>
  </si>
  <si>
    <t>T0005038</t>
  </si>
  <si>
    <t>T0005039</t>
  </si>
  <si>
    <t>T0005040</t>
  </si>
  <si>
    <t>T0005041</t>
  </si>
  <si>
    <t>T0005042</t>
  </si>
  <si>
    <t>T0005043</t>
  </si>
  <si>
    <t>T0005044</t>
  </si>
  <si>
    <t>T0005045</t>
  </si>
  <si>
    <t>T0005046</t>
  </si>
  <si>
    <t>T0005047</t>
  </si>
  <si>
    <t>T0005048</t>
  </si>
  <si>
    <t>T0005049</t>
  </si>
  <si>
    <t>T0005050</t>
  </si>
  <si>
    <t>T0005051</t>
  </si>
  <si>
    <t>T0005052</t>
  </si>
  <si>
    <t>T0005053</t>
  </si>
  <si>
    <t>T0005054</t>
  </si>
  <si>
    <t>T0005055</t>
  </si>
  <si>
    <t>T0005056</t>
  </si>
  <si>
    <t>T0005057</t>
  </si>
  <si>
    <t>T0005058</t>
  </si>
  <si>
    <t>T0005059</t>
  </si>
  <si>
    <t>T0005060</t>
  </si>
  <si>
    <t>T0005061</t>
  </si>
  <si>
    <t>T0005062</t>
  </si>
  <si>
    <t>T0005063</t>
  </si>
  <si>
    <t>T0005064</t>
  </si>
  <si>
    <t>T0005065</t>
  </si>
  <si>
    <t>T0005066</t>
  </si>
  <si>
    <t>T0005067</t>
  </si>
  <si>
    <t>T0005068</t>
  </si>
  <si>
    <t>T0005069</t>
  </si>
  <si>
    <t>T0005070</t>
  </si>
  <si>
    <t>T0005071</t>
  </si>
  <si>
    <t>T0005072</t>
  </si>
  <si>
    <t>T0005073</t>
  </si>
  <si>
    <t>T0005074</t>
  </si>
  <si>
    <t>T0005075</t>
  </si>
  <si>
    <t>T0005076</t>
  </si>
  <si>
    <t>T0005077</t>
  </si>
  <si>
    <t>T0005078</t>
  </si>
  <si>
    <t>T0005079</t>
  </si>
  <si>
    <t>T0005080</t>
  </si>
  <si>
    <t>T0005081</t>
  </si>
  <si>
    <t>T0005082</t>
  </si>
  <si>
    <t>T0005083</t>
  </si>
  <si>
    <t>T0005084</t>
  </si>
  <si>
    <t>T0005085</t>
  </si>
  <si>
    <t>T0005086</t>
  </si>
  <si>
    <t>T0005087</t>
  </si>
  <si>
    <t>T0005088</t>
  </si>
  <si>
    <t>T0005089</t>
  </si>
  <si>
    <t>T0005090</t>
  </si>
  <si>
    <t>T0005091</t>
  </si>
  <si>
    <t>T0005092</t>
  </si>
  <si>
    <t>T0005093</t>
  </si>
  <si>
    <t>T0005094</t>
  </si>
  <si>
    <t>T0005095</t>
  </si>
  <si>
    <t>T0005096</t>
  </si>
  <si>
    <t>T0005097</t>
  </si>
  <si>
    <t>T0005098</t>
  </si>
  <si>
    <t>T0005099</t>
  </si>
  <si>
    <t>T0005100</t>
  </si>
  <si>
    <t>T0005101</t>
  </si>
  <si>
    <t>T0005102</t>
  </si>
  <si>
    <t>T0005103</t>
  </si>
  <si>
    <t>T0005104</t>
  </si>
  <si>
    <t>T0005105</t>
  </si>
  <si>
    <t>T0005106</t>
  </si>
  <si>
    <t>T0005107</t>
  </si>
  <si>
    <t>T0005108</t>
  </si>
  <si>
    <t>T0005109</t>
  </si>
  <si>
    <t>T0005110</t>
  </si>
  <si>
    <t>T0005111</t>
  </si>
  <si>
    <t>T0005112</t>
  </si>
  <si>
    <t>T0005113</t>
  </si>
  <si>
    <t>T0005114</t>
  </si>
  <si>
    <t>T0005115</t>
  </si>
  <si>
    <t>T0005116</t>
  </si>
  <si>
    <t>T0005117</t>
  </si>
  <si>
    <t>T0005118</t>
  </si>
  <si>
    <t>T0005119</t>
  </si>
  <si>
    <t>T0005120</t>
  </si>
  <si>
    <t>T0005121</t>
  </si>
  <si>
    <t>T0005122</t>
  </si>
  <si>
    <t>T0005123</t>
  </si>
  <si>
    <t>T0005124</t>
  </si>
  <si>
    <t>T0005125</t>
  </si>
  <si>
    <t>T0005126</t>
  </si>
  <si>
    <t>T0005127</t>
  </si>
  <si>
    <t>T0005128</t>
  </si>
  <si>
    <t>T0005129</t>
  </si>
  <si>
    <t>T0005130</t>
  </si>
  <si>
    <t>T0005131</t>
  </si>
  <si>
    <t>T0005132</t>
  </si>
  <si>
    <t>T0005133</t>
  </si>
  <si>
    <t>T0005134</t>
  </si>
  <si>
    <t>T0005135</t>
  </si>
  <si>
    <t>T0005136</t>
  </si>
  <si>
    <t>T0005137</t>
  </si>
  <si>
    <t>T0005138</t>
  </si>
  <si>
    <t>T0005139</t>
  </si>
  <si>
    <t>T0005140</t>
  </si>
  <si>
    <t>T0005141</t>
  </si>
  <si>
    <t>T0005142</t>
  </si>
  <si>
    <t>T0005143</t>
  </si>
  <si>
    <t>T0005144</t>
  </si>
  <si>
    <t>T0005145</t>
  </si>
  <si>
    <t>T0005146</t>
  </si>
  <si>
    <t>T0005147</t>
  </si>
  <si>
    <t>T0005148</t>
  </si>
  <si>
    <t>T0005149</t>
  </si>
  <si>
    <t>T0005150</t>
  </si>
  <si>
    <t>T0005151</t>
  </si>
  <si>
    <t>T0005152</t>
  </si>
  <si>
    <t>T0005153</t>
  </si>
  <si>
    <t>T0005154</t>
  </si>
  <si>
    <t>T0005155</t>
  </si>
  <si>
    <t>T0005156</t>
  </si>
  <si>
    <t>T0005157</t>
  </si>
  <si>
    <t>T0005158</t>
  </si>
  <si>
    <t>T0005159</t>
  </si>
  <si>
    <t>T0005160</t>
  </si>
  <si>
    <t>T0005161</t>
  </si>
  <si>
    <t>T0005162</t>
  </si>
  <si>
    <t>T0005163</t>
  </si>
  <si>
    <t>T0005164</t>
  </si>
  <si>
    <t>T0005165</t>
  </si>
  <si>
    <t>T0005166</t>
  </si>
  <si>
    <t>T0005167</t>
  </si>
  <si>
    <t>T0005168</t>
  </si>
  <si>
    <t>T0005169</t>
  </si>
  <si>
    <t>T0005170</t>
  </si>
  <si>
    <t>T0005171</t>
  </si>
  <si>
    <t>T0005172</t>
  </si>
  <si>
    <t>T0005173</t>
  </si>
  <si>
    <t>T0005174</t>
  </si>
  <si>
    <t>T0005175</t>
  </si>
  <si>
    <t>T0005176</t>
  </si>
  <si>
    <t>T0005177</t>
  </si>
  <si>
    <t>T0005178</t>
  </si>
  <si>
    <t>T0005179</t>
  </si>
  <si>
    <t>T0005180</t>
  </si>
  <si>
    <t>T0005181</t>
  </si>
  <si>
    <t>T0005182</t>
  </si>
  <si>
    <t>T0005183</t>
  </si>
  <si>
    <t>T0005184</t>
  </si>
  <si>
    <t>T0005185</t>
  </si>
  <si>
    <t>T0005186</t>
  </si>
  <si>
    <t>T0005187</t>
  </si>
  <si>
    <t>T0005188</t>
  </si>
  <si>
    <t>T0005189</t>
  </si>
  <si>
    <t>T0005190</t>
  </si>
  <si>
    <t>T0005191</t>
  </si>
  <si>
    <t>T0005192</t>
  </si>
  <si>
    <t>T0005193</t>
  </si>
  <si>
    <t>T0005194</t>
  </si>
  <si>
    <t>T0005195</t>
  </si>
  <si>
    <t>T0005196</t>
  </si>
  <si>
    <t>T0005197</t>
  </si>
  <si>
    <t>T0005198</t>
  </si>
  <si>
    <t>T0005199</t>
  </si>
  <si>
    <t>T0005200</t>
  </si>
  <si>
    <t>T0005201</t>
  </si>
  <si>
    <t>T0005202</t>
  </si>
  <si>
    <t>T0005203</t>
  </si>
  <si>
    <t>T0005204</t>
  </si>
  <si>
    <t>T0005205</t>
  </si>
  <si>
    <t>T0005206</t>
  </si>
  <si>
    <t>T0005207</t>
  </si>
  <si>
    <t>T0005208</t>
  </si>
  <si>
    <t>T0005209</t>
  </si>
  <si>
    <t>T0005210</t>
  </si>
  <si>
    <t>T0005211</t>
  </si>
  <si>
    <t>T0005212</t>
  </si>
  <si>
    <t>T0005213</t>
  </si>
  <si>
    <t>T0005214</t>
  </si>
  <si>
    <t>T0005215</t>
  </si>
  <si>
    <t>T0005216</t>
  </si>
  <si>
    <t>T0005217</t>
  </si>
  <si>
    <t>T0005218</t>
  </si>
  <si>
    <t>T0005219</t>
  </si>
  <si>
    <t>T0005220</t>
  </si>
  <si>
    <t>T0005221</t>
  </si>
  <si>
    <t>T0005222</t>
  </si>
  <si>
    <t>T0005223</t>
  </si>
  <si>
    <t>T0005224</t>
  </si>
  <si>
    <t>T0005225</t>
  </si>
  <si>
    <t>T0005226</t>
  </si>
  <si>
    <t>T0005227</t>
  </si>
  <si>
    <t>T0005228</t>
  </si>
  <si>
    <t>T0005229</t>
  </si>
  <si>
    <t>T0005230</t>
  </si>
  <si>
    <t>T0005231</t>
  </si>
  <si>
    <t>T0005232</t>
  </si>
  <si>
    <t>T0005233</t>
  </si>
  <si>
    <t>T0005234</t>
  </si>
  <si>
    <t>T0005235</t>
  </si>
  <si>
    <t>T0005236</t>
  </si>
  <si>
    <t>T0005237</t>
  </si>
  <si>
    <t>T0005238</t>
  </si>
  <si>
    <t>T0005239</t>
  </si>
  <si>
    <t>T0005240</t>
  </si>
  <si>
    <t>T0005241</t>
  </si>
  <si>
    <t>T0005242</t>
  </si>
  <si>
    <t>T0005243</t>
  </si>
  <si>
    <t>T0005244</t>
  </si>
  <si>
    <t>T0005245</t>
  </si>
  <si>
    <t>T0005246</t>
  </si>
  <si>
    <t>T0005247</t>
  </si>
  <si>
    <t>T0005248</t>
  </si>
  <si>
    <t>T0005249</t>
  </si>
  <si>
    <t>T0005250</t>
  </si>
  <si>
    <t>T0005251</t>
  </si>
  <si>
    <t>T0005252</t>
  </si>
  <si>
    <t>T0005253</t>
  </si>
  <si>
    <t>T0005254</t>
  </si>
  <si>
    <t>T0005255</t>
  </si>
  <si>
    <t>T0005256</t>
  </si>
  <si>
    <t>T0005257</t>
  </si>
  <si>
    <t>T0005258</t>
  </si>
  <si>
    <t>T0005259</t>
  </si>
  <si>
    <t>T0005260</t>
  </si>
  <si>
    <t>T0005261</t>
  </si>
  <si>
    <t>T0005262</t>
  </si>
  <si>
    <t>T0005263</t>
  </si>
  <si>
    <t>T0005264</t>
  </si>
  <si>
    <t>T0005265</t>
  </si>
  <si>
    <t>T0005266</t>
  </si>
  <si>
    <t>T0005267</t>
  </si>
  <si>
    <t>T0005268</t>
  </si>
  <si>
    <t>T0005269</t>
  </si>
  <si>
    <t>T0005270</t>
  </si>
  <si>
    <t>T0005271</t>
  </si>
  <si>
    <t>T0005272</t>
  </si>
  <si>
    <t>T0005273</t>
  </si>
  <si>
    <t>T0005274</t>
  </si>
  <si>
    <t>T0005275</t>
  </si>
  <si>
    <t>T0005276</t>
  </si>
  <si>
    <t>T0005277</t>
  </si>
  <si>
    <t>T0005278</t>
  </si>
  <si>
    <t>T0005279</t>
  </si>
  <si>
    <t>T0005280</t>
  </si>
  <si>
    <t>T0005281</t>
  </si>
  <si>
    <t>T0005282</t>
  </si>
  <si>
    <t>T0005283</t>
  </si>
  <si>
    <t>T0005284</t>
  </si>
  <si>
    <t>T0005285</t>
  </si>
  <si>
    <t>T0005286</t>
  </si>
  <si>
    <t>T0005287</t>
  </si>
  <si>
    <t>T0005288</t>
  </si>
  <si>
    <t>T0005289</t>
  </si>
  <si>
    <t>T0005290</t>
  </si>
  <si>
    <t>T0005291</t>
  </si>
  <si>
    <t>T0005292</t>
  </si>
  <si>
    <t>T0005293</t>
  </si>
  <si>
    <t>T0005294</t>
  </si>
  <si>
    <t>T0005295</t>
  </si>
  <si>
    <t>T0005296</t>
  </si>
  <si>
    <t>T0005297</t>
  </si>
  <si>
    <t>T0005298</t>
  </si>
  <si>
    <t>T0005299</t>
  </si>
  <si>
    <t>T0005300</t>
  </si>
  <si>
    <t>T0005301</t>
  </si>
  <si>
    <t>T0005302</t>
  </si>
  <si>
    <t>T0005303</t>
  </si>
  <si>
    <t>T0005304</t>
  </si>
  <si>
    <t>T0005305</t>
  </si>
  <si>
    <t>T0005306</t>
  </si>
  <si>
    <t>T0005307</t>
  </si>
  <si>
    <t>T0005308</t>
  </si>
  <si>
    <t>T0005309</t>
  </si>
  <si>
    <t>T0005310</t>
  </si>
  <si>
    <t>T0005311</t>
  </si>
  <si>
    <t>T0005312</t>
  </si>
  <si>
    <t>T0005313</t>
  </si>
  <si>
    <t>T0005314</t>
  </si>
  <si>
    <t>T0005315</t>
  </si>
  <si>
    <t>T0005316</t>
  </si>
  <si>
    <t>T0005317</t>
  </si>
  <si>
    <t>T0005318</t>
  </si>
  <si>
    <t>T0005319</t>
  </si>
  <si>
    <t>T0005320</t>
  </si>
  <si>
    <t>T0005321</t>
  </si>
  <si>
    <t>T0005322</t>
  </si>
  <si>
    <t>T0005323</t>
  </si>
  <si>
    <t>T0005324</t>
  </si>
  <si>
    <t>T0005325</t>
  </si>
  <si>
    <t>T0005326</t>
  </si>
  <si>
    <t>T0005327</t>
  </si>
  <si>
    <t>T0005328</t>
  </si>
  <si>
    <t>T0005329</t>
  </si>
  <si>
    <t>T0005330</t>
  </si>
  <si>
    <t>T0005331</t>
  </si>
  <si>
    <t>T0005332</t>
  </si>
  <si>
    <t>T0005333</t>
  </si>
  <si>
    <t>T0005334</t>
  </si>
  <si>
    <t>T0005335</t>
  </si>
  <si>
    <t>T0005336</t>
  </si>
  <si>
    <t>T0005337</t>
  </si>
  <si>
    <t>T0005338</t>
  </si>
  <si>
    <t>T0005339</t>
  </si>
  <si>
    <t>T0005340</t>
  </si>
  <si>
    <t>T0005341</t>
  </si>
  <si>
    <t>T0005342</t>
  </si>
  <si>
    <t>T0005343</t>
  </si>
  <si>
    <t>T0005344</t>
  </si>
  <si>
    <t>T0005345</t>
  </si>
  <si>
    <t>T0005346</t>
  </si>
  <si>
    <t>T0005347</t>
  </si>
  <si>
    <t>T0005348</t>
  </si>
  <si>
    <t>T0005349</t>
  </si>
  <si>
    <t>T0005350</t>
  </si>
  <si>
    <t>T0005351</t>
  </si>
  <si>
    <t>T0005352</t>
  </si>
  <si>
    <t>T0005353</t>
  </si>
  <si>
    <t>T0005354</t>
  </si>
  <si>
    <t>T0005355</t>
  </si>
  <si>
    <t>T0005356</t>
  </si>
  <si>
    <t>T0005357</t>
  </si>
  <si>
    <t>T0005358</t>
  </si>
  <si>
    <t>T0005359</t>
  </si>
  <si>
    <t>T0005360</t>
  </si>
  <si>
    <t>T0005361</t>
  </si>
  <si>
    <t>T0005362</t>
  </si>
  <si>
    <t>T0005363</t>
  </si>
  <si>
    <t>T0005364</t>
  </si>
  <si>
    <t>T0005365</t>
  </si>
  <si>
    <t>T0005366</t>
  </si>
  <si>
    <t>T0005367</t>
  </si>
  <si>
    <t>T0005368</t>
  </si>
  <si>
    <t>T0005369</t>
  </si>
  <si>
    <t>T0005370</t>
  </si>
  <si>
    <t>T0005371</t>
  </si>
  <si>
    <t>T0005372</t>
  </si>
  <si>
    <t>T0005373</t>
  </si>
  <si>
    <t>T0005374</t>
  </si>
  <si>
    <t>T0005375</t>
  </si>
  <si>
    <t>T0005376</t>
  </si>
  <si>
    <t>T0005377</t>
  </si>
  <si>
    <t>T0005378</t>
  </si>
  <si>
    <t>T0005379</t>
  </si>
  <si>
    <t>T0005380</t>
  </si>
  <si>
    <t>T0005381</t>
  </si>
  <si>
    <t>T0005382</t>
  </si>
  <si>
    <t>T0005383</t>
  </si>
  <si>
    <t>T0005384</t>
  </si>
  <si>
    <t>T0005385</t>
  </si>
  <si>
    <t>T0005386</t>
  </si>
  <si>
    <t>T0005387</t>
  </si>
  <si>
    <t>T0005388</t>
  </si>
  <si>
    <t>T0005389</t>
  </si>
  <si>
    <t>T0005390</t>
  </si>
  <si>
    <t>T0005391</t>
  </si>
  <si>
    <t>T0005392</t>
  </si>
  <si>
    <t>T0005393</t>
  </si>
  <si>
    <t>T0005394</t>
  </si>
  <si>
    <t>T0005395</t>
  </si>
  <si>
    <t>T0005396</t>
  </si>
  <si>
    <t>T0005397</t>
  </si>
  <si>
    <t>T0005398</t>
  </si>
  <si>
    <t>T0005399</t>
  </si>
  <si>
    <t>T0005400</t>
  </si>
  <si>
    <t>T0005401</t>
  </si>
  <si>
    <t>T0005402</t>
  </si>
  <si>
    <t>T0005403</t>
  </si>
  <si>
    <t>T0005404</t>
  </si>
  <si>
    <t>T0005405</t>
  </si>
  <si>
    <t>T0005406</t>
  </si>
  <si>
    <t>T0005407</t>
  </si>
  <si>
    <t>T0005408</t>
  </si>
  <si>
    <t>T0005409</t>
  </si>
  <si>
    <t>T0005410</t>
  </si>
  <si>
    <t>T0005411</t>
  </si>
  <si>
    <t>T0005412</t>
  </si>
  <si>
    <t>T0005413</t>
  </si>
  <si>
    <t>T0005414</t>
  </si>
  <si>
    <t>T0005415</t>
  </si>
  <si>
    <t>T0005416</t>
  </si>
  <si>
    <t>T0005417</t>
  </si>
  <si>
    <t>T0005418</t>
  </si>
  <si>
    <t>T0005419</t>
  </si>
  <si>
    <t>T0005420</t>
  </si>
  <si>
    <t>T0005421</t>
  </si>
  <si>
    <t>T0005422</t>
  </si>
  <si>
    <t>T0005423</t>
  </si>
  <si>
    <t>T0005424</t>
  </si>
  <si>
    <t>T0005425</t>
  </si>
  <si>
    <t>T0005426</t>
  </si>
  <si>
    <t>T0005427</t>
  </si>
  <si>
    <t>T0005428</t>
  </si>
  <si>
    <t>T0005429</t>
  </si>
  <si>
    <t>T0005430</t>
  </si>
  <si>
    <t>T0005431</t>
  </si>
  <si>
    <t>T0005432</t>
  </si>
  <si>
    <t>T0005433</t>
  </si>
  <si>
    <t>T0005434</t>
  </si>
  <si>
    <t>T0005435</t>
  </si>
  <si>
    <t>T0005436</t>
  </si>
  <si>
    <t>T0005437</t>
  </si>
  <si>
    <t>T0005438</t>
  </si>
  <si>
    <t>T0005439</t>
  </si>
  <si>
    <t>T0005440</t>
  </si>
  <si>
    <t>T0005441</t>
  </si>
  <si>
    <t>T0005442</t>
  </si>
  <si>
    <t>T0005443</t>
  </si>
  <si>
    <t>T0005444</t>
  </si>
  <si>
    <t>T0005445</t>
  </si>
  <si>
    <t>T0005446</t>
  </si>
  <si>
    <t>T0005447</t>
  </si>
  <si>
    <t>T0005448</t>
  </si>
  <si>
    <t>T0005449</t>
  </si>
  <si>
    <t>T0005450</t>
  </si>
  <si>
    <t>T0005451</t>
  </si>
  <si>
    <t>T0005452</t>
  </si>
  <si>
    <t>T0005453</t>
  </si>
  <si>
    <t>T0005454</t>
  </si>
  <si>
    <t>T0005455</t>
  </si>
  <si>
    <t>T0005456</t>
  </si>
  <si>
    <t>T0005457</t>
  </si>
  <si>
    <t>T0005458</t>
  </si>
  <si>
    <t>T0005459</t>
  </si>
  <si>
    <t>T0005460</t>
  </si>
  <si>
    <t>T0005461</t>
  </si>
  <si>
    <t>T0005462</t>
  </si>
  <si>
    <t>T0005463</t>
  </si>
  <si>
    <t>T0005464</t>
  </si>
  <si>
    <t>T0005465</t>
  </si>
  <si>
    <t>T0005466</t>
  </si>
  <si>
    <t>T0005467</t>
  </si>
  <si>
    <t>T0005468</t>
  </si>
  <si>
    <t>T0005469</t>
  </si>
  <si>
    <t>T0005470</t>
  </si>
  <si>
    <t>T0005471</t>
  </si>
  <si>
    <t>T0005472</t>
  </si>
  <si>
    <t>T0005473</t>
  </si>
  <si>
    <t>T0005474</t>
  </si>
  <si>
    <t>T0005475</t>
  </si>
  <si>
    <t>T0005476</t>
  </si>
  <si>
    <t>T0005477</t>
  </si>
  <si>
    <t>T0005478</t>
  </si>
  <si>
    <t>T0005479</t>
  </si>
  <si>
    <t>T0005480</t>
  </si>
  <si>
    <t>T0005481</t>
  </si>
  <si>
    <t>T0005482</t>
  </si>
  <si>
    <t>T0005483</t>
  </si>
  <si>
    <t>T0005484</t>
  </si>
  <si>
    <t>T0005485</t>
  </si>
  <si>
    <t>T0005486</t>
  </si>
  <si>
    <t>T0005487</t>
  </si>
  <si>
    <t>T0005488</t>
  </si>
  <si>
    <t>T0005489</t>
  </si>
  <si>
    <t>T0005490</t>
  </si>
  <si>
    <t>T0005491</t>
  </si>
  <si>
    <t>T0005492</t>
  </si>
  <si>
    <t>T0005493</t>
  </si>
  <si>
    <t>T0005494</t>
  </si>
  <si>
    <t>T0005495</t>
  </si>
  <si>
    <t>T0005496</t>
  </si>
  <si>
    <t>T0005497</t>
  </si>
  <si>
    <t>T0005498</t>
  </si>
  <si>
    <t>T0005499</t>
  </si>
  <si>
    <t>T0005500</t>
  </si>
  <si>
    <t>T0005501</t>
  </si>
  <si>
    <t>T0005502</t>
  </si>
  <si>
    <t>T0005503</t>
  </si>
  <si>
    <t>T0005504</t>
  </si>
  <si>
    <t>T0005505</t>
  </si>
  <si>
    <t>T0005506</t>
  </si>
  <si>
    <t>T0005507</t>
  </si>
  <si>
    <t>T0005508</t>
  </si>
  <si>
    <t>T0005509</t>
  </si>
  <si>
    <t>T0005510</t>
  </si>
  <si>
    <t>T0005511</t>
  </si>
  <si>
    <t>T0005512</t>
  </si>
  <si>
    <t>T0005513</t>
  </si>
  <si>
    <t>T0005514</t>
  </si>
  <si>
    <t>T0005515</t>
  </si>
  <si>
    <t>T0005516</t>
  </si>
  <si>
    <t>T0005517</t>
  </si>
  <si>
    <t>T0005518</t>
  </si>
  <si>
    <t>T0005519</t>
  </si>
  <si>
    <t>T0005520</t>
  </si>
  <si>
    <t>T0005521</t>
  </si>
  <si>
    <t>T0005522</t>
  </si>
  <si>
    <t>T0005523</t>
  </si>
  <si>
    <t>T0005524</t>
  </si>
  <si>
    <t>T0005525</t>
  </si>
  <si>
    <t>T0005526</t>
  </si>
  <si>
    <t>T0005527</t>
  </si>
  <si>
    <t>T0005528</t>
  </si>
  <si>
    <t>T0005529</t>
  </si>
  <si>
    <t>T0005530</t>
  </si>
  <si>
    <t>T0005531</t>
  </si>
  <si>
    <t>T0005532</t>
  </si>
  <si>
    <t>T0005533</t>
  </si>
  <si>
    <t>T0005534</t>
  </si>
  <si>
    <t>T0005535</t>
  </si>
  <si>
    <t>T0005536</t>
  </si>
  <si>
    <t>T0005537</t>
  </si>
  <si>
    <t>T0005538</t>
  </si>
  <si>
    <t>T0005539</t>
  </si>
  <si>
    <t>T0005540</t>
  </si>
  <si>
    <t>T0005541</t>
  </si>
  <si>
    <t>T0005542</t>
  </si>
  <si>
    <t>T0005543</t>
  </si>
  <si>
    <t>T0005544</t>
  </si>
  <si>
    <t>T0005545</t>
  </si>
  <si>
    <t>T0005546</t>
  </si>
  <si>
    <t>T0005547</t>
  </si>
  <si>
    <t>T0005548</t>
  </si>
  <si>
    <t>T0005549</t>
  </si>
  <si>
    <t>T0005550</t>
  </si>
  <si>
    <t>T0005551</t>
  </si>
  <si>
    <t>T0005552</t>
  </si>
  <si>
    <t>T0005553</t>
  </si>
  <si>
    <t>T0005554</t>
  </si>
  <si>
    <t>T0005555</t>
  </si>
  <si>
    <t>T0005556</t>
  </si>
  <si>
    <t>T0005557</t>
  </si>
  <si>
    <t>T0005558</t>
  </si>
  <si>
    <t>T0005559</t>
  </si>
  <si>
    <t>T0005560</t>
  </si>
  <si>
    <t>T0005561</t>
  </si>
  <si>
    <t>T0005562</t>
  </si>
  <si>
    <t>T0005563</t>
  </si>
  <si>
    <t>T0005564</t>
  </si>
  <si>
    <t>T0005565</t>
  </si>
  <si>
    <t>T0005566</t>
  </si>
  <si>
    <t>T0005567</t>
  </si>
  <si>
    <t>T0005568</t>
  </si>
  <si>
    <t>T0005569</t>
  </si>
  <si>
    <t>T0005570</t>
  </si>
  <si>
    <t>T0005571</t>
  </si>
  <si>
    <t>T0005572</t>
  </si>
  <si>
    <t>T0005573</t>
  </si>
  <si>
    <t>T0005574</t>
  </si>
  <si>
    <t>T0005575</t>
  </si>
  <si>
    <t>T0005576</t>
  </si>
  <si>
    <t>T0005577</t>
  </si>
  <si>
    <t>T0005578</t>
  </si>
  <si>
    <t>T0005579</t>
  </si>
  <si>
    <t>T0005580</t>
  </si>
  <si>
    <t>T0005581</t>
  </si>
  <si>
    <t>T0005582</t>
  </si>
  <si>
    <t>T0005583</t>
  </si>
  <si>
    <t>T0005584</t>
  </si>
  <si>
    <t>T0005585</t>
  </si>
  <si>
    <t>T0005586</t>
  </si>
  <si>
    <t>T0005587</t>
  </si>
  <si>
    <t>T0005588</t>
  </si>
  <si>
    <t>T0005589</t>
  </si>
  <si>
    <t>T0005590</t>
  </si>
  <si>
    <t>T0005591</t>
  </si>
  <si>
    <t>T0005592</t>
  </si>
  <si>
    <t>T0005593</t>
  </si>
  <si>
    <t>T0005594</t>
  </si>
  <si>
    <t>T0005595</t>
  </si>
  <si>
    <t>T0005596</t>
  </si>
  <si>
    <t>T0005597</t>
  </si>
  <si>
    <t>T0005598</t>
  </si>
  <si>
    <t>T0005599</t>
  </si>
  <si>
    <t>T0005600</t>
  </si>
  <si>
    <t>T0005601</t>
  </si>
  <si>
    <t>T0005602</t>
  </si>
  <si>
    <t>T0005603</t>
  </si>
  <si>
    <t>T0005604</t>
  </si>
  <si>
    <t>T0005605</t>
  </si>
  <si>
    <t>T0005606</t>
  </si>
  <si>
    <t>T0005607</t>
  </si>
  <si>
    <t>T0005608</t>
  </si>
  <si>
    <t>T0005609</t>
  </si>
  <si>
    <t>T0005610</t>
  </si>
  <si>
    <t>T0005611</t>
  </si>
  <si>
    <t>T0005612</t>
  </si>
  <si>
    <t>T0005613</t>
  </si>
  <si>
    <t>T0005614</t>
  </si>
  <si>
    <t>T0005615</t>
  </si>
  <si>
    <t>T0005616</t>
  </si>
  <si>
    <t>T0005617</t>
  </si>
  <si>
    <t>T0005618</t>
  </si>
  <si>
    <t>T0005619</t>
  </si>
  <si>
    <t>T0005620</t>
  </si>
  <si>
    <t>T0005621</t>
  </si>
  <si>
    <t>T0005622</t>
  </si>
  <si>
    <t>T0005623</t>
  </si>
  <si>
    <t>T0005624</t>
  </si>
  <si>
    <t>T0005625</t>
  </si>
  <si>
    <t>T0005626</t>
  </si>
  <si>
    <t>T0005627</t>
  </si>
  <si>
    <t>T0005628</t>
  </si>
  <si>
    <t>T0005629</t>
  </si>
  <si>
    <t>T0005630</t>
  </si>
  <si>
    <t>T0005631</t>
  </si>
  <si>
    <t>T0005632</t>
  </si>
  <si>
    <t>T0005633</t>
  </si>
  <si>
    <t>T0005634</t>
  </si>
  <si>
    <t>T0005635</t>
  </si>
  <si>
    <t>T0005636</t>
  </si>
  <si>
    <t>T0005637</t>
  </si>
  <si>
    <t>T0005638</t>
  </si>
  <si>
    <t>T0005639</t>
  </si>
  <si>
    <t>T0005640</t>
  </si>
  <si>
    <t>T0005641</t>
  </si>
  <si>
    <t>T0005642</t>
  </si>
  <si>
    <t>T0005643</t>
  </si>
  <si>
    <t>T0005644</t>
  </si>
  <si>
    <t>T0005645</t>
  </si>
  <si>
    <t>T0005646</t>
  </si>
  <si>
    <t>T0005647</t>
  </si>
  <si>
    <t>T0005648</t>
  </si>
  <si>
    <t>T0005649</t>
  </si>
  <si>
    <t>T0005650</t>
  </si>
  <si>
    <t>T0005651</t>
  </si>
  <si>
    <t>T0005652</t>
  </si>
  <si>
    <t>T0005653</t>
  </si>
  <si>
    <t>T0005654</t>
  </si>
  <si>
    <t>T0005655</t>
  </si>
  <si>
    <t>T0005656</t>
  </si>
  <si>
    <t>T0005657</t>
  </si>
  <si>
    <t>T0005658</t>
  </si>
  <si>
    <t>T0005659</t>
  </si>
  <si>
    <t>T0005660</t>
  </si>
  <si>
    <t>T0005661</t>
  </si>
  <si>
    <t>T0005662</t>
  </si>
  <si>
    <t>T0005663</t>
  </si>
  <si>
    <t>T0005664</t>
  </si>
  <si>
    <t>T0005665</t>
  </si>
  <si>
    <t>T0005666</t>
  </si>
  <si>
    <t>T0005667</t>
  </si>
  <si>
    <t>T0005668</t>
  </si>
  <si>
    <t>T0005669</t>
  </si>
  <si>
    <t>T0005670</t>
  </si>
  <si>
    <t>T0005671</t>
  </si>
  <si>
    <t>T0005672</t>
  </si>
  <si>
    <t>T0005673</t>
  </si>
  <si>
    <t>T0005674</t>
  </si>
  <si>
    <t>T0005675</t>
  </si>
  <si>
    <t>T0005676</t>
  </si>
  <si>
    <t>T0005677</t>
  </si>
  <si>
    <t>T0005678</t>
  </si>
  <si>
    <t>T0005679</t>
  </si>
  <si>
    <t>T0005680</t>
  </si>
  <si>
    <t>T0005681</t>
  </si>
  <si>
    <t>T0005682</t>
  </si>
  <si>
    <t>T0005683</t>
  </si>
  <si>
    <t>T0005684</t>
  </si>
  <si>
    <t>T0005685</t>
  </si>
  <si>
    <t>T0005686</t>
  </si>
  <si>
    <t>T0005687</t>
  </si>
  <si>
    <t>T0005688</t>
  </si>
  <si>
    <t>T0005689</t>
  </si>
  <si>
    <t>T0005690</t>
  </si>
  <si>
    <t>T0005691</t>
  </si>
  <si>
    <t>T0005692</t>
  </si>
  <si>
    <t>T0005693</t>
  </si>
  <si>
    <t>T0005694</t>
  </si>
  <si>
    <t>T0005695</t>
  </si>
  <si>
    <t>T0005696</t>
  </si>
  <si>
    <t>T0005697</t>
  </si>
  <si>
    <t>T0005698</t>
  </si>
  <si>
    <t>T0005699</t>
  </si>
  <si>
    <t>T0005700</t>
  </si>
  <si>
    <t>T0005701</t>
  </si>
  <si>
    <t>T0005702</t>
  </si>
  <si>
    <t>T0005703</t>
  </si>
  <si>
    <t>T0005704</t>
  </si>
  <si>
    <t>T0005705</t>
  </si>
  <si>
    <t>T0005706</t>
  </si>
  <si>
    <t>T0005707</t>
  </si>
  <si>
    <t>T0005708</t>
  </si>
  <si>
    <t>T0005709</t>
  </si>
  <si>
    <t>T0005710</t>
  </si>
  <si>
    <t>T0005711</t>
  </si>
  <si>
    <t>T0005712</t>
  </si>
  <si>
    <t>T0005713</t>
  </si>
  <si>
    <t>T0005714</t>
  </si>
  <si>
    <t>T0005715</t>
  </si>
  <si>
    <t>T0005716</t>
  </si>
  <si>
    <t>T0005717</t>
  </si>
  <si>
    <t>T0005718</t>
  </si>
  <si>
    <t>T0005719</t>
  </si>
  <si>
    <t>T0005720</t>
  </si>
  <si>
    <t>T0005721</t>
  </si>
  <si>
    <t>T0005722</t>
  </si>
  <si>
    <t>T0005723</t>
  </si>
  <si>
    <t>T0005724</t>
  </si>
  <si>
    <t>T0005725</t>
  </si>
  <si>
    <t>T0005726</t>
  </si>
  <si>
    <t>T0005727</t>
  </si>
  <si>
    <t>T0005728</t>
  </si>
  <si>
    <t>T0005729</t>
  </si>
  <si>
    <t>T0005730</t>
  </si>
  <si>
    <t>T0005731</t>
  </si>
  <si>
    <t>T0005732</t>
  </si>
  <si>
    <t>T0005733</t>
  </si>
  <si>
    <t>T0005734</t>
  </si>
  <si>
    <t>T0005735</t>
  </si>
  <si>
    <t>T0005736</t>
  </si>
  <si>
    <t>T0005737</t>
  </si>
  <si>
    <t>T0005738</t>
  </si>
  <si>
    <t>T0005739</t>
  </si>
  <si>
    <t>T0005740</t>
  </si>
  <si>
    <t>T0005741</t>
  </si>
  <si>
    <t>T0005742</t>
  </si>
  <si>
    <t>T0005743</t>
  </si>
  <si>
    <t>T0005744</t>
  </si>
  <si>
    <t>T0005745</t>
  </si>
  <si>
    <t>T0005746</t>
  </si>
  <si>
    <t>T0005747</t>
  </si>
  <si>
    <t>T0005748</t>
  </si>
  <si>
    <t>T0005749</t>
  </si>
  <si>
    <t>T0005750</t>
  </si>
  <si>
    <t>T0005751</t>
  </si>
  <si>
    <t>T0005752</t>
  </si>
  <si>
    <t>T0005753</t>
  </si>
  <si>
    <t>T0005754</t>
  </si>
  <si>
    <t>T0005755</t>
  </si>
  <si>
    <t>T0005756</t>
  </si>
  <si>
    <t>T0005757</t>
  </si>
  <si>
    <t>T0005758</t>
  </si>
  <si>
    <t>T0005759</t>
  </si>
  <si>
    <t>T0005760</t>
  </si>
  <si>
    <t>T0005761</t>
  </si>
  <si>
    <t>T0005762</t>
  </si>
  <si>
    <t>T0005763</t>
  </si>
  <si>
    <t>T0005764</t>
  </si>
  <si>
    <t>T0005765</t>
  </si>
  <si>
    <t>T0005766</t>
  </si>
  <si>
    <t>T0005767</t>
  </si>
  <si>
    <t>T0005768</t>
  </si>
  <si>
    <t>T0005769</t>
  </si>
  <si>
    <t>T0005770</t>
  </si>
  <si>
    <t>T0005771</t>
  </si>
  <si>
    <t>T0005772</t>
  </si>
  <si>
    <t>T0005773</t>
  </si>
  <si>
    <t>T0005774</t>
  </si>
  <si>
    <t>T0005775</t>
  </si>
  <si>
    <t>T0005776</t>
  </si>
  <si>
    <t>T0005777</t>
  </si>
  <si>
    <t>T0005778</t>
  </si>
  <si>
    <t>T0005779</t>
  </si>
  <si>
    <t>T0005780</t>
  </si>
  <si>
    <t>T0005781</t>
  </si>
  <si>
    <t>T0005782</t>
  </si>
  <si>
    <t>T0005783</t>
  </si>
  <si>
    <t>T0005784</t>
  </si>
  <si>
    <t>T0005785</t>
  </si>
  <si>
    <t>T0005786</t>
  </si>
  <si>
    <t>T0005787</t>
  </si>
  <si>
    <t>T0005788</t>
  </si>
  <si>
    <t>T0005789</t>
  </si>
  <si>
    <t>T0005790</t>
  </si>
  <si>
    <t>T0005791</t>
  </si>
  <si>
    <t>T0005792</t>
  </si>
  <si>
    <t>T0005793</t>
  </si>
  <si>
    <t>T0005794</t>
  </si>
  <si>
    <t>T0005795</t>
  </si>
  <si>
    <t>T0005796</t>
  </si>
  <si>
    <t>T0005797</t>
  </si>
  <si>
    <t>T0005798</t>
  </si>
  <si>
    <t>T0005799</t>
  </si>
  <si>
    <t>T0005800</t>
  </si>
  <si>
    <t>T0005801</t>
  </si>
  <si>
    <t>T0005802</t>
  </si>
  <si>
    <t>T0005803</t>
  </si>
  <si>
    <t>T0005804</t>
  </si>
  <si>
    <t>T0005805</t>
  </si>
  <si>
    <t>T0005806</t>
  </si>
  <si>
    <t>T0005807</t>
  </si>
  <si>
    <t>T0005808</t>
  </si>
  <si>
    <t>T0005809</t>
  </si>
  <si>
    <t>T0005810</t>
  </si>
  <si>
    <t>T0005811</t>
  </si>
  <si>
    <t>T0005812</t>
  </si>
  <si>
    <t>T0005813</t>
  </si>
  <si>
    <t>T0005814</t>
  </si>
  <si>
    <t>T0005815</t>
  </si>
  <si>
    <t>T0005816</t>
  </si>
  <si>
    <t>T0005817</t>
  </si>
  <si>
    <t>T0005818</t>
  </si>
  <si>
    <t>T0005819</t>
  </si>
  <si>
    <t>T0005820</t>
  </si>
  <si>
    <t>T0005821</t>
  </si>
  <si>
    <t>T0005822</t>
  </si>
  <si>
    <t>T0005823</t>
  </si>
  <si>
    <t>T0005824</t>
  </si>
  <si>
    <t>T0005825</t>
  </si>
  <si>
    <t>T0005826</t>
  </si>
  <si>
    <t>T0005827</t>
  </si>
  <si>
    <t>T0005828</t>
  </si>
  <si>
    <t>T0005829</t>
  </si>
  <si>
    <t>T0005830</t>
  </si>
  <si>
    <t>T0005831</t>
  </si>
  <si>
    <t>T0005832</t>
  </si>
  <si>
    <t>T0005833</t>
  </si>
  <si>
    <t>T0005834</t>
  </si>
  <si>
    <t>T0005835</t>
  </si>
  <si>
    <t>T0005836</t>
  </si>
  <si>
    <t>T0005837</t>
  </si>
  <si>
    <t>T0005838</t>
  </si>
  <si>
    <t>T0005839</t>
  </si>
  <si>
    <t>T0005840</t>
  </si>
  <si>
    <t>T0005841</t>
  </si>
  <si>
    <t>T0005842</t>
  </si>
  <si>
    <t>T0005843</t>
  </si>
  <si>
    <t>T0005844</t>
  </si>
  <si>
    <t>T0005845</t>
  </si>
  <si>
    <t>T0005846</t>
  </si>
  <si>
    <t>T0005847</t>
  </si>
  <si>
    <t>T0005848</t>
  </si>
  <si>
    <t>T0005849</t>
  </si>
  <si>
    <t>T0005850</t>
  </si>
  <si>
    <t>T0005851</t>
  </si>
  <si>
    <t>T0005852</t>
  </si>
  <si>
    <t>T0005853</t>
  </si>
  <si>
    <t>T0005854</t>
  </si>
  <si>
    <t>T0005855</t>
  </si>
  <si>
    <t>T0005856</t>
  </si>
  <si>
    <t>T0005857</t>
  </si>
  <si>
    <t>T0005858</t>
  </si>
  <si>
    <t>T0005859</t>
  </si>
  <si>
    <t>T0005860</t>
  </si>
  <si>
    <t>T0005861</t>
  </si>
  <si>
    <t>T0005862</t>
  </si>
  <si>
    <t>T0005863</t>
  </si>
  <si>
    <t>T0005864</t>
  </si>
  <si>
    <t>T0005865</t>
  </si>
  <si>
    <t>T0005866</t>
  </si>
  <si>
    <t>T0005867</t>
  </si>
  <si>
    <t>T0005868</t>
  </si>
  <si>
    <t>T0005869</t>
  </si>
  <si>
    <t>T0005870</t>
  </si>
  <si>
    <t>T0005871</t>
  </si>
  <si>
    <t>T0005872</t>
  </si>
  <si>
    <t>T0005873</t>
  </si>
  <si>
    <t>T0005874</t>
  </si>
  <si>
    <t>T0005875</t>
  </si>
  <si>
    <t>T0005876</t>
  </si>
  <si>
    <t>T0005877</t>
  </si>
  <si>
    <t>T0005878</t>
  </si>
  <si>
    <t>T0005879</t>
  </si>
  <si>
    <t>T0005880</t>
  </si>
  <si>
    <t>T0005881</t>
  </si>
  <si>
    <t>T0005882</t>
  </si>
  <si>
    <t>T0005883</t>
  </si>
  <si>
    <t>T0005884</t>
  </si>
  <si>
    <t>T0005885</t>
  </si>
  <si>
    <t>T0005886</t>
  </si>
  <si>
    <t>T0005887</t>
  </si>
  <si>
    <t>T0005888</t>
  </si>
  <si>
    <t>T0005889</t>
  </si>
  <si>
    <t>T0005890</t>
  </si>
  <si>
    <t>T0005891</t>
  </si>
  <si>
    <t>T0005892</t>
  </si>
  <si>
    <t>T0005893</t>
  </si>
  <si>
    <t>T0005894</t>
  </si>
  <si>
    <t>T0005895</t>
  </si>
  <si>
    <t>T0005896</t>
  </si>
  <si>
    <t>T0005897</t>
  </si>
  <si>
    <t>T0005898</t>
  </si>
  <si>
    <t>T0005899</t>
  </si>
  <si>
    <t>T0005900</t>
  </si>
  <si>
    <t>T0005901</t>
  </si>
  <si>
    <t>T0005902</t>
  </si>
  <si>
    <t>T0005903</t>
  </si>
  <si>
    <t>T0005904</t>
  </si>
  <si>
    <t>T0005905</t>
  </si>
  <si>
    <t>T0005906</t>
  </si>
  <si>
    <t>T0005907</t>
  </si>
  <si>
    <t>T0005908</t>
  </si>
  <si>
    <t>T0005909</t>
  </si>
  <si>
    <t>T0005910</t>
  </si>
  <si>
    <t>T0005911</t>
  </si>
  <si>
    <t>T0005912</t>
  </si>
  <si>
    <t>T0005913</t>
  </si>
  <si>
    <t>T0005914</t>
  </si>
  <si>
    <t>T0005915</t>
  </si>
  <si>
    <t>T0005916</t>
  </si>
  <si>
    <t>T0005917</t>
  </si>
  <si>
    <t>T0005918</t>
  </si>
  <si>
    <t>T0005919</t>
  </si>
  <si>
    <t>T0005920</t>
  </si>
  <si>
    <t>T0005921</t>
  </si>
  <si>
    <t>T0005922</t>
  </si>
  <si>
    <t>T0005923</t>
  </si>
  <si>
    <t>T0005924</t>
  </si>
  <si>
    <t>T0005925</t>
  </si>
  <si>
    <t>T0005926</t>
  </si>
  <si>
    <t>T0005927</t>
  </si>
  <si>
    <t>T0005928</t>
  </si>
  <si>
    <t>T0005929</t>
  </si>
  <si>
    <t>T0005930</t>
  </si>
  <si>
    <t>T0005931</t>
  </si>
  <si>
    <t>T0005932</t>
  </si>
  <si>
    <t>T0005933</t>
  </si>
  <si>
    <t>T0005934</t>
  </si>
  <si>
    <t>T0005935</t>
  </si>
  <si>
    <t>T0005936</t>
  </si>
  <si>
    <t>T0005937</t>
  </si>
  <si>
    <t>T0005938</t>
  </si>
  <si>
    <t>T0005939</t>
  </si>
  <si>
    <t>T0005940</t>
  </si>
  <si>
    <t>T0005941</t>
  </si>
  <si>
    <t>T0005942</t>
  </si>
  <si>
    <t>T0005943</t>
  </si>
  <si>
    <t>T0005944</t>
  </si>
  <si>
    <t>T0005945</t>
  </si>
  <si>
    <t>T0005946</t>
  </si>
  <si>
    <t>T0005947</t>
  </si>
  <si>
    <t>T0005948</t>
  </si>
  <si>
    <t>T0005949</t>
  </si>
  <si>
    <t>T0005950</t>
  </si>
  <si>
    <t>T0005951</t>
  </si>
  <si>
    <t>T0005952</t>
  </si>
  <si>
    <t>T0005953</t>
  </si>
  <si>
    <t>T0005954</t>
  </si>
  <si>
    <t>T0005955</t>
  </si>
  <si>
    <t>T0005956</t>
  </si>
  <si>
    <t>T0005957</t>
  </si>
  <si>
    <t>T0005958</t>
  </si>
  <si>
    <t>T0005959</t>
  </si>
  <si>
    <t>T0005960</t>
  </si>
  <si>
    <t>T0005961</t>
  </si>
  <si>
    <t>T0005962</t>
  </si>
  <si>
    <t>T0005963</t>
  </si>
  <si>
    <t>T0005964</t>
  </si>
  <si>
    <t>T0005965</t>
  </si>
  <si>
    <t>T0005966</t>
  </si>
  <si>
    <t>T0005967</t>
  </si>
  <si>
    <t>T0005968</t>
  </si>
  <si>
    <t>T0005969</t>
  </si>
  <si>
    <t>T0005970</t>
  </si>
  <si>
    <t>T0005971</t>
  </si>
  <si>
    <t>T0005972</t>
  </si>
  <si>
    <t>T0005973</t>
  </si>
  <si>
    <t>T0005974</t>
  </si>
  <si>
    <t>T0005975</t>
  </si>
  <si>
    <t>T0005976</t>
  </si>
  <si>
    <t>T0005977</t>
  </si>
  <si>
    <t>T0005978</t>
  </si>
  <si>
    <t>T0005979</t>
  </si>
  <si>
    <t>T0005980</t>
  </si>
  <si>
    <t>T0005981</t>
  </si>
  <si>
    <t>T0005982</t>
  </si>
  <si>
    <t>T0005983</t>
  </si>
  <si>
    <t>T0005984</t>
  </si>
  <si>
    <t>T0005985</t>
  </si>
  <si>
    <t>T0005986</t>
  </si>
  <si>
    <t>T0005987</t>
  </si>
  <si>
    <t>T0005988</t>
  </si>
  <si>
    <t>T0005989</t>
  </si>
  <si>
    <t>T0005990</t>
  </si>
  <si>
    <t>T0005991</t>
  </si>
  <si>
    <t>T0005992</t>
  </si>
  <si>
    <t>T0005993</t>
  </si>
  <si>
    <t>T0005994</t>
  </si>
  <si>
    <t>T0005995</t>
  </si>
  <si>
    <t>T0005996</t>
  </si>
  <si>
    <t>T0005997</t>
  </si>
  <si>
    <t>T0005998</t>
  </si>
  <si>
    <t>T0005999</t>
  </si>
  <si>
    <t>T0006000</t>
  </si>
  <si>
    <t>Loan_ID</t>
  </si>
  <si>
    <t>Loan_Type</t>
  </si>
  <si>
    <t>Loan_Amount</t>
  </si>
  <si>
    <t>Loan_Status</t>
  </si>
  <si>
    <t>Application_Date</t>
  </si>
  <si>
    <t>Interest_Rate</t>
  </si>
  <si>
    <t>Loan_Term_Months</t>
  </si>
  <si>
    <t>L00001</t>
  </si>
  <si>
    <t>Salary Advance</t>
  </si>
  <si>
    <t>L00002</t>
  </si>
  <si>
    <t>L00003</t>
  </si>
  <si>
    <t>Personal</t>
  </si>
  <si>
    <t>L00004</t>
  </si>
  <si>
    <t>L00005</t>
  </si>
  <si>
    <t>Paid</t>
  </si>
  <si>
    <t>L00006</t>
  </si>
  <si>
    <t>L00007</t>
  </si>
  <si>
    <t>L00008</t>
  </si>
  <si>
    <t>L00009</t>
  </si>
  <si>
    <t>L00010</t>
  </si>
  <si>
    <t>L00011</t>
  </si>
  <si>
    <t>L00012</t>
  </si>
  <si>
    <t>L00013</t>
  </si>
  <si>
    <t>L00014</t>
  </si>
  <si>
    <t>L00015</t>
  </si>
  <si>
    <t>L00016</t>
  </si>
  <si>
    <t>L00017</t>
  </si>
  <si>
    <t>L00018</t>
  </si>
  <si>
    <t>Rejected</t>
  </si>
  <si>
    <t>L00019</t>
  </si>
  <si>
    <t>L00020</t>
  </si>
  <si>
    <t>L00021</t>
  </si>
  <si>
    <t>Defaulted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</si>
  <si>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</si>
  <si>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</si>
  <si>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</si>
  <si>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</si>
  <si>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</si>
  <si>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</si>
  <si>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</si>
  <si>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</si>
  <si>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</si>
  <si>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</si>
  <si>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</si>
  <si>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</si>
  <si>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</si>
  <si>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</si>
  <si>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</si>
  <si>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</si>
  <si>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</si>
  <si>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</si>
  <si>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Agricultural</t>
  </si>
  <si>
    <t>L00040</t>
  </si>
  <si>
    <t>L00041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</si>
  <si>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</si>
  <si>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</si>
  <si>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</si>
  <si>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</si>
  <si>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</si>
  <si>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</si>
  <si>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</si>
  <si>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</si>
  <si>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</si>
  <si>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</si>
  <si>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</si>
  <si>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</si>
  <si>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</si>
  <si>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</si>
  <si>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</si>
  <si>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</si>
  <si>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</si>
  <si>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</si>
  <si>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</si>
  <si>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</si>
  <si>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</si>
  <si>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</si>
  <si>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</si>
  <si>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</si>
  <si>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</si>
  <si>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</si>
  <si>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</si>
  <si>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</si>
  <si>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</si>
  <si>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</si>
  <si>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</si>
  <si>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</si>
  <si>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</si>
  <si>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</si>
  <si>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</si>
  <si>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</si>
  <si>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</si>
  <si>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</si>
  <si>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</si>
  <si>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</si>
  <si>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</si>
  <si>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</si>
  <si>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</si>
  <si>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</si>
  <si>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</si>
  <si>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</si>
  <si>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</si>
  <si>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</si>
  <si>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</si>
  <si>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</si>
  <si>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</si>
  <si>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</si>
  <si>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</si>
  <si>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</si>
  <si>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</si>
  <si>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</si>
  <si>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</si>
  <si>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</si>
  <si>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</si>
  <si>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</si>
  <si>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</si>
  <si>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</si>
  <si>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</si>
  <si>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</si>
  <si>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</si>
  <si>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</si>
  <si>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</si>
  <si>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</si>
  <si>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</si>
  <si>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</si>
  <si>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</si>
  <si>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</si>
  <si>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</si>
  <si>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</si>
  <si>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</si>
  <si>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</si>
  <si>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</si>
  <si>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</si>
  <si>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</si>
  <si>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</si>
  <si>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</si>
  <si>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</si>
  <si>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</si>
  <si>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</si>
  <si>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</si>
  <si>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</si>
  <si>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</si>
  <si>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</si>
  <si>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</si>
  <si>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</si>
  <si>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</si>
  <si>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</si>
  <si>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</si>
  <si>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</si>
  <si>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</si>
  <si>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</si>
  <si>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</si>
  <si>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</si>
  <si>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</si>
  <si>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</si>
  <si>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</si>
  <si>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</si>
  <si>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</si>
  <si>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</si>
  <si>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</si>
  <si>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</si>
  <si>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</si>
  <si>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</si>
  <si>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</si>
  <si>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</si>
  <si>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</si>
  <si>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</si>
  <si>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</si>
  <si>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</si>
  <si>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</si>
  <si>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</si>
  <si>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</si>
  <si>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</si>
  <si>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</si>
  <si>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</si>
  <si>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</si>
  <si>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</si>
  <si>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</si>
  <si>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</si>
  <si>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</si>
  <si>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</si>
  <si>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</si>
  <si>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</si>
  <si>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</si>
  <si>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</si>
  <si>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</si>
  <si>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</si>
  <si>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</si>
  <si>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</si>
  <si>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</si>
  <si>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</si>
  <si>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</si>
  <si>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</si>
  <si>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</si>
  <si>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</si>
  <si>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</si>
  <si>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</si>
  <si>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</si>
  <si>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</si>
  <si>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</si>
  <si>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</si>
  <si>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</si>
  <si>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</si>
  <si>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</si>
  <si>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</si>
  <si>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</si>
  <si>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</si>
  <si>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</si>
  <si>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</si>
  <si>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</si>
  <si>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</si>
  <si>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</si>
  <si>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</si>
  <si>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L00200</t>
  </si>
  <si>
    <t>L00201</t>
  </si>
  <si>
    <t>L00202</t>
  </si>
  <si>
    <t>L00203</t>
  </si>
  <si>
    <t>L00204</t>
  </si>
  <si>
    <t>L00205</t>
  </si>
  <si>
    <t>L00206</t>
  </si>
  <si>
    <t>L00207</t>
  </si>
  <si>
    <t>L00208</t>
  </si>
  <si>
    <t>L00209</t>
  </si>
  <si>
    <t>L00210</t>
  </si>
  <si>
    <t>L00211</t>
  </si>
  <si>
    <t>L00212</t>
  </si>
  <si>
    <t>L00213</t>
  </si>
  <si>
    <t>L00214</t>
  </si>
  <si>
    <t>L00215</t>
  </si>
  <si>
    <t>L00216</t>
  </si>
  <si>
    <t>L00217</t>
  </si>
  <si>
    <t>L00218</t>
  </si>
  <si>
    <t>L00219</t>
  </si>
  <si>
    <t>L00220</t>
  </si>
  <si>
    <t>L00221</t>
  </si>
  <si>
    <t>L00222</t>
  </si>
  <si>
    <t>L00223</t>
  </si>
  <si>
    <t>L00224</t>
  </si>
  <si>
    <t>L00225</t>
  </si>
  <si>
    <t>L00226</t>
  </si>
  <si>
    <t>L00227</t>
  </si>
  <si>
    <t>L00228</t>
  </si>
  <si>
    <t>L00229</t>
  </si>
  <si>
    <t>L00230</t>
  </si>
  <si>
    <t>L00231</t>
  </si>
  <si>
    <t>L00232</t>
  </si>
  <si>
    <t>L00233</t>
  </si>
  <si>
    <t>L00234</t>
  </si>
  <si>
    <t>L00235</t>
  </si>
  <si>
    <t>L00236</t>
  </si>
  <si>
    <t>L00237</t>
  </si>
  <si>
    <t>L00238</t>
  </si>
  <si>
    <t>L00239</t>
  </si>
  <si>
    <t>L00240</t>
  </si>
  <si>
    <t>L00241</t>
  </si>
  <si>
    <t>L00242</t>
  </si>
  <si>
    <t>L00243</t>
  </si>
  <si>
    <t>L00244</t>
  </si>
  <si>
    <t>L00245</t>
  </si>
  <si>
    <t>L00246</t>
  </si>
  <si>
    <t>L00247</t>
  </si>
  <si>
    <t>L00248</t>
  </si>
  <si>
    <t>L00249</t>
  </si>
  <si>
    <t>L00250</t>
  </si>
  <si>
    <t>L00251</t>
  </si>
  <si>
    <t>L00252</t>
  </si>
  <si>
    <t>L00253</t>
  </si>
  <si>
    <t>L00254</t>
  </si>
  <si>
    <t>L00255</t>
  </si>
  <si>
    <t>L00256</t>
  </si>
  <si>
    <t>L00257</t>
  </si>
  <si>
    <t>L00258</t>
  </si>
  <si>
    <t>L00259</t>
  </si>
  <si>
    <t>L00260</t>
  </si>
  <si>
    <t>L00261</t>
  </si>
  <si>
    <t>L00262</t>
  </si>
  <si>
    <t>L00263</t>
  </si>
  <si>
    <t>L00264</t>
  </si>
  <si>
    <t>L00265</t>
  </si>
  <si>
    <t>L00266</t>
  </si>
  <si>
    <t>L00267</t>
  </si>
  <si>
    <t>L00268</t>
  </si>
  <si>
    <t>L00269</t>
  </si>
  <si>
    <t>L00270</t>
  </si>
  <si>
    <t>L00271</t>
  </si>
  <si>
    <t>L00272</t>
  </si>
  <si>
    <t>L00273</t>
  </si>
  <si>
    <t>L00274</t>
  </si>
  <si>
    <t>L00275</t>
  </si>
  <si>
    <t>L00276</t>
  </si>
  <si>
    <t>L00277</t>
  </si>
  <si>
    <t>L00278</t>
  </si>
  <si>
    <t>L00279</t>
  </si>
  <si>
    <t>L00280</t>
  </si>
  <si>
    <t>L00281</t>
  </si>
  <si>
    <t>L00282</t>
  </si>
  <si>
    <t>L00283</t>
  </si>
  <si>
    <t>L00284</t>
  </si>
  <si>
    <t>L00285</t>
  </si>
  <si>
    <t>L00286</t>
  </si>
  <si>
    <t>L00287</t>
  </si>
  <si>
    <t>L00288</t>
  </si>
  <si>
    <t>L00289</t>
  </si>
  <si>
    <t>L00290</t>
  </si>
  <si>
    <t>L00291</t>
  </si>
  <si>
    <t>L00292</t>
  </si>
  <si>
    <t>L00293</t>
  </si>
  <si>
    <t>L00294</t>
  </si>
  <si>
    <t>L00295</t>
  </si>
  <si>
    <t>L00296</t>
  </si>
  <si>
    <t>L00297</t>
  </si>
  <si>
    <t>L00298</t>
  </si>
  <si>
    <t>L00299</t>
  </si>
  <si>
    <t>L00300</t>
  </si>
  <si>
    <t>L00301</t>
  </si>
  <si>
    <t>L00302</t>
  </si>
  <si>
    <t>L00303</t>
  </si>
  <si>
    <t>L00304</t>
  </si>
  <si>
    <t>L00305</t>
  </si>
  <si>
    <t>L00306</t>
  </si>
  <si>
    <t>L00307</t>
  </si>
  <si>
    <t>L00308</t>
  </si>
  <si>
    <t>L00309</t>
  </si>
  <si>
    <t>L00310</t>
  </si>
  <si>
    <t>L00311</t>
  </si>
  <si>
    <t>L00312</t>
  </si>
  <si>
    <t>L00313</t>
  </si>
  <si>
    <t>L00314</t>
  </si>
  <si>
    <t>L00315</t>
  </si>
  <si>
    <t>L00316</t>
  </si>
  <si>
    <t>L00317</t>
  </si>
  <si>
    <t>L00318</t>
  </si>
  <si>
    <t>L00319</t>
  </si>
  <si>
    <t>L00320</t>
  </si>
  <si>
    <t>L00321</t>
  </si>
  <si>
    <t>L00322</t>
  </si>
  <si>
    <t>L00323</t>
  </si>
  <si>
    <t>L00324</t>
  </si>
  <si>
    <t>L00325</t>
  </si>
  <si>
    <t>L00326</t>
  </si>
  <si>
    <t>L00327</t>
  </si>
  <si>
    <t>L00328</t>
  </si>
  <si>
    <t>L00329</t>
  </si>
  <si>
    <t>L00330</t>
  </si>
  <si>
    <t>L00331</t>
  </si>
  <si>
    <t>L00332</t>
  </si>
  <si>
    <t>L00333</t>
  </si>
  <si>
    <t>L00334</t>
  </si>
  <si>
    <t>L00335</t>
  </si>
  <si>
    <t>L00336</t>
  </si>
  <si>
    <t>L00337</t>
  </si>
  <si>
    <t>L00338</t>
  </si>
  <si>
    <t>L00339</t>
  </si>
  <si>
    <t>L00340</t>
  </si>
  <si>
    <t>L00341</t>
  </si>
  <si>
    <t>L00342</t>
  </si>
  <si>
    <t>L00343</t>
  </si>
  <si>
    <t>L00344</t>
  </si>
  <si>
    <t>L00345</t>
  </si>
  <si>
    <t>L00346</t>
  </si>
  <si>
    <t>L00347</t>
  </si>
  <si>
    <t>L00348</t>
  </si>
  <si>
    <t>L00349</t>
  </si>
  <si>
    <t>L00350</t>
  </si>
  <si>
    <t>L00351</t>
  </si>
  <si>
    <t>L00352</t>
  </si>
  <si>
    <t>L00353</t>
  </si>
  <si>
    <t>L00354</t>
  </si>
  <si>
    <t>L00355</t>
  </si>
  <si>
    <t>L00356</t>
  </si>
  <si>
    <t>L00357</t>
  </si>
  <si>
    <t>L00358</t>
  </si>
  <si>
    <t>L00359</t>
  </si>
  <si>
    <t>L00360</t>
  </si>
  <si>
    <t>L00361</t>
  </si>
  <si>
    <t>L00362</t>
  </si>
  <si>
    <t>L00363</t>
  </si>
  <si>
    <t>L00364</t>
  </si>
  <si>
    <t>L00365</t>
  </si>
  <si>
    <t>L00366</t>
  </si>
  <si>
    <t>L00367</t>
  </si>
  <si>
    <t>L00368</t>
  </si>
  <si>
    <t>L00369</t>
  </si>
  <si>
    <t>L00370</t>
  </si>
  <si>
    <t>L00371</t>
  </si>
  <si>
    <t>L00372</t>
  </si>
  <si>
    <t>L00373</t>
  </si>
  <si>
    <t>L00374</t>
  </si>
  <si>
    <t>L00375</t>
  </si>
  <si>
    <t>L00376</t>
  </si>
  <si>
    <t>L00377</t>
  </si>
  <si>
    <t>L00378</t>
  </si>
  <si>
    <t>L00379</t>
  </si>
  <si>
    <t>L00380</t>
  </si>
  <si>
    <t>L00381</t>
  </si>
  <si>
    <t>L00382</t>
  </si>
  <si>
    <t>L00383</t>
  </si>
  <si>
    <t>L00384</t>
  </si>
  <si>
    <t>L00385</t>
  </si>
  <si>
    <t>L00386</t>
  </si>
  <si>
    <t>L00387</t>
  </si>
  <si>
    <t>L00388</t>
  </si>
  <si>
    <t>L00389</t>
  </si>
  <si>
    <t>L00390</t>
  </si>
  <si>
    <t>L00391</t>
  </si>
  <si>
    <t>L00392</t>
  </si>
  <si>
    <t>L00393</t>
  </si>
  <si>
    <t>L00394</t>
  </si>
  <si>
    <t>L00395</t>
  </si>
  <si>
    <t>L00396</t>
  </si>
  <si>
    <t>L00397</t>
  </si>
  <si>
    <t>L00398</t>
  </si>
  <si>
    <t>L00399</t>
  </si>
  <si>
    <t>L00400</t>
  </si>
  <si>
    <t>L00401</t>
  </si>
  <si>
    <t>L00402</t>
  </si>
  <si>
    <t>L00403</t>
  </si>
  <si>
    <t>L00404</t>
  </si>
  <si>
    <t>L00405</t>
  </si>
  <si>
    <t>L00406</t>
  </si>
  <si>
    <t>L00407</t>
  </si>
  <si>
    <t>L00408</t>
  </si>
  <si>
    <t>L00409</t>
  </si>
  <si>
    <t>L00410</t>
  </si>
  <si>
    <t>L00411</t>
  </si>
  <si>
    <t>L00412</t>
  </si>
  <si>
    <t>L00413</t>
  </si>
  <si>
    <t>L00414</t>
  </si>
  <si>
    <t>L00415</t>
  </si>
  <si>
    <t>L00416</t>
  </si>
  <si>
    <t>L00417</t>
  </si>
  <si>
    <t>L00418</t>
  </si>
  <si>
    <t>L00419</t>
  </si>
  <si>
    <t>L00420</t>
  </si>
  <si>
    <t>L00421</t>
  </si>
  <si>
    <t>L00422</t>
  </si>
  <si>
    <t>L00423</t>
  </si>
  <si>
    <t>L00424</t>
  </si>
  <si>
    <t>L00425</t>
  </si>
  <si>
    <t>L00426</t>
  </si>
  <si>
    <t>L00427</t>
  </si>
  <si>
    <t>L00428</t>
  </si>
  <si>
    <t>L00429</t>
  </si>
  <si>
    <t>L00430</t>
  </si>
  <si>
    <t>L00431</t>
  </si>
  <si>
    <t>L00432</t>
  </si>
  <si>
    <t>L00433</t>
  </si>
  <si>
    <t>L00434</t>
  </si>
  <si>
    <t>L00435</t>
  </si>
  <si>
    <t>L00436</t>
  </si>
  <si>
    <t>L00437</t>
  </si>
  <si>
    <t>L00438</t>
  </si>
  <si>
    <t>L00439</t>
  </si>
  <si>
    <t>L00440</t>
  </si>
  <si>
    <t>L00441</t>
  </si>
  <si>
    <t>L00442</t>
  </si>
  <si>
    <t>L00443</t>
  </si>
  <si>
    <t>L00444</t>
  </si>
  <si>
    <t>L00445</t>
  </si>
  <si>
    <t>L00446</t>
  </si>
  <si>
    <t>L00447</t>
  </si>
  <si>
    <t>L00448</t>
  </si>
  <si>
    <t>L00449</t>
  </si>
  <si>
    <t>L00450</t>
  </si>
  <si>
    <t>Branch_Name</t>
  </si>
  <si>
    <t>Lusaka Main</t>
  </si>
  <si>
    <t>Manda Hill</t>
  </si>
  <si>
    <t>Cairo Road</t>
  </si>
  <si>
    <t>Woodlands</t>
  </si>
  <si>
    <t>Issue_Type</t>
  </si>
  <si>
    <t>Affected_Table</t>
  </si>
  <si>
    <t>Description</t>
  </si>
  <si>
    <t>Missing Values</t>
  </si>
  <si>
    <t>Customers</t>
  </si>
  <si>
    <t>Some customer gender values are missing.</t>
  </si>
  <si>
    <t>Transactions</t>
  </si>
  <si>
    <t>Some transaction amounts are missing.</t>
  </si>
  <si>
    <t>Inconsistent Text</t>
  </si>
  <si>
    <t>Some channel values use inconsistent capitalisation.</t>
  </si>
  <si>
    <t>Some geographical values are inconsistent.</t>
  </si>
  <si>
    <t>Duplicate Records</t>
  </si>
  <si>
    <t>A small number of transaction records have been duplicated.</t>
  </si>
  <si>
    <t>Invalid/Unusual Values</t>
  </si>
  <si>
    <t>Some transaction amounts require investigation.</t>
  </si>
  <si>
    <t>Whitespace</t>
  </si>
  <si>
    <t>Customers/Accounts</t>
  </si>
  <si>
    <t>Some text values contain leading or trailing spaces.</t>
  </si>
  <si>
    <t>Inconsistent Geography</t>
  </si>
  <si>
    <t>A small number of province values use inconsistent naming.</t>
  </si>
  <si>
    <t>Row Labels</t>
  </si>
  <si>
    <t>Count of Customer_Segment</t>
  </si>
  <si>
    <t>Grand Total</t>
  </si>
  <si>
    <t>Count of Province</t>
  </si>
  <si>
    <t>Count of Transaction_Type</t>
  </si>
  <si>
    <t>Count of Channel</t>
  </si>
  <si>
    <t>Count of Loan_Type</t>
  </si>
  <si>
    <t>Count of Loan_Status</t>
  </si>
  <si>
    <t>Table</t>
  </si>
  <si>
    <t>Column</t>
  </si>
  <si>
    <t>Check</t>
  </si>
  <si>
    <t>Finding</t>
  </si>
  <si>
    <t>Severity</t>
  </si>
  <si>
    <t>Duplicates</t>
  </si>
  <si>
    <t>Missing values</t>
  </si>
  <si>
    <t>Consistency</t>
  </si>
  <si>
    <t>Range</t>
  </si>
  <si>
    <t>Invalid/unusual values</t>
  </si>
  <si>
    <t>Date range</t>
  </si>
  <si>
    <t>Loans</t>
  </si>
  <si>
    <t>Missing/unusual values</t>
  </si>
  <si>
    <t>Branches</t>
  </si>
  <si>
    <t>Referential integrity</t>
  </si>
  <si>
    <t xml:space="preserve">Maximum age </t>
  </si>
  <si>
    <t>Date max</t>
  </si>
  <si>
    <t>Date Min</t>
  </si>
  <si>
    <t>None</t>
  </si>
  <si>
    <t>0 duplicates</t>
  </si>
  <si>
    <t>4 missing values</t>
  </si>
  <si>
    <t>Low</t>
  </si>
  <si>
    <r>
      <t>Lusaka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Lusaka Province</t>
    </r>
    <r>
      <rPr>
        <sz val="11"/>
        <color theme="1"/>
        <rFont val="Calibri"/>
        <family val="2"/>
        <scheme val="minor"/>
      </rPr>
      <t xml:space="preserve"> used for the same province</t>
    </r>
  </si>
  <si>
    <t>18–65</t>
  </si>
  <si>
    <t>No issue identified</t>
  </si>
  <si>
    <t>Completeness</t>
  </si>
  <si>
    <t>No missing values identified</t>
  </si>
  <si>
    <t>Date validity</t>
  </si>
  <si>
    <t>Accounts</t>
  </si>
  <si>
    <t>3 duplicate records</t>
  </si>
  <si>
    <t>Medium</t>
  </si>
  <si>
    <t>01-01-2026 to 31-08-2026</t>
  </si>
  <si>
    <t>Inconsistent formatting identified</t>
  </si>
  <si>
    <t>Zero and negative transaction amounts identified</t>
  </si>
  <si>
    <t>Zero transaction amount</t>
  </si>
  <si>
    <t>1 transaction has Amount = 0</t>
  </si>
  <si>
    <t>Negative transaction amount</t>
  </si>
  <si>
    <t>1 transaction has Amount = -500</t>
  </si>
  <si>
    <t>Issue</t>
  </si>
  <si>
    <t>Action</t>
  </si>
  <si>
    <t>Result</t>
  </si>
  <si>
    <t>Flagged completed deposit with Amount = 0 as invalid</t>
  </si>
  <si>
    <t>Flagged</t>
  </si>
  <si>
    <t>Flagged completed deposit with Amount = -500 as invalid</t>
  </si>
  <si>
    <t>Province and City inconsistency</t>
  </si>
  <si>
    <t>Changed Province from Lusaka Province to Central based on City and Branch_ID</t>
  </si>
  <si>
    <t>Total Customer IDs</t>
  </si>
  <si>
    <t>Customer_ID_Check</t>
  </si>
  <si>
    <t>Missing Transaction_ID</t>
  </si>
  <si>
    <t>Flagged records with missing primary identifiers</t>
  </si>
  <si>
    <t>Pending</t>
  </si>
  <si>
    <t>Branch_ID_Check</t>
  </si>
  <si>
    <t>Validation</t>
  </si>
  <si>
    <t>Expected Result</t>
  </si>
  <si>
    <t>Actual Result</t>
  </si>
  <si>
    <t>Status</t>
  </si>
  <si>
    <t>Customer_ID uniqueness</t>
  </si>
  <si>
    <t>No duplicates</t>
  </si>
  <si>
    <t>PASS</t>
  </si>
  <si>
    <t>Account → Customer</t>
  </si>
  <si>
    <t>0 invalid</t>
  </si>
  <si>
    <t>Transaction_ID completeness</t>
  </si>
  <si>
    <t>0 missing</t>
  </si>
  <si>
    <t>3 missing</t>
  </si>
  <si>
    <t>FAIL</t>
  </si>
  <si>
    <t>Transaction → Customer</t>
  </si>
  <si>
    <t>Transaction → Branch</t>
  </si>
  <si>
    <t>Loan → Customer</t>
  </si>
  <si>
    <t>Loan Amount validity</t>
  </si>
  <si>
    <t>No values ≤ 0</t>
  </si>
  <si>
    <t>Loan Amount completeness</t>
  </si>
  <si>
    <t xml:space="preserve">Highest intrest rate </t>
  </si>
  <si>
    <t xml:space="preserve">Lowest intrest rate </t>
  </si>
  <si>
    <t>Loan Interest Rate</t>
  </si>
  <si>
    <t>10%–35%</t>
  </si>
  <si>
    <t>Loan Term</t>
  </si>
  <si>
    <t>Valid terms only</t>
  </si>
  <si>
    <t>3,6,12,24</t>
  </si>
  <si>
    <t>Account Type</t>
  </si>
  <si>
    <t>Savings, Current, Business, Student only</t>
  </si>
  <si>
    <t>All valid</t>
  </si>
  <si>
    <t>All valid, no blanks</t>
  </si>
  <si>
    <t>Account Status</t>
  </si>
  <si>
    <t>Active, Inactive, Dormant, Closed only</t>
  </si>
  <si>
    <t>Transaction Type</t>
  </si>
  <si>
    <t>Deposit, Withdrawal, Transfer, Payment, Loan Repayment only</t>
  </si>
  <si>
    <t>5 valid categories</t>
  </si>
  <si>
    <t>Transaction Channel</t>
  </si>
  <si>
    <t>Transaction Status</t>
  </si>
  <si>
    <t>3 valid categories</t>
  </si>
  <si>
    <t>Customer Segment</t>
  </si>
  <si>
    <t>Number of Customers</t>
  </si>
  <si>
    <t>Total</t>
  </si>
  <si>
    <t>Customer %</t>
  </si>
  <si>
    <t>Unknown</t>
  </si>
  <si>
    <t>Metric</t>
  </si>
  <si>
    <t>Value</t>
  </si>
  <si>
    <t>Average Age</t>
  </si>
  <si>
    <t>Minimum Age</t>
  </si>
  <si>
    <t>Maximum Age</t>
  </si>
  <si>
    <t>Age Group</t>
  </si>
  <si>
    <t>18–24</t>
  </si>
  <si>
    <t>25–34</t>
  </si>
  <si>
    <t>35–44</t>
  </si>
  <si>
    <t>45–54</t>
  </si>
  <si>
    <t>55–65</t>
  </si>
  <si>
    <t>Year</t>
  </si>
  <si>
    <t>Customers Joined</t>
  </si>
  <si>
    <t>Number of Accounts</t>
  </si>
  <si>
    <t>Percentage</t>
  </si>
  <si>
    <t>Account Status Distribution</t>
  </si>
  <si>
    <t>Account Type Distribution</t>
  </si>
  <si>
    <t>Total Transactions</t>
  </si>
  <si>
    <t>Number of Transactions</t>
  </si>
  <si>
    <t>Loan Type</t>
  </si>
  <si>
    <t>Number of Loans</t>
  </si>
  <si>
    <t>Loan Status</t>
  </si>
  <si>
    <t>Total Loan Amount</t>
  </si>
  <si>
    <t>Average Loan Amount</t>
  </si>
  <si>
    <t>Minimum Loan Amount</t>
  </si>
  <si>
    <t>Maximum Loan Amount</t>
  </si>
  <si>
    <t>Total Loans</t>
  </si>
  <si>
    <t>Defaulted Loans</t>
  </si>
  <si>
    <t>Default Rate</t>
  </si>
  <si>
    <t>Defaulted Loan Amount</t>
  </si>
  <si>
    <t>Defaulted Amount Rate</t>
  </si>
  <si>
    <t>Average Interest Rate</t>
  </si>
  <si>
    <t>Minimum Interest Rate</t>
  </si>
  <si>
    <t>Maximum Interest Rate</t>
  </si>
  <si>
    <t>Loan Term (Months)</t>
  </si>
  <si>
    <t>Branch ID</t>
  </si>
  <si>
    <t>Branch Name</t>
  </si>
  <si>
    <t>Total Transaction Value</t>
  </si>
  <si>
    <t>MOBILE BANKING</t>
  </si>
  <si>
    <t>Transaction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</si>
</sst>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theme="1"/>
      <name val="Calibri"/>
      <family val="2"/>
      <scheme val="minor"/>
    </font>
    <font>
      <sz val="10"/>
      <color rgb="FFF9FAFB"/>
      <name val="Consolas"/>
      <family val="3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6" fillId="0" borderId="2" xfId="0" applyFont="1" applyFill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/>
    <xf numFmtId="0" fontId="2" fillId="2" borderId="0" xfId="0" applyFont="1" applyFill="1"/>
    <xf numFmtId="3" fontId="2" fillId="0" borderId="0" xfId="0" applyNumberFormat="1" applyFont="1" applyAlignment="1">
      <alignment horizontal="right" vertical="center" wrapText="1"/>
    </xf>
    <xf numFmtId="9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9" fontId="0" fillId="0" borderId="0" xfId="1" applyFont="1" applyAlignment="1">
      <alignment horizontal="left"/>
    </xf>
    <xf numFmtId="0" fontId="0" fillId="0" borderId="0" xfId="0" applyAlignment="1"/>
    <xf numFmtId="0" fontId="0" fillId="3" borderId="0" xfId="0" applyFill="1"/>
    <xf numFmtId="0" fontId="0" fillId="3" borderId="0" xfId="0" applyFill="1" applyAlignment="1">
      <alignment horizontal="left"/>
    </xf>
    <xf numFmtId="9" fontId="0" fillId="3" borderId="0" xfId="1" applyFont="1" applyFill="1" applyAlignment="1">
      <alignment horizontal="left"/>
    </xf>
    <xf numFmtId="0" fontId="0" fillId="3" borderId="0" xfId="0" applyFill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2" fillId="0" borderId="0" xfId="0" applyNumberFormat="1" applyFont="1" applyAlignment="1">
      <alignment horizontal="center" vertical="center" wrapText="1"/>
    </xf>
    <xf numFmtId="9" fontId="2" fillId="0" borderId="0" xfId="1" applyFon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9" fontId="2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3" borderId="0" xfId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0" fillId="0" borderId="0" xfId="1" applyFont="1" applyAlignment="1">
      <alignment horizontal="right" vertical="center" wrapText="1"/>
    </xf>
    <xf numFmtId="9" fontId="2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6" fillId="0" borderId="1" xfId="0" applyFont="1" applyBorder="1" applyAlignment="1">
      <alignment horizontal="center" vertical="top"/>
    </xf>
    <xf numFmtId="0" fontId="6" fillId="0" borderId="3" xfId="0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ABOTH A MULENGA" refreshedDate="46291.552785763888" createdVersion="5" refreshedVersion="5" minRefreshableVersion="3" recordCount="1000">
  <cacheSource type="worksheet">
    <worksheetSource ref="A1:H1001" sheet="Customers"/>
  </cacheSource>
  <cacheFields count="8">
    <cacheField name="Customer_ID" numFmtId="0">
      <sharedItems/>
    </cacheField>
    <cacheField name="Age" numFmtId="0">
      <sharedItems containsSemiMixedTypes="0" containsString="0" containsNumber="1" containsInteger="1" minValue="18" maxValue="65"/>
    </cacheField>
    <cacheField name="Gender" numFmtId="0">
      <sharedItems containsBlank="1" count="3">
        <s v="Male"/>
        <s v="Female"/>
        <m/>
      </sharedItems>
    </cacheField>
    <cacheField name="Province" numFmtId="0">
      <sharedItems count="7">
        <s v="Lusaka"/>
        <s v="Eastern"/>
        <s v="Southern"/>
        <s v="Copperbelt"/>
        <s v="Western"/>
        <s v="Central"/>
        <s v="Lusaka Province"/>
      </sharedItems>
    </cacheField>
    <cacheField name="City" numFmtId="0">
      <sharedItems count="9">
        <s v="Lusaka"/>
        <s v="Chipata"/>
        <s v="Livingstone"/>
        <s v="Kitwe"/>
        <s v="Mongu"/>
        <s v="Ndola"/>
        <s v="Kabwe"/>
        <s v=" Ndola"/>
        <s v=" Chipata"/>
      </sharedItems>
    </cacheField>
    <cacheField name="Branch_ID" numFmtId="0">
      <sharedItems count="10">
        <s v="B003"/>
        <s v="B010"/>
        <s v="B007"/>
        <s v="B005"/>
        <s v="B001"/>
        <s v="B009"/>
        <s v="B006"/>
        <s v="B008"/>
        <s v="B002"/>
        <s v="B004"/>
      </sharedItems>
    </cacheField>
    <cacheField name="Customer_Segment" numFmtId="0">
      <sharedItems count="4">
        <s v="Individual"/>
        <s v="Student"/>
        <s v="SME"/>
        <s v="Corporate"/>
      </sharedItems>
    </cacheField>
    <cacheField name="Join_Date" numFmtId="165">
      <sharedItems containsSemiMixedTypes="0" containsNonDate="0" containsDate="1" containsString="0" minDate="2023-01-01T00:00:00" maxDate="2026-06-2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ABOTH A MULENGA" refreshedDate="46291.566843287037" createdVersion="5" refreshedVersion="5" minRefreshableVersion="3" recordCount="6004">
  <cacheSource type="worksheet">
    <worksheetSource ref="D1:D1048576" sheet="Transactions"/>
  </cacheSource>
  <cacheFields count="1">
    <cacheField name="Transaction_Type" numFmtId="0">
      <sharedItems containsBlank="1" count="6">
        <s v="Transfer"/>
        <s v="Payment"/>
        <s v="Deposit"/>
        <s v="Withdrawal"/>
        <s v="Loan Repaymen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ABOTH A MULENGA" refreshedDate="46291.568553819445" createdVersion="5" refreshedVersion="5" minRefreshableVersion="3" recordCount="6004">
  <cacheSource type="worksheet">
    <worksheetSource ref="E1:E1048576" sheet="Transactions"/>
  </cacheSource>
  <cacheFields count="1">
    <cacheField name="Channel" numFmtId="0">
      <sharedItems containsBlank="1" count="8">
        <s v="ATM"/>
        <s v="Mobile Banking"/>
        <s v="Internet Banking"/>
        <s v="POS"/>
        <s v="Branch"/>
        <s v=" MOBILE BANKING "/>
        <s v="ATM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NABOTH A MULENGA" refreshedDate="46291.58504351852" createdVersion="5" refreshedVersion="5" minRefreshableVersion="3" recordCount="450">
  <cacheSource type="worksheet">
    <worksheetSource ref="A1:H451" sheet="Loans"/>
  </cacheSource>
  <cacheFields count="8">
    <cacheField name="Loan_ID" numFmtId="0">
      <sharedItems count="450">
        <s v="L00001"/>
        <s v="L00002"/>
        <s v="L00003"/>
        <s v="L00004"/>
        <s v="L00005"/>
        <s v="L00006"/>
        <s v="L00007"/>
        <s v="L00008"/>
        <s v="L00009"/>
        <s v="L00010"/>
        <s v="L00011"/>
        <s v="L00012"/>
        <s v="L00013"/>
        <s v="L00014"/>
        <s v="L00015"/>
        <s v="L00016"/>
        <s v="L00017"/>
        <s v="L00018"/>
        <s v="L00019"/>
        <s v="L00020"/>
        <s v="L00021"/>
        <s v="L00022"/>
        <s v="L00023"/>
        <s v="L00024"/>
        <s v="L00025"/>
        <s v="L00026"/>
        <s v="L00027"/>
        <s v="L00028"/>
        <s v="L00029"/>
        <s v="L00030"/>
        <s v="L00031"/>
        <s v="L00032"/>
        <s v="L00033"/>
        <s v="L00034"/>
        <s v="L00035"/>
        <s v="L00036"/>
        <s v="L00037"/>
        <s v="L00038"/>
        <s v="L00039"/>
        <s v="L00040"/>
        <s v="L00041"/>
        <s v="L00042"/>
        <s v="L00043"/>
        <s v="L00044"/>
        <s v="L00045"/>
        <s v="L00046"/>
        <s v="L00047"/>
        <s v="L00048"/>
        <s v="L00049"/>
        <s v="L00050"/>
        <s v="L00051"/>
        <s v="L00052"/>
        <s v="L00053"/>
        <s v="L00054"/>
        <s v="L00055"/>
        <s v="L00056"/>
        <s v="L00057"/>
        <s v="L00058"/>
        <s v="L00059"/>
        <s v="L00060"/>
        <s v="L00061"/>
        <s v="L00062"/>
        <s v="L00063"/>
        <s v="L00064"/>
        <s v="L00065"/>
        <s v="L00066"/>
        <s v="L00067"/>
        <s v="L00068"/>
        <s v="L00069"/>
        <s v="L00070"/>
        <s v="L00071"/>
        <s v="L00072"/>
        <s v="L00073"/>
        <s v="L00074"/>
        <s v="L00075"/>
        <s v="L00076"/>
        <s v="L00077"/>
        <s v="L00078"/>
        <s v="L00079"/>
        <s v="L00080"/>
        <s v="L00081"/>
        <s v="L00082"/>
        <s v="L00083"/>
        <s v="L00084"/>
        <s v="L00085"/>
        <s v="L00086"/>
        <s v="L00087"/>
        <s v="L00088"/>
        <s v="L00089"/>
        <s v="L00090"/>
        <s v="L00091"/>
        <s v="L00092"/>
        <s v="L00093"/>
        <s v="L00094"/>
        <s v="L00095"/>
        <s v="L00096"/>
        <s v="L00097"/>
        <s v="L00098"/>
        <s v="L00099"/>
        <s v="L00100"/>
        <s v="L00101"/>
        <s v="L00102"/>
        <s v="L00103"/>
        <s v="L00104"/>
        <s v="L00105"/>
        <s v="L00106"/>
        <s v="L00107"/>
        <s v="L00108"/>
        <s v="L00109"/>
        <s v="L00110"/>
        <s v="L00111"/>
        <s v="L00112"/>
        <s v="L00113"/>
        <s v="L00114"/>
        <s v="L00115"/>
        <s v="L00116"/>
        <s v="L00117"/>
        <s v="L00118"/>
        <s v="L00119"/>
        <s v="L00120"/>
        <s v="L00121"/>
        <s v="L00122"/>
        <s v="L00123"/>
        <s v="L00124"/>
        <s v="L00125"/>
        <s v="L00126"/>
        <s v="L00127"/>
        <s v="L00128"/>
        <s v="L00129"/>
        <s v="L00130"/>
        <s v="L00131"/>
        <s v="L00132"/>
        <s v="L00133"/>
        <s v="L00134"/>
        <s v="L00135"/>
        <s v="L00136"/>
        <s v="L00137"/>
        <s v="L00138"/>
        <s v="L00139"/>
        <s v="L00140"/>
        <s v="L00141"/>
        <s v="L00142"/>
        <s v="L00143"/>
        <s v="L00144"/>
        <s v="L00145"/>
        <s v="L00146"/>
        <s v="L00147"/>
        <s v="L00148"/>
        <s v="L00149"/>
        <s v="L00150"/>
        <s v="L00151"/>
        <s v="L00152"/>
        <s v="L00153"/>
        <s v="L00154"/>
        <s v="L00155"/>
        <s v="L00156"/>
        <s v="L00157"/>
        <s v="L00158"/>
        <s v="L00159"/>
        <s v="L00160"/>
        <s v="L00161"/>
        <s v="L00162"/>
        <s v="L00163"/>
        <s v="L00164"/>
        <s v="L00165"/>
        <s v="L00166"/>
        <s v="L00167"/>
        <s v="L00168"/>
        <s v="L00169"/>
        <s v="L00170"/>
        <s v="L00171"/>
        <s v="L00172"/>
        <s v="L00173"/>
        <s v="L00174"/>
        <s v="L00175"/>
        <s v="L00176"/>
        <s v="L00177"/>
        <s v="L00178"/>
        <s v="L00179"/>
        <s v="L00180"/>
        <s v="L00181"/>
        <s v="L00182"/>
        <s v="L00183"/>
        <s v="L00184"/>
        <s v="L00185"/>
        <s v="L00186"/>
        <s v="L00187"/>
        <s v="L00188"/>
        <s v="L00189"/>
        <s v="L00190"/>
        <s v="L00191"/>
        <s v="L00192"/>
        <s v="L00193"/>
        <s v="L00194"/>
        <s v="L00195"/>
        <s v="L00196"/>
        <s v="L00197"/>
        <s v="L00198"/>
        <s v="L00199"/>
        <s v="L00200"/>
        <s v="L00201"/>
        <s v="L00202"/>
        <s v="L00203"/>
        <s v="L00204"/>
        <s v="L00205"/>
        <s v="L00206"/>
        <s v="L00207"/>
        <s v="L00208"/>
        <s v="L00209"/>
        <s v="L00210"/>
        <s v="L00211"/>
        <s v="L00212"/>
        <s v="L00213"/>
        <s v="L00214"/>
        <s v="L00215"/>
        <s v="L00216"/>
        <s v="L00217"/>
        <s v="L00218"/>
        <s v="L00219"/>
        <s v="L00220"/>
        <s v="L00221"/>
        <s v="L00222"/>
        <s v="L00223"/>
        <s v="L00224"/>
        <s v="L00225"/>
        <s v="L00226"/>
        <s v="L00227"/>
        <s v="L00228"/>
        <s v="L00229"/>
        <s v="L00230"/>
        <s v="L00231"/>
        <s v="L00232"/>
        <s v="L00233"/>
        <s v="L00234"/>
        <s v="L00235"/>
        <s v="L00236"/>
        <s v="L00237"/>
        <s v="L00238"/>
        <s v="L00239"/>
        <s v="L00240"/>
        <s v="L00241"/>
        <s v="L00242"/>
        <s v="L00243"/>
        <s v="L00244"/>
        <s v="L00245"/>
        <s v="L00246"/>
        <s v="L00247"/>
        <s v="L00248"/>
        <s v="L00249"/>
        <s v="L00250"/>
        <s v="L00251"/>
        <s v="L00252"/>
        <s v="L00253"/>
        <s v="L00254"/>
        <s v="L00255"/>
        <s v="L00256"/>
        <s v="L00257"/>
        <s v="L00258"/>
        <s v="L00259"/>
        <s v="L00260"/>
        <s v="L00261"/>
        <s v="L00262"/>
        <s v="L00263"/>
        <s v="L00264"/>
        <s v="L00265"/>
        <s v="L00266"/>
        <s v="L00267"/>
        <s v="L00268"/>
        <s v="L00269"/>
        <s v="L00270"/>
        <s v="L00271"/>
        <s v="L00272"/>
        <s v="L00273"/>
        <s v="L00274"/>
        <s v="L00275"/>
        <s v="L00276"/>
        <s v="L00277"/>
        <s v="L00278"/>
        <s v="L00279"/>
        <s v="L00280"/>
        <s v="L00281"/>
        <s v="L00282"/>
        <s v="L00283"/>
        <s v="L00284"/>
        <s v="L00285"/>
        <s v="L00286"/>
        <s v="L00287"/>
        <s v="L00288"/>
        <s v="L00289"/>
        <s v="L00290"/>
        <s v="L00291"/>
        <s v="L00292"/>
        <s v="L00293"/>
        <s v="L00294"/>
        <s v="L00295"/>
        <s v="L00296"/>
        <s v="L00297"/>
        <s v="L00298"/>
        <s v="L00299"/>
        <s v="L00300"/>
        <s v="L00301"/>
        <s v="L00302"/>
        <s v="L00303"/>
        <s v="L00304"/>
        <s v="L00305"/>
        <s v="L00306"/>
        <s v="L00307"/>
        <s v="L00308"/>
        <s v="L00309"/>
        <s v="L00310"/>
        <s v="L00311"/>
        <s v="L00312"/>
        <s v="L00313"/>
        <s v="L00314"/>
        <s v="L00315"/>
        <s v="L00316"/>
        <s v="L00317"/>
        <s v="L00318"/>
        <s v="L00319"/>
        <s v="L00320"/>
        <s v="L00321"/>
        <s v="L00322"/>
        <s v="L00323"/>
        <s v="L00324"/>
        <s v="L00325"/>
        <s v="L00326"/>
        <s v="L00327"/>
        <s v="L00328"/>
        <s v="L00329"/>
        <s v="L00330"/>
        <s v="L00331"/>
        <s v="L00332"/>
        <s v="L00333"/>
        <s v="L00334"/>
        <s v="L00335"/>
        <s v="L00336"/>
        <s v="L00337"/>
        <s v="L00338"/>
        <s v="L00339"/>
        <s v="L00340"/>
        <s v="L00341"/>
        <s v="L00342"/>
        <s v="L00343"/>
        <s v="L00344"/>
        <s v="L00345"/>
        <s v="L00346"/>
        <s v="L00347"/>
        <s v="L00348"/>
        <s v="L00349"/>
        <s v="L00350"/>
        <s v="L00351"/>
        <s v="L00352"/>
        <s v="L00353"/>
        <s v="L00354"/>
        <s v="L00355"/>
        <s v="L00356"/>
        <s v="L00357"/>
        <s v="L00358"/>
        <s v="L00359"/>
        <s v="L00360"/>
        <s v="L00361"/>
        <s v="L00362"/>
        <s v="L00363"/>
        <s v="L00364"/>
        <s v="L00365"/>
        <s v="L00366"/>
        <s v="L00367"/>
        <s v="L00368"/>
        <s v="L00369"/>
        <s v="L00370"/>
        <s v="L00371"/>
        <s v="L00372"/>
        <s v="L00373"/>
        <s v="L00374"/>
        <s v="L00375"/>
        <s v="L00376"/>
        <s v="L00377"/>
        <s v="L00378"/>
        <s v="L00379"/>
        <s v="L00380"/>
        <s v="L00381"/>
        <s v="L00382"/>
        <s v="L00383"/>
        <s v="L00384"/>
        <s v="L00385"/>
        <s v="L00386"/>
        <s v="L00387"/>
        <s v="L00388"/>
        <s v="L00389"/>
        <s v="L00390"/>
        <s v="L00391"/>
        <s v="L00392"/>
        <s v="L00393"/>
        <s v="L00394"/>
        <s v="L00395"/>
        <s v="L00396"/>
        <s v="L00397"/>
        <s v="L00398"/>
        <s v="L00399"/>
        <s v="L00400"/>
        <s v="L00401"/>
        <s v="L00402"/>
        <s v="L00403"/>
        <s v="L00404"/>
        <s v="L00405"/>
        <s v="L00406"/>
        <s v="L00407"/>
        <s v="L00408"/>
        <s v="L00409"/>
        <s v="L00410"/>
        <s v="L00411"/>
        <s v="L00412"/>
        <s v="L00413"/>
        <s v="L00414"/>
        <s v="L00415"/>
        <s v="L00416"/>
        <s v="L00417"/>
        <s v="L00418"/>
        <s v="L00419"/>
        <s v="L00420"/>
        <s v="L00421"/>
        <s v="L00422"/>
        <s v="L00423"/>
        <s v="L00424"/>
        <s v="L00425"/>
        <s v="L00426"/>
        <s v="L00427"/>
        <s v="L00428"/>
        <s v="L00429"/>
        <s v="L00430"/>
        <s v="L00431"/>
        <s v="L00432"/>
        <s v="L00433"/>
        <s v="L00434"/>
        <s v="L00435"/>
        <s v="L00436"/>
        <s v="L00437"/>
        <s v="L00438"/>
        <s v="L00439"/>
        <s v="L00440"/>
        <s v="L00441"/>
        <s v="L00442"/>
        <s v="L00443"/>
        <s v="L00444"/>
        <s v="L00445"/>
        <s v="L00446"/>
        <s v="L00447"/>
        <s v="L00448"/>
        <s v="L00449"/>
        <s v="L00450"/>
      </sharedItems>
    </cacheField>
    <cacheField name="Customer_ID" numFmtId="0">
      <sharedItems/>
    </cacheField>
    <cacheField name="Loan_Type" numFmtId="0">
      <sharedItems count="4">
        <s v="Salary Advance"/>
        <s v="Personal"/>
        <s v="SME"/>
        <s v="Agricultural"/>
      </sharedItems>
    </cacheField>
    <cacheField name="Loan_Amount" numFmtId="0">
      <sharedItems containsSemiMixedTypes="0" containsString="0" containsNumber="1" minValue="2034.3" maxValue="160034.31"/>
    </cacheField>
    <cacheField name="Loan_Status" numFmtId="0">
      <sharedItems count="4">
        <s v="Active"/>
        <s v="Paid"/>
        <s v="Rejected"/>
        <s v="Defaulted"/>
      </sharedItems>
    </cacheField>
    <cacheField name="Application_Date" numFmtId="14">
      <sharedItems containsSemiMixedTypes="0" containsNonDate="0" containsDate="1" containsString="0" minDate="2025-01-01T00:00:00" maxDate="2026-08-28T00:00:00" count="329">
        <d v="2025-09-05T00:00:00"/>
        <d v="2026-05-20T00:00:00"/>
        <d v="2025-12-19T00:00:00"/>
        <d v="2025-05-24T00:00:00"/>
        <d v="2025-12-16T00:00:00"/>
        <d v="2026-05-30T00:00:00"/>
        <d v="2025-11-13T00:00:00"/>
        <d v="2025-01-26T00:00:00"/>
        <d v="2026-06-14T00:00:00"/>
        <d v="2025-11-18T00:00:00"/>
        <d v="2025-10-23T00:00:00"/>
        <d v="2025-05-11T00:00:00"/>
        <d v="2025-01-17T00:00:00"/>
        <d v="2026-08-05T00:00:00"/>
        <d v="2025-07-04T00:00:00"/>
        <d v="2025-02-18T00:00:00"/>
        <d v="2025-03-17T00:00:00"/>
        <d v="2026-06-12T00:00:00"/>
        <d v="2025-01-06T00:00:00"/>
        <d v="2025-02-03T00:00:00"/>
        <d v="2025-02-28T00:00:00"/>
        <d v="2025-03-08T00:00:00"/>
        <d v="2025-09-12T00:00:00"/>
        <d v="2026-02-07T00:00:00"/>
        <d v="2025-06-06T00:00:00"/>
        <d v="2025-02-01T00:00:00"/>
        <d v="2025-01-10T00:00:00"/>
        <d v="2026-01-10T00:00:00"/>
        <d v="2025-12-15T00:00:00"/>
        <d v="2026-08-12T00:00:00"/>
        <d v="2026-06-16T00:00:00"/>
        <d v="2025-06-05T00:00:00"/>
        <d v="2025-01-27T00:00:00"/>
        <d v="2025-06-02T00:00:00"/>
        <d v="2025-10-12T00:00:00"/>
        <d v="2025-09-07T00:00:00"/>
        <d v="2026-03-05T00:00:00"/>
        <d v="2026-07-11T00:00:00"/>
        <d v="2025-10-13T00:00:00"/>
        <d v="2026-05-21T00:00:00"/>
        <d v="2025-10-21T00:00:00"/>
        <d v="2026-03-20T00:00:00"/>
        <d v="2025-10-15T00:00:00"/>
        <d v="2025-11-02T00:00:00"/>
        <d v="2025-03-12T00:00:00"/>
        <d v="2025-06-12T00:00:00"/>
        <d v="2026-04-26T00:00:00"/>
        <d v="2026-08-11T00:00:00"/>
        <d v="2025-12-09T00:00:00"/>
        <d v="2026-06-01T00:00:00"/>
        <d v="2025-04-17T00:00:00"/>
        <d v="2026-05-13T00:00:00"/>
        <d v="2025-01-01T00:00:00"/>
        <d v="2026-08-21T00:00:00"/>
        <d v="2026-04-21T00:00:00"/>
        <d v="2026-03-29T00:00:00"/>
        <d v="2025-03-06T00:00:00"/>
        <d v="2026-04-30T00:00:00"/>
        <d v="2026-02-26T00:00:00"/>
        <d v="2026-06-20T00:00:00"/>
        <d v="2025-05-31T00:00:00"/>
        <d v="2026-01-26T00:00:00"/>
        <d v="2026-02-19T00:00:00"/>
        <d v="2025-01-07T00:00:00"/>
        <d v="2026-05-31T00:00:00"/>
        <d v="2026-04-11T00:00:00"/>
        <d v="2025-04-14T00:00:00"/>
        <d v="2026-04-09T00:00:00"/>
        <d v="2026-07-18T00:00:00"/>
        <d v="2026-08-17T00:00:00"/>
        <d v="2026-07-14T00:00:00"/>
        <d v="2025-12-17T00:00:00"/>
        <d v="2026-01-01T00:00:00"/>
        <d v="2025-07-01T00:00:00"/>
        <d v="2025-08-31T00:00:00"/>
        <d v="2025-08-08T00:00:00"/>
        <d v="2025-07-27T00:00:00"/>
        <d v="2025-02-04T00:00:00"/>
        <d v="2026-02-25T00:00:00"/>
        <d v="2025-07-22T00:00:00"/>
        <d v="2025-06-11T00:00:00"/>
        <d v="2026-02-12T00:00:00"/>
        <d v="2025-01-04T00:00:00"/>
        <d v="2025-12-27T00:00:00"/>
        <d v="2026-08-13T00:00:00"/>
        <d v="2025-12-24T00:00:00"/>
        <d v="2025-02-05T00:00:00"/>
        <d v="2025-12-01T00:00:00"/>
        <d v="2025-10-18T00:00:00"/>
        <d v="2025-11-20T00:00:00"/>
        <d v="2026-04-08T00:00:00"/>
        <d v="2026-01-30T00:00:00"/>
        <d v="2026-07-21T00:00:00"/>
        <d v="2025-11-09T00:00:00"/>
        <d v="2025-12-21T00:00:00"/>
        <d v="2025-02-24T00:00:00"/>
        <d v="2025-11-08T00:00:00"/>
        <d v="2025-09-17T00:00:00"/>
        <d v="2025-03-29T00:00:00"/>
        <d v="2025-11-16T00:00:00"/>
        <d v="2026-01-25T00:00:00"/>
        <d v="2025-09-27T00:00:00"/>
        <d v="2026-04-05T00:00:00"/>
        <d v="2025-05-06T00:00:00"/>
        <d v="2025-12-31T00:00:00"/>
        <d v="2026-06-26T00:00:00"/>
        <d v="2025-01-08T00:00:00"/>
        <d v="2026-02-18T00:00:00"/>
        <d v="2025-05-12T00:00:00"/>
        <d v="2025-12-22T00:00:00"/>
        <d v="2025-11-19T00:00:00"/>
        <d v="2025-04-12T00:00:00"/>
        <d v="2025-03-16T00:00:00"/>
        <d v="2025-04-10T00:00:00"/>
        <d v="2025-08-24T00:00:00"/>
        <d v="2025-09-26T00:00:00"/>
        <d v="2025-09-11T00:00:00"/>
        <d v="2025-11-25T00:00:00"/>
        <d v="2025-10-26T00:00:00"/>
        <d v="2026-01-05T00:00:00"/>
        <d v="2025-09-16T00:00:00"/>
        <d v="2025-08-16T00:00:00"/>
        <d v="2026-01-12T00:00:00"/>
        <d v="2025-05-25T00:00:00"/>
        <d v="2025-03-21T00:00:00"/>
        <d v="2025-02-08T00:00:00"/>
        <d v="2025-04-07T00:00:00"/>
        <d v="2025-09-03T00:00:00"/>
        <d v="2025-11-29T00:00:00"/>
        <d v="2025-10-05T00:00:00"/>
        <d v="2025-12-30T00:00:00"/>
        <d v="2026-03-28T00:00:00"/>
        <d v="2025-09-09T00:00:00"/>
        <d v="2025-01-18T00:00:00"/>
        <d v="2025-08-30T00:00:00"/>
        <d v="2025-09-10T00:00:00"/>
        <d v="2026-01-08T00:00:00"/>
        <d v="2026-03-01T00:00:00"/>
        <d v="2025-06-28T00:00:00"/>
        <d v="2025-01-12T00:00:00"/>
        <d v="2025-10-20T00:00:00"/>
        <d v="2026-08-20T00:00:00"/>
        <d v="2025-10-22T00:00:00"/>
        <d v="2025-04-22T00:00:00"/>
        <d v="2025-07-25T00:00:00"/>
        <d v="2025-08-10T00:00:00"/>
        <d v="2025-01-13T00:00:00"/>
        <d v="2026-07-07T00:00:00"/>
        <d v="2025-02-09T00:00:00"/>
        <d v="2026-08-24T00:00:00"/>
        <d v="2025-08-03T00:00:00"/>
        <d v="2025-10-31T00:00:00"/>
        <d v="2026-06-06T00:00:00"/>
        <d v="2025-05-01T00:00:00"/>
        <d v="2025-11-06T00:00:00"/>
        <d v="2025-11-01T00:00:00"/>
        <d v="2026-03-02T00:00:00"/>
        <d v="2026-04-04T00:00:00"/>
        <d v="2026-08-19T00:00:00"/>
        <d v="2025-07-21T00:00:00"/>
        <d v="2026-07-16T00:00:00"/>
        <d v="2026-02-16T00:00:00"/>
        <d v="2025-06-04T00:00:00"/>
        <d v="2025-12-06T00:00:00"/>
        <d v="2025-07-05T00:00:00"/>
        <d v="2025-05-14T00:00:00"/>
        <d v="2025-05-27T00:00:00"/>
        <d v="2025-04-23T00:00:00"/>
        <d v="2026-06-13T00:00:00"/>
        <d v="2026-03-09T00:00:00"/>
        <d v="2026-01-22T00:00:00"/>
        <d v="2025-03-03T00:00:00"/>
        <d v="2025-07-15T00:00:00"/>
        <d v="2025-03-28T00:00:00"/>
        <d v="2025-05-07T00:00:00"/>
        <d v="2025-11-12T00:00:00"/>
        <d v="2025-06-21T00:00:00"/>
        <d v="2026-02-03T00:00:00"/>
        <d v="2025-11-27T00:00:00"/>
        <d v="2025-12-25T00:00:00"/>
        <d v="2025-01-09T00:00:00"/>
        <d v="2025-08-27T00:00:00"/>
        <d v="2026-01-18T00:00:00"/>
        <d v="2025-07-20T00:00:00"/>
        <d v="2025-08-21T00:00:00"/>
        <d v="2026-05-11T00:00:00"/>
        <d v="2025-03-18T00:00:00"/>
        <d v="2025-08-06T00:00:00"/>
        <d v="2026-01-09T00:00:00"/>
        <d v="2025-02-22T00:00:00"/>
        <d v="2025-09-15T00:00:00"/>
        <d v="2026-08-18T00:00:00"/>
        <d v="2025-09-06T00:00:00"/>
        <d v="2026-02-02T00:00:00"/>
        <d v="2025-03-10T00:00:00"/>
        <d v="2026-02-27T00:00:00"/>
        <d v="2025-10-01T00:00:00"/>
        <d v="2025-09-14T00:00:00"/>
        <d v="2025-09-25T00:00:00"/>
        <d v="2025-12-23T00:00:00"/>
        <d v="2025-11-04T00:00:00"/>
        <d v="2026-08-25T00:00:00"/>
        <d v="2026-06-11T00:00:00"/>
        <d v="2026-05-06T00:00:00"/>
        <d v="2025-07-17T00:00:00"/>
        <d v="2025-08-19T00:00:00"/>
        <d v="2025-04-03T00:00:00"/>
        <d v="2025-01-16T00:00:00"/>
        <d v="2025-07-24T00:00:00"/>
        <d v="2026-08-03T00:00:00"/>
        <d v="2025-06-09T00:00:00"/>
        <d v="2026-05-16T00:00:00"/>
        <d v="2026-03-24T00:00:00"/>
        <d v="2025-12-08T00:00:00"/>
        <d v="2026-05-23T00:00:00"/>
        <d v="2025-10-11T00:00:00"/>
        <d v="2026-07-29T00:00:00"/>
        <d v="2025-08-01T00:00:00"/>
        <d v="2026-08-08T00:00:00"/>
        <d v="2025-07-07T00:00:00"/>
        <d v="2026-07-26T00:00:00"/>
        <d v="2025-07-02T00:00:00"/>
        <d v="2026-01-19T00:00:00"/>
        <d v="2025-01-25T00:00:00"/>
        <d v="2026-06-21T00:00:00"/>
        <d v="2025-11-10T00:00:00"/>
        <d v="2025-02-07T00:00:00"/>
        <d v="2025-10-29T00:00:00"/>
        <d v="2026-01-04T00:00:00"/>
        <d v="2026-01-23T00:00:00"/>
        <d v="2026-03-22T00:00:00"/>
        <d v="2026-04-15T00:00:00"/>
        <d v="2026-08-07T00:00:00"/>
        <d v="2025-11-17T00:00:00"/>
        <d v="2025-03-09T00:00:00"/>
        <d v="2026-01-31T00:00:00"/>
        <d v="2025-05-29T00:00:00"/>
        <d v="2025-08-14T00:00:00"/>
        <d v="2026-02-23T00:00:00"/>
        <d v="2025-10-16T00:00:00"/>
        <d v="2026-06-03T00:00:00"/>
        <d v="2025-06-17T00:00:00"/>
        <d v="2025-12-03T00:00:00"/>
        <d v="2026-01-15T00:00:00"/>
        <d v="2025-01-11T00:00:00"/>
        <d v="2026-03-12T00:00:00"/>
        <d v="2026-08-27T00:00:00"/>
        <d v="2026-05-01T00:00:00"/>
        <d v="2025-04-21T00:00:00"/>
        <d v="2025-10-17T00:00:00"/>
        <d v="2025-09-04T00:00:00"/>
        <d v="2026-07-27T00:00:00"/>
        <d v="2026-03-26T00:00:00"/>
        <d v="2026-02-04T00:00:00"/>
        <d v="2026-04-01T00:00:00"/>
        <d v="2025-05-05T00:00:00"/>
        <d v="2026-06-19T00:00:00"/>
        <d v="2025-09-29T00:00:00"/>
        <d v="2026-07-19T00:00:00"/>
        <d v="2026-02-22T00:00:00"/>
        <d v="2026-02-06T00:00:00"/>
        <d v="2026-01-06T00:00:00"/>
        <d v="2025-07-11T00:00:00"/>
        <d v="2025-01-23T00:00:00"/>
        <d v="2026-07-06T00:00:00"/>
        <d v="2025-12-02T00:00:00"/>
        <d v="2025-08-18T00:00:00"/>
        <d v="2026-05-03T00:00:00"/>
        <d v="2025-06-13T00:00:00"/>
        <d v="2025-12-26T00:00:00"/>
        <d v="2025-06-18T00:00:00"/>
        <d v="2026-05-28T00:00:00"/>
        <d v="2025-12-14T00:00:00"/>
        <d v="2025-07-18T00:00:00"/>
        <d v="2025-07-31T00:00:00"/>
        <d v="2025-06-01T00:00:00"/>
        <d v="2026-07-31T00:00:00"/>
        <d v="2025-03-31T00:00:00"/>
        <d v="2025-01-14T00:00:00"/>
        <d v="2025-01-19T00:00:00"/>
        <d v="2025-03-23T00:00:00"/>
        <d v="2025-01-02T00:00:00"/>
        <d v="2025-09-20T00:00:00"/>
        <d v="2026-06-24T00:00:00"/>
        <d v="2026-05-05T00:00:00"/>
        <d v="2025-10-19T00:00:00"/>
        <d v="2026-02-15T00:00:00"/>
        <d v="2025-07-29T00:00:00"/>
        <d v="2025-08-28T00:00:00"/>
        <d v="2025-06-19T00:00:00"/>
        <d v="2026-04-18T00:00:00"/>
        <d v="2026-04-17T00:00:00"/>
        <d v="2025-08-17T00:00:00"/>
        <d v="2026-08-16T00:00:00"/>
        <d v="2025-04-05T00:00:00"/>
        <d v="2025-04-28T00:00:00"/>
        <d v="2025-03-15T00:00:00"/>
        <d v="2025-02-06T00:00:00"/>
        <d v="2025-11-26T00:00:00"/>
        <d v="2025-07-06T00:00:00"/>
        <d v="2025-11-05T00:00:00"/>
        <d v="2026-01-27T00:00:00"/>
        <d v="2025-11-03T00:00:00"/>
        <d v="2026-03-13T00:00:00"/>
        <d v="2025-09-19T00:00:00"/>
        <d v="2026-06-27T00:00:00"/>
        <d v="2025-04-26T00:00:00"/>
        <d v="2025-02-20T00:00:00"/>
        <d v="2025-03-13T00:00:00"/>
        <d v="2025-05-23T00:00:00"/>
        <d v="2025-06-16T00:00:00"/>
        <d v="2025-03-11T00:00:00"/>
        <d v="2026-06-04T00:00:00"/>
        <d v="2025-10-14T00:00:00"/>
        <d v="2025-08-22T00:00:00"/>
        <d v="2025-12-10T00:00:00"/>
        <d v="2026-04-16T00:00:00"/>
        <d v="2026-07-03T00:00:00"/>
        <d v="2026-06-07T00:00:00"/>
        <d v="2025-03-25T00:00:00"/>
        <d v="2026-07-13T00:00:00"/>
        <d v="2025-12-11T00:00:00"/>
        <d v="2026-01-14T00:00:00"/>
        <d v="2025-07-30T00:00:00"/>
        <d v="2025-05-20T00:00:00"/>
        <d v="2025-05-08T00:00:00"/>
        <d v="2025-03-07T00:00:00"/>
        <d v="2026-06-08T00:00:00"/>
        <d v="2025-09-13T00:00:00"/>
      </sharedItems>
    </cacheField>
    <cacheField name="Interest_Rate" numFmtId="0">
      <sharedItems containsSemiMixedTypes="0" containsString="0" containsNumber="1" minValue="10.01" maxValue="34.97"/>
    </cacheField>
    <cacheField name="Loan_Term_Months" numFmtId="0">
      <sharedItems containsSemiMixedTypes="0" containsString="0" containsNumber="1" containsInteger="1" minValue="3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C00001"/>
    <n v="64"/>
    <x v="0"/>
    <x v="0"/>
    <x v="0"/>
    <x v="0"/>
    <x v="0"/>
    <d v="2026-01-22T00:00:00"/>
  </r>
  <r>
    <s v="C00002"/>
    <n v="29"/>
    <x v="0"/>
    <x v="1"/>
    <x v="1"/>
    <x v="1"/>
    <x v="1"/>
    <d v="2025-02-19T00:00:00"/>
  </r>
  <r>
    <s v="C00003"/>
    <n v="33"/>
    <x v="0"/>
    <x v="2"/>
    <x v="2"/>
    <x v="2"/>
    <x v="2"/>
    <d v="2026-04-09T00:00:00"/>
  </r>
  <r>
    <s v="C00004"/>
    <n v="41"/>
    <x v="1"/>
    <x v="3"/>
    <x v="3"/>
    <x v="3"/>
    <x v="0"/>
    <d v="2024-08-28T00:00:00"/>
  </r>
  <r>
    <s v="C00005"/>
    <n v="36"/>
    <x v="1"/>
    <x v="0"/>
    <x v="0"/>
    <x v="4"/>
    <x v="2"/>
    <d v="2024-10-22T00:00:00"/>
  </r>
  <r>
    <s v="C00006"/>
    <n v="25"/>
    <x v="0"/>
    <x v="0"/>
    <x v="0"/>
    <x v="4"/>
    <x v="2"/>
    <d v="2025-04-28T00:00:00"/>
  </r>
  <r>
    <s v="C00007"/>
    <n v="48"/>
    <x v="0"/>
    <x v="0"/>
    <x v="0"/>
    <x v="4"/>
    <x v="0"/>
    <d v="2025-07-24T00:00:00"/>
  </r>
  <r>
    <s v="C00008"/>
    <n v="38"/>
    <x v="0"/>
    <x v="4"/>
    <x v="4"/>
    <x v="5"/>
    <x v="0"/>
    <d v="2024-09-19T00:00:00"/>
  </r>
  <r>
    <s v="C00009"/>
    <n v="34"/>
    <x v="1"/>
    <x v="3"/>
    <x v="3"/>
    <x v="3"/>
    <x v="0"/>
    <d v="2023-05-23T00:00:00"/>
  </r>
  <r>
    <s v="C00010"/>
    <n v="40"/>
    <x v="1"/>
    <x v="3"/>
    <x v="5"/>
    <x v="6"/>
    <x v="2"/>
    <d v="2026-05-09T00:00:00"/>
  </r>
  <r>
    <s v="C00011"/>
    <n v="54"/>
    <x v="1"/>
    <x v="0"/>
    <x v="0"/>
    <x v="4"/>
    <x v="0"/>
    <d v="2026-04-18T00:00:00"/>
  </r>
  <r>
    <s v="C00012"/>
    <n v="33"/>
    <x v="1"/>
    <x v="1"/>
    <x v="1"/>
    <x v="1"/>
    <x v="0"/>
    <d v="2024-12-14T00:00:00"/>
  </r>
  <r>
    <s v="C00013"/>
    <n v="23"/>
    <x v="2"/>
    <x v="5"/>
    <x v="6"/>
    <x v="7"/>
    <x v="0"/>
    <d v="2024-04-23T00:00:00"/>
  </r>
  <r>
    <s v="C00014"/>
    <n v="25"/>
    <x v="1"/>
    <x v="0"/>
    <x v="0"/>
    <x v="8"/>
    <x v="0"/>
    <d v="2024-07-18T00:00:00"/>
  </r>
  <r>
    <s v="C00015"/>
    <n v="42"/>
    <x v="0"/>
    <x v="0"/>
    <x v="0"/>
    <x v="8"/>
    <x v="0"/>
    <d v="2024-04-15T00:00:00"/>
  </r>
  <r>
    <s v="C00016"/>
    <n v="35"/>
    <x v="1"/>
    <x v="0"/>
    <x v="0"/>
    <x v="8"/>
    <x v="0"/>
    <d v="2024-01-19T00:00:00"/>
  </r>
  <r>
    <s v="C00017"/>
    <n v="42"/>
    <x v="0"/>
    <x v="0"/>
    <x v="0"/>
    <x v="0"/>
    <x v="2"/>
    <d v="2025-07-14T00:00:00"/>
  </r>
  <r>
    <s v="C00018"/>
    <n v="29"/>
    <x v="1"/>
    <x v="3"/>
    <x v="3"/>
    <x v="3"/>
    <x v="0"/>
    <d v="2024-02-21T00:00:00"/>
  </r>
  <r>
    <s v="C00019"/>
    <n v="32"/>
    <x v="0"/>
    <x v="0"/>
    <x v="0"/>
    <x v="9"/>
    <x v="0"/>
    <d v="2023-11-04T00:00:00"/>
  </r>
  <r>
    <s v="C00020"/>
    <n v="43"/>
    <x v="1"/>
    <x v="0"/>
    <x v="0"/>
    <x v="0"/>
    <x v="0"/>
    <d v="2024-10-10T00:00:00"/>
  </r>
  <r>
    <s v="C00021"/>
    <n v="58"/>
    <x v="1"/>
    <x v="3"/>
    <x v="5"/>
    <x v="6"/>
    <x v="2"/>
    <d v="2025-10-21T00:00:00"/>
  </r>
  <r>
    <s v="C00022"/>
    <n v="62"/>
    <x v="1"/>
    <x v="0"/>
    <x v="0"/>
    <x v="4"/>
    <x v="0"/>
    <d v="2025-12-03T00:00:00"/>
  </r>
  <r>
    <s v="C00023"/>
    <n v="43"/>
    <x v="1"/>
    <x v="0"/>
    <x v="0"/>
    <x v="0"/>
    <x v="2"/>
    <d v="2025-01-08T00:00:00"/>
  </r>
  <r>
    <s v="C00024"/>
    <n v="64"/>
    <x v="0"/>
    <x v="0"/>
    <x v="0"/>
    <x v="0"/>
    <x v="0"/>
    <d v="2026-01-26T00:00:00"/>
  </r>
  <r>
    <s v="C00025"/>
    <n v="49"/>
    <x v="0"/>
    <x v="0"/>
    <x v="0"/>
    <x v="9"/>
    <x v="0"/>
    <d v="2023-05-20T00:00:00"/>
  </r>
  <r>
    <s v="C00026"/>
    <n v="27"/>
    <x v="0"/>
    <x v="5"/>
    <x v="6"/>
    <x v="7"/>
    <x v="1"/>
    <d v="2026-06-14T00:00:00"/>
  </r>
  <r>
    <s v="C00027"/>
    <n v="33"/>
    <x v="0"/>
    <x v="0"/>
    <x v="0"/>
    <x v="8"/>
    <x v="1"/>
    <d v="2025-08-31T00:00:00"/>
  </r>
  <r>
    <s v="C00028"/>
    <n v="24"/>
    <x v="1"/>
    <x v="3"/>
    <x v="3"/>
    <x v="3"/>
    <x v="0"/>
    <d v="2025-10-13T00:00:00"/>
  </r>
  <r>
    <s v="C00029"/>
    <n v="34"/>
    <x v="0"/>
    <x v="3"/>
    <x v="3"/>
    <x v="3"/>
    <x v="0"/>
    <d v="2025-08-10T00:00:00"/>
  </r>
  <r>
    <s v="C00030"/>
    <n v="40"/>
    <x v="1"/>
    <x v="0"/>
    <x v="0"/>
    <x v="4"/>
    <x v="2"/>
    <d v="2025-06-22T00:00:00"/>
  </r>
  <r>
    <s v="C00031"/>
    <n v="43"/>
    <x v="1"/>
    <x v="3"/>
    <x v="3"/>
    <x v="3"/>
    <x v="1"/>
    <d v="2023-03-13T00:00:00"/>
  </r>
  <r>
    <s v="C00032"/>
    <n v="38"/>
    <x v="1"/>
    <x v="0"/>
    <x v="0"/>
    <x v="8"/>
    <x v="0"/>
    <d v="2026-04-28T00:00:00"/>
  </r>
  <r>
    <s v="C00033"/>
    <n v="39"/>
    <x v="0"/>
    <x v="0"/>
    <x v="0"/>
    <x v="4"/>
    <x v="0"/>
    <d v="2023-04-17T00:00:00"/>
  </r>
  <r>
    <s v="C00034"/>
    <n v="24"/>
    <x v="1"/>
    <x v="1"/>
    <x v="1"/>
    <x v="1"/>
    <x v="1"/>
    <d v="2026-06-09T00:00:00"/>
  </r>
  <r>
    <s v="C00035"/>
    <n v="31"/>
    <x v="1"/>
    <x v="1"/>
    <x v="1"/>
    <x v="1"/>
    <x v="0"/>
    <d v="2025-12-01T00:00:00"/>
  </r>
  <r>
    <s v="C00036"/>
    <n v="32"/>
    <x v="1"/>
    <x v="5"/>
    <x v="6"/>
    <x v="7"/>
    <x v="0"/>
    <d v="2025-06-01T00:00:00"/>
  </r>
  <r>
    <s v="C00037"/>
    <n v="24"/>
    <x v="1"/>
    <x v="0"/>
    <x v="0"/>
    <x v="0"/>
    <x v="0"/>
    <d v="2023-05-19T00:00:00"/>
  </r>
  <r>
    <s v="C00038"/>
    <n v="26"/>
    <x v="1"/>
    <x v="0"/>
    <x v="0"/>
    <x v="4"/>
    <x v="0"/>
    <d v="2024-09-06T00:00:00"/>
  </r>
  <r>
    <s v="C00039"/>
    <n v="65"/>
    <x v="0"/>
    <x v="3"/>
    <x v="5"/>
    <x v="6"/>
    <x v="0"/>
    <d v="2025-05-12T00:00:00"/>
  </r>
  <r>
    <s v="C00040"/>
    <n v="25"/>
    <x v="1"/>
    <x v="0"/>
    <x v="0"/>
    <x v="9"/>
    <x v="0"/>
    <d v="2023-09-30T00:00:00"/>
  </r>
  <r>
    <s v="C00041"/>
    <n v="40"/>
    <x v="0"/>
    <x v="0"/>
    <x v="0"/>
    <x v="4"/>
    <x v="1"/>
    <d v="2024-02-20T00:00:00"/>
  </r>
  <r>
    <s v="C00042"/>
    <n v="46"/>
    <x v="0"/>
    <x v="0"/>
    <x v="0"/>
    <x v="9"/>
    <x v="0"/>
    <d v="2024-05-20T00:00:00"/>
  </r>
  <r>
    <s v="C00043"/>
    <n v="35"/>
    <x v="0"/>
    <x v="0"/>
    <x v="0"/>
    <x v="4"/>
    <x v="3"/>
    <d v="2025-01-02T00:00:00"/>
  </r>
  <r>
    <s v="C00044"/>
    <n v="48"/>
    <x v="0"/>
    <x v="4"/>
    <x v="4"/>
    <x v="5"/>
    <x v="0"/>
    <d v="2024-02-28T00:00:00"/>
  </r>
  <r>
    <s v="C00045"/>
    <n v="47"/>
    <x v="0"/>
    <x v="0"/>
    <x v="0"/>
    <x v="8"/>
    <x v="0"/>
    <d v="2024-01-25T00:00:00"/>
  </r>
  <r>
    <s v="C00046"/>
    <n v="56"/>
    <x v="0"/>
    <x v="3"/>
    <x v="7"/>
    <x v="6"/>
    <x v="0"/>
    <d v="2023-12-08T00:00:00"/>
  </r>
  <r>
    <s v="C00047"/>
    <n v="52"/>
    <x v="1"/>
    <x v="0"/>
    <x v="0"/>
    <x v="0"/>
    <x v="2"/>
    <d v="2025-08-03T00:00:00"/>
  </r>
  <r>
    <s v="C00048"/>
    <n v="35"/>
    <x v="1"/>
    <x v="3"/>
    <x v="3"/>
    <x v="3"/>
    <x v="2"/>
    <d v="2024-09-05T00:00:00"/>
  </r>
  <r>
    <s v="C00049"/>
    <n v="59"/>
    <x v="1"/>
    <x v="3"/>
    <x v="3"/>
    <x v="3"/>
    <x v="0"/>
    <d v="2024-05-07T00:00:00"/>
  </r>
  <r>
    <s v="C00050"/>
    <n v="56"/>
    <x v="0"/>
    <x v="0"/>
    <x v="0"/>
    <x v="8"/>
    <x v="3"/>
    <d v="2023-07-11T00:00:00"/>
  </r>
  <r>
    <s v="C00051"/>
    <n v="34"/>
    <x v="0"/>
    <x v="1"/>
    <x v="1"/>
    <x v="1"/>
    <x v="0"/>
    <d v="2024-05-13T00:00:00"/>
  </r>
  <r>
    <s v="C00052"/>
    <n v="31"/>
    <x v="1"/>
    <x v="2"/>
    <x v="2"/>
    <x v="2"/>
    <x v="1"/>
    <d v="2025-04-01T00:00:00"/>
  </r>
  <r>
    <s v="C00053"/>
    <n v="48"/>
    <x v="0"/>
    <x v="1"/>
    <x v="1"/>
    <x v="1"/>
    <x v="2"/>
    <d v="2026-06-10T00:00:00"/>
  </r>
  <r>
    <s v="C00054"/>
    <n v="41"/>
    <x v="0"/>
    <x v="4"/>
    <x v="4"/>
    <x v="5"/>
    <x v="2"/>
    <d v="2023-08-15T00:00:00"/>
  </r>
  <r>
    <s v="C00055"/>
    <n v="52"/>
    <x v="1"/>
    <x v="3"/>
    <x v="3"/>
    <x v="3"/>
    <x v="0"/>
    <d v="2023-05-19T00:00:00"/>
  </r>
  <r>
    <s v="C00056"/>
    <n v="61"/>
    <x v="0"/>
    <x v="4"/>
    <x v="4"/>
    <x v="5"/>
    <x v="0"/>
    <d v="2025-05-05T00:00:00"/>
  </r>
  <r>
    <s v="C00057"/>
    <n v="62"/>
    <x v="1"/>
    <x v="0"/>
    <x v="0"/>
    <x v="4"/>
    <x v="1"/>
    <d v="2025-03-27T00:00:00"/>
  </r>
  <r>
    <s v="C00058"/>
    <n v="51"/>
    <x v="1"/>
    <x v="0"/>
    <x v="0"/>
    <x v="8"/>
    <x v="0"/>
    <d v="2026-03-18T00:00:00"/>
  </r>
  <r>
    <s v="C00059"/>
    <n v="20"/>
    <x v="0"/>
    <x v="0"/>
    <x v="0"/>
    <x v="4"/>
    <x v="2"/>
    <d v="2026-02-12T00:00:00"/>
  </r>
  <r>
    <s v="C00060"/>
    <n v="54"/>
    <x v="0"/>
    <x v="0"/>
    <x v="0"/>
    <x v="0"/>
    <x v="0"/>
    <d v="2025-12-22T00:00:00"/>
  </r>
  <r>
    <s v="C00061"/>
    <n v="60"/>
    <x v="1"/>
    <x v="0"/>
    <x v="0"/>
    <x v="0"/>
    <x v="0"/>
    <d v="2023-04-14T00:00:00"/>
  </r>
  <r>
    <s v="C00062"/>
    <n v="57"/>
    <x v="0"/>
    <x v="0"/>
    <x v="0"/>
    <x v="8"/>
    <x v="0"/>
    <d v="2025-05-20T00:00:00"/>
  </r>
  <r>
    <s v="C00063"/>
    <n v="43"/>
    <x v="0"/>
    <x v="5"/>
    <x v="6"/>
    <x v="7"/>
    <x v="1"/>
    <d v="2024-10-29T00:00:00"/>
  </r>
  <r>
    <s v="C00064"/>
    <n v="40"/>
    <x v="1"/>
    <x v="0"/>
    <x v="0"/>
    <x v="0"/>
    <x v="0"/>
    <d v="2023-09-30T00:00:00"/>
  </r>
  <r>
    <s v="C00065"/>
    <n v="61"/>
    <x v="0"/>
    <x v="0"/>
    <x v="0"/>
    <x v="0"/>
    <x v="0"/>
    <d v="2025-10-26T00:00:00"/>
  </r>
  <r>
    <s v="C00066"/>
    <n v="56"/>
    <x v="1"/>
    <x v="3"/>
    <x v="3"/>
    <x v="3"/>
    <x v="3"/>
    <d v="2026-03-16T00:00:00"/>
  </r>
  <r>
    <s v="C00067"/>
    <n v="32"/>
    <x v="1"/>
    <x v="0"/>
    <x v="0"/>
    <x v="4"/>
    <x v="2"/>
    <d v="2023-07-03T00:00:00"/>
  </r>
  <r>
    <s v="C00068"/>
    <n v="21"/>
    <x v="0"/>
    <x v="5"/>
    <x v="6"/>
    <x v="7"/>
    <x v="1"/>
    <d v="2025-11-17T00:00:00"/>
  </r>
  <r>
    <s v="C00069"/>
    <n v="46"/>
    <x v="0"/>
    <x v="0"/>
    <x v="0"/>
    <x v="4"/>
    <x v="2"/>
    <d v="2026-02-16T00:00:00"/>
  </r>
  <r>
    <s v="C00070"/>
    <n v="39"/>
    <x v="0"/>
    <x v="1"/>
    <x v="1"/>
    <x v="1"/>
    <x v="2"/>
    <d v="2023-10-20T00:00:00"/>
  </r>
  <r>
    <s v="C00071"/>
    <n v="42"/>
    <x v="0"/>
    <x v="2"/>
    <x v="2"/>
    <x v="2"/>
    <x v="2"/>
    <d v="2026-06-21T00:00:00"/>
  </r>
  <r>
    <s v="C00072"/>
    <n v="30"/>
    <x v="0"/>
    <x v="0"/>
    <x v="0"/>
    <x v="8"/>
    <x v="0"/>
    <d v="2026-05-26T00:00:00"/>
  </r>
  <r>
    <s v="C00073"/>
    <n v="35"/>
    <x v="1"/>
    <x v="0"/>
    <x v="0"/>
    <x v="4"/>
    <x v="0"/>
    <d v="2023-06-26T00:00:00"/>
  </r>
  <r>
    <s v="C00074"/>
    <n v="50"/>
    <x v="0"/>
    <x v="5"/>
    <x v="6"/>
    <x v="7"/>
    <x v="0"/>
    <d v="2023-02-27T00:00:00"/>
  </r>
  <r>
    <s v="C00075"/>
    <n v="33"/>
    <x v="1"/>
    <x v="3"/>
    <x v="5"/>
    <x v="6"/>
    <x v="1"/>
    <d v="2023-11-04T00:00:00"/>
  </r>
  <r>
    <s v="C00076"/>
    <n v="62"/>
    <x v="1"/>
    <x v="2"/>
    <x v="2"/>
    <x v="2"/>
    <x v="0"/>
    <d v="2025-09-03T00:00:00"/>
  </r>
  <r>
    <s v="C00077"/>
    <n v="59"/>
    <x v="1"/>
    <x v="2"/>
    <x v="2"/>
    <x v="2"/>
    <x v="0"/>
    <d v="2026-02-02T00:00:00"/>
  </r>
  <r>
    <s v="C00078"/>
    <n v="61"/>
    <x v="1"/>
    <x v="0"/>
    <x v="0"/>
    <x v="4"/>
    <x v="0"/>
    <d v="2026-06-05T00:00:00"/>
  </r>
  <r>
    <s v="C00079"/>
    <n v="19"/>
    <x v="0"/>
    <x v="0"/>
    <x v="0"/>
    <x v="0"/>
    <x v="2"/>
    <d v="2026-06-24T00:00:00"/>
  </r>
  <r>
    <s v="C00080"/>
    <n v="52"/>
    <x v="1"/>
    <x v="0"/>
    <x v="0"/>
    <x v="4"/>
    <x v="0"/>
    <d v="2024-11-30T00:00:00"/>
  </r>
  <r>
    <s v="C00081"/>
    <n v="59"/>
    <x v="1"/>
    <x v="4"/>
    <x v="4"/>
    <x v="5"/>
    <x v="1"/>
    <d v="2023-03-24T00:00:00"/>
  </r>
  <r>
    <s v="C00082"/>
    <n v="51"/>
    <x v="0"/>
    <x v="3"/>
    <x v="5"/>
    <x v="6"/>
    <x v="3"/>
    <d v="2026-04-24T00:00:00"/>
  </r>
  <r>
    <s v="C00083"/>
    <n v="47"/>
    <x v="0"/>
    <x v="0"/>
    <x v="0"/>
    <x v="0"/>
    <x v="3"/>
    <d v="2023-09-09T00:00:00"/>
  </r>
  <r>
    <s v="C00084"/>
    <n v="30"/>
    <x v="1"/>
    <x v="0"/>
    <x v="0"/>
    <x v="4"/>
    <x v="2"/>
    <d v="2025-03-06T00:00:00"/>
  </r>
  <r>
    <s v="C00085"/>
    <n v="30"/>
    <x v="0"/>
    <x v="0"/>
    <x v="0"/>
    <x v="0"/>
    <x v="3"/>
    <d v="2025-06-15T00:00:00"/>
  </r>
  <r>
    <s v="C00086"/>
    <n v="35"/>
    <x v="0"/>
    <x v="0"/>
    <x v="0"/>
    <x v="0"/>
    <x v="0"/>
    <d v="2023-07-29T00:00:00"/>
  </r>
  <r>
    <s v="C00087"/>
    <n v="49"/>
    <x v="0"/>
    <x v="2"/>
    <x v="2"/>
    <x v="2"/>
    <x v="3"/>
    <d v="2025-03-26T00:00:00"/>
  </r>
  <r>
    <s v="C00088"/>
    <n v="49"/>
    <x v="2"/>
    <x v="3"/>
    <x v="5"/>
    <x v="6"/>
    <x v="1"/>
    <d v="2024-08-31T00:00:00"/>
  </r>
  <r>
    <s v="C00089"/>
    <n v="52"/>
    <x v="1"/>
    <x v="4"/>
    <x v="4"/>
    <x v="5"/>
    <x v="0"/>
    <d v="2024-03-22T00:00:00"/>
  </r>
  <r>
    <s v="C00090"/>
    <n v="56"/>
    <x v="1"/>
    <x v="0"/>
    <x v="0"/>
    <x v="9"/>
    <x v="0"/>
    <d v="2024-04-04T00:00:00"/>
  </r>
  <r>
    <s v="C00091"/>
    <n v="63"/>
    <x v="1"/>
    <x v="0"/>
    <x v="0"/>
    <x v="4"/>
    <x v="0"/>
    <d v="2025-08-25T00:00:00"/>
  </r>
  <r>
    <s v="C00092"/>
    <n v="46"/>
    <x v="0"/>
    <x v="2"/>
    <x v="2"/>
    <x v="2"/>
    <x v="0"/>
    <d v="2024-04-16T00:00:00"/>
  </r>
  <r>
    <s v="C00093"/>
    <n v="46"/>
    <x v="0"/>
    <x v="2"/>
    <x v="2"/>
    <x v="2"/>
    <x v="0"/>
    <d v="2024-01-05T00:00:00"/>
  </r>
  <r>
    <s v="C00094"/>
    <n v="61"/>
    <x v="1"/>
    <x v="3"/>
    <x v="3"/>
    <x v="3"/>
    <x v="2"/>
    <d v="2025-06-18T00:00:00"/>
  </r>
  <r>
    <s v="C00095"/>
    <n v="33"/>
    <x v="0"/>
    <x v="2"/>
    <x v="2"/>
    <x v="2"/>
    <x v="0"/>
    <d v="2025-07-11T00:00:00"/>
  </r>
  <r>
    <s v="C00096"/>
    <n v="61"/>
    <x v="0"/>
    <x v="0"/>
    <x v="0"/>
    <x v="9"/>
    <x v="0"/>
    <d v="2023-05-17T00:00:00"/>
  </r>
  <r>
    <s v="C00097"/>
    <n v="64"/>
    <x v="1"/>
    <x v="3"/>
    <x v="3"/>
    <x v="3"/>
    <x v="2"/>
    <d v="2024-01-02T00:00:00"/>
  </r>
  <r>
    <s v="C00098"/>
    <n v="27"/>
    <x v="0"/>
    <x v="0"/>
    <x v="0"/>
    <x v="9"/>
    <x v="0"/>
    <d v="2025-06-30T00:00:00"/>
  </r>
  <r>
    <s v="C00099"/>
    <n v="47"/>
    <x v="1"/>
    <x v="0"/>
    <x v="0"/>
    <x v="4"/>
    <x v="0"/>
    <d v="2023-07-03T00:00:00"/>
  </r>
  <r>
    <s v="C00100"/>
    <n v="42"/>
    <x v="0"/>
    <x v="0"/>
    <x v="0"/>
    <x v="4"/>
    <x v="0"/>
    <d v="2024-04-16T00:00:00"/>
  </r>
  <r>
    <s v="C00101"/>
    <n v="56"/>
    <x v="0"/>
    <x v="0"/>
    <x v="0"/>
    <x v="4"/>
    <x v="0"/>
    <d v="2024-10-15T00:00:00"/>
  </r>
  <r>
    <s v="C00102"/>
    <n v="37"/>
    <x v="0"/>
    <x v="3"/>
    <x v="5"/>
    <x v="6"/>
    <x v="0"/>
    <d v="2025-01-18T00:00:00"/>
  </r>
  <r>
    <s v="C00103"/>
    <n v="22"/>
    <x v="1"/>
    <x v="0"/>
    <x v="0"/>
    <x v="0"/>
    <x v="2"/>
    <d v="2024-06-20T00:00:00"/>
  </r>
  <r>
    <s v="C00104"/>
    <n v="18"/>
    <x v="1"/>
    <x v="3"/>
    <x v="3"/>
    <x v="3"/>
    <x v="0"/>
    <d v="2025-03-12T00:00:00"/>
  </r>
  <r>
    <s v="C00105"/>
    <n v="47"/>
    <x v="1"/>
    <x v="4"/>
    <x v="4"/>
    <x v="5"/>
    <x v="0"/>
    <d v="2026-06-27T00:00:00"/>
  </r>
  <r>
    <s v="C00106"/>
    <n v="20"/>
    <x v="1"/>
    <x v="0"/>
    <x v="0"/>
    <x v="8"/>
    <x v="2"/>
    <d v="2025-07-08T00:00:00"/>
  </r>
  <r>
    <s v="C00107"/>
    <n v="62"/>
    <x v="0"/>
    <x v="0"/>
    <x v="0"/>
    <x v="9"/>
    <x v="2"/>
    <d v="2024-05-24T00:00:00"/>
  </r>
  <r>
    <s v="C00108"/>
    <n v="31"/>
    <x v="1"/>
    <x v="2"/>
    <x v="2"/>
    <x v="2"/>
    <x v="1"/>
    <d v="2024-09-21T00:00:00"/>
  </r>
  <r>
    <s v="C00109"/>
    <n v="47"/>
    <x v="0"/>
    <x v="0"/>
    <x v="0"/>
    <x v="8"/>
    <x v="0"/>
    <d v="2025-09-28T00:00:00"/>
  </r>
  <r>
    <s v="C00110"/>
    <n v="21"/>
    <x v="1"/>
    <x v="0"/>
    <x v="0"/>
    <x v="4"/>
    <x v="1"/>
    <d v="2026-01-01T00:00:00"/>
  </r>
  <r>
    <s v="C00111"/>
    <n v="35"/>
    <x v="0"/>
    <x v="0"/>
    <x v="0"/>
    <x v="0"/>
    <x v="0"/>
    <d v="2025-07-04T00:00:00"/>
  </r>
  <r>
    <s v="C00112"/>
    <n v="54"/>
    <x v="1"/>
    <x v="0"/>
    <x v="0"/>
    <x v="8"/>
    <x v="0"/>
    <d v="2025-10-30T00:00:00"/>
  </r>
  <r>
    <s v="C00113"/>
    <n v="42"/>
    <x v="0"/>
    <x v="4"/>
    <x v="4"/>
    <x v="5"/>
    <x v="0"/>
    <d v="2026-05-19T00:00:00"/>
  </r>
  <r>
    <s v="C00114"/>
    <n v="65"/>
    <x v="0"/>
    <x v="5"/>
    <x v="6"/>
    <x v="7"/>
    <x v="3"/>
    <d v="2023-06-01T00:00:00"/>
  </r>
  <r>
    <s v="C00115"/>
    <n v="18"/>
    <x v="1"/>
    <x v="3"/>
    <x v="5"/>
    <x v="6"/>
    <x v="0"/>
    <d v="2025-10-25T00:00:00"/>
  </r>
  <r>
    <s v="C00116"/>
    <n v="63"/>
    <x v="0"/>
    <x v="4"/>
    <x v="4"/>
    <x v="5"/>
    <x v="0"/>
    <d v="2026-05-03T00:00:00"/>
  </r>
  <r>
    <s v="C00117"/>
    <n v="32"/>
    <x v="0"/>
    <x v="5"/>
    <x v="6"/>
    <x v="7"/>
    <x v="0"/>
    <d v="2024-04-08T00:00:00"/>
  </r>
  <r>
    <s v="C00118"/>
    <n v="26"/>
    <x v="0"/>
    <x v="0"/>
    <x v="0"/>
    <x v="8"/>
    <x v="0"/>
    <d v="2026-02-10T00:00:00"/>
  </r>
  <r>
    <s v="C00119"/>
    <n v="32"/>
    <x v="0"/>
    <x v="4"/>
    <x v="4"/>
    <x v="5"/>
    <x v="1"/>
    <d v="2023-09-28T00:00:00"/>
  </r>
  <r>
    <s v="C00120"/>
    <n v="41"/>
    <x v="1"/>
    <x v="3"/>
    <x v="3"/>
    <x v="3"/>
    <x v="0"/>
    <d v="2026-04-01T00:00:00"/>
  </r>
  <r>
    <s v="C00121"/>
    <n v="21"/>
    <x v="1"/>
    <x v="5"/>
    <x v="6"/>
    <x v="7"/>
    <x v="2"/>
    <d v="2024-04-04T00:00:00"/>
  </r>
  <r>
    <s v="C00122"/>
    <n v="29"/>
    <x v="1"/>
    <x v="4"/>
    <x v="4"/>
    <x v="5"/>
    <x v="0"/>
    <d v="2023-04-15T00:00:00"/>
  </r>
  <r>
    <s v="C00123"/>
    <n v="54"/>
    <x v="1"/>
    <x v="0"/>
    <x v="0"/>
    <x v="0"/>
    <x v="0"/>
    <d v="2023-06-11T00:00:00"/>
  </r>
  <r>
    <s v="C00124"/>
    <n v="54"/>
    <x v="0"/>
    <x v="0"/>
    <x v="0"/>
    <x v="4"/>
    <x v="0"/>
    <d v="2023-12-17T00:00:00"/>
  </r>
  <r>
    <s v="C00125"/>
    <n v="60"/>
    <x v="1"/>
    <x v="0"/>
    <x v="0"/>
    <x v="8"/>
    <x v="1"/>
    <d v="2024-03-09T00:00:00"/>
  </r>
  <r>
    <s v="C00126"/>
    <n v="23"/>
    <x v="0"/>
    <x v="0"/>
    <x v="0"/>
    <x v="9"/>
    <x v="0"/>
    <d v="2025-05-01T00:00:00"/>
  </r>
  <r>
    <s v="C00127"/>
    <n v="56"/>
    <x v="0"/>
    <x v="5"/>
    <x v="6"/>
    <x v="7"/>
    <x v="0"/>
    <d v="2023-05-20T00:00:00"/>
  </r>
  <r>
    <s v="C00128"/>
    <n v="63"/>
    <x v="1"/>
    <x v="4"/>
    <x v="4"/>
    <x v="5"/>
    <x v="0"/>
    <d v="2026-03-01T00:00:00"/>
  </r>
  <r>
    <s v="C00129"/>
    <n v="41"/>
    <x v="0"/>
    <x v="0"/>
    <x v="0"/>
    <x v="4"/>
    <x v="1"/>
    <d v="2023-03-28T00:00:00"/>
  </r>
  <r>
    <s v="C00130"/>
    <n v="28"/>
    <x v="1"/>
    <x v="3"/>
    <x v="3"/>
    <x v="3"/>
    <x v="2"/>
    <d v="2023-07-02T00:00:00"/>
  </r>
  <r>
    <s v="C00131"/>
    <n v="30"/>
    <x v="0"/>
    <x v="0"/>
    <x v="0"/>
    <x v="9"/>
    <x v="3"/>
    <d v="2024-01-03T00:00:00"/>
  </r>
  <r>
    <s v="C00132"/>
    <n v="51"/>
    <x v="1"/>
    <x v="0"/>
    <x v="0"/>
    <x v="8"/>
    <x v="2"/>
    <d v="2023-05-09T00:00:00"/>
  </r>
  <r>
    <s v="C00133"/>
    <n v="42"/>
    <x v="1"/>
    <x v="0"/>
    <x v="0"/>
    <x v="4"/>
    <x v="2"/>
    <d v="2026-06-23T00:00:00"/>
  </r>
  <r>
    <s v="C00134"/>
    <n v="24"/>
    <x v="1"/>
    <x v="0"/>
    <x v="0"/>
    <x v="0"/>
    <x v="0"/>
    <d v="2024-10-31T00:00:00"/>
  </r>
  <r>
    <s v="C00135"/>
    <n v="21"/>
    <x v="1"/>
    <x v="1"/>
    <x v="1"/>
    <x v="1"/>
    <x v="3"/>
    <d v="2023-05-29T00:00:00"/>
  </r>
  <r>
    <s v="C00136"/>
    <n v="25"/>
    <x v="1"/>
    <x v="0"/>
    <x v="0"/>
    <x v="0"/>
    <x v="0"/>
    <d v="2025-09-11T00:00:00"/>
  </r>
  <r>
    <s v="C00137"/>
    <n v="37"/>
    <x v="0"/>
    <x v="3"/>
    <x v="3"/>
    <x v="3"/>
    <x v="3"/>
    <d v="2025-05-01T00:00:00"/>
  </r>
  <r>
    <s v="C00138"/>
    <n v="46"/>
    <x v="1"/>
    <x v="3"/>
    <x v="5"/>
    <x v="6"/>
    <x v="3"/>
    <d v="2024-09-19T00:00:00"/>
  </r>
  <r>
    <s v="C00139"/>
    <n v="62"/>
    <x v="0"/>
    <x v="0"/>
    <x v="0"/>
    <x v="0"/>
    <x v="2"/>
    <d v="2024-03-21T00:00:00"/>
  </r>
  <r>
    <s v="C00140"/>
    <n v="63"/>
    <x v="1"/>
    <x v="1"/>
    <x v="1"/>
    <x v="1"/>
    <x v="3"/>
    <d v="2025-06-02T00:00:00"/>
  </r>
  <r>
    <s v="C00141"/>
    <n v="27"/>
    <x v="1"/>
    <x v="1"/>
    <x v="1"/>
    <x v="1"/>
    <x v="0"/>
    <d v="2023-10-21T00:00:00"/>
  </r>
  <r>
    <s v="C00142"/>
    <n v="60"/>
    <x v="1"/>
    <x v="0"/>
    <x v="0"/>
    <x v="8"/>
    <x v="0"/>
    <d v="2026-03-12T00:00:00"/>
  </r>
  <r>
    <s v="C00143"/>
    <n v="51"/>
    <x v="0"/>
    <x v="0"/>
    <x v="0"/>
    <x v="9"/>
    <x v="0"/>
    <d v="2023-09-07T00:00:00"/>
  </r>
  <r>
    <s v="C00144"/>
    <n v="43"/>
    <x v="0"/>
    <x v="0"/>
    <x v="0"/>
    <x v="0"/>
    <x v="0"/>
    <d v="2025-05-27T00:00:00"/>
  </r>
  <r>
    <s v="C00145"/>
    <n v="58"/>
    <x v="1"/>
    <x v="0"/>
    <x v="0"/>
    <x v="0"/>
    <x v="1"/>
    <d v="2025-08-05T00:00:00"/>
  </r>
  <r>
    <s v="C00146"/>
    <n v="20"/>
    <x v="0"/>
    <x v="0"/>
    <x v="0"/>
    <x v="4"/>
    <x v="0"/>
    <d v="2025-09-01T00:00:00"/>
  </r>
  <r>
    <s v="C00147"/>
    <n v="23"/>
    <x v="0"/>
    <x v="3"/>
    <x v="3"/>
    <x v="3"/>
    <x v="3"/>
    <d v="2025-11-14T00:00:00"/>
  </r>
  <r>
    <s v="C00148"/>
    <n v="22"/>
    <x v="0"/>
    <x v="3"/>
    <x v="3"/>
    <x v="3"/>
    <x v="0"/>
    <d v="2025-02-27T00:00:00"/>
  </r>
  <r>
    <s v="C00149"/>
    <n v="22"/>
    <x v="1"/>
    <x v="0"/>
    <x v="0"/>
    <x v="4"/>
    <x v="2"/>
    <d v="2025-09-10T00:00:00"/>
  </r>
  <r>
    <s v="C00150"/>
    <n v="64"/>
    <x v="1"/>
    <x v="0"/>
    <x v="0"/>
    <x v="8"/>
    <x v="2"/>
    <d v="2025-06-07T00:00:00"/>
  </r>
  <r>
    <s v="C00151"/>
    <n v="40"/>
    <x v="0"/>
    <x v="4"/>
    <x v="4"/>
    <x v="5"/>
    <x v="3"/>
    <d v="2025-06-08T00:00:00"/>
  </r>
  <r>
    <s v="C00152"/>
    <n v="26"/>
    <x v="0"/>
    <x v="0"/>
    <x v="0"/>
    <x v="8"/>
    <x v="3"/>
    <d v="2023-03-11T00:00:00"/>
  </r>
  <r>
    <s v="C00153"/>
    <n v="52"/>
    <x v="0"/>
    <x v="0"/>
    <x v="0"/>
    <x v="4"/>
    <x v="0"/>
    <d v="2024-09-16T00:00:00"/>
  </r>
  <r>
    <s v="C00154"/>
    <n v="37"/>
    <x v="1"/>
    <x v="0"/>
    <x v="0"/>
    <x v="9"/>
    <x v="3"/>
    <d v="2025-05-24T00:00:00"/>
  </r>
  <r>
    <s v="C00155"/>
    <n v="59"/>
    <x v="1"/>
    <x v="1"/>
    <x v="1"/>
    <x v="1"/>
    <x v="2"/>
    <d v="2026-02-09T00:00:00"/>
  </r>
  <r>
    <s v="C00156"/>
    <n v="52"/>
    <x v="0"/>
    <x v="0"/>
    <x v="0"/>
    <x v="8"/>
    <x v="0"/>
    <d v="2024-04-15T00:00:00"/>
  </r>
  <r>
    <s v="C00157"/>
    <n v="35"/>
    <x v="0"/>
    <x v="3"/>
    <x v="5"/>
    <x v="6"/>
    <x v="0"/>
    <d v="2023-04-01T00:00:00"/>
  </r>
  <r>
    <s v="C00158"/>
    <n v="34"/>
    <x v="0"/>
    <x v="2"/>
    <x v="2"/>
    <x v="2"/>
    <x v="2"/>
    <d v="2024-06-13T00:00:00"/>
  </r>
  <r>
    <s v="C00159"/>
    <n v="41"/>
    <x v="1"/>
    <x v="0"/>
    <x v="0"/>
    <x v="8"/>
    <x v="0"/>
    <d v="2024-10-22T00:00:00"/>
  </r>
  <r>
    <s v="C00160"/>
    <n v="20"/>
    <x v="1"/>
    <x v="2"/>
    <x v="2"/>
    <x v="2"/>
    <x v="0"/>
    <d v="2025-01-08T00:00:00"/>
  </r>
  <r>
    <s v="C00161"/>
    <n v="49"/>
    <x v="0"/>
    <x v="0"/>
    <x v="0"/>
    <x v="0"/>
    <x v="0"/>
    <d v="2024-12-26T00:00:00"/>
  </r>
  <r>
    <s v="C00162"/>
    <n v="52"/>
    <x v="0"/>
    <x v="3"/>
    <x v="5"/>
    <x v="6"/>
    <x v="0"/>
    <d v="2025-05-21T00:00:00"/>
  </r>
  <r>
    <s v="C00163"/>
    <n v="55"/>
    <x v="0"/>
    <x v="3"/>
    <x v="5"/>
    <x v="6"/>
    <x v="0"/>
    <d v="2023-07-11T00:00:00"/>
  </r>
  <r>
    <s v="C00164"/>
    <n v="30"/>
    <x v="1"/>
    <x v="3"/>
    <x v="3"/>
    <x v="3"/>
    <x v="2"/>
    <d v="2026-06-19T00:00:00"/>
  </r>
  <r>
    <s v="C00165"/>
    <n v="64"/>
    <x v="0"/>
    <x v="0"/>
    <x v="0"/>
    <x v="4"/>
    <x v="0"/>
    <d v="2023-05-18T00:00:00"/>
  </r>
  <r>
    <s v="C00166"/>
    <n v="42"/>
    <x v="1"/>
    <x v="5"/>
    <x v="6"/>
    <x v="7"/>
    <x v="1"/>
    <d v="2023-12-11T00:00:00"/>
  </r>
  <r>
    <s v="C00167"/>
    <n v="26"/>
    <x v="1"/>
    <x v="0"/>
    <x v="0"/>
    <x v="0"/>
    <x v="1"/>
    <d v="2026-04-18T00:00:00"/>
  </r>
  <r>
    <s v="C00168"/>
    <n v="21"/>
    <x v="0"/>
    <x v="0"/>
    <x v="0"/>
    <x v="8"/>
    <x v="0"/>
    <d v="2025-10-05T00:00:00"/>
  </r>
  <r>
    <s v="C00169"/>
    <n v="31"/>
    <x v="0"/>
    <x v="0"/>
    <x v="0"/>
    <x v="4"/>
    <x v="2"/>
    <d v="2024-05-17T00:00:00"/>
  </r>
  <r>
    <s v="C00170"/>
    <n v="54"/>
    <x v="0"/>
    <x v="3"/>
    <x v="3"/>
    <x v="3"/>
    <x v="0"/>
    <d v="2023-07-22T00:00:00"/>
  </r>
  <r>
    <s v="C00171"/>
    <n v="51"/>
    <x v="1"/>
    <x v="3"/>
    <x v="5"/>
    <x v="6"/>
    <x v="0"/>
    <d v="2024-07-26T00:00:00"/>
  </r>
  <r>
    <s v="C00172"/>
    <n v="28"/>
    <x v="1"/>
    <x v="0"/>
    <x v="0"/>
    <x v="4"/>
    <x v="0"/>
    <d v="2023-07-11T00:00:00"/>
  </r>
  <r>
    <s v="C00173"/>
    <n v="58"/>
    <x v="1"/>
    <x v="3"/>
    <x v="3"/>
    <x v="3"/>
    <x v="0"/>
    <d v="2023-01-05T00:00:00"/>
  </r>
  <r>
    <s v="C00174"/>
    <n v="20"/>
    <x v="1"/>
    <x v="0"/>
    <x v="0"/>
    <x v="8"/>
    <x v="2"/>
    <d v="2026-06-14T00:00:00"/>
  </r>
  <r>
    <s v="C00175"/>
    <n v="45"/>
    <x v="0"/>
    <x v="3"/>
    <x v="5"/>
    <x v="6"/>
    <x v="2"/>
    <d v="2023-11-07T00:00:00"/>
  </r>
  <r>
    <s v="C00176"/>
    <n v="46"/>
    <x v="1"/>
    <x v="0"/>
    <x v="0"/>
    <x v="8"/>
    <x v="1"/>
    <d v="2024-07-02T00:00:00"/>
  </r>
  <r>
    <s v="C00177"/>
    <n v="26"/>
    <x v="1"/>
    <x v="3"/>
    <x v="5"/>
    <x v="6"/>
    <x v="0"/>
    <d v="2023-02-25T00:00:00"/>
  </r>
  <r>
    <s v="C00178"/>
    <n v="20"/>
    <x v="0"/>
    <x v="0"/>
    <x v="0"/>
    <x v="0"/>
    <x v="1"/>
    <d v="2024-03-18T00:00:00"/>
  </r>
  <r>
    <s v="C00179"/>
    <n v="42"/>
    <x v="1"/>
    <x v="1"/>
    <x v="8"/>
    <x v="1"/>
    <x v="0"/>
    <d v="2026-06-14T00:00:00"/>
  </r>
  <r>
    <s v="C00180"/>
    <n v="51"/>
    <x v="1"/>
    <x v="0"/>
    <x v="0"/>
    <x v="4"/>
    <x v="0"/>
    <d v="2025-05-19T00:00:00"/>
  </r>
  <r>
    <s v="C00181"/>
    <n v="29"/>
    <x v="1"/>
    <x v="0"/>
    <x v="0"/>
    <x v="0"/>
    <x v="1"/>
    <d v="2026-05-05T00:00:00"/>
  </r>
  <r>
    <s v="C00182"/>
    <n v="59"/>
    <x v="1"/>
    <x v="0"/>
    <x v="0"/>
    <x v="4"/>
    <x v="0"/>
    <d v="2024-08-07T00:00:00"/>
  </r>
  <r>
    <s v="C00183"/>
    <n v="26"/>
    <x v="1"/>
    <x v="4"/>
    <x v="4"/>
    <x v="5"/>
    <x v="0"/>
    <d v="2025-01-21T00:00:00"/>
  </r>
  <r>
    <s v="C00184"/>
    <n v="32"/>
    <x v="1"/>
    <x v="4"/>
    <x v="4"/>
    <x v="5"/>
    <x v="2"/>
    <d v="2023-12-26T00:00:00"/>
  </r>
  <r>
    <s v="C00185"/>
    <n v="57"/>
    <x v="0"/>
    <x v="0"/>
    <x v="0"/>
    <x v="8"/>
    <x v="3"/>
    <d v="2025-03-29T00:00:00"/>
  </r>
  <r>
    <s v="C00186"/>
    <n v="42"/>
    <x v="0"/>
    <x v="3"/>
    <x v="5"/>
    <x v="6"/>
    <x v="1"/>
    <d v="2023-01-30T00:00:00"/>
  </r>
  <r>
    <s v="C00187"/>
    <n v="22"/>
    <x v="1"/>
    <x v="5"/>
    <x v="6"/>
    <x v="7"/>
    <x v="2"/>
    <d v="2023-04-18T00:00:00"/>
  </r>
  <r>
    <s v="C00188"/>
    <n v="28"/>
    <x v="0"/>
    <x v="3"/>
    <x v="3"/>
    <x v="3"/>
    <x v="0"/>
    <d v="2025-04-23T00:00:00"/>
  </r>
  <r>
    <s v="C00189"/>
    <n v="51"/>
    <x v="0"/>
    <x v="3"/>
    <x v="3"/>
    <x v="3"/>
    <x v="0"/>
    <d v="2024-12-17T00:00:00"/>
  </r>
  <r>
    <s v="C00190"/>
    <n v="41"/>
    <x v="0"/>
    <x v="0"/>
    <x v="0"/>
    <x v="8"/>
    <x v="2"/>
    <d v="2025-06-09T00:00:00"/>
  </r>
  <r>
    <s v="C00191"/>
    <n v="32"/>
    <x v="0"/>
    <x v="0"/>
    <x v="0"/>
    <x v="4"/>
    <x v="2"/>
    <d v="2025-08-17T00:00:00"/>
  </r>
  <r>
    <s v="C00192"/>
    <n v="55"/>
    <x v="1"/>
    <x v="4"/>
    <x v="4"/>
    <x v="5"/>
    <x v="3"/>
    <d v="2025-06-11T00:00:00"/>
  </r>
  <r>
    <s v="C00193"/>
    <n v="25"/>
    <x v="1"/>
    <x v="4"/>
    <x v="4"/>
    <x v="5"/>
    <x v="0"/>
    <d v="2025-01-01T00:00:00"/>
  </r>
  <r>
    <s v="C00194"/>
    <n v="22"/>
    <x v="0"/>
    <x v="3"/>
    <x v="5"/>
    <x v="6"/>
    <x v="0"/>
    <d v="2024-08-28T00:00:00"/>
  </r>
  <r>
    <s v="C00195"/>
    <n v="65"/>
    <x v="0"/>
    <x v="0"/>
    <x v="0"/>
    <x v="0"/>
    <x v="2"/>
    <d v="2024-04-01T00:00:00"/>
  </r>
  <r>
    <s v="C00196"/>
    <n v="43"/>
    <x v="0"/>
    <x v="0"/>
    <x v="0"/>
    <x v="0"/>
    <x v="0"/>
    <d v="2024-09-06T00:00:00"/>
  </r>
  <r>
    <s v="C00197"/>
    <n v="35"/>
    <x v="1"/>
    <x v="2"/>
    <x v="2"/>
    <x v="2"/>
    <x v="0"/>
    <d v="2024-11-28T00:00:00"/>
  </r>
  <r>
    <s v="C00198"/>
    <n v="23"/>
    <x v="1"/>
    <x v="4"/>
    <x v="4"/>
    <x v="5"/>
    <x v="0"/>
    <d v="2024-11-04T00:00:00"/>
  </r>
  <r>
    <s v="C00199"/>
    <n v="54"/>
    <x v="0"/>
    <x v="4"/>
    <x v="4"/>
    <x v="5"/>
    <x v="0"/>
    <d v="2026-06-24T00:00:00"/>
  </r>
  <r>
    <s v="C00200"/>
    <n v="65"/>
    <x v="1"/>
    <x v="2"/>
    <x v="2"/>
    <x v="2"/>
    <x v="0"/>
    <d v="2024-06-26T00:00:00"/>
  </r>
  <r>
    <s v="C00201"/>
    <n v="30"/>
    <x v="1"/>
    <x v="3"/>
    <x v="5"/>
    <x v="6"/>
    <x v="0"/>
    <d v="2025-05-06T00:00:00"/>
  </r>
  <r>
    <s v="C00202"/>
    <n v="45"/>
    <x v="1"/>
    <x v="0"/>
    <x v="0"/>
    <x v="4"/>
    <x v="2"/>
    <d v="2025-06-15T00:00:00"/>
  </r>
  <r>
    <s v="C00203"/>
    <n v="22"/>
    <x v="1"/>
    <x v="0"/>
    <x v="0"/>
    <x v="8"/>
    <x v="1"/>
    <d v="2023-10-05T00:00:00"/>
  </r>
  <r>
    <s v="C00204"/>
    <n v="30"/>
    <x v="0"/>
    <x v="4"/>
    <x v="4"/>
    <x v="5"/>
    <x v="0"/>
    <d v="2024-07-05T00:00:00"/>
  </r>
  <r>
    <s v="C00205"/>
    <n v="34"/>
    <x v="1"/>
    <x v="3"/>
    <x v="3"/>
    <x v="3"/>
    <x v="0"/>
    <d v="2023-04-21T00:00:00"/>
  </r>
  <r>
    <s v="C00206"/>
    <n v="57"/>
    <x v="0"/>
    <x v="0"/>
    <x v="0"/>
    <x v="4"/>
    <x v="1"/>
    <d v="2024-01-20T00:00:00"/>
  </r>
  <r>
    <s v="C00207"/>
    <n v="62"/>
    <x v="1"/>
    <x v="0"/>
    <x v="0"/>
    <x v="4"/>
    <x v="1"/>
    <d v="2025-01-30T00:00:00"/>
  </r>
  <r>
    <s v="C00208"/>
    <n v="49"/>
    <x v="1"/>
    <x v="3"/>
    <x v="5"/>
    <x v="6"/>
    <x v="0"/>
    <d v="2026-04-29T00:00:00"/>
  </r>
  <r>
    <s v="C00209"/>
    <n v="46"/>
    <x v="1"/>
    <x v="0"/>
    <x v="0"/>
    <x v="4"/>
    <x v="2"/>
    <d v="2024-11-24T00:00:00"/>
  </r>
  <r>
    <s v="C00210"/>
    <n v="20"/>
    <x v="1"/>
    <x v="0"/>
    <x v="0"/>
    <x v="8"/>
    <x v="0"/>
    <d v="2024-02-09T00:00:00"/>
  </r>
  <r>
    <s v="C00211"/>
    <n v="57"/>
    <x v="0"/>
    <x v="3"/>
    <x v="3"/>
    <x v="3"/>
    <x v="3"/>
    <d v="2026-05-17T00:00:00"/>
  </r>
  <r>
    <s v="C00212"/>
    <n v="51"/>
    <x v="1"/>
    <x v="3"/>
    <x v="5"/>
    <x v="6"/>
    <x v="0"/>
    <d v="2023-01-22T00:00:00"/>
  </r>
  <r>
    <s v="C00213"/>
    <n v="57"/>
    <x v="1"/>
    <x v="3"/>
    <x v="5"/>
    <x v="6"/>
    <x v="0"/>
    <d v="2024-11-08T00:00:00"/>
  </r>
  <r>
    <s v="C00214"/>
    <n v="44"/>
    <x v="1"/>
    <x v="0"/>
    <x v="0"/>
    <x v="8"/>
    <x v="0"/>
    <d v="2024-09-02T00:00:00"/>
  </r>
  <r>
    <s v="C00215"/>
    <n v="30"/>
    <x v="0"/>
    <x v="2"/>
    <x v="2"/>
    <x v="2"/>
    <x v="0"/>
    <d v="2026-05-16T00:00:00"/>
  </r>
  <r>
    <s v="C00216"/>
    <n v="62"/>
    <x v="0"/>
    <x v="0"/>
    <x v="0"/>
    <x v="8"/>
    <x v="2"/>
    <d v="2023-01-08T00:00:00"/>
  </r>
  <r>
    <s v="C00217"/>
    <n v="50"/>
    <x v="0"/>
    <x v="0"/>
    <x v="0"/>
    <x v="0"/>
    <x v="0"/>
    <d v="2024-12-02T00:00:00"/>
  </r>
  <r>
    <s v="C00218"/>
    <n v="23"/>
    <x v="1"/>
    <x v="2"/>
    <x v="2"/>
    <x v="2"/>
    <x v="0"/>
    <d v="2024-06-12T00:00:00"/>
  </r>
  <r>
    <s v="C00219"/>
    <n v="41"/>
    <x v="1"/>
    <x v="3"/>
    <x v="5"/>
    <x v="6"/>
    <x v="2"/>
    <d v="2024-08-24T00:00:00"/>
  </r>
  <r>
    <s v="C00220"/>
    <n v="36"/>
    <x v="0"/>
    <x v="5"/>
    <x v="6"/>
    <x v="7"/>
    <x v="3"/>
    <d v="2024-10-18T00:00:00"/>
  </r>
  <r>
    <s v="C00221"/>
    <n v="33"/>
    <x v="1"/>
    <x v="3"/>
    <x v="5"/>
    <x v="6"/>
    <x v="2"/>
    <d v="2023-06-15T00:00:00"/>
  </r>
  <r>
    <s v="C00222"/>
    <n v="57"/>
    <x v="1"/>
    <x v="3"/>
    <x v="3"/>
    <x v="3"/>
    <x v="0"/>
    <d v="2025-04-28T00:00:00"/>
  </r>
  <r>
    <s v="C00223"/>
    <n v="45"/>
    <x v="1"/>
    <x v="0"/>
    <x v="0"/>
    <x v="4"/>
    <x v="2"/>
    <d v="2024-05-10T00:00:00"/>
  </r>
  <r>
    <s v="C00224"/>
    <n v="50"/>
    <x v="1"/>
    <x v="0"/>
    <x v="0"/>
    <x v="0"/>
    <x v="0"/>
    <d v="2024-08-12T00:00:00"/>
  </r>
  <r>
    <s v="C00225"/>
    <n v="65"/>
    <x v="1"/>
    <x v="0"/>
    <x v="0"/>
    <x v="8"/>
    <x v="0"/>
    <d v="2024-03-04T00:00:00"/>
  </r>
  <r>
    <s v="C00226"/>
    <n v="58"/>
    <x v="1"/>
    <x v="0"/>
    <x v="0"/>
    <x v="8"/>
    <x v="0"/>
    <d v="2025-02-12T00:00:00"/>
  </r>
  <r>
    <s v="C00227"/>
    <n v="30"/>
    <x v="0"/>
    <x v="1"/>
    <x v="1"/>
    <x v="1"/>
    <x v="0"/>
    <d v="2023-06-12T00:00:00"/>
  </r>
  <r>
    <s v="C00228"/>
    <n v="60"/>
    <x v="1"/>
    <x v="0"/>
    <x v="0"/>
    <x v="0"/>
    <x v="0"/>
    <d v="2024-01-01T00:00:00"/>
  </r>
  <r>
    <s v="C00229"/>
    <n v="62"/>
    <x v="1"/>
    <x v="4"/>
    <x v="4"/>
    <x v="5"/>
    <x v="0"/>
    <d v="2026-06-16T00:00:00"/>
  </r>
  <r>
    <s v="C00230"/>
    <n v="42"/>
    <x v="1"/>
    <x v="3"/>
    <x v="5"/>
    <x v="6"/>
    <x v="2"/>
    <d v="2023-03-13T00:00:00"/>
  </r>
  <r>
    <s v="C00231"/>
    <n v="59"/>
    <x v="1"/>
    <x v="6"/>
    <x v="6"/>
    <x v="7"/>
    <x v="0"/>
    <d v="2024-10-16T00:00:00"/>
  </r>
  <r>
    <s v="C00232"/>
    <n v="53"/>
    <x v="1"/>
    <x v="3"/>
    <x v="3"/>
    <x v="3"/>
    <x v="1"/>
    <d v="2023-09-26T00:00:00"/>
  </r>
  <r>
    <s v="C00233"/>
    <n v="44"/>
    <x v="0"/>
    <x v="3"/>
    <x v="3"/>
    <x v="3"/>
    <x v="1"/>
    <d v="2024-02-19T00:00:00"/>
  </r>
  <r>
    <s v="C00234"/>
    <n v="55"/>
    <x v="0"/>
    <x v="0"/>
    <x v="0"/>
    <x v="9"/>
    <x v="3"/>
    <d v="2026-06-22T00:00:00"/>
  </r>
  <r>
    <s v="C00235"/>
    <n v="24"/>
    <x v="0"/>
    <x v="0"/>
    <x v="0"/>
    <x v="8"/>
    <x v="0"/>
    <d v="2025-10-12T00:00:00"/>
  </r>
  <r>
    <s v="C00236"/>
    <n v="22"/>
    <x v="0"/>
    <x v="2"/>
    <x v="2"/>
    <x v="2"/>
    <x v="0"/>
    <d v="2024-11-05T00:00:00"/>
  </r>
  <r>
    <s v="C00237"/>
    <n v="60"/>
    <x v="1"/>
    <x v="0"/>
    <x v="0"/>
    <x v="0"/>
    <x v="2"/>
    <d v="2025-12-19T00:00:00"/>
  </r>
  <r>
    <s v="C00238"/>
    <n v="62"/>
    <x v="1"/>
    <x v="0"/>
    <x v="0"/>
    <x v="4"/>
    <x v="2"/>
    <d v="2023-01-06T00:00:00"/>
  </r>
  <r>
    <s v="C00239"/>
    <n v="48"/>
    <x v="0"/>
    <x v="3"/>
    <x v="5"/>
    <x v="6"/>
    <x v="0"/>
    <d v="2025-09-08T00:00:00"/>
  </r>
  <r>
    <s v="C00240"/>
    <n v="40"/>
    <x v="0"/>
    <x v="0"/>
    <x v="0"/>
    <x v="8"/>
    <x v="0"/>
    <d v="2024-07-23T00:00:00"/>
  </r>
  <r>
    <s v="C00241"/>
    <n v="59"/>
    <x v="1"/>
    <x v="1"/>
    <x v="1"/>
    <x v="1"/>
    <x v="2"/>
    <d v="2024-02-11T00:00:00"/>
  </r>
  <r>
    <s v="C00242"/>
    <n v="27"/>
    <x v="0"/>
    <x v="1"/>
    <x v="1"/>
    <x v="1"/>
    <x v="0"/>
    <d v="2026-05-25T00:00:00"/>
  </r>
  <r>
    <s v="C00243"/>
    <n v="49"/>
    <x v="1"/>
    <x v="4"/>
    <x v="4"/>
    <x v="5"/>
    <x v="0"/>
    <d v="2023-01-26T00:00:00"/>
  </r>
  <r>
    <s v="C00244"/>
    <n v="60"/>
    <x v="1"/>
    <x v="0"/>
    <x v="0"/>
    <x v="0"/>
    <x v="2"/>
    <d v="2025-10-25T00:00:00"/>
  </r>
  <r>
    <s v="C00245"/>
    <n v="47"/>
    <x v="1"/>
    <x v="0"/>
    <x v="0"/>
    <x v="4"/>
    <x v="0"/>
    <d v="2025-09-12T00:00:00"/>
  </r>
  <r>
    <s v="C00246"/>
    <n v="56"/>
    <x v="0"/>
    <x v="4"/>
    <x v="4"/>
    <x v="5"/>
    <x v="0"/>
    <d v="2024-01-25T00:00:00"/>
  </r>
  <r>
    <s v="C00247"/>
    <n v="48"/>
    <x v="0"/>
    <x v="0"/>
    <x v="0"/>
    <x v="9"/>
    <x v="0"/>
    <d v="2024-12-10T00:00:00"/>
  </r>
  <r>
    <s v="C00248"/>
    <n v="35"/>
    <x v="1"/>
    <x v="1"/>
    <x v="1"/>
    <x v="1"/>
    <x v="1"/>
    <d v="2024-07-24T00:00:00"/>
  </r>
  <r>
    <s v="C00249"/>
    <n v="53"/>
    <x v="1"/>
    <x v="1"/>
    <x v="1"/>
    <x v="1"/>
    <x v="0"/>
    <d v="2025-01-23T00:00:00"/>
  </r>
  <r>
    <s v="C00250"/>
    <n v="19"/>
    <x v="0"/>
    <x v="4"/>
    <x v="4"/>
    <x v="5"/>
    <x v="2"/>
    <d v="2023-05-26T00:00:00"/>
  </r>
  <r>
    <s v="C00251"/>
    <n v="31"/>
    <x v="1"/>
    <x v="0"/>
    <x v="0"/>
    <x v="0"/>
    <x v="1"/>
    <d v="2025-02-23T00:00:00"/>
  </r>
  <r>
    <s v="C00252"/>
    <n v="30"/>
    <x v="0"/>
    <x v="0"/>
    <x v="0"/>
    <x v="0"/>
    <x v="0"/>
    <d v="2026-06-26T00:00:00"/>
  </r>
  <r>
    <s v="C00253"/>
    <n v="46"/>
    <x v="1"/>
    <x v="4"/>
    <x v="4"/>
    <x v="5"/>
    <x v="0"/>
    <d v="2024-06-09T00:00:00"/>
  </r>
  <r>
    <s v="C00254"/>
    <n v="29"/>
    <x v="0"/>
    <x v="0"/>
    <x v="0"/>
    <x v="0"/>
    <x v="1"/>
    <d v="2023-01-13T00:00:00"/>
  </r>
  <r>
    <s v="C00255"/>
    <n v="56"/>
    <x v="1"/>
    <x v="0"/>
    <x v="0"/>
    <x v="8"/>
    <x v="3"/>
    <d v="2025-06-21T00:00:00"/>
  </r>
  <r>
    <s v="C00256"/>
    <n v="19"/>
    <x v="0"/>
    <x v="3"/>
    <x v="3"/>
    <x v="3"/>
    <x v="0"/>
    <d v="2024-01-19T00:00:00"/>
  </r>
  <r>
    <s v="C00257"/>
    <n v="49"/>
    <x v="0"/>
    <x v="1"/>
    <x v="1"/>
    <x v="1"/>
    <x v="0"/>
    <d v="2024-07-09T00:00:00"/>
  </r>
  <r>
    <s v="C00258"/>
    <n v="30"/>
    <x v="0"/>
    <x v="3"/>
    <x v="5"/>
    <x v="6"/>
    <x v="0"/>
    <d v="2025-06-05T00:00:00"/>
  </r>
  <r>
    <s v="C00259"/>
    <n v="63"/>
    <x v="0"/>
    <x v="3"/>
    <x v="3"/>
    <x v="3"/>
    <x v="0"/>
    <d v="2023-01-19T00:00:00"/>
  </r>
  <r>
    <s v="C00260"/>
    <n v="44"/>
    <x v="1"/>
    <x v="0"/>
    <x v="0"/>
    <x v="4"/>
    <x v="1"/>
    <d v="2024-07-28T00:00:00"/>
  </r>
  <r>
    <s v="C00261"/>
    <n v="58"/>
    <x v="1"/>
    <x v="3"/>
    <x v="5"/>
    <x v="6"/>
    <x v="2"/>
    <d v="2025-01-20T00:00:00"/>
  </r>
  <r>
    <s v="C00262"/>
    <n v="34"/>
    <x v="0"/>
    <x v="1"/>
    <x v="1"/>
    <x v="1"/>
    <x v="3"/>
    <d v="2025-09-30T00:00:00"/>
  </r>
  <r>
    <s v="C00263"/>
    <n v="57"/>
    <x v="0"/>
    <x v="0"/>
    <x v="0"/>
    <x v="4"/>
    <x v="0"/>
    <d v="2024-02-23T00:00:00"/>
  </r>
  <r>
    <s v="C00264"/>
    <n v="48"/>
    <x v="1"/>
    <x v="3"/>
    <x v="3"/>
    <x v="3"/>
    <x v="0"/>
    <d v="2024-02-23T00:00:00"/>
  </r>
  <r>
    <s v="C00265"/>
    <n v="51"/>
    <x v="1"/>
    <x v="4"/>
    <x v="4"/>
    <x v="5"/>
    <x v="2"/>
    <d v="2023-05-02T00:00:00"/>
  </r>
  <r>
    <s v="C00266"/>
    <n v="41"/>
    <x v="1"/>
    <x v="2"/>
    <x v="2"/>
    <x v="2"/>
    <x v="2"/>
    <d v="2024-03-07T00:00:00"/>
  </r>
  <r>
    <s v="C00267"/>
    <n v="62"/>
    <x v="0"/>
    <x v="3"/>
    <x v="5"/>
    <x v="6"/>
    <x v="0"/>
    <d v="2023-02-13T00:00:00"/>
  </r>
  <r>
    <s v="C00268"/>
    <n v="52"/>
    <x v="0"/>
    <x v="3"/>
    <x v="5"/>
    <x v="6"/>
    <x v="0"/>
    <d v="2024-01-16T00:00:00"/>
  </r>
  <r>
    <s v="C00269"/>
    <n v="65"/>
    <x v="1"/>
    <x v="0"/>
    <x v="0"/>
    <x v="0"/>
    <x v="0"/>
    <d v="2023-05-25T00:00:00"/>
  </r>
  <r>
    <s v="C00270"/>
    <n v="23"/>
    <x v="0"/>
    <x v="0"/>
    <x v="0"/>
    <x v="0"/>
    <x v="2"/>
    <d v="2023-12-29T00:00:00"/>
  </r>
  <r>
    <s v="C00271"/>
    <n v="36"/>
    <x v="1"/>
    <x v="5"/>
    <x v="6"/>
    <x v="7"/>
    <x v="2"/>
    <d v="2025-12-09T00:00:00"/>
  </r>
  <r>
    <s v="C00272"/>
    <n v="47"/>
    <x v="0"/>
    <x v="5"/>
    <x v="6"/>
    <x v="7"/>
    <x v="0"/>
    <d v="2025-12-24T00:00:00"/>
  </r>
  <r>
    <s v="C00273"/>
    <n v="24"/>
    <x v="1"/>
    <x v="4"/>
    <x v="4"/>
    <x v="5"/>
    <x v="0"/>
    <d v="2023-12-21T00:00:00"/>
  </r>
  <r>
    <s v="C00274"/>
    <n v="27"/>
    <x v="0"/>
    <x v="4"/>
    <x v="4"/>
    <x v="5"/>
    <x v="2"/>
    <d v="2025-03-10T00:00:00"/>
  </r>
  <r>
    <s v="C00275"/>
    <n v="58"/>
    <x v="1"/>
    <x v="3"/>
    <x v="3"/>
    <x v="3"/>
    <x v="2"/>
    <d v="2026-04-02T00:00:00"/>
  </r>
  <r>
    <s v="C00276"/>
    <n v="49"/>
    <x v="1"/>
    <x v="3"/>
    <x v="3"/>
    <x v="3"/>
    <x v="3"/>
    <d v="2026-03-10T00:00:00"/>
  </r>
  <r>
    <s v="C00277"/>
    <n v="51"/>
    <x v="1"/>
    <x v="5"/>
    <x v="6"/>
    <x v="7"/>
    <x v="2"/>
    <d v="2025-04-05T00:00:00"/>
  </r>
  <r>
    <s v="C00278"/>
    <n v="45"/>
    <x v="0"/>
    <x v="3"/>
    <x v="5"/>
    <x v="6"/>
    <x v="0"/>
    <d v="2026-02-25T00:00:00"/>
  </r>
  <r>
    <s v="C00279"/>
    <n v="32"/>
    <x v="1"/>
    <x v="3"/>
    <x v="5"/>
    <x v="6"/>
    <x v="0"/>
    <d v="2024-02-02T00:00:00"/>
  </r>
  <r>
    <s v="C00280"/>
    <n v="47"/>
    <x v="1"/>
    <x v="5"/>
    <x v="6"/>
    <x v="7"/>
    <x v="0"/>
    <d v="2025-05-29T00:00:00"/>
  </r>
  <r>
    <s v="C00281"/>
    <n v="54"/>
    <x v="1"/>
    <x v="4"/>
    <x v="4"/>
    <x v="5"/>
    <x v="1"/>
    <d v="2024-04-07T00:00:00"/>
  </r>
  <r>
    <s v="C00282"/>
    <n v="46"/>
    <x v="1"/>
    <x v="0"/>
    <x v="0"/>
    <x v="0"/>
    <x v="0"/>
    <d v="2025-03-18T00:00:00"/>
  </r>
  <r>
    <s v="C00283"/>
    <n v="39"/>
    <x v="1"/>
    <x v="0"/>
    <x v="0"/>
    <x v="0"/>
    <x v="2"/>
    <d v="2023-07-06T00:00:00"/>
  </r>
  <r>
    <s v="C00284"/>
    <n v="21"/>
    <x v="1"/>
    <x v="0"/>
    <x v="0"/>
    <x v="4"/>
    <x v="0"/>
    <d v="2025-01-01T00:00:00"/>
  </r>
  <r>
    <s v="C00285"/>
    <n v="37"/>
    <x v="0"/>
    <x v="3"/>
    <x v="3"/>
    <x v="3"/>
    <x v="2"/>
    <d v="2026-04-28T00:00:00"/>
  </r>
  <r>
    <s v="C00286"/>
    <n v="49"/>
    <x v="1"/>
    <x v="0"/>
    <x v="0"/>
    <x v="4"/>
    <x v="0"/>
    <d v="2024-03-04T00:00:00"/>
  </r>
  <r>
    <s v="C00287"/>
    <n v="53"/>
    <x v="1"/>
    <x v="0"/>
    <x v="0"/>
    <x v="9"/>
    <x v="3"/>
    <d v="2025-05-07T00:00:00"/>
  </r>
  <r>
    <s v="C00288"/>
    <n v="21"/>
    <x v="0"/>
    <x v="3"/>
    <x v="3"/>
    <x v="3"/>
    <x v="1"/>
    <d v="2023-08-25T00:00:00"/>
  </r>
  <r>
    <s v="C00289"/>
    <n v="44"/>
    <x v="0"/>
    <x v="0"/>
    <x v="0"/>
    <x v="0"/>
    <x v="0"/>
    <d v="2026-05-02T00:00:00"/>
  </r>
  <r>
    <s v="C00290"/>
    <n v="34"/>
    <x v="0"/>
    <x v="3"/>
    <x v="3"/>
    <x v="3"/>
    <x v="0"/>
    <d v="2025-02-09T00:00:00"/>
  </r>
  <r>
    <s v="C00291"/>
    <n v="29"/>
    <x v="1"/>
    <x v="0"/>
    <x v="0"/>
    <x v="4"/>
    <x v="0"/>
    <d v="2025-01-27T00:00:00"/>
  </r>
  <r>
    <s v="C00292"/>
    <n v="39"/>
    <x v="1"/>
    <x v="0"/>
    <x v="0"/>
    <x v="4"/>
    <x v="2"/>
    <d v="2023-05-16T00:00:00"/>
  </r>
  <r>
    <s v="C00293"/>
    <n v="34"/>
    <x v="1"/>
    <x v="5"/>
    <x v="6"/>
    <x v="7"/>
    <x v="2"/>
    <d v="2025-03-02T00:00:00"/>
  </r>
  <r>
    <s v="C00294"/>
    <n v="27"/>
    <x v="1"/>
    <x v="0"/>
    <x v="0"/>
    <x v="0"/>
    <x v="1"/>
    <d v="2023-06-20T00:00:00"/>
  </r>
  <r>
    <s v="C00295"/>
    <n v="18"/>
    <x v="0"/>
    <x v="0"/>
    <x v="0"/>
    <x v="4"/>
    <x v="0"/>
    <d v="2023-06-08T00:00:00"/>
  </r>
  <r>
    <s v="C00296"/>
    <n v="39"/>
    <x v="0"/>
    <x v="3"/>
    <x v="3"/>
    <x v="3"/>
    <x v="0"/>
    <d v="2023-07-20T00:00:00"/>
  </r>
  <r>
    <s v="C00297"/>
    <n v="43"/>
    <x v="0"/>
    <x v="2"/>
    <x v="2"/>
    <x v="2"/>
    <x v="0"/>
    <d v="2025-08-19T00:00:00"/>
  </r>
  <r>
    <s v="C00298"/>
    <n v="35"/>
    <x v="0"/>
    <x v="0"/>
    <x v="0"/>
    <x v="8"/>
    <x v="2"/>
    <d v="2024-08-05T00:00:00"/>
  </r>
  <r>
    <s v="C00299"/>
    <n v="31"/>
    <x v="0"/>
    <x v="3"/>
    <x v="5"/>
    <x v="6"/>
    <x v="2"/>
    <d v="2025-05-25T00:00:00"/>
  </r>
  <r>
    <s v="C00300"/>
    <n v="64"/>
    <x v="0"/>
    <x v="0"/>
    <x v="0"/>
    <x v="4"/>
    <x v="0"/>
    <d v="2024-01-06T00:00:00"/>
  </r>
  <r>
    <s v="C00301"/>
    <n v="46"/>
    <x v="1"/>
    <x v="0"/>
    <x v="0"/>
    <x v="4"/>
    <x v="2"/>
    <d v="2023-04-13T00:00:00"/>
  </r>
  <r>
    <s v="C00302"/>
    <n v="29"/>
    <x v="1"/>
    <x v="3"/>
    <x v="3"/>
    <x v="3"/>
    <x v="0"/>
    <d v="2025-09-28T00:00:00"/>
  </r>
  <r>
    <s v="C00303"/>
    <n v="53"/>
    <x v="1"/>
    <x v="3"/>
    <x v="3"/>
    <x v="3"/>
    <x v="2"/>
    <d v="2026-02-22T00:00:00"/>
  </r>
  <r>
    <s v="C00304"/>
    <n v="52"/>
    <x v="1"/>
    <x v="3"/>
    <x v="5"/>
    <x v="6"/>
    <x v="0"/>
    <d v="2025-09-02T00:00:00"/>
  </r>
  <r>
    <s v="C00305"/>
    <n v="29"/>
    <x v="1"/>
    <x v="2"/>
    <x v="2"/>
    <x v="2"/>
    <x v="2"/>
    <d v="2025-03-08T00:00:00"/>
  </r>
  <r>
    <s v="C00306"/>
    <n v="24"/>
    <x v="0"/>
    <x v="1"/>
    <x v="1"/>
    <x v="1"/>
    <x v="2"/>
    <d v="2026-06-07T00:00:00"/>
  </r>
  <r>
    <s v="C00307"/>
    <n v="46"/>
    <x v="1"/>
    <x v="3"/>
    <x v="3"/>
    <x v="3"/>
    <x v="0"/>
    <d v="2024-10-19T00:00:00"/>
  </r>
  <r>
    <s v="C00308"/>
    <n v="28"/>
    <x v="1"/>
    <x v="0"/>
    <x v="0"/>
    <x v="0"/>
    <x v="2"/>
    <d v="2025-05-31T00:00:00"/>
  </r>
  <r>
    <s v="C00309"/>
    <n v="50"/>
    <x v="0"/>
    <x v="5"/>
    <x v="6"/>
    <x v="7"/>
    <x v="0"/>
    <d v="2026-05-05T00:00:00"/>
  </r>
  <r>
    <s v="C00310"/>
    <n v="23"/>
    <x v="0"/>
    <x v="0"/>
    <x v="0"/>
    <x v="8"/>
    <x v="0"/>
    <d v="2025-01-02T00:00:00"/>
  </r>
  <r>
    <s v="C00311"/>
    <n v="64"/>
    <x v="1"/>
    <x v="0"/>
    <x v="0"/>
    <x v="9"/>
    <x v="0"/>
    <d v="2024-02-27T00:00:00"/>
  </r>
  <r>
    <s v="C00312"/>
    <n v="32"/>
    <x v="0"/>
    <x v="0"/>
    <x v="0"/>
    <x v="4"/>
    <x v="3"/>
    <d v="2024-07-25T00:00:00"/>
  </r>
  <r>
    <s v="C00313"/>
    <n v="49"/>
    <x v="1"/>
    <x v="0"/>
    <x v="0"/>
    <x v="4"/>
    <x v="2"/>
    <d v="2023-06-20T00:00:00"/>
  </r>
  <r>
    <s v="C00314"/>
    <n v="28"/>
    <x v="1"/>
    <x v="1"/>
    <x v="1"/>
    <x v="1"/>
    <x v="2"/>
    <d v="2023-06-22T00:00:00"/>
  </r>
  <r>
    <s v="C00315"/>
    <n v="40"/>
    <x v="0"/>
    <x v="5"/>
    <x v="6"/>
    <x v="7"/>
    <x v="2"/>
    <d v="2024-10-24T00:00:00"/>
  </r>
  <r>
    <s v="C00316"/>
    <n v="43"/>
    <x v="0"/>
    <x v="3"/>
    <x v="5"/>
    <x v="6"/>
    <x v="0"/>
    <d v="2024-03-28T00:00:00"/>
  </r>
  <r>
    <s v="C00317"/>
    <n v="51"/>
    <x v="0"/>
    <x v="0"/>
    <x v="0"/>
    <x v="0"/>
    <x v="3"/>
    <d v="2023-12-16T00:00:00"/>
  </r>
  <r>
    <s v="C00318"/>
    <n v="63"/>
    <x v="0"/>
    <x v="0"/>
    <x v="0"/>
    <x v="8"/>
    <x v="0"/>
    <d v="2024-05-08T00:00:00"/>
  </r>
  <r>
    <s v="C00319"/>
    <n v="51"/>
    <x v="0"/>
    <x v="0"/>
    <x v="0"/>
    <x v="4"/>
    <x v="0"/>
    <d v="2024-09-11T00:00:00"/>
  </r>
  <r>
    <s v="C00320"/>
    <n v="46"/>
    <x v="1"/>
    <x v="0"/>
    <x v="0"/>
    <x v="8"/>
    <x v="0"/>
    <d v="2025-10-24T00:00:00"/>
  </r>
  <r>
    <s v="C00321"/>
    <n v="21"/>
    <x v="0"/>
    <x v="3"/>
    <x v="3"/>
    <x v="3"/>
    <x v="2"/>
    <d v="2026-01-21T00:00:00"/>
  </r>
  <r>
    <s v="C00322"/>
    <n v="34"/>
    <x v="1"/>
    <x v="2"/>
    <x v="2"/>
    <x v="2"/>
    <x v="2"/>
    <d v="2025-07-07T00:00:00"/>
  </r>
  <r>
    <s v="C00323"/>
    <n v="52"/>
    <x v="0"/>
    <x v="3"/>
    <x v="5"/>
    <x v="6"/>
    <x v="0"/>
    <d v="2023-01-06T00:00:00"/>
  </r>
  <r>
    <s v="C00324"/>
    <n v="30"/>
    <x v="1"/>
    <x v="0"/>
    <x v="0"/>
    <x v="8"/>
    <x v="1"/>
    <d v="2023-10-15T00:00:00"/>
  </r>
  <r>
    <s v="C00325"/>
    <n v="58"/>
    <x v="0"/>
    <x v="1"/>
    <x v="1"/>
    <x v="1"/>
    <x v="2"/>
    <d v="2026-03-15T00:00:00"/>
  </r>
  <r>
    <s v="C00326"/>
    <n v="56"/>
    <x v="0"/>
    <x v="2"/>
    <x v="2"/>
    <x v="2"/>
    <x v="1"/>
    <d v="2024-08-30T00:00:00"/>
  </r>
  <r>
    <s v="C00327"/>
    <n v="32"/>
    <x v="1"/>
    <x v="3"/>
    <x v="3"/>
    <x v="3"/>
    <x v="2"/>
    <d v="2024-04-01T00:00:00"/>
  </r>
  <r>
    <s v="C00328"/>
    <n v="46"/>
    <x v="1"/>
    <x v="3"/>
    <x v="5"/>
    <x v="6"/>
    <x v="3"/>
    <d v="2026-05-10T00:00:00"/>
  </r>
  <r>
    <s v="C00329"/>
    <n v="46"/>
    <x v="0"/>
    <x v="0"/>
    <x v="0"/>
    <x v="9"/>
    <x v="0"/>
    <d v="2026-05-20T00:00:00"/>
  </r>
  <r>
    <s v="C00330"/>
    <n v="28"/>
    <x v="1"/>
    <x v="0"/>
    <x v="0"/>
    <x v="8"/>
    <x v="0"/>
    <d v="2025-10-26T00:00:00"/>
  </r>
  <r>
    <s v="C00331"/>
    <n v="49"/>
    <x v="0"/>
    <x v="0"/>
    <x v="0"/>
    <x v="0"/>
    <x v="2"/>
    <d v="2024-09-15T00:00:00"/>
  </r>
  <r>
    <s v="C00332"/>
    <n v="19"/>
    <x v="1"/>
    <x v="2"/>
    <x v="2"/>
    <x v="2"/>
    <x v="2"/>
    <d v="2024-01-11T00:00:00"/>
  </r>
  <r>
    <s v="C00333"/>
    <n v="64"/>
    <x v="0"/>
    <x v="0"/>
    <x v="0"/>
    <x v="4"/>
    <x v="0"/>
    <d v="2024-03-22T00:00:00"/>
  </r>
  <r>
    <s v="C00334"/>
    <n v="31"/>
    <x v="0"/>
    <x v="0"/>
    <x v="0"/>
    <x v="4"/>
    <x v="3"/>
    <d v="2025-04-14T00:00:00"/>
  </r>
  <r>
    <s v="C00335"/>
    <n v="37"/>
    <x v="1"/>
    <x v="0"/>
    <x v="0"/>
    <x v="4"/>
    <x v="1"/>
    <d v="2026-02-03T00:00:00"/>
  </r>
  <r>
    <s v="C00336"/>
    <n v="39"/>
    <x v="1"/>
    <x v="0"/>
    <x v="0"/>
    <x v="4"/>
    <x v="0"/>
    <d v="2025-03-21T00:00:00"/>
  </r>
  <r>
    <s v="C00337"/>
    <n v="28"/>
    <x v="0"/>
    <x v="4"/>
    <x v="4"/>
    <x v="5"/>
    <x v="2"/>
    <d v="2026-01-24T00:00:00"/>
  </r>
  <r>
    <s v="C00338"/>
    <n v="44"/>
    <x v="1"/>
    <x v="3"/>
    <x v="5"/>
    <x v="6"/>
    <x v="2"/>
    <d v="2025-08-16T00:00:00"/>
  </r>
  <r>
    <s v="C00339"/>
    <n v="20"/>
    <x v="1"/>
    <x v="0"/>
    <x v="0"/>
    <x v="9"/>
    <x v="0"/>
    <d v="2025-04-28T00:00:00"/>
  </r>
  <r>
    <s v="C00340"/>
    <n v="34"/>
    <x v="0"/>
    <x v="0"/>
    <x v="0"/>
    <x v="4"/>
    <x v="2"/>
    <d v="2025-03-19T00:00:00"/>
  </r>
  <r>
    <s v="C00341"/>
    <n v="61"/>
    <x v="1"/>
    <x v="0"/>
    <x v="0"/>
    <x v="9"/>
    <x v="0"/>
    <d v="2025-09-05T00:00:00"/>
  </r>
  <r>
    <s v="C00342"/>
    <n v="45"/>
    <x v="2"/>
    <x v="0"/>
    <x v="0"/>
    <x v="9"/>
    <x v="0"/>
    <d v="2024-02-20T00:00:00"/>
  </r>
  <r>
    <s v="C00343"/>
    <n v="46"/>
    <x v="1"/>
    <x v="0"/>
    <x v="0"/>
    <x v="8"/>
    <x v="0"/>
    <d v="2024-12-26T00:00:00"/>
  </r>
  <r>
    <s v="C00344"/>
    <n v="38"/>
    <x v="1"/>
    <x v="0"/>
    <x v="0"/>
    <x v="9"/>
    <x v="2"/>
    <d v="2024-03-29T00:00:00"/>
  </r>
  <r>
    <s v="C00345"/>
    <n v="64"/>
    <x v="1"/>
    <x v="0"/>
    <x v="0"/>
    <x v="0"/>
    <x v="0"/>
    <d v="2026-05-01T00:00:00"/>
  </r>
  <r>
    <s v="C00346"/>
    <n v="33"/>
    <x v="0"/>
    <x v="3"/>
    <x v="5"/>
    <x v="6"/>
    <x v="0"/>
    <d v="2023-05-30T00:00:00"/>
  </r>
  <r>
    <s v="C00347"/>
    <n v="54"/>
    <x v="0"/>
    <x v="3"/>
    <x v="5"/>
    <x v="6"/>
    <x v="0"/>
    <d v="2025-01-28T00:00:00"/>
  </r>
  <r>
    <s v="C00348"/>
    <n v="37"/>
    <x v="0"/>
    <x v="0"/>
    <x v="0"/>
    <x v="4"/>
    <x v="2"/>
    <d v="2025-02-17T00:00:00"/>
  </r>
  <r>
    <s v="C00349"/>
    <n v="23"/>
    <x v="0"/>
    <x v="0"/>
    <x v="0"/>
    <x v="0"/>
    <x v="0"/>
    <d v="2025-08-30T00:00:00"/>
  </r>
  <r>
    <s v="C00350"/>
    <n v="36"/>
    <x v="0"/>
    <x v="3"/>
    <x v="5"/>
    <x v="6"/>
    <x v="2"/>
    <d v="2025-02-01T00:00:00"/>
  </r>
  <r>
    <s v="C00351"/>
    <n v="22"/>
    <x v="1"/>
    <x v="3"/>
    <x v="3"/>
    <x v="3"/>
    <x v="0"/>
    <d v="2025-09-28T00:00:00"/>
  </r>
  <r>
    <s v="C00352"/>
    <n v="20"/>
    <x v="0"/>
    <x v="4"/>
    <x v="4"/>
    <x v="5"/>
    <x v="0"/>
    <d v="2023-03-17T00:00:00"/>
  </r>
  <r>
    <s v="C00353"/>
    <n v="18"/>
    <x v="0"/>
    <x v="3"/>
    <x v="5"/>
    <x v="6"/>
    <x v="0"/>
    <d v="2024-08-21T00:00:00"/>
  </r>
  <r>
    <s v="C00354"/>
    <n v="55"/>
    <x v="1"/>
    <x v="0"/>
    <x v="0"/>
    <x v="8"/>
    <x v="2"/>
    <d v="2023-08-13T00:00:00"/>
  </r>
  <r>
    <s v="C00355"/>
    <n v="32"/>
    <x v="0"/>
    <x v="0"/>
    <x v="0"/>
    <x v="4"/>
    <x v="2"/>
    <d v="2023-04-23T00:00:00"/>
  </r>
  <r>
    <s v="C00356"/>
    <n v="51"/>
    <x v="1"/>
    <x v="3"/>
    <x v="5"/>
    <x v="6"/>
    <x v="1"/>
    <d v="2023-09-08T00:00:00"/>
  </r>
  <r>
    <s v="C00357"/>
    <n v="52"/>
    <x v="0"/>
    <x v="0"/>
    <x v="0"/>
    <x v="4"/>
    <x v="0"/>
    <d v="2026-06-10T00:00:00"/>
  </r>
  <r>
    <s v="C00358"/>
    <n v="42"/>
    <x v="1"/>
    <x v="3"/>
    <x v="3"/>
    <x v="3"/>
    <x v="1"/>
    <d v="2025-04-20T00:00:00"/>
  </r>
  <r>
    <s v="C00359"/>
    <n v="41"/>
    <x v="0"/>
    <x v="1"/>
    <x v="1"/>
    <x v="1"/>
    <x v="0"/>
    <d v="2024-12-14T00:00:00"/>
  </r>
  <r>
    <s v="C00360"/>
    <n v="29"/>
    <x v="0"/>
    <x v="3"/>
    <x v="3"/>
    <x v="3"/>
    <x v="0"/>
    <d v="2026-01-11T00:00:00"/>
  </r>
  <r>
    <s v="C00361"/>
    <n v="35"/>
    <x v="1"/>
    <x v="0"/>
    <x v="0"/>
    <x v="0"/>
    <x v="0"/>
    <d v="2023-05-05T00:00:00"/>
  </r>
  <r>
    <s v="C00362"/>
    <n v="32"/>
    <x v="0"/>
    <x v="3"/>
    <x v="5"/>
    <x v="6"/>
    <x v="0"/>
    <d v="2026-04-13T00:00:00"/>
  </r>
  <r>
    <s v="C00363"/>
    <n v="61"/>
    <x v="1"/>
    <x v="0"/>
    <x v="0"/>
    <x v="9"/>
    <x v="0"/>
    <d v="2025-12-28T00:00:00"/>
  </r>
  <r>
    <s v="C00364"/>
    <n v="33"/>
    <x v="0"/>
    <x v="3"/>
    <x v="3"/>
    <x v="3"/>
    <x v="0"/>
    <d v="2025-12-06T00:00:00"/>
  </r>
  <r>
    <s v="C00365"/>
    <n v="44"/>
    <x v="0"/>
    <x v="1"/>
    <x v="1"/>
    <x v="1"/>
    <x v="2"/>
    <d v="2025-06-02T00:00:00"/>
  </r>
  <r>
    <s v="C00366"/>
    <n v="25"/>
    <x v="1"/>
    <x v="0"/>
    <x v="0"/>
    <x v="0"/>
    <x v="0"/>
    <d v="2023-01-30T00:00:00"/>
  </r>
  <r>
    <s v="C00367"/>
    <n v="63"/>
    <x v="0"/>
    <x v="1"/>
    <x v="1"/>
    <x v="1"/>
    <x v="1"/>
    <d v="2023-10-08T00:00:00"/>
  </r>
  <r>
    <s v="C00368"/>
    <n v="42"/>
    <x v="1"/>
    <x v="4"/>
    <x v="4"/>
    <x v="5"/>
    <x v="2"/>
    <d v="2025-07-12T00:00:00"/>
  </r>
  <r>
    <s v="C00369"/>
    <n v="34"/>
    <x v="1"/>
    <x v="0"/>
    <x v="0"/>
    <x v="8"/>
    <x v="0"/>
    <d v="2026-06-14T00:00:00"/>
  </r>
  <r>
    <s v="C00370"/>
    <n v="46"/>
    <x v="1"/>
    <x v="0"/>
    <x v="0"/>
    <x v="4"/>
    <x v="0"/>
    <d v="2026-06-25T00:00:00"/>
  </r>
  <r>
    <s v="C00371"/>
    <n v="25"/>
    <x v="1"/>
    <x v="0"/>
    <x v="0"/>
    <x v="4"/>
    <x v="0"/>
    <d v="2024-01-03T00:00:00"/>
  </r>
  <r>
    <s v="C00372"/>
    <n v="32"/>
    <x v="0"/>
    <x v="0"/>
    <x v="0"/>
    <x v="4"/>
    <x v="0"/>
    <d v="2024-05-09T00:00:00"/>
  </r>
  <r>
    <s v="C00373"/>
    <n v="44"/>
    <x v="0"/>
    <x v="0"/>
    <x v="0"/>
    <x v="4"/>
    <x v="1"/>
    <d v="2025-11-14T00:00:00"/>
  </r>
  <r>
    <s v="C00374"/>
    <n v="63"/>
    <x v="0"/>
    <x v="3"/>
    <x v="5"/>
    <x v="6"/>
    <x v="0"/>
    <d v="2024-12-18T00:00:00"/>
  </r>
  <r>
    <s v="C00375"/>
    <n v="24"/>
    <x v="1"/>
    <x v="0"/>
    <x v="0"/>
    <x v="4"/>
    <x v="3"/>
    <d v="2025-10-13T00:00:00"/>
  </r>
  <r>
    <s v="C00376"/>
    <n v="20"/>
    <x v="1"/>
    <x v="0"/>
    <x v="0"/>
    <x v="0"/>
    <x v="0"/>
    <d v="2024-08-28T00:00:00"/>
  </r>
  <r>
    <s v="C00377"/>
    <n v="46"/>
    <x v="0"/>
    <x v="5"/>
    <x v="6"/>
    <x v="7"/>
    <x v="0"/>
    <d v="2024-01-10T00:00:00"/>
  </r>
  <r>
    <s v="C00378"/>
    <n v="61"/>
    <x v="1"/>
    <x v="0"/>
    <x v="0"/>
    <x v="4"/>
    <x v="0"/>
    <d v="2024-09-30T00:00:00"/>
  </r>
  <r>
    <s v="C00379"/>
    <n v="41"/>
    <x v="0"/>
    <x v="5"/>
    <x v="6"/>
    <x v="7"/>
    <x v="0"/>
    <d v="2025-11-14T00:00:00"/>
  </r>
  <r>
    <s v="C00380"/>
    <n v="20"/>
    <x v="1"/>
    <x v="0"/>
    <x v="0"/>
    <x v="0"/>
    <x v="0"/>
    <d v="2023-04-26T00:00:00"/>
  </r>
  <r>
    <s v="C00381"/>
    <n v="37"/>
    <x v="0"/>
    <x v="0"/>
    <x v="0"/>
    <x v="4"/>
    <x v="2"/>
    <d v="2023-02-17T00:00:00"/>
  </r>
  <r>
    <s v="C00382"/>
    <n v="63"/>
    <x v="1"/>
    <x v="3"/>
    <x v="5"/>
    <x v="6"/>
    <x v="1"/>
    <d v="2023-04-09T00:00:00"/>
  </r>
  <r>
    <s v="C00383"/>
    <n v="32"/>
    <x v="1"/>
    <x v="3"/>
    <x v="5"/>
    <x v="6"/>
    <x v="0"/>
    <d v="2024-02-09T00:00:00"/>
  </r>
  <r>
    <s v="C00384"/>
    <n v="42"/>
    <x v="0"/>
    <x v="4"/>
    <x v="4"/>
    <x v="5"/>
    <x v="0"/>
    <d v="2026-05-22T00:00:00"/>
  </r>
  <r>
    <s v="C00385"/>
    <n v="47"/>
    <x v="0"/>
    <x v="2"/>
    <x v="2"/>
    <x v="2"/>
    <x v="0"/>
    <d v="2024-11-15T00:00:00"/>
  </r>
  <r>
    <s v="C00386"/>
    <n v="31"/>
    <x v="0"/>
    <x v="5"/>
    <x v="6"/>
    <x v="7"/>
    <x v="3"/>
    <d v="2025-06-21T00:00:00"/>
  </r>
  <r>
    <s v="C00387"/>
    <n v="24"/>
    <x v="0"/>
    <x v="0"/>
    <x v="0"/>
    <x v="0"/>
    <x v="1"/>
    <d v="2024-05-17T00:00:00"/>
  </r>
  <r>
    <s v="C00388"/>
    <n v="34"/>
    <x v="0"/>
    <x v="0"/>
    <x v="0"/>
    <x v="8"/>
    <x v="0"/>
    <d v="2025-06-12T00:00:00"/>
  </r>
  <r>
    <s v="C00389"/>
    <n v="61"/>
    <x v="1"/>
    <x v="2"/>
    <x v="2"/>
    <x v="2"/>
    <x v="0"/>
    <d v="2023-09-15T00:00:00"/>
  </r>
  <r>
    <s v="C00390"/>
    <n v="37"/>
    <x v="1"/>
    <x v="5"/>
    <x v="6"/>
    <x v="7"/>
    <x v="3"/>
    <d v="2025-04-23T00:00:00"/>
  </r>
  <r>
    <s v="C00391"/>
    <n v="53"/>
    <x v="1"/>
    <x v="1"/>
    <x v="1"/>
    <x v="1"/>
    <x v="1"/>
    <d v="2023-05-01T00:00:00"/>
  </r>
  <r>
    <s v="C00392"/>
    <n v="26"/>
    <x v="0"/>
    <x v="0"/>
    <x v="0"/>
    <x v="9"/>
    <x v="0"/>
    <d v="2025-03-20T00:00:00"/>
  </r>
  <r>
    <s v="C00393"/>
    <n v="55"/>
    <x v="1"/>
    <x v="0"/>
    <x v="0"/>
    <x v="0"/>
    <x v="2"/>
    <d v="2025-09-04T00:00:00"/>
  </r>
  <r>
    <s v="C00394"/>
    <n v="65"/>
    <x v="1"/>
    <x v="2"/>
    <x v="2"/>
    <x v="2"/>
    <x v="2"/>
    <d v="2023-02-23T00:00:00"/>
  </r>
  <r>
    <s v="C00395"/>
    <n v="39"/>
    <x v="0"/>
    <x v="0"/>
    <x v="0"/>
    <x v="0"/>
    <x v="0"/>
    <d v="2025-10-15T00:00:00"/>
  </r>
  <r>
    <s v="C00396"/>
    <n v="19"/>
    <x v="1"/>
    <x v="1"/>
    <x v="1"/>
    <x v="1"/>
    <x v="0"/>
    <d v="2025-02-22T00:00:00"/>
  </r>
  <r>
    <s v="C00397"/>
    <n v="41"/>
    <x v="1"/>
    <x v="4"/>
    <x v="4"/>
    <x v="5"/>
    <x v="0"/>
    <d v="2023-08-29T00:00:00"/>
  </r>
  <r>
    <s v="C00398"/>
    <n v="25"/>
    <x v="0"/>
    <x v="0"/>
    <x v="0"/>
    <x v="9"/>
    <x v="0"/>
    <d v="2024-04-27T00:00:00"/>
  </r>
  <r>
    <s v="C00399"/>
    <n v="28"/>
    <x v="0"/>
    <x v="2"/>
    <x v="2"/>
    <x v="2"/>
    <x v="0"/>
    <d v="2025-10-09T00:00:00"/>
  </r>
  <r>
    <s v="C00400"/>
    <n v="30"/>
    <x v="1"/>
    <x v="2"/>
    <x v="2"/>
    <x v="2"/>
    <x v="0"/>
    <d v="2023-07-06T00:00:00"/>
  </r>
  <r>
    <s v="C00401"/>
    <n v="34"/>
    <x v="0"/>
    <x v="0"/>
    <x v="0"/>
    <x v="4"/>
    <x v="0"/>
    <d v="2024-10-17T00:00:00"/>
  </r>
  <r>
    <s v="C00402"/>
    <n v="25"/>
    <x v="1"/>
    <x v="4"/>
    <x v="4"/>
    <x v="5"/>
    <x v="0"/>
    <d v="2023-09-19T00:00:00"/>
  </r>
  <r>
    <s v="C00403"/>
    <n v="38"/>
    <x v="1"/>
    <x v="3"/>
    <x v="3"/>
    <x v="3"/>
    <x v="0"/>
    <d v="2025-08-10T00:00:00"/>
  </r>
  <r>
    <s v="C00404"/>
    <n v="35"/>
    <x v="1"/>
    <x v="5"/>
    <x v="6"/>
    <x v="7"/>
    <x v="3"/>
    <d v="2024-05-05T00:00:00"/>
  </r>
  <r>
    <s v="C00405"/>
    <n v="47"/>
    <x v="0"/>
    <x v="0"/>
    <x v="0"/>
    <x v="0"/>
    <x v="0"/>
    <d v="2024-03-06T00:00:00"/>
  </r>
  <r>
    <s v="C00406"/>
    <n v="35"/>
    <x v="0"/>
    <x v="4"/>
    <x v="4"/>
    <x v="5"/>
    <x v="1"/>
    <d v="2023-08-27T00:00:00"/>
  </r>
  <r>
    <s v="C00407"/>
    <n v="63"/>
    <x v="1"/>
    <x v="0"/>
    <x v="0"/>
    <x v="0"/>
    <x v="1"/>
    <d v="2023-10-31T00:00:00"/>
  </r>
  <r>
    <s v="C00408"/>
    <n v="64"/>
    <x v="1"/>
    <x v="0"/>
    <x v="0"/>
    <x v="4"/>
    <x v="3"/>
    <d v="2023-10-25T00:00:00"/>
  </r>
  <r>
    <s v="C00409"/>
    <n v="48"/>
    <x v="0"/>
    <x v="4"/>
    <x v="4"/>
    <x v="5"/>
    <x v="0"/>
    <d v="2023-03-17T00:00:00"/>
  </r>
  <r>
    <s v="C00410"/>
    <n v="55"/>
    <x v="1"/>
    <x v="0"/>
    <x v="0"/>
    <x v="4"/>
    <x v="1"/>
    <d v="2025-09-25T00:00:00"/>
  </r>
  <r>
    <s v="C00411"/>
    <n v="49"/>
    <x v="1"/>
    <x v="0"/>
    <x v="0"/>
    <x v="0"/>
    <x v="0"/>
    <d v="2024-10-03T00:00:00"/>
  </r>
  <r>
    <s v="C00412"/>
    <n v="28"/>
    <x v="0"/>
    <x v="1"/>
    <x v="1"/>
    <x v="1"/>
    <x v="0"/>
    <d v="2025-04-06T00:00:00"/>
  </r>
  <r>
    <s v="C00413"/>
    <n v="62"/>
    <x v="0"/>
    <x v="1"/>
    <x v="1"/>
    <x v="1"/>
    <x v="0"/>
    <d v="2023-10-10T00:00:00"/>
  </r>
  <r>
    <s v="C00414"/>
    <n v="42"/>
    <x v="1"/>
    <x v="3"/>
    <x v="3"/>
    <x v="3"/>
    <x v="0"/>
    <d v="2024-08-13T00:00:00"/>
  </r>
  <r>
    <s v="C00415"/>
    <n v="50"/>
    <x v="0"/>
    <x v="3"/>
    <x v="5"/>
    <x v="6"/>
    <x v="1"/>
    <d v="2023-03-13T00:00:00"/>
  </r>
  <r>
    <s v="C00416"/>
    <n v="55"/>
    <x v="0"/>
    <x v="0"/>
    <x v="0"/>
    <x v="9"/>
    <x v="3"/>
    <d v="2024-12-03T00:00:00"/>
  </r>
  <r>
    <s v="C00417"/>
    <n v="58"/>
    <x v="0"/>
    <x v="0"/>
    <x v="0"/>
    <x v="0"/>
    <x v="0"/>
    <d v="2024-07-28T00:00:00"/>
  </r>
  <r>
    <s v="C00418"/>
    <n v="25"/>
    <x v="0"/>
    <x v="0"/>
    <x v="0"/>
    <x v="0"/>
    <x v="0"/>
    <d v="2025-09-26T00:00:00"/>
  </r>
  <r>
    <s v="C00419"/>
    <n v="28"/>
    <x v="1"/>
    <x v="3"/>
    <x v="5"/>
    <x v="6"/>
    <x v="2"/>
    <d v="2025-06-10T00:00:00"/>
  </r>
  <r>
    <s v="C00420"/>
    <n v="39"/>
    <x v="1"/>
    <x v="2"/>
    <x v="2"/>
    <x v="2"/>
    <x v="0"/>
    <d v="2023-01-12T00:00:00"/>
  </r>
  <r>
    <s v="C00421"/>
    <n v="41"/>
    <x v="0"/>
    <x v="5"/>
    <x v="6"/>
    <x v="7"/>
    <x v="0"/>
    <d v="2023-05-21T00:00:00"/>
  </r>
  <r>
    <s v="C00422"/>
    <n v="58"/>
    <x v="1"/>
    <x v="5"/>
    <x v="6"/>
    <x v="7"/>
    <x v="0"/>
    <d v="2023-01-17T00:00:00"/>
  </r>
  <r>
    <s v="C00423"/>
    <n v="34"/>
    <x v="1"/>
    <x v="0"/>
    <x v="0"/>
    <x v="4"/>
    <x v="0"/>
    <d v="2025-12-22T00:00:00"/>
  </r>
  <r>
    <s v="C00424"/>
    <n v="29"/>
    <x v="1"/>
    <x v="0"/>
    <x v="0"/>
    <x v="9"/>
    <x v="2"/>
    <d v="2023-09-10T00:00:00"/>
  </r>
  <r>
    <s v="C00425"/>
    <n v="63"/>
    <x v="0"/>
    <x v="0"/>
    <x v="0"/>
    <x v="4"/>
    <x v="3"/>
    <d v="2024-04-09T00:00:00"/>
  </r>
  <r>
    <s v="C00426"/>
    <n v="49"/>
    <x v="0"/>
    <x v="3"/>
    <x v="3"/>
    <x v="3"/>
    <x v="1"/>
    <d v="2024-01-11T00:00:00"/>
  </r>
  <r>
    <s v="C00427"/>
    <n v="32"/>
    <x v="1"/>
    <x v="0"/>
    <x v="0"/>
    <x v="9"/>
    <x v="0"/>
    <d v="2025-09-07T00:00:00"/>
  </r>
  <r>
    <s v="C00428"/>
    <n v="33"/>
    <x v="1"/>
    <x v="4"/>
    <x v="4"/>
    <x v="5"/>
    <x v="3"/>
    <d v="2024-06-03T00:00:00"/>
  </r>
  <r>
    <s v="C00429"/>
    <n v="39"/>
    <x v="0"/>
    <x v="0"/>
    <x v="0"/>
    <x v="0"/>
    <x v="2"/>
    <d v="2023-03-31T00:00:00"/>
  </r>
  <r>
    <s v="C00430"/>
    <n v="45"/>
    <x v="0"/>
    <x v="0"/>
    <x v="0"/>
    <x v="4"/>
    <x v="2"/>
    <d v="2024-12-20T00:00:00"/>
  </r>
  <r>
    <s v="C00431"/>
    <n v="37"/>
    <x v="0"/>
    <x v="0"/>
    <x v="0"/>
    <x v="4"/>
    <x v="0"/>
    <d v="2025-03-14T00:00:00"/>
  </r>
  <r>
    <s v="C00432"/>
    <n v="50"/>
    <x v="1"/>
    <x v="2"/>
    <x v="2"/>
    <x v="2"/>
    <x v="0"/>
    <d v="2025-03-06T00:00:00"/>
  </r>
  <r>
    <s v="C00433"/>
    <n v="27"/>
    <x v="1"/>
    <x v="3"/>
    <x v="5"/>
    <x v="6"/>
    <x v="2"/>
    <d v="2024-09-21T00:00:00"/>
  </r>
  <r>
    <s v="C00434"/>
    <n v="57"/>
    <x v="1"/>
    <x v="0"/>
    <x v="0"/>
    <x v="4"/>
    <x v="0"/>
    <d v="2026-04-13T00:00:00"/>
  </r>
  <r>
    <s v="C00435"/>
    <n v="49"/>
    <x v="0"/>
    <x v="0"/>
    <x v="0"/>
    <x v="4"/>
    <x v="0"/>
    <d v="2023-03-17T00:00:00"/>
  </r>
  <r>
    <s v="C00436"/>
    <n v="50"/>
    <x v="1"/>
    <x v="3"/>
    <x v="5"/>
    <x v="6"/>
    <x v="1"/>
    <d v="2025-07-14T00:00:00"/>
  </r>
  <r>
    <s v="C00437"/>
    <n v="19"/>
    <x v="1"/>
    <x v="0"/>
    <x v="0"/>
    <x v="4"/>
    <x v="0"/>
    <d v="2024-02-04T00:00:00"/>
  </r>
  <r>
    <s v="C00438"/>
    <n v="50"/>
    <x v="0"/>
    <x v="5"/>
    <x v="6"/>
    <x v="7"/>
    <x v="0"/>
    <d v="2025-08-27T00:00:00"/>
  </r>
  <r>
    <s v="C00439"/>
    <n v="50"/>
    <x v="1"/>
    <x v="3"/>
    <x v="5"/>
    <x v="6"/>
    <x v="0"/>
    <d v="2025-12-30T00:00:00"/>
  </r>
  <r>
    <s v="C00440"/>
    <n v="58"/>
    <x v="1"/>
    <x v="0"/>
    <x v="0"/>
    <x v="4"/>
    <x v="3"/>
    <d v="2026-04-18T00:00:00"/>
  </r>
  <r>
    <s v="C00441"/>
    <n v="30"/>
    <x v="0"/>
    <x v="0"/>
    <x v="0"/>
    <x v="4"/>
    <x v="0"/>
    <d v="2026-02-21T00:00:00"/>
  </r>
  <r>
    <s v="C00442"/>
    <n v="47"/>
    <x v="1"/>
    <x v="1"/>
    <x v="1"/>
    <x v="1"/>
    <x v="2"/>
    <d v="2025-03-07T00:00:00"/>
  </r>
  <r>
    <s v="C00443"/>
    <n v="50"/>
    <x v="0"/>
    <x v="0"/>
    <x v="0"/>
    <x v="0"/>
    <x v="0"/>
    <d v="2023-07-14T00:00:00"/>
  </r>
  <r>
    <s v="C00444"/>
    <n v="30"/>
    <x v="1"/>
    <x v="0"/>
    <x v="0"/>
    <x v="0"/>
    <x v="0"/>
    <d v="2023-08-16T00:00:00"/>
  </r>
  <r>
    <s v="C00445"/>
    <n v="43"/>
    <x v="1"/>
    <x v="5"/>
    <x v="6"/>
    <x v="7"/>
    <x v="3"/>
    <d v="2024-04-05T00:00:00"/>
  </r>
  <r>
    <s v="C00446"/>
    <n v="39"/>
    <x v="1"/>
    <x v="1"/>
    <x v="1"/>
    <x v="1"/>
    <x v="1"/>
    <d v="2024-09-09T00:00:00"/>
  </r>
  <r>
    <s v="C00447"/>
    <n v="56"/>
    <x v="1"/>
    <x v="1"/>
    <x v="1"/>
    <x v="1"/>
    <x v="1"/>
    <d v="2025-11-10T00:00:00"/>
  </r>
  <r>
    <s v="C00448"/>
    <n v="19"/>
    <x v="0"/>
    <x v="2"/>
    <x v="2"/>
    <x v="2"/>
    <x v="0"/>
    <d v="2023-03-05T00:00:00"/>
  </r>
  <r>
    <s v="C00449"/>
    <n v="55"/>
    <x v="1"/>
    <x v="0"/>
    <x v="0"/>
    <x v="0"/>
    <x v="1"/>
    <d v="2023-06-14T00:00:00"/>
  </r>
  <r>
    <s v="C00450"/>
    <n v="56"/>
    <x v="1"/>
    <x v="0"/>
    <x v="0"/>
    <x v="4"/>
    <x v="2"/>
    <d v="2023-01-27T00:00:00"/>
  </r>
  <r>
    <s v="C00451"/>
    <n v="43"/>
    <x v="0"/>
    <x v="2"/>
    <x v="2"/>
    <x v="2"/>
    <x v="2"/>
    <d v="2025-10-08T00:00:00"/>
  </r>
  <r>
    <s v="C00452"/>
    <n v="63"/>
    <x v="1"/>
    <x v="3"/>
    <x v="3"/>
    <x v="3"/>
    <x v="0"/>
    <d v="2023-10-12T00:00:00"/>
  </r>
  <r>
    <s v="C00453"/>
    <n v="32"/>
    <x v="1"/>
    <x v="0"/>
    <x v="0"/>
    <x v="9"/>
    <x v="0"/>
    <d v="2023-10-08T00:00:00"/>
  </r>
  <r>
    <s v="C00454"/>
    <n v="51"/>
    <x v="0"/>
    <x v="4"/>
    <x v="4"/>
    <x v="5"/>
    <x v="0"/>
    <d v="2025-04-17T00:00:00"/>
  </r>
  <r>
    <s v="C00455"/>
    <n v="59"/>
    <x v="1"/>
    <x v="0"/>
    <x v="0"/>
    <x v="4"/>
    <x v="2"/>
    <d v="2025-04-10T00:00:00"/>
  </r>
  <r>
    <s v="C00456"/>
    <n v="61"/>
    <x v="1"/>
    <x v="0"/>
    <x v="0"/>
    <x v="9"/>
    <x v="1"/>
    <d v="2026-04-02T00:00:00"/>
  </r>
  <r>
    <s v="C00457"/>
    <n v="57"/>
    <x v="0"/>
    <x v="0"/>
    <x v="0"/>
    <x v="4"/>
    <x v="0"/>
    <d v="2025-07-06T00:00:00"/>
  </r>
  <r>
    <s v="C00458"/>
    <n v="28"/>
    <x v="1"/>
    <x v="0"/>
    <x v="0"/>
    <x v="9"/>
    <x v="0"/>
    <d v="2023-08-12T00:00:00"/>
  </r>
  <r>
    <s v="C00459"/>
    <n v="20"/>
    <x v="0"/>
    <x v="0"/>
    <x v="0"/>
    <x v="4"/>
    <x v="0"/>
    <d v="2025-02-22T00:00:00"/>
  </r>
  <r>
    <s v="C00460"/>
    <n v="23"/>
    <x v="0"/>
    <x v="0"/>
    <x v="0"/>
    <x v="4"/>
    <x v="0"/>
    <d v="2026-03-15T00:00:00"/>
  </r>
  <r>
    <s v="C00461"/>
    <n v="26"/>
    <x v="0"/>
    <x v="0"/>
    <x v="0"/>
    <x v="4"/>
    <x v="2"/>
    <d v="2025-08-22T00:00:00"/>
  </r>
  <r>
    <s v="C00462"/>
    <n v="23"/>
    <x v="1"/>
    <x v="3"/>
    <x v="5"/>
    <x v="6"/>
    <x v="1"/>
    <d v="2025-08-07T00:00:00"/>
  </r>
  <r>
    <s v="C00463"/>
    <n v="26"/>
    <x v="1"/>
    <x v="2"/>
    <x v="2"/>
    <x v="2"/>
    <x v="0"/>
    <d v="2025-11-19T00:00:00"/>
  </r>
  <r>
    <s v="C00464"/>
    <n v="56"/>
    <x v="0"/>
    <x v="3"/>
    <x v="3"/>
    <x v="3"/>
    <x v="2"/>
    <d v="2023-02-14T00:00:00"/>
  </r>
  <r>
    <s v="C00465"/>
    <n v="48"/>
    <x v="0"/>
    <x v="1"/>
    <x v="1"/>
    <x v="1"/>
    <x v="2"/>
    <d v="2024-04-15T00:00:00"/>
  </r>
  <r>
    <s v="C00466"/>
    <n v="49"/>
    <x v="1"/>
    <x v="0"/>
    <x v="0"/>
    <x v="0"/>
    <x v="1"/>
    <d v="2023-02-03T00:00:00"/>
  </r>
  <r>
    <s v="C00467"/>
    <n v="58"/>
    <x v="0"/>
    <x v="0"/>
    <x v="0"/>
    <x v="0"/>
    <x v="0"/>
    <d v="2024-10-14T00:00:00"/>
  </r>
  <r>
    <s v="C00468"/>
    <n v="29"/>
    <x v="1"/>
    <x v="4"/>
    <x v="4"/>
    <x v="5"/>
    <x v="0"/>
    <d v="2025-04-09T00:00:00"/>
  </r>
  <r>
    <s v="C00469"/>
    <n v="25"/>
    <x v="1"/>
    <x v="0"/>
    <x v="0"/>
    <x v="8"/>
    <x v="0"/>
    <d v="2023-08-09T00:00:00"/>
  </r>
  <r>
    <s v="C00470"/>
    <n v="25"/>
    <x v="1"/>
    <x v="1"/>
    <x v="1"/>
    <x v="1"/>
    <x v="0"/>
    <d v="2024-06-17T00:00:00"/>
  </r>
  <r>
    <s v="C00471"/>
    <n v="45"/>
    <x v="1"/>
    <x v="0"/>
    <x v="0"/>
    <x v="4"/>
    <x v="1"/>
    <d v="2024-11-22T00:00:00"/>
  </r>
  <r>
    <s v="C00472"/>
    <n v="37"/>
    <x v="0"/>
    <x v="1"/>
    <x v="1"/>
    <x v="1"/>
    <x v="0"/>
    <d v="2025-07-20T00:00:00"/>
  </r>
  <r>
    <s v="C00473"/>
    <n v="64"/>
    <x v="1"/>
    <x v="0"/>
    <x v="0"/>
    <x v="4"/>
    <x v="2"/>
    <d v="2025-04-20T00:00:00"/>
  </r>
  <r>
    <s v="C00474"/>
    <n v="24"/>
    <x v="1"/>
    <x v="4"/>
    <x v="4"/>
    <x v="5"/>
    <x v="0"/>
    <d v="2025-10-07T00:00:00"/>
  </r>
  <r>
    <s v="C00475"/>
    <n v="28"/>
    <x v="1"/>
    <x v="3"/>
    <x v="3"/>
    <x v="3"/>
    <x v="0"/>
    <d v="2024-08-04T00:00:00"/>
  </r>
  <r>
    <s v="C00476"/>
    <n v="37"/>
    <x v="0"/>
    <x v="1"/>
    <x v="1"/>
    <x v="1"/>
    <x v="1"/>
    <d v="2026-02-13T00:00:00"/>
  </r>
  <r>
    <s v="C00477"/>
    <n v="33"/>
    <x v="1"/>
    <x v="0"/>
    <x v="0"/>
    <x v="4"/>
    <x v="3"/>
    <d v="2023-08-27T00:00:00"/>
  </r>
  <r>
    <s v="C00478"/>
    <n v="21"/>
    <x v="0"/>
    <x v="3"/>
    <x v="3"/>
    <x v="3"/>
    <x v="2"/>
    <d v="2024-03-16T00:00:00"/>
  </r>
  <r>
    <s v="C00479"/>
    <n v="23"/>
    <x v="0"/>
    <x v="1"/>
    <x v="1"/>
    <x v="1"/>
    <x v="2"/>
    <d v="2023-05-28T00:00:00"/>
  </r>
  <r>
    <s v="C00480"/>
    <n v="39"/>
    <x v="0"/>
    <x v="3"/>
    <x v="3"/>
    <x v="3"/>
    <x v="2"/>
    <d v="2025-10-29T00:00:00"/>
  </r>
  <r>
    <s v="C00481"/>
    <n v="43"/>
    <x v="1"/>
    <x v="3"/>
    <x v="5"/>
    <x v="6"/>
    <x v="2"/>
    <d v="2024-01-23T00:00:00"/>
  </r>
  <r>
    <s v="C00482"/>
    <n v="20"/>
    <x v="1"/>
    <x v="3"/>
    <x v="5"/>
    <x v="6"/>
    <x v="0"/>
    <d v="2025-12-09T00:00:00"/>
  </r>
  <r>
    <s v="C00483"/>
    <n v="58"/>
    <x v="1"/>
    <x v="0"/>
    <x v="0"/>
    <x v="9"/>
    <x v="0"/>
    <d v="2025-07-04T00:00:00"/>
  </r>
  <r>
    <s v="C00484"/>
    <n v="59"/>
    <x v="1"/>
    <x v="3"/>
    <x v="5"/>
    <x v="6"/>
    <x v="0"/>
    <d v="2024-09-29T00:00:00"/>
  </r>
  <r>
    <s v="C00485"/>
    <n v="31"/>
    <x v="0"/>
    <x v="3"/>
    <x v="3"/>
    <x v="3"/>
    <x v="2"/>
    <d v="2023-10-05T00:00:00"/>
  </r>
  <r>
    <s v="C00486"/>
    <n v="28"/>
    <x v="1"/>
    <x v="4"/>
    <x v="4"/>
    <x v="5"/>
    <x v="2"/>
    <d v="2025-09-15T00:00:00"/>
  </r>
  <r>
    <s v="C00487"/>
    <n v="35"/>
    <x v="0"/>
    <x v="0"/>
    <x v="0"/>
    <x v="4"/>
    <x v="0"/>
    <d v="2024-08-11T00:00:00"/>
  </r>
  <r>
    <s v="C00488"/>
    <n v="29"/>
    <x v="1"/>
    <x v="0"/>
    <x v="0"/>
    <x v="0"/>
    <x v="1"/>
    <d v="2024-10-10T00:00:00"/>
  </r>
  <r>
    <s v="C00489"/>
    <n v="40"/>
    <x v="1"/>
    <x v="1"/>
    <x v="1"/>
    <x v="1"/>
    <x v="0"/>
    <d v="2024-09-09T00:00:00"/>
  </r>
  <r>
    <s v="C00490"/>
    <n v="29"/>
    <x v="1"/>
    <x v="4"/>
    <x v="4"/>
    <x v="5"/>
    <x v="2"/>
    <d v="2023-05-15T00:00:00"/>
  </r>
  <r>
    <s v="C00491"/>
    <n v="30"/>
    <x v="1"/>
    <x v="0"/>
    <x v="0"/>
    <x v="9"/>
    <x v="0"/>
    <d v="2024-08-02T00:00:00"/>
  </r>
  <r>
    <s v="C00492"/>
    <n v="42"/>
    <x v="0"/>
    <x v="3"/>
    <x v="5"/>
    <x v="6"/>
    <x v="0"/>
    <d v="2026-03-16T00:00:00"/>
  </r>
  <r>
    <s v="C00493"/>
    <n v="62"/>
    <x v="0"/>
    <x v="0"/>
    <x v="0"/>
    <x v="8"/>
    <x v="0"/>
    <d v="2024-05-04T00:00:00"/>
  </r>
  <r>
    <s v="C00494"/>
    <n v="36"/>
    <x v="1"/>
    <x v="0"/>
    <x v="0"/>
    <x v="8"/>
    <x v="0"/>
    <d v="2024-04-22T00:00:00"/>
  </r>
  <r>
    <s v="C00495"/>
    <n v="63"/>
    <x v="0"/>
    <x v="0"/>
    <x v="0"/>
    <x v="9"/>
    <x v="2"/>
    <d v="2026-03-28T00:00:00"/>
  </r>
  <r>
    <s v="C00496"/>
    <n v="53"/>
    <x v="0"/>
    <x v="0"/>
    <x v="0"/>
    <x v="0"/>
    <x v="0"/>
    <d v="2024-01-19T00:00:00"/>
  </r>
  <r>
    <s v="C00497"/>
    <n v="62"/>
    <x v="1"/>
    <x v="3"/>
    <x v="3"/>
    <x v="3"/>
    <x v="2"/>
    <d v="2023-06-12T00:00:00"/>
  </r>
  <r>
    <s v="C00498"/>
    <n v="25"/>
    <x v="1"/>
    <x v="0"/>
    <x v="0"/>
    <x v="4"/>
    <x v="0"/>
    <d v="2024-03-16T00:00:00"/>
  </r>
  <r>
    <s v="C00499"/>
    <n v="46"/>
    <x v="0"/>
    <x v="1"/>
    <x v="1"/>
    <x v="1"/>
    <x v="0"/>
    <d v="2026-04-27T00:00:00"/>
  </r>
  <r>
    <s v="C00500"/>
    <n v="49"/>
    <x v="0"/>
    <x v="1"/>
    <x v="1"/>
    <x v="1"/>
    <x v="0"/>
    <d v="2024-02-19T00:00:00"/>
  </r>
  <r>
    <s v="C00501"/>
    <n v="61"/>
    <x v="1"/>
    <x v="3"/>
    <x v="5"/>
    <x v="6"/>
    <x v="2"/>
    <d v="2026-04-19T00:00:00"/>
  </r>
  <r>
    <s v="C00502"/>
    <n v="35"/>
    <x v="1"/>
    <x v="3"/>
    <x v="3"/>
    <x v="3"/>
    <x v="0"/>
    <d v="2023-10-15T00:00:00"/>
  </r>
  <r>
    <s v="C00503"/>
    <n v="23"/>
    <x v="0"/>
    <x v="0"/>
    <x v="0"/>
    <x v="0"/>
    <x v="0"/>
    <d v="2023-07-06T00:00:00"/>
  </r>
  <r>
    <s v="C00504"/>
    <n v="35"/>
    <x v="0"/>
    <x v="5"/>
    <x v="6"/>
    <x v="7"/>
    <x v="0"/>
    <d v="2026-03-07T00:00:00"/>
  </r>
  <r>
    <s v="C00505"/>
    <n v="36"/>
    <x v="0"/>
    <x v="3"/>
    <x v="5"/>
    <x v="6"/>
    <x v="2"/>
    <d v="2023-05-10T00:00:00"/>
  </r>
  <r>
    <s v="C00506"/>
    <n v="39"/>
    <x v="0"/>
    <x v="0"/>
    <x v="0"/>
    <x v="8"/>
    <x v="1"/>
    <d v="2023-07-13T00:00:00"/>
  </r>
  <r>
    <s v="C00507"/>
    <n v="54"/>
    <x v="0"/>
    <x v="4"/>
    <x v="4"/>
    <x v="5"/>
    <x v="2"/>
    <d v="2023-11-12T00:00:00"/>
  </r>
  <r>
    <s v="C00508"/>
    <n v="49"/>
    <x v="1"/>
    <x v="5"/>
    <x v="6"/>
    <x v="7"/>
    <x v="0"/>
    <d v="2023-05-24T00:00:00"/>
  </r>
  <r>
    <s v="C00509"/>
    <n v="58"/>
    <x v="1"/>
    <x v="1"/>
    <x v="1"/>
    <x v="1"/>
    <x v="0"/>
    <d v="2023-01-16T00:00:00"/>
  </r>
  <r>
    <s v="C00510"/>
    <n v="20"/>
    <x v="1"/>
    <x v="2"/>
    <x v="2"/>
    <x v="2"/>
    <x v="1"/>
    <d v="2024-02-27T00:00:00"/>
  </r>
  <r>
    <s v="C00511"/>
    <n v="45"/>
    <x v="0"/>
    <x v="3"/>
    <x v="5"/>
    <x v="6"/>
    <x v="0"/>
    <d v="2023-09-02T00:00:00"/>
  </r>
  <r>
    <s v="C00512"/>
    <n v="27"/>
    <x v="1"/>
    <x v="0"/>
    <x v="0"/>
    <x v="9"/>
    <x v="0"/>
    <d v="2025-07-15T00:00:00"/>
  </r>
  <r>
    <s v="C00513"/>
    <n v="52"/>
    <x v="0"/>
    <x v="1"/>
    <x v="1"/>
    <x v="1"/>
    <x v="1"/>
    <d v="2026-02-04T00:00:00"/>
  </r>
  <r>
    <s v="C00514"/>
    <n v="46"/>
    <x v="1"/>
    <x v="4"/>
    <x v="4"/>
    <x v="5"/>
    <x v="0"/>
    <d v="2026-01-16T00:00:00"/>
  </r>
  <r>
    <s v="C00515"/>
    <n v="32"/>
    <x v="1"/>
    <x v="0"/>
    <x v="0"/>
    <x v="4"/>
    <x v="2"/>
    <d v="2023-05-09T00:00:00"/>
  </r>
  <r>
    <s v="C00516"/>
    <n v="50"/>
    <x v="0"/>
    <x v="0"/>
    <x v="0"/>
    <x v="4"/>
    <x v="1"/>
    <d v="2025-06-25T00:00:00"/>
  </r>
  <r>
    <s v="C00517"/>
    <n v="24"/>
    <x v="1"/>
    <x v="0"/>
    <x v="0"/>
    <x v="0"/>
    <x v="2"/>
    <d v="2025-06-05T00:00:00"/>
  </r>
  <r>
    <s v="C00518"/>
    <n v="29"/>
    <x v="0"/>
    <x v="5"/>
    <x v="6"/>
    <x v="7"/>
    <x v="0"/>
    <d v="2023-12-07T00:00:00"/>
  </r>
  <r>
    <s v="C00519"/>
    <n v="47"/>
    <x v="1"/>
    <x v="1"/>
    <x v="1"/>
    <x v="1"/>
    <x v="0"/>
    <d v="2023-01-04T00:00:00"/>
  </r>
  <r>
    <s v="C00520"/>
    <n v="38"/>
    <x v="0"/>
    <x v="0"/>
    <x v="0"/>
    <x v="4"/>
    <x v="0"/>
    <d v="2023-11-02T00:00:00"/>
  </r>
  <r>
    <s v="C00521"/>
    <n v="48"/>
    <x v="0"/>
    <x v="3"/>
    <x v="3"/>
    <x v="3"/>
    <x v="0"/>
    <d v="2025-06-26T00:00:00"/>
  </r>
  <r>
    <s v="C00522"/>
    <n v="41"/>
    <x v="1"/>
    <x v="0"/>
    <x v="0"/>
    <x v="0"/>
    <x v="0"/>
    <d v="2024-08-29T00:00:00"/>
  </r>
  <r>
    <s v="C00523"/>
    <n v="37"/>
    <x v="0"/>
    <x v="1"/>
    <x v="1"/>
    <x v="1"/>
    <x v="1"/>
    <d v="2026-06-02T00:00:00"/>
  </r>
  <r>
    <s v="C00524"/>
    <n v="54"/>
    <x v="1"/>
    <x v="5"/>
    <x v="6"/>
    <x v="7"/>
    <x v="0"/>
    <d v="2025-09-18T00:00:00"/>
  </r>
  <r>
    <s v="C00525"/>
    <n v="21"/>
    <x v="0"/>
    <x v="5"/>
    <x v="6"/>
    <x v="7"/>
    <x v="0"/>
    <d v="2023-11-17T00:00:00"/>
  </r>
  <r>
    <s v="C00526"/>
    <n v="45"/>
    <x v="1"/>
    <x v="0"/>
    <x v="0"/>
    <x v="9"/>
    <x v="2"/>
    <d v="2024-07-12T00:00:00"/>
  </r>
  <r>
    <s v="C00527"/>
    <n v="61"/>
    <x v="1"/>
    <x v="0"/>
    <x v="0"/>
    <x v="9"/>
    <x v="2"/>
    <d v="2026-04-19T00:00:00"/>
  </r>
  <r>
    <s v="C00528"/>
    <n v="37"/>
    <x v="1"/>
    <x v="0"/>
    <x v="0"/>
    <x v="8"/>
    <x v="0"/>
    <d v="2024-09-09T00:00:00"/>
  </r>
  <r>
    <s v="C00529"/>
    <n v="41"/>
    <x v="0"/>
    <x v="0"/>
    <x v="0"/>
    <x v="4"/>
    <x v="1"/>
    <d v="2024-12-11T00:00:00"/>
  </r>
  <r>
    <s v="C00530"/>
    <n v="49"/>
    <x v="0"/>
    <x v="4"/>
    <x v="4"/>
    <x v="5"/>
    <x v="0"/>
    <d v="2026-02-05T00:00:00"/>
  </r>
  <r>
    <s v="C00531"/>
    <n v="58"/>
    <x v="0"/>
    <x v="5"/>
    <x v="6"/>
    <x v="7"/>
    <x v="0"/>
    <d v="2024-06-14T00:00:00"/>
  </r>
  <r>
    <s v="C00532"/>
    <n v="53"/>
    <x v="0"/>
    <x v="1"/>
    <x v="1"/>
    <x v="1"/>
    <x v="0"/>
    <d v="2024-02-14T00:00:00"/>
  </r>
  <r>
    <s v="C00533"/>
    <n v="51"/>
    <x v="1"/>
    <x v="1"/>
    <x v="1"/>
    <x v="1"/>
    <x v="0"/>
    <d v="2025-03-28T00:00:00"/>
  </r>
  <r>
    <s v="C00534"/>
    <n v="53"/>
    <x v="1"/>
    <x v="3"/>
    <x v="3"/>
    <x v="3"/>
    <x v="0"/>
    <d v="2026-04-09T00:00:00"/>
  </r>
  <r>
    <s v="C00535"/>
    <n v="19"/>
    <x v="1"/>
    <x v="2"/>
    <x v="2"/>
    <x v="2"/>
    <x v="0"/>
    <d v="2024-05-07T00:00:00"/>
  </r>
  <r>
    <s v="C00536"/>
    <n v="32"/>
    <x v="1"/>
    <x v="1"/>
    <x v="1"/>
    <x v="1"/>
    <x v="0"/>
    <d v="2026-05-03T00:00:00"/>
  </r>
  <r>
    <s v="C00537"/>
    <n v="51"/>
    <x v="1"/>
    <x v="5"/>
    <x v="6"/>
    <x v="7"/>
    <x v="2"/>
    <d v="2023-01-12T00:00:00"/>
  </r>
  <r>
    <s v="C00538"/>
    <n v="53"/>
    <x v="1"/>
    <x v="0"/>
    <x v="0"/>
    <x v="8"/>
    <x v="2"/>
    <d v="2023-07-14T00:00:00"/>
  </r>
  <r>
    <s v="C00539"/>
    <n v="23"/>
    <x v="0"/>
    <x v="0"/>
    <x v="0"/>
    <x v="9"/>
    <x v="0"/>
    <d v="2024-05-04T00:00:00"/>
  </r>
  <r>
    <s v="C00540"/>
    <n v="56"/>
    <x v="1"/>
    <x v="0"/>
    <x v="0"/>
    <x v="4"/>
    <x v="2"/>
    <d v="2025-03-05T00:00:00"/>
  </r>
  <r>
    <s v="C00541"/>
    <n v="59"/>
    <x v="1"/>
    <x v="1"/>
    <x v="1"/>
    <x v="1"/>
    <x v="3"/>
    <d v="2025-05-30T00:00:00"/>
  </r>
  <r>
    <s v="C00542"/>
    <n v="29"/>
    <x v="1"/>
    <x v="3"/>
    <x v="3"/>
    <x v="3"/>
    <x v="0"/>
    <d v="2023-07-01T00:00:00"/>
  </r>
  <r>
    <s v="C00543"/>
    <n v="20"/>
    <x v="0"/>
    <x v="0"/>
    <x v="0"/>
    <x v="8"/>
    <x v="0"/>
    <d v="2025-08-19T00:00:00"/>
  </r>
  <r>
    <s v="C00544"/>
    <n v="62"/>
    <x v="0"/>
    <x v="3"/>
    <x v="5"/>
    <x v="6"/>
    <x v="0"/>
    <d v="2024-10-17T00:00:00"/>
  </r>
  <r>
    <s v="C00545"/>
    <n v="35"/>
    <x v="0"/>
    <x v="3"/>
    <x v="5"/>
    <x v="6"/>
    <x v="3"/>
    <d v="2024-11-24T00:00:00"/>
  </r>
  <r>
    <s v="C00546"/>
    <n v="57"/>
    <x v="1"/>
    <x v="0"/>
    <x v="0"/>
    <x v="0"/>
    <x v="2"/>
    <d v="2023-01-30T00:00:00"/>
  </r>
  <r>
    <s v="C00547"/>
    <n v="38"/>
    <x v="1"/>
    <x v="0"/>
    <x v="0"/>
    <x v="4"/>
    <x v="1"/>
    <d v="2026-01-24T00:00:00"/>
  </r>
  <r>
    <s v="C00548"/>
    <n v="32"/>
    <x v="0"/>
    <x v="3"/>
    <x v="5"/>
    <x v="6"/>
    <x v="0"/>
    <d v="2025-02-16T00:00:00"/>
  </r>
  <r>
    <s v="C00549"/>
    <n v="50"/>
    <x v="1"/>
    <x v="3"/>
    <x v="3"/>
    <x v="3"/>
    <x v="0"/>
    <d v="2024-03-19T00:00:00"/>
  </r>
  <r>
    <s v="C00550"/>
    <n v="52"/>
    <x v="0"/>
    <x v="2"/>
    <x v="2"/>
    <x v="2"/>
    <x v="0"/>
    <d v="2023-10-25T00:00:00"/>
  </r>
  <r>
    <s v="C00551"/>
    <n v="43"/>
    <x v="0"/>
    <x v="3"/>
    <x v="3"/>
    <x v="3"/>
    <x v="0"/>
    <d v="2025-03-18T00:00:00"/>
  </r>
  <r>
    <s v="C00552"/>
    <n v="25"/>
    <x v="0"/>
    <x v="4"/>
    <x v="4"/>
    <x v="5"/>
    <x v="2"/>
    <d v="2025-04-24T00:00:00"/>
  </r>
  <r>
    <s v="C00553"/>
    <n v="53"/>
    <x v="1"/>
    <x v="3"/>
    <x v="3"/>
    <x v="3"/>
    <x v="0"/>
    <d v="2025-10-12T00:00:00"/>
  </r>
  <r>
    <s v="C00554"/>
    <n v="65"/>
    <x v="1"/>
    <x v="3"/>
    <x v="3"/>
    <x v="3"/>
    <x v="2"/>
    <d v="2024-07-07T00:00:00"/>
  </r>
  <r>
    <s v="C00555"/>
    <n v="47"/>
    <x v="0"/>
    <x v="4"/>
    <x v="4"/>
    <x v="5"/>
    <x v="2"/>
    <d v="2023-10-30T00:00:00"/>
  </r>
  <r>
    <s v="C00556"/>
    <n v="40"/>
    <x v="1"/>
    <x v="0"/>
    <x v="0"/>
    <x v="0"/>
    <x v="2"/>
    <d v="2024-02-25T00:00:00"/>
  </r>
  <r>
    <s v="C00557"/>
    <n v="59"/>
    <x v="0"/>
    <x v="0"/>
    <x v="0"/>
    <x v="4"/>
    <x v="0"/>
    <d v="2026-06-23T00:00:00"/>
  </r>
  <r>
    <s v="C00558"/>
    <n v="61"/>
    <x v="1"/>
    <x v="0"/>
    <x v="0"/>
    <x v="4"/>
    <x v="0"/>
    <d v="2026-06-14T00:00:00"/>
  </r>
  <r>
    <s v="C00559"/>
    <n v="31"/>
    <x v="1"/>
    <x v="2"/>
    <x v="2"/>
    <x v="2"/>
    <x v="0"/>
    <d v="2023-07-04T00:00:00"/>
  </r>
  <r>
    <s v="C00560"/>
    <n v="31"/>
    <x v="1"/>
    <x v="3"/>
    <x v="5"/>
    <x v="6"/>
    <x v="0"/>
    <d v="2024-04-12T00:00:00"/>
  </r>
  <r>
    <s v="C00561"/>
    <n v="19"/>
    <x v="0"/>
    <x v="3"/>
    <x v="5"/>
    <x v="6"/>
    <x v="0"/>
    <d v="2025-01-23T00:00:00"/>
  </r>
  <r>
    <s v="C00562"/>
    <n v="54"/>
    <x v="1"/>
    <x v="0"/>
    <x v="0"/>
    <x v="8"/>
    <x v="0"/>
    <d v="2023-12-29T00:00:00"/>
  </r>
  <r>
    <s v="C00563"/>
    <n v="22"/>
    <x v="1"/>
    <x v="0"/>
    <x v="0"/>
    <x v="4"/>
    <x v="0"/>
    <d v="2023-12-02T00:00:00"/>
  </r>
  <r>
    <s v="C00564"/>
    <n v="55"/>
    <x v="0"/>
    <x v="0"/>
    <x v="0"/>
    <x v="4"/>
    <x v="1"/>
    <d v="2023-06-11T00:00:00"/>
  </r>
  <r>
    <s v="C00565"/>
    <n v="62"/>
    <x v="1"/>
    <x v="0"/>
    <x v="0"/>
    <x v="0"/>
    <x v="0"/>
    <d v="2026-03-29T00:00:00"/>
  </r>
  <r>
    <s v="C00566"/>
    <n v="58"/>
    <x v="0"/>
    <x v="3"/>
    <x v="3"/>
    <x v="3"/>
    <x v="1"/>
    <d v="2023-01-12T00:00:00"/>
  </r>
  <r>
    <s v="C00567"/>
    <n v="64"/>
    <x v="1"/>
    <x v="0"/>
    <x v="0"/>
    <x v="0"/>
    <x v="2"/>
    <d v="2026-01-01T00:00:00"/>
  </r>
  <r>
    <s v="C00568"/>
    <n v="31"/>
    <x v="0"/>
    <x v="0"/>
    <x v="0"/>
    <x v="9"/>
    <x v="2"/>
    <d v="2024-08-10T00:00:00"/>
  </r>
  <r>
    <s v="C00569"/>
    <n v="56"/>
    <x v="1"/>
    <x v="4"/>
    <x v="4"/>
    <x v="5"/>
    <x v="0"/>
    <d v="2023-07-20T00:00:00"/>
  </r>
  <r>
    <s v="C00570"/>
    <n v="42"/>
    <x v="1"/>
    <x v="0"/>
    <x v="0"/>
    <x v="0"/>
    <x v="0"/>
    <d v="2024-06-05T00:00:00"/>
  </r>
  <r>
    <s v="C00571"/>
    <n v="37"/>
    <x v="0"/>
    <x v="3"/>
    <x v="3"/>
    <x v="3"/>
    <x v="1"/>
    <d v="2024-05-19T00:00:00"/>
  </r>
  <r>
    <s v="C00572"/>
    <n v="19"/>
    <x v="0"/>
    <x v="5"/>
    <x v="6"/>
    <x v="7"/>
    <x v="1"/>
    <d v="2025-02-26T00:00:00"/>
  </r>
  <r>
    <s v="C00573"/>
    <n v="56"/>
    <x v="0"/>
    <x v="0"/>
    <x v="0"/>
    <x v="0"/>
    <x v="0"/>
    <d v="2025-11-28T00:00:00"/>
  </r>
  <r>
    <s v="C00574"/>
    <n v="23"/>
    <x v="0"/>
    <x v="3"/>
    <x v="5"/>
    <x v="6"/>
    <x v="2"/>
    <d v="2023-03-01T00:00:00"/>
  </r>
  <r>
    <s v="C00575"/>
    <n v="34"/>
    <x v="0"/>
    <x v="4"/>
    <x v="4"/>
    <x v="5"/>
    <x v="0"/>
    <d v="2024-07-31T00:00:00"/>
  </r>
  <r>
    <s v="C00576"/>
    <n v="42"/>
    <x v="1"/>
    <x v="1"/>
    <x v="1"/>
    <x v="1"/>
    <x v="0"/>
    <d v="2023-11-17T00:00:00"/>
  </r>
  <r>
    <s v="C00577"/>
    <n v="45"/>
    <x v="0"/>
    <x v="0"/>
    <x v="0"/>
    <x v="4"/>
    <x v="1"/>
    <d v="2025-07-11T00:00:00"/>
  </r>
  <r>
    <s v="C00578"/>
    <n v="19"/>
    <x v="0"/>
    <x v="4"/>
    <x v="4"/>
    <x v="5"/>
    <x v="0"/>
    <d v="2024-07-22T00:00:00"/>
  </r>
  <r>
    <s v="C00579"/>
    <n v="52"/>
    <x v="1"/>
    <x v="0"/>
    <x v="0"/>
    <x v="9"/>
    <x v="0"/>
    <d v="2026-01-06T00:00:00"/>
  </r>
  <r>
    <s v="C00580"/>
    <n v="54"/>
    <x v="0"/>
    <x v="0"/>
    <x v="0"/>
    <x v="8"/>
    <x v="0"/>
    <d v="2026-05-02T00:00:00"/>
  </r>
  <r>
    <s v="C00581"/>
    <n v="22"/>
    <x v="1"/>
    <x v="0"/>
    <x v="0"/>
    <x v="9"/>
    <x v="0"/>
    <d v="2024-06-10T00:00:00"/>
  </r>
  <r>
    <s v="C00582"/>
    <n v="18"/>
    <x v="1"/>
    <x v="1"/>
    <x v="1"/>
    <x v="1"/>
    <x v="1"/>
    <d v="2024-06-07T00:00:00"/>
  </r>
  <r>
    <s v="C00583"/>
    <n v="57"/>
    <x v="1"/>
    <x v="0"/>
    <x v="0"/>
    <x v="9"/>
    <x v="0"/>
    <d v="2024-09-04T00:00:00"/>
  </r>
  <r>
    <s v="C00584"/>
    <n v="29"/>
    <x v="1"/>
    <x v="0"/>
    <x v="0"/>
    <x v="0"/>
    <x v="0"/>
    <d v="2026-03-25T00:00:00"/>
  </r>
  <r>
    <s v="C00585"/>
    <n v="53"/>
    <x v="1"/>
    <x v="3"/>
    <x v="5"/>
    <x v="6"/>
    <x v="0"/>
    <d v="2023-05-05T00:00:00"/>
  </r>
  <r>
    <s v="C00586"/>
    <n v="62"/>
    <x v="0"/>
    <x v="0"/>
    <x v="0"/>
    <x v="8"/>
    <x v="3"/>
    <d v="2025-05-20T00:00:00"/>
  </r>
  <r>
    <s v="C00587"/>
    <n v="40"/>
    <x v="0"/>
    <x v="0"/>
    <x v="0"/>
    <x v="4"/>
    <x v="0"/>
    <d v="2023-10-07T00:00:00"/>
  </r>
  <r>
    <s v="C00588"/>
    <n v="64"/>
    <x v="0"/>
    <x v="0"/>
    <x v="0"/>
    <x v="4"/>
    <x v="0"/>
    <d v="2025-07-05T00:00:00"/>
  </r>
  <r>
    <s v="C00589"/>
    <n v="48"/>
    <x v="1"/>
    <x v="0"/>
    <x v="0"/>
    <x v="4"/>
    <x v="0"/>
    <d v="2024-09-13T00:00:00"/>
  </r>
  <r>
    <s v="C00590"/>
    <n v="28"/>
    <x v="0"/>
    <x v="0"/>
    <x v="0"/>
    <x v="4"/>
    <x v="0"/>
    <d v="2025-04-25T00:00:00"/>
  </r>
  <r>
    <s v="C00591"/>
    <n v="27"/>
    <x v="1"/>
    <x v="0"/>
    <x v="0"/>
    <x v="4"/>
    <x v="0"/>
    <d v="2024-11-04T00:00:00"/>
  </r>
  <r>
    <s v="C00592"/>
    <n v="20"/>
    <x v="1"/>
    <x v="3"/>
    <x v="5"/>
    <x v="6"/>
    <x v="0"/>
    <d v="2026-02-25T00:00:00"/>
  </r>
  <r>
    <s v="C00593"/>
    <n v="31"/>
    <x v="1"/>
    <x v="0"/>
    <x v="0"/>
    <x v="8"/>
    <x v="2"/>
    <d v="2023-11-10T00:00:00"/>
  </r>
  <r>
    <s v="C00594"/>
    <n v="33"/>
    <x v="1"/>
    <x v="0"/>
    <x v="0"/>
    <x v="0"/>
    <x v="0"/>
    <d v="2023-11-28T00:00:00"/>
  </r>
  <r>
    <s v="C00595"/>
    <n v="27"/>
    <x v="0"/>
    <x v="4"/>
    <x v="4"/>
    <x v="5"/>
    <x v="0"/>
    <d v="2026-03-19T00:00:00"/>
  </r>
  <r>
    <s v="C00596"/>
    <n v="46"/>
    <x v="1"/>
    <x v="0"/>
    <x v="0"/>
    <x v="9"/>
    <x v="0"/>
    <d v="2023-02-05T00:00:00"/>
  </r>
  <r>
    <s v="C00597"/>
    <n v="27"/>
    <x v="1"/>
    <x v="3"/>
    <x v="5"/>
    <x v="6"/>
    <x v="2"/>
    <d v="2025-11-11T00:00:00"/>
  </r>
  <r>
    <s v="C00598"/>
    <n v="29"/>
    <x v="0"/>
    <x v="0"/>
    <x v="0"/>
    <x v="8"/>
    <x v="0"/>
    <d v="2023-07-25T00:00:00"/>
  </r>
  <r>
    <s v="C00599"/>
    <n v="47"/>
    <x v="0"/>
    <x v="0"/>
    <x v="0"/>
    <x v="8"/>
    <x v="0"/>
    <d v="2024-09-30T00:00:00"/>
  </r>
  <r>
    <s v="C00600"/>
    <n v="58"/>
    <x v="1"/>
    <x v="0"/>
    <x v="0"/>
    <x v="4"/>
    <x v="1"/>
    <d v="2025-04-27T00:00:00"/>
  </r>
  <r>
    <s v="C00601"/>
    <n v="18"/>
    <x v="1"/>
    <x v="0"/>
    <x v="0"/>
    <x v="8"/>
    <x v="0"/>
    <d v="2024-03-15T00:00:00"/>
  </r>
  <r>
    <s v="C00602"/>
    <n v="22"/>
    <x v="1"/>
    <x v="0"/>
    <x v="0"/>
    <x v="8"/>
    <x v="1"/>
    <d v="2024-12-29T00:00:00"/>
  </r>
  <r>
    <s v="C00603"/>
    <n v="37"/>
    <x v="1"/>
    <x v="0"/>
    <x v="0"/>
    <x v="8"/>
    <x v="0"/>
    <d v="2026-01-24T00:00:00"/>
  </r>
  <r>
    <s v="C00604"/>
    <n v="25"/>
    <x v="1"/>
    <x v="0"/>
    <x v="0"/>
    <x v="4"/>
    <x v="0"/>
    <d v="2025-07-29T00:00:00"/>
  </r>
  <r>
    <s v="C00605"/>
    <n v="60"/>
    <x v="1"/>
    <x v="0"/>
    <x v="0"/>
    <x v="4"/>
    <x v="0"/>
    <d v="2023-06-13T00:00:00"/>
  </r>
  <r>
    <s v="C00606"/>
    <n v="29"/>
    <x v="0"/>
    <x v="0"/>
    <x v="0"/>
    <x v="9"/>
    <x v="0"/>
    <d v="2023-05-28T00:00:00"/>
  </r>
  <r>
    <s v="C00607"/>
    <n v="18"/>
    <x v="0"/>
    <x v="0"/>
    <x v="0"/>
    <x v="8"/>
    <x v="0"/>
    <d v="2023-10-21T00:00:00"/>
  </r>
  <r>
    <s v="C00608"/>
    <n v="37"/>
    <x v="0"/>
    <x v="0"/>
    <x v="0"/>
    <x v="0"/>
    <x v="2"/>
    <d v="2023-07-14T00:00:00"/>
  </r>
  <r>
    <s v="C00609"/>
    <n v="45"/>
    <x v="1"/>
    <x v="3"/>
    <x v="3"/>
    <x v="3"/>
    <x v="0"/>
    <d v="2024-10-24T00:00:00"/>
  </r>
  <r>
    <s v="C00610"/>
    <n v="60"/>
    <x v="1"/>
    <x v="3"/>
    <x v="5"/>
    <x v="6"/>
    <x v="0"/>
    <d v="2024-04-24T00:00:00"/>
  </r>
  <r>
    <s v="C00611"/>
    <n v="54"/>
    <x v="1"/>
    <x v="0"/>
    <x v="0"/>
    <x v="4"/>
    <x v="0"/>
    <d v="2023-05-03T00:00:00"/>
  </r>
  <r>
    <s v="C00612"/>
    <n v="64"/>
    <x v="0"/>
    <x v="5"/>
    <x v="6"/>
    <x v="7"/>
    <x v="1"/>
    <d v="2024-11-29T00:00:00"/>
  </r>
  <r>
    <s v="C00613"/>
    <n v="54"/>
    <x v="2"/>
    <x v="3"/>
    <x v="5"/>
    <x v="6"/>
    <x v="2"/>
    <d v="2025-08-22T00:00:00"/>
  </r>
  <r>
    <s v="C00614"/>
    <n v="29"/>
    <x v="1"/>
    <x v="0"/>
    <x v="0"/>
    <x v="4"/>
    <x v="1"/>
    <d v="2024-10-22T00:00:00"/>
  </r>
  <r>
    <s v="C00615"/>
    <n v="54"/>
    <x v="1"/>
    <x v="4"/>
    <x v="4"/>
    <x v="5"/>
    <x v="0"/>
    <d v="2026-02-01T00:00:00"/>
  </r>
  <r>
    <s v="C00616"/>
    <n v="61"/>
    <x v="1"/>
    <x v="4"/>
    <x v="4"/>
    <x v="5"/>
    <x v="0"/>
    <d v="2024-12-10T00:00:00"/>
  </r>
  <r>
    <s v="C00617"/>
    <n v="45"/>
    <x v="0"/>
    <x v="0"/>
    <x v="0"/>
    <x v="4"/>
    <x v="0"/>
    <d v="2024-01-31T00:00:00"/>
  </r>
  <r>
    <s v="C00618"/>
    <n v="64"/>
    <x v="1"/>
    <x v="0"/>
    <x v="0"/>
    <x v="8"/>
    <x v="0"/>
    <d v="2025-06-30T00:00:00"/>
  </r>
  <r>
    <s v="C00619"/>
    <n v="32"/>
    <x v="0"/>
    <x v="5"/>
    <x v="6"/>
    <x v="7"/>
    <x v="0"/>
    <d v="2025-10-01T00:00:00"/>
  </r>
  <r>
    <s v="C00620"/>
    <n v="23"/>
    <x v="0"/>
    <x v="2"/>
    <x v="2"/>
    <x v="2"/>
    <x v="1"/>
    <d v="2026-03-11T00:00:00"/>
  </r>
  <r>
    <s v="C00621"/>
    <n v="61"/>
    <x v="1"/>
    <x v="0"/>
    <x v="0"/>
    <x v="8"/>
    <x v="2"/>
    <d v="2023-11-13T00:00:00"/>
  </r>
  <r>
    <s v="C00622"/>
    <n v="37"/>
    <x v="1"/>
    <x v="0"/>
    <x v="0"/>
    <x v="8"/>
    <x v="0"/>
    <d v="2024-11-11T00:00:00"/>
  </r>
  <r>
    <s v="C00623"/>
    <n v="31"/>
    <x v="1"/>
    <x v="0"/>
    <x v="0"/>
    <x v="0"/>
    <x v="2"/>
    <d v="2024-05-09T00:00:00"/>
  </r>
  <r>
    <s v="C00624"/>
    <n v="19"/>
    <x v="1"/>
    <x v="0"/>
    <x v="0"/>
    <x v="9"/>
    <x v="2"/>
    <d v="2024-07-09T00:00:00"/>
  </r>
  <r>
    <s v="C00625"/>
    <n v="26"/>
    <x v="1"/>
    <x v="3"/>
    <x v="5"/>
    <x v="6"/>
    <x v="2"/>
    <d v="2024-09-01T00:00:00"/>
  </r>
  <r>
    <s v="C00626"/>
    <n v="54"/>
    <x v="1"/>
    <x v="0"/>
    <x v="0"/>
    <x v="0"/>
    <x v="0"/>
    <d v="2023-04-19T00:00:00"/>
  </r>
  <r>
    <s v="C00627"/>
    <n v="37"/>
    <x v="1"/>
    <x v="0"/>
    <x v="0"/>
    <x v="9"/>
    <x v="0"/>
    <d v="2024-01-07T00:00:00"/>
  </r>
  <r>
    <s v="C00628"/>
    <n v="43"/>
    <x v="0"/>
    <x v="2"/>
    <x v="2"/>
    <x v="2"/>
    <x v="2"/>
    <d v="2025-05-04T00:00:00"/>
  </r>
  <r>
    <s v="C00629"/>
    <n v="46"/>
    <x v="0"/>
    <x v="0"/>
    <x v="0"/>
    <x v="4"/>
    <x v="0"/>
    <d v="2024-09-07T00:00:00"/>
  </r>
  <r>
    <s v="C00630"/>
    <n v="18"/>
    <x v="0"/>
    <x v="0"/>
    <x v="0"/>
    <x v="8"/>
    <x v="0"/>
    <d v="2025-02-06T00:00:00"/>
  </r>
  <r>
    <s v="C00631"/>
    <n v="52"/>
    <x v="0"/>
    <x v="2"/>
    <x v="2"/>
    <x v="2"/>
    <x v="2"/>
    <d v="2023-07-25T00:00:00"/>
  </r>
  <r>
    <s v="C00632"/>
    <n v="23"/>
    <x v="0"/>
    <x v="4"/>
    <x v="4"/>
    <x v="5"/>
    <x v="2"/>
    <d v="2025-04-26T00:00:00"/>
  </r>
  <r>
    <s v="C00633"/>
    <n v="54"/>
    <x v="0"/>
    <x v="3"/>
    <x v="3"/>
    <x v="3"/>
    <x v="0"/>
    <d v="2023-02-12T00:00:00"/>
  </r>
  <r>
    <s v="C00634"/>
    <n v="22"/>
    <x v="0"/>
    <x v="3"/>
    <x v="3"/>
    <x v="3"/>
    <x v="1"/>
    <d v="2025-05-14T00:00:00"/>
  </r>
  <r>
    <s v="C00635"/>
    <n v="50"/>
    <x v="1"/>
    <x v="0"/>
    <x v="0"/>
    <x v="4"/>
    <x v="0"/>
    <d v="2026-06-22T00:00:00"/>
  </r>
  <r>
    <s v="C00636"/>
    <n v="31"/>
    <x v="0"/>
    <x v="0"/>
    <x v="0"/>
    <x v="9"/>
    <x v="2"/>
    <d v="2025-02-23T00:00:00"/>
  </r>
  <r>
    <s v="C00637"/>
    <n v="29"/>
    <x v="1"/>
    <x v="3"/>
    <x v="3"/>
    <x v="3"/>
    <x v="2"/>
    <d v="2024-04-20T00:00:00"/>
  </r>
  <r>
    <s v="C00638"/>
    <n v="59"/>
    <x v="0"/>
    <x v="0"/>
    <x v="0"/>
    <x v="8"/>
    <x v="0"/>
    <d v="2023-03-24T00:00:00"/>
  </r>
  <r>
    <s v="C00639"/>
    <n v="37"/>
    <x v="1"/>
    <x v="0"/>
    <x v="0"/>
    <x v="8"/>
    <x v="1"/>
    <d v="2026-02-07T00:00:00"/>
  </r>
  <r>
    <s v="C00640"/>
    <n v="41"/>
    <x v="0"/>
    <x v="0"/>
    <x v="0"/>
    <x v="0"/>
    <x v="2"/>
    <d v="2023-07-09T00:00:00"/>
  </r>
  <r>
    <s v="C00641"/>
    <n v="60"/>
    <x v="0"/>
    <x v="0"/>
    <x v="0"/>
    <x v="4"/>
    <x v="0"/>
    <d v="2025-03-10T00:00:00"/>
  </r>
  <r>
    <s v="C00642"/>
    <n v="51"/>
    <x v="1"/>
    <x v="0"/>
    <x v="0"/>
    <x v="0"/>
    <x v="0"/>
    <d v="2025-07-24T00:00:00"/>
  </r>
  <r>
    <s v="C00643"/>
    <n v="42"/>
    <x v="0"/>
    <x v="0"/>
    <x v="0"/>
    <x v="8"/>
    <x v="3"/>
    <d v="2023-09-08T00:00:00"/>
  </r>
  <r>
    <s v="C00644"/>
    <n v="46"/>
    <x v="0"/>
    <x v="0"/>
    <x v="0"/>
    <x v="0"/>
    <x v="1"/>
    <d v="2023-10-18T00:00:00"/>
  </r>
  <r>
    <s v="C00645"/>
    <n v="56"/>
    <x v="0"/>
    <x v="0"/>
    <x v="0"/>
    <x v="4"/>
    <x v="0"/>
    <d v="2026-05-09T00:00:00"/>
  </r>
  <r>
    <s v="C00646"/>
    <n v="48"/>
    <x v="0"/>
    <x v="4"/>
    <x v="4"/>
    <x v="5"/>
    <x v="1"/>
    <d v="2023-11-22T00:00:00"/>
  </r>
  <r>
    <s v="C00647"/>
    <n v="64"/>
    <x v="0"/>
    <x v="3"/>
    <x v="3"/>
    <x v="3"/>
    <x v="0"/>
    <d v="2025-04-16T00:00:00"/>
  </r>
  <r>
    <s v="C00648"/>
    <n v="60"/>
    <x v="0"/>
    <x v="3"/>
    <x v="5"/>
    <x v="6"/>
    <x v="2"/>
    <d v="2024-05-22T00:00:00"/>
  </r>
  <r>
    <s v="C00649"/>
    <n v="40"/>
    <x v="1"/>
    <x v="5"/>
    <x v="6"/>
    <x v="7"/>
    <x v="0"/>
    <d v="2024-12-31T00:00:00"/>
  </r>
  <r>
    <s v="C00650"/>
    <n v="61"/>
    <x v="1"/>
    <x v="0"/>
    <x v="0"/>
    <x v="9"/>
    <x v="3"/>
    <d v="2023-03-13T00:00:00"/>
  </r>
  <r>
    <s v="C00651"/>
    <n v="55"/>
    <x v="1"/>
    <x v="0"/>
    <x v="0"/>
    <x v="4"/>
    <x v="0"/>
    <d v="2026-06-24T00:00:00"/>
  </r>
  <r>
    <s v="C00652"/>
    <n v="37"/>
    <x v="0"/>
    <x v="3"/>
    <x v="3"/>
    <x v="3"/>
    <x v="0"/>
    <d v="2024-10-02T00:00:00"/>
  </r>
  <r>
    <s v="C00653"/>
    <n v="40"/>
    <x v="1"/>
    <x v="3"/>
    <x v="3"/>
    <x v="3"/>
    <x v="0"/>
    <d v="2025-07-28T00:00:00"/>
  </r>
  <r>
    <s v="C00654"/>
    <n v="62"/>
    <x v="0"/>
    <x v="2"/>
    <x v="2"/>
    <x v="2"/>
    <x v="0"/>
    <d v="2024-08-30T00:00:00"/>
  </r>
  <r>
    <s v="C00655"/>
    <n v="33"/>
    <x v="0"/>
    <x v="0"/>
    <x v="0"/>
    <x v="9"/>
    <x v="0"/>
    <d v="2024-07-19T00:00:00"/>
  </r>
  <r>
    <s v="C00656"/>
    <n v="59"/>
    <x v="1"/>
    <x v="0"/>
    <x v="0"/>
    <x v="4"/>
    <x v="1"/>
    <d v="2023-02-23T00:00:00"/>
  </r>
  <r>
    <s v="C00657"/>
    <n v="25"/>
    <x v="0"/>
    <x v="0"/>
    <x v="0"/>
    <x v="0"/>
    <x v="0"/>
    <d v="2024-06-11T00:00:00"/>
  </r>
  <r>
    <s v="C00658"/>
    <n v="38"/>
    <x v="0"/>
    <x v="0"/>
    <x v="0"/>
    <x v="0"/>
    <x v="0"/>
    <d v="2024-09-02T00:00:00"/>
  </r>
  <r>
    <s v="C00659"/>
    <n v="18"/>
    <x v="1"/>
    <x v="3"/>
    <x v="5"/>
    <x v="6"/>
    <x v="2"/>
    <d v="2023-07-12T00:00:00"/>
  </r>
  <r>
    <s v="C00660"/>
    <n v="25"/>
    <x v="1"/>
    <x v="3"/>
    <x v="3"/>
    <x v="3"/>
    <x v="0"/>
    <d v="2023-02-27T00:00:00"/>
  </r>
  <r>
    <s v="C00661"/>
    <n v="46"/>
    <x v="1"/>
    <x v="0"/>
    <x v="0"/>
    <x v="0"/>
    <x v="2"/>
    <d v="2026-02-08T00:00:00"/>
  </r>
  <r>
    <s v="C00662"/>
    <n v="49"/>
    <x v="1"/>
    <x v="1"/>
    <x v="1"/>
    <x v="1"/>
    <x v="1"/>
    <d v="2023-05-09T00:00:00"/>
  </r>
  <r>
    <s v="C00663"/>
    <n v="55"/>
    <x v="1"/>
    <x v="3"/>
    <x v="3"/>
    <x v="3"/>
    <x v="0"/>
    <d v="2024-12-06T00:00:00"/>
  </r>
  <r>
    <s v="C00664"/>
    <n v="22"/>
    <x v="0"/>
    <x v="0"/>
    <x v="0"/>
    <x v="8"/>
    <x v="0"/>
    <d v="2025-05-01T00:00:00"/>
  </r>
  <r>
    <s v="C00665"/>
    <n v="64"/>
    <x v="0"/>
    <x v="0"/>
    <x v="0"/>
    <x v="4"/>
    <x v="0"/>
    <d v="2023-01-08T00:00:00"/>
  </r>
  <r>
    <s v="C00666"/>
    <n v="39"/>
    <x v="0"/>
    <x v="0"/>
    <x v="0"/>
    <x v="4"/>
    <x v="1"/>
    <d v="2023-01-29T00:00:00"/>
  </r>
  <r>
    <s v="C00667"/>
    <n v="64"/>
    <x v="0"/>
    <x v="0"/>
    <x v="0"/>
    <x v="8"/>
    <x v="2"/>
    <d v="2026-02-09T00:00:00"/>
  </r>
  <r>
    <s v="C00668"/>
    <n v="51"/>
    <x v="0"/>
    <x v="0"/>
    <x v="0"/>
    <x v="8"/>
    <x v="2"/>
    <d v="2025-08-04T00:00:00"/>
  </r>
  <r>
    <s v="C00669"/>
    <n v="18"/>
    <x v="1"/>
    <x v="0"/>
    <x v="0"/>
    <x v="8"/>
    <x v="0"/>
    <d v="2023-05-11T00:00:00"/>
  </r>
  <r>
    <s v="C00670"/>
    <n v="43"/>
    <x v="1"/>
    <x v="0"/>
    <x v="0"/>
    <x v="0"/>
    <x v="1"/>
    <d v="2023-07-07T00:00:00"/>
  </r>
  <r>
    <s v="C00671"/>
    <n v="60"/>
    <x v="1"/>
    <x v="0"/>
    <x v="0"/>
    <x v="8"/>
    <x v="2"/>
    <d v="2024-12-09T00:00:00"/>
  </r>
  <r>
    <s v="C00672"/>
    <n v="27"/>
    <x v="0"/>
    <x v="4"/>
    <x v="4"/>
    <x v="5"/>
    <x v="0"/>
    <d v="2026-05-12T00:00:00"/>
  </r>
  <r>
    <s v="C00673"/>
    <n v="47"/>
    <x v="1"/>
    <x v="0"/>
    <x v="0"/>
    <x v="4"/>
    <x v="2"/>
    <d v="2023-07-31T00:00:00"/>
  </r>
  <r>
    <s v="C00674"/>
    <n v="35"/>
    <x v="1"/>
    <x v="3"/>
    <x v="3"/>
    <x v="3"/>
    <x v="2"/>
    <d v="2023-10-03T00:00:00"/>
  </r>
  <r>
    <s v="C00675"/>
    <n v="34"/>
    <x v="1"/>
    <x v="0"/>
    <x v="0"/>
    <x v="9"/>
    <x v="2"/>
    <d v="2026-01-01T00:00:00"/>
  </r>
  <r>
    <s v="C00676"/>
    <n v="43"/>
    <x v="0"/>
    <x v="1"/>
    <x v="1"/>
    <x v="1"/>
    <x v="0"/>
    <d v="2023-08-31T00:00:00"/>
  </r>
  <r>
    <s v="C00677"/>
    <n v="25"/>
    <x v="1"/>
    <x v="0"/>
    <x v="0"/>
    <x v="4"/>
    <x v="0"/>
    <d v="2026-01-30T00:00:00"/>
  </r>
  <r>
    <s v="C00678"/>
    <n v="64"/>
    <x v="0"/>
    <x v="0"/>
    <x v="0"/>
    <x v="0"/>
    <x v="0"/>
    <d v="2025-09-13T00:00:00"/>
  </r>
  <r>
    <s v="C00679"/>
    <n v="57"/>
    <x v="0"/>
    <x v="1"/>
    <x v="1"/>
    <x v="1"/>
    <x v="0"/>
    <d v="2024-11-15T00:00:00"/>
  </r>
  <r>
    <s v="C00680"/>
    <n v="29"/>
    <x v="0"/>
    <x v="4"/>
    <x v="4"/>
    <x v="5"/>
    <x v="2"/>
    <d v="2023-06-20T00:00:00"/>
  </r>
  <r>
    <s v="C00681"/>
    <n v="44"/>
    <x v="1"/>
    <x v="5"/>
    <x v="6"/>
    <x v="7"/>
    <x v="0"/>
    <d v="2024-10-14T00:00:00"/>
  </r>
  <r>
    <s v="C00682"/>
    <n v="25"/>
    <x v="1"/>
    <x v="0"/>
    <x v="0"/>
    <x v="8"/>
    <x v="0"/>
    <d v="2023-07-07T00:00:00"/>
  </r>
  <r>
    <s v="C00683"/>
    <n v="42"/>
    <x v="0"/>
    <x v="0"/>
    <x v="0"/>
    <x v="8"/>
    <x v="2"/>
    <d v="2026-01-14T00:00:00"/>
  </r>
  <r>
    <s v="C00684"/>
    <n v="63"/>
    <x v="0"/>
    <x v="3"/>
    <x v="5"/>
    <x v="6"/>
    <x v="2"/>
    <d v="2023-02-21T00:00:00"/>
  </r>
  <r>
    <s v="C00685"/>
    <n v="21"/>
    <x v="0"/>
    <x v="4"/>
    <x v="4"/>
    <x v="5"/>
    <x v="2"/>
    <d v="2023-04-21T00:00:00"/>
  </r>
  <r>
    <s v="C00686"/>
    <n v="50"/>
    <x v="0"/>
    <x v="3"/>
    <x v="3"/>
    <x v="3"/>
    <x v="2"/>
    <d v="2025-05-26T00:00:00"/>
  </r>
  <r>
    <s v="C00687"/>
    <n v="18"/>
    <x v="0"/>
    <x v="3"/>
    <x v="3"/>
    <x v="3"/>
    <x v="0"/>
    <d v="2025-12-02T00:00:00"/>
  </r>
  <r>
    <s v="C00688"/>
    <n v="36"/>
    <x v="0"/>
    <x v="0"/>
    <x v="0"/>
    <x v="8"/>
    <x v="0"/>
    <d v="2023-07-30T00:00:00"/>
  </r>
  <r>
    <s v="C00689"/>
    <n v="48"/>
    <x v="1"/>
    <x v="2"/>
    <x v="2"/>
    <x v="2"/>
    <x v="2"/>
    <d v="2026-05-08T00:00:00"/>
  </r>
  <r>
    <s v="C00690"/>
    <n v="33"/>
    <x v="0"/>
    <x v="0"/>
    <x v="0"/>
    <x v="8"/>
    <x v="0"/>
    <d v="2025-05-07T00:00:00"/>
  </r>
  <r>
    <s v="C00691"/>
    <n v="31"/>
    <x v="0"/>
    <x v="0"/>
    <x v="0"/>
    <x v="0"/>
    <x v="0"/>
    <d v="2024-09-18T00:00:00"/>
  </r>
  <r>
    <s v="C00692"/>
    <n v="65"/>
    <x v="0"/>
    <x v="0"/>
    <x v="0"/>
    <x v="9"/>
    <x v="0"/>
    <d v="2025-11-15T00:00:00"/>
  </r>
  <r>
    <s v="C00693"/>
    <n v="22"/>
    <x v="1"/>
    <x v="3"/>
    <x v="3"/>
    <x v="3"/>
    <x v="0"/>
    <d v="2023-10-26T00:00:00"/>
  </r>
  <r>
    <s v="C00694"/>
    <n v="58"/>
    <x v="1"/>
    <x v="0"/>
    <x v="0"/>
    <x v="8"/>
    <x v="2"/>
    <d v="2026-01-05T00:00:00"/>
  </r>
  <r>
    <s v="C00695"/>
    <n v="43"/>
    <x v="1"/>
    <x v="0"/>
    <x v="0"/>
    <x v="4"/>
    <x v="0"/>
    <d v="2025-07-12T00:00:00"/>
  </r>
  <r>
    <s v="C00696"/>
    <n v="45"/>
    <x v="0"/>
    <x v="3"/>
    <x v="5"/>
    <x v="6"/>
    <x v="0"/>
    <d v="2023-05-17T00:00:00"/>
  </r>
  <r>
    <s v="C00697"/>
    <n v="19"/>
    <x v="1"/>
    <x v="0"/>
    <x v="0"/>
    <x v="0"/>
    <x v="0"/>
    <d v="2025-11-09T00:00:00"/>
  </r>
  <r>
    <s v="C00698"/>
    <n v="23"/>
    <x v="0"/>
    <x v="3"/>
    <x v="3"/>
    <x v="3"/>
    <x v="0"/>
    <d v="2024-03-15T00:00:00"/>
  </r>
  <r>
    <s v="C00699"/>
    <n v="26"/>
    <x v="1"/>
    <x v="0"/>
    <x v="0"/>
    <x v="4"/>
    <x v="0"/>
    <d v="2023-07-30T00:00:00"/>
  </r>
  <r>
    <s v="C00700"/>
    <n v="50"/>
    <x v="1"/>
    <x v="0"/>
    <x v="0"/>
    <x v="9"/>
    <x v="0"/>
    <d v="2025-01-21T00:00:00"/>
  </r>
  <r>
    <s v="C00701"/>
    <n v="58"/>
    <x v="1"/>
    <x v="3"/>
    <x v="3"/>
    <x v="3"/>
    <x v="2"/>
    <d v="2024-03-10T00:00:00"/>
  </r>
  <r>
    <s v="C00702"/>
    <n v="42"/>
    <x v="1"/>
    <x v="0"/>
    <x v="0"/>
    <x v="4"/>
    <x v="0"/>
    <d v="2025-02-18T00:00:00"/>
  </r>
  <r>
    <s v="C00703"/>
    <n v="65"/>
    <x v="1"/>
    <x v="0"/>
    <x v="0"/>
    <x v="0"/>
    <x v="0"/>
    <d v="2026-05-15T00:00:00"/>
  </r>
  <r>
    <s v="C00704"/>
    <n v="30"/>
    <x v="0"/>
    <x v="0"/>
    <x v="0"/>
    <x v="4"/>
    <x v="1"/>
    <d v="2024-03-14T00:00:00"/>
  </r>
  <r>
    <s v="C00705"/>
    <n v="26"/>
    <x v="1"/>
    <x v="0"/>
    <x v="0"/>
    <x v="4"/>
    <x v="0"/>
    <d v="2024-10-27T00:00:00"/>
  </r>
  <r>
    <s v="C00706"/>
    <n v="30"/>
    <x v="0"/>
    <x v="1"/>
    <x v="1"/>
    <x v="1"/>
    <x v="0"/>
    <d v="2025-12-01T00:00:00"/>
  </r>
  <r>
    <s v="C00707"/>
    <n v="48"/>
    <x v="1"/>
    <x v="0"/>
    <x v="0"/>
    <x v="0"/>
    <x v="2"/>
    <d v="2024-02-15T00:00:00"/>
  </r>
  <r>
    <s v="C00708"/>
    <n v="58"/>
    <x v="0"/>
    <x v="5"/>
    <x v="6"/>
    <x v="7"/>
    <x v="0"/>
    <d v="2025-03-16T00:00:00"/>
  </r>
  <r>
    <s v="C00709"/>
    <n v="28"/>
    <x v="0"/>
    <x v="0"/>
    <x v="0"/>
    <x v="8"/>
    <x v="2"/>
    <d v="2024-09-01T00:00:00"/>
  </r>
  <r>
    <s v="C00710"/>
    <n v="21"/>
    <x v="0"/>
    <x v="3"/>
    <x v="5"/>
    <x v="6"/>
    <x v="0"/>
    <d v="2024-03-02T00:00:00"/>
  </r>
  <r>
    <s v="C00711"/>
    <n v="51"/>
    <x v="0"/>
    <x v="2"/>
    <x v="2"/>
    <x v="2"/>
    <x v="0"/>
    <d v="2025-06-20T00:00:00"/>
  </r>
  <r>
    <s v="C00712"/>
    <n v="55"/>
    <x v="1"/>
    <x v="3"/>
    <x v="3"/>
    <x v="3"/>
    <x v="0"/>
    <d v="2025-07-30T00:00:00"/>
  </r>
  <r>
    <s v="C00713"/>
    <n v="63"/>
    <x v="1"/>
    <x v="0"/>
    <x v="0"/>
    <x v="9"/>
    <x v="2"/>
    <d v="2025-01-11T00:00:00"/>
  </r>
  <r>
    <s v="C00714"/>
    <n v="21"/>
    <x v="0"/>
    <x v="0"/>
    <x v="0"/>
    <x v="9"/>
    <x v="0"/>
    <d v="2026-05-28T00:00:00"/>
  </r>
  <r>
    <s v="C00715"/>
    <n v="55"/>
    <x v="0"/>
    <x v="0"/>
    <x v="0"/>
    <x v="0"/>
    <x v="0"/>
    <d v="2026-06-09T00:00:00"/>
  </r>
  <r>
    <s v="C00716"/>
    <n v="36"/>
    <x v="1"/>
    <x v="4"/>
    <x v="4"/>
    <x v="5"/>
    <x v="0"/>
    <d v="2023-11-24T00:00:00"/>
  </r>
  <r>
    <s v="C00717"/>
    <n v="23"/>
    <x v="0"/>
    <x v="5"/>
    <x v="6"/>
    <x v="7"/>
    <x v="0"/>
    <d v="2023-02-21T00:00:00"/>
  </r>
  <r>
    <s v="C00718"/>
    <n v="51"/>
    <x v="1"/>
    <x v="1"/>
    <x v="1"/>
    <x v="1"/>
    <x v="0"/>
    <d v="2024-01-11T00:00:00"/>
  </r>
  <r>
    <s v="C00719"/>
    <n v="35"/>
    <x v="1"/>
    <x v="0"/>
    <x v="0"/>
    <x v="4"/>
    <x v="0"/>
    <d v="2023-09-20T00:00:00"/>
  </r>
  <r>
    <s v="C00720"/>
    <n v="30"/>
    <x v="1"/>
    <x v="2"/>
    <x v="2"/>
    <x v="2"/>
    <x v="0"/>
    <d v="2023-09-24T00:00:00"/>
  </r>
  <r>
    <s v="C00721"/>
    <n v="58"/>
    <x v="1"/>
    <x v="1"/>
    <x v="1"/>
    <x v="1"/>
    <x v="0"/>
    <d v="2023-12-25T00:00:00"/>
  </r>
  <r>
    <s v="C00722"/>
    <n v="40"/>
    <x v="0"/>
    <x v="0"/>
    <x v="0"/>
    <x v="8"/>
    <x v="0"/>
    <d v="2024-10-13T00:00:00"/>
  </r>
  <r>
    <s v="C00723"/>
    <n v="36"/>
    <x v="1"/>
    <x v="0"/>
    <x v="0"/>
    <x v="4"/>
    <x v="2"/>
    <d v="2023-02-15T00:00:00"/>
  </r>
  <r>
    <s v="C00724"/>
    <n v="62"/>
    <x v="0"/>
    <x v="2"/>
    <x v="2"/>
    <x v="2"/>
    <x v="2"/>
    <d v="2024-08-22T00:00:00"/>
  </r>
  <r>
    <s v="C00725"/>
    <n v="28"/>
    <x v="0"/>
    <x v="3"/>
    <x v="3"/>
    <x v="3"/>
    <x v="2"/>
    <d v="2024-12-20T00:00:00"/>
  </r>
  <r>
    <s v="C00726"/>
    <n v="18"/>
    <x v="1"/>
    <x v="5"/>
    <x v="6"/>
    <x v="7"/>
    <x v="0"/>
    <d v="2024-08-23T00:00:00"/>
  </r>
  <r>
    <s v="C00727"/>
    <n v="41"/>
    <x v="0"/>
    <x v="0"/>
    <x v="0"/>
    <x v="4"/>
    <x v="1"/>
    <d v="2024-01-16T00:00:00"/>
  </r>
  <r>
    <s v="C00728"/>
    <n v="24"/>
    <x v="1"/>
    <x v="5"/>
    <x v="6"/>
    <x v="7"/>
    <x v="0"/>
    <d v="2023-04-28T00:00:00"/>
  </r>
  <r>
    <s v="C00729"/>
    <n v="42"/>
    <x v="1"/>
    <x v="0"/>
    <x v="0"/>
    <x v="8"/>
    <x v="0"/>
    <d v="2023-04-26T00:00:00"/>
  </r>
  <r>
    <s v="C00730"/>
    <n v="38"/>
    <x v="1"/>
    <x v="0"/>
    <x v="0"/>
    <x v="8"/>
    <x v="0"/>
    <d v="2023-09-17T00:00:00"/>
  </r>
  <r>
    <s v="C00731"/>
    <n v="32"/>
    <x v="1"/>
    <x v="0"/>
    <x v="0"/>
    <x v="8"/>
    <x v="1"/>
    <d v="2026-01-03T00:00:00"/>
  </r>
  <r>
    <s v="C00732"/>
    <n v="18"/>
    <x v="0"/>
    <x v="5"/>
    <x v="6"/>
    <x v="7"/>
    <x v="0"/>
    <d v="2023-11-01T00:00:00"/>
  </r>
  <r>
    <s v="C00733"/>
    <n v="29"/>
    <x v="0"/>
    <x v="3"/>
    <x v="5"/>
    <x v="6"/>
    <x v="1"/>
    <d v="2023-01-07T00:00:00"/>
  </r>
  <r>
    <s v="C00734"/>
    <n v="24"/>
    <x v="1"/>
    <x v="3"/>
    <x v="3"/>
    <x v="3"/>
    <x v="2"/>
    <d v="2024-01-01T00:00:00"/>
  </r>
  <r>
    <s v="C00735"/>
    <n v="32"/>
    <x v="0"/>
    <x v="0"/>
    <x v="0"/>
    <x v="0"/>
    <x v="0"/>
    <d v="2024-06-06T00:00:00"/>
  </r>
  <r>
    <s v="C00736"/>
    <n v="38"/>
    <x v="1"/>
    <x v="4"/>
    <x v="4"/>
    <x v="5"/>
    <x v="0"/>
    <d v="2026-05-23T00:00:00"/>
  </r>
  <r>
    <s v="C00737"/>
    <n v="36"/>
    <x v="1"/>
    <x v="0"/>
    <x v="0"/>
    <x v="0"/>
    <x v="1"/>
    <d v="2024-03-04T00:00:00"/>
  </r>
  <r>
    <s v="C00738"/>
    <n v="46"/>
    <x v="1"/>
    <x v="5"/>
    <x v="6"/>
    <x v="7"/>
    <x v="0"/>
    <d v="2025-03-01T00:00:00"/>
  </r>
  <r>
    <s v="C00739"/>
    <n v="42"/>
    <x v="0"/>
    <x v="0"/>
    <x v="0"/>
    <x v="9"/>
    <x v="0"/>
    <d v="2025-01-16T00:00:00"/>
  </r>
  <r>
    <s v="C00740"/>
    <n v="50"/>
    <x v="0"/>
    <x v="0"/>
    <x v="0"/>
    <x v="0"/>
    <x v="2"/>
    <d v="2024-01-02T00:00:00"/>
  </r>
  <r>
    <s v="C00741"/>
    <n v="49"/>
    <x v="0"/>
    <x v="0"/>
    <x v="0"/>
    <x v="9"/>
    <x v="2"/>
    <d v="2023-11-09T00:00:00"/>
  </r>
  <r>
    <s v="C00742"/>
    <n v="52"/>
    <x v="0"/>
    <x v="0"/>
    <x v="0"/>
    <x v="0"/>
    <x v="0"/>
    <d v="2024-06-21T00:00:00"/>
  </r>
  <r>
    <s v="C00743"/>
    <n v="61"/>
    <x v="1"/>
    <x v="2"/>
    <x v="2"/>
    <x v="2"/>
    <x v="2"/>
    <d v="2025-07-09T00:00:00"/>
  </r>
  <r>
    <s v="C00744"/>
    <n v="55"/>
    <x v="0"/>
    <x v="3"/>
    <x v="3"/>
    <x v="3"/>
    <x v="3"/>
    <d v="2025-12-13T00:00:00"/>
  </r>
  <r>
    <s v="C00745"/>
    <n v="43"/>
    <x v="0"/>
    <x v="0"/>
    <x v="0"/>
    <x v="8"/>
    <x v="2"/>
    <d v="2025-05-14T00:00:00"/>
  </r>
  <r>
    <s v="C00746"/>
    <n v="28"/>
    <x v="0"/>
    <x v="4"/>
    <x v="4"/>
    <x v="5"/>
    <x v="2"/>
    <d v="2026-04-02T00:00:00"/>
  </r>
  <r>
    <s v="C00747"/>
    <n v="52"/>
    <x v="1"/>
    <x v="0"/>
    <x v="0"/>
    <x v="0"/>
    <x v="0"/>
    <d v="2025-02-20T00:00:00"/>
  </r>
  <r>
    <s v="C00748"/>
    <n v="25"/>
    <x v="1"/>
    <x v="3"/>
    <x v="3"/>
    <x v="3"/>
    <x v="0"/>
    <d v="2023-11-30T00:00:00"/>
  </r>
  <r>
    <s v="C00749"/>
    <n v="63"/>
    <x v="0"/>
    <x v="4"/>
    <x v="4"/>
    <x v="5"/>
    <x v="1"/>
    <d v="2025-03-08T00:00:00"/>
  </r>
  <r>
    <s v="C00750"/>
    <n v="31"/>
    <x v="0"/>
    <x v="3"/>
    <x v="5"/>
    <x v="6"/>
    <x v="1"/>
    <d v="2023-12-14T00:00:00"/>
  </r>
  <r>
    <s v="C00751"/>
    <n v="27"/>
    <x v="0"/>
    <x v="0"/>
    <x v="0"/>
    <x v="4"/>
    <x v="3"/>
    <d v="2023-09-30T00:00:00"/>
  </r>
  <r>
    <s v="C00752"/>
    <n v="19"/>
    <x v="0"/>
    <x v="1"/>
    <x v="1"/>
    <x v="1"/>
    <x v="0"/>
    <d v="2025-08-20T00:00:00"/>
  </r>
  <r>
    <s v="C00753"/>
    <n v="63"/>
    <x v="1"/>
    <x v="3"/>
    <x v="5"/>
    <x v="6"/>
    <x v="2"/>
    <d v="2024-12-20T00:00:00"/>
  </r>
  <r>
    <s v="C00754"/>
    <n v="26"/>
    <x v="1"/>
    <x v="0"/>
    <x v="0"/>
    <x v="0"/>
    <x v="2"/>
    <d v="2024-05-14T00:00:00"/>
  </r>
  <r>
    <s v="C00755"/>
    <n v="20"/>
    <x v="0"/>
    <x v="0"/>
    <x v="0"/>
    <x v="4"/>
    <x v="2"/>
    <d v="2026-01-21T00:00:00"/>
  </r>
  <r>
    <s v="C00756"/>
    <n v="38"/>
    <x v="0"/>
    <x v="5"/>
    <x v="6"/>
    <x v="7"/>
    <x v="3"/>
    <d v="2024-11-15T00:00:00"/>
  </r>
  <r>
    <s v="C00757"/>
    <n v="43"/>
    <x v="1"/>
    <x v="3"/>
    <x v="5"/>
    <x v="6"/>
    <x v="0"/>
    <d v="2023-03-20T00:00:00"/>
  </r>
  <r>
    <s v="C00758"/>
    <n v="25"/>
    <x v="0"/>
    <x v="3"/>
    <x v="3"/>
    <x v="3"/>
    <x v="1"/>
    <d v="2024-09-13T00:00:00"/>
  </r>
  <r>
    <s v="C00759"/>
    <n v="65"/>
    <x v="1"/>
    <x v="4"/>
    <x v="4"/>
    <x v="5"/>
    <x v="0"/>
    <d v="2026-05-25T00:00:00"/>
  </r>
  <r>
    <s v="C00760"/>
    <n v="19"/>
    <x v="0"/>
    <x v="5"/>
    <x v="6"/>
    <x v="7"/>
    <x v="0"/>
    <d v="2025-08-04T00:00:00"/>
  </r>
  <r>
    <s v="C00761"/>
    <n v="23"/>
    <x v="1"/>
    <x v="0"/>
    <x v="0"/>
    <x v="4"/>
    <x v="1"/>
    <d v="2023-12-24T00:00:00"/>
  </r>
  <r>
    <s v="C00762"/>
    <n v="45"/>
    <x v="0"/>
    <x v="0"/>
    <x v="0"/>
    <x v="0"/>
    <x v="0"/>
    <d v="2024-09-09T00:00:00"/>
  </r>
  <r>
    <s v="C00763"/>
    <n v="46"/>
    <x v="1"/>
    <x v="0"/>
    <x v="0"/>
    <x v="8"/>
    <x v="2"/>
    <d v="2024-05-21T00:00:00"/>
  </r>
  <r>
    <s v="C00764"/>
    <n v="43"/>
    <x v="1"/>
    <x v="2"/>
    <x v="2"/>
    <x v="2"/>
    <x v="0"/>
    <d v="2026-04-19T00:00:00"/>
  </r>
  <r>
    <s v="C00765"/>
    <n v="42"/>
    <x v="0"/>
    <x v="0"/>
    <x v="0"/>
    <x v="4"/>
    <x v="0"/>
    <d v="2024-07-29T00:00:00"/>
  </r>
  <r>
    <s v="C00766"/>
    <n v="29"/>
    <x v="0"/>
    <x v="3"/>
    <x v="3"/>
    <x v="3"/>
    <x v="0"/>
    <d v="2026-06-23T00:00:00"/>
  </r>
  <r>
    <s v="C00767"/>
    <n v="22"/>
    <x v="0"/>
    <x v="2"/>
    <x v="2"/>
    <x v="2"/>
    <x v="0"/>
    <d v="2023-09-01T00:00:00"/>
  </r>
  <r>
    <s v="C00768"/>
    <n v="51"/>
    <x v="0"/>
    <x v="4"/>
    <x v="4"/>
    <x v="5"/>
    <x v="1"/>
    <d v="2024-05-20T00:00:00"/>
  </r>
  <r>
    <s v="C00769"/>
    <n v="65"/>
    <x v="0"/>
    <x v="0"/>
    <x v="0"/>
    <x v="0"/>
    <x v="2"/>
    <d v="2024-02-26T00:00:00"/>
  </r>
  <r>
    <s v="C00770"/>
    <n v="54"/>
    <x v="0"/>
    <x v="5"/>
    <x v="6"/>
    <x v="7"/>
    <x v="0"/>
    <d v="2026-01-15T00:00:00"/>
  </r>
  <r>
    <s v="C00771"/>
    <n v="32"/>
    <x v="1"/>
    <x v="0"/>
    <x v="0"/>
    <x v="4"/>
    <x v="2"/>
    <d v="2023-08-05T00:00:00"/>
  </r>
  <r>
    <s v="C00772"/>
    <n v="61"/>
    <x v="0"/>
    <x v="5"/>
    <x v="6"/>
    <x v="7"/>
    <x v="1"/>
    <d v="2025-10-05T00:00:00"/>
  </r>
  <r>
    <s v="C00773"/>
    <n v="53"/>
    <x v="0"/>
    <x v="0"/>
    <x v="0"/>
    <x v="4"/>
    <x v="2"/>
    <d v="2026-04-07T00:00:00"/>
  </r>
  <r>
    <s v="C00774"/>
    <n v="32"/>
    <x v="1"/>
    <x v="0"/>
    <x v="0"/>
    <x v="0"/>
    <x v="0"/>
    <d v="2023-11-26T00:00:00"/>
  </r>
  <r>
    <s v="C00775"/>
    <n v="60"/>
    <x v="0"/>
    <x v="5"/>
    <x v="6"/>
    <x v="7"/>
    <x v="0"/>
    <d v="2024-10-11T00:00:00"/>
  </r>
  <r>
    <s v="C00776"/>
    <n v="65"/>
    <x v="1"/>
    <x v="0"/>
    <x v="0"/>
    <x v="4"/>
    <x v="0"/>
    <d v="2024-01-26T00:00:00"/>
  </r>
  <r>
    <s v="C00777"/>
    <n v="40"/>
    <x v="0"/>
    <x v="0"/>
    <x v="0"/>
    <x v="8"/>
    <x v="2"/>
    <d v="2024-01-16T00:00:00"/>
  </r>
  <r>
    <s v="C00778"/>
    <n v="23"/>
    <x v="1"/>
    <x v="2"/>
    <x v="2"/>
    <x v="2"/>
    <x v="0"/>
    <d v="2025-01-11T00:00:00"/>
  </r>
  <r>
    <s v="C00779"/>
    <n v="63"/>
    <x v="1"/>
    <x v="2"/>
    <x v="2"/>
    <x v="2"/>
    <x v="0"/>
    <d v="2025-03-30T00:00:00"/>
  </r>
  <r>
    <s v="C00780"/>
    <n v="61"/>
    <x v="1"/>
    <x v="3"/>
    <x v="5"/>
    <x v="6"/>
    <x v="3"/>
    <d v="2024-11-03T00:00:00"/>
  </r>
  <r>
    <s v="C00781"/>
    <n v="60"/>
    <x v="1"/>
    <x v="3"/>
    <x v="5"/>
    <x v="6"/>
    <x v="2"/>
    <d v="2024-05-27T00:00:00"/>
  </r>
  <r>
    <s v="C00782"/>
    <n v="62"/>
    <x v="0"/>
    <x v="3"/>
    <x v="3"/>
    <x v="3"/>
    <x v="0"/>
    <d v="2025-08-06T00:00:00"/>
  </r>
  <r>
    <s v="C00783"/>
    <n v="38"/>
    <x v="1"/>
    <x v="0"/>
    <x v="0"/>
    <x v="8"/>
    <x v="2"/>
    <d v="2026-04-26T00:00:00"/>
  </r>
  <r>
    <s v="C00784"/>
    <n v="40"/>
    <x v="0"/>
    <x v="0"/>
    <x v="0"/>
    <x v="0"/>
    <x v="0"/>
    <d v="2025-07-18T00:00:00"/>
  </r>
  <r>
    <s v="C00785"/>
    <n v="60"/>
    <x v="0"/>
    <x v="0"/>
    <x v="0"/>
    <x v="8"/>
    <x v="0"/>
    <d v="2025-07-01T00:00:00"/>
  </r>
  <r>
    <s v="C00786"/>
    <n v="33"/>
    <x v="0"/>
    <x v="4"/>
    <x v="4"/>
    <x v="5"/>
    <x v="0"/>
    <d v="2024-10-05T00:00:00"/>
  </r>
  <r>
    <s v="C00787"/>
    <n v="64"/>
    <x v="1"/>
    <x v="3"/>
    <x v="3"/>
    <x v="3"/>
    <x v="2"/>
    <d v="2024-03-02T00:00:00"/>
  </r>
  <r>
    <s v="C00788"/>
    <n v="32"/>
    <x v="0"/>
    <x v="0"/>
    <x v="0"/>
    <x v="0"/>
    <x v="2"/>
    <d v="2024-05-16T00:00:00"/>
  </r>
  <r>
    <s v="C00789"/>
    <n v="42"/>
    <x v="1"/>
    <x v="0"/>
    <x v="0"/>
    <x v="9"/>
    <x v="0"/>
    <d v="2024-12-30T00:00:00"/>
  </r>
  <r>
    <s v="C00790"/>
    <n v="53"/>
    <x v="1"/>
    <x v="1"/>
    <x v="1"/>
    <x v="1"/>
    <x v="0"/>
    <d v="2023-03-12T00:00:00"/>
  </r>
  <r>
    <s v="C00791"/>
    <n v="28"/>
    <x v="1"/>
    <x v="0"/>
    <x v="0"/>
    <x v="4"/>
    <x v="0"/>
    <d v="2024-04-22T00:00:00"/>
  </r>
  <r>
    <s v="C00792"/>
    <n v="32"/>
    <x v="1"/>
    <x v="3"/>
    <x v="3"/>
    <x v="3"/>
    <x v="3"/>
    <d v="2026-04-16T00:00:00"/>
  </r>
  <r>
    <s v="C00793"/>
    <n v="21"/>
    <x v="0"/>
    <x v="3"/>
    <x v="3"/>
    <x v="3"/>
    <x v="3"/>
    <d v="2024-04-01T00:00:00"/>
  </r>
  <r>
    <s v="C00794"/>
    <n v="38"/>
    <x v="0"/>
    <x v="3"/>
    <x v="5"/>
    <x v="6"/>
    <x v="0"/>
    <d v="2023-07-08T00:00:00"/>
  </r>
  <r>
    <s v="C00795"/>
    <n v="30"/>
    <x v="0"/>
    <x v="0"/>
    <x v="0"/>
    <x v="4"/>
    <x v="2"/>
    <d v="2023-10-18T00:00:00"/>
  </r>
  <r>
    <s v="C00796"/>
    <n v="39"/>
    <x v="0"/>
    <x v="4"/>
    <x v="4"/>
    <x v="5"/>
    <x v="2"/>
    <d v="2025-07-08T00:00:00"/>
  </r>
  <r>
    <s v="C00797"/>
    <n v="36"/>
    <x v="0"/>
    <x v="1"/>
    <x v="1"/>
    <x v="1"/>
    <x v="0"/>
    <d v="2023-10-19T00:00:00"/>
  </r>
  <r>
    <s v="C00798"/>
    <n v="51"/>
    <x v="0"/>
    <x v="3"/>
    <x v="3"/>
    <x v="3"/>
    <x v="1"/>
    <d v="2025-01-25T00:00:00"/>
  </r>
  <r>
    <s v="C00799"/>
    <n v="31"/>
    <x v="0"/>
    <x v="3"/>
    <x v="5"/>
    <x v="6"/>
    <x v="0"/>
    <d v="2024-01-12T00:00:00"/>
  </r>
  <r>
    <s v="C00800"/>
    <n v="21"/>
    <x v="1"/>
    <x v="4"/>
    <x v="4"/>
    <x v="5"/>
    <x v="0"/>
    <d v="2026-03-25T00:00:00"/>
  </r>
  <r>
    <s v="C00801"/>
    <n v="65"/>
    <x v="1"/>
    <x v="3"/>
    <x v="5"/>
    <x v="6"/>
    <x v="0"/>
    <d v="2024-05-22T00:00:00"/>
  </r>
  <r>
    <s v="C00802"/>
    <n v="63"/>
    <x v="0"/>
    <x v="0"/>
    <x v="0"/>
    <x v="4"/>
    <x v="0"/>
    <d v="2024-06-11T00:00:00"/>
  </r>
  <r>
    <s v="C00803"/>
    <n v="44"/>
    <x v="1"/>
    <x v="3"/>
    <x v="3"/>
    <x v="3"/>
    <x v="3"/>
    <d v="2024-07-12T00:00:00"/>
  </r>
  <r>
    <s v="C00804"/>
    <n v="46"/>
    <x v="0"/>
    <x v="3"/>
    <x v="3"/>
    <x v="3"/>
    <x v="0"/>
    <d v="2026-04-25T00:00:00"/>
  </r>
  <r>
    <s v="C00805"/>
    <n v="64"/>
    <x v="0"/>
    <x v="0"/>
    <x v="0"/>
    <x v="9"/>
    <x v="0"/>
    <d v="2025-11-20T00:00:00"/>
  </r>
  <r>
    <s v="C00806"/>
    <n v="45"/>
    <x v="1"/>
    <x v="2"/>
    <x v="2"/>
    <x v="2"/>
    <x v="0"/>
    <d v="2023-09-17T00:00:00"/>
  </r>
  <r>
    <s v="C00807"/>
    <n v="52"/>
    <x v="1"/>
    <x v="1"/>
    <x v="1"/>
    <x v="1"/>
    <x v="0"/>
    <d v="2024-02-25T00:00:00"/>
  </r>
  <r>
    <s v="C00808"/>
    <n v="25"/>
    <x v="0"/>
    <x v="4"/>
    <x v="4"/>
    <x v="5"/>
    <x v="0"/>
    <d v="2023-10-31T00:00:00"/>
  </r>
  <r>
    <s v="C00809"/>
    <n v="33"/>
    <x v="1"/>
    <x v="0"/>
    <x v="0"/>
    <x v="9"/>
    <x v="0"/>
    <d v="2025-07-30T00:00:00"/>
  </r>
  <r>
    <s v="C00810"/>
    <n v="59"/>
    <x v="1"/>
    <x v="0"/>
    <x v="0"/>
    <x v="4"/>
    <x v="0"/>
    <d v="2025-11-28T00:00:00"/>
  </r>
  <r>
    <s v="C00811"/>
    <n v="53"/>
    <x v="1"/>
    <x v="1"/>
    <x v="1"/>
    <x v="1"/>
    <x v="0"/>
    <d v="2024-06-25T00:00:00"/>
  </r>
  <r>
    <s v="C00812"/>
    <n v="47"/>
    <x v="1"/>
    <x v="5"/>
    <x v="6"/>
    <x v="7"/>
    <x v="0"/>
    <d v="2026-05-11T00:00:00"/>
  </r>
  <r>
    <s v="C00813"/>
    <n v="35"/>
    <x v="1"/>
    <x v="0"/>
    <x v="0"/>
    <x v="4"/>
    <x v="0"/>
    <d v="2025-12-25T00:00:00"/>
  </r>
  <r>
    <s v="C00814"/>
    <n v="19"/>
    <x v="0"/>
    <x v="4"/>
    <x v="4"/>
    <x v="5"/>
    <x v="2"/>
    <d v="2023-04-18T00:00:00"/>
  </r>
  <r>
    <s v="C00815"/>
    <n v="30"/>
    <x v="0"/>
    <x v="4"/>
    <x v="4"/>
    <x v="5"/>
    <x v="0"/>
    <d v="2023-09-25T00:00:00"/>
  </r>
  <r>
    <s v="C00816"/>
    <n v="21"/>
    <x v="0"/>
    <x v="3"/>
    <x v="3"/>
    <x v="3"/>
    <x v="0"/>
    <d v="2023-08-10T00:00:00"/>
  </r>
  <r>
    <s v="C00817"/>
    <n v="43"/>
    <x v="0"/>
    <x v="3"/>
    <x v="3"/>
    <x v="3"/>
    <x v="2"/>
    <d v="2026-01-18T00:00:00"/>
  </r>
  <r>
    <s v="C00818"/>
    <n v="42"/>
    <x v="1"/>
    <x v="0"/>
    <x v="0"/>
    <x v="0"/>
    <x v="0"/>
    <d v="2024-11-23T00:00:00"/>
  </r>
  <r>
    <s v="C00819"/>
    <n v="47"/>
    <x v="0"/>
    <x v="0"/>
    <x v="0"/>
    <x v="4"/>
    <x v="1"/>
    <d v="2023-09-12T00:00:00"/>
  </r>
  <r>
    <s v="C00820"/>
    <n v="28"/>
    <x v="1"/>
    <x v="0"/>
    <x v="0"/>
    <x v="0"/>
    <x v="2"/>
    <d v="2023-09-10T00:00:00"/>
  </r>
  <r>
    <s v="C00821"/>
    <n v="24"/>
    <x v="1"/>
    <x v="5"/>
    <x v="6"/>
    <x v="7"/>
    <x v="0"/>
    <d v="2023-09-14T00:00:00"/>
  </r>
  <r>
    <s v="C00822"/>
    <n v="48"/>
    <x v="1"/>
    <x v="0"/>
    <x v="0"/>
    <x v="4"/>
    <x v="0"/>
    <d v="2024-01-18T00:00:00"/>
  </r>
  <r>
    <s v="C00823"/>
    <n v="61"/>
    <x v="1"/>
    <x v="0"/>
    <x v="0"/>
    <x v="0"/>
    <x v="2"/>
    <d v="2024-03-17T00:00:00"/>
  </r>
  <r>
    <s v="C00824"/>
    <n v="27"/>
    <x v="1"/>
    <x v="0"/>
    <x v="0"/>
    <x v="0"/>
    <x v="2"/>
    <d v="2024-08-21T00:00:00"/>
  </r>
  <r>
    <s v="C00825"/>
    <n v="56"/>
    <x v="0"/>
    <x v="3"/>
    <x v="3"/>
    <x v="3"/>
    <x v="3"/>
    <d v="2026-01-18T00:00:00"/>
  </r>
  <r>
    <s v="C00826"/>
    <n v="30"/>
    <x v="1"/>
    <x v="4"/>
    <x v="4"/>
    <x v="5"/>
    <x v="0"/>
    <d v="2024-01-25T00:00:00"/>
  </r>
  <r>
    <s v="C00827"/>
    <n v="48"/>
    <x v="0"/>
    <x v="0"/>
    <x v="0"/>
    <x v="0"/>
    <x v="0"/>
    <d v="2024-08-04T00:00:00"/>
  </r>
  <r>
    <s v="C00828"/>
    <n v="24"/>
    <x v="1"/>
    <x v="0"/>
    <x v="0"/>
    <x v="0"/>
    <x v="0"/>
    <d v="2025-12-03T00:00:00"/>
  </r>
  <r>
    <s v="C00829"/>
    <n v="59"/>
    <x v="0"/>
    <x v="2"/>
    <x v="2"/>
    <x v="2"/>
    <x v="0"/>
    <d v="2024-08-20T00:00:00"/>
  </r>
  <r>
    <s v="C00830"/>
    <n v="59"/>
    <x v="1"/>
    <x v="0"/>
    <x v="0"/>
    <x v="9"/>
    <x v="0"/>
    <d v="2023-01-19T00:00:00"/>
  </r>
  <r>
    <s v="C00831"/>
    <n v="53"/>
    <x v="1"/>
    <x v="0"/>
    <x v="0"/>
    <x v="8"/>
    <x v="0"/>
    <d v="2026-01-29T00:00:00"/>
  </r>
  <r>
    <s v="C00832"/>
    <n v="37"/>
    <x v="0"/>
    <x v="0"/>
    <x v="0"/>
    <x v="9"/>
    <x v="2"/>
    <d v="2024-08-29T00:00:00"/>
  </r>
  <r>
    <s v="C00833"/>
    <n v="21"/>
    <x v="0"/>
    <x v="0"/>
    <x v="0"/>
    <x v="4"/>
    <x v="0"/>
    <d v="2023-02-02T00:00:00"/>
  </r>
  <r>
    <s v="C00834"/>
    <n v="24"/>
    <x v="1"/>
    <x v="0"/>
    <x v="0"/>
    <x v="8"/>
    <x v="0"/>
    <d v="2026-06-06T00:00:00"/>
  </r>
  <r>
    <s v="C00835"/>
    <n v="18"/>
    <x v="1"/>
    <x v="0"/>
    <x v="0"/>
    <x v="9"/>
    <x v="0"/>
    <d v="2025-05-11T00:00:00"/>
  </r>
  <r>
    <s v="C00836"/>
    <n v="61"/>
    <x v="1"/>
    <x v="0"/>
    <x v="0"/>
    <x v="9"/>
    <x v="1"/>
    <d v="2023-06-04T00:00:00"/>
  </r>
  <r>
    <s v="C00837"/>
    <n v="62"/>
    <x v="1"/>
    <x v="4"/>
    <x v="4"/>
    <x v="5"/>
    <x v="1"/>
    <d v="2025-06-23T00:00:00"/>
  </r>
  <r>
    <s v="C00838"/>
    <n v="59"/>
    <x v="0"/>
    <x v="0"/>
    <x v="0"/>
    <x v="0"/>
    <x v="0"/>
    <d v="2026-06-23T00:00:00"/>
  </r>
  <r>
    <s v="C00839"/>
    <n v="64"/>
    <x v="0"/>
    <x v="3"/>
    <x v="3"/>
    <x v="3"/>
    <x v="1"/>
    <d v="2024-02-09T00:00:00"/>
  </r>
  <r>
    <s v="C00840"/>
    <n v="30"/>
    <x v="0"/>
    <x v="3"/>
    <x v="5"/>
    <x v="6"/>
    <x v="0"/>
    <d v="2025-04-23T00:00:00"/>
  </r>
  <r>
    <s v="C00841"/>
    <n v="39"/>
    <x v="1"/>
    <x v="0"/>
    <x v="0"/>
    <x v="4"/>
    <x v="2"/>
    <d v="2026-03-30T00:00:00"/>
  </r>
  <r>
    <s v="C00842"/>
    <n v="38"/>
    <x v="0"/>
    <x v="3"/>
    <x v="5"/>
    <x v="6"/>
    <x v="2"/>
    <d v="2025-01-16T00:00:00"/>
  </r>
  <r>
    <s v="C00843"/>
    <n v="39"/>
    <x v="1"/>
    <x v="0"/>
    <x v="0"/>
    <x v="8"/>
    <x v="0"/>
    <d v="2026-02-14T00:00:00"/>
  </r>
  <r>
    <s v="C00844"/>
    <n v="45"/>
    <x v="1"/>
    <x v="1"/>
    <x v="1"/>
    <x v="1"/>
    <x v="0"/>
    <d v="2023-09-28T00:00:00"/>
  </r>
  <r>
    <s v="C00845"/>
    <n v="26"/>
    <x v="1"/>
    <x v="0"/>
    <x v="0"/>
    <x v="4"/>
    <x v="2"/>
    <d v="2025-02-08T00:00:00"/>
  </r>
  <r>
    <s v="C00846"/>
    <n v="43"/>
    <x v="1"/>
    <x v="0"/>
    <x v="0"/>
    <x v="9"/>
    <x v="2"/>
    <d v="2023-06-21T00:00:00"/>
  </r>
  <r>
    <s v="C00847"/>
    <n v="26"/>
    <x v="1"/>
    <x v="0"/>
    <x v="0"/>
    <x v="4"/>
    <x v="0"/>
    <d v="2023-10-01T00:00:00"/>
  </r>
  <r>
    <s v="C00848"/>
    <n v="32"/>
    <x v="0"/>
    <x v="1"/>
    <x v="1"/>
    <x v="1"/>
    <x v="2"/>
    <d v="2023-09-16T00:00:00"/>
  </r>
  <r>
    <s v="C00849"/>
    <n v="27"/>
    <x v="1"/>
    <x v="3"/>
    <x v="3"/>
    <x v="3"/>
    <x v="0"/>
    <d v="2026-03-04T00:00:00"/>
  </r>
  <r>
    <s v="C00850"/>
    <n v="41"/>
    <x v="1"/>
    <x v="3"/>
    <x v="3"/>
    <x v="3"/>
    <x v="2"/>
    <d v="2024-02-26T00:00:00"/>
  </r>
  <r>
    <s v="C00851"/>
    <n v="59"/>
    <x v="1"/>
    <x v="0"/>
    <x v="0"/>
    <x v="4"/>
    <x v="3"/>
    <d v="2026-04-24T00:00:00"/>
  </r>
  <r>
    <s v="C00852"/>
    <n v="25"/>
    <x v="1"/>
    <x v="2"/>
    <x v="2"/>
    <x v="2"/>
    <x v="1"/>
    <d v="2023-12-30T00:00:00"/>
  </r>
  <r>
    <s v="C00853"/>
    <n v="41"/>
    <x v="0"/>
    <x v="0"/>
    <x v="0"/>
    <x v="8"/>
    <x v="2"/>
    <d v="2024-01-13T00:00:00"/>
  </r>
  <r>
    <s v="C00854"/>
    <n v="33"/>
    <x v="0"/>
    <x v="4"/>
    <x v="4"/>
    <x v="5"/>
    <x v="0"/>
    <d v="2024-08-02T00:00:00"/>
  </r>
  <r>
    <s v="C00855"/>
    <n v="43"/>
    <x v="1"/>
    <x v="0"/>
    <x v="0"/>
    <x v="8"/>
    <x v="3"/>
    <d v="2025-06-09T00:00:00"/>
  </r>
  <r>
    <s v="C00856"/>
    <n v="44"/>
    <x v="0"/>
    <x v="0"/>
    <x v="0"/>
    <x v="8"/>
    <x v="0"/>
    <d v="2024-12-22T00:00:00"/>
  </r>
  <r>
    <s v="C00857"/>
    <n v="54"/>
    <x v="1"/>
    <x v="0"/>
    <x v="0"/>
    <x v="4"/>
    <x v="2"/>
    <d v="2026-05-04T00:00:00"/>
  </r>
  <r>
    <s v="C00858"/>
    <n v="21"/>
    <x v="1"/>
    <x v="0"/>
    <x v="0"/>
    <x v="9"/>
    <x v="1"/>
    <d v="2025-05-30T00:00:00"/>
  </r>
  <r>
    <s v="C00859"/>
    <n v="41"/>
    <x v="0"/>
    <x v="3"/>
    <x v="3"/>
    <x v="3"/>
    <x v="0"/>
    <d v="2026-01-26T00:00:00"/>
  </r>
  <r>
    <s v="C00860"/>
    <n v="36"/>
    <x v="1"/>
    <x v="0"/>
    <x v="0"/>
    <x v="4"/>
    <x v="1"/>
    <d v="2024-08-27T00:00:00"/>
  </r>
  <r>
    <s v="C00861"/>
    <n v="53"/>
    <x v="0"/>
    <x v="2"/>
    <x v="2"/>
    <x v="2"/>
    <x v="3"/>
    <d v="2023-01-22T00:00:00"/>
  </r>
  <r>
    <s v="C00862"/>
    <n v="56"/>
    <x v="1"/>
    <x v="0"/>
    <x v="0"/>
    <x v="9"/>
    <x v="2"/>
    <d v="2026-04-10T00:00:00"/>
  </r>
  <r>
    <s v="C00863"/>
    <n v="27"/>
    <x v="1"/>
    <x v="3"/>
    <x v="3"/>
    <x v="3"/>
    <x v="2"/>
    <d v="2024-01-18T00:00:00"/>
  </r>
  <r>
    <s v="C00864"/>
    <n v="42"/>
    <x v="1"/>
    <x v="0"/>
    <x v="0"/>
    <x v="9"/>
    <x v="2"/>
    <d v="2023-05-14T00:00:00"/>
  </r>
  <r>
    <s v="C00865"/>
    <n v="35"/>
    <x v="0"/>
    <x v="0"/>
    <x v="0"/>
    <x v="0"/>
    <x v="1"/>
    <d v="2025-11-14T00:00:00"/>
  </r>
  <r>
    <s v="C00866"/>
    <n v="36"/>
    <x v="0"/>
    <x v="3"/>
    <x v="3"/>
    <x v="3"/>
    <x v="0"/>
    <d v="2024-05-17T00:00:00"/>
  </r>
  <r>
    <s v="C00867"/>
    <n v="53"/>
    <x v="1"/>
    <x v="0"/>
    <x v="0"/>
    <x v="4"/>
    <x v="1"/>
    <d v="2026-04-23T00:00:00"/>
  </r>
  <r>
    <s v="C00868"/>
    <n v="27"/>
    <x v="1"/>
    <x v="0"/>
    <x v="0"/>
    <x v="8"/>
    <x v="0"/>
    <d v="2026-01-13T00:00:00"/>
  </r>
  <r>
    <s v="C00869"/>
    <n v="50"/>
    <x v="1"/>
    <x v="4"/>
    <x v="4"/>
    <x v="5"/>
    <x v="0"/>
    <d v="2023-05-24T00:00:00"/>
  </r>
  <r>
    <s v="C00870"/>
    <n v="22"/>
    <x v="0"/>
    <x v="1"/>
    <x v="1"/>
    <x v="1"/>
    <x v="0"/>
    <d v="2023-08-12T00:00:00"/>
  </r>
  <r>
    <s v="C00871"/>
    <n v="64"/>
    <x v="0"/>
    <x v="0"/>
    <x v="0"/>
    <x v="0"/>
    <x v="0"/>
    <d v="2023-08-08T00:00:00"/>
  </r>
  <r>
    <s v="C00872"/>
    <n v="52"/>
    <x v="0"/>
    <x v="0"/>
    <x v="0"/>
    <x v="8"/>
    <x v="1"/>
    <d v="2023-06-28T00:00:00"/>
  </r>
  <r>
    <s v="C00873"/>
    <n v="61"/>
    <x v="1"/>
    <x v="3"/>
    <x v="5"/>
    <x v="6"/>
    <x v="0"/>
    <d v="2024-03-08T00:00:00"/>
  </r>
  <r>
    <s v="C00874"/>
    <n v="51"/>
    <x v="0"/>
    <x v="0"/>
    <x v="0"/>
    <x v="0"/>
    <x v="0"/>
    <d v="2023-09-22T00:00:00"/>
  </r>
  <r>
    <s v="C00875"/>
    <n v="50"/>
    <x v="0"/>
    <x v="0"/>
    <x v="0"/>
    <x v="4"/>
    <x v="3"/>
    <d v="2025-08-11T00:00:00"/>
  </r>
  <r>
    <s v="C00876"/>
    <n v="38"/>
    <x v="1"/>
    <x v="0"/>
    <x v="0"/>
    <x v="4"/>
    <x v="2"/>
    <d v="2024-03-04T00:00:00"/>
  </r>
  <r>
    <s v="C00877"/>
    <n v="34"/>
    <x v="0"/>
    <x v="2"/>
    <x v="2"/>
    <x v="2"/>
    <x v="3"/>
    <d v="2024-02-20T00:00:00"/>
  </r>
  <r>
    <s v="C00878"/>
    <n v="39"/>
    <x v="1"/>
    <x v="3"/>
    <x v="5"/>
    <x v="6"/>
    <x v="0"/>
    <d v="2024-12-27T00:00:00"/>
  </r>
  <r>
    <s v="C00879"/>
    <n v="65"/>
    <x v="1"/>
    <x v="0"/>
    <x v="0"/>
    <x v="4"/>
    <x v="0"/>
    <d v="2023-07-16T00:00:00"/>
  </r>
  <r>
    <s v="C00880"/>
    <n v="54"/>
    <x v="1"/>
    <x v="0"/>
    <x v="0"/>
    <x v="8"/>
    <x v="2"/>
    <d v="2025-12-12T00:00:00"/>
  </r>
  <r>
    <s v="C00881"/>
    <n v="32"/>
    <x v="0"/>
    <x v="0"/>
    <x v="0"/>
    <x v="8"/>
    <x v="0"/>
    <d v="2024-04-24T00:00:00"/>
  </r>
  <r>
    <s v="C00882"/>
    <n v="52"/>
    <x v="0"/>
    <x v="3"/>
    <x v="5"/>
    <x v="6"/>
    <x v="0"/>
    <d v="2026-06-28T00:00:00"/>
  </r>
  <r>
    <s v="C00883"/>
    <n v="45"/>
    <x v="1"/>
    <x v="0"/>
    <x v="0"/>
    <x v="4"/>
    <x v="0"/>
    <d v="2025-06-08T00:00:00"/>
  </r>
  <r>
    <s v="C00884"/>
    <n v="24"/>
    <x v="1"/>
    <x v="0"/>
    <x v="0"/>
    <x v="4"/>
    <x v="0"/>
    <d v="2025-07-13T00:00:00"/>
  </r>
  <r>
    <s v="C00885"/>
    <n v="49"/>
    <x v="1"/>
    <x v="5"/>
    <x v="6"/>
    <x v="7"/>
    <x v="0"/>
    <d v="2023-05-03T00:00:00"/>
  </r>
  <r>
    <s v="C00886"/>
    <n v="28"/>
    <x v="0"/>
    <x v="0"/>
    <x v="0"/>
    <x v="8"/>
    <x v="0"/>
    <d v="2025-02-16T00:00:00"/>
  </r>
  <r>
    <s v="C00887"/>
    <n v="27"/>
    <x v="1"/>
    <x v="3"/>
    <x v="5"/>
    <x v="6"/>
    <x v="0"/>
    <d v="2023-12-14T00:00:00"/>
  </r>
  <r>
    <s v="C00888"/>
    <n v="26"/>
    <x v="1"/>
    <x v="0"/>
    <x v="0"/>
    <x v="8"/>
    <x v="1"/>
    <d v="2023-01-29T00:00:00"/>
  </r>
  <r>
    <s v="C00889"/>
    <n v="31"/>
    <x v="1"/>
    <x v="0"/>
    <x v="0"/>
    <x v="4"/>
    <x v="0"/>
    <d v="2025-09-01T00:00:00"/>
  </r>
  <r>
    <s v="C00890"/>
    <n v="30"/>
    <x v="1"/>
    <x v="0"/>
    <x v="0"/>
    <x v="8"/>
    <x v="2"/>
    <d v="2023-02-04T00:00:00"/>
  </r>
  <r>
    <s v="C00891"/>
    <n v="42"/>
    <x v="1"/>
    <x v="2"/>
    <x v="2"/>
    <x v="2"/>
    <x v="0"/>
    <d v="2024-09-14T00:00:00"/>
  </r>
  <r>
    <s v="C00892"/>
    <n v="19"/>
    <x v="1"/>
    <x v="4"/>
    <x v="4"/>
    <x v="5"/>
    <x v="0"/>
    <d v="2024-08-11T00:00:00"/>
  </r>
  <r>
    <s v="C00893"/>
    <n v="52"/>
    <x v="0"/>
    <x v="5"/>
    <x v="6"/>
    <x v="7"/>
    <x v="2"/>
    <d v="2026-03-16T00:00:00"/>
  </r>
  <r>
    <s v="C00894"/>
    <n v="24"/>
    <x v="1"/>
    <x v="0"/>
    <x v="0"/>
    <x v="0"/>
    <x v="0"/>
    <d v="2025-12-26T00:00:00"/>
  </r>
  <r>
    <s v="C00895"/>
    <n v="38"/>
    <x v="0"/>
    <x v="3"/>
    <x v="5"/>
    <x v="6"/>
    <x v="1"/>
    <d v="2025-06-22T00:00:00"/>
  </r>
  <r>
    <s v="C00896"/>
    <n v="35"/>
    <x v="0"/>
    <x v="0"/>
    <x v="0"/>
    <x v="8"/>
    <x v="0"/>
    <d v="2024-06-03T00:00:00"/>
  </r>
  <r>
    <s v="C00897"/>
    <n v="20"/>
    <x v="0"/>
    <x v="0"/>
    <x v="0"/>
    <x v="0"/>
    <x v="0"/>
    <d v="2023-05-02T00:00:00"/>
  </r>
  <r>
    <s v="C00898"/>
    <n v="59"/>
    <x v="0"/>
    <x v="4"/>
    <x v="4"/>
    <x v="5"/>
    <x v="0"/>
    <d v="2023-12-06T00:00:00"/>
  </r>
  <r>
    <s v="C00899"/>
    <n v="56"/>
    <x v="0"/>
    <x v="0"/>
    <x v="0"/>
    <x v="4"/>
    <x v="2"/>
    <d v="2023-06-24T00:00:00"/>
  </r>
  <r>
    <s v="C00900"/>
    <n v="58"/>
    <x v="0"/>
    <x v="0"/>
    <x v="0"/>
    <x v="4"/>
    <x v="0"/>
    <d v="2024-08-19T00:00:00"/>
  </r>
  <r>
    <s v="C00901"/>
    <n v="28"/>
    <x v="1"/>
    <x v="0"/>
    <x v="0"/>
    <x v="8"/>
    <x v="0"/>
    <d v="2024-03-26T00:00:00"/>
  </r>
  <r>
    <s v="C00902"/>
    <n v="56"/>
    <x v="1"/>
    <x v="0"/>
    <x v="0"/>
    <x v="4"/>
    <x v="0"/>
    <d v="2024-07-10T00:00:00"/>
  </r>
  <r>
    <s v="C00903"/>
    <n v="41"/>
    <x v="0"/>
    <x v="0"/>
    <x v="0"/>
    <x v="8"/>
    <x v="0"/>
    <d v="2026-03-05T00:00:00"/>
  </r>
  <r>
    <s v="C00904"/>
    <n v="63"/>
    <x v="1"/>
    <x v="3"/>
    <x v="3"/>
    <x v="3"/>
    <x v="0"/>
    <d v="2025-11-05T00:00:00"/>
  </r>
  <r>
    <s v="C00905"/>
    <n v="36"/>
    <x v="1"/>
    <x v="0"/>
    <x v="0"/>
    <x v="9"/>
    <x v="0"/>
    <d v="2026-05-03T00:00:00"/>
  </r>
  <r>
    <s v="C00906"/>
    <n v="21"/>
    <x v="0"/>
    <x v="4"/>
    <x v="4"/>
    <x v="5"/>
    <x v="0"/>
    <d v="2023-01-09T00:00:00"/>
  </r>
  <r>
    <s v="C00907"/>
    <n v="43"/>
    <x v="0"/>
    <x v="5"/>
    <x v="6"/>
    <x v="7"/>
    <x v="1"/>
    <d v="2023-11-30T00:00:00"/>
  </r>
  <r>
    <s v="C00908"/>
    <n v="55"/>
    <x v="1"/>
    <x v="0"/>
    <x v="0"/>
    <x v="0"/>
    <x v="0"/>
    <d v="2025-10-13T00:00:00"/>
  </r>
  <r>
    <s v="C00909"/>
    <n v="59"/>
    <x v="1"/>
    <x v="0"/>
    <x v="0"/>
    <x v="8"/>
    <x v="0"/>
    <d v="2023-11-23T00:00:00"/>
  </r>
  <r>
    <s v="C00910"/>
    <n v="49"/>
    <x v="1"/>
    <x v="0"/>
    <x v="0"/>
    <x v="0"/>
    <x v="2"/>
    <d v="2023-01-15T00:00:00"/>
  </r>
  <r>
    <s v="C00911"/>
    <n v="56"/>
    <x v="0"/>
    <x v="3"/>
    <x v="3"/>
    <x v="3"/>
    <x v="1"/>
    <d v="2025-04-18T00:00:00"/>
  </r>
  <r>
    <s v="C00912"/>
    <n v="62"/>
    <x v="0"/>
    <x v="0"/>
    <x v="0"/>
    <x v="8"/>
    <x v="0"/>
    <d v="2023-08-14T00:00:00"/>
  </r>
  <r>
    <s v="C00913"/>
    <n v="63"/>
    <x v="0"/>
    <x v="3"/>
    <x v="5"/>
    <x v="6"/>
    <x v="0"/>
    <d v="2023-04-23T00:00:00"/>
  </r>
  <r>
    <s v="C00914"/>
    <n v="53"/>
    <x v="0"/>
    <x v="0"/>
    <x v="0"/>
    <x v="0"/>
    <x v="2"/>
    <d v="2023-01-01T00:00:00"/>
  </r>
  <r>
    <s v="C00915"/>
    <n v="57"/>
    <x v="0"/>
    <x v="3"/>
    <x v="3"/>
    <x v="3"/>
    <x v="0"/>
    <d v="2023-09-23T00:00:00"/>
  </r>
  <r>
    <s v="C00916"/>
    <n v="54"/>
    <x v="0"/>
    <x v="0"/>
    <x v="0"/>
    <x v="9"/>
    <x v="0"/>
    <d v="2026-05-16T00:00:00"/>
  </r>
  <r>
    <s v="C00917"/>
    <n v="50"/>
    <x v="1"/>
    <x v="0"/>
    <x v="0"/>
    <x v="0"/>
    <x v="2"/>
    <d v="2025-08-09T00:00:00"/>
  </r>
  <r>
    <s v="C00918"/>
    <n v="53"/>
    <x v="1"/>
    <x v="1"/>
    <x v="1"/>
    <x v="1"/>
    <x v="2"/>
    <d v="2023-11-02T00:00:00"/>
  </r>
  <r>
    <s v="C00919"/>
    <n v="20"/>
    <x v="0"/>
    <x v="2"/>
    <x v="2"/>
    <x v="2"/>
    <x v="0"/>
    <d v="2023-01-12T00:00:00"/>
  </r>
  <r>
    <s v="C00920"/>
    <n v="26"/>
    <x v="1"/>
    <x v="0"/>
    <x v="0"/>
    <x v="4"/>
    <x v="0"/>
    <d v="2025-07-25T00:00:00"/>
  </r>
  <r>
    <s v="C00921"/>
    <n v="25"/>
    <x v="0"/>
    <x v="4"/>
    <x v="4"/>
    <x v="5"/>
    <x v="2"/>
    <d v="2024-02-24T00:00:00"/>
  </r>
  <r>
    <s v="C00922"/>
    <n v="50"/>
    <x v="0"/>
    <x v="0"/>
    <x v="0"/>
    <x v="9"/>
    <x v="3"/>
    <d v="2025-06-07T00:00:00"/>
  </r>
  <r>
    <s v="C00923"/>
    <n v="23"/>
    <x v="0"/>
    <x v="4"/>
    <x v="4"/>
    <x v="5"/>
    <x v="2"/>
    <d v="2023-06-20T00:00:00"/>
  </r>
  <r>
    <s v="C00924"/>
    <n v="58"/>
    <x v="1"/>
    <x v="5"/>
    <x v="6"/>
    <x v="7"/>
    <x v="0"/>
    <d v="2023-05-14T00:00:00"/>
  </r>
  <r>
    <s v="C00925"/>
    <n v="56"/>
    <x v="1"/>
    <x v="0"/>
    <x v="0"/>
    <x v="9"/>
    <x v="0"/>
    <d v="2025-08-22T00:00:00"/>
  </r>
  <r>
    <s v="C00926"/>
    <n v="21"/>
    <x v="1"/>
    <x v="0"/>
    <x v="0"/>
    <x v="4"/>
    <x v="0"/>
    <d v="2025-11-14T00:00:00"/>
  </r>
  <r>
    <s v="C00927"/>
    <n v="30"/>
    <x v="0"/>
    <x v="0"/>
    <x v="0"/>
    <x v="8"/>
    <x v="2"/>
    <d v="2026-04-28T00:00:00"/>
  </r>
  <r>
    <s v="C00928"/>
    <n v="19"/>
    <x v="1"/>
    <x v="3"/>
    <x v="3"/>
    <x v="3"/>
    <x v="0"/>
    <d v="2026-03-10T00:00:00"/>
  </r>
  <r>
    <s v="C00929"/>
    <n v="22"/>
    <x v="0"/>
    <x v="3"/>
    <x v="5"/>
    <x v="6"/>
    <x v="0"/>
    <d v="2024-10-19T00:00:00"/>
  </r>
  <r>
    <s v="C00930"/>
    <n v="61"/>
    <x v="1"/>
    <x v="0"/>
    <x v="0"/>
    <x v="8"/>
    <x v="2"/>
    <d v="2026-01-20T00:00:00"/>
  </r>
  <r>
    <s v="C00931"/>
    <n v="44"/>
    <x v="1"/>
    <x v="0"/>
    <x v="0"/>
    <x v="4"/>
    <x v="0"/>
    <d v="2023-06-28T00:00:00"/>
  </r>
  <r>
    <s v="C00932"/>
    <n v="49"/>
    <x v="0"/>
    <x v="5"/>
    <x v="6"/>
    <x v="7"/>
    <x v="2"/>
    <d v="2025-12-15T00:00:00"/>
  </r>
  <r>
    <s v="C00933"/>
    <n v="38"/>
    <x v="1"/>
    <x v="1"/>
    <x v="1"/>
    <x v="1"/>
    <x v="0"/>
    <d v="2026-03-24T00:00:00"/>
  </r>
  <r>
    <s v="C00934"/>
    <n v="25"/>
    <x v="1"/>
    <x v="3"/>
    <x v="3"/>
    <x v="3"/>
    <x v="0"/>
    <d v="2023-04-21T00:00:00"/>
  </r>
  <r>
    <s v="C00935"/>
    <n v="55"/>
    <x v="0"/>
    <x v="0"/>
    <x v="0"/>
    <x v="8"/>
    <x v="0"/>
    <d v="2023-05-17T00:00:00"/>
  </r>
  <r>
    <s v="C00936"/>
    <n v="25"/>
    <x v="1"/>
    <x v="0"/>
    <x v="0"/>
    <x v="8"/>
    <x v="2"/>
    <d v="2023-08-20T00:00:00"/>
  </r>
  <r>
    <s v="C00937"/>
    <n v="20"/>
    <x v="0"/>
    <x v="0"/>
    <x v="0"/>
    <x v="4"/>
    <x v="0"/>
    <d v="2025-09-18T00:00:00"/>
  </r>
  <r>
    <s v="C00938"/>
    <n v="61"/>
    <x v="1"/>
    <x v="4"/>
    <x v="4"/>
    <x v="5"/>
    <x v="0"/>
    <d v="2024-04-12T00:00:00"/>
  </r>
  <r>
    <s v="C00939"/>
    <n v="20"/>
    <x v="1"/>
    <x v="0"/>
    <x v="0"/>
    <x v="4"/>
    <x v="3"/>
    <d v="2025-01-01T00:00:00"/>
  </r>
  <r>
    <s v="C00940"/>
    <n v="39"/>
    <x v="1"/>
    <x v="3"/>
    <x v="3"/>
    <x v="3"/>
    <x v="0"/>
    <d v="2024-04-25T00:00:00"/>
  </r>
  <r>
    <s v="C00941"/>
    <n v="23"/>
    <x v="1"/>
    <x v="0"/>
    <x v="0"/>
    <x v="8"/>
    <x v="0"/>
    <d v="2025-12-27T00:00:00"/>
  </r>
  <r>
    <s v="C00942"/>
    <n v="19"/>
    <x v="1"/>
    <x v="3"/>
    <x v="3"/>
    <x v="3"/>
    <x v="0"/>
    <d v="2025-03-24T00:00:00"/>
  </r>
  <r>
    <s v="C00943"/>
    <n v="40"/>
    <x v="0"/>
    <x v="3"/>
    <x v="5"/>
    <x v="6"/>
    <x v="0"/>
    <d v="2026-06-26T00:00:00"/>
  </r>
  <r>
    <s v="C00944"/>
    <n v="61"/>
    <x v="1"/>
    <x v="5"/>
    <x v="6"/>
    <x v="7"/>
    <x v="0"/>
    <d v="2025-09-20T00:00:00"/>
  </r>
  <r>
    <s v="C00945"/>
    <n v="19"/>
    <x v="0"/>
    <x v="0"/>
    <x v="0"/>
    <x v="8"/>
    <x v="0"/>
    <d v="2023-11-19T00:00:00"/>
  </r>
  <r>
    <s v="C00946"/>
    <n v="55"/>
    <x v="1"/>
    <x v="0"/>
    <x v="0"/>
    <x v="4"/>
    <x v="0"/>
    <d v="2025-07-10T00:00:00"/>
  </r>
  <r>
    <s v="C00947"/>
    <n v="34"/>
    <x v="0"/>
    <x v="0"/>
    <x v="0"/>
    <x v="4"/>
    <x v="0"/>
    <d v="2025-06-22T00:00:00"/>
  </r>
  <r>
    <s v="C00948"/>
    <n v="52"/>
    <x v="0"/>
    <x v="4"/>
    <x v="4"/>
    <x v="5"/>
    <x v="0"/>
    <d v="2024-08-28T00:00:00"/>
  </r>
  <r>
    <s v="C00949"/>
    <n v="51"/>
    <x v="1"/>
    <x v="4"/>
    <x v="4"/>
    <x v="5"/>
    <x v="0"/>
    <d v="2024-03-04T00:00:00"/>
  </r>
  <r>
    <s v="C00950"/>
    <n v="40"/>
    <x v="0"/>
    <x v="3"/>
    <x v="3"/>
    <x v="3"/>
    <x v="0"/>
    <d v="2023-05-28T00:00:00"/>
  </r>
  <r>
    <s v="C00951"/>
    <n v="47"/>
    <x v="1"/>
    <x v="3"/>
    <x v="3"/>
    <x v="3"/>
    <x v="0"/>
    <d v="2026-02-15T00:00:00"/>
  </r>
  <r>
    <s v="C00952"/>
    <n v="25"/>
    <x v="0"/>
    <x v="3"/>
    <x v="5"/>
    <x v="6"/>
    <x v="0"/>
    <d v="2025-04-29T00:00:00"/>
  </r>
  <r>
    <s v="C00953"/>
    <n v="39"/>
    <x v="0"/>
    <x v="0"/>
    <x v="0"/>
    <x v="8"/>
    <x v="0"/>
    <d v="2024-01-02T00:00:00"/>
  </r>
  <r>
    <s v="C00954"/>
    <n v="61"/>
    <x v="1"/>
    <x v="4"/>
    <x v="4"/>
    <x v="5"/>
    <x v="0"/>
    <d v="2025-04-29T00:00:00"/>
  </r>
  <r>
    <s v="C00955"/>
    <n v="53"/>
    <x v="0"/>
    <x v="0"/>
    <x v="0"/>
    <x v="9"/>
    <x v="2"/>
    <d v="2025-12-25T00:00:00"/>
  </r>
  <r>
    <s v="C00956"/>
    <n v="22"/>
    <x v="0"/>
    <x v="0"/>
    <x v="0"/>
    <x v="0"/>
    <x v="0"/>
    <d v="2025-03-23T00:00:00"/>
  </r>
  <r>
    <s v="C00957"/>
    <n v="30"/>
    <x v="1"/>
    <x v="3"/>
    <x v="3"/>
    <x v="3"/>
    <x v="2"/>
    <d v="2023-06-24T00:00:00"/>
  </r>
  <r>
    <s v="C00958"/>
    <n v="46"/>
    <x v="0"/>
    <x v="0"/>
    <x v="0"/>
    <x v="4"/>
    <x v="3"/>
    <d v="2024-08-10T00:00:00"/>
  </r>
  <r>
    <s v="C00959"/>
    <n v="48"/>
    <x v="1"/>
    <x v="0"/>
    <x v="0"/>
    <x v="8"/>
    <x v="0"/>
    <d v="2024-05-09T00:00:00"/>
  </r>
  <r>
    <s v="C00960"/>
    <n v="64"/>
    <x v="0"/>
    <x v="2"/>
    <x v="2"/>
    <x v="2"/>
    <x v="0"/>
    <d v="2025-08-30T00:00:00"/>
  </r>
  <r>
    <s v="C00961"/>
    <n v="33"/>
    <x v="0"/>
    <x v="0"/>
    <x v="0"/>
    <x v="4"/>
    <x v="0"/>
    <d v="2026-02-11T00:00:00"/>
  </r>
  <r>
    <s v="C00962"/>
    <n v="59"/>
    <x v="1"/>
    <x v="3"/>
    <x v="3"/>
    <x v="3"/>
    <x v="2"/>
    <d v="2026-02-08T00:00:00"/>
  </r>
  <r>
    <s v="C00963"/>
    <n v="47"/>
    <x v="0"/>
    <x v="0"/>
    <x v="0"/>
    <x v="8"/>
    <x v="0"/>
    <d v="2026-03-16T00:00:00"/>
  </r>
  <r>
    <s v="C00964"/>
    <n v="33"/>
    <x v="0"/>
    <x v="0"/>
    <x v="0"/>
    <x v="0"/>
    <x v="1"/>
    <d v="2023-02-04T00:00:00"/>
  </r>
  <r>
    <s v="C00965"/>
    <n v="29"/>
    <x v="0"/>
    <x v="0"/>
    <x v="0"/>
    <x v="0"/>
    <x v="0"/>
    <d v="2025-09-25T00:00:00"/>
  </r>
  <r>
    <s v="C00966"/>
    <n v="34"/>
    <x v="0"/>
    <x v="0"/>
    <x v="0"/>
    <x v="0"/>
    <x v="2"/>
    <d v="2024-06-21T00:00:00"/>
  </r>
  <r>
    <s v="C00967"/>
    <n v="33"/>
    <x v="1"/>
    <x v="2"/>
    <x v="2"/>
    <x v="2"/>
    <x v="2"/>
    <d v="2025-01-19T00:00:00"/>
  </r>
  <r>
    <s v="C00968"/>
    <n v="29"/>
    <x v="0"/>
    <x v="0"/>
    <x v="0"/>
    <x v="0"/>
    <x v="0"/>
    <d v="2025-11-03T00:00:00"/>
  </r>
  <r>
    <s v="C00969"/>
    <n v="25"/>
    <x v="1"/>
    <x v="3"/>
    <x v="3"/>
    <x v="3"/>
    <x v="0"/>
    <d v="2024-01-09T00:00:00"/>
  </r>
  <r>
    <s v="C00970"/>
    <n v="37"/>
    <x v="1"/>
    <x v="0"/>
    <x v="0"/>
    <x v="9"/>
    <x v="0"/>
    <d v="2024-07-10T00:00:00"/>
  </r>
  <r>
    <s v="C00971"/>
    <n v="20"/>
    <x v="0"/>
    <x v="3"/>
    <x v="5"/>
    <x v="6"/>
    <x v="0"/>
    <d v="2023-08-21T00:00:00"/>
  </r>
  <r>
    <s v="C00972"/>
    <n v="33"/>
    <x v="1"/>
    <x v="1"/>
    <x v="1"/>
    <x v="1"/>
    <x v="2"/>
    <d v="2024-12-05T00:00:00"/>
  </r>
  <r>
    <s v="C00973"/>
    <n v="47"/>
    <x v="0"/>
    <x v="2"/>
    <x v="2"/>
    <x v="2"/>
    <x v="0"/>
    <d v="2024-07-16T00:00:00"/>
  </r>
  <r>
    <s v="C00974"/>
    <n v="62"/>
    <x v="1"/>
    <x v="0"/>
    <x v="0"/>
    <x v="8"/>
    <x v="0"/>
    <d v="2025-07-27T00:00:00"/>
  </r>
  <r>
    <s v="C00975"/>
    <n v="40"/>
    <x v="0"/>
    <x v="0"/>
    <x v="0"/>
    <x v="4"/>
    <x v="1"/>
    <d v="2025-06-05T00:00:00"/>
  </r>
  <r>
    <s v="C00976"/>
    <n v="45"/>
    <x v="1"/>
    <x v="0"/>
    <x v="0"/>
    <x v="8"/>
    <x v="2"/>
    <d v="2024-12-26T00:00:00"/>
  </r>
  <r>
    <s v="C00977"/>
    <n v="57"/>
    <x v="1"/>
    <x v="3"/>
    <x v="3"/>
    <x v="3"/>
    <x v="2"/>
    <d v="2023-03-17T00:00:00"/>
  </r>
  <r>
    <s v="C00978"/>
    <n v="22"/>
    <x v="0"/>
    <x v="0"/>
    <x v="0"/>
    <x v="4"/>
    <x v="0"/>
    <d v="2024-03-14T00:00:00"/>
  </r>
  <r>
    <s v="C00979"/>
    <n v="37"/>
    <x v="1"/>
    <x v="0"/>
    <x v="0"/>
    <x v="9"/>
    <x v="2"/>
    <d v="2024-11-29T00:00:00"/>
  </r>
  <r>
    <s v="C00980"/>
    <n v="57"/>
    <x v="1"/>
    <x v="3"/>
    <x v="3"/>
    <x v="3"/>
    <x v="0"/>
    <d v="2025-07-03T00:00:00"/>
  </r>
  <r>
    <s v="C00981"/>
    <n v="61"/>
    <x v="0"/>
    <x v="0"/>
    <x v="0"/>
    <x v="0"/>
    <x v="0"/>
    <d v="2025-06-09T00:00:00"/>
  </r>
  <r>
    <s v="C00982"/>
    <n v="18"/>
    <x v="0"/>
    <x v="2"/>
    <x v="2"/>
    <x v="2"/>
    <x v="0"/>
    <d v="2024-11-22T00:00:00"/>
  </r>
  <r>
    <s v="C00983"/>
    <n v="47"/>
    <x v="1"/>
    <x v="0"/>
    <x v="0"/>
    <x v="4"/>
    <x v="1"/>
    <d v="2023-09-10T00:00:00"/>
  </r>
  <r>
    <s v="C00984"/>
    <n v="38"/>
    <x v="1"/>
    <x v="0"/>
    <x v="0"/>
    <x v="4"/>
    <x v="0"/>
    <d v="2026-02-23T00:00:00"/>
  </r>
  <r>
    <s v="C00985"/>
    <n v="37"/>
    <x v="1"/>
    <x v="2"/>
    <x v="2"/>
    <x v="2"/>
    <x v="2"/>
    <d v="2026-04-15T00:00:00"/>
  </r>
  <r>
    <s v="C00986"/>
    <n v="23"/>
    <x v="1"/>
    <x v="0"/>
    <x v="0"/>
    <x v="9"/>
    <x v="1"/>
    <d v="2025-11-26T00:00:00"/>
  </r>
  <r>
    <s v="C00987"/>
    <n v="39"/>
    <x v="1"/>
    <x v="3"/>
    <x v="5"/>
    <x v="6"/>
    <x v="0"/>
    <d v="2024-02-14T00:00:00"/>
  </r>
  <r>
    <s v="C00988"/>
    <n v="35"/>
    <x v="1"/>
    <x v="0"/>
    <x v="0"/>
    <x v="9"/>
    <x v="0"/>
    <d v="2023-05-07T00:00:00"/>
  </r>
  <r>
    <s v="C00989"/>
    <n v="25"/>
    <x v="0"/>
    <x v="0"/>
    <x v="0"/>
    <x v="8"/>
    <x v="0"/>
    <d v="2026-04-06T00:00:00"/>
  </r>
  <r>
    <s v="C00990"/>
    <n v="56"/>
    <x v="0"/>
    <x v="5"/>
    <x v="6"/>
    <x v="7"/>
    <x v="2"/>
    <d v="2024-08-14T00:00:00"/>
  </r>
  <r>
    <s v="C00991"/>
    <n v="49"/>
    <x v="1"/>
    <x v="5"/>
    <x v="6"/>
    <x v="7"/>
    <x v="0"/>
    <d v="2023-10-21T00:00:00"/>
  </r>
  <r>
    <s v="C00992"/>
    <n v="50"/>
    <x v="1"/>
    <x v="3"/>
    <x v="5"/>
    <x v="6"/>
    <x v="0"/>
    <d v="2025-10-16T00:00:00"/>
  </r>
  <r>
    <s v="C00993"/>
    <n v="33"/>
    <x v="0"/>
    <x v="0"/>
    <x v="0"/>
    <x v="8"/>
    <x v="2"/>
    <d v="2023-11-06T00:00:00"/>
  </r>
  <r>
    <s v="C00994"/>
    <n v="29"/>
    <x v="0"/>
    <x v="3"/>
    <x v="3"/>
    <x v="3"/>
    <x v="0"/>
    <d v="2024-10-23T00:00:00"/>
  </r>
  <r>
    <s v="C00995"/>
    <n v="55"/>
    <x v="1"/>
    <x v="0"/>
    <x v="0"/>
    <x v="0"/>
    <x v="0"/>
    <d v="2024-06-11T00:00:00"/>
  </r>
  <r>
    <s v="C00996"/>
    <n v="51"/>
    <x v="1"/>
    <x v="0"/>
    <x v="0"/>
    <x v="4"/>
    <x v="0"/>
    <d v="2024-06-23T00:00:00"/>
  </r>
  <r>
    <s v="C00997"/>
    <n v="31"/>
    <x v="0"/>
    <x v="4"/>
    <x v="4"/>
    <x v="5"/>
    <x v="0"/>
    <d v="2024-02-23T00:00:00"/>
  </r>
  <r>
    <s v="C00998"/>
    <n v="53"/>
    <x v="0"/>
    <x v="0"/>
    <x v="0"/>
    <x v="4"/>
    <x v="3"/>
    <d v="2024-03-19T00:00:00"/>
  </r>
  <r>
    <s v="C00999"/>
    <n v="50"/>
    <x v="0"/>
    <x v="1"/>
    <x v="1"/>
    <x v="1"/>
    <x v="2"/>
    <d v="2024-11-15T00:00:00"/>
  </r>
  <r>
    <s v="C01000"/>
    <n v="40"/>
    <x v="0"/>
    <x v="0"/>
    <x v="0"/>
    <x v="9"/>
    <x v="0"/>
    <d v="2025-04-19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004">
  <r>
    <x v="0"/>
  </r>
  <r>
    <x v="1"/>
  </r>
  <r>
    <x v="2"/>
  </r>
  <r>
    <x v="3"/>
  </r>
  <r>
    <x v="4"/>
  </r>
  <r>
    <x v="3"/>
  </r>
  <r>
    <x v="3"/>
  </r>
  <r>
    <x v="4"/>
  </r>
  <r>
    <x v="2"/>
  </r>
  <r>
    <x v="2"/>
  </r>
  <r>
    <x v="1"/>
  </r>
  <r>
    <x v="1"/>
  </r>
  <r>
    <x v="3"/>
  </r>
  <r>
    <x v="0"/>
  </r>
  <r>
    <x v="1"/>
  </r>
  <r>
    <x v="1"/>
  </r>
  <r>
    <x v="2"/>
  </r>
  <r>
    <x v="2"/>
  </r>
  <r>
    <x v="3"/>
  </r>
  <r>
    <x v="1"/>
  </r>
  <r>
    <x v="1"/>
  </r>
  <r>
    <x v="4"/>
  </r>
  <r>
    <x v="1"/>
  </r>
  <r>
    <x v="0"/>
  </r>
  <r>
    <x v="3"/>
  </r>
  <r>
    <x v="1"/>
  </r>
  <r>
    <x v="1"/>
  </r>
  <r>
    <x v="0"/>
  </r>
  <r>
    <x v="2"/>
  </r>
  <r>
    <x v="4"/>
  </r>
  <r>
    <x v="3"/>
  </r>
  <r>
    <x v="3"/>
  </r>
  <r>
    <x v="0"/>
  </r>
  <r>
    <x v="0"/>
  </r>
  <r>
    <x v="2"/>
  </r>
  <r>
    <x v="1"/>
  </r>
  <r>
    <x v="3"/>
  </r>
  <r>
    <x v="2"/>
  </r>
  <r>
    <x v="3"/>
  </r>
  <r>
    <x v="1"/>
  </r>
  <r>
    <x v="4"/>
  </r>
  <r>
    <x v="1"/>
  </r>
  <r>
    <x v="4"/>
  </r>
  <r>
    <x v="2"/>
  </r>
  <r>
    <x v="2"/>
  </r>
  <r>
    <x v="0"/>
  </r>
  <r>
    <x v="3"/>
  </r>
  <r>
    <x v="1"/>
  </r>
  <r>
    <x v="0"/>
  </r>
  <r>
    <x v="4"/>
  </r>
  <r>
    <x v="2"/>
  </r>
  <r>
    <x v="0"/>
  </r>
  <r>
    <x v="0"/>
  </r>
  <r>
    <x v="2"/>
  </r>
  <r>
    <x v="0"/>
  </r>
  <r>
    <x v="3"/>
  </r>
  <r>
    <x v="3"/>
  </r>
  <r>
    <x v="3"/>
  </r>
  <r>
    <x v="2"/>
  </r>
  <r>
    <x v="0"/>
  </r>
  <r>
    <x v="3"/>
  </r>
  <r>
    <x v="2"/>
  </r>
  <r>
    <x v="3"/>
  </r>
  <r>
    <x v="2"/>
  </r>
  <r>
    <x v="3"/>
  </r>
  <r>
    <x v="2"/>
  </r>
  <r>
    <x v="0"/>
  </r>
  <r>
    <x v="0"/>
  </r>
  <r>
    <x v="0"/>
  </r>
  <r>
    <x v="1"/>
  </r>
  <r>
    <x v="3"/>
  </r>
  <r>
    <x v="0"/>
  </r>
  <r>
    <x v="1"/>
  </r>
  <r>
    <x v="3"/>
  </r>
  <r>
    <x v="1"/>
  </r>
  <r>
    <x v="3"/>
  </r>
  <r>
    <x v="3"/>
  </r>
  <r>
    <x v="1"/>
  </r>
  <r>
    <x v="2"/>
  </r>
  <r>
    <x v="3"/>
  </r>
  <r>
    <x v="2"/>
  </r>
  <r>
    <x v="3"/>
  </r>
  <r>
    <x v="2"/>
  </r>
  <r>
    <x v="0"/>
  </r>
  <r>
    <x v="1"/>
  </r>
  <r>
    <x v="1"/>
  </r>
  <r>
    <x v="3"/>
  </r>
  <r>
    <x v="4"/>
  </r>
  <r>
    <x v="0"/>
  </r>
  <r>
    <x v="3"/>
  </r>
  <r>
    <x v="1"/>
  </r>
  <r>
    <x v="1"/>
  </r>
  <r>
    <x v="1"/>
  </r>
  <r>
    <x v="2"/>
  </r>
  <r>
    <x v="3"/>
  </r>
  <r>
    <x v="1"/>
  </r>
  <r>
    <x v="0"/>
  </r>
  <r>
    <x v="0"/>
  </r>
  <r>
    <x v="0"/>
  </r>
  <r>
    <x v="1"/>
  </r>
  <r>
    <x v="3"/>
  </r>
  <r>
    <x v="0"/>
  </r>
  <r>
    <x v="2"/>
  </r>
  <r>
    <x v="0"/>
  </r>
  <r>
    <x v="1"/>
  </r>
  <r>
    <x v="2"/>
  </r>
  <r>
    <x v="0"/>
  </r>
  <r>
    <x v="3"/>
  </r>
  <r>
    <x v="2"/>
  </r>
  <r>
    <x v="3"/>
  </r>
  <r>
    <x v="2"/>
  </r>
  <r>
    <x v="3"/>
  </r>
  <r>
    <x v="3"/>
  </r>
  <r>
    <x v="1"/>
  </r>
  <r>
    <x v="1"/>
  </r>
  <r>
    <x v="0"/>
  </r>
  <r>
    <x v="2"/>
  </r>
  <r>
    <x v="4"/>
  </r>
  <r>
    <x v="0"/>
  </r>
  <r>
    <x v="2"/>
  </r>
  <r>
    <x v="1"/>
  </r>
  <r>
    <x v="2"/>
  </r>
  <r>
    <x v="0"/>
  </r>
  <r>
    <x v="3"/>
  </r>
  <r>
    <x v="3"/>
  </r>
  <r>
    <x v="1"/>
  </r>
  <r>
    <x v="3"/>
  </r>
  <r>
    <x v="2"/>
  </r>
  <r>
    <x v="4"/>
  </r>
  <r>
    <x v="4"/>
  </r>
  <r>
    <x v="0"/>
  </r>
  <r>
    <x v="3"/>
  </r>
  <r>
    <x v="2"/>
  </r>
  <r>
    <x v="1"/>
  </r>
  <r>
    <x v="2"/>
  </r>
  <r>
    <x v="2"/>
  </r>
  <r>
    <x v="0"/>
  </r>
  <r>
    <x v="2"/>
  </r>
  <r>
    <x v="2"/>
  </r>
  <r>
    <x v="3"/>
  </r>
  <r>
    <x v="2"/>
  </r>
  <r>
    <x v="2"/>
  </r>
  <r>
    <x v="2"/>
  </r>
  <r>
    <x v="2"/>
  </r>
  <r>
    <x v="1"/>
  </r>
  <r>
    <x v="1"/>
  </r>
  <r>
    <x v="3"/>
  </r>
  <r>
    <x v="0"/>
  </r>
  <r>
    <x v="2"/>
  </r>
  <r>
    <x v="2"/>
  </r>
  <r>
    <x v="2"/>
  </r>
  <r>
    <x v="0"/>
  </r>
  <r>
    <x v="1"/>
  </r>
  <r>
    <x v="0"/>
  </r>
  <r>
    <x v="3"/>
  </r>
  <r>
    <x v="2"/>
  </r>
  <r>
    <x v="1"/>
  </r>
  <r>
    <x v="3"/>
  </r>
  <r>
    <x v="1"/>
  </r>
  <r>
    <x v="0"/>
  </r>
  <r>
    <x v="1"/>
  </r>
  <r>
    <x v="1"/>
  </r>
  <r>
    <x v="4"/>
  </r>
  <r>
    <x v="0"/>
  </r>
  <r>
    <x v="0"/>
  </r>
  <r>
    <x v="2"/>
  </r>
  <r>
    <x v="4"/>
  </r>
  <r>
    <x v="3"/>
  </r>
  <r>
    <x v="2"/>
  </r>
  <r>
    <x v="3"/>
  </r>
  <r>
    <x v="2"/>
  </r>
  <r>
    <x v="0"/>
  </r>
  <r>
    <x v="0"/>
  </r>
  <r>
    <x v="3"/>
  </r>
  <r>
    <x v="2"/>
  </r>
  <r>
    <x v="4"/>
  </r>
  <r>
    <x v="1"/>
  </r>
  <r>
    <x v="1"/>
  </r>
  <r>
    <x v="3"/>
  </r>
  <r>
    <x v="1"/>
  </r>
  <r>
    <x v="0"/>
  </r>
  <r>
    <x v="2"/>
  </r>
  <r>
    <x v="2"/>
  </r>
  <r>
    <x v="3"/>
  </r>
  <r>
    <x v="2"/>
  </r>
  <r>
    <x v="4"/>
  </r>
  <r>
    <x v="2"/>
  </r>
  <r>
    <x v="3"/>
  </r>
  <r>
    <x v="3"/>
  </r>
  <r>
    <x v="3"/>
  </r>
  <r>
    <x v="0"/>
  </r>
  <r>
    <x v="2"/>
  </r>
  <r>
    <x v="1"/>
  </r>
  <r>
    <x v="3"/>
  </r>
  <r>
    <x v="0"/>
  </r>
  <r>
    <x v="1"/>
  </r>
  <r>
    <x v="1"/>
  </r>
  <r>
    <x v="1"/>
  </r>
  <r>
    <x v="0"/>
  </r>
  <r>
    <x v="3"/>
  </r>
  <r>
    <x v="0"/>
  </r>
  <r>
    <x v="1"/>
  </r>
  <r>
    <x v="1"/>
  </r>
  <r>
    <x v="2"/>
  </r>
  <r>
    <x v="3"/>
  </r>
  <r>
    <x v="1"/>
  </r>
  <r>
    <x v="3"/>
  </r>
  <r>
    <x v="3"/>
  </r>
  <r>
    <x v="3"/>
  </r>
  <r>
    <x v="0"/>
  </r>
  <r>
    <x v="4"/>
  </r>
  <r>
    <x v="0"/>
  </r>
  <r>
    <x v="2"/>
  </r>
  <r>
    <x v="2"/>
  </r>
  <r>
    <x v="2"/>
  </r>
  <r>
    <x v="0"/>
  </r>
  <r>
    <x v="0"/>
  </r>
  <r>
    <x v="2"/>
  </r>
  <r>
    <x v="0"/>
  </r>
  <r>
    <x v="1"/>
  </r>
  <r>
    <x v="2"/>
  </r>
  <r>
    <x v="3"/>
  </r>
  <r>
    <x v="4"/>
  </r>
  <r>
    <x v="3"/>
  </r>
  <r>
    <x v="1"/>
  </r>
  <r>
    <x v="3"/>
  </r>
  <r>
    <x v="1"/>
  </r>
  <r>
    <x v="1"/>
  </r>
  <r>
    <x v="0"/>
  </r>
  <r>
    <x v="1"/>
  </r>
  <r>
    <x v="4"/>
  </r>
  <r>
    <x v="0"/>
  </r>
  <r>
    <x v="2"/>
  </r>
  <r>
    <x v="3"/>
  </r>
  <r>
    <x v="1"/>
  </r>
  <r>
    <x v="0"/>
  </r>
  <r>
    <x v="2"/>
  </r>
  <r>
    <x v="2"/>
  </r>
  <r>
    <x v="0"/>
  </r>
  <r>
    <x v="2"/>
  </r>
  <r>
    <x v="0"/>
  </r>
  <r>
    <x v="1"/>
  </r>
  <r>
    <x v="0"/>
  </r>
  <r>
    <x v="2"/>
  </r>
  <r>
    <x v="2"/>
  </r>
  <r>
    <x v="2"/>
  </r>
  <r>
    <x v="2"/>
  </r>
  <r>
    <x v="0"/>
  </r>
  <r>
    <x v="0"/>
  </r>
  <r>
    <x v="2"/>
  </r>
  <r>
    <x v="2"/>
  </r>
  <r>
    <x v="2"/>
  </r>
  <r>
    <x v="4"/>
  </r>
  <r>
    <x v="3"/>
  </r>
  <r>
    <x v="1"/>
  </r>
  <r>
    <x v="1"/>
  </r>
  <r>
    <x v="0"/>
  </r>
  <r>
    <x v="1"/>
  </r>
  <r>
    <x v="2"/>
  </r>
  <r>
    <x v="0"/>
  </r>
  <r>
    <x v="2"/>
  </r>
  <r>
    <x v="1"/>
  </r>
  <r>
    <x v="2"/>
  </r>
  <r>
    <x v="1"/>
  </r>
  <r>
    <x v="2"/>
  </r>
  <r>
    <x v="1"/>
  </r>
  <r>
    <x v="3"/>
  </r>
  <r>
    <x v="0"/>
  </r>
  <r>
    <x v="0"/>
  </r>
  <r>
    <x v="3"/>
  </r>
  <r>
    <x v="0"/>
  </r>
  <r>
    <x v="4"/>
  </r>
  <r>
    <x v="2"/>
  </r>
  <r>
    <x v="1"/>
  </r>
  <r>
    <x v="0"/>
  </r>
  <r>
    <x v="1"/>
  </r>
  <r>
    <x v="3"/>
  </r>
  <r>
    <x v="3"/>
  </r>
  <r>
    <x v="1"/>
  </r>
  <r>
    <x v="3"/>
  </r>
  <r>
    <x v="0"/>
  </r>
  <r>
    <x v="2"/>
  </r>
  <r>
    <x v="2"/>
  </r>
  <r>
    <x v="0"/>
  </r>
  <r>
    <x v="1"/>
  </r>
  <r>
    <x v="0"/>
  </r>
  <r>
    <x v="2"/>
  </r>
  <r>
    <x v="3"/>
  </r>
  <r>
    <x v="3"/>
  </r>
  <r>
    <x v="0"/>
  </r>
  <r>
    <x v="1"/>
  </r>
  <r>
    <x v="1"/>
  </r>
  <r>
    <x v="2"/>
  </r>
  <r>
    <x v="1"/>
  </r>
  <r>
    <x v="3"/>
  </r>
  <r>
    <x v="1"/>
  </r>
  <r>
    <x v="2"/>
  </r>
  <r>
    <x v="0"/>
  </r>
  <r>
    <x v="2"/>
  </r>
  <r>
    <x v="3"/>
  </r>
  <r>
    <x v="2"/>
  </r>
  <r>
    <x v="2"/>
  </r>
  <r>
    <x v="2"/>
  </r>
  <r>
    <x v="2"/>
  </r>
  <r>
    <x v="2"/>
  </r>
  <r>
    <x v="0"/>
  </r>
  <r>
    <x v="2"/>
  </r>
  <r>
    <x v="0"/>
  </r>
  <r>
    <x v="2"/>
  </r>
  <r>
    <x v="4"/>
  </r>
  <r>
    <x v="4"/>
  </r>
  <r>
    <x v="2"/>
  </r>
  <r>
    <x v="0"/>
  </r>
  <r>
    <x v="2"/>
  </r>
  <r>
    <x v="4"/>
  </r>
  <r>
    <x v="0"/>
  </r>
  <r>
    <x v="2"/>
  </r>
  <r>
    <x v="3"/>
  </r>
  <r>
    <x v="2"/>
  </r>
  <r>
    <x v="3"/>
  </r>
  <r>
    <x v="0"/>
  </r>
  <r>
    <x v="3"/>
  </r>
  <r>
    <x v="3"/>
  </r>
  <r>
    <x v="2"/>
  </r>
  <r>
    <x v="2"/>
  </r>
  <r>
    <x v="2"/>
  </r>
  <r>
    <x v="1"/>
  </r>
  <r>
    <x v="2"/>
  </r>
  <r>
    <x v="0"/>
  </r>
  <r>
    <x v="3"/>
  </r>
  <r>
    <x v="2"/>
  </r>
  <r>
    <x v="0"/>
  </r>
  <r>
    <x v="3"/>
  </r>
  <r>
    <x v="3"/>
  </r>
  <r>
    <x v="0"/>
  </r>
  <r>
    <x v="0"/>
  </r>
  <r>
    <x v="3"/>
  </r>
  <r>
    <x v="0"/>
  </r>
  <r>
    <x v="0"/>
  </r>
  <r>
    <x v="2"/>
  </r>
  <r>
    <x v="3"/>
  </r>
  <r>
    <x v="2"/>
  </r>
  <r>
    <x v="2"/>
  </r>
  <r>
    <x v="0"/>
  </r>
  <r>
    <x v="1"/>
  </r>
  <r>
    <x v="1"/>
  </r>
  <r>
    <x v="2"/>
  </r>
  <r>
    <x v="3"/>
  </r>
  <r>
    <x v="0"/>
  </r>
  <r>
    <x v="2"/>
  </r>
  <r>
    <x v="1"/>
  </r>
  <r>
    <x v="1"/>
  </r>
  <r>
    <x v="1"/>
  </r>
  <r>
    <x v="2"/>
  </r>
  <r>
    <x v="2"/>
  </r>
  <r>
    <x v="1"/>
  </r>
  <r>
    <x v="0"/>
  </r>
  <r>
    <x v="1"/>
  </r>
  <r>
    <x v="2"/>
  </r>
  <r>
    <x v="0"/>
  </r>
  <r>
    <x v="0"/>
  </r>
  <r>
    <x v="2"/>
  </r>
  <r>
    <x v="0"/>
  </r>
  <r>
    <x v="0"/>
  </r>
  <r>
    <x v="2"/>
  </r>
  <r>
    <x v="2"/>
  </r>
  <r>
    <x v="0"/>
  </r>
  <r>
    <x v="3"/>
  </r>
  <r>
    <x v="1"/>
  </r>
  <r>
    <x v="3"/>
  </r>
  <r>
    <x v="2"/>
  </r>
  <r>
    <x v="4"/>
  </r>
  <r>
    <x v="1"/>
  </r>
  <r>
    <x v="2"/>
  </r>
  <r>
    <x v="1"/>
  </r>
  <r>
    <x v="2"/>
  </r>
  <r>
    <x v="2"/>
  </r>
  <r>
    <x v="2"/>
  </r>
  <r>
    <x v="2"/>
  </r>
  <r>
    <x v="1"/>
  </r>
  <r>
    <x v="1"/>
  </r>
  <r>
    <x v="4"/>
  </r>
  <r>
    <x v="1"/>
  </r>
  <r>
    <x v="3"/>
  </r>
  <r>
    <x v="0"/>
  </r>
  <r>
    <x v="4"/>
  </r>
  <r>
    <x v="1"/>
  </r>
  <r>
    <x v="1"/>
  </r>
  <r>
    <x v="4"/>
  </r>
  <r>
    <x v="2"/>
  </r>
  <r>
    <x v="1"/>
  </r>
  <r>
    <x v="1"/>
  </r>
  <r>
    <x v="4"/>
  </r>
  <r>
    <x v="2"/>
  </r>
  <r>
    <x v="0"/>
  </r>
  <r>
    <x v="0"/>
  </r>
  <r>
    <x v="2"/>
  </r>
  <r>
    <x v="0"/>
  </r>
  <r>
    <x v="2"/>
  </r>
  <r>
    <x v="3"/>
  </r>
  <r>
    <x v="3"/>
  </r>
  <r>
    <x v="0"/>
  </r>
  <r>
    <x v="3"/>
  </r>
  <r>
    <x v="0"/>
  </r>
  <r>
    <x v="3"/>
  </r>
  <r>
    <x v="2"/>
  </r>
  <r>
    <x v="2"/>
  </r>
  <r>
    <x v="2"/>
  </r>
  <r>
    <x v="0"/>
  </r>
  <r>
    <x v="1"/>
  </r>
  <r>
    <x v="2"/>
  </r>
  <r>
    <x v="2"/>
  </r>
  <r>
    <x v="1"/>
  </r>
  <r>
    <x v="3"/>
  </r>
  <r>
    <x v="4"/>
  </r>
  <r>
    <x v="1"/>
  </r>
  <r>
    <x v="3"/>
  </r>
  <r>
    <x v="3"/>
  </r>
  <r>
    <x v="0"/>
  </r>
  <r>
    <x v="2"/>
  </r>
  <r>
    <x v="2"/>
  </r>
  <r>
    <x v="2"/>
  </r>
  <r>
    <x v="1"/>
  </r>
  <r>
    <x v="0"/>
  </r>
  <r>
    <x v="2"/>
  </r>
  <r>
    <x v="0"/>
  </r>
  <r>
    <x v="3"/>
  </r>
  <r>
    <x v="0"/>
  </r>
  <r>
    <x v="2"/>
  </r>
  <r>
    <x v="0"/>
  </r>
  <r>
    <x v="4"/>
  </r>
  <r>
    <x v="2"/>
  </r>
  <r>
    <x v="3"/>
  </r>
  <r>
    <x v="2"/>
  </r>
  <r>
    <x v="2"/>
  </r>
  <r>
    <x v="3"/>
  </r>
  <r>
    <x v="1"/>
  </r>
  <r>
    <x v="1"/>
  </r>
  <r>
    <x v="2"/>
  </r>
  <r>
    <x v="0"/>
  </r>
  <r>
    <x v="0"/>
  </r>
  <r>
    <x v="0"/>
  </r>
  <r>
    <x v="3"/>
  </r>
  <r>
    <x v="2"/>
  </r>
  <r>
    <x v="0"/>
  </r>
  <r>
    <x v="3"/>
  </r>
  <r>
    <x v="1"/>
  </r>
  <r>
    <x v="1"/>
  </r>
  <r>
    <x v="2"/>
  </r>
  <r>
    <x v="2"/>
  </r>
  <r>
    <x v="1"/>
  </r>
  <r>
    <x v="0"/>
  </r>
  <r>
    <x v="1"/>
  </r>
  <r>
    <x v="2"/>
  </r>
  <r>
    <x v="0"/>
  </r>
  <r>
    <x v="0"/>
  </r>
  <r>
    <x v="1"/>
  </r>
  <r>
    <x v="2"/>
  </r>
  <r>
    <x v="2"/>
  </r>
  <r>
    <x v="3"/>
  </r>
  <r>
    <x v="1"/>
  </r>
  <r>
    <x v="4"/>
  </r>
  <r>
    <x v="4"/>
  </r>
  <r>
    <x v="4"/>
  </r>
  <r>
    <x v="2"/>
  </r>
  <r>
    <x v="2"/>
  </r>
  <r>
    <x v="2"/>
  </r>
  <r>
    <x v="3"/>
  </r>
  <r>
    <x v="1"/>
  </r>
  <r>
    <x v="1"/>
  </r>
  <r>
    <x v="2"/>
  </r>
  <r>
    <x v="0"/>
  </r>
  <r>
    <x v="1"/>
  </r>
  <r>
    <x v="3"/>
  </r>
  <r>
    <x v="2"/>
  </r>
  <r>
    <x v="3"/>
  </r>
  <r>
    <x v="3"/>
  </r>
  <r>
    <x v="0"/>
  </r>
  <r>
    <x v="3"/>
  </r>
  <r>
    <x v="2"/>
  </r>
  <r>
    <x v="4"/>
  </r>
  <r>
    <x v="0"/>
  </r>
  <r>
    <x v="3"/>
  </r>
  <r>
    <x v="4"/>
  </r>
  <r>
    <x v="2"/>
  </r>
  <r>
    <x v="2"/>
  </r>
  <r>
    <x v="1"/>
  </r>
  <r>
    <x v="2"/>
  </r>
  <r>
    <x v="1"/>
  </r>
  <r>
    <x v="2"/>
  </r>
  <r>
    <x v="2"/>
  </r>
  <r>
    <x v="0"/>
  </r>
  <r>
    <x v="2"/>
  </r>
  <r>
    <x v="1"/>
  </r>
  <r>
    <x v="0"/>
  </r>
  <r>
    <x v="4"/>
  </r>
  <r>
    <x v="1"/>
  </r>
  <r>
    <x v="2"/>
  </r>
  <r>
    <x v="1"/>
  </r>
  <r>
    <x v="0"/>
  </r>
  <r>
    <x v="0"/>
  </r>
  <r>
    <x v="1"/>
  </r>
  <r>
    <x v="0"/>
  </r>
  <r>
    <x v="3"/>
  </r>
  <r>
    <x v="0"/>
  </r>
  <r>
    <x v="3"/>
  </r>
  <r>
    <x v="2"/>
  </r>
  <r>
    <x v="0"/>
  </r>
  <r>
    <x v="2"/>
  </r>
  <r>
    <x v="2"/>
  </r>
  <r>
    <x v="2"/>
  </r>
  <r>
    <x v="0"/>
  </r>
  <r>
    <x v="3"/>
  </r>
  <r>
    <x v="1"/>
  </r>
  <r>
    <x v="3"/>
  </r>
  <r>
    <x v="0"/>
  </r>
  <r>
    <x v="3"/>
  </r>
  <r>
    <x v="0"/>
  </r>
  <r>
    <x v="3"/>
  </r>
  <r>
    <x v="4"/>
  </r>
  <r>
    <x v="4"/>
  </r>
  <r>
    <x v="1"/>
  </r>
  <r>
    <x v="4"/>
  </r>
  <r>
    <x v="3"/>
  </r>
  <r>
    <x v="0"/>
  </r>
  <r>
    <x v="1"/>
  </r>
  <r>
    <x v="0"/>
  </r>
  <r>
    <x v="1"/>
  </r>
  <r>
    <x v="1"/>
  </r>
  <r>
    <x v="4"/>
  </r>
  <r>
    <x v="3"/>
  </r>
  <r>
    <x v="1"/>
  </r>
  <r>
    <x v="0"/>
  </r>
  <r>
    <x v="0"/>
  </r>
  <r>
    <x v="3"/>
  </r>
  <r>
    <x v="1"/>
  </r>
  <r>
    <x v="1"/>
  </r>
  <r>
    <x v="2"/>
  </r>
  <r>
    <x v="0"/>
  </r>
  <r>
    <x v="3"/>
  </r>
  <r>
    <x v="4"/>
  </r>
  <r>
    <x v="3"/>
  </r>
  <r>
    <x v="2"/>
  </r>
  <r>
    <x v="3"/>
  </r>
  <r>
    <x v="0"/>
  </r>
  <r>
    <x v="2"/>
  </r>
  <r>
    <x v="0"/>
  </r>
  <r>
    <x v="4"/>
  </r>
  <r>
    <x v="1"/>
  </r>
  <r>
    <x v="2"/>
  </r>
  <r>
    <x v="4"/>
  </r>
  <r>
    <x v="0"/>
  </r>
  <r>
    <x v="2"/>
  </r>
  <r>
    <x v="2"/>
  </r>
  <r>
    <x v="2"/>
  </r>
  <r>
    <x v="1"/>
  </r>
  <r>
    <x v="2"/>
  </r>
  <r>
    <x v="2"/>
  </r>
  <r>
    <x v="1"/>
  </r>
  <r>
    <x v="0"/>
  </r>
  <r>
    <x v="1"/>
  </r>
  <r>
    <x v="1"/>
  </r>
  <r>
    <x v="2"/>
  </r>
  <r>
    <x v="1"/>
  </r>
  <r>
    <x v="2"/>
  </r>
  <r>
    <x v="0"/>
  </r>
  <r>
    <x v="0"/>
  </r>
  <r>
    <x v="2"/>
  </r>
  <r>
    <x v="4"/>
  </r>
  <r>
    <x v="0"/>
  </r>
  <r>
    <x v="2"/>
  </r>
  <r>
    <x v="4"/>
  </r>
  <r>
    <x v="0"/>
  </r>
  <r>
    <x v="0"/>
  </r>
  <r>
    <x v="0"/>
  </r>
  <r>
    <x v="1"/>
  </r>
  <r>
    <x v="2"/>
  </r>
  <r>
    <x v="2"/>
  </r>
  <r>
    <x v="3"/>
  </r>
  <r>
    <x v="2"/>
  </r>
  <r>
    <x v="1"/>
  </r>
  <r>
    <x v="3"/>
  </r>
  <r>
    <x v="2"/>
  </r>
  <r>
    <x v="2"/>
  </r>
  <r>
    <x v="1"/>
  </r>
  <r>
    <x v="1"/>
  </r>
  <r>
    <x v="3"/>
  </r>
  <r>
    <x v="0"/>
  </r>
  <r>
    <x v="2"/>
  </r>
  <r>
    <x v="0"/>
  </r>
  <r>
    <x v="2"/>
  </r>
  <r>
    <x v="0"/>
  </r>
  <r>
    <x v="0"/>
  </r>
  <r>
    <x v="1"/>
  </r>
  <r>
    <x v="3"/>
  </r>
  <r>
    <x v="1"/>
  </r>
  <r>
    <x v="0"/>
  </r>
  <r>
    <x v="4"/>
  </r>
  <r>
    <x v="3"/>
  </r>
  <r>
    <x v="3"/>
  </r>
  <r>
    <x v="1"/>
  </r>
  <r>
    <x v="2"/>
  </r>
  <r>
    <x v="2"/>
  </r>
  <r>
    <x v="2"/>
  </r>
  <r>
    <x v="1"/>
  </r>
  <r>
    <x v="2"/>
  </r>
  <r>
    <x v="1"/>
  </r>
  <r>
    <x v="3"/>
  </r>
  <r>
    <x v="2"/>
  </r>
  <r>
    <x v="3"/>
  </r>
  <r>
    <x v="2"/>
  </r>
  <r>
    <x v="0"/>
  </r>
  <r>
    <x v="0"/>
  </r>
  <r>
    <x v="0"/>
  </r>
  <r>
    <x v="2"/>
  </r>
  <r>
    <x v="0"/>
  </r>
  <r>
    <x v="1"/>
  </r>
  <r>
    <x v="1"/>
  </r>
  <r>
    <x v="1"/>
  </r>
  <r>
    <x v="2"/>
  </r>
  <r>
    <x v="1"/>
  </r>
  <r>
    <x v="3"/>
  </r>
  <r>
    <x v="2"/>
  </r>
  <r>
    <x v="1"/>
  </r>
  <r>
    <x v="4"/>
  </r>
  <r>
    <x v="0"/>
  </r>
  <r>
    <x v="2"/>
  </r>
  <r>
    <x v="2"/>
  </r>
  <r>
    <x v="3"/>
  </r>
  <r>
    <x v="1"/>
  </r>
  <r>
    <x v="2"/>
  </r>
  <r>
    <x v="1"/>
  </r>
  <r>
    <x v="3"/>
  </r>
  <r>
    <x v="1"/>
  </r>
  <r>
    <x v="4"/>
  </r>
  <r>
    <x v="3"/>
  </r>
  <r>
    <x v="3"/>
  </r>
  <r>
    <x v="1"/>
  </r>
  <r>
    <x v="0"/>
  </r>
  <r>
    <x v="0"/>
  </r>
  <r>
    <x v="0"/>
  </r>
  <r>
    <x v="2"/>
  </r>
  <r>
    <x v="1"/>
  </r>
  <r>
    <x v="2"/>
  </r>
  <r>
    <x v="4"/>
  </r>
  <r>
    <x v="2"/>
  </r>
  <r>
    <x v="1"/>
  </r>
  <r>
    <x v="3"/>
  </r>
  <r>
    <x v="3"/>
  </r>
  <r>
    <x v="3"/>
  </r>
  <r>
    <x v="1"/>
  </r>
  <r>
    <x v="0"/>
  </r>
  <r>
    <x v="1"/>
  </r>
  <r>
    <x v="3"/>
  </r>
  <r>
    <x v="0"/>
  </r>
  <r>
    <x v="1"/>
  </r>
  <r>
    <x v="2"/>
  </r>
  <r>
    <x v="3"/>
  </r>
  <r>
    <x v="0"/>
  </r>
  <r>
    <x v="3"/>
  </r>
  <r>
    <x v="3"/>
  </r>
  <r>
    <x v="0"/>
  </r>
  <r>
    <x v="2"/>
  </r>
  <r>
    <x v="1"/>
  </r>
  <r>
    <x v="4"/>
  </r>
  <r>
    <x v="0"/>
  </r>
  <r>
    <x v="0"/>
  </r>
  <r>
    <x v="2"/>
  </r>
  <r>
    <x v="1"/>
  </r>
  <r>
    <x v="3"/>
  </r>
  <r>
    <x v="0"/>
  </r>
  <r>
    <x v="4"/>
  </r>
  <r>
    <x v="0"/>
  </r>
  <r>
    <x v="1"/>
  </r>
  <r>
    <x v="3"/>
  </r>
  <r>
    <x v="2"/>
  </r>
  <r>
    <x v="1"/>
  </r>
  <r>
    <x v="2"/>
  </r>
  <r>
    <x v="1"/>
  </r>
  <r>
    <x v="2"/>
  </r>
  <r>
    <x v="1"/>
  </r>
  <r>
    <x v="2"/>
  </r>
  <r>
    <x v="0"/>
  </r>
  <r>
    <x v="0"/>
  </r>
  <r>
    <x v="3"/>
  </r>
  <r>
    <x v="3"/>
  </r>
  <r>
    <x v="3"/>
  </r>
  <r>
    <x v="3"/>
  </r>
  <r>
    <x v="3"/>
  </r>
  <r>
    <x v="3"/>
  </r>
  <r>
    <x v="0"/>
  </r>
  <r>
    <x v="2"/>
  </r>
  <r>
    <x v="4"/>
  </r>
  <r>
    <x v="0"/>
  </r>
  <r>
    <x v="2"/>
  </r>
  <r>
    <x v="3"/>
  </r>
  <r>
    <x v="1"/>
  </r>
  <r>
    <x v="2"/>
  </r>
  <r>
    <x v="0"/>
  </r>
  <r>
    <x v="0"/>
  </r>
  <r>
    <x v="2"/>
  </r>
  <r>
    <x v="1"/>
  </r>
  <r>
    <x v="3"/>
  </r>
  <r>
    <x v="3"/>
  </r>
  <r>
    <x v="1"/>
  </r>
  <r>
    <x v="0"/>
  </r>
  <r>
    <x v="1"/>
  </r>
  <r>
    <x v="0"/>
  </r>
  <r>
    <x v="1"/>
  </r>
  <r>
    <x v="1"/>
  </r>
  <r>
    <x v="2"/>
  </r>
  <r>
    <x v="1"/>
  </r>
  <r>
    <x v="0"/>
  </r>
  <r>
    <x v="2"/>
  </r>
  <r>
    <x v="0"/>
  </r>
  <r>
    <x v="2"/>
  </r>
  <r>
    <x v="1"/>
  </r>
  <r>
    <x v="0"/>
  </r>
  <r>
    <x v="4"/>
  </r>
  <r>
    <x v="2"/>
  </r>
  <r>
    <x v="0"/>
  </r>
  <r>
    <x v="2"/>
  </r>
  <r>
    <x v="0"/>
  </r>
  <r>
    <x v="1"/>
  </r>
  <r>
    <x v="1"/>
  </r>
  <r>
    <x v="1"/>
  </r>
  <r>
    <x v="1"/>
  </r>
  <r>
    <x v="2"/>
  </r>
  <r>
    <x v="3"/>
  </r>
  <r>
    <x v="0"/>
  </r>
  <r>
    <x v="0"/>
  </r>
  <r>
    <x v="2"/>
  </r>
  <r>
    <x v="0"/>
  </r>
  <r>
    <x v="3"/>
  </r>
  <r>
    <x v="3"/>
  </r>
  <r>
    <x v="1"/>
  </r>
  <r>
    <x v="3"/>
  </r>
  <r>
    <x v="2"/>
  </r>
  <r>
    <x v="2"/>
  </r>
  <r>
    <x v="1"/>
  </r>
  <r>
    <x v="4"/>
  </r>
  <r>
    <x v="0"/>
  </r>
  <r>
    <x v="3"/>
  </r>
  <r>
    <x v="4"/>
  </r>
  <r>
    <x v="0"/>
  </r>
  <r>
    <x v="1"/>
  </r>
  <r>
    <x v="1"/>
  </r>
  <r>
    <x v="3"/>
  </r>
  <r>
    <x v="3"/>
  </r>
  <r>
    <x v="2"/>
  </r>
  <r>
    <x v="3"/>
  </r>
  <r>
    <x v="1"/>
  </r>
  <r>
    <x v="1"/>
  </r>
  <r>
    <x v="1"/>
  </r>
  <r>
    <x v="3"/>
  </r>
  <r>
    <x v="2"/>
  </r>
  <r>
    <x v="2"/>
  </r>
  <r>
    <x v="3"/>
  </r>
  <r>
    <x v="3"/>
  </r>
  <r>
    <x v="0"/>
  </r>
  <r>
    <x v="2"/>
  </r>
  <r>
    <x v="4"/>
  </r>
  <r>
    <x v="3"/>
  </r>
  <r>
    <x v="1"/>
  </r>
  <r>
    <x v="0"/>
  </r>
  <r>
    <x v="2"/>
  </r>
  <r>
    <x v="1"/>
  </r>
  <r>
    <x v="1"/>
  </r>
  <r>
    <x v="0"/>
  </r>
  <r>
    <x v="0"/>
  </r>
  <r>
    <x v="2"/>
  </r>
  <r>
    <x v="0"/>
  </r>
  <r>
    <x v="1"/>
  </r>
  <r>
    <x v="2"/>
  </r>
  <r>
    <x v="2"/>
  </r>
  <r>
    <x v="1"/>
  </r>
  <r>
    <x v="3"/>
  </r>
  <r>
    <x v="0"/>
  </r>
  <r>
    <x v="0"/>
  </r>
  <r>
    <x v="0"/>
  </r>
  <r>
    <x v="3"/>
  </r>
  <r>
    <x v="3"/>
  </r>
  <r>
    <x v="2"/>
  </r>
  <r>
    <x v="1"/>
  </r>
  <r>
    <x v="1"/>
  </r>
  <r>
    <x v="0"/>
  </r>
  <r>
    <x v="0"/>
  </r>
  <r>
    <x v="2"/>
  </r>
  <r>
    <x v="2"/>
  </r>
  <r>
    <x v="1"/>
  </r>
  <r>
    <x v="0"/>
  </r>
  <r>
    <x v="3"/>
  </r>
  <r>
    <x v="2"/>
  </r>
  <r>
    <x v="2"/>
  </r>
  <r>
    <x v="3"/>
  </r>
  <r>
    <x v="1"/>
  </r>
  <r>
    <x v="1"/>
  </r>
  <r>
    <x v="1"/>
  </r>
  <r>
    <x v="4"/>
  </r>
  <r>
    <x v="1"/>
  </r>
  <r>
    <x v="0"/>
  </r>
  <r>
    <x v="2"/>
  </r>
  <r>
    <x v="1"/>
  </r>
  <r>
    <x v="2"/>
  </r>
  <r>
    <x v="2"/>
  </r>
  <r>
    <x v="2"/>
  </r>
  <r>
    <x v="0"/>
  </r>
  <r>
    <x v="3"/>
  </r>
  <r>
    <x v="2"/>
  </r>
  <r>
    <x v="3"/>
  </r>
  <r>
    <x v="1"/>
  </r>
  <r>
    <x v="0"/>
  </r>
  <r>
    <x v="1"/>
  </r>
  <r>
    <x v="2"/>
  </r>
  <r>
    <x v="2"/>
  </r>
  <r>
    <x v="0"/>
  </r>
  <r>
    <x v="3"/>
  </r>
  <r>
    <x v="0"/>
  </r>
  <r>
    <x v="1"/>
  </r>
  <r>
    <x v="1"/>
  </r>
  <r>
    <x v="4"/>
  </r>
  <r>
    <x v="3"/>
  </r>
  <r>
    <x v="2"/>
  </r>
  <r>
    <x v="0"/>
  </r>
  <r>
    <x v="2"/>
  </r>
  <r>
    <x v="3"/>
  </r>
  <r>
    <x v="2"/>
  </r>
  <r>
    <x v="3"/>
  </r>
  <r>
    <x v="2"/>
  </r>
  <r>
    <x v="2"/>
  </r>
  <r>
    <x v="0"/>
  </r>
  <r>
    <x v="0"/>
  </r>
  <r>
    <x v="1"/>
  </r>
  <r>
    <x v="0"/>
  </r>
  <r>
    <x v="2"/>
  </r>
  <r>
    <x v="3"/>
  </r>
  <r>
    <x v="2"/>
  </r>
  <r>
    <x v="1"/>
  </r>
  <r>
    <x v="1"/>
  </r>
  <r>
    <x v="2"/>
  </r>
  <r>
    <x v="3"/>
  </r>
  <r>
    <x v="4"/>
  </r>
  <r>
    <x v="0"/>
  </r>
  <r>
    <x v="1"/>
  </r>
  <r>
    <x v="2"/>
  </r>
  <r>
    <x v="2"/>
  </r>
  <r>
    <x v="1"/>
  </r>
  <r>
    <x v="0"/>
  </r>
  <r>
    <x v="0"/>
  </r>
  <r>
    <x v="0"/>
  </r>
  <r>
    <x v="0"/>
  </r>
  <r>
    <x v="1"/>
  </r>
  <r>
    <x v="2"/>
  </r>
  <r>
    <x v="3"/>
  </r>
  <r>
    <x v="1"/>
  </r>
  <r>
    <x v="3"/>
  </r>
  <r>
    <x v="0"/>
  </r>
  <r>
    <x v="1"/>
  </r>
  <r>
    <x v="4"/>
  </r>
  <r>
    <x v="3"/>
  </r>
  <r>
    <x v="3"/>
  </r>
  <r>
    <x v="1"/>
  </r>
  <r>
    <x v="1"/>
  </r>
  <r>
    <x v="1"/>
  </r>
  <r>
    <x v="3"/>
  </r>
  <r>
    <x v="3"/>
  </r>
  <r>
    <x v="0"/>
  </r>
  <r>
    <x v="1"/>
  </r>
  <r>
    <x v="1"/>
  </r>
  <r>
    <x v="2"/>
  </r>
  <r>
    <x v="3"/>
  </r>
  <r>
    <x v="3"/>
  </r>
  <r>
    <x v="4"/>
  </r>
  <r>
    <x v="0"/>
  </r>
  <r>
    <x v="3"/>
  </r>
  <r>
    <x v="2"/>
  </r>
  <r>
    <x v="0"/>
  </r>
  <r>
    <x v="2"/>
  </r>
  <r>
    <x v="1"/>
  </r>
  <r>
    <x v="1"/>
  </r>
  <r>
    <x v="3"/>
  </r>
  <r>
    <x v="3"/>
  </r>
  <r>
    <x v="1"/>
  </r>
  <r>
    <x v="3"/>
  </r>
  <r>
    <x v="2"/>
  </r>
  <r>
    <x v="4"/>
  </r>
  <r>
    <x v="1"/>
  </r>
  <r>
    <x v="1"/>
  </r>
  <r>
    <x v="2"/>
  </r>
  <r>
    <x v="2"/>
  </r>
  <r>
    <x v="2"/>
  </r>
  <r>
    <x v="2"/>
  </r>
  <r>
    <x v="1"/>
  </r>
  <r>
    <x v="2"/>
  </r>
  <r>
    <x v="1"/>
  </r>
  <r>
    <x v="2"/>
  </r>
  <r>
    <x v="3"/>
  </r>
  <r>
    <x v="4"/>
  </r>
  <r>
    <x v="2"/>
  </r>
  <r>
    <x v="3"/>
  </r>
  <r>
    <x v="3"/>
  </r>
  <r>
    <x v="2"/>
  </r>
  <r>
    <x v="0"/>
  </r>
  <r>
    <x v="3"/>
  </r>
  <r>
    <x v="0"/>
  </r>
  <r>
    <x v="1"/>
  </r>
  <r>
    <x v="0"/>
  </r>
  <r>
    <x v="2"/>
  </r>
  <r>
    <x v="0"/>
  </r>
  <r>
    <x v="2"/>
  </r>
  <r>
    <x v="0"/>
  </r>
  <r>
    <x v="0"/>
  </r>
  <r>
    <x v="2"/>
  </r>
  <r>
    <x v="1"/>
  </r>
  <r>
    <x v="1"/>
  </r>
  <r>
    <x v="1"/>
  </r>
  <r>
    <x v="3"/>
  </r>
  <r>
    <x v="0"/>
  </r>
  <r>
    <x v="1"/>
  </r>
  <r>
    <x v="3"/>
  </r>
  <r>
    <x v="1"/>
  </r>
  <r>
    <x v="2"/>
  </r>
  <r>
    <x v="2"/>
  </r>
  <r>
    <x v="1"/>
  </r>
  <r>
    <x v="1"/>
  </r>
  <r>
    <x v="1"/>
  </r>
  <r>
    <x v="4"/>
  </r>
  <r>
    <x v="2"/>
  </r>
  <r>
    <x v="2"/>
  </r>
  <r>
    <x v="1"/>
  </r>
  <r>
    <x v="2"/>
  </r>
  <r>
    <x v="0"/>
  </r>
  <r>
    <x v="0"/>
  </r>
  <r>
    <x v="2"/>
  </r>
  <r>
    <x v="3"/>
  </r>
  <r>
    <x v="0"/>
  </r>
  <r>
    <x v="1"/>
  </r>
  <r>
    <x v="1"/>
  </r>
  <r>
    <x v="0"/>
  </r>
  <r>
    <x v="0"/>
  </r>
  <r>
    <x v="3"/>
  </r>
  <r>
    <x v="2"/>
  </r>
  <r>
    <x v="3"/>
  </r>
  <r>
    <x v="2"/>
  </r>
  <r>
    <x v="2"/>
  </r>
  <r>
    <x v="3"/>
  </r>
  <r>
    <x v="3"/>
  </r>
  <r>
    <x v="2"/>
  </r>
  <r>
    <x v="0"/>
  </r>
  <r>
    <x v="0"/>
  </r>
  <r>
    <x v="2"/>
  </r>
  <r>
    <x v="4"/>
  </r>
  <r>
    <x v="2"/>
  </r>
  <r>
    <x v="1"/>
  </r>
  <r>
    <x v="2"/>
  </r>
  <r>
    <x v="1"/>
  </r>
  <r>
    <x v="2"/>
  </r>
  <r>
    <x v="1"/>
  </r>
  <r>
    <x v="3"/>
  </r>
  <r>
    <x v="1"/>
  </r>
  <r>
    <x v="3"/>
  </r>
  <r>
    <x v="2"/>
  </r>
  <r>
    <x v="1"/>
  </r>
  <r>
    <x v="2"/>
  </r>
  <r>
    <x v="4"/>
  </r>
  <r>
    <x v="2"/>
  </r>
  <r>
    <x v="3"/>
  </r>
  <r>
    <x v="1"/>
  </r>
  <r>
    <x v="3"/>
  </r>
  <r>
    <x v="2"/>
  </r>
  <r>
    <x v="1"/>
  </r>
  <r>
    <x v="1"/>
  </r>
  <r>
    <x v="4"/>
  </r>
  <r>
    <x v="3"/>
  </r>
  <r>
    <x v="0"/>
  </r>
  <r>
    <x v="3"/>
  </r>
  <r>
    <x v="2"/>
  </r>
  <r>
    <x v="1"/>
  </r>
  <r>
    <x v="3"/>
  </r>
  <r>
    <x v="3"/>
  </r>
  <r>
    <x v="3"/>
  </r>
  <r>
    <x v="1"/>
  </r>
  <r>
    <x v="1"/>
  </r>
  <r>
    <x v="0"/>
  </r>
  <r>
    <x v="3"/>
  </r>
  <r>
    <x v="1"/>
  </r>
  <r>
    <x v="0"/>
  </r>
  <r>
    <x v="2"/>
  </r>
  <r>
    <x v="2"/>
  </r>
  <r>
    <x v="2"/>
  </r>
  <r>
    <x v="3"/>
  </r>
  <r>
    <x v="1"/>
  </r>
  <r>
    <x v="3"/>
  </r>
  <r>
    <x v="3"/>
  </r>
  <r>
    <x v="1"/>
  </r>
  <r>
    <x v="1"/>
  </r>
  <r>
    <x v="0"/>
  </r>
  <r>
    <x v="2"/>
  </r>
  <r>
    <x v="2"/>
  </r>
  <r>
    <x v="2"/>
  </r>
  <r>
    <x v="2"/>
  </r>
  <r>
    <x v="3"/>
  </r>
  <r>
    <x v="0"/>
  </r>
  <r>
    <x v="2"/>
  </r>
  <r>
    <x v="2"/>
  </r>
  <r>
    <x v="2"/>
  </r>
  <r>
    <x v="0"/>
  </r>
  <r>
    <x v="0"/>
  </r>
  <r>
    <x v="0"/>
  </r>
  <r>
    <x v="2"/>
  </r>
  <r>
    <x v="3"/>
  </r>
  <r>
    <x v="2"/>
  </r>
  <r>
    <x v="2"/>
  </r>
  <r>
    <x v="1"/>
  </r>
  <r>
    <x v="4"/>
  </r>
  <r>
    <x v="0"/>
  </r>
  <r>
    <x v="1"/>
  </r>
  <r>
    <x v="0"/>
  </r>
  <r>
    <x v="2"/>
  </r>
  <r>
    <x v="4"/>
  </r>
  <r>
    <x v="2"/>
  </r>
  <r>
    <x v="0"/>
  </r>
  <r>
    <x v="2"/>
  </r>
  <r>
    <x v="3"/>
  </r>
  <r>
    <x v="0"/>
  </r>
  <r>
    <x v="3"/>
  </r>
  <r>
    <x v="2"/>
  </r>
  <r>
    <x v="3"/>
  </r>
  <r>
    <x v="3"/>
  </r>
  <r>
    <x v="4"/>
  </r>
  <r>
    <x v="1"/>
  </r>
  <r>
    <x v="3"/>
  </r>
  <r>
    <x v="2"/>
  </r>
  <r>
    <x v="1"/>
  </r>
  <r>
    <x v="2"/>
  </r>
  <r>
    <x v="2"/>
  </r>
  <r>
    <x v="3"/>
  </r>
  <r>
    <x v="1"/>
  </r>
  <r>
    <x v="2"/>
  </r>
  <r>
    <x v="2"/>
  </r>
  <r>
    <x v="0"/>
  </r>
  <r>
    <x v="2"/>
  </r>
  <r>
    <x v="0"/>
  </r>
  <r>
    <x v="3"/>
  </r>
  <r>
    <x v="3"/>
  </r>
  <r>
    <x v="2"/>
  </r>
  <r>
    <x v="2"/>
  </r>
  <r>
    <x v="1"/>
  </r>
  <r>
    <x v="1"/>
  </r>
  <r>
    <x v="2"/>
  </r>
  <r>
    <x v="2"/>
  </r>
  <r>
    <x v="2"/>
  </r>
  <r>
    <x v="0"/>
  </r>
  <r>
    <x v="1"/>
  </r>
  <r>
    <x v="3"/>
  </r>
  <r>
    <x v="0"/>
  </r>
  <r>
    <x v="1"/>
  </r>
  <r>
    <x v="4"/>
  </r>
  <r>
    <x v="2"/>
  </r>
  <r>
    <x v="2"/>
  </r>
  <r>
    <x v="2"/>
  </r>
  <r>
    <x v="1"/>
  </r>
  <r>
    <x v="1"/>
  </r>
  <r>
    <x v="0"/>
  </r>
  <r>
    <x v="2"/>
  </r>
  <r>
    <x v="2"/>
  </r>
  <r>
    <x v="3"/>
  </r>
  <r>
    <x v="0"/>
  </r>
  <r>
    <x v="2"/>
  </r>
  <r>
    <x v="2"/>
  </r>
  <r>
    <x v="1"/>
  </r>
  <r>
    <x v="3"/>
  </r>
  <r>
    <x v="3"/>
  </r>
  <r>
    <x v="2"/>
  </r>
  <r>
    <x v="1"/>
  </r>
  <r>
    <x v="0"/>
  </r>
  <r>
    <x v="1"/>
  </r>
  <r>
    <x v="0"/>
  </r>
  <r>
    <x v="4"/>
  </r>
  <r>
    <x v="1"/>
  </r>
  <r>
    <x v="0"/>
  </r>
  <r>
    <x v="4"/>
  </r>
  <r>
    <x v="3"/>
  </r>
  <r>
    <x v="3"/>
  </r>
  <r>
    <x v="2"/>
  </r>
  <r>
    <x v="0"/>
  </r>
  <r>
    <x v="1"/>
  </r>
  <r>
    <x v="1"/>
  </r>
  <r>
    <x v="2"/>
  </r>
  <r>
    <x v="3"/>
  </r>
  <r>
    <x v="2"/>
  </r>
  <r>
    <x v="0"/>
  </r>
  <r>
    <x v="2"/>
  </r>
  <r>
    <x v="1"/>
  </r>
  <r>
    <x v="2"/>
  </r>
  <r>
    <x v="3"/>
  </r>
  <r>
    <x v="1"/>
  </r>
  <r>
    <x v="3"/>
  </r>
  <r>
    <x v="2"/>
  </r>
  <r>
    <x v="0"/>
  </r>
  <r>
    <x v="2"/>
  </r>
  <r>
    <x v="4"/>
  </r>
  <r>
    <x v="0"/>
  </r>
  <r>
    <x v="2"/>
  </r>
  <r>
    <x v="0"/>
  </r>
  <r>
    <x v="2"/>
  </r>
  <r>
    <x v="1"/>
  </r>
  <r>
    <x v="4"/>
  </r>
  <r>
    <x v="1"/>
  </r>
  <r>
    <x v="3"/>
  </r>
  <r>
    <x v="3"/>
  </r>
  <r>
    <x v="2"/>
  </r>
  <r>
    <x v="0"/>
  </r>
  <r>
    <x v="0"/>
  </r>
  <r>
    <x v="3"/>
  </r>
  <r>
    <x v="1"/>
  </r>
  <r>
    <x v="2"/>
  </r>
  <r>
    <x v="2"/>
  </r>
  <r>
    <x v="2"/>
  </r>
  <r>
    <x v="2"/>
  </r>
  <r>
    <x v="2"/>
  </r>
  <r>
    <x v="0"/>
  </r>
  <r>
    <x v="3"/>
  </r>
  <r>
    <x v="2"/>
  </r>
  <r>
    <x v="1"/>
  </r>
  <r>
    <x v="2"/>
  </r>
  <r>
    <x v="0"/>
  </r>
  <r>
    <x v="3"/>
  </r>
  <r>
    <x v="0"/>
  </r>
  <r>
    <x v="4"/>
  </r>
  <r>
    <x v="2"/>
  </r>
  <r>
    <x v="0"/>
  </r>
  <r>
    <x v="1"/>
  </r>
  <r>
    <x v="0"/>
  </r>
  <r>
    <x v="2"/>
  </r>
  <r>
    <x v="3"/>
  </r>
  <r>
    <x v="0"/>
  </r>
  <r>
    <x v="1"/>
  </r>
  <r>
    <x v="2"/>
  </r>
  <r>
    <x v="2"/>
  </r>
  <r>
    <x v="3"/>
  </r>
  <r>
    <x v="2"/>
  </r>
  <r>
    <x v="2"/>
  </r>
  <r>
    <x v="2"/>
  </r>
  <r>
    <x v="2"/>
  </r>
  <r>
    <x v="2"/>
  </r>
  <r>
    <x v="4"/>
  </r>
  <r>
    <x v="2"/>
  </r>
  <r>
    <x v="2"/>
  </r>
  <r>
    <x v="2"/>
  </r>
  <r>
    <x v="4"/>
  </r>
  <r>
    <x v="1"/>
  </r>
  <r>
    <x v="1"/>
  </r>
  <r>
    <x v="2"/>
  </r>
  <r>
    <x v="1"/>
  </r>
  <r>
    <x v="3"/>
  </r>
  <r>
    <x v="2"/>
  </r>
  <r>
    <x v="0"/>
  </r>
  <r>
    <x v="1"/>
  </r>
  <r>
    <x v="1"/>
  </r>
  <r>
    <x v="1"/>
  </r>
  <r>
    <x v="4"/>
  </r>
  <r>
    <x v="2"/>
  </r>
  <r>
    <x v="3"/>
  </r>
  <r>
    <x v="2"/>
  </r>
  <r>
    <x v="1"/>
  </r>
  <r>
    <x v="2"/>
  </r>
  <r>
    <x v="1"/>
  </r>
  <r>
    <x v="3"/>
  </r>
  <r>
    <x v="3"/>
  </r>
  <r>
    <x v="2"/>
  </r>
  <r>
    <x v="3"/>
  </r>
  <r>
    <x v="1"/>
  </r>
  <r>
    <x v="2"/>
  </r>
  <r>
    <x v="3"/>
  </r>
  <r>
    <x v="2"/>
  </r>
  <r>
    <x v="3"/>
  </r>
  <r>
    <x v="2"/>
  </r>
  <r>
    <x v="2"/>
  </r>
  <r>
    <x v="1"/>
  </r>
  <r>
    <x v="3"/>
  </r>
  <r>
    <x v="2"/>
  </r>
  <r>
    <x v="0"/>
  </r>
  <r>
    <x v="2"/>
  </r>
  <r>
    <x v="2"/>
  </r>
  <r>
    <x v="0"/>
  </r>
  <r>
    <x v="2"/>
  </r>
  <r>
    <x v="0"/>
  </r>
  <r>
    <x v="0"/>
  </r>
  <r>
    <x v="1"/>
  </r>
  <r>
    <x v="4"/>
  </r>
  <r>
    <x v="2"/>
  </r>
  <r>
    <x v="3"/>
  </r>
  <r>
    <x v="3"/>
  </r>
  <r>
    <x v="2"/>
  </r>
  <r>
    <x v="1"/>
  </r>
  <r>
    <x v="1"/>
  </r>
  <r>
    <x v="0"/>
  </r>
  <r>
    <x v="0"/>
  </r>
  <r>
    <x v="2"/>
  </r>
  <r>
    <x v="0"/>
  </r>
  <r>
    <x v="1"/>
  </r>
  <r>
    <x v="0"/>
  </r>
  <r>
    <x v="2"/>
  </r>
  <r>
    <x v="0"/>
  </r>
  <r>
    <x v="3"/>
  </r>
  <r>
    <x v="0"/>
  </r>
  <r>
    <x v="0"/>
  </r>
  <r>
    <x v="3"/>
  </r>
  <r>
    <x v="1"/>
  </r>
  <r>
    <x v="1"/>
  </r>
  <r>
    <x v="2"/>
  </r>
  <r>
    <x v="4"/>
  </r>
  <r>
    <x v="0"/>
  </r>
  <r>
    <x v="1"/>
  </r>
  <r>
    <x v="1"/>
  </r>
  <r>
    <x v="3"/>
  </r>
  <r>
    <x v="1"/>
  </r>
  <r>
    <x v="2"/>
  </r>
  <r>
    <x v="2"/>
  </r>
  <r>
    <x v="0"/>
  </r>
  <r>
    <x v="1"/>
  </r>
  <r>
    <x v="1"/>
  </r>
  <r>
    <x v="0"/>
  </r>
  <r>
    <x v="0"/>
  </r>
  <r>
    <x v="3"/>
  </r>
  <r>
    <x v="4"/>
  </r>
  <r>
    <x v="3"/>
  </r>
  <r>
    <x v="1"/>
  </r>
  <r>
    <x v="0"/>
  </r>
  <r>
    <x v="0"/>
  </r>
  <r>
    <x v="3"/>
  </r>
  <r>
    <x v="4"/>
  </r>
  <r>
    <x v="0"/>
  </r>
  <r>
    <x v="4"/>
  </r>
  <r>
    <x v="2"/>
  </r>
  <r>
    <x v="0"/>
  </r>
  <r>
    <x v="1"/>
  </r>
  <r>
    <x v="1"/>
  </r>
  <r>
    <x v="1"/>
  </r>
  <r>
    <x v="2"/>
  </r>
  <r>
    <x v="2"/>
  </r>
  <r>
    <x v="3"/>
  </r>
  <r>
    <x v="2"/>
  </r>
  <r>
    <x v="4"/>
  </r>
  <r>
    <x v="2"/>
  </r>
  <r>
    <x v="3"/>
  </r>
  <r>
    <x v="2"/>
  </r>
  <r>
    <x v="0"/>
  </r>
  <r>
    <x v="3"/>
  </r>
  <r>
    <x v="2"/>
  </r>
  <r>
    <x v="3"/>
  </r>
  <r>
    <x v="3"/>
  </r>
  <r>
    <x v="4"/>
  </r>
  <r>
    <x v="2"/>
  </r>
  <r>
    <x v="0"/>
  </r>
  <r>
    <x v="4"/>
  </r>
  <r>
    <x v="1"/>
  </r>
  <r>
    <x v="4"/>
  </r>
  <r>
    <x v="4"/>
  </r>
  <r>
    <x v="0"/>
  </r>
  <r>
    <x v="0"/>
  </r>
  <r>
    <x v="2"/>
  </r>
  <r>
    <x v="3"/>
  </r>
  <r>
    <x v="1"/>
  </r>
  <r>
    <x v="0"/>
  </r>
  <r>
    <x v="1"/>
  </r>
  <r>
    <x v="1"/>
  </r>
  <r>
    <x v="2"/>
  </r>
  <r>
    <x v="1"/>
  </r>
  <r>
    <x v="3"/>
  </r>
  <r>
    <x v="2"/>
  </r>
  <r>
    <x v="1"/>
  </r>
  <r>
    <x v="3"/>
  </r>
  <r>
    <x v="1"/>
  </r>
  <r>
    <x v="0"/>
  </r>
  <r>
    <x v="3"/>
  </r>
  <r>
    <x v="1"/>
  </r>
  <r>
    <x v="0"/>
  </r>
  <r>
    <x v="3"/>
  </r>
  <r>
    <x v="2"/>
  </r>
  <r>
    <x v="1"/>
  </r>
  <r>
    <x v="2"/>
  </r>
  <r>
    <x v="1"/>
  </r>
  <r>
    <x v="3"/>
  </r>
  <r>
    <x v="0"/>
  </r>
  <r>
    <x v="4"/>
  </r>
  <r>
    <x v="2"/>
  </r>
  <r>
    <x v="0"/>
  </r>
  <r>
    <x v="1"/>
  </r>
  <r>
    <x v="1"/>
  </r>
  <r>
    <x v="0"/>
  </r>
  <r>
    <x v="0"/>
  </r>
  <r>
    <x v="1"/>
  </r>
  <r>
    <x v="1"/>
  </r>
  <r>
    <x v="1"/>
  </r>
  <r>
    <x v="3"/>
  </r>
  <r>
    <x v="4"/>
  </r>
  <r>
    <x v="3"/>
  </r>
  <r>
    <x v="2"/>
  </r>
  <r>
    <x v="3"/>
  </r>
  <r>
    <x v="2"/>
  </r>
  <r>
    <x v="2"/>
  </r>
  <r>
    <x v="3"/>
  </r>
  <r>
    <x v="2"/>
  </r>
  <r>
    <x v="0"/>
  </r>
  <r>
    <x v="2"/>
  </r>
  <r>
    <x v="2"/>
  </r>
  <r>
    <x v="2"/>
  </r>
  <r>
    <x v="2"/>
  </r>
  <r>
    <x v="2"/>
  </r>
  <r>
    <x v="0"/>
  </r>
  <r>
    <x v="4"/>
  </r>
  <r>
    <x v="1"/>
  </r>
  <r>
    <x v="1"/>
  </r>
  <r>
    <x v="2"/>
  </r>
  <r>
    <x v="2"/>
  </r>
  <r>
    <x v="2"/>
  </r>
  <r>
    <x v="1"/>
  </r>
  <r>
    <x v="2"/>
  </r>
  <r>
    <x v="0"/>
  </r>
  <r>
    <x v="2"/>
  </r>
  <r>
    <x v="2"/>
  </r>
  <r>
    <x v="4"/>
  </r>
  <r>
    <x v="1"/>
  </r>
  <r>
    <x v="1"/>
  </r>
  <r>
    <x v="0"/>
  </r>
  <r>
    <x v="1"/>
  </r>
  <r>
    <x v="0"/>
  </r>
  <r>
    <x v="4"/>
  </r>
  <r>
    <x v="3"/>
  </r>
  <r>
    <x v="0"/>
  </r>
  <r>
    <x v="0"/>
  </r>
  <r>
    <x v="3"/>
  </r>
  <r>
    <x v="1"/>
  </r>
  <r>
    <x v="4"/>
  </r>
  <r>
    <x v="0"/>
  </r>
  <r>
    <x v="3"/>
  </r>
  <r>
    <x v="3"/>
  </r>
  <r>
    <x v="1"/>
  </r>
  <r>
    <x v="0"/>
  </r>
  <r>
    <x v="2"/>
  </r>
  <r>
    <x v="0"/>
  </r>
  <r>
    <x v="2"/>
  </r>
  <r>
    <x v="1"/>
  </r>
  <r>
    <x v="3"/>
  </r>
  <r>
    <x v="3"/>
  </r>
  <r>
    <x v="1"/>
  </r>
  <r>
    <x v="2"/>
  </r>
  <r>
    <x v="2"/>
  </r>
  <r>
    <x v="3"/>
  </r>
  <r>
    <x v="2"/>
  </r>
  <r>
    <x v="3"/>
  </r>
  <r>
    <x v="4"/>
  </r>
  <r>
    <x v="1"/>
  </r>
  <r>
    <x v="1"/>
  </r>
  <r>
    <x v="4"/>
  </r>
  <r>
    <x v="3"/>
  </r>
  <r>
    <x v="3"/>
  </r>
  <r>
    <x v="2"/>
  </r>
  <r>
    <x v="1"/>
  </r>
  <r>
    <x v="0"/>
  </r>
  <r>
    <x v="2"/>
  </r>
  <r>
    <x v="3"/>
  </r>
  <r>
    <x v="0"/>
  </r>
  <r>
    <x v="0"/>
  </r>
  <r>
    <x v="1"/>
  </r>
  <r>
    <x v="3"/>
  </r>
  <r>
    <x v="1"/>
  </r>
  <r>
    <x v="3"/>
  </r>
  <r>
    <x v="1"/>
  </r>
  <r>
    <x v="4"/>
  </r>
  <r>
    <x v="1"/>
  </r>
  <r>
    <x v="2"/>
  </r>
  <r>
    <x v="2"/>
  </r>
  <r>
    <x v="3"/>
  </r>
  <r>
    <x v="3"/>
  </r>
  <r>
    <x v="0"/>
  </r>
  <r>
    <x v="4"/>
  </r>
  <r>
    <x v="2"/>
  </r>
  <r>
    <x v="3"/>
  </r>
  <r>
    <x v="2"/>
  </r>
  <r>
    <x v="1"/>
  </r>
  <r>
    <x v="4"/>
  </r>
  <r>
    <x v="3"/>
  </r>
  <r>
    <x v="2"/>
  </r>
  <r>
    <x v="1"/>
  </r>
  <r>
    <x v="0"/>
  </r>
  <r>
    <x v="3"/>
  </r>
  <r>
    <x v="1"/>
  </r>
  <r>
    <x v="4"/>
  </r>
  <r>
    <x v="0"/>
  </r>
  <r>
    <x v="0"/>
  </r>
  <r>
    <x v="3"/>
  </r>
  <r>
    <x v="0"/>
  </r>
  <r>
    <x v="3"/>
  </r>
  <r>
    <x v="3"/>
  </r>
  <r>
    <x v="2"/>
  </r>
  <r>
    <x v="2"/>
  </r>
  <r>
    <x v="2"/>
  </r>
  <r>
    <x v="0"/>
  </r>
  <r>
    <x v="0"/>
  </r>
  <r>
    <x v="0"/>
  </r>
  <r>
    <x v="3"/>
  </r>
  <r>
    <x v="3"/>
  </r>
  <r>
    <x v="1"/>
  </r>
  <r>
    <x v="3"/>
  </r>
  <r>
    <x v="4"/>
  </r>
  <r>
    <x v="3"/>
  </r>
  <r>
    <x v="0"/>
  </r>
  <r>
    <x v="2"/>
  </r>
  <r>
    <x v="0"/>
  </r>
  <r>
    <x v="1"/>
  </r>
  <r>
    <x v="4"/>
  </r>
  <r>
    <x v="4"/>
  </r>
  <r>
    <x v="3"/>
  </r>
  <r>
    <x v="0"/>
  </r>
  <r>
    <x v="3"/>
  </r>
  <r>
    <x v="0"/>
  </r>
  <r>
    <x v="2"/>
  </r>
  <r>
    <x v="1"/>
  </r>
  <r>
    <x v="1"/>
  </r>
  <r>
    <x v="3"/>
  </r>
  <r>
    <x v="3"/>
  </r>
  <r>
    <x v="2"/>
  </r>
  <r>
    <x v="0"/>
  </r>
  <r>
    <x v="3"/>
  </r>
  <r>
    <x v="1"/>
  </r>
  <r>
    <x v="0"/>
  </r>
  <r>
    <x v="0"/>
  </r>
  <r>
    <x v="0"/>
  </r>
  <r>
    <x v="2"/>
  </r>
  <r>
    <x v="4"/>
  </r>
  <r>
    <x v="0"/>
  </r>
  <r>
    <x v="4"/>
  </r>
  <r>
    <x v="0"/>
  </r>
  <r>
    <x v="1"/>
  </r>
  <r>
    <x v="2"/>
  </r>
  <r>
    <x v="0"/>
  </r>
  <r>
    <x v="1"/>
  </r>
  <r>
    <x v="1"/>
  </r>
  <r>
    <x v="1"/>
  </r>
  <r>
    <x v="2"/>
  </r>
  <r>
    <x v="4"/>
  </r>
  <r>
    <x v="4"/>
  </r>
  <r>
    <x v="2"/>
  </r>
  <r>
    <x v="4"/>
  </r>
  <r>
    <x v="3"/>
  </r>
  <r>
    <x v="0"/>
  </r>
  <r>
    <x v="3"/>
  </r>
  <r>
    <x v="4"/>
  </r>
  <r>
    <x v="2"/>
  </r>
  <r>
    <x v="0"/>
  </r>
  <r>
    <x v="3"/>
  </r>
  <r>
    <x v="3"/>
  </r>
  <r>
    <x v="0"/>
  </r>
  <r>
    <x v="2"/>
  </r>
  <r>
    <x v="1"/>
  </r>
  <r>
    <x v="4"/>
  </r>
  <r>
    <x v="1"/>
  </r>
  <r>
    <x v="1"/>
  </r>
  <r>
    <x v="3"/>
  </r>
  <r>
    <x v="3"/>
  </r>
  <r>
    <x v="0"/>
  </r>
  <r>
    <x v="2"/>
  </r>
  <r>
    <x v="4"/>
  </r>
  <r>
    <x v="2"/>
  </r>
  <r>
    <x v="1"/>
  </r>
  <r>
    <x v="2"/>
  </r>
  <r>
    <x v="1"/>
  </r>
  <r>
    <x v="2"/>
  </r>
  <r>
    <x v="2"/>
  </r>
  <r>
    <x v="1"/>
  </r>
  <r>
    <x v="3"/>
  </r>
  <r>
    <x v="1"/>
  </r>
  <r>
    <x v="0"/>
  </r>
  <r>
    <x v="2"/>
  </r>
  <r>
    <x v="4"/>
  </r>
  <r>
    <x v="3"/>
  </r>
  <r>
    <x v="1"/>
  </r>
  <r>
    <x v="0"/>
  </r>
  <r>
    <x v="0"/>
  </r>
  <r>
    <x v="3"/>
  </r>
  <r>
    <x v="2"/>
  </r>
  <r>
    <x v="0"/>
  </r>
  <r>
    <x v="3"/>
  </r>
  <r>
    <x v="3"/>
  </r>
  <r>
    <x v="0"/>
  </r>
  <r>
    <x v="0"/>
  </r>
  <r>
    <x v="2"/>
  </r>
  <r>
    <x v="3"/>
  </r>
  <r>
    <x v="3"/>
  </r>
  <r>
    <x v="2"/>
  </r>
  <r>
    <x v="2"/>
  </r>
  <r>
    <x v="2"/>
  </r>
  <r>
    <x v="4"/>
  </r>
  <r>
    <x v="1"/>
  </r>
  <r>
    <x v="2"/>
  </r>
  <r>
    <x v="2"/>
  </r>
  <r>
    <x v="1"/>
  </r>
  <r>
    <x v="3"/>
  </r>
  <r>
    <x v="1"/>
  </r>
  <r>
    <x v="4"/>
  </r>
  <r>
    <x v="0"/>
  </r>
  <r>
    <x v="2"/>
  </r>
  <r>
    <x v="1"/>
  </r>
  <r>
    <x v="4"/>
  </r>
  <r>
    <x v="0"/>
  </r>
  <r>
    <x v="0"/>
  </r>
  <r>
    <x v="3"/>
  </r>
  <r>
    <x v="3"/>
  </r>
  <r>
    <x v="1"/>
  </r>
  <r>
    <x v="4"/>
  </r>
  <r>
    <x v="0"/>
  </r>
  <r>
    <x v="1"/>
  </r>
  <r>
    <x v="2"/>
  </r>
  <r>
    <x v="2"/>
  </r>
  <r>
    <x v="0"/>
  </r>
  <r>
    <x v="2"/>
  </r>
  <r>
    <x v="0"/>
  </r>
  <r>
    <x v="3"/>
  </r>
  <r>
    <x v="1"/>
  </r>
  <r>
    <x v="1"/>
  </r>
  <r>
    <x v="3"/>
  </r>
  <r>
    <x v="2"/>
  </r>
  <r>
    <x v="0"/>
  </r>
  <r>
    <x v="4"/>
  </r>
  <r>
    <x v="0"/>
  </r>
  <r>
    <x v="2"/>
  </r>
  <r>
    <x v="2"/>
  </r>
  <r>
    <x v="3"/>
  </r>
  <r>
    <x v="2"/>
  </r>
  <r>
    <x v="1"/>
  </r>
  <r>
    <x v="1"/>
  </r>
  <r>
    <x v="2"/>
  </r>
  <r>
    <x v="3"/>
  </r>
  <r>
    <x v="2"/>
  </r>
  <r>
    <x v="1"/>
  </r>
  <r>
    <x v="0"/>
  </r>
  <r>
    <x v="0"/>
  </r>
  <r>
    <x v="3"/>
  </r>
  <r>
    <x v="0"/>
  </r>
  <r>
    <x v="3"/>
  </r>
  <r>
    <x v="3"/>
  </r>
  <r>
    <x v="0"/>
  </r>
  <r>
    <x v="0"/>
  </r>
  <r>
    <x v="3"/>
  </r>
  <r>
    <x v="2"/>
  </r>
  <r>
    <x v="3"/>
  </r>
  <r>
    <x v="3"/>
  </r>
  <r>
    <x v="0"/>
  </r>
  <r>
    <x v="1"/>
  </r>
  <r>
    <x v="2"/>
  </r>
  <r>
    <x v="2"/>
  </r>
  <r>
    <x v="2"/>
  </r>
  <r>
    <x v="0"/>
  </r>
  <r>
    <x v="3"/>
  </r>
  <r>
    <x v="1"/>
  </r>
  <r>
    <x v="2"/>
  </r>
  <r>
    <x v="0"/>
  </r>
  <r>
    <x v="1"/>
  </r>
  <r>
    <x v="1"/>
  </r>
  <r>
    <x v="4"/>
  </r>
  <r>
    <x v="1"/>
  </r>
  <r>
    <x v="1"/>
  </r>
  <r>
    <x v="2"/>
  </r>
  <r>
    <x v="2"/>
  </r>
  <r>
    <x v="2"/>
  </r>
  <r>
    <x v="1"/>
  </r>
  <r>
    <x v="4"/>
  </r>
  <r>
    <x v="2"/>
  </r>
  <r>
    <x v="0"/>
  </r>
  <r>
    <x v="1"/>
  </r>
  <r>
    <x v="4"/>
  </r>
  <r>
    <x v="0"/>
  </r>
  <r>
    <x v="4"/>
  </r>
  <r>
    <x v="3"/>
  </r>
  <r>
    <x v="3"/>
  </r>
  <r>
    <x v="0"/>
  </r>
  <r>
    <x v="3"/>
  </r>
  <r>
    <x v="2"/>
  </r>
  <r>
    <x v="1"/>
  </r>
  <r>
    <x v="1"/>
  </r>
  <r>
    <x v="1"/>
  </r>
  <r>
    <x v="3"/>
  </r>
  <r>
    <x v="0"/>
  </r>
  <r>
    <x v="3"/>
  </r>
  <r>
    <x v="2"/>
  </r>
  <r>
    <x v="0"/>
  </r>
  <r>
    <x v="2"/>
  </r>
  <r>
    <x v="2"/>
  </r>
  <r>
    <x v="1"/>
  </r>
  <r>
    <x v="2"/>
  </r>
  <r>
    <x v="4"/>
  </r>
  <r>
    <x v="0"/>
  </r>
  <r>
    <x v="4"/>
  </r>
  <r>
    <x v="2"/>
  </r>
  <r>
    <x v="0"/>
  </r>
  <r>
    <x v="3"/>
  </r>
  <r>
    <x v="1"/>
  </r>
  <r>
    <x v="3"/>
  </r>
  <r>
    <x v="2"/>
  </r>
  <r>
    <x v="1"/>
  </r>
  <r>
    <x v="3"/>
  </r>
  <r>
    <x v="2"/>
  </r>
  <r>
    <x v="3"/>
  </r>
  <r>
    <x v="0"/>
  </r>
  <r>
    <x v="2"/>
  </r>
  <r>
    <x v="3"/>
  </r>
  <r>
    <x v="2"/>
  </r>
  <r>
    <x v="0"/>
  </r>
  <r>
    <x v="1"/>
  </r>
  <r>
    <x v="3"/>
  </r>
  <r>
    <x v="3"/>
  </r>
  <r>
    <x v="2"/>
  </r>
  <r>
    <x v="2"/>
  </r>
  <r>
    <x v="2"/>
  </r>
  <r>
    <x v="0"/>
  </r>
  <r>
    <x v="0"/>
  </r>
  <r>
    <x v="4"/>
  </r>
  <r>
    <x v="2"/>
  </r>
  <r>
    <x v="0"/>
  </r>
  <r>
    <x v="0"/>
  </r>
  <r>
    <x v="0"/>
  </r>
  <r>
    <x v="1"/>
  </r>
  <r>
    <x v="2"/>
  </r>
  <r>
    <x v="2"/>
  </r>
  <r>
    <x v="0"/>
  </r>
  <r>
    <x v="3"/>
  </r>
  <r>
    <x v="2"/>
  </r>
  <r>
    <x v="2"/>
  </r>
  <r>
    <x v="3"/>
  </r>
  <r>
    <x v="0"/>
  </r>
  <r>
    <x v="2"/>
  </r>
  <r>
    <x v="3"/>
  </r>
  <r>
    <x v="0"/>
  </r>
  <r>
    <x v="3"/>
  </r>
  <r>
    <x v="4"/>
  </r>
  <r>
    <x v="2"/>
  </r>
  <r>
    <x v="4"/>
  </r>
  <r>
    <x v="0"/>
  </r>
  <r>
    <x v="1"/>
  </r>
  <r>
    <x v="3"/>
  </r>
  <r>
    <x v="3"/>
  </r>
  <r>
    <x v="1"/>
  </r>
  <r>
    <x v="1"/>
  </r>
  <r>
    <x v="2"/>
  </r>
  <r>
    <x v="2"/>
  </r>
  <r>
    <x v="0"/>
  </r>
  <r>
    <x v="1"/>
  </r>
  <r>
    <x v="3"/>
  </r>
  <r>
    <x v="0"/>
  </r>
  <r>
    <x v="1"/>
  </r>
  <r>
    <x v="1"/>
  </r>
  <r>
    <x v="0"/>
  </r>
  <r>
    <x v="3"/>
  </r>
  <r>
    <x v="4"/>
  </r>
  <r>
    <x v="0"/>
  </r>
  <r>
    <x v="1"/>
  </r>
  <r>
    <x v="3"/>
  </r>
  <r>
    <x v="0"/>
  </r>
  <r>
    <x v="2"/>
  </r>
  <r>
    <x v="2"/>
  </r>
  <r>
    <x v="1"/>
  </r>
  <r>
    <x v="0"/>
  </r>
  <r>
    <x v="0"/>
  </r>
  <r>
    <x v="2"/>
  </r>
  <r>
    <x v="0"/>
  </r>
  <r>
    <x v="3"/>
  </r>
  <r>
    <x v="0"/>
  </r>
  <r>
    <x v="3"/>
  </r>
  <r>
    <x v="1"/>
  </r>
  <r>
    <x v="1"/>
  </r>
  <r>
    <x v="2"/>
  </r>
  <r>
    <x v="3"/>
  </r>
  <r>
    <x v="0"/>
  </r>
  <r>
    <x v="0"/>
  </r>
  <r>
    <x v="1"/>
  </r>
  <r>
    <x v="0"/>
  </r>
  <r>
    <x v="3"/>
  </r>
  <r>
    <x v="3"/>
  </r>
  <r>
    <x v="2"/>
  </r>
  <r>
    <x v="2"/>
  </r>
  <r>
    <x v="0"/>
  </r>
  <r>
    <x v="2"/>
  </r>
  <r>
    <x v="4"/>
  </r>
  <r>
    <x v="1"/>
  </r>
  <r>
    <x v="1"/>
  </r>
  <r>
    <x v="1"/>
  </r>
  <r>
    <x v="3"/>
  </r>
  <r>
    <x v="1"/>
  </r>
  <r>
    <x v="2"/>
  </r>
  <r>
    <x v="2"/>
  </r>
  <r>
    <x v="1"/>
  </r>
  <r>
    <x v="2"/>
  </r>
  <r>
    <x v="4"/>
  </r>
  <r>
    <x v="0"/>
  </r>
  <r>
    <x v="1"/>
  </r>
  <r>
    <x v="2"/>
  </r>
  <r>
    <x v="0"/>
  </r>
  <r>
    <x v="2"/>
  </r>
  <r>
    <x v="1"/>
  </r>
  <r>
    <x v="2"/>
  </r>
  <r>
    <x v="0"/>
  </r>
  <r>
    <x v="2"/>
  </r>
  <r>
    <x v="2"/>
  </r>
  <r>
    <x v="0"/>
  </r>
  <r>
    <x v="2"/>
  </r>
  <r>
    <x v="1"/>
  </r>
  <r>
    <x v="2"/>
  </r>
  <r>
    <x v="3"/>
  </r>
  <r>
    <x v="0"/>
  </r>
  <r>
    <x v="3"/>
  </r>
  <r>
    <x v="3"/>
  </r>
  <r>
    <x v="1"/>
  </r>
  <r>
    <x v="2"/>
  </r>
  <r>
    <x v="2"/>
  </r>
  <r>
    <x v="3"/>
  </r>
  <r>
    <x v="3"/>
  </r>
  <r>
    <x v="0"/>
  </r>
  <r>
    <x v="3"/>
  </r>
  <r>
    <x v="1"/>
  </r>
  <r>
    <x v="2"/>
  </r>
  <r>
    <x v="3"/>
  </r>
  <r>
    <x v="3"/>
  </r>
  <r>
    <x v="0"/>
  </r>
  <r>
    <x v="4"/>
  </r>
  <r>
    <x v="0"/>
  </r>
  <r>
    <x v="4"/>
  </r>
  <r>
    <x v="3"/>
  </r>
  <r>
    <x v="2"/>
  </r>
  <r>
    <x v="2"/>
  </r>
  <r>
    <x v="3"/>
  </r>
  <r>
    <x v="3"/>
  </r>
  <r>
    <x v="2"/>
  </r>
  <r>
    <x v="3"/>
  </r>
  <r>
    <x v="3"/>
  </r>
  <r>
    <x v="2"/>
  </r>
  <r>
    <x v="3"/>
  </r>
  <r>
    <x v="1"/>
  </r>
  <r>
    <x v="3"/>
  </r>
  <r>
    <x v="1"/>
  </r>
  <r>
    <x v="0"/>
  </r>
  <r>
    <x v="3"/>
  </r>
  <r>
    <x v="2"/>
  </r>
  <r>
    <x v="3"/>
  </r>
  <r>
    <x v="0"/>
  </r>
  <r>
    <x v="3"/>
  </r>
  <r>
    <x v="2"/>
  </r>
  <r>
    <x v="2"/>
  </r>
  <r>
    <x v="1"/>
  </r>
  <r>
    <x v="3"/>
  </r>
  <r>
    <x v="0"/>
  </r>
  <r>
    <x v="0"/>
  </r>
  <r>
    <x v="1"/>
  </r>
  <r>
    <x v="0"/>
  </r>
  <r>
    <x v="0"/>
  </r>
  <r>
    <x v="4"/>
  </r>
  <r>
    <x v="1"/>
  </r>
  <r>
    <x v="2"/>
  </r>
  <r>
    <x v="2"/>
  </r>
  <r>
    <x v="1"/>
  </r>
  <r>
    <x v="1"/>
  </r>
  <r>
    <x v="0"/>
  </r>
  <r>
    <x v="0"/>
  </r>
  <r>
    <x v="0"/>
  </r>
  <r>
    <x v="3"/>
  </r>
  <r>
    <x v="0"/>
  </r>
  <r>
    <x v="2"/>
  </r>
  <r>
    <x v="4"/>
  </r>
  <r>
    <x v="1"/>
  </r>
  <r>
    <x v="0"/>
  </r>
  <r>
    <x v="3"/>
  </r>
  <r>
    <x v="2"/>
  </r>
  <r>
    <x v="3"/>
  </r>
  <r>
    <x v="0"/>
  </r>
  <r>
    <x v="0"/>
  </r>
  <r>
    <x v="3"/>
  </r>
  <r>
    <x v="0"/>
  </r>
  <r>
    <x v="1"/>
  </r>
  <r>
    <x v="2"/>
  </r>
  <r>
    <x v="3"/>
  </r>
  <r>
    <x v="1"/>
  </r>
  <r>
    <x v="0"/>
  </r>
  <r>
    <x v="0"/>
  </r>
  <r>
    <x v="0"/>
  </r>
  <r>
    <x v="4"/>
  </r>
  <r>
    <x v="2"/>
  </r>
  <r>
    <x v="0"/>
  </r>
  <r>
    <x v="2"/>
  </r>
  <r>
    <x v="2"/>
  </r>
  <r>
    <x v="3"/>
  </r>
  <r>
    <x v="2"/>
  </r>
  <r>
    <x v="4"/>
  </r>
  <r>
    <x v="4"/>
  </r>
  <r>
    <x v="3"/>
  </r>
  <r>
    <x v="0"/>
  </r>
  <r>
    <x v="0"/>
  </r>
  <r>
    <x v="1"/>
  </r>
  <r>
    <x v="0"/>
  </r>
  <r>
    <x v="2"/>
  </r>
  <r>
    <x v="1"/>
  </r>
  <r>
    <x v="1"/>
  </r>
  <r>
    <x v="0"/>
  </r>
  <r>
    <x v="1"/>
  </r>
  <r>
    <x v="1"/>
  </r>
  <r>
    <x v="0"/>
  </r>
  <r>
    <x v="0"/>
  </r>
  <r>
    <x v="4"/>
  </r>
  <r>
    <x v="3"/>
  </r>
  <r>
    <x v="3"/>
  </r>
  <r>
    <x v="2"/>
  </r>
  <r>
    <x v="1"/>
  </r>
  <r>
    <x v="1"/>
  </r>
  <r>
    <x v="2"/>
  </r>
  <r>
    <x v="4"/>
  </r>
  <r>
    <x v="1"/>
  </r>
  <r>
    <x v="1"/>
  </r>
  <r>
    <x v="2"/>
  </r>
  <r>
    <x v="0"/>
  </r>
  <r>
    <x v="0"/>
  </r>
  <r>
    <x v="0"/>
  </r>
  <r>
    <x v="0"/>
  </r>
  <r>
    <x v="1"/>
  </r>
  <r>
    <x v="3"/>
  </r>
  <r>
    <x v="1"/>
  </r>
  <r>
    <x v="2"/>
  </r>
  <r>
    <x v="2"/>
  </r>
  <r>
    <x v="2"/>
  </r>
  <r>
    <x v="3"/>
  </r>
  <r>
    <x v="3"/>
  </r>
  <r>
    <x v="1"/>
  </r>
  <r>
    <x v="0"/>
  </r>
  <r>
    <x v="3"/>
  </r>
  <r>
    <x v="0"/>
  </r>
  <r>
    <x v="2"/>
  </r>
  <r>
    <x v="2"/>
  </r>
  <r>
    <x v="0"/>
  </r>
  <r>
    <x v="0"/>
  </r>
  <r>
    <x v="1"/>
  </r>
  <r>
    <x v="3"/>
  </r>
  <r>
    <x v="1"/>
  </r>
  <r>
    <x v="0"/>
  </r>
  <r>
    <x v="4"/>
  </r>
  <r>
    <x v="2"/>
  </r>
  <r>
    <x v="0"/>
  </r>
  <r>
    <x v="0"/>
  </r>
  <r>
    <x v="4"/>
  </r>
  <r>
    <x v="2"/>
  </r>
  <r>
    <x v="0"/>
  </r>
  <r>
    <x v="3"/>
  </r>
  <r>
    <x v="0"/>
  </r>
  <r>
    <x v="2"/>
  </r>
  <r>
    <x v="2"/>
  </r>
  <r>
    <x v="0"/>
  </r>
  <r>
    <x v="3"/>
  </r>
  <r>
    <x v="2"/>
  </r>
  <r>
    <x v="3"/>
  </r>
  <r>
    <x v="2"/>
  </r>
  <r>
    <x v="4"/>
  </r>
  <r>
    <x v="0"/>
  </r>
  <r>
    <x v="1"/>
  </r>
  <r>
    <x v="3"/>
  </r>
  <r>
    <x v="1"/>
  </r>
  <r>
    <x v="0"/>
  </r>
  <r>
    <x v="0"/>
  </r>
  <r>
    <x v="0"/>
  </r>
  <r>
    <x v="1"/>
  </r>
  <r>
    <x v="0"/>
  </r>
  <r>
    <x v="2"/>
  </r>
  <r>
    <x v="2"/>
  </r>
  <r>
    <x v="0"/>
  </r>
  <r>
    <x v="0"/>
  </r>
  <r>
    <x v="2"/>
  </r>
  <r>
    <x v="3"/>
  </r>
  <r>
    <x v="0"/>
  </r>
  <r>
    <x v="1"/>
  </r>
  <r>
    <x v="2"/>
  </r>
  <r>
    <x v="3"/>
  </r>
  <r>
    <x v="1"/>
  </r>
  <r>
    <x v="0"/>
  </r>
  <r>
    <x v="3"/>
  </r>
  <r>
    <x v="1"/>
  </r>
  <r>
    <x v="0"/>
  </r>
  <r>
    <x v="0"/>
  </r>
  <r>
    <x v="4"/>
  </r>
  <r>
    <x v="4"/>
  </r>
  <r>
    <x v="3"/>
  </r>
  <r>
    <x v="2"/>
  </r>
  <r>
    <x v="3"/>
  </r>
  <r>
    <x v="2"/>
  </r>
  <r>
    <x v="2"/>
  </r>
  <r>
    <x v="3"/>
  </r>
  <r>
    <x v="4"/>
  </r>
  <r>
    <x v="1"/>
  </r>
  <r>
    <x v="0"/>
  </r>
  <r>
    <x v="0"/>
  </r>
  <r>
    <x v="2"/>
  </r>
  <r>
    <x v="2"/>
  </r>
  <r>
    <x v="2"/>
  </r>
  <r>
    <x v="1"/>
  </r>
  <r>
    <x v="2"/>
  </r>
  <r>
    <x v="1"/>
  </r>
  <r>
    <x v="0"/>
  </r>
  <r>
    <x v="2"/>
  </r>
  <r>
    <x v="2"/>
  </r>
  <r>
    <x v="0"/>
  </r>
  <r>
    <x v="1"/>
  </r>
  <r>
    <x v="1"/>
  </r>
  <r>
    <x v="3"/>
  </r>
  <r>
    <x v="0"/>
  </r>
  <r>
    <x v="3"/>
  </r>
  <r>
    <x v="4"/>
  </r>
  <r>
    <x v="1"/>
  </r>
  <r>
    <x v="0"/>
  </r>
  <r>
    <x v="3"/>
  </r>
  <r>
    <x v="0"/>
  </r>
  <r>
    <x v="3"/>
  </r>
  <r>
    <x v="2"/>
  </r>
  <r>
    <x v="3"/>
  </r>
  <r>
    <x v="4"/>
  </r>
  <r>
    <x v="0"/>
  </r>
  <r>
    <x v="2"/>
  </r>
  <r>
    <x v="1"/>
  </r>
  <r>
    <x v="2"/>
  </r>
  <r>
    <x v="2"/>
  </r>
  <r>
    <x v="3"/>
  </r>
  <r>
    <x v="0"/>
  </r>
  <r>
    <x v="0"/>
  </r>
  <r>
    <x v="0"/>
  </r>
  <r>
    <x v="1"/>
  </r>
  <r>
    <x v="3"/>
  </r>
  <r>
    <x v="1"/>
  </r>
  <r>
    <x v="2"/>
  </r>
  <r>
    <x v="1"/>
  </r>
  <r>
    <x v="0"/>
  </r>
  <r>
    <x v="0"/>
  </r>
  <r>
    <x v="0"/>
  </r>
  <r>
    <x v="0"/>
  </r>
  <r>
    <x v="2"/>
  </r>
  <r>
    <x v="1"/>
  </r>
  <r>
    <x v="2"/>
  </r>
  <r>
    <x v="2"/>
  </r>
  <r>
    <x v="0"/>
  </r>
  <r>
    <x v="1"/>
  </r>
  <r>
    <x v="2"/>
  </r>
  <r>
    <x v="4"/>
  </r>
  <r>
    <x v="4"/>
  </r>
  <r>
    <x v="0"/>
  </r>
  <r>
    <x v="0"/>
  </r>
  <r>
    <x v="1"/>
  </r>
  <r>
    <x v="3"/>
  </r>
  <r>
    <x v="0"/>
  </r>
  <r>
    <x v="1"/>
  </r>
  <r>
    <x v="4"/>
  </r>
  <r>
    <x v="4"/>
  </r>
  <r>
    <x v="2"/>
  </r>
  <r>
    <x v="2"/>
  </r>
  <r>
    <x v="3"/>
  </r>
  <r>
    <x v="3"/>
  </r>
  <r>
    <x v="3"/>
  </r>
  <r>
    <x v="3"/>
  </r>
  <r>
    <x v="0"/>
  </r>
  <r>
    <x v="1"/>
  </r>
  <r>
    <x v="1"/>
  </r>
  <r>
    <x v="1"/>
  </r>
  <r>
    <x v="2"/>
  </r>
  <r>
    <x v="2"/>
  </r>
  <r>
    <x v="1"/>
  </r>
  <r>
    <x v="0"/>
  </r>
  <r>
    <x v="0"/>
  </r>
  <r>
    <x v="2"/>
  </r>
  <r>
    <x v="2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2"/>
  </r>
  <r>
    <x v="0"/>
  </r>
  <r>
    <x v="1"/>
  </r>
  <r>
    <x v="2"/>
  </r>
  <r>
    <x v="1"/>
  </r>
  <r>
    <x v="2"/>
  </r>
  <r>
    <x v="1"/>
  </r>
  <r>
    <x v="0"/>
  </r>
  <r>
    <x v="2"/>
  </r>
  <r>
    <x v="3"/>
  </r>
  <r>
    <x v="0"/>
  </r>
  <r>
    <x v="0"/>
  </r>
  <r>
    <x v="3"/>
  </r>
  <r>
    <x v="1"/>
  </r>
  <r>
    <x v="0"/>
  </r>
  <r>
    <x v="0"/>
  </r>
  <r>
    <x v="2"/>
  </r>
  <r>
    <x v="4"/>
  </r>
  <r>
    <x v="2"/>
  </r>
  <r>
    <x v="0"/>
  </r>
  <r>
    <x v="1"/>
  </r>
  <r>
    <x v="2"/>
  </r>
  <r>
    <x v="0"/>
  </r>
  <r>
    <x v="2"/>
  </r>
  <r>
    <x v="1"/>
  </r>
  <r>
    <x v="0"/>
  </r>
  <r>
    <x v="1"/>
  </r>
  <r>
    <x v="1"/>
  </r>
  <r>
    <x v="0"/>
  </r>
  <r>
    <x v="1"/>
  </r>
  <r>
    <x v="0"/>
  </r>
  <r>
    <x v="3"/>
  </r>
  <r>
    <x v="0"/>
  </r>
  <r>
    <x v="1"/>
  </r>
  <r>
    <x v="3"/>
  </r>
  <r>
    <x v="3"/>
  </r>
  <r>
    <x v="3"/>
  </r>
  <r>
    <x v="3"/>
  </r>
  <r>
    <x v="2"/>
  </r>
  <r>
    <x v="0"/>
  </r>
  <r>
    <x v="0"/>
  </r>
  <r>
    <x v="0"/>
  </r>
  <r>
    <x v="3"/>
  </r>
  <r>
    <x v="0"/>
  </r>
  <r>
    <x v="1"/>
  </r>
  <r>
    <x v="4"/>
  </r>
  <r>
    <x v="0"/>
  </r>
  <r>
    <x v="2"/>
  </r>
  <r>
    <x v="4"/>
  </r>
  <r>
    <x v="1"/>
  </r>
  <r>
    <x v="3"/>
  </r>
  <r>
    <x v="2"/>
  </r>
  <r>
    <x v="2"/>
  </r>
  <r>
    <x v="2"/>
  </r>
  <r>
    <x v="2"/>
  </r>
  <r>
    <x v="1"/>
  </r>
  <r>
    <x v="0"/>
  </r>
  <r>
    <x v="0"/>
  </r>
  <r>
    <x v="1"/>
  </r>
  <r>
    <x v="1"/>
  </r>
  <r>
    <x v="1"/>
  </r>
  <r>
    <x v="4"/>
  </r>
  <r>
    <x v="3"/>
  </r>
  <r>
    <x v="4"/>
  </r>
  <r>
    <x v="1"/>
  </r>
  <r>
    <x v="2"/>
  </r>
  <r>
    <x v="0"/>
  </r>
  <r>
    <x v="0"/>
  </r>
  <r>
    <x v="1"/>
  </r>
  <r>
    <x v="3"/>
  </r>
  <r>
    <x v="0"/>
  </r>
  <r>
    <x v="2"/>
  </r>
  <r>
    <x v="3"/>
  </r>
  <r>
    <x v="2"/>
  </r>
  <r>
    <x v="0"/>
  </r>
  <r>
    <x v="1"/>
  </r>
  <r>
    <x v="2"/>
  </r>
  <r>
    <x v="0"/>
  </r>
  <r>
    <x v="2"/>
  </r>
  <r>
    <x v="2"/>
  </r>
  <r>
    <x v="0"/>
  </r>
  <r>
    <x v="2"/>
  </r>
  <r>
    <x v="0"/>
  </r>
  <r>
    <x v="2"/>
  </r>
  <r>
    <x v="2"/>
  </r>
  <r>
    <x v="0"/>
  </r>
  <r>
    <x v="0"/>
  </r>
  <r>
    <x v="2"/>
  </r>
  <r>
    <x v="0"/>
  </r>
  <r>
    <x v="1"/>
  </r>
  <r>
    <x v="1"/>
  </r>
  <r>
    <x v="2"/>
  </r>
  <r>
    <x v="0"/>
  </r>
  <r>
    <x v="0"/>
  </r>
  <r>
    <x v="2"/>
  </r>
  <r>
    <x v="1"/>
  </r>
  <r>
    <x v="1"/>
  </r>
  <r>
    <x v="1"/>
  </r>
  <r>
    <x v="1"/>
  </r>
  <r>
    <x v="1"/>
  </r>
  <r>
    <x v="0"/>
  </r>
  <r>
    <x v="0"/>
  </r>
  <r>
    <x v="1"/>
  </r>
  <r>
    <x v="0"/>
  </r>
  <r>
    <x v="3"/>
  </r>
  <r>
    <x v="3"/>
  </r>
  <r>
    <x v="1"/>
  </r>
  <r>
    <x v="2"/>
  </r>
  <r>
    <x v="0"/>
  </r>
  <r>
    <x v="4"/>
  </r>
  <r>
    <x v="1"/>
  </r>
  <r>
    <x v="4"/>
  </r>
  <r>
    <x v="0"/>
  </r>
  <r>
    <x v="2"/>
  </r>
  <r>
    <x v="1"/>
  </r>
  <r>
    <x v="3"/>
  </r>
  <r>
    <x v="3"/>
  </r>
  <r>
    <x v="3"/>
  </r>
  <r>
    <x v="2"/>
  </r>
  <r>
    <x v="3"/>
  </r>
  <r>
    <x v="3"/>
  </r>
  <r>
    <x v="0"/>
  </r>
  <r>
    <x v="1"/>
  </r>
  <r>
    <x v="3"/>
  </r>
  <r>
    <x v="2"/>
  </r>
  <r>
    <x v="0"/>
  </r>
  <r>
    <x v="0"/>
  </r>
  <r>
    <x v="1"/>
  </r>
  <r>
    <x v="2"/>
  </r>
  <r>
    <x v="1"/>
  </r>
  <r>
    <x v="0"/>
  </r>
  <r>
    <x v="0"/>
  </r>
  <r>
    <x v="2"/>
  </r>
  <r>
    <x v="3"/>
  </r>
  <r>
    <x v="2"/>
  </r>
  <r>
    <x v="2"/>
  </r>
  <r>
    <x v="0"/>
  </r>
  <r>
    <x v="1"/>
  </r>
  <r>
    <x v="1"/>
  </r>
  <r>
    <x v="0"/>
  </r>
  <r>
    <x v="0"/>
  </r>
  <r>
    <x v="3"/>
  </r>
  <r>
    <x v="4"/>
  </r>
  <r>
    <x v="0"/>
  </r>
  <r>
    <x v="2"/>
  </r>
  <r>
    <x v="2"/>
  </r>
  <r>
    <x v="0"/>
  </r>
  <r>
    <x v="0"/>
  </r>
  <r>
    <x v="2"/>
  </r>
  <r>
    <x v="1"/>
  </r>
  <r>
    <x v="1"/>
  </r>
  <r>
    <x v="0"/>
  </r>
  <r>
    <x v="2"/>
  </r>
  <r>
    <x v="3"/>
  </r>
  <r>
    <x v="4"/>
  </r>
  <r>
    <x v="1"/>
  </r>
  <r>
    <x v="3"/>
  </r>
  <r>
    <x v="2"/>
  </r>
  <r>
    <x v="3"/>
  </r>
  <r>
    <x v="3"/>
  </r>
  <r>
    <x v="0"/>
  </r>
  <r>
    <x v="4"/>
  </r>
  <r>
    <x v="3"/>
  </r>
  <r>
    <x v="2"/>
  </r>
  <r>
    <x v="1"/>
  </r>
  <r>
    <x v="2"/>
  </r>
  <r>
    <x v="4"/>
  </r>
  <r>
    <x v="0"/>
  </r>
  <r>
    <x v="4"/>
  </r>
  <r>
    <x v="2"/>
  </r>
  <r>
    <x v="2"/>
  </r>
  <r>
    <x v="0"/>
  </r>
  <r>
    <x v="3"/>
  </r>
  <r>
    <x v="3"/>
  </r>
  <r>
    <x v="4"/>
  </r>
  <r>
    <x v="1"/>
  </r>
  <r>
    <x v="0"/>
  </r>
  <r>
    <x v="2"/>
  </r>
  <r>
    <x v="1"/>
  </r>
  <r>
    <x v="1"/>
  </r>
  <r>
    <x v="3"/>
  </r>
  <r>
    <x v="4"/>
  </r>
  <r>
    <x v="2"/>
  </r>
  <r>
    <x v="2"/>
  </r>
  <r>
    <x v="2"/>
  </r>
  <r>
    <x v="1"/>
  </r>
  <r>
    <x v="0"/>
  </r>
  <r>
    <x v="3"/>
  </r>
  <r>
    <x v="2"/>
  </r>
  <r>
    <x v="2"/>
  </r>
  <r>
    <x v="2"/>
  </r>
  <r>
    <x v="3"/>
  </r>
  <r>
    <x v="2"/>
  </r>
  <r>
    <x v="2"/>
  </r>
  <r>
    <x v="1"/>
  </r>
  <r>
    <x v="0"/>
  </r>
  <r>
    <x v="1"/>
  </r>
  <r>
    <x v="2"/>
  </r>
  <r>
    <x v="3"/>
  </r>
  <r>
    <x v="3"/>
  </r>
  <r>
    <x v="2"/>
  </r>
  <r>
    <x v="2"/>
  </r>
  <r>
    <x v="1"/>
  </r>
  <r>
    <x v="4"/>
  </r>
  <r>
    <x v="2"/>
  </r>
  <r>
    <x v="3"/>
  </r>
  <r>
    <x v="4"/>
  </r>
  <r>
    <x v="2"/>
  </r>
  <r>
    <x v="0"/>
  </r>
  <r>
    <x v="4"/>
  </r>
  <r>
    <x v="4"/>
  </r>
  <r>
    <x v="3"/>
  </r>
  <r>
    <x v="2"/>
  </r>
  <r>
    <x v="2"/>
  </r>
  <r>
    <x v="1"/>
  </r>
  <r>
    <x v="1"/>
  </r>
  <r>
    <x v="0"/>
  </r>
  <r>
    <x v="1"/>
  </r>
  <r>
    <x v="1"/>
  </r>
  <r>
    <x v="0"/>
  </r>
  <r>
    <x v="1"/>
  </r>
  <r>
    <x v="0"/>
  </r>
  <r>
    <x v="0"/>
  </r>
  <r>
    <x v="2"/>
  </r>
  <r>
    <x v="1"/>
  </r>
  <r>
    <x v="3"/>
  </r>
  <r>
    <x v="3"/>
  </r>
  <r>
    <x v="1"/>
  </r>
  <r>
    <x v="0"/>
  </r>
  <r>
    <x v="4"/>
  </r>
  <r>
    <x v="2"/>
  </r>
  <r>
    <x v="0"/>
  </r>
  <r>
    <x v="2"/>
  </r>
  <r>
    <x v="1"/>
  </r>
  <r>
    <x v="2"/>
  </r>
  <r>
    <x v="0"/>
  </r>
  <r>
    <x v="1"/>
  </r>
  <r>
    <x v="3"/>
  </r>
  <r>
    <x v="4"/>
  </r>
  <r>
    <x v="1"/>
  </r>
  <r>
    <x v="3"/>
  </r>
  <r>
    <x v="2"/>
  </r>
  <r>
    <x v="3"/>
  </r>
  <r>
    <x v="3"/>
  </r>
  <r>
    <x v="1"/>
  </r>
  <r>
    <x v="4"/>
  </r>
  <r>
    <x v="2"/>
  </r>
  <r>
    <x v="3"/>
  </r>
  <r>
    <x v="0"/>
  </r>
  <r>
    <x v="2"/>
  </r>
  <r>
    <x v="3"/>
  </r>
  <r>
    <x v="3"/>
  </r>
  <r>
    <x v="0"/>
  </r>
  <r>
    <x v="0"/>
  </r>
  <r>
    <x v="1"/>
  </r>
  <r>
    <x v="2"/>
  </r>
  <r>
    <x v="1"/>
  </r>
  <r>
    <x v="0"/>
  </r>
  <r>
    <x v="1"/>
  </r>
  <r>
    <x v="3"/>
  </r>
  <r>
    <x v="1"/>
  </r>
  <r>
    <x v="1"/>
  </r>
  <r>
    <x v="3"/>
  </r>
  <r>
    <x v="3"/>
  </r>
  <r>
    <x v="4"/>
  </r>
  <r>
    <x v="1"/>
  </r>
  <r>
    <x v="4"/>
  </r>
  <r>
    <x v="1"/>
  </r>
  <r>
    <x v="0"/>
  </r>
  <r>
    <x v="2"/>
  </r>
  <r>
    <x v="3"/>
  </r>
  <r>
    <x v="4"/>
  </r>
  <r>
    <x v="3"/>
  </r>
  <r>
    <x v="2"/>
  </r>
  <r>
    <x v="1"/>
  </r>
  <r>
    <x v="1"/>
  </r>
  <r>
    <x v="3"/>
  </r>
  <r>
    <x v="3"/>
  </r>
  <r>
    <x v="3"/>
  </r>
  <r>
    <x v="2"/>
  </r>
  <r>
    <x v="1"/>
  </r>
  <r>
    <x v="3"/>
  </r>
  <r>
    <x v="1"/>
  </r>
  <r>
    <x v="1"/>
  </r>
  <r>
    <x v="0"/>
  </r>
  <r>
    <x v="3"/>
  </r>
  <r>
    <x v="0"/>
  </r>
  <r>
    <x v="3"/>
  </r>
  <r>
    <x v="3"/>
  </r>
  <r>
    <x v="1"/>
  </r>
  <r>
    <x v="0"/>
  </r>
  <r>
    <x v="1"/>
  </r>
  <r>
    <x v="2"/>
  </r>
  <r>
    <x v="2"/>
  </r>
  <r>
    <x v="4"/>
  </r>
  <r>
    <x v="0"/>
  </r>
  <r>
    <x v="0"/>
  </r>
  <r>
    <x v="0"/>
  </r>
  <r>
    <x v="2"/>
  </r>
  <r>
    <x v="1"/>
  </r>
  <r>
    <x v="2"/>
  </r>
  <r>
    <x v="0"/>
  </r>
  <r>
    <x v="0"/>
  </r>
  <r>
    <x v="1"/>
  </r>
  <r>
    <x v="0"/>
  </r>
  <r>
    <x v="2"/>
  </r>
  <r>
    <x v="0"/>
  </r>
  <r>
    <x v="2"/>
  </r>
  <r>
    <x v="2"/>
  </r>
  <r>
    <x v="2"/>
  </r>
  <r>
    <x v="0"/>
  </r>
  <r>
    <x v="2"/>
  </r>
  <r>
    <x v="3"/>
  </r>
  <r>
    <x v="4"/>
  </r>
  <r>
    <x v="1"/>
  </r>
  <r>
    <x v="2"/>
  </r>
  <r>
    <x v="2"/>
  </r>
  <r>
    <x v="0"/>
  </r>
  <r>
    <x v="1"/>
  </r>
  <r>
    <x v="2"/>
  </r>
  <r>
    <x v="1"/>
  </r>
  <r>
    <x v="0"/>
  </r>
  <r>
    <x v="0"/>
  </r>
  <r>
    <x v="4"/>
  </r>
  <r>
    <x v="1"/>
  </r>
  <r>
    <x v="1"/>
  </r>
  <r>
    <x v="3"/>
  </r>
  <r>
    <x v="0"/>
  </r>
  <r>
    <x v="0"/>
  </r>
  <r>
    <x v="3"/>
  </r>
  <r>
    <x v="0"/>
  </r>
  <r>
    <x v="2"/>
  </r>
  <r>
    <x v="2"/>
  </r>
  <r>
    <x v="3"/>
  </r>
  <r>
    <x v="1"/>
  </r>
  <r>
    <x v="1"/>
  </r>
  <r>
    <x v="3"/>
  </r>
  <r>
    <x v="0"/>
  </r>
  <r>
    <x v="2"/>
  </r>
  <r>
    <x v="1"/>
  </r>
  <r>
    <x v="0"/>
  </r>
  <r>
    <x v="1"/>
  </r>
  <r>
    <x v="1"/>
  </r>
  <r>
    <x v="2"/>
  </r>
  <r>
    <x v="0"/>
  </r>
  <r>
    <x v="4"/>
  </r>
  <r>
    <x v="2"/>
  </r>
  <r>
    <x v="0"/>
  </r>
  <r>
    <x v="4"/>
  </r>
  <r>
    <x v="3"/>
  </r>
  <r>
    <x v="1"/>
  </r>
  <r>
    <x v="4"/>
  </r>
  <r>
    <x v="1"/>
  </r>
  <r>
    <x v="2"/>
  </r>
  <r>
    <x v="3"/>
  </r>
  <r>
    <x v="2"/>
  </r>
  <r>
    <x v="1"/>
  </r>
  <r>
    <x v="1"/>
  </r>
  <r>
    <x v="0"/>
  </r>
  <r>
    <x v="3"/>
  </r>
  <r>
    <x v="2"/>
  </r>
  <r>
    <x v="1"/>
  </r>
  <r>
    <x v="1"/>
  </r>
  <r>
    <x v="1"/>
  </r>
  <r>
    <x v="1"/>
  </r>
  <r>
    <x v="1"/>
  </r>
  <r>
    <x v="1"/>
  </r>
  <r>
    <x v="0"/>
  </r>
  <r>
    <x v="3"/>
  </r>
  <r>
    <x v="1"/>
  </r>
  <r>
    <x v="0"/>
  </r>
  <r>
    <x v="3"/>
  </r>
  <r>
    <x v="2"/>
  </r>
  <r>
    <x v="3"/>
  </r>
  <r>
    <x v="0"/>
  </r>
  <r>
    <x v="2"/>
  </r>
  <r>
    <x v="2"/>
  </r>
  <r>
    <x v="0"/>
  </r>
  <r>
    <x v="2"/>
  </r>
  <r>
    <x v="1"/>
  </r>
  <r>
    <x v="0"/>
  </r>
  <r>
    <x v="0"/>
  </r>
  <r>
    <x v="2"/>
  </r>
  <r>
    <x v="3"/>
  </r>
  <r>
    <x v="3"/>
  </r>
  <r>
    <x v="1"/>
  </r>
  <r>
    <x v="1"/>
  </r>
  <r>
    <x v="2"/>
  </r>
  <r>
    <x v="0"/>
  </r>
  <r>
    <x v="2"/>
  </r>
  <r>
    <x v="4"/>
  </r>
  <r>
    <x v="4"/>
  </r>
  <r>
    <x v="0"/>
  </r>
  <r>
    <x v="0"/>
  </r>
  <r>
    <x v="1"/>
  </r>
  <r>
    <x v="1"/>
  </r>
  <r>
    <x v="0"/>
  </r>
  <r>
    <x v="4"/>
  </r>
  <r>
    <x v="0"/>
  </r>
  <r>
    <x v="0"/>
  </r>
  <r>
    <x v="1"/>
  </r>
  <r>
    <x v="0"/>
  </r>
  <r>
    <x v="1"/>
  </r>
  <r>
    <x v="2"/>
  </r>
  <r>
    <x v="3"/>
  </r>
  <r>
    <x v="2"/>
  </r>
  <r>
    <x v="0"/>
  </r>
  <r>
    <x v="3"/>
  </r>
  <r>
    <x v="4"/>
  </r>
  <r>
    <x v="0"/>
  </r>
  <r>
    <x v="1"/>
  </r>
  <r>
    <x v="3"/>
  </r>
  <r>
    <x v="1"/>
  </r>
  <r>
    <x v="0"/>
  </r>
  <r>
    <x v="0"/>
  </r>
  <r>
    <x v="3"/>
  </r>
  <r>
    <x v="0"/>
  </r>
  <r>
    <x v="0"/>
  </r>
  <r>
    <x v="0"/>
  </r>
  <r>
    <x v="1"/>
  </r>
  <r>
    <x v="1"/>
  </r>
  <r>
    <x v="4"/>
  </r>
  <r>
    <x v="0"/>
  </r>
  <r>
    <x v="4"/>
  </r>
  <r>
    <x v="1"/>
  </r>
  <r>
    <x v="2"/>
  </r>
  <r>
    <x v="3"/>
  </r>
  <r>
    <x v="2"/>
  </r>
  <r>
    <x v="2"/>
  </r>
  <r>
    <x v="2"/>
  </r>
  <r>
    <x v="2"/>
  </r>
  <r>
    <x v="1"/>
  </r>
  <r>
    <x v="3"/>
  </r>
  <r>
    <x v="3"/>
  </r>
  <r>
    <x v="1"/>
  </r>
  <r>
    <x v="1"/>
  </r>
  <r>
    <x v="4"/>
  </r>
  <r>
    <x v="0"/>
  </r>
  <r>
    <x v="3"/>
  </r>
  <r>
    <x v="3"/>
  </r>
  <r>
    <x v="2"/>
  </r>
  <r>
    <x v="2"/>
  </r>
  <r>
    <x v="3"/>
  </r>
  <r>
    <x v="4"/>
  </r>
  <r>
    <x v="2"/>
  </r>
  <r>
    <x v="2"/>
  </r>
  <r>
    <x v="2"/>
  </r>
  <r>
    <x v="1"/>
  </r>
  <r>
    <x v="3"/>
  </r>
  <r>
    <x v="3"/>
  </r>
  <r>
    <x v="2"/>
  </r>
  <r>
    <x v="3"/>
  </r>
  <r>
    <x v="2"/>
  </r>
  <r>
    <x v="0"/>
  </r>
  <r>
    <x v="2"/>
  </r>
  <r>
    <x v="1"/>
  </r>
  <r>
    <x v="0"/>
  </r>
  <r>
    <x v="1"/>
  </r>
  <r>
    <x v="3"/>
  </r>
  <r>
    <x v="3"/>
  </r>
  <r>
    <x v="2"/>
  </r>
  <r>
    <x v="0"/>
  </r>
  <r>
    <x v="0"/>
  </r>
  <r>
    <x v="3"/>
  </r>
  <r>
    <x v="1"/>
  </r>
  <r>
    <x v="1"/>
  </r>
  <r>
    <x v="1"/>
  </r>
  <r>
    <x v="2"/>
  </r>
  <r>
    <x v="0"/>
  </r>
  <r>
    <x v="2"/>
  </r>
  <r>
    <x v="0"/>
  </r>
  <r>
    <x v="3"/>
  </r>
  <r>
    <x v="2"/>
  </r>
  <r>
    <x v="1"/>
  </r>
  <r>
    <x v="0"/>
  </r>
  <r>
    <x v="3"/>
  </r>
  <r>
    <x v="2"/>
  </r>
  <r>
    <x v="0"/>
  </r>
  <r>
    <x v="4"/>
  </r>
  <r>
    <x v="0"/>
  </r>
  <r>
    <x v="4"/>
  </r>
  <r>
    <x v="2"/>
  </r>
  <r>
    <x v="0"/>
  </r>
  <r>
    <x v="1"/>
  </r>
  <r>
    <x v="0"/>
  </r>
  <r>
    <x v="2"/>
  </r>
  <r>
    <x v="0"/>
  </r>
  <r>
    <x v="0"/>
  </r>
  <r>
    <x v="1"/>
  </r>
  <r>
    <x v="1"/>
  </r>
  <r>
    <x v="1"/>
  </r>
  <r>
    <x v="0"/>
  </r>
  <r>
    <x v="2"/>
  </r>
  <r>
    <x v="3"/>
  </r>
  <r>
    <x v="1"/>
  </r>
  <r>
    <x v="4"/>
  </r>
  <r>
    <x v="2"/>
  </r>
  <r>
    <x v="0"/>
  </r>
  <r>
    <x v="3"/>
  </r>
  <r>
    <x v="2"/>
  </r>
  <r>
    <x v="0"/>
  </r>
  <r>
    <x v="0"/>
  </r>
  <r>
    <x v="2"/>
  </r>
  <r>
    <x v="1"/>
  </r>
  <r>
    <x v="1"/>
  </r>
  <r>
    <x v="4"/>
  </r>
  <r>
    <x v="2"/>
  </r>
  <r>
    <x v="0"/>
  </r>
  <r>
    <x v="3"/>
  </r>
  <r>
    <x v="3"/>
  </r>
  <r>
    <x v="0"/>
  </r>
  <r>
    <x v="1"/>
  </r>
  <r>
    <x v="2"/>
  </r>
  <r>
    <x v="4"/>
  </r>
  <r>
    <x v="1"/>
  </r>
  <r>
    <x v="1"/>
  </r>
  <r>
    <x v="1"/>
  </r>
  <r>
    <x v="3"/>
  </r>
  <r>
    <x v="1"/>
  </r>
  <r>
    <x v="3"/>
  </r>
  <r>
    <x v="1"/>
  </r>
  <r>
    <x v="2"/>
  </r>
  <r>
    <x v="3"/>
  </r>
  <r>
    <x v="0"/>
  </r>
  <r>
    <x v="3"/>
  </r>
  <r>
    <x v="3"/>
  </r>
  <r>
    <x v="0"/>
  </r>
  <r>
    <x v="1"/>
  </r>
  <r>
    <x v="0"/>
  </r>
  <r>
    <x v="3"/>
  </r>
  <r>
    <x v="2"/>
  </r>
  <r>
    <x v="3"/>
  </r>
  <r>
    <x v="0"/>
  </r>
  <r>
    <x v="1"/>
  </r>
  <r>
    <x v="2"/>
  </r>
  <r>
    <x v="2"/>
  </r>
  <r>
    <x v="3"/>
  </r>
  <r>
    <x v="3"/>
  </r>
  <r>
    <x v="3"/>
  </r>
  <r>
    <x v="1"/>
  </r>
  <r>
    <x v="3"/>
  </r>
  <r>
    <x v="0"/>
  </r>
  <r>
    <x v="0"/>
  </r>
  <r>
    <x v="2"/>
  </r>
  <r>
    <x v="1"/>
  </r>
  <r>
    <x v="0"/>
  </r>
  <r>
    <x v="3"/>
  </r>
  <r>
    <x v="1"/>
  </r>
  <r>
    <x v="2"/>
  </r>
  <r>
    <x v="1"/>
  </r>
  <r>
    <x v="0"/>
  </r>
  <r>
    <x v="0"/>
  </r>
  <r>
    <x v="1"/>
  </r>
  <r>
    <x v="1"/>
  </r>
  <r>
    <x v="0"/>
  </r>
  <r>
    <x v="1"/>
  </r>
  <r>
    <x v="3"/>
  </r>
  <r>
    <x v="0"/>
  </r>
  <r>
    <x v="2"/>
  </r>
  <r>
    <x v="2"/>
  </r>
  <r>
    <x v="1"/>
  </r>
  <r>
    <x v="2"/>
  </r>
  <r>
    <x v="2"/>
  </r>
  <r>
    <x v="1"/>
  </r>
  <r>
    <x v="2"/>
  </r>
  <r>
    <x v="3"/>
  </r>
  <r>
    <x v="0"/>
  </r>
  <r>
    <x v="0"/>
  </r>
  <r>
    <x v="1"/>
  </r>
  <r>
    <x v="0"/>
  </r>
  <r>
    <x v="0"/>
  </r>
  <r>
    <x v="1"/>
  </r>
  <r>
    <x v="0"/>
  </r>
  <r>
    <x v="0"/>
  </r>
  <r>
    <x v="1"/>
  </r>
  <r>
    <x v="3"/>
  </r>
  <r>
    <x v="3"/>
  </r>
  <r>
    <x v="2"/>
  </r>
  <r>
    <x v="0"/>
  </r>
  <r>
    <x v="2"/>
  </r>
  <r>
    <x v="0"/>
  </r>
  <r>
    <x v="1"/>
  </r>
  <r>
    <x v="0"/>
  </r>
  <r>
    <x v="2"/>
  </r>
  <r>
    <x v="1"/>
  </r>
  <r>
    <x v="2"/>
  </r>
  <r>
    <x v="1"/>
  </r>
  <r>
    <x v="0"/>
  </r>
  <r>
    <x v="2"/>
  </r>
  <r>
    <x v="1"/>
  </r>
  <r>
    <x v="2"/>
  </r>
  <r>
    <x v="4"/>
  </r>
  <r>
    <x v="2"/>
  </r>
  <r>
    <x v="2"/>
  </r>
  <r>
    <x v="2"/>
  </r>
  <r>
    <x v="2"/>
  </r>
  <r>
    <x v="1"/>
  </r>
  <r>
    <x v="0"/>
  </r>
  <r>
    <x v="1"/>
  </r>
  <r>
    <x v="2"/>
  </r>
  <r>
    <x v="3"/>
  </r>
  <r>
    <x v="0"/>
  </r>
  <r>
    <x v="3"/>
  </r>
  <r>
    <x v="0"/>
  </r>
  <r>
    <x v="0"/>
  </r>
  <r>
    <x v="2"/>
  </r>
  <r>
    <x v="1"/>
  </r>
  <r>
    <x v="1"/>
  </r>
  <r>
    <x v="0"/>
  </r>
  <r>
    <x v="2"/>
  </r>
  <r>
    <x v="2"/>
  </r>
  <r>
    <x v="3"/>
  </r>
  <r>
    <x v="2"/>
  </r>
  <r>
    <x v="2"/>
  </r>
  <r>
    <x v="1"/>
  </r>
  <r>
    <x v="0"/>
  </r>
  <r>
    <x v="0"/>
  </r>
  <r>
    <x v="2"/>
  </r>
  <r>
    <x v="1"/>
  </r>
  <r>
    <x v="2"/>
  </r>
  <r>
    <x v="1"/>
  </r>
  <r>
    <x v="4"/>
  </r>
  <r>
    <x v="1"/>
  </r>
  <r>
    <x v="4"/>
  </r>
  <r>
    <x v="0"/>
  </r>
  <r>
    <x v="2"/>
  </r>
  <r>
    <x v="2"/>
  </r>
  <r>
    <x v="3"/>
  </r>
  <r>
    <x v="2"/>
  </r>
  <r>
    <x v="0"/>
  </r>
  <r>
    <x v="2"/>
  </r>
  <r>
    <x v="1"/>
  </r>
  <r>
    <x v="3"/>
  </r>
  <r>
    <x v="3"/>
  </r>
  <r>
    <x v="4"/>
  </r>
  <r>
    <x v="2"/>
  </r>
  <r>
    <x v="1"/>
  </r>
  <r>
    <x v="1"/>
  </r>
  <r>
    <x v="2"/>
  </r>
  <r>
    <x v="0"/>
  </r>
  <r>
    <x v="3"/>
  </r>
  <r>
    <x v="1"/>
  </r>
  <r>
    <x v="0"/>
  </r>
  <r>
    <x v="3"/>
  </r>
  <r>
    <x v="1"/>
  </r>
  <r>
    <x v="2"/>
  </r>
  <r>
    <x v="1"/>
  </r>
  <r>
    <x v="1"/>
  </r>
  <r>
    <x v="1"/>
  </r>
  <r>
    <x v="1"/>
  </r>
  <r>
    <x v="3"/>
  </r>
  <r>
    <x v="4"/>
  </r>
  <r>
    <x v="3"/>
  </r>
  <r>
    <x v="0"/>
  </r>
  <r>
    <x v="2"/>
  </r>
  <r>
    <x v="4"/>
  </r>
  <r>
    <x v="1"/>
  </r>
  <r>
    <x v="1"/>
  </r>
  <r>
    <x v="2"/>
  </r>
  <r>
    <x v="1"/>
  </r>
  <r>
    <x v="1"/>
  </r>
  <r>
    <x v="0"/>
  </r>
  <r>
    <x v="3"/>
  </r>
  <r>
    <x v="0"/>
  </r>
  <r>
    <x v="2"/>
  </r>
  <r>
    <x v="3"/>
  </r>
  <r>
    <x v="2"/>
  </r>
  <r>
    <x v="3"/>
  </r>
  <r>
    <x v="2"/>
  </r>
  <r>
    <x v="2"/>
  </r>
  <r>
    <x v="2"/>
  </r>
  <r>
    <x v="1"/>
  </r>
  <r>
    <x v="0"/>
  </r>
  <r>
    <x v="3"/>
  </r>
  <r>
    <x v="0"/>
  </r>
  <r>
    <x v="0"/>
  </r>
  <r>
    <x v="4"/>
  </r>
  <r>
    <x v="2"/>
  </r>
  <r>
    <x v="3"/>
  </r>
  <r>
    <x v="4"/>
  </r>
  <r>
    <x v="3"/>
  </r>
  <r>
    <x v="2"/>
  </r>
  <r>
    <x v="2"/>
  </r>
  <r>
    <x v="2"/>
  </r>
  <r>
    <x v="4"/>
  </r>
  <r>
    <x v="2"/>
  </r>
  <r>
    <x v="4"/>
  </r>
  <r>
    <x v="4"/>
  </r>
  <r>
    <x v="0"/>
  </r>
  <r>
    <x v="2"/>
  </r>
  <r>
    <x v="2"/>
  </r>
  <r>
    <x v="0"/>
  </r>
  <r>
    <x v="3"/>
  </r>
  <r>
    <x v="0"/>
  </r>
  <r>
    <x v="3"/>
  </r>
  <r>
    <x v="4"/>
  </r>
  <r>
    <x v="0"/>
  </r>
  <r>
    <x v="0"/>
  </r>
  <r>
    <x v="1"/>
  </r>
  <r>
    <x v="2"/>
  </r>
  <r>
    <x v="2"/>
  </r>
  <r>
    <x v="2"/>
  </r>
  <r>
    <x v="2"/>
  </r>
  <r>
    <x v="0"/>
  </r>
  <r>
    <x v="3"/>
  </r>
  <r>
    <x v="3"/>
  </r>
  <r>
    <x v="4"/>
  </r>
  <r>
    <x v="2"/>
  </r>
  <r>
    <x v="0"/>
  </r>
  <r>
    <x v="2"/>
  </r>
  <r>
    <x v="3"/>
  </r>
  <r>
    <x v="0"/>
  </r>
  <r>
    <x v="4"/>
  </r>
  <r>
    <x v="3"/>
  </r>
  <r>
    <x v="2"/>
  </r>
  <r>
    <x v="3"/>
  </r>
  <r>
    <x v="2"/>
  </r>
  <r>
    <x v="2"/>
  </r>
  <r>
    <x v="0"/>
  </r>
  <r>
    <x v="2"/>
  </r>
  <r>
    <x v="3"/>
  </r>
  <r>
    <x v="0"/>
  </r>
  <r>
    <x v="3"/>
  </r>
  <r>
    <x v="2"/>
  </r>
  <r>
    <x v="4"/>
  </r>
  <r>
    <x v="3"/>
  </r>
  <r>
    <x v="1"/>
  </r>
  <r>
    <x v="3"/>
  </r>
  <r>
    <x v="3"/>
  </r>
  <r>
    <x v="3"/>
  </r>
  <r>
    <x v="3"/>
  </r>
  <r>
    <x v="2"/>
  </r>
  <r>
    <x v="3"/>
  </r>
  <r>
    <x v="1"/>
  </r>
  <r>
    <x v="0"/>
  </r>
  <r>
    <x v="2"/>
  </r>
  <r>
    <x v="0"/>
  </r>
  <r>
    <x v="1"/>
  </r>
  <r>
    <x v="1"/>
  </r>
  <r>
    <x v="2"/>
  </r>
  <r>
    <x v="1"/>
  </r>
  <r>
    <x v="3"/>
  </r>
  <r>
    <x v="3"/>
  </r>
  <r>
    <x v="0"/>
  </r>
  <r>
    <x v="1"/>
  </r>
  <r>
    <x v="4"/>
  </r>
  <r>
    <x v="4"/>
  </r>
  <r>
    <x v="2"/>
  </r>
  <r>
    <x v="4"/>
  </r>
  <r>
    <x v="2"/>
  </r>
  <r>
    <x v="2"/>
  </r>
  <r>
    <x v="0"/>
  </r>
  <r>
    <x v="3"/>
  </r>
  <r>
    <x v="0"/>
  </r>
  <r>
    <x v="3"/>
  </r>
  <r>
    <x v="4"/>
  </r>
  <r>
    <x v="2"/>
  </r>
  <r>
    <x v="2"/>
  </r>
  <r>
    <x v="4"/>
  </r>
  <r>
    <x v="2"/>
  </r>
  <r>
    <x v="0"/>
  </r>
  <r>
    <x v="0"/>
  </r>
  <r>
    <x v="0"/>
  </r>
  <r>
    <x v="0"/>
  </r>
  <r>
    <x v="2"/>
  </r>
  <r>
    <x v="1"/>
  </r>
  <r>
    <x v="2"/>
  </r>
  <r>
    <x v="3"/>
  </r>
  <r>
    <x v="2"/>
  </r>
  <r>
    <x v="0"/>
  </r>
  <r>
    <x v="0"/>
  </r>
  <r>
    <x v="4"/>
  </r>
  <r>
    <x v="1"/>
  </r>
  <r>
    <x v="0"/>
  </r>
  <r>
    <x v="4"/>
  </r>
  <r>
    <x v="3"/>
  </r>
  <r>
    <x v="0"/>
  </r>
  <r>
    <x v="0"/>
  </r>
  <r>
    <x v="3"/>
  </r>
  <r>
    <x v="1"/>
  </r>
  <r>
    <x v="2"/>
  </r>
  <r>
    <x v="0"/>
  </r>
  <r>
    <x v="1"/>
  </r>
  <r>
    <x v="1"/>
  </r>
  <r>
    <x v="1"/>
  </r>
  <r>
    <x v="0"/>
  </r>
  <r>
    <x v="0"/>
  </r>
  <r>
    <x v="3"/>
  </r>
  <r>
    <x v="3"/>
  </r>
  <r>
    <x v="1"/>
  </r>
  <r>
    <x v="4"/>
  </r>
  <r>
    <x v="1"/>
  </r>
  <r>
    <x v="2"/>
  </r>
  <r>
    <x v="1"/>
  </r>
  <r>
    <x v="4"/>
  </r>
  <r>
    <x v="3"/>
  </r>
  <r>
    <x v="0"/>
  </r>
  <r>
    <x v="1"/>
  </r>
  <r>
    <x v="0"/>
  </r>
  <r>
    <x v="4"/>
  </r>
  <r>
    <x v="3"/>
  </r>
  <r>
    <x v="1"/>
  </r>
  <r>
    <x v="1"/>
  </r>
  <r>
    <x v="0"/>
  </r>
  <r>
    <x v="1"/>
  </r>
  <r>
    <x v="0"/>
  </r>
  <r>
    <x v="3"/>
  </r>
  <r>
    <x v="2"/>
  </r>
  <r>
    <x v="3"/>
  </r>
  <r>
    <x v="1"/>
  </r>
  <r>
    <x v="4"/>
  </r>
  <r>
    <x v="2"/>
  </r>
  <r>
    <x v="3"/>
  </r>
  <r>
    <x v="2"/>
  </r>
  <r>
    <x v="0"/>
  </r>
  <r>
    <x v="4"/>
  </r>
  <r>
    <x v="0"/>
  </r>
  <r>
    <x v="0"/>
  </r>
  <r>
    <x v="0"/>
  </r>
  <r>
    <x v="2"/>
  </r>
  <r>
    <x v="1"/>
  </r>
  <r>
    <x v="0"/>
  </r>
  <r>
    <x v="0"/>
  </r>
  <r>
    <x v="1"/>
  </r>
  <r>
    <x v="1"/>
  </r>
  <r>
    <x v="1"/>
  </r>
  <r>
    <x v="4"/>
  </r>
  <r>
    <x v="4"/>
  </r>
  <r>
    <x v="0"/>
  </r>
  <r>
    <x v="2"/>
  </r>
  <r>
    <x v="3"/>
  </r>
  <r>
    <x v="1"/>
  </r>
  <r>
    <x v="2"/>
  </r>
  <r>
    <x v="2"/>
  </r>
  <r>
    <x v="2"/>
  </r>
  <r>
    <x v="1"/>
  </r>
  <r>
    <x v="0"/>
  </r>
  <r>
    <x v="3"/>
  </r>
  <r>
    <x v="2"/>
  </r>
  <r>
    <x v="1"/>
  </r>
  <r>
    <x v="3"/>
  </r>
  <r>
    <x v="2"/>
  </r>
  <r>
    <x v="0"/>
  </r>
  <r>
    <x v="0"/>
  </r>
  <r>
    <x v="3"/>
  </r>
  <r>
    <x v="0"/>
  </r>
  <r>
    <x v="2"/>
  </r>
  <r>
    <x v="1"/>
  </r>
  <r>
    <x v="2"/>
  </r>
  <r>
    <x v="2"/>
  </r>
  <r>
    <x v="1"/>
  </r>
  <r>
    <x v="1"/>
  </r>
  <r>
    <x v="2"/>
  </r>
  <r>
    <x v="2"/>
  </r>
  <r>
    <x v="1"/>
  </r>
  <r>
    <x v="1"/>
  </r>
  <r>
    <x v="3"/>
  </r>
  <r>
    <x v="0"/>
  </r>
  <r>
    <x v="2"/>
  </r>
  <r>
    <x v="0"/>
  </r>
  <r>
    <x v="2"/>
  </r>
  <r>
    <x v="3"/>
  </r>
  <r>
    <x v="2"/>
  </r>
  <r>
    <x v="3"/>
  </r>
  <r>
    <x v="3"/>
  </r>
  <r>
    <x v="3"/>
  </r>
  <r>
    <x v="2"/>
  </r>
  <r>
    <x v="3"/>
  </r>
  <r>
    <x v="1"/>
  </r>
  <r>
    <x v="3"/>
  </r>
  <r>
    <x v="1"/>
  </r>
  <r>
    <x v="3"/>
  </r>
  <r>
    <x v="3"/>
  </r>
  <r>
    <x v="0"/>
  </r>
  <r>
    <x v="4"/>
  </r>
  <r>
    <x v="2"/>
  </r>
  <r>
    <x v="2"/>
  </r>
  <r>
    <x v="0"/>
  </r>
  <r>
    <x v="4"/>
  </r>
  <r>
    <x v="4"/>
  </r>
  <r>
    <x v="0"/>
  </r>
  <r>
    <x v="3"/>
  </r>
  <r>
    <x v="0"/>
  </r>
  <r>
    <x v="0"/>
  </r>
  <r>
    <x v="0"/>
  </r>
  <r>
    <x v="1"/>
  </r>
  <r>
    <x v="1"/>
  </r>
  <r>
    <x v="0"/>
  </r>
  <r>
    <x v="3"/>
  </r>
  <r>
    <x v="0"/>
  </r>
  <r>
    <x v="3"/>
  </r>
  <r>
    <x v="3"/>
  </r>
  <r>
    <x v="2"/>
  </r>
  <r>
    <x v="2"/>
  </r>
  <r>
    <x v="0"/>
  </r>
  <r>
    <x v="1"/>
  </r>
  <r>
    <x v="2"/>
  </r>
  <r>
    <x v="0"/>
  </r>
  <r>
    <x v="3"/>
  </r>
  <r>
    <x v="2"/>
  </r>
  <r>
    <x v="4"/>
  </r>
  <r>
    <x v="1"/>
  </r>
  <r>
    <x v="2"/>
  </r>
  <r>
    <x v="1"/>
  </r>
  <r>
    <x v="3"/>
  </r>
  <r>
    <x v="4"/>
  </r>
  <r>
    <x v="3"/>
  </r>
  <r>
    <x v="2"/>
  </r>
  <r>
    <x v="0"/>
  </r>
  <r>
    <x v="1"/>
  </r>
  <r>
    <x v="2"/>
  </r>
  <r>
    <x v="1"/>
  </r>
  <r>
    <x v="2"/>
  </r>
  <r>
    <x v="1"/>
  </r>
  <r>
    <x v="2"/>
  </r>
  <r>
    <x v="1"/>
  </r>
  <r>
    <x v="0"/>
  </r>
  <r>
    <x v="3"/>
  </r>
  <r>
    <x v="4"/>
  </r>
  <r>
    <x v="4"/>
  </r>
  <r>
    <x v="0"/>
  </r>
  <r>
    <x v="2"/>
  </r>
  <r>
    <x v="0"/>
  </r>
  <r>
    <x v="0"/>
  </r>
  <r>
    <x v="0"/>
  </r>
  <r>
    <x v="0"/>
  </r>
  <r>
    <x v="2"/>
  </r>
  <r>
    <x v="1"/>
  </r>
  <r>
    <x v="1"/>
  </r>
  <r>
    <x v="2"/>
  </r>
  <r>
    <x v="0"/>
  </r>
  <r>
    <x v="0"/>
  </r>
  <r>
    <x v="0"/>
  </r>
  <r>
    <x v="2"/>
  </r>
  <r>
    <x v="0"/>
  </r>
  <r>
    <x v="3"/>
  </r>
  <r>
    <x v="0"/>
  </r>
  <r>
    <x v="1"/>
  </r>
  <r>
    <x v="1"/>
  </r>
  <r>
    <x v="2"/>
  </r>
  <r>
    <x v="0"/>
  </r>
  <r>
    <x v="4"/>
  </r>
  <r>
    <x v="2"/>
  </r>
  <r>
    <x v="1"/>
  </r>
  <r>
    <x v="1"/>
  </r>
  <r>
    <x v="1"/>
  </r>
  <r>
    <x v="3"/>
  </r>
  <r>
    <x v="3"/>
  </r>
  <r>
    <x v="1"/>
  </r>
  <r>
    <x v="3"/>
  </r>
  <r>
    <x v="2"/>
  </r>
  <r>
    <x v="0"/>
  </r>
  <r>
    <x v="2"/>
  </r>
  <r>
    <x v="1"/>
  </r>
  <r>
    <x v="0"/>
  </r>
  <r>
    <x v="1"/>
  </r>
  <r>
    <x v="1"/>
  </r>
  <r>
    <x v="2"/>
  </r>
  <r>
    <x v="3"/>
  </r>
  <r>
    <x v="1"/>
  </r>
  <r>
    <x v="3"/>
  </r>
  <r>
    <x v="4"/>
  </r>
  <r>
    <x v="1"/>
  </r>
  <r>
    <x v="2"/>
  </r>
  <r>
    <x v="1"/>
  </r>
  <r>
    <x v="2"/>
  </r>
  <r>
    <x v="2"/>
  </r>
  <r>
    <x v="1"/>
  </r>
  <r>
    <x v="1"/>
  </r>
  <r>
    <x v="0"/>
  </r>
  <r>
    <x v="3"/>
  </r>
  <r>
    <x v="3"/>
  </r>
  <r>
    <x v="3"/>
  </r>
  <r>
    <x v="3"/>
  </r>
  <r>
    <x v="2"/>
  </r>
  <r>
    <x v="0"/>
  </r>
  <r>
    <x v="1"/>
  </r>
  <r>
    <x v="3"/>
  </r>
  <r>
    <x v="2"/>
  </r>
  <r>
    <x v="1"/>
  </r>
  <r>
    <x v="1"/>
  </r>
  <r>
    <x v="4"/>
  </r>
  <r>
    <x v="2"/>
  </r>
  <r>
    <x v="2"/>
  </r>
  <r>
    <x v="0"/>
  </r>
  <r>
    <x v="0"/>
  </r>
  <r>
    <x v="0"/>
  </r>
  <r>
    <x v="0"/>
  </r>
  <r>
    <x v="2"/>
  </r>
  <r>
    <x v="3"/>
  </r>
  <r>
    <x v="0"/>
  </r>
  <r>
    <x v="3"/>
  </r>
  <r>
    <x v="0"/>
  </r>
  <r>
    <x v="3"/>
  </r>
  <r>
    <x v="3"/>
  </r>
  <r>
    <x v="3"/>
  </r>
  <r>
    <x v="3"/>
  </r>
  <r>
    <x v="2"/>
  </r>
  <r>
    <x v="0"/>
  </r>
  <r>
    <x v="1"/>
  </r>
  <r>
    <x v="3"/>
  </r>
  <r>
    <x v="2"/>
  </r>
  <r>
    <x v="4"/>
  </r>
  <r>
    <x v="2"/>
  </r>
  <r>
    <x v="2"/>
  </r>
  <r>
    <x v="3"/>
  </r>
  <r>
    <x v="1"/>
  </r>
  <r>
    <x v="3"/>
  </r>
  <r>
    <x v="0"/>
  </r>
  <r>
    <x v="3"/>
  </r>
  <r>
    <x v="2"/>
  </r>
  <r>
    <x v="3"/>
  </r>
  <r>
    <x v="1"/>
  </r>
  <r>
    <x v="0"/>
  </r>
  <r>
    <x v="2"/>
  </r>
  <r>
    <x v="2"/>
  </r>
  <r>
    <x v="0"/>
  </r>
  <r>
    <x v="1"/>
  </r>
  <r>
    <x v="3"/>
  </r>
  <r>
    <x v="0"/>
  </r>
  <r>
    <x v="2"/>
  </r>
  <r>
    <x v="3"/>
  </r>
  <r>
    <x v="2"/>
  </r>
  <r>
    <x v="1"/>
  </r>
  <r>
    <x v="3"/>
  </r>
  <r>
    <x v="1"/>
  </r>
  <r>
    <x v="1"/>
  </r>
  <r>
    <x v="1"/>
  </r>
  <r>
    <x v="3"/>
  </r>
  <r>
    <x v="2"/>
  </r>
  <r>
    <x v="4"/>
  </r>
  <r>
    <x v="1"/>
  </r>
  <r>
    <x v="1"/>
  </r>
  <r>
    <x v="2"/>
  </r>
  <r>
    <x v="3"/>
  </r>
  <r>
    <x v="1"/>
  </r>
  <r>
    <x v="2"/>
  </r>
  <r>
    <x v="0"/>
  </r>
  <r>
    <x v="3"/>
  </r>
  <r>
    <x v="2"/>
  </r>
  <r>
    <x v="2"/>
  </r>
  <r>
    <x v="3"/>
  </r>
  <r>
    <x v="2"/>
  </r>
  <r>
    <x v="0"/>
  </r>
  <r>
    <x v="2"/>
  </r>
  <r>
    <x v="2"/>
  </r>
  <r>
    <x v="1"/>
  </r>
  <r>
    <x v="3"/>
  </r>
  <r>
    <x v="3"/>
  </r>
  <r>
    <x v="1"/>
  </r>
  <r>
    <x v="1"/>
  </r>
  <r>
    <x v="2"/>
  </r>
  <r>
    <x v="3"/>
  </r>
  <r>
    <x v="0"/>
  </r>
  <r>
    <x v="3"/>
  </r>
  <r>
    <x v="1"/>
  </r>
  <r>
    <x v="4"/>
  </r>
  <r>
    <x v="4"/>
  </r>
  <r>
    <x v="2"/>
  </r>
  <r>
    <x v="2"/>
  </r>
  <r>
    <x v="4"/>
  </r>
  <r>
    <x v="3"/>
  </r>
  <r>
    <x v="2"/>
  </r>
  <r>
    <x v="1"/>
  </r>
  <r>
    <x v="3"/>
  </r>
  <r>
    <x v="2"/>
  </r>
  <r>
    <x v="1"/>
  </r>
  <r>
    <x v="2"/>
  </r>
  <r>
    <x v="2"/>
  </r>
  <r>
    <x v="2"/>
  </r>
  <r>
    <x v="0"/>
  </r>
  <r>
    <x v="2"/>
  </r>
  <r>
    <x v="3"/>
  </r>
  <r>
    <x v="0"/>
  </r>
  <r>
    <x v="1"/>
  </r>
  <r>
    <x v="2"/>
  </r>
  <r>
    <x v="1"/>
  </r>
  <r>
    <x v="2"/>
  </r>
  <r>
    <x v="0"/>
  </r>
  <r>
    <x v="3"/>
  </r>
  <r>
    <x v="2"/>
  </r>
  <r>
    <x v="1"/>
  </r>
  <r>
    <x v="2"/>
  </r>
  <r>
    <x v="2"/>
  </r>
  <r>
    <x v="3"/>
  </r>
  <r>
    <x v="0"/>
  </r>
  <r>
    <x v="2"/>
  </r>
  <r>
    <x v="2"/>
  </r>
  <r>
    <x v="2"/>
  </r>
  <r>
    <x v="3"/>
  </r>
  <r>
    <x v="3"/>
  </r>
  <r>
    <x v="2"/>
  </r>
  <r>
    <x v="2"/>
  </r>
  <r>
    <x v="3"/>
  </r>
  <r>
    <x v="1"/>
  </r>
  <r>
    <x v="1"/>
  </r>
  <r>
    <x v="1"/>
  </r>
  <r>
    <x v="2"/>
  </r>
  <r>
    <x v="4"/>
  </r>
  <r>
    <x v="3"/>
  </r>
  <r>
    <x v="4"/>
  </r>
  <r>
    <x v="2"/>
  </r>
  <r>
    <x v="3"/>
  </r>
  <r>
    <x v="3"/>
  </r>
  <r>
    <x v="3"/>
  </r>
  <r>
    <x v="1"/>
  </r>
  <r>
    <x v="1"/>
  </r>
  <r>
    <x v="4"/>
  </r>
  <r>
    <x v="0"/>
  </r>
  <r>
    <x v="3"/>
  </r>
  <r>
    <x v="2"/>
  </r>
  <r>
    <x v="4"/>
  </r>
  <r>
    <x v="0"/>
  </r>
  <r>
    <x v="1"/>
  </r>
  <r>
    <x v="3"/>
  </r>
  <r>
    <x v="0"/>
  </r>
  <r>
    <x v="4"/>
  </r>
  <r>
    <x v="2"/>
  </r>
  <r>
    <x v="3"/>
  </r>
  <r>
    <x v="2"/>
  </r>
  <r>
    <x v="1"/>
  </r>
  <r>
    <x v="2"/>
  </r>
  <r>
    <x v="2"/>
  </r>
  <r>
    <x v="3"/>
  </r>
  <r>
    <x v="0"/>
  </r>
  <r>
    <x v="3"/>
  </r>
  <r>
    <x v="2"/>
  </r>
  <r>
    <x v="4"/>
  </r>
  <r>
    <x v="4"/>
  </r>
  <r>
    <x v="2"/>
  </r>
  <r>
    <x v="1"/>
  </r>
  <r>
    <x v="0"/>
  </r>
  <r>
    <x v="2"/>
  </r>
  <r>
    <x v="2"/>
  </r>
  <r>
    <x v="0"/>
  </r>
  <r>
    <x v="3"/>
  </r>
  <r>
    <x v="3"/>
  </r>
  <r>
    <x v="1"/>
  </r>
  <r>
    <x v="0"/>
  </r>
  <r>
    <x v="0"/>
  </r>
  <r>
    <x v="2"/>
  </r>
  <r>
    <x v="0"/>
  </r>
  <r>
    <x v="3"/>
  </r>
  <r>
    <x v="0"/>
  </r>
  <r>
    <x v="1"/>
  </r>
  <r>
    <x v="1"/>
  </r>
  <r>
    <x v="3"/>
  </r>
  <r>
    <x v="0"/>
  </r>
  <r>
    <x v="4"/>
  </r>
  <r>
    <x v="0"/>
  </r>
  <r>
    <x v="2"/>
  </r>
  <r>
    <x v="0"/>
  </r>
  <r>
    <x v="2"/>
  </r>
  <r>
    <x v="1"/>
  </r>
  <r>
    <x v="0"/>
  </r>
  <r>
    <x v="3"/>
  </r>
  <r>
    <x v="2"/>
  </r>
  <r>
    <x v="3"/>
  </r>
  <r>
    <x v="1"/>
  </r>
  <r>
    <x v="2"/>
  </r>
  <r>
    <x v="3"/>
  </r>
  <r>
    <x v="4"/>
  </r>
  <r>
    <x v="3"/>
  </r>
  <r>
    <x v="3"/>
  </r>
  <r>
    <x v="0"/>
  </r>
  <r>
    <x v="3"/>
  </r>
  <r>
    <x v="2"/>
  </r>
  <r>
    <x v="2"/>
  </r>
  <r>
    <x v="0"/>
  </r>
  <r>
    <x v="4"/>
  </r>
  <r>
    <x v="2"/>
  </r>
  <r>
    <x v="2"/>
  </r>
  <r>
    <x v="3"/>
  </r>
  <r>
    <x v="1"/>
  </r>
  <r>
    <x v="2"/>
  </r>
  <r>
    <x v="1"/>
  </r>
  <r>
    <x v="2"/>
  </r>
  <r>
    <x v="4"/>
  </r>
  <r>
    <x v="0"/>
  </r>
  <r>
    <x v="0"/>
  </r>
  <r>
    <x v="3"/>
  </r>
  <r>
    <x v="1"/>
  </r>
  <r>
    <x v="2"/>
  </r>
  <r>
    <x v="2"/>
  </r>
  <r>
    <x v="3"/>
  </r>
  <r>
    <x v="1"/>
  </r>
  <r>
    <x v="1"/>
  </r>
  <r>
    <x v="0"/>
  </r>
  <r>
    <x v="0"/>
  </r>
  <r>
    <x v="2"/>
  </r>
  <r>
    <x v="1"/>
  </r>
  <r>
    <x v="1"/>
  </r>
  <r>
    <x v="0"/>
  </r>
  <r>
    <x v="3"/>
  </r>
  <r>
    <x v="4"/>
  </r>
  <r>
    <x v="1"/>
  </r>
  <r>
    <x v="0"/>
  </r>
  <r>
    <x v="3"/>
  </r>
  <r>
    <x v="0"/>
  </r>
  <r>
    <x v="0"/>
  </r>
  <r>
    <x v="3"/>
  </r>
  <r>
    <x v="3"/>
  </r>
  <r>
    <x v="3"/>
  </r>
  <r>
    <x v="0"/>
  </r>
  <r>
    <x v="3"/>
  </r>
  <r>
    <x v="2"/>
  </r>
  <r>
    <x v="1"/>
  </r>
  <r>
    <x v="0"/>
  </r>
  <r>
    <x v="2"/>
  </r>
  <r>
    <x v="3"/>
  </r>
  <r>
    <x v="1"/>
  </r>
  <r>
    <x v="1"/>
  </r>
  <r>
    <x v="3"/>
  </r>
  <r>
    <x v="4"/>
  </r>
  <r>
    <x v="2"/>
  </r>
  <r>
    <x v="4"/>
  </r>
  <r>
    <x v="2"/>
  </r>
  <r>
    <x v="2"/>
  </r>
  <r>
    <x v="3"/>
  </r>
  <r>
    <x v="3"/>
  </r>
  <r>
    <x v="0"/>
  </r>
  <r>
    <x v="1"/>
  </r>
  <r>
    <x v="1"/>
  </r>
  <r>
    <x v="3"/>
  </r>
  <r>
    <x v="3"/>
  </r>
  <r>
    <x v="2"/>
  </r>
  <r>
    <x v="2"/>
  </r>
  <r>
    <x v="0"/>
  </r>
  <r>
    <x v="2"/>
  </r>
  <r>
    <x v="1"/>
  </r>
  <r>
    <x v="0"/>
  </r>
  <r>
    <x v="2"/>
  </r>
  <r>
    <x v="0"/>
  </r>
  <r>
    <x v="2"/>
  </r>
  <r>
    <x v="3"/>
  </r>
  <r>
    <x v="1"/>
  </r>
  <r>
    <x v="3"/>
  </r>
  <r>
    <x v="2"/>
  </r>
  <r>
    <x v="1"/>
  </r>
  <r>
    <x v="2"/>
  </r>
  <r>
    <x v="1"/>
  </r>
  <r>
    <x v="3"/>
  </r>
  <r>
    <x v="3"/>
  </r>
  <r>
    <x v="1"/>
  </r>
  <r>
    <x v="1"/>
  </r>
  <r>
    <x v="2"/>
  </r>
  <r>
    <x v="3"/>
  </r>
  <r>
    <x v="1"/>
  </r>
  <r>
    <x v="2"/>
  </r>
  <r>
    <x v="0"/>
  </r>
  <r>
    <x v="1"/>
  </r>
  <r>
    <x v="0"/>
  </r>
  <r>
    <x v="1"/>
  </r>
  <r>
    <x v="1"/>
  </r>
  <r>
    <x v="0"/>
  </r>
  <r>
    <x v="1"/>
  </r>
  <r>
    <x v="0"/>
  </r>
  <r>
    <x v="3"/>
  </r>
  <r>
    <x v="3"/>
  </r>
  <r>
    <x v="1"/>
  </r>
  <r>
    <x v="1"/>
  </r>
  <r>
    <x v="2"/>
  </r>
  <r>
    <x v="3"/>
  </r>
  <r>
    <x v="4"/>
  </r>
  <r>
    <x v="0"/>
  </r>
  <r>
    <x v="2"/>
  </r>
  <r>
    <x v="0"/>
  </r>
  <r>
    <x v="4"/>
  </r>
  <r>
    <x v="1"/>
  </r>
  <r>
    <x v="1"/>
  </r>
  <r>
    <x v="2"/>
  </r>
  <r>
    <x v="1"/>
  </r>
  <r>
    <x v="0"/>
  </r>
  <r>
    <x v="1"/>
  </r>
  <r>
    <x v="3"/>
  </r>
  <r>
    <x v="2"/>
  </r>
  <r>
    <x v="3"/>
  </r>
  <r>
    <x v="2"/>
  </r>
  <r>
    <x v="1"/>
  </r>
  <r>
    <x v="4"/>
  </r>
  <r>
    <x v="0"/>
  </r>
  <r>
    <x v="1"/>
  </r>
  <r>
    <x v="3"/>
  </r>
  <r>
    <x v="1"/>
  </r>
  <r>
    <x v="1"/>
  </r>
  <r>
    <x v="1"/>
  </r>
  <r>
    <x v="0"/>
  </r>
  <r>
    <x v="0"/>
  </r>
  <r>
    <x v="1"/>
  </r>
  <r>
    <x v="2"/>
  </r>
  <r>
    <x v="1"/>
  </r>
  <r>
    <x v="4"/>
  </r>
  <r>
    <x v="3"/>
  </r>
  <r>
    <x v="1"/>
  </r>
  <r>
    <x v="1"/>
  </r>
  <r>
    <x v="0"/>
  </r>
  <r>
    <x v="0"/>
  </r>
  <r>
    <x v="1"/>
  </r>
  <r>
    <x v="3"/>
  </r>
  <r>
    <x v="2"/>
  </r>
  <r>
    <x v="1"/>
  </r>
  <r>
    <x v="0"/>
  </r>
  <r>
    <x v="1"/>
  </r>
  <r>
    <x v="2"/>
  </r>
  <r>
    <x v="2"/>
  </r>
  <r>
    <x v="4"/>
  </r>
  <r>
    <x v="2"/>
  </r>
  <r>
    <x v="1"/>
  </r>
  <r>
    <x v="1"/>
  </r>
  <r>
    <x v="1"/>
  </r>
  <r>
    <x v="2"/>
  </r>
  <r>
    <x v="0"/>
  </r>
  <r>
    <x v="1"/>
  </r>
  <r>
    <x v="3"/>
  </r>
  <r>
    <x v="3"/>
  </r>
  <r>
    <x v="3"/>
  </r>
  <r>
    <x v="2"/>
  </r>
  <r>
    <x v="1"/>
  </r>
  <r>
    <x v="1"/>
  </r>
  <r>
    <x v="4"/>
  </r>
  <r>
    <x v="0"/>
  </r>
  <r>
    <x v="1"/>
  </r>
  <r>
    <x v="2"/>
  </r>
  <r>
    <x v="0"/>
  </r>
  <r>
    <x v="0"/>
  </r>
  <r>
    <x v="1"/>
  </r>
  <r>
    <x v="1"/>
  </r>
  <r>
    <x v="4"/>
  </r>
  <r>
    <x v="1"/>
  </r>
  <r>
    <x v="1"/>
  </r>
  <r>
    <x v="2"/>
  </r>
  <r>
    <x v="1"/>
  </r>
  <r>
    <x v="0"/>
  </r>
  <r>
    <x v="3"/>
  </r>
  <r>
    <x v="2"/>
  </r>
  <r>
    <x v="0"/>
  </r>
  <r>
    <x v="3"/>
  </r>
  <r>
    <x v="3"/>
  </r>
  <r>
    <x v="0"/>
  </r>
  <r>
    <x v="1"/>
  </r>
  <r>
    <x v="1"/>
  </r>
  <r>
    <x v="3"/>
  </r>
  <r>
    <x v="3"/>
  </r>
  <r>
    <x v="2"/>
  </r>
  <r>
    <x v="3"/>
  </r>
  <r>
    <x v="2"/>
  </r>
  <r>
    <x v="4"/>
  </r>
  <r>
    <x v="0"/>
  </r>
  <r>
    <x v="2"/>
  </r>
  <r>
    <x v="3"/>
  </r>
  <r>
    <x v="0"/>
  </r>
  <r>
    <x v="0"/>
  </r>
  <r>
    <x v="2"/>
  </r>
  <r>
    <x v="4"/>
  </r>
  <r>
    <x v="2"/>
  </r>
  <r>
    <x v="2"/>
  </r>
  <r>
    <x v="2"/>
  </r>
  <r>
    <x v="0"/>
  </r>
  <r>
    <x v="2"/>
  </r>
  <r>
    <x v="2"/>
  </r>
  <r>
    <x v="3"/>
  </r>
  <r>
    <x v="0"/>
  </r>
  <r>
    <x v="2"/>
  </r>
  <r>
    <x v="3"/>
  </r>
  <r>
    <x v="3"/>
  </r>
  <r>
    <x v="2"/>
  </r>
  <r>
    <x v="0"/>
  </r>
  <r>
    <x v="2"/>
  </r>
  <r>
    <x v="2"/>
  </r>
  <r>
    <x v="0"/>
  </r>
  <r>
    <x v="2"/>
  </r>
  <r>
    <x v="2"/>
  </r>
  <r>
    <x v="3"/>
  </r>
  <r>
    <x v="1"/>
  </r>
  <r>
    <x v="1"/>
  </r>
  <r>
    <x v="1"/>
  </r>
  <r>
    <x v="1"/>
  </r>
  <r>
    <x v="4"/>
  </r>
  <r>
    <x v="1"/>
  </r>
  <r>
    <x v="0"/>
  </r>
  <r>
    <x v="3"/>
  </r>
  <r>
    <x v="2"/>
  </r>
  <r>
    <x v="0"/>
  </r>
  <r>
    <x v="4"/>
  </r>
  <r>
    <x v="3"/>
  </r>
  <r>
    <x v="1"/>
  </r>
  <r>
    <x v="0"/>
  </r>
  <r>
    <x v="3"/>
  </r>
  <r>
    <x v="3"/>
  </r>
  <r>
    <x v="0"/>
  </r>
  <r>
    <x v="3"/>
  </r>
  <r>
    <x v="1"/>
  </r>
  <r>
    <x v="1"/>
  </r>
  <r>
    <x v="1"/>
  </r>
  <r>
    <x v="2"/>
  </r>
  <r>
    <x v="1"/>
  </r>
  <r>
    <x v="3"/>
  </r>
  <r>
    <x v="3"/>
  </r>
  <r>
    <x v="1"/>
  </r>
  <r>
    <x v="3"/>
  </r>
  <r>
    <x v="2"/>
  </r>
  <r>
    <x v="3"/>
  </r>
  <r>
    <x v="1"/>
  </r>
  <r>
    <x v="3"/>
  </r>
  <r>
    <x v="0"/>
  </r>
  <r>
    <x v="0"/>
  </r>
  <r>
    <x v="1"/>
  </r>
  <r>
    <x v="1"/>
  </r>
  <r>
    <x v="3"/>
  </r>
  <r>
    <x v="2"/>
  </r>
  <r>
    <x v="3"/>
  </r>
  <r>
    <x v="3"/>
  </r>
  <r>
    <x v="1"/>
  </r>
  <r>
    <x v="2"/>
  </r>
  <r>
    <x v="3"/>
  </r>
  <r>
    <x v="1"/>
  </r>
  <r>
    <x v="0"/>
  </r>
  <r>
    <x v="1"/>
  </r>
  <r>
    <x v="1"/>
  </r>
  <r>
    <x v="1"/>
  </r>
  <r>
    <x v="0"/>
  </r>
  <r>
    <x v="3"/>
  </r>
  <r>
    <x v="4"/>
  </r>
  <r>
    <x v="0"/>
  </r>
  <r>
    <x v="2"/>
  </r>
  <r>
    <x v="3"/>
  </r>
  <r>
    <x v="0"/>
  </r>
  <r>
    <x v="4"/>
  </r>
  <r>
    <x v="2"/>
  </r>
  <r>
    <x v="2"/>
  </r>
  <r>
    <x v="1"/>
  </r>
  <r>
    <x v="1"/>
  </r>
  <r>
    <x v="2"/>
  </r>
  <r>
    <x v="3"/>
  </r>
  <r>
    <x v="0"/>
  </r>
  <r>
    <x v="3"/>
  </r>
  <r>
    <x v="1"/>
  </r>
  <r>
    <x v="2"/>
  </r>
  <r>
    <x v="2"/>
  </r>
  <r>
    <x v="2"/>
  </r>
  <r>
    <x v="3"/>
  </r>
  <r>
    <x v="2"/>
  </r>
  <r>
    <x v="2"/>
  </r>
  <r>
    <x v="1"/>
  </r>
  <r>
    <x v="2"/>
  </r>
  <r>
    <x v="1"/>
  </r>
  <r>
    <x v="3"/>
  </r>
  <r>
    <x v="0"/>
  </r>
  <r>
    <x v="2"/>
  </r>
  <r>
    <x v="2"/>
  </r>
  <r>
    <x v="0"/>
  </r>
  <r>
    <x v="0"/>
  </r>
  <r>
    <x v="1"/>
  </r>
  <r>
    <x v="1"/>
  </r>
  <r>
    <x v="0"/>
  </r>
  <r>
    <x v="3"/>
  </r>
  <r>
    <x v="1"/>
  </r>
  <r>
    <x v="0"/>
  </r>
  <r>
    <x v="4"/>
  </r>
  <r>
    <x v="1"/>
  </r>
  <r>
    <x v="2"/>
  </r>
  <r>
    <x v="3"/>
  </r>
  <r>
    <x v="0"/>
  </r>
  <r>
    <x v="1"/>
  </r>
  <r>
    <x v="0"/>
  </r>
  <r>
    <x v="1"/>
  </r>
  <r>
    <x v="3"/>
  </r>
  <r>
    <x v="2"/>
  </r>
  <r>
    <x v="2"/>
  </r>
  <r>
    <x v="0"/>
  </r>
  <r>
    <x v="0"/>
  </r>
  <r>
    <x v="3"/>
  </r>
  <r>
    <x v="0"/>
  </r>
  <r>
    <x v="2"/>
  </r>
  <r>
    <x v="2"/>
  </r>
  <r>
    <x v="1"/>
  </r>
  <r>
    <x v="3"/>
  </r>
  <r>
    <x v="0"/>
  </r>
  <r>
    <x v="1"/>
  </r>
  <r>
    <x v="1"/>
  </r>
  <r>
    <x v="2"/>
  </r>
  <r>
    <x v="0"/>
  </r>
  <r>
    <x v="1"/>
  </r>
  <r>
    <x v="1"/>
  </r>
  <r>
    <x v="1"/>
  </r>
  <r>
    <x v="2"/>
  </r>
  <r>
    <x v="2"/>
  </r>
  <r>
    <x v="0"/>
  </r>
  <r>
    <x v="1"/>
  </r>
  <r>
    <x v="3"/>
  </r>
  <r>
    <x v="2"/>
  </r>
  <r>
    <x v="1"/>
  </r>
  <r>
    <x v="3"/>
  </r>
  <r>
    <x v="2"/>
  </r>
  <r>
    <x v="2"/>
  </r>
  <r>
    <x v="3"/>
  </r>
  <r>
    <x v="0"/>
  </r>
  <r>
    <x v="3"/>
  </r>
  <r>
    <x v="2"/>
  </r>
  <r>
    <x v="2"/>
  </r>
  <r>
    <x v="3"/>
  </r>
  <r>
    <x v="0"/>
  </r>
  <r>
    <x v="2"/>
  </r>
  <r>
    <x v="0"/>
  </r>
  <r>
    <x v="2"/>
  </r>
  <r>
    <x v="2"/>
  </r>
  <r>
    <x v="2"/>
  </r>
  <r>
    <x v="2"/>
  </r>
  <r>
    <x v="0"/>
  </r>
  <r>
    <x v="3"/>
  </r>
  <r>
    <x v="1"/>
  </r>
  <r>
    <x v="2"/>
  </r>
  <r>
    <x v="2"/>
  </r>
  <r>
    <x v="3"/>
  </r>
  <r>
    <x v="1"/>
  </r>
  <r>
    <x v="3"/>
  </r>
  <r>
    <x v="3"/>
  </r>
  <r>
    <x v="3"/>
  </r>
  <r>
    <x v="2"/>
  </r>
  <r>
    <x v="4"/>
  </r>
  <r>
    <x v="0"/>
  </r>
  <r>
    <x v="1"/>
  </r>
  <r>
    <x v="0"/>
  </r>
  <r>
    <x v="0"/>
  </r>
  <r>
    <x v="2"/>
  </r>
  <r>
    <x v="0"/>
  </r>
  <r>
    <x v="2"/>
  </r>
  <r>
    <x v="3"/>
  </r>
  <r>
    <x v="0"/>
  </r>
  <r>
    <x v="1"/>
  </r>
  <r>
    <x v="0"/>
  </r>
  <r>
    <x v="0"/>
  </r>
  <r>
    <x v="2"/>
  </r>
  <r>
    <x v="3"/>
  </r>
  <r>
    <x v="2"/>
  </r>
  <r>
    <x v="1"/>
  </r>
  <r>
    <x v="4"/>
  </r>
  <r>
    <x v="2"/>
  </r>
  <r>
    <x v="2"/>
  </r>
  <r>
    <x v="3"/>
  </r>
  <r>
    <x v="1"/>
  </r>
  <r>
    <x v="0"/>
  </r>
  <r>
    <x v="2"/>
  </r>
  <r>
    <x v="4"/>
  </r>
  <r>
    <x v="1"/>
  </r>
  <r>
    <x v="2"/>
  </r>
  <r>
    <x v="4"/>
  </r>
  <r>
    <x v="3"/>
  </r>
  <r>
    <x v="3"/>
  </r>
  <r>
    <x v="3"/>
  </r>
  <r>
    <x v="1"/>
  </r>
  <r>
    <x v="0"/>
  </r>
  <r>
    <x v="2"/>
  </r>
  <r>
    <x v="4"/>
  </r>
  <r>
    <x v="2"/>
  </r>
  <r>
    <x v="1"/>
  </r>
  <r>
    <x v="0"/>
  </r>
  <r>
    <x v="2"/>
  </r>
  <r>
    <x v="2"/>
  </r>
  <r>
    <x v="1"/>
  </r>
  <r>
    <x v="3"/>
  </r>
  <r>
    <x v="0"/>
  </r>
  <r>
    <x v="0"/>
  </r>
  <r>
    <x v="1"/>
  </r>
  <r>
    <x v="3"/>
  </r>
  <r>
    <x v="3"/>
  </r>
  <r>
    <x v="3"/>
  </r>
  <r>
    <x v="1"/>
  </r>
  <r>
    <x v="3"/>
  </r>
  <r>
    <x v="2"/>
  </r>
  <r>
    <x v="4"/>
  </r>
  <r>
    <x v="1"/>
  </r>
  <r>
    <x v="2"/>
  </r>
  <r>
    <x v="4"/>
  </r>
  <r>
    <x v="0"/>
  </r>
  <r>
    <x v="2"/>
  </r>
  <r>
    <x v="2"/>
  </r>
  <r>
    <x v="0"/>
  </r>
  <r>
    <x v="1"/>
  </r>
  <r>
    <x v="2"/>
  </r>
  <r>
    <x v="2"/>
  </r>
  <r>
    <x v="3"/>
  </r>
  <r>
    <x v="0"/>
  </r>
  <r>
    <x v="2"/>
  </r>
  <r>
    <x v="2"/>
  </r>
  <r>
    <x v="0"/>
  </r>
  <r>
    <x v="1"/>
  </r>
  <r>
    <x v="0"/>
  </r>
  <r>
    <x v="3"/>
  </r>
  <r>
    <x v="3"/>
  </r>
  <r>
    <x v="3"/>
  </r>
  <r>
    <x v="4"/>
  </r>
  <r>
    <x v="1"/>
  </r>
  <r>
    <x v="2"/>
  </r>
  <r>
    <x v="3"/>
  </r>
  <r>
    <x v="0"/>
  </r>
  <r>
    <x v="0"/>
  </r>
  <r>
    <x v="3"/>
  </r>
  <r>
    <x v="1"/>
  </r>
  <r>
    <x v="1"/>
  </r>
  <r>
    <x v="0"/>
  </r>
  <r>
    <x v="1"/>
  </r>
  <r>
    <x v="1"/>
  </r>
  <r>
    <x v="1"/>
  </r>
  <r>
    <x v="4"/>
  </r>
  <r>
    <x v="2"/>
  </r>
  <r>
    <x v="2"/>
  </r>
  <r>
    <x v="1"/>
  </r>
  <r>
    <x v="1"/>
  </r>
  <r>
    <x v="4"/>
  </r>
  <r>
    <x v="2"/>
  </r>
  <r>
    <x v="0"/>
  </r>
  <r>
    <x v="2"/>
  </r>
  <r>
    <x v="0"/>
  </r>
  <r>
    <x v="2"/>
  </r>
  <r>
    <x v="2"/>
  </r>
  <r>
    <x v="2"/>
  </r>
  <r>
    <x v="0"/>
  </r>
  <r>
    <x v="3"/>
  </r>
  <r>
    <x v="2"/>
  </r>
  <r>
    <x v="3"/>
  </r>
  <r>
    <x v="2"/>
  </r>
  <r>
    <x v="4"/>
  </r>
  <r>
    <x v="3"/>
  </r>
  <r>
    <x v="3"/>
  </r>
  <r>
    <x v="1"/>
  </r>
  <r>
    <x v="0"/>
  </r>
  <r>
    <x v="1"/>
  </r>
  <r>
    <x v="0"/>
  </r>
  <r>
    <x v="4"/>
  </r>
  <r>
    <x v="2"/>
  </r>
  <r>
    <x v="4"/>
  </r>
  <r>
    <x v="1"/>
  </r>
  <r>
    <x v="0"/>
  </r>
  <r>
    <x v="0"/>
  </r>
  <r>
    <x v="0"/>
  </r>
  <r>
    <x v="2"/>
  </r>
  <r>
    <x v="2"/>
  </r>
  <r>
    <x v="4"/>
  </r>
  <r>
    <x v="0"/>
  </r>
  <r>
    <x v="3"/>
  </r>
  <r>
    <x v="1"/>
  </r>
  <r>
    <x v="0"/>
  </r>
  <r>
    <x v="2"/>
  </r>
  <r>
    <x v="1"/>
  </r>
  <r>
    <x v="1"/>
  </r>
  <r>
    <x v="2"/>
  </r>
  <r>
    <x v="4"/>
  </r>
  <r>
    <x v="2"/>
  </r>
  <r>
    <x v="3"/>
  </r>
  <r>
    <x v="2"/>
  </r>
  <r>
    <x v="0"/>
  </r>
  <r>
    <x v="3"/>
  </r>
  <r>
    <x v="3"/>
  </r>
  <r>
    <x v="1"/>
  </r>
  <r>
    <x v="2"/>
  </r>
  <r>
    <x v="1"/>
  </r>
  <r>
    <x v="0"/>
  </r>
  <r>
    <x v="4"/>
  </r>
  <r>
    <x v="0"/>
  </r>
  <r>
    <x v="2"/>
  </r>
  <r>
    <x v="2"/>
  </r>
  <r>
    <x v="1"/>
  </r>
  <r>
    <x v="1"/>
  </r>
  <r>
    <x v="3"/>
  </r>
  <r>
    <x v="0"/>
  </r>
  <r>
    <x v="0"/>
  </r>
  <r>
    <x v="4"/>
  </r>
  <r>
    <x v="4"/>
  </r>
  <r>
    <x v="4"/>
  </r>
  <r>
    <x v="1"/>
  </r>
  <r>
    <x v="1"/>
  </r>
  <r>
    <x v="2"/>
  </r>
  <r>
    <x v="1"/>
  </r>
  <r>
    <x v="1"/>
  </r>
  <r>
    <x v="4"/>
  </r>
  <r>
    <x v="0"/>
  </r>
  <r>
    <x v="2"/>
  </r>
  <r>
    <x v="0"/>
  </r>
  <r>
    <x v="0"/>
  </r>
  <r>
    <x v="2"/>
  </r>
  <r>
    <x v="3"/>
  </r>
  <r>
    <x v="0"/>
  </r>
  <r>
    <x v="3"/>
  </r>
  <r>
    <x v="3"/>
  </r>
  <r>
    <x v="2"/>
  </r>
  <r>
    <x v="4"/>
  </r>
  <r>
    <x v="1"/>
  </r>
  <r>
    <x v="2"/>
  </r>
  <r>
    <x v="1"/>
  </r>
  <r>
    <x v="1"/>
  </r>
  <r>
    <x v="2"/>
  </r>
  <r>
    <x v="3"/>
  </r>
  <r>
    <x v="0"/>
  </r>
  <r>
    <x v="3"/>
  </r>
  <r>
    <x v="1"/>
  </r>
  <r>
    <x v="3"/>
  </r>
  <r>
    <x v="2"/>
  </r>
  <r>
    <x v="4"/>
  </r>
  <r>
    <x v="2"/>
  </r>
  <r>
    <x v="1"/>
  </r>
  <r>
    <x v="2"/>
  </r>
  <r>
    <x v="3"/>
  </r>
  <r>
    <x v="3"/>
  </r>
  <r>
    <x v="2"/>
  </r>
  <r>
    <x v="3"/>
  </r>
  <r>
    <x v="2"/>
  </r>
  <r>
    <x v="0"/>
  </r>
  <r>
    <x v="0"/>
  </r>
  <r>
    <x v="2"/>
  </r>
  <r>
    <x v="1"/>
  </r>
  <r>
    <x v="2"/>
  </r>
  <r>
    <x v="2"/>
  </r>
  <r>
    <x v="0"/>
  </r>
  <r>
    <x v="3"/>
  </r>
  <r>
    <x v="0"/>
  </r>
  <r>
    <x v="2"/>
  </r>
  <r>
    <x v="1"/>
  </r>
  <r>
    <x v="0"/>
  </r>
  <r>
    <x v="2"/>
  </r>
  <r>
    <x v="3"/>
  </r>
  <r>
    <x v="1"/>
  </r>
  <r>
    <x v="0"/>
  </r>
  <r>
    <x v="2"/>
  </r>
  <r>
    <x v="3"/>
  </r>
  <r>
    <x v="2"/>
  </r>
  <r>
    <x v="0"/>
  </r>
  <r>
    <x v="1"/>
  </r>
  <r>
    <x v="3"/>
  </r>
  <r>
    <x v="3"/>
  </r>
  <r>
    <x v="1"/>
  </r>
  <r>
    <x v="0"/>
  </r>
  <r>
    <x v="0"/>
  </r>
  <r>
    <x v="2"/>
  </r>
  <r>
    <x v="0"/>
  </r>
  <r>
    <x v="0"/>
  </r>
  <r>
    <x v="3"/>
  </r>
  <r>
    <x v="4"/>
  </r>
  <r>
    <x v="1"/>
  </r>
  <r>
    <x v="1"/>
  </r>
  <r>
    <x v="0"/>
  </r>
  <r>
    <x v="3"/>
  </r>
  <r>
    <x v="2"/>
  </r>
  <r>
    <x v="3"/>
  </r>
  <r>
    <x v="1"/>
  </r>
  <r>
    <x v="3"/>
  </r>
  <r>
    <x v="1"/>
  </r>
  <r>
    <x v="2"/>
  </r>
  <r>
    <x v="0"/>
  </r>
  <r>
    <x v="0"/>
  </r>
  <r>
    <x v="0"/>
  </r>
  <r>
    <x v="1"/>
  </r>
  <r>
    <x v="4"/>
  </r>
  <r>
    <x v="2"/>
  </r>
  <r>
    <x v="2"/>
  </r>
  <r>
    <x v="2"/>
  </r>
  <r>
    <x v="0"/>
  </r>
  <r>
    <x v="3"/>
  </r>
  <r>
    <x v="1"/>
  </r>
  <r>
    <x v="3"/>
  </r>
  <r>
    <x v="0"/>
  </r>
  <r>
    <x v="1"/>
  </r>
  <r>
    <x v="0"/>
  </r>
  <r>
    <x v="0"/>
  </r>
  <r>
    <x v="2"/>
  </r>
  <r>
    <x v="3"/>
  </r>
  <r>
    <x v="0"/>
  </r>
  <r>
    <x v="3"/>
  </r>
  <r>
    <x v="1"/>
  </r>
  <r>
    <x v="1"/>
  </r>
  <r>
    <x v="1"/>
  </r>
  <r>
    <x v="3"/>
  </r>
  <r>
    <x v="1"/>
  </r>
  <r>
    <x v="3"/>
  </r>
  <r>
    <x v="2"/>
  </r>
  <r>
    <x v="3"/>
  </r>
  <r>
    <x v="2"/>
  </r>
  <r>
    <x v="3"/>
  </r>
  <r>
    <x v="3"/>
  </r>
  <r>
    <x v="4"/>
  </r>
  <r>
    <x v="3"/>
  </r>
  <r>
    <x v="1"/>
  </r>
  <r>
    <x v="2"/>
  </r>
  <r>
    <x v="2"/>
  </r>
  <r>
    <x v="0"/>
  </r>
  <r>
    <x v="0"/>
  </r>
  <r>
    <x v="2"/>
  </r>
  <r>
    <x v="2"/>
  </r>
  <r>
    <x v="3"/>
  </r>
  <r>
    <x v="3"/>
  </r>
  <r>
    <x v="1"/>
  </r>
  <r>
    <x v="0"/>
  </r>
  <r>
    <x v="2"/>
  </r>
  <r>
    <x v="1"/>
  </r>
  <r>
    <x v="3"/>
  </r>
  <r>
    <x v="1"/>
  </r>
  <r>
    <x v="1"/>
  </r>
  <r>
    <x v="4"/>
  </r>
  <r>
    <x v="0"/>
  </r>
  <r>
    <x v="0"/>
  </r>
  <r>
    <x v="3"/>
  </r>
  <r>
    <x v="0"/>
  </r>
  <r>
    <x v="3"/>
  </r>
  <r>
    <x v="3"/>
  </r>
  <r>
    <x v="1"/>
  </r>
  <r>
    <x v="2"/>
  </r>
  <r>
    <x v="1"/>
  </r>
  <r>
    <x v="1"/>
  </r>
  <r>
    <x v="0"/>
  </r>
  <r>
    <x v="0"/>
  </r>
  <r>
    <x v="3"/>
  </r>
  <r>
    <x v="4"/>
  </r>
  <r>
    <x v="2"/>
  </r>
  <r>
    <x v="0"/>
  </r>
  <r>
    <x v="0"/>
  </r>
  <r>
    <x v="4"/>
  </r>
  <r>
    <x v="1"/>
  </r>
  <r>
    <x v="0"/>
  </r>
  <r>
    <x v="2"/>
  </r>
  <r>
    <x v="3"/>
  </r>
  <r>
    <x v="2"/>
  </r>
  <r>
    <x v="1"/>
  </r>
  <r>
    <x v="1"/>
  </r>
  <r>
    <x v="1"/>
  </r>
  <r>
    <x v="0"/>
  </r>
  <r>
    <x v="0"/>
  </r>
  <r>
    <x v="2"/>
  </r>
  <r>
    <x v="3"/>
  </r>
  <r>
    <x v="2"/>
  </r>
  <r>
    <x v="1"/>
  </r>
  <r>
    <x v="2"/>
  </r>
  <r>
    <x v="1"/>
  </r>
  <r>
    <x v="0"/>
  </r>
  <r>
    <x v="3"/>
  </r>
  <r>
    <x v="2"/>
  </r>
  <r>
    <x v="3"/>
  </r>
  <r>
    <x v="3"/>
  </r>
  <r>
    <x v="1"/>
  </r>
  <r>
    <x v="2"/>
  </r>
  <r>
    <x v="1"/>
  </r>
  <r>
    <x v="1"/>
  </r>
  <r>
    <x v="2"/>
  </r>
  <r>
    <x v="1"/>
  </r>
  <r>
    <x v="0"/>
  </r>
  <r>
    <x v="1"/>
  </r>
  <r>
    <x v="2"/>
  </r>
  <r>
    <x v="2"/>
  </r>
  <r>
    <x v="2"/>
  </r>
  <r>
    <x v="3"/>
  </r>
  <r>
    <x v="1"/>
  </r>
  <r>
    <x v="1"/>
  </r>
  <r>
    <x v="4"/>
  </r>
  <r>
    <x v="2"/>
  </r>
  <r>
    <x v="2"/>
  </r>
  <r>
    <x v="0"/>
  </r>
  <r>
    <x v="2"/>
  </r>
  <r>
    <x v="3"/>
  </r>
  <r>
    <x v="0"/>
  </r>
  <r>
    <x v="2"/>
  </r>
  <r>
    <x v="0"/>
  </r>
  <r>
    <x v="3"/>
  </r>
  <r>
    <x v="0"/>
  </r>
  <r>
    <x v="1"/>
  </r>
  <r>
    <x v="2"/>
  </r>
  <r>
    <x v="4"/>
  </r>
  <r>
    <x v="0"/>
  </r>
  <r>
    <x v="4"/>
  </r>
  <r>
    <x v="2"/>
  </r>
  <r>
    <x v="0"/>
  </r>
  <r>
    <x v="3"/>
  </r>
  <r>
    <x v="1"/>
  </r>
  <r>
    <x v="0"/>
  </r>
  <r>
    <x v="0"/>
  </r>
  <r>
    <x v="1"/>
  </r>
  <r>
    <x v="3"/>
  </r>
  <r>
    <x v="2"/>
  </r>
  <r>
    <x v="0"/>
  </r>
  <r>
    <x v="0"/>
  </r>
  <r>
    <x v="3"/>
  </r>
  <r>
    <x v="0"/>
  </r>
  <r>
    <x v="4"/>
  </r>
  <r>
    <x v="1"/>
  </r>
  <r>
    <x v="2"/>
  </r>
  <r>
    <x v="2"/>
  </r>
  <r>
    <x v="4"/>
  </r>
  <r>
    <x v="1"/>
  </r>
  <r>
    <x v="1"/>
  </r>
  <r>
    <x v="3"/>
  </r>
  <r>
    <x v="1"/>
  </r>
  <r>
    <x v="1"/>
  </r>
  <r>
    <x v="3"/>
  </r>
  <r>
    <x v="0"/>
  </r>
  <r>
    <x v="0"/>
  </r>
  <r>
    <x v="0"/>
  </r>
  <r>
    <x v="1"/>
  </r>
  <r>
    <x v="1"/>
  </r>
  <r>
    <x v="1"/>
  </r>
  <r>
    <x v="1"/>
  </r>
  <r>
    <x v="0"/>
  </r>
  <r>
    <x v="3"/>
  </r>
  <r>
    <x v="1"/>
  </r>
  <r>
    <x v="0"/>
  </r>
  <r>
    <x v="2"/>
  </r>
  <r>
    <x v="0"/>
  </r>
  <r>
    <x v="2"/>
  </r>
  <r>
    <x v="0"/>
  </r>
  <r>
    <x v="3"/>
  </r>
  <r>
    <x v="2"/>
  </r>
  <r>
    <x v="4"/>
  </r>
  <r>
    <x v="1"/>
  </r>
  <r>
    <x v="1"/>
  </r>
  <r>
    <x v="0"/>
  </r>
  <r>
    <x v="1"/>
  </r>
  <r>
    <x v="1"/>
  </r>
  <r>
    <x v="0"/>
  </r>
  <r>
    <x v="4"/>
  </r>
  <r>
    <x v="2"/>
  </r>
  <r>
    <x v="4"/>
  </r>
  <r>
    <x v="3"/>
  </r>
  <r>
    <x v="0"/>
  </r>
  <r>
    <x v="2"/>
  </r>
  <r>
    <x v="0"/>
  </r>
  <r>
    <x v="0"/>
  </r>
  <r>
    <x v="4"/>
  </r>
  <r>
    <x v="4"/>
  </r>
  <r>
    <x v="4"/>
  </r>
  <r>
    <x v="3"/>
  </r>
  <r>
    <x v="4"/>
  </r>
  <r>
    <x v="3"/>
  </r>
  <r>
    <x v="1"/>
  </r>
  <r>
    <x v="2"/>
  </r>
  <r>
    <x v="0"/>
  </r>
  <r>
    <x v="4"/>
  </r>
  <r>
    <x v="4"/>
  </r>
  <r>
    <x v="0"/>
  </r>
  <r>
    <x v="1"/>
  </r>
  <r>
    <x v="2"/>
  </r>
  <r>
    <x v="1"/>
  </r>
  <r>
    <x v="0"/>
  </r>
  <r>
    <x v="2"/>
  </r>
  <r>
    <x v="2"/>
  </r>
  <r>
    <x v="2"/>
  </r>
  <r>
    <x v="1"/>
  </r>
  <r>
    <x v="2"/>
  </r>
  <r>
    <x v="3"/>
  </r>
  <r>
    <x v="3"/>
  </r>
  <r>
    <x v="0"/>
  </r>
  <r>
    <x v="1"/>
  </r>
  <r>
    <x v="0"/>
  </r>
  <r>
    <x v="0"/>
  </r>
  <r>
    <x v="3"/>
  </r>
  <r>
    <x v="3"/>
  </r>
  <r>
    <x v="1"/>
  </r>
  <r>
    <x v="3"/>
  </r>
  <r>
    <x v="2"/>
  </r>
  <r>
    <x v="1"/>
  </r>
  <r>
    <x v="3"/>
  </r>
  <r>
    <x v="1"/>
  </r>
  <r>
    <x v="3"/>
  </r>
  <r>
    <x v="1"/>
  </r>
  <r>
    <x v="2"/>
  </r>
  <r>
    <x v="3"/>
  </r>
  <r>
    <x v="3"/>
  </r>
  <r>
    <x v="1"/>
  </r>
  <r>
    <x v="4"/>
  </r>
  <r>
    <x v="3"/>
  </r>
  <r>
    <x v="1"/>
  </r>
  <r>
    <x v="0"/>
  </r>
  <r>
    <x v="4"/>
  </r>
  <r>
    <x v="1"/>
  </r>
  <r>
    <x v="2"/>
  </r>
  <r>
    <x v="1"/>
  </r>
  <r>
    <x v="0"/>
  </r>
  <r>
    <x v="2"/>
  </r>
  <r>
    <x v="2"/>
  </r>
  <r>
    <x v="4"/>
  </r>
  <r>
    <x v="4"/>
  </r>
  <r>
    <x v="1"/>
  </r>
  <r>
    <x v="4"/>
  </r>
  <r>
    <x v="1"/>
  </r>
  <r>
    <x v="2"/>
  </r>
  <r>
    <x v="3"/>
  </r>
  <r>
    <x v="2"/>
  </r>
  <r>
    <x v="2"/>
  </r>
  <r>
    <x v="2"/>
  </r>
  <r>
    <x v="0"/>
  </r>
  <r>
    <x v="1"/>
  </r>
  <r>
    <x v="1"/>
  </r>
  <r>
    <x v="0"/>
  </r>
  <r>
    <x v="4"/>
  </r>
  <r>
    <x v="0"/>
  </r>
  <r>
    <x v="1"/>
  </r>
  <r>
    <x v="3"/>
  </r>
  <r>
    <x v="2"/>
  </r>
  <r>
    <x v="1"/>
  </r>
  <r>
    <x v="3"/>
  </r>
  <r>
    <x v="0"/>
  </r>
  <r>
    <x v="3"/>
  </r>
  <r>
    <x v="0"/>
  </r>
  <r>
    <x v="4"/>
  </r>
  <r>
    <x v="2"/>
  </r>
  <r>
    <x v="1"/>
  </r>
  <r>
    <x v="2"/>
  </r>
  <r>
    <x v="3"/>
  </r>
  <r>
    <x v="2"/>
  </r>
  <r>
    <x v="1"/>
  </r>
  <r>
    <x v="2"/>
  </r>
  <r>
    <x v="0"/>
  </r>
  <r>
    <x v="3"/>
  </r>
  <r>
    <x v="2"/>
  </r>
  <r>
    <x v="1"/>
  </r>
  <r>
    <x v="2"/>
  </r>
  <r>
    <x v="2"/>
  </r>
  <r>
    <x v="2"/>
  </r>
  <r>
    <x v="0"/>
  </r>
  <r>
    <x v="0"/>
  </r>
  <r>
    <x v="2"/>
  </r>
  <r>
    <x v="2"/>
  </r>
  <r>
    <x v="3"/>
  </r>
  <r>
    <x v="3"/>
  </r>
  <r>
    <x v="1"/>
  </r>
  <r>
    <x v="1"/>
  </r>
  <r>
    <x v="0"/>
  </r>
  <r>
    <x v="3"/>
  </r>
  <r>
    <x v="1"/>
  </r>
  <r>
    <x v="1"/>
  </r>
  <r>
    <x v="0"/>
  </r>
  <r>
    <x v="1"/>
  </r>
  <r>
    <x v="1"/>
  </r>
  <r>
    <x v="0"/>
  </r>
  <r>
    <x v="3"/>
  </r>
  <r>
    <x v="1"/>
  </r>
  <r>
    <x v="2"/>
  </r>
  <r>
    <x v="1"/>
  </r>
  <r>
    <x v="1"/>
  </r>
  <r>
    <x v="1"/>
  </r>
  <r>
    <x v="3"/>
  </r>
  <r>
    <x v="2"/>
  </r>
  <r>
    <x v="2"/>
  </r>
  <r>
    <x v="1"/>
  </r>
  <r>
    <x v="1"/>
  </r>
  <r>
    <x v="0"/>
  </r>
  <r>
    <x v="2"/>
  </r>
  <r>
    <x v="4"/>
  </r>
  <r>
    <x v="4"/>
  </r>
  <r>
    <x v="3"/>
  </r>
  <r>
    <x v="0"/>
  </r>
  <r>
    <x v="1"/>
  </r>
  <r>
    <x v="1"/>
  </r>
  <r>
    <x v="4"/>
  </r>
  <r>
    <x v="2"/>
  </r>
  <r>
    <x v="0"/>
  </r>
  <r>
    <x v="0"/>
  </r>
  <r>
    <x v="1"/>
  </r>
  <r>
    <x v="1"/>
  </r>
  <r>
    <x v="4"/>
  </r>
  <r>
    <x v="0"/>
  </r>
  <r>
    <x v="1"/>
  </r>
  <r>
    <x v="3"/>
  </r>
  <r>
    <x v="3"/>
  </r>
  <r>
    <x v="2"/>
  </r>
  <r>
    <x v="1"/>
  </r>
  <r>
    <x v="4"/>
  </r>
  <r>
    <x v="2"/>
  </r>
  <r>
    <x v="2"/>
  </r>
  <r>
    <x v="1"/>
  </r>
  <r>
    <x v="0"/>
  </r>
  <r>
    <x v="4"/>
  </r>
  <r>
    <x v="2"/>
  </r>
  <r>
    <x v="2"/>
  </r>
  <r>
    <x v="0"/>
  </r>
  <r>
    <x v="2"/>
  </r>
  <r>
    <x v="2"/>
  </r>
  <r>
    <x v="2"/>
  </r>
  <r>
    <x v="2"/>
  </r>
  <r>
    <x v="2"/>
  </r>
  <r>
    <x v="4"/>
  </r>
  <r>
    <x v="2"/>
  </r>
  <r>
    <x v="3"/>
  </r>
  <r>
    <x v="1"/>
  </r>
  <r>
    <x v="0"/>
  </r>
  <r>
    <x v="0"/>
  </r>
  <r>
    <x v="1"/>
  </r>
  <r>
    <x v="1"/>
  </r>
  <r>
    <x v="1"/>
  </r>
  <r>
    <x v="0"/>
  </r>
  <r>
    <x v="1"/>
  </r>
  <r>
    <x v="0"/>
  </r>
  <r>
    <x v="2"/>
  </r>
  <r>
    <x v="1"/>
  </r>
  <r>
    <x v="0"/>
  </r>
  <r>
    <x v="1"/>
  </r>
  <r>
    <x v="2"/>
  </r>
  <r>
    <x v="3"/>
  </r>
  <r>
    <x v="4"/>
  </r>
  <r>
    <x v="2"/>
  </r>
  <r>
    <x v="4"/>
  </r>
  <r>
    <x v="4"/>
  </r>
  <r>
    <x v="1"/>
  </r>
  <r>
    <x v="0"/>
  </r>
  <r>
    <x v="0"/>
  </r>
  <r>
    <x v="1"/>
  </r>
  <r>
    <x v="1"/>
  </r>
  <r>
    <x v="0"/>
  </r>
  <r>
    <x v="4"/>
  </r>
  <r>
    <x v="0"/>
  </r>
  <r>
    <x v="4"/>
  </r>
  <r>
    <x v="2"/>
  </r>
  <r>
    <x v="2"/>
  </r>
  <r>
    <x v="3"/>
  </r>
  <r>
    <x v="3"/>
  </r>
  <r>
    <x v="1"/>
  </r>
  <r>
    <x v="2"/>
  </r>
  <r>
    <x v="4"/>
  </r>
  <r>
    <x v="3"/>
  </r>
  <r>
    <x v="3"/>
  </r>
  <r>
    <x v="2"/>
  </r>
  <r>
    <x v="0"/>
  </r>
  <r>
    <x v="2"/>
  </r>
  <r>
    <x v="2"/>
  </r>
  <r>
    <x v="1"/>
  </r>
  <r>
    <x v="2"/>
  </r>
  <r>
    <x v="2"/>
  </r>
  <r>
    <x v="1"/>
  </r>
  <r>
    <x v="2"/>
  </r>
  <r>
    <x v="3"/>
  </r>
  <r>
    <x v="2"/>
  </r>
  <r>
    <x v="3"/>
  </r>
  <r>
    <x v="0"/>
  </r>
  <r>
    <x v="2"/>
  </r>
  <r>
    <x v="1"/>
  </r>
  <r>
    <x v="1"/>
  </r>
  <r>
    <x v="2"/>
  </r>
  <r>
    <x v="4"/>
  </r>
  <r>
    <x v="3"/>
  </r>
  <r>
    <x v="2"/>
  </r>
  <r>
    <x v="2"/>
  </r>
  <r>
    <x v="3"/>
  </r>
  <r>
    <x v="0"/>
  </r>
  <r>
    <x v="3"/>
  </r>
  <r>
    <x v="1"/>
  </r>
  <r>
    <x v="1"/>
  </r>
  <r>
    <x v="3"/>
  </r>
  <r>
    <x v="1"/>
  </r>
  <r>
    <x v="4"/>
  </r>
  <r>
    <x v="2"/>
  </r>
  <r>
    <x v="3"/>
  </r>
  <r>
    <x v="3"/>
  </r>
  <r>
    <x v="0"/>
  </r>
  <r>
    <x v="0"/>
  </r>
  <r>
    <x v="3"/>
  </r>
  <r>
    <x v="0"/>
  </r>
  <r>
    <x v="0"/>
  </r>
  <r>
    <x v="0"/>
  </r>
  <r>
    <x v="2"/>
  </r>
  <r>
    <x v="3"/>
  </r>
  <r>
    <x v="3"/>
  </r>
  <r>
    <x v="0"/>
  </r>
  <r>
    <x v="4"/>
  </r>
  <r>
    <x v="0"/>
  </r>
  <r>
    <x v="2"/>
  </r>
  <r>
    <x v="3"/>
  </r>
  <r>
    <x v="1"/>
  </r>
  <r>
    <x v="1"/>
  </r>
  <r>
    <x v="0"/>
  </r>
  <r>
    <x v="2"/>
  </r>
  <r>
    <x v="3"/>
  </r>
  <r>
    <x v="0"/>
  </r>
  <r>
    <x v="4"/>
  </r>
  <r>
    <x v="0"/>
  </r>
  <r>
    <x v="0"/>
  </r>
  <r>
    <x v="0"/>
  </r>
  <r>
    <x v="3"/>
  </r>
  <r>
    <x v="1"/>
  </r>
  <r>
    <x v="0"/>
  </r>
  <r>
    <x v="4"/>
  </r>
  <r>
    <x v="3"/>
  </r>
  <r>
    <x v="2"/>
  </r>
  <r>
    <x v="0"/>
  </r>
  <r>
    <x v="2"/>
  </r>
  <r>
    <x v="2"/>
  </r>
  <r>
    <x v="3"/>
  </r>
  <r>
    <x v="1"/>
  </r>
  <r>
    <x v="0"/>
  </r>
  <r>
    <x v="2"/>
  </r>
  <r>
    <x v="0"/>
  </r>
  <r>
    <x v="3"/>
  </r>
  <r>
    <x v="4"/>
  </r>
  <r>
    <x v="0"/>
  </r>
  <r>
    <x v="1"/>
  </r>
  <r>
    <x v="2"/>
  </r>
  <r>
    <x v="1"/>
  </r>
  <r>
    <x v="1"/>
  </r>
  <r>
    <x v="1"/>
  </r>
  <r>
    <x v="2"/>
  </r>
  <r>
    <x v="3"/>
  </r>
  <r>
    <x v="0"/>
  </r>
  <r>
    <x v="2"/>
  </r>
  <r>
    <x v="3"/>
  </r>
  <r>
    <x v="4"/>
  </r>
  <r>
    <x v="3"/>
  </r>
  <r>
    <x v="4"/>
  </r>
  <r>
    <x v="2"/>
  </r>
  <r>
    <x v="1"/>
  </r>
  <r>
    <x v="0"/>
  </r>
  <r>
    <x v="0"/>
  </r>
  <r>
    <x v="4"/>
  </r>
  <r>
    <x v="2"/>
  </r>
  <r>
    <x v="1"/>
  </r>
  <r>
    <x v="0"/>
  </r>
  <r>
    <x v="2"/>
  </r>
  <r>
    <x v="1"/>
  </r>
  <r>
    <x v="3"/>
  </r>
  <r>
    <x v="1"/>
  </r>
  <r>
    <x v="3"/>
  </r>
  <r>
    <x v="1"/>
  </r>
  <r>
    <x v="0"/>
  </r>
  <r>
    <x v="2"/>
  </r>
  <r>
    <x v="0"/>
  </r>
  <r>
    <x v="2"/>
  </r>
  <r>
    <x v="3"/>
  </r>
  <r>
    <x v="2"/>
  </r>
  <r>
    <x v="2"/>
  </r>
  <r>
    <x v="2"/>
  </r>
  <r>
    <x v="0"/>
  </r>
  <r>
    <x v="0"/>
  </r>
  <r>
    <x v="0"/>
  </r>
  <r>
    <x v="2"/>
  </r>
  <r>
    <x v="0"/>
  </r>
  <r>
    <x v="1"/>
  </r>
  <r>
    <x v="3"/>
  </r>
  <r>
    <x v="1"/>
  </r>
  <r>
    <x v="0"/>
  </r>
  <r>
    <x v="1"/>
  </r>
  <r>
    <x v="2"/>
  </r>
  <r>
    <x v="2"/>
  </r>
  <r>
    <x v="1"/>
  </r>
  <r>
    <x v="1"/>
  </r>
  <r>
    <x v="2"/>
  </r>
  <r>
    <x v="3"/>
  </r>
  <r>
    <x v="0"/>
  </r>
  <r>
    <x v="0"/>
  </r>
  <r>
    <x v="1"/>
  </r>
  <r>
    <x v="2"/>
  </r>
  <r>
    <x v="3"/>
  </r>
  <r>
    <x v="2"/>
  </r>
  <r>
    <x v="3"/>
  </r>
  <r>
    <x v="2"/>
  </r>
  <r>
    <x v="1"/>
  </r>
  <r>
    <x v="0"/>
  </r>
  <r>
    <x v="1"/>
  </r>
  <r>
    <x v="2"/>
  </r>
  <r>
    <x v="2"/>
  </r>
  <r>
    <x v="2"/>
  </r>
  <r>
    <x v="3"/>
  </r>
  <r>
    <x v="1"/>
  </r>
  <r>
    <x v="3"/>
  </r>
  <r>
    <x v="2"/>
  </r>
  <r>
    <x v="2"/>
  </r>
  <r>
    <x v="2"/>
  </r>
  <r>
    <x v="1"/>
  </r>
  <r>
    <x v="3"/>
  </r>
  <r>
    <x v="1"/>
  </r>
  <r>
    <x v="0"/>
  </r>
  <r>
    <x v="2"/>
  </r>
  <r>
    <x v="2"/>
  </r>
  <r>
    <x v="1"/>
  </r>
  <r>
    <x v="1"/>
  </r>
  <r>
    <x v="3"/>
  </r>
  <r>
    <x v="2"/>
  </r>
  <r>
    <x v="2"/>
  </r>
  <r>
    <x v="3"/>
  </r>
  <r>
    <x v="2"/>
  </r>
  <r>
    <x v="2"/>
  </r>
  <r>
    <x v="3"/>
  </r>
  <r>
    <x v="2"/>
  </r>
  <r>
    <x v="2"/>
  </r>
  <r>
    <x v="1"/>
  </r>
  <r>
    <x v="0"/>
  </r>
  <r>
    <x v="4"/>
  </r>
  <r>
    <x v="3"/>
  </r>
  <r>
    <x v="0"/>
  </r>
  <r>
    <x v="2"/>
  </r>
  <r>
    <x v="0"/>
  </r>
  <r>
    <x v="2"/>
  </r>
  <r>
    <x v="2"/>
  </r>
  <r>
    <x v="4"/>
  </r>
  <r>
    <x v="0"/>
  </r>
  <r>
    <x v="4"/>
  </r>
  <r>
    <x v="3"/>
  </r>
  <r>
    <x v="3"/>
  </r>
  <r>
    <x v="3"/>
  </r>
  <r>
    <x v="1"/>
  </r>
  <r>
    <x v="0"/>
  </r>
  <r>
    <x v="4"/>
  </r>
  <r>
    <x v="2"/>
  </r>
  <r>
    <x v="1"/>
  </r>
  <r>
    <x v="3"/>
  </r>
  <r>
    <x v="2"/>
  </r>
  <r>
    <x v="0"/>
  </r>
  <r>
    <x v="0"/>
  </r>
  <r>
    <x v="2"/>
  </r>
  <r>
    <x v="2"/>
  </r>
  <r>
    <x v="3"/>
  </r>
  <r>
    <x v="3"/>
  </r>
  <r>
    <x v="3"/>
  </r>
  <r>
    <x v="2"/>
  </r>
  <r>
    <x v="2"/>
  </r>
  <r>
    <x v="4"/>
  </r>
  <r>
    <x v="4"/>
  </r>
  <r>
    <x v="0"/>
  </r>
  <r>
    <x v="4"/>
  </r>
  <r>
    <x v="0"/>
  </r>
  <r>
    <x v="2"/>
  </r>
  <r>
    <x v="2"/>
  </r>
  <r>
    <x v="1"/>
  </r>
  <r>
    <x v="0"/>
  </r>
  <r>
    <x v="1"/>
  </r>
  <r>
    <x v="1"/>
  </r>
  <r>
    <x v="3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0"/>
  </r>
  <r>
    <x v="4"/>
  </r>
  <r>
    <x v="2"/>
  </r>
  <r>
    <x v="2"/>
  </r>
  <r>
    <x v="1"/>
  </r>
  <r>
    <x v="0"/>
  </r>
  <r>
    <x v="1"/>
  </r>
  <r>
    <x v="2"/>
  </r>
  <r>
    <x v="1"/>
  </r>
  <r>
    <x v="4"/>
  </r>
  <r>
    <x v="0"/>
  </r>
  <r>
    <x v="2"/>
  </r>
  <r>
    <x v="1"/>
  </r>
  <r>
    <x v="1"/>
  </r>
  <r>
    <x v="1"/>
  </r>
  <r>
    <x v="2"/>
  </r>
  <r>
    <x v="1"/>
  </r>
  <r>
    <x v="2"/>
  </r>
  <r>
    <x v="2"/>
  </r>
  <r>
    <x v="0"/>
  </r>
  <r>
    <x v="2"/>
  </r>
  <r>
    <x v="0"/>
  </r>
  <r>
    <x v="0"/>
  </r>
  <r>
    <x v="2"/>
  </r>
  <r>
    <x v="0"/>
  </r>
  <r>
    <x v="4"/>
  </r>
  <r>
    <x v="2"/>
  </r>
  <r>
    <x v="0"/>
  </r>
  <r>
    <x v="3"/>
  </r>
  <r>
    <x v="3"/>
  </r>
  <r>
    <x v="3"/>
  </r>
  <r>
    <x v="3"/>
  </r>
  <r>
    <x v="2"/>
  </r>
  <r>
    <x v="4"/>
  </r>
  <r>
    <x v="0"/>
  </r>
  <r>
    <x v="0"/>
  </r>
  <r>
    <x v="3"/>
  </r>
  <r>
    <x v="0"/>
  </r>
  <r>
    <x v="3"/>
  </r>
  <r>
    <x v="3"/>
  </r>
  <r>
    <x v="3"/>
  </r>
  <r>
    <x v="2"/>
  </r>
  <r>
    <x v="2"/>
  </r>
  <r>
    <x v="0"/>
  </r>
  <r>
    <x v="1"/>
  </r>
  <r>
    <x v="2"/>
  </r>
  <r>
    <x v="2"/>
  </r>
  <r>
    <x v="2"/>
  </r>
  <r>
    <x v="4"/>
  </r>
  <r>
    <x v="1"/>
  </r>
  <r>
    <x v="0"/>
  </r>
  <r>
    <x v="4"/>
  </r>
  <r>
    <x v="3"/>
  </r>
  <r>
    <x v="4"/>
  </r>
  <r>
    <x v="3"/>
  </r>
  <r>
    <x v="2"/>
  </r>
  <r>
    <x v="0"/>
  </r>
  <r>
    <x v="3"/>
  </r>
  <r>
    <x v="0"/>
  </r>
  <r>
    <x v="3"/>
  </r>
  <r>
    <x v="0"/>
  </r>
  <r>
    <x v="2"/>
  </r>
  <r>
    <x v="2"/>
  </r>
  <r>
    <x v="1"/>
  </r>
  <r>
    <x v="1"/>
  </r>
  <r>
    <x v="4"/>
  </r>
  <r>
    <x v="1"/>
  </r>
  <r>
    <x v="0"/>
  </r>
  <r>
    <x v="0"/>
  </r>
  <r>
    <x v="2"/>
  </r>
  <r>
    <x v="2"/>
  </r>
  <r>
    <x v="3"/>
  </r>
  <r>
    <x v="1"/>
  </r>
  <r>
    <x v="2"/>
  </r>
  <r>
    <x v="4"/>
  </r>
  <r>
    <x v="0"/>
  </r>
  <r>
    <x v="1"/>
  </r>
  <r>
    <x v="2"/>
  </r>
  <r>
    <x v="2"/>
  </r>
  <r>
    <x v="4"/>
  </r>
  <r>
    <x v="2"/>
  </r>
  <r>
    <x v="3"/>
  </r>
  <r>
    <x v="2"/>
  </r>
  <r>
    <x v="2"/>
  </r>
  <r>
    <x v="2"/>
  </r>
  <r>
    <x v="0"/>
  </r>
  <r>
    <x v="3"/>
  </r>
  <r>
    <x v="0"/>
  </r>
  <r>
    <x v="2"/>
  </r>
  <r>
    <x v="1"/>
  </r>
  <r>
    <x v="1"/>
  </r>
  <r>
    <x v="2"/>
  </r>
  <r>
    <x v="3"/>
  </r>
  <r>
    <x v="2"/>
  </r>
  <r>
    <x v="1"/>
  </r>
  <r>
    <x v="1"/>
  </r>
  <r>
    <x v="1"/>
  </r>
  <r>
    <x v="2"/>
  </r>
  <r>
    <x v="3"/>
  </r>
  <r>
    <x v="2"/>
  </r>
  <r>
    <x v="3"/>
  </r>
  <r>
    <x v="0"/>
  </r>
  <r>
    <x v="2"/>
  </r>
  <r>
    <x v="1"/>
  </r>
  <r>
    <x v="0"/>
  </r>
  <r>
    <x v="1"/>
  </r>
  <r>
    <x v="2"/>
  </r>
  <r>
    <x v="1"/>
  </r>
  <r>
    <x v="4"/>
  </r>
  <r>
    <x v="1"/>
  </r>
  <r>
    <x v="1"/>
  </r>
  <r>
    <x v="1"/>
  </r>
  <r>
    <x v="0"/>
  </r>
  <r>
    <x v="2"/>
  </r>
  <r>
    <x v="0"/>
  </r>
  <r>
    <x v="1"/>
  </r>
  <r>
    <x v="4"/>
  </r>
  <r>
    <x v="0"/>
  </r>
  <r>
    <x v="2"/>
  </r>
  <r>
    <x v="0"/>
  </r>
  <r>
    <x v="4"/>
  </r>
  <r>
    <x v="2"/>
  </r>
  <r>
    <x v="3"/>
  </r>
  <r>
    <x v="0"/>
  </r>
  <r>
    <x v="2"/>
  </r>
  <r>
    <x v="2"/>
  </r>
  <r>
    <x v="3"/>
  </r>
  <r>
    <x v="1"/>
  </r>
  <r>
    <x v="2"/>
  </r>
  <r>
    <x v="3"/>
  </r>
  <r>
    <x v="1"/>
  </r>
  <r>
    <x v="4"/>
  </r>
  <r>
    <x v="4"/>
  </r>
  <r>
    <x v="3"/>
  </r>
  <r>
    <x v="4"/>
  </r>
  <r>
    <x v="2"/>
  </r>
  <r>
    <x v="1"/>
  </r>
  <r>
    <x v="0"/>
  </r>
  <r>
    <x v="2"/>
  </r>
  <r>
    <x v="0"/>
  </r>
  <r>
    <x v="2"/>
  </r>
  <r>
    <x v="1"/>
  </r>
  <r>
    <x v="3"/>
  </r>
  <r>
    <x v="0"/>
  </r>
  <r>
    <x v="2"/>
  </r>
  <r>
    <x v="2"/>
  </r>
  <r>
    <x v="4"/>
  </r>
  <r>
    <x v="1"/>
  </r>
  <r>
    <x v="4"/>
  </r>
  <r>
    <x v="3"/>
  </r>
  <r>
    <x v="2"/>
  </r>
  <r>
    <x v="0"/>
  </r>
  <r>
    <x v="0"/>
  </r>
  <r>
    <x v="2"/>
  </r>
  <r>
    <x v="1"/>
  </r>
  <r>
    <x v="3"/>
  </r>
  <r>
    <x v="2"/>
  </r>
  <r>
    <x v="3"/>
  </r>
  <r>
    <x v="0"/>
  </r>
  <r>
    <x v="1"/>
  </r>
  <r>
    <x v="0"/>
  </r>
  <r>
    <x v="0"/>
  </r>
  <r>
    <x v="2"/>
  </r>
  <r>
    <x v="1"/>
  </r>
  <r>
    <x v="4"/>
  </r>
  <r>
    <x v="0"/>
  </r>
  <r>
    <x v="2"/>
  </r>
  <r>
    <x v="0"/>
  </r>
  <r>
    <x v="0"/>
  </r>
  <r>
    <x v="4"/>
  </r>
  <r>
    <x v="4"/>
  </r>
  <r>
    <x v="1"/>
  </r>
  <r>
    <x v="2"/>
  </r>
  <r>
    <x v="4"/>
  </r>
  <r>
    <x v="0"/>
  </r>
  <r>
    <x v="1"/>
  </r>
  <r>
    <x v="3"/>
  </r>
  <r>
    <x v="3"/>
  </r>
  <r>
    <x v="3"/>
  </r>
  <r>
    <x v="2"/>
  </r>
  <r>
    <x v="3"/>
  </r>
  <r>
    <x v="1"/>
  </r>
  <r>
    <x v="2"/>
  </r>
  <r>
    <x v="2"/>
  </r>
  <r>
    <x v="2"/>
  </r>
  <r>
    <x v="3"/>
  </r>
  <r>
    <x v="4"/>
  </r>
  <r>
    <x v="2"/>
  </r>
  <r>
    <x v="2"/>
  </r>
  <r>
    <x v="1"/>
  </r>
  <r>
    <x v="1"/>
  </r>
  <r>
    <x v="2"/>
  </r>
  <r>
    <x v="1"/>
  </r>
  <r>
    <x v="0"/>
  </r>
  <r>
    <x v="1"/>
  </r>
  <r>
    <x v="0"/>
  </r>
  <r>
    <x v="4"/>
  </r>
  <r>
    <x v="2"/>
  </r>
  <r>
    <x v="2"/>
  </r>
  <r>
    <x v="3"/>
  </r>
  <r>
    <x v="3"/>
  </r>
  <r>
    <x v="4"/>
  </r>
  <r>
    <x v="0"/>
  </r>
  <r>
    <x v="2"/>
  </r>
  <r>
    <x v="3"/>
  </r>
  <r>
    <x v="3"/>
  </r>
  <r>
    <x v="4"/>
  </r>
  <r>
    <x v="0"/>
  </r>
  <r>
    <x v="0"/>
  </r>
  <r>
    <x v="1"/>
  </r>
  <r>
    <x v="1"/>
  </r>
  <r>
    <x v="0"/>
  </r>
  <r>
    <x v="2"/>
  </r>
  <r>
    <x v="1"/>
  </r>
  <r>
    <x v="1"/>
  </r>
  <r>
    <x v="1"/>
  </r>
  <r>
    <x v="4"/>
  </r>
  <r>
    <x v="1"/>
  </r>
  <r>
    <x v="1"/>
  </r>
  <r>
    <x v="4"/>
  </r>
  <r>
    <x v="2"/>
  </r>
  <r>
    <x v="0"/>
  </r>
  <r>
    <x v="0"/>
  </r>
  <r>
    <x v="3"/>
  </r>
  <r>
    <x v="1"/>
  </r>
  <r>
    <x v="1"/>
  </r>
  <r>
    <x v="1"/>
  </r>
  <r>
    <x v="4"/>
  </r>
  <r>
    <x v="2"/>
  </r>
  <r>
    <x v="1"/>
  </r>
  <r>
    <x v="0"/>
  </r>
  <r>
    <x v="3"/>
  </r>
  <r>
    <x v="2"/>
  </r>
  <r>
    <x v="1"/>
  </r>
  <r>
    <x v="0"/>
  </r>
  <r>
    <x v="1"/>
  </r>
  <r>
    <x v="0"/>
  </r>
  <r>
    <x v="2"/>
  </r>
  <r>
    <x v="3"/>
  </r>
  <r>
    <x v="3"/>
  </r>
  <r>
    <x v="4"/>
  </r>
  <r>
    <x v="2"/>
  </r>
  <r>
    <x v="4"/>
  </r>
  <r>
    <x v="4"/>
  </r>
  <r>
    <x v="4"/>
  </r>
  <r>
    <x v="3"/>
  </r>
  <r>
    <x v="4"/>
  </r>
  <r>
    <x v="3"/>
  </r>
  <r>
    <x v="2"/>
  </r>
  <r>
    <x v="2"/>
  </r>
  <r>
    <x v="4"/>
  </r>
  <r>
    <x v="2"/>
  </r>
  <r>
    <x v="0"/>
  </r>
  <r>
    <x v="2"/>
  </r>
  <r>
    <x v="3"/>
  </r>
  <r>
    <x v="2"/>
  </r>
  <r>
    <x v="1"/>
  </r>
  <r>
    <x v="0"/>
  </r>
  <r>
    <x v="1"/>
  </r>
  <r>
    <x v="0"/>
  </r>
  <r>
    <x v="4"/>
  </r>
  <r>
    <x v="0"/>
  </r>
  <r>
    <x v="0"/>
  </r>
  <r>
    <x v="0"/>
  </r>
  <r>
    <x v="0"/>
  </r>
  <r>
    <x v="1"/>
  </r>
  <r>
    <x v="0"/>
  </r>
  <r>
    <x v="1"/>
  </r>
  <r>
    <x v="1"/>
  </r>
  <r>
    <x v="2"/>
  </r>
  <r>
    <x v="0"/>
  </r>
  <r>
    <x v="2"/>
  </r>
  <r>
    <x v="0"/>
  </r>
  <r>
    <x v="0"/>
  </r>
  <r>
    <x v="4"/>
  </r>
  <r>
    <x v="2"/>
  </r>
  <r>
    <x v="2"/>
  </r>
  <r>
    <x v="2"/>
  </r>
  <r>
    <x v="3"/>
  </r>
  <r>
    <x v="1"/>
  </r>
  <r>
    <x v="1"/>
  </r>
  <r>
    <x v="1"/>
  </r>
  <r>
    <x v="1"/>
  </r>
  <r>
    <x v="3"/>
  </r>
  <r>
    <x v="2"/>
  </r>
  <r>
    <x v="2"/>
  </r>
  <r>
    <x v="1"/>
  </r>
  <r>
    <x v="1"/>
  </r>
  <r>
    <x v="0"/>
  </r>
  <r>
    <x v="3"/>
  </r>
  <r>
    <x v="3"/>
  </r>
  <r>
    <x v="4"/>
  </r>
  <r>
    <x v="2"/>
  </r>
  <r>
    <x v="1"/>
  </r>
  <r>
    <x v="3"/>
  </r>
  <r>
    <x v="2"/>
  </r>
  <r>
    <x v="1"/>
  </r>
  <r>
    <x v="3"/>
  </r>
  <r>
    <x v="1"/>
  </r>
  <r>
    <x v="1"/>
  </r>
  <r>
    <x v="0"/>
  </r>
  <r>
    <x v="1"/>
  </r>
  <r>
    <x v="0"/>
  </r>
  <r>
    <x v="3"/>
  </r>
  <r>
    <x v="1"/>
  </r>
  <r>
    <x v="0"/>
  </r>
  <r>
    <x v="2"/>
  </r>
  <r>
    <x v="1"/>
  </r>
  <r>
    <x v="0"/>
  </r>
  <r>
    <x v="1"/>
  </r>
  <r>
    <x v="1"/>
  </r>
  <r>
    <x v="3"/>
  </r>
  <r>
    <x v="0"/>
  </r>
  <r>
    <x v="3"/>
  </r>
  <r>
    <x v="3"/>
  </r>
  <r>
    <x v="1"/>
  </r>
  <r>
    <x v="1"/>
  </r>
  <r>
    <x v="2"/>
  </r>
  <r>
    <x v="0"/>
  </r>
  <r>
    <x v="4"/>
  </r>
  <r>
    <x v="0"/>
  </r>
  <r>
    <x v="1"/>
  </r>
  <r>
    <x v="1"/>
  </r>
  <r>
    <x v="3"/>
  </r>
  <r>
    <x v="3"/>
  </r>
  <r>
    <x v="1"/>
  </r>
  <r>
    <x v="0"/>
  </r>
  <r>
    <x v="0"/>
  </r>
  <r>
    <x v="1"/>
  </r>
  <r>
    <x v="1"/>
  </r>
  <r>
    <x v="2"/>
  </r>
  <r>
    <x v="2"/>
  </r>
  <r>
    <x v="3"/>
  </r>
  <r>
    <x v="0"/>
  </r>
  <r>
    <x v="3"/>
  </r>
  <r>
    <x v="0"/>
  </r>
  <r>
    <x v="2"/>
  </r>
  <r>
    <x v="0"/>
  </r>
  <r>
    <x v="3"/>
  </r>
  <r>
    <x v="0"/>
  </r>
  <r>
    <x v="3"/>
  </r>
  <r>
    <x v="3"/>
  </r>
  <r>
    <x v="1"/>
  </r>
  <r>
    <x v="2"/>
  </r>
  <r>
    <x v="0"/>
  </r>
  <r>
    <x v="4"/>
  </r>
  <r>
    <x v="0"/>
  </r>
  <r>
    <x v="1"/>
  </r>
  <r>
    <x v="2"/>
  </r>
  <r>
    <x v="0"/>
  </r>
  <r>
    <x v="3"/>
  </r>
  <r>
    <x v="2"/>
  </r>
  <r>
    <x v="3"/>
  </r>
  <r>
    <x v="3"/>
  </r>
  <r>
    <x v="0"/>
  </r>
  <r>
    <x v="4"/>
  </r>
  <r>
    <x v="2"/>
  </r>
  <r>
    <x v="3"/>
  </r>
  <r>
    <x v="3"/>
  </r>
  <r>
    <x v="3"/>
  </r>
  <r>
    <x v="1"/>
  </r>
  <r>
    <x v="3"/>
  </r>
  <r>
    <x v="2"/>
  </r>
  <r>
    <x v="1"/>
  </r>
  <r>
    <x v="1"/>
  </r>
  <r>
    <x v="0"/>
  </r>
  <r>
    <x v="0"/>
  </r>
  <r>
    <x v="2"/>
  </r>
  <r>
    <x v="2"/>
  </r>
  <r>
    <x v="2"/>
  </r>
  <r>
    <x v="3"/>
  </r>
  <r>
    <x v="4"/>
  </r>
  <r>
    <x v="0"/>
  </r>
  <r>
    <x v="2"/>
  </r>
  <r>
    <x v="2"/>
  </r>
  <r>
    <x v="3"/>
  </r>
  <r>
    <x v="0"/>
  </r>
  <r>
    <x v="3"/>
  </r>
  <r>
    <x v="3"/>
  </r>
  <r>
    <x v="0"/>
  </r>
  <r>
    <x v="2"/>
  </r>
  <r>
    <x v="2"/>
  </r>
  <r>
    <x v="2"/>
  </r>
  <r>
    <x v="2"/>
  </r>
  <r>
    <x v="2"/>
  </r>
  <r>
    <x v="3"/>
  </r>
  <r>
    <x v="1"/>
  </r>
  <r>
    <x v="1"/>
  </r>
  <r>
    <x v="0"/>
  </r>
  <r>
    <x v="1"/>
  </r>
  <r>
    <x v="3"/>
  </r>
  <r>
    <x v="1"/>
  </r>
  <r>
    <x v="3"/>
  </r>
  <r>
    <x v="3"/>
  </r>
  <r>
    <x v="3"/>
  </r>
  <r>
    <x v="2"/>
  </r>
  <r>
    <x v="4"/>
  </r>
  <r>
    <x v="2"/>
  </r>
  <r>
    <x v="3"/>
  </r>
  <r>
    <x v="3"/>
  </r>
  <r>
    <x v="2"/>
  </r>
  <r>
    <x v="2"/>
  </r>
  <r>
    <x v="2"/>
  </r>
  <r>
    <x v="3"/>
  </r>
  <r>
    <x v="1"/>
  </r>
  <r>
    <x v="3"/>
  </r>
  <r>
    <x v="2"/>
  </r>
  <r>
    <x v="0"/>
  </r>
  <r>
    <x v="4"/>
  </r>
  <r>
    <x v="2"/>
  </r>
  <r>
    <x v="2"/>
  </r>
  <r>
    <x v="4"/>
  </r>
  <r>
    <x v="2"/>
  </r>
  <r>
    <x v="0"/>
  </r>
  <r>
    <x v="2"/>
  </r>
  <r>
    <x v="4"/>
  </r>
  <r>
    <x v="4"/>
  </r>
  <r>
    <x v="1"/>
  </r>
  <r>
    <x v="3"/>
  </r>
  <r>
    <x v="3"/>
  </r>
  <r>
    <x v="2"/>
  </r>
  <r>
    <x v="1"/>
  </r>
  <r>
    <x v="1"/>
  </r>
  <r>
    <x v="3"/>
  </r>
  <r>
    <x v="0"/>
  </r>
  <r>
    <x v="2"/>
  </r>
  <r>
    <x v="3"/>
  </r>
  <r>
    <x v="0"/>
  </r>
  <r>
    <x v="3"/>
  </r>
  <r>
    <x v="3"/>
  </r>
  <r>
    <x v="2"/>
  </r>
  <r>
    <x v="1"/>
  </r>
  <r>
    <x v="1"/>
  </r>
  <r>
    <x v="4"/>
  </r>
  <r>
    <x v="1"/>
  </r>
  <r>
    <x v="0"/>
  </r>
  <r>
    <x v="2"/>
  </r>
  <r>
    <x v="4"/>
  </r>
  <r>
    <x v="0"/>
  </r>
  <r>
    <x v="0"/>
  </r>
  <r>
    <x v="0"/>
  </r>
  <r>
    <x v="1"/>
  </r>
  <r>
    <x v="2"/>
  </r>
  <r>
    <x v="2"/>
  </r>
  <r>
    <x v="0"/>
  </r>
  <r>
    <x v="1"/>
  </r>
  <r>
    <x v="0"/>
  </r>
  <r>
    <x v="3"/>
  </r>
  <r>
    <x v="3"/>
  </r>
  <r>
    <x v="1"/>
  </r>
  <r>
    <x v="1"/>
  </r>
  <r>
    <x v="0"/>
  </r>
  <r>
    <x v="3"/>
  </r>
  <r>
    <x v="4"/>
  </r>
  <r>
    <x v="0"/>
  </r>
  <r>
    <x v="1"/>
  </r>
  <r>
    <x v="2"/>
  </r>
  <r>
    <x v="3"/>
  </r>
  <r>
    <x v="1"/>
  </r>
  <r>
    <x v="2"/>
  </r>
  <r>
    <x v="0"/>
  </r>
  <r>
    <x v="0"/>
  </r>
  <r>
    <x v="1"/>
  </r>
  <r>
    <x v="3"/>
  </r>
  <r>
    <x v="2"/>
  </r>
  <r>
    <x v="4"/>
  </r>
  <r>
    <x v="0"/>
  </r>
  <r>
    <x v="2"/>
  </r>
  <r>
    <x v="2"/>
  </r>
  <r>
    <x v="4"/>
  </r>
  <r>
    <x v="2"/>
  </r>
  <r>
    <x v="0"/>
  </r>
  <r>
    <x v="3"/>
  </r>
  <r>
    <x v="1"/>
  </r>
  <r>
    <x v="1"/>
  </r>
  <r>
    <x v="0"/>
  </r>
  <r>
    <x v="2"/>
  </r>
  <r>
    <x v="1"/>
  </r>
  <r>
    <x v="3"/>
  </r>
  <r>
    <x v="4"/>
  </r>
  <r>
    <x v="0"/>
  </r>
  <r>
    <x v="0"/>
  </r>
  <r>
    <x v="2"/>
  </r>
  <r>
    <x v="1"/>
  </r>
  <r>
    <x v="3"/>
  </r>
  <r>
    <x v="3"/>
  </r>
  <r>
    <x v="2"/>
  </r>
  <r>
    <x v="2"/>
  </r>
  <r>
    <x v="2"/>
  </r>
  <r>
    <x v="3"/>
  </r>
  <r>
    <x v="1"/>
  </r>
  <r>
    <x v="3"/>
  </r>
  <r>
    <x v="1"/>
  </r>
  <r>
    <x v="2"/>
  </r>
  <r>
    <x v="0"/>
  </r>
  <r>
    <x v="0"/>
  </r>
  <r>
    <x v="4"/>
  </r>
  <r>
    <x v="1"/>
  </r>
  <r>
    <x v="3"/>
  </r>
  <r>
    <x v="1"/>
  </r>
  <r>
    <x v="2"/>
  </r>
  <r>
    <x v="0"/>
  </r>
  <r>
    <x v="2"/>
  </r>
  <r>
    <x v="3"/>
  </r>
  <r>
    <x v="2"/>
  </r>
  <r>
    <x v="1"/>
  </r>
  <r>
    <x v="0"/>
  </r>
  <r>
    <x v="1"/>
  </r>
  <r>
    <x v="0"/>
  </r>
  <r>
    <x v="2"/>
  </r>
  <r>
    <x v="1"/>
  </r>
  <r>
    <x v="1"/>
  </r>
  <r>
    <x v="1"/>
  </r>
  <r>
    <x v="0"/>
  </r>
  <r>
    <x v="1"/>
  </r>
  <r>
    <x v="1"/>
  </r>
  <r>
    <x v="2"/>
  </r>
  <r>
    <x v="2"/>
  </r>
  <r>
    <x v="2"/>
  </r>
  <r>
    <x v="3"/>
  </r>
  <r>
    <x v="3"/>
  </r>
  <r>
    <x v="4"/>
  </r>
  <r>
    <x v="3"/>
  </r>
  <r>
    <x v="1"/>
  </r>
  <r>
    <x v="0"/>
  </r>
  <r>
    <x v="2"/>
  </r>
  <r>
    <x v="2"/>
  </r>
  <r>
    <x v="0"/>
  </r>
  <r>
    <x v="1"/>
  </r>
  <r>
    <x v="4"/>
  </r>
  <r>
    <x v="3"/>
  </r>
  <r>
    <x v="1"/>
  </r>
  <r>
    <x v="3"/>
  </r>
  <r>
    <x v="0"/>
  </r>
  <r>
    <x v="0"/>
  </r>
  <r>
    <x v="2"/>
  </r>
  <r>
    <x v="2"/>
  </r>
  <r>
    <x v="2"/>
  </r>
  <r>
    <x v="3"/>
  </r>
  <r>
    <x v="1"/>
  </r>
  <r>
    <x v="2"/>
  </r>
  <r>
    <x v="0"/>
  </r>
  <r>
    <x v="3"/>
  </r>
  <r>
    <x v="1"/>
  </r>
  <r>
    <x v="1"/>
  </r>
  <r>
    <x v="1"/>
  </r>
  <r>
    <x v="0"/>
  </r>
  <r>
    <x v="3"/>
  </r>
  <r>
    <x v="1"/>
  </r>
  <r>
    <x v="2"/>
  </r>
  <r>
    <x v="3"/>
  </r>
  <r>
    <x v="2"/>
  </r>
  <r>
    <x v="0"/>
  </r>
  <r>
    <x v="0"/>
  </r>
  <r>
    <x v="0"/>
  </r>
  <r>
    <x v="3"/>
  </r>
  <r>
    <x v="2"/>
  </r>
  <r>
    <x v="1"/>
  </r>
  <r>
    <x v="0"/>
  </r>
  <r>
    <x v="3"/>
  </r>
  <r>
    <x v="0"/>
  </r>
  <r>
    <x v="2"/>
  </r>
  <r>
    <x v="2"/>
  </r>
  <r>
    <x v="3"/>
  </r>
  <r>
    <x v="2"/>
  </r>
  <r>
    <x v="2"/>
  </r>
  <r>
    <x v="1"/>
  </r>
  <r>
    <x v="0"/>
  </r>
  <r>
    <x v="0"/>
  </r>
  <r>
    <x v="0"/>
  </r>
  <r>
    <x v="4"/>
  </r>
  <r>
    <x v="2"/>
  </r>
  <r>
    <x v="1"/>
  </r>
  <r>
    <x v="0"/>
  </r>
  <r>
    <x v="2"/>
  </r>
  <r>
    <x v="3"/>
  </r>
  <r>
    <x v="0"/>
  </r>
  <r>
    <x v="0"/>
  </r>
  <r>
    <x v="2"/>
  </r>
  <r>
    <x v="0"/>
  </r>
  <r>
    <x v="0"/>
  </r>
  <r>
    <x v="3"/>
  </r>
  <r>
    <x v="1"/>
  </r>
  <r>
    <x v="1"/>
  </r>
  <r>
    <x v="3"/>
  </r>
  <r>
    <x v="4"/>
  </r>
  <r>
    <x v="2"/>
  </r>
  <r>
    <x v="2"/>
  </r>
  <r>
    <x v="3"/>
  </r>
  <r>
    <x v="0"/>
  </r>
  <r>
    <x v="0"/>
  </r>
  <r>
    <x v="3"/>
  </r>
  <r>
    <x v="2"/>
  </r>
  <r>
    <x v="2"/>
  </r>
  <r>
    <x v="1"/>
  </r>
  <r>
    <x v="1"/>
  </r>
  <r>
    <x v="0"/>
  </r>
  <r>
    <x v="0"/>
  </r>
  <r>
    <x v="0"/>
  </r>
  <r>
    <x v="2"/>
  </r>
  <r>
    <x v="3"/>
  </r>
  <r>
    <x v="0"/>
  </r>
  <r>
    <x v="0"/>
  </r>
  <r>
    <x v="2"/>
  </r>
  <r>
    <x v="4"/>
  </r>
  <r>
    <x v="1"/>
  </r>
  <r>
    <x v="2"/>
  </r>
  <r>
    <x v="0"/>
  </r>
  <r>
    <x v="4"/>
  </r>
  <r>
    <x v="2"/>
  </r>
  <r>
    <x v="0"/>
  </r>
  <r>
    <x v="3"/>
  </r>
  <r>
    <x v="3"/>
  </r>
  <r>
    <x v="1"/>
  </r>
  <r>
    <x v="3"/>
  </r>
  <r>
    <x v="2"/>
  </r>
  <r>
    <x v="2"/>
  </r>
  <r>
    <x v="2"/>
  </r>
  <r>
    <x v="3"/>
  </r>
  <r>
    <x v="1"/>
  </r>
  <r>
    <x v="2"/>
  </r>
  <r>
    <x v="0"/>
  </r>
  <r>
    <x v="0"/>
  </r>
  <r>
    <x v="2"/>
  </r>
  <r>
    <x v="0"/>
  </r>
  <r>
    <x v="0"/>
  </r>
  <r>
    <x v="3"/>
  </r>
  <r>
    <x v="3"/>
  </r>
  <r>
    <x v="0"/>
  </r>
  <r>
    <x v="4"/>
  </r>
  <r>
    <x v="3"/>
  </r>
  <r>
    <x v="3"/>
  </r>
  <r>
    <x v="3"/>
  </r>
  <r>
    <x v="2"/>
  </r>
  <r>
    <x v="0"/>
  </r>
  <r>
    <x v="3"/>
  </r>
  <r>
    <x v="2"/>
  </r>
  <r>
    <x v="3"/>
  </r>
  <r>
    <x v="2"/>
  </r>
  <r>
    <x v="3"/>
  </r>
  <r>
    <x v="2"/>
  </r>
  <r>
    <x v="2"/>
  </r>
  <r>
    <x v="1"/>
  </r>
  <r>
    <x v="1"/>
  </r>
  <r>
    <x v="2"/>
  </r>
  <r>
    <x v="0"/>
  </r>
  <r>
    <x v="2"/>
  </r>
  <r>
    <x v="0"/>
  </r>
  <r>
    <x v="3"/>
  </r>
  <r>
    <x v="2"/>
  </r>
  <r>
    <x v="1"/>
  </r>
  <r>
    <x v="2"/>
  </r>
  <r>
    <x v="2"/>
  </r>
  <r>
    <x v="1"/>
  </r>
  <r>
    <x v="0"/>
  </r>
  <r>
    <x v="0"/>
  </r>
  <r>
    <x v="3"/>
  </r>
  <r>
    <x v="0"/>
  </r>
  <r>
    <x v="3"/>
  </r>
  <r>
    <x v="3"/>
  </r>
  <r>
    <x v="0"/>
  </r>
  <r>
    <x v="0"/>
  </r>
  <r>
    <x v="0"/>
  </r>
  <r>
    <x v="1"/>
  </r>
  <r>
    <x v="3"/>
  </r>
  <r>
    <x v="3"/>
  </r>
  <r>
    <x v="3"/>
  </r>
  <r>
    <x v="0"/>
  </r>
  <r>
    <x v="3"/>
  </r>
  <r>
    <x v="1"/>
  </r>
  <r>
    <x v="0"/>
  </r>
  <r>
    <x v="1"/>
  </r>
  <r>
    <x v="1"/>
  </r>
  <r>
    <x v="4"/>
  </r>
  <r>
    <x v="0"/>
  </r>
  <r>
    <x v="4"/>
  </r>
  <r>
    <x v="2"/>
  </r>
  <r>
    <x v="2"/>
  </r>
  <r>
    <x v="0"/>
  </r>
  <r>
    <x v="4"/>
  </r>
  <r>
    <x v="3"/>
  </r>
  <r>
    <x v="2"/>
  </r>
  <r>
    <x v="0"/>
  </r>
  <r>
    <x v="0"/>
  </r>
  <r>
    <x v="3"/>
  </r>
  <r>
    <x v="1"/>
  </r>
  <r>
    <x v="4"/>
  </r>
  <r>
    <x v="1"/>
  </r>
  <r>
    <x v="3"/>
  </r>
  <r>
    <x v="3"/>
  </r>
  <r>
    <x v="3"/>
  </r>
  <r>
    <x v="3"/>
  </r>
  <r>
    <x v="2"/>
  </r>
  <r>
    <x v="1"/>
  </r>
  <r>
    <x v="3"/>
  </r>
  <r>
    <x v="1"/>
  </r>
  <r>
    <x v="4"/>
  </r>
  <r>
    <x v="2"/>
  </r>
  <r>
    <x v="4"/>
  </r>
  <r>
    <x v="1"/>
  </r>
  <r>
    <x v="0"/>
  </r>
  <r>
    <x v="3"/>
  </r>
  <r>
    <x v="0"/>
  </r>
  <r>
    <x v="3"/>
  </r>
  <r>
    <x v="0"/>
  </r>
  <r>
    <x v="2"/>
  </r>
  <r>
    <x v="0"/>
  </r>
  <r>
    <x v="2"/>
  </r>
  <r>
    <x v="2"/>
  </r>
  <r>
    <x v="0"/>
  </r>
  <r>
    <x v="0"/>
  </r>
  <r>
    <x v="3"/>
  </r>
  <r>
    <x v="2"/>
  </r>
  <r>
    <x v="1"/>
  </r>
  <r>
    <x v="0"/>
  </r>
  <r>
    <x v="2"/>
  </r>
  <r>
    <x v="0"/>
  </r>
  <r>
    <x v="0"/>
  </r>
  <r>
    <x v="2"/>
  </r>
  <r>
    <x v="0"/>
  </r>
  <r>
    <x v="1"/>
  </r>
  <r>
    <x v="1"/>
  </r>
  <r>
    <x v="2"/>
  </r>
  <r>
    <x v="1"/>
  </r>
  <r>
    <x v="3"/>
  </r>
  <r>
    <x v="4"/>
  </r>
  <r>
    <x v="2"/>
  </r>
  <r>
    <x v="0"/>
  </r>
  <r>
    <x v="0"/>
  </r>
  <r>
    <x v="2"/>
  </r>
  <r>
    <x v="1"/>
  </r>
  <r>
    <x v="0"/>
  </r>
  <r>
    <x v="2"/>
  </r>
  <r>
    <x v="0"/>
  </r>
  <r>
    <x v="0"/>
  </r>
  <r>
    <x v="2"/>
  </r>
  <r>
    <x v="4"/>
  </r>
  <r>
    <x v="1"/>
  </r>
  <r>
    <x v="3"/>
  </r>
  <r>
    <x v="0"/>
  </r>
  <r>
    <x v="3"/>
  </r>
  <r>
    <x v="1"/>
  </r>
  <r>
    <x v="4"/>
  </r>
  <r>
    <x v="3"/>
  </r>
  <r>
    <x v="1"/>
  </r>
  <r>
    <x v="0"/>
  </r>
  <r>
    <x v="3"/>
  </r>
  <r>
    <x v="4"/>
  </r>
  <r>
    <x v="0"/>
  </r>
  <r>
    <x v="3"/>
  </r>
  <r>
    <x v="0"/>
  </r>
  <r>
    <x v="2"/>
  </r>
  <r>
    <x v="3"/>
  </r>
  <r>
    <x v="4"/>
  </r>
  <r>
    <x v="0"/>
  </r>
  <r>
    <x v="1"/>
  </r>
  <r>
    <x v="2"/>
  </r>
  <r>
    <x v="0"/>
  </r>
  <r>
    <x v="4"/>
  </r>
  <r>
    <x v="3"/>
  </r>
  <r>
    <x v="2"/>
  </r>
  <r>
    <x v="0"/>
  </r>
  <r>
    <x v="3"/>
  </r>
  <r>
    <x v="2"/>
  </r>
  <r>
    <x v="1"/>
  </r>
  <r>
    <x v="4"/>
  </r>
  <r>
    <x v="0"/>
  </r>
  <r>
    <x v="1"/>
  </r>
  <r>
    <x v="1"/>
  </r>
  <r>
    <x v="1"/>
  </r>
  <r>
    <x v="2"/>
  </r>
  <r>
    <x v="2"/>
  </r>
  <r>
    <x v="2"/>
  </r>
  <r>
    <x v="2"/>
  </r>
  <r>
    <x v="3"/>
  </r>
  <r>
    <x v="3"/>
  </r>
  <r>
    <x v="2"/>
  </r>
  <r>
    <x v="2"/>
  </r>
  <r>
    <x v="0"/>
  </r>
  <r>
    <x v="2"/>
  </r>
  <r>
    <x v="1"/>
  </r>
  <r>
    <x v="2"/>
  </r>
  <r>
    <x v="1"/>
  </r>
  <r>
    <x v="4"/>
  </r>
  <r>
    <x v="1"/>
  </r>
  <r>
    <x v="1"/>
  </r>
  <r>
    <x v="4"/>
  </r>
  <r>
    <x v="2"/>
  </r>
  <r>
    <x v="4"/>
  </r>
  <r>
    <x v="1"/>
  </r>
  <r>
    <x v="1"/>
  </r>
  <r>
    <x v="3"/>
  </r>
  <r>
    <x v="0"/>
  </r>
  <r>
    <x v="0"/>
  </r>
  <r>
    <x v="0"/>
  </r>
  <r>
    <x v="1"/>
  </r>
  <r>
    <x v="2"/>
  </r>
  <r>
    <x v="3"/>
  </r>
  <r>
    <x v="3"/>
  </r>
  <r>
    <x v="2"/>
  </r>
  <r>
    <x v="2"/>
  </r>
  <r>
    <x v="2"/>
  </r>
  <r>
    <x v="3"/>
  </r>
  <r>
    <x v="0"/>
  </r>
  <r>
    <x v="2"/>
  </r>
  <r>
    <x v="4"/>
  </r>
  <r>
    <x v="1"/>
  </r>
  <r>
    <x v="1"/>
  </r>
  <r>
    <x v="2"/>
  </r>
  <r>
    <x v="0"/>
  </r>
  <r>
    <x v="0"/>
  </r>
  <r>
    <x v="4"/>
  </r>
  <r>
    <x v="1"/>
  </r>
  <r>
    <x v="0"/>
  </r>
  <r>
    <x v="1"/>
  </r>
  <r>
    <x v="2"/>
  </r>
  <r>
    <x v="2"/>
  </r>
  <r>
    <x v="0"/>
  </r>
  <r>
    <x v="2"/>
  </r>
  <r>
    <x v="2"/>
  </r>
  <r>
    <x v="1"/>
  </r>
  <r>
    <x v="2"/>
  </r>
  <r>
    <x v="0"/>
  </r>
  <r>
    <x v="1"/>
  </r>
  <r>
    <x v="3"/>
  </r>
  <r>
    <x v="2"/>
  </r>
  <r>
    <x v="2"/>
  </r>
  <r>
    <x v="2"/>
  </r>
  <r>
    <x v="2"/>
  </r>
  <r>
    <x v="2"/>
  </r>
  <r>
    <x v="3"/>
  </r>
  <r>
    <x v="3"/>
  </r>
  <r>
    <x v="1"/>
  </r>
  <r>
    <x v="1"/>
  </r>
  <r>
    <x v="1"/>
  </r>
  <r>
    <x v="0"/>
  </r>
  <r>
    <x v="2"/>
  </r>
  <r>
    <x v="1"/>
  </r>
  <r>
    <x v="3"/>
  </r>
  <r>
    <x v="2"/>
  </r>
  <r>
    <x v="1"/>
  </r>
  <r>
    <x v="3"/>
  </r>
  <r>
    <x v="2"/>
  </r>
  <r>
    <x v="1"/>
  </r>
  <r>
    <x v="1"/>
  </r>
  <r>
    <x v="3"/>
  </r>
  <r>
    <x v="3"/>
  </r>
  <r>
    <x v="0"/>
  </r>
  <r>
    <x v="1"/>
  </r>
  <r>
    <x v="2"/>
  </r>
  <r>
    <x v="0"/>
  </r>
  <r>
    <x v="4"/>
  </r>
  <r>
    <x v="2"/>
  </r>
  <r>
    <x v="1"/>
  </r>
  <r>
    <x v="4"/>
  </r>
  <r>
    <x v="2"/>
  </r>
  <r>
    <x v="1"/>
  </r>
  <r>
    <x v="2"/>
  </r>
  <r>
    <x v="1"/>
  </r>
  <r>
    <x v="1"/>
  </r>
  <r>
    <x v="2"/>
  </r>
  <r>
    <x v="1"/>
  </r>
  <r>
    <x v="1"/>
  </r>
  <r>
    <x v="3"/>
  </r>
  <r>
    <x v="2"/>
  </r>
  <r>
    <x v="2"/>
  </r>
  <r>
    <x v="0"/>
  </r>
  <r>
    <x v="4"/>
  </r>
  <r>
    <x v="1"/>
  </r>
  <r>
    <x v="3"/>
  </r>
  <r>
    <x v="0"/>
  </r>
  <r>
    <x v="2"/>
  </r>
  <r>
    <x v="2"/>
  </r>
  <r>
    <x v="0"/>
  </r>
  <r>
    <x v="3"/>
  </r>
  <r>
    <x v="0"/>
  </r>
  <r>
    <x v="4"/>
  </r>
  <r>
    <x v="0"/>
  </r>
  <r>
    <x v="0"/>
  </r>
  <r>
    <x v="2"/>
  </r>
  <r>
    <x v="4"/>
  </r>
  <r>
    <x v="1"/>
  </r>
  <r>
    <x v="1"/>
  </r>
  <r>
    <x v="3"/>
  </r>
  <r>
    <x v="0"/>
  </r>
  <r>
    <x v="0"/>
  </r>
  <r>
    <x v="2"/>
  </r>
  <r>
    <x v="0"/>
  </r>
  <r>
    <x v="1"/>
  </r>
  <r>
    <x v="2"/>
  </r>
  <r>
    <x v="2"/>
  </r>
  <r>
    <x v="1"/>
  </r>
  <r>
    <x v="2"/>
  </r>
  <r>
    <x v="0"/>
  </r>
  <r>
    <x v="0"/>
  </r>
  <r>
    <x v="3"/>
  </r>
  <r>
    <x v="1"/>
  </r>
  <r>
    <x v="0"/>
  </r>
  <r>
    <x v="1"/>
  </r>
  <r>
    <x v="1"/>
  </r>
  <r>
    <x v="1"/>
  </r>
  <r>
    <x v="2"/>
  </r>
  <r>
    <x v="2"/>
  </r>
  <r>
    <x v="2"/>
  </r>
  <r>
    <x v="3"/>
  </r>
  <r>
    <x v="1"/>
  </r>
  <r>
    <x v="3"/>
  </r>
  <r>
    <x v="1"/>
  </r>
  <r>
    <x v="3"/>
  </r>
  <r>
    <x v="3"/>
  </r>
  <r>
    <x v="1"/>
  </r>
  <r>
    <x v="3"/>
  </r>
  <r>
    <x v="1"/>
  </r>
  <r>
    <x v="2"/>
  </r>
  <r>
    <x v="4"/>
  </r>
  <r>
    <x v="0"/>
  </r>
  <r>
    <x v="1"/>
  </r>
  <r>
    <x v="2"/>
  </r>
  <r>
    <x v="0"/>
  </r>
  <r>
    <x v="1"/>
  </r>
  <r>
    <x v="1"/>
  </r>
  <r>
    <x v="2"/>
  </r>
  <r>
    <x v="3"/>
  </r>
  <r>
    <x v="3"/>
  </r>
  <r>
    <x v="2"/>
  </r>
  <r>
    <x v="1"/>
  </r>
  <r>
    <x v="2"/>
  </r>
  <r>
    <x v="3"/>
  </r>
  <r>
    <x v="0"/>
  </r>
  <r>
    <x v="0"/>
  </r>
  <r>
    <x v="1"/>
  </r>
  <r>
    <x v="4"/>
  </r>
  <r>
    <x v="2"/>
  </r>
  <r>
    <x v="1"/>
  </r>
  <r>
    <x v="2"/>
  </r>
  <r>
    <x v="3"/>
  </r>
  <r>
    <x v="2"/>
  </r>
  <r>
    <x v="2"/>
  </r>
  <r>
    <x v="3"/>
  </r>
  <r>
    <x v="3"/>
  </r>
  <r>
    <x v="1"/>
  </r>
  <r>
    <x v="1"/>
  </r>
  <r>
    <x v="4"/>
  </r>
  <r>
    <x v="0"/>
  </r>
  <r>
    <x v="2"/>
  </r>
  <r>
    <x v="3"/>
  </r>
  <r>
    <x v="3"/>
  </r>
  <r>
    <x v="3"/>
  </r>
  <r>
    <x v="0"/>
  </r>
  <r>
    <x v="0"/>
  </r>
  <r>
    <x v="3"/>
  </r>
  <r>
    <x v="2"/>
  </r>
  <r>
    <x v="2"/>
  </r>
  <r>
    <x v="2"/>
  </r>
  <r>
    <x v="2"/>
  </r>
  <r>
    <x v="1"/>
  </r>
  <r>
    <x v="2"/>
  </r>
  <r>
    <x v="1"/>
  </r>
  <r>
    <x v="3"/>
  </r>
  <r>
    <x v="2"/>
  </r>
  <r>
    <x v="1"/>
  </r>
  <r>
    <x v="0"/>
  </r>
  <r>
    <x v="2"/>
  </r>
  <r>
    <x v="1"/>
  </r>
  <r>
    <x v="2"/>
  </r>
  <r>
    <x v="2"/>
  </r>
  <r>
    <x v="1"/>
  </r>
  <r>
    <x v="1"/>
  </r>
  <r>
    <x v="3"/>
  </r>
  <r>
    <x v="2"/>
  </r>
  <r>
    <x v="1"/>
  </r>
  <r>
    <x v="3"/>
  </r>
  <r>
    <x v="2"/>
  </r>
  <r>
    <x v="0"/>
  </r>
  <r>
    <x v="1"/>
  </r>
  <r>
    <x v="2"/>
  </r>
  <r>
    <x v="1"/>
  </r>
  <r>
    <x v="0"/>
  </r>
  <r>
    <x v="3"/>
  </r>
  <r>
    <x v="1"/>
  </r>
  <r>
    <x v="4"/>
  </r>
  <r>
    <x v="2"/>
  </r>
  <r>
    <x v="2"/>
  </r>
  <r>
    <x v="1"/>
  </r>
  <r>
    <x v="0"/>
  </r>
  <r>
    <x v="3"/>
  </r>
  <r>
    <x v="0"/>
  </r>
  <r>
    <x v="1"/>
  </r>
  <r>
    <x v="1"/>
  </r>
  <r>
    <x v="1"/>
  </r>
  <r>
    <x v="3"/>
  </r>
  <r>
    <x v="3"/>
  </r>
  <r>
    <x v="0"/>
  </r>
  <r>
    <x v="3"/>
  </r>
  <r>
    <x v="0"/>
  </r>
  <r>
    <x v="3"/>
  </r>
  <r>
    <x v="2"/>
  </r>
  <r>
    <x v="3"/>
  </r>
  <r>
    <x v="0"/>
  </r>
  <r>
    <x v="1"/>
  </r>
  <r>
    <x v="0"/>
  </r>
  <r>
    <x v="2"/>
  </r>
  <r>
    <x v="3"/>
  </r>
  <r>
    <x v="1"/>
  </r>
  <r>
    <x v="3"/>
  </r>
  <r>
    <x v="0"/>
  </r>
  <r>
    <x v="0"/>
  </r>
  <r>
    <x v="2"/>
  </r>
  <r>
    <x v="1"/>
  </r>
  <r>
    <x v="2"/>
  </r>
  <r>
    <x v="0"/>
  </r>
  <r>
    <x v="2"/>
  </r>
  <r>
    <x v="2"/>
  </r>
  <r>
    <x v="0"/>
  </r>
  <r>
    <x v="0"/>
  </r>
  <r>
    <x v="1"/>
  </r>
  <r>
    <x v="1"/>
  </r>
  <r>
    <x v="1"/>
  </r>
  <r>
    <x v="3"/>
  </r>
  <r>
    <x v="0"/>
  </r>
  <r>
    <x v="0"/>
  </r>
  <r>
    <x v="3"/>
  </r>
  <r>
    <x v="0"/>
  </r>
  <r>
    <x v="4"/>
  </r>
  <r>
    <x v="2"/>
  </r>
  <r>
    <x v="1"/>
  </r>
  <r>
    <x v="2"/>
  </r>
  <r>
    <x v="3"/>
  </r>
  <r>
    <x v="3"/>
  </r>
  <r>
    <x v="0"/>
  </r>
  <r>
    <x v="2"/>
  </r>
  <r>
    <x v="1"/>
  </r>
  <r>
    <x v="1"/>
  </r>
  <r>
    <x v="0"/>
  </r>
  <r>
    <x v="3"/>
  </r>
  <r>
    <x v="4"/>
  </r>
  <r>
    <x v="1"/>
  </r>
  <r>
    <x v="0"/>
  </r>
  <r>
    <x v="1"/>
  </r>
  <r>
    <x v="0"/>
  </r>
  <r>
    <x v="0"/>
  </r>
  <r>
    <x v="3"/>
  </r>
  <r>
    <x v="3"/>
  </r>
  <r>
    <x v="2"/>
  </r>
  <r>
    <x v="3"/>
  </r>
  <r>
    <x v="0"/>
  </r>
  <r>
    <x v="4"/>
  </r>
  <r>
    <x v="4"/>
  </r>
  <r>
    <x v="0"/>
  </r>
  <r>
    <x v="0"/>
  </r>
  <r>
    <x v="2"/>
  </r>
  <r>
    <x v="0"/>
  </r>
  <r>
    <x v="2"/>
  </r>
  <r>
    <x v="3"/>
  </r>
  <r>
    <x v="0"/>
  </r>
  <r>
    <x v="3"/>
  </r>
  <r>
    <x v="2"/>
  </r>
  <r>
    <x v="1"/>
  </r>
  <r>
    <x v="3"/>
  </r>
  <r>
    <x v="2"/>
  </r>
  <r>
    <x v="2"/>
  </r>
  <r>
    <x v="2"/>
  </r>
  <r>
    <x v="2"/>
  </r>
  <r>
    <x v="1"/>
  </r>
  <r>
    <x v="3"/>
  </r>
  <r>
    <x v="1"/>
  </r>
  <r>
    <x v="2"/>
  </r>
  <r>
    <x v="0"/>
  </r>
  <r>
    <x v="0"/>
  </r>
  <r>
    <x v="0"/>
  </r>
  <r>
    <x v="0"/>
  </r>
  <r>
    <x v="4"/>
  </r>
  <r>
    <x v="2"/>
  </r>
  <r>
    <x v="0"/>
  </r>
  <r>
    <x v="1"/>
  </r>
  <r>
    <x v="2"/>
  </r>
  <r>
    <x v="2"/>
  </r>
  <r>
    <x v="2"/>
  </r>
  <r>
    <x v="0"/>
  </r>
  <r>
    <x v="2"/>
  </r>
  <r>
    <x v="2"/>
  </r>
  <r>
    <x v="3"/>
  </r>
  <r>
    <x v="0"/>
  </r>
  <r>
    <x v="2"/>
  </r>
  <r>
    <x v="3"/>
  </r>
  <r>
    <x v="0"/>
  </r>
  <r>
    <x v="4"/>
  </r>
  <r>
    <x v="0"/>
  </r>
  <r>
    <x v="1"/>
  </r>
  <r>
    <x v="3"/>
  </r>
  <r>
    <x v="2"/>
  </r>
  <r>
    <x v="3"/>
  </r>
  <r>
    <x v="1"/>
  </r>
  <r>
    <x v="3"/>
  </r>
  <r>
    <x v="1"/>
  </r>
  <r>
    <x v="4"/>
  </r>
  <r>
    <x v="2"/>
  </r>
  <r>
    <x v="2"/>
  </r>
  <r>
    <x v="2"/>
  </r>
  <r>
    <x v="3"/>
  </r>
  <r>
    <x v="2"/>
  </r>
  <r>
    <x v="1"/>
  </r>
  <r>
    <x v="2"/>
  </r>
  <r>
    <x v="3"/>
  </r>
  <r>
    <x v="2"/>
  </r>
  <r>
    <x v="4"/>
  </r>
  <r>
    <x v="0"/>
  </r>
  <r>
    <x v="1"/>
  </r>
  <r>
    <x v="4"/>
  </r>
  <r>
    <x v="0"/>
  </r>
  <r>
    <x v="2"/>
  </r>
  <r>
    <x v="2"/>
  </r>
  <r>
    <x v="2"/>
  </r>
  <r>
    <x v="1"/>
  </r>
  <r>
    <x v="2"/>
  </r>
  <r>
    <x v="2"/>
  </r>
  <r>
    <x v="0"/>
  </r>
  <r>
    <x v="0"/>
  </r>
  <r>
    <x v="0"/>
  </r>
  <r>
    <x v="3"/>
  </r>
  <r>
    <x v="1"/>
  </r>
  <r>
    <x v="0"/>
  </r>
  <r>
    <x v="2"/>
  </r>
  <r>
    <x v="1"/>
  </r>
  <r>
    <x v="4"/>
  </r>
  <r>
    <x v="2"/>
  </r>
  <r>
    <x v="3"/>
  </r>
  <r>
    <x v="0"/>
  </r>
  <r>
    <x v="2"/>
  </r>
  <r>
    <x v="1"/>
  </r>
  <r>
    <x v="3"/>
  </r>
  <r>
    <x v="1"/>
  </r>
  <r>
    <x v="0"/>
  </r>
  <r>
    <x v="0"/>
  </r>
  <r>
    <x v="2"/>
  </r>
  <r>
    <x v="2"/>
  </r>
  <r>
    <x v="2"/>
  </r>
  <r>
    <x v="2"/>
  </r>
  <r>
    <x v="3"/>
  </r>
  <r>
    <x v="1"/>
  </r>
  <r>
    <x v="3"/>
  </r>
  <r>
    <x v="1"/>
  </r>
  <r>
    <x v="3"/>
  </r>
  <r>
    <x v="1"/>
  </r>
  <r>
    <x v="4"/>
  </r>
  <r>
    <x v="2"/>
  </r>
  <r>
    <x v="1"/>
  </r>
  <r>
    <x v="0"/>
  </r>
  <r>
    <x v="1"/>
  </r>
  <r>
    <x v="0"/>
  </r>
  <r>
    <x v="3"/>
  </r>
  <r>
    <x v="2"/>
  </r>
  <r>
    <x v="2"/>
  </r>
  <r>
    <x v="0"/>
  </r>
  <r>
    <x v="4"/>
  </r>
  <r>
    <x v="1"/>
  </r>
  <r>
    <x v="3"/>
  </r>
  <r>
    <x v="1"/>
  </r>
  <r>
    <x v="1"/>
  </r>
  <r>
    <x v="3"/>
  </r>
  <r>
    <x v="2"/>
  </r>
  <r>
    <x v="2"/>
  </r>
  <r>
    <x v="1"/>
  </r>
  <r>
    <x v="1"/>
  </r>
  <r>
    <x v="3"/>
  </r>
  <r>
    <x v="3"/>
  </r>
  <r>
    <x v="1"/>
  </r>
  <r>
    <x v="4"/>
  </r>
  <r>
    <x v="1"/>
  </r>
  <r>
    <x v="0"/>
  </r>
  <r>
    <x v="2"/>
  </r>
  <r>
    <x v="0"/>
  </r>
  <r>
    <x v="2"/>
  </r>
  <r>
    <x v="1"/>
  </r>
  <r>
    <x v="3"/>
  </r>
  <r>
    <x v="1"/>
  </r>
  <r>
    <x v="3"/>
  </r>
  <r>
    <x v="1"/>
  </r>
  <r>
    <x v="3"/>
  </r>
  <r>
    <x v="3"/>
  </r>
  <r>
    <x v="0"/>
  </r>
  <r>
    <x v="2"/>
  </r>
  <r>
    <x v="4"/>
  </r>
  <r>
    <x v="0"/>
  </r>
  <r>
    <x v="0"/>
  </r>
  <r>
    <x v="1"/>
  </r>
  <r>
    <x v="1"/>
  </r>
  <r>
    <x v="0"/>
  </r>
  <r>
    <x v="4"/>
  </r>
  <r>
    <x v="2"/>
  </r>
  <r>
    <x v="2"/>
  </r>
  <r>
    <x v="0"/>
  </r>
  <r>
    <x v="3"/>
  </r>
  <r>
    <x v="3"/>
  </r>
  <r>
    <x v="3"/>
  </r>
  <r>
    <x v="3"/>
  </r>
  <r>
    <x v="1"/>
  </r>
  <r>
    <x v="0"/>
  </r>
  <r>
    <x v="4"/>
  </r>
  <r>
    <x v="1"/>
  </r>
  <r>
    <x v="2"/>
  </r>
  <r>
    <x v="2"/>
  </r>
  <r>
    <x v="3"/>
  </r>
  <r>
    <x v="1"/>
  </r>
  <r>
    <x v="2"/>
  </r>
  <r>
    <x v="2"/>
  </r>
  <r>
    <x v="1"/>
  </r>
  <r>
    <x v="0"/>
  </r>
  <r>
    <x v="2"/>
  </r>
  <r>
    <x v="2"/>
  </r>
  <r>
    <x v="1"/>
  </r>
  <r>
    <x v="1"/>
  </r>
  <r>
    <x v="2"/>
  </r>
  <r>
    <x v="3"/>
  </r>
  <r>
    <x v="1"/>
  </r>
  <r>
    <x v="1"/>
  </r>
  <r>
    <x v="1"/>
  </r>
  <r>
    <x v="0"/>
  </r>
  <r>
    <x v="1"/>
  </r>
  <r>
    <x v="3"/>
  </r>
  <r>
    <x v="2"/>
  </r>
  <r>
    <x v="1"/>
  </r>
  <r>
    <x v="0"/>
  </r>
  <r>
    <x v="1"/>
  </r>
  <r>
    <x v="2"/>
  </r>
  <r>
    <x v="1"/>
  </r>
  <r>
    <x v="3"/>
  </r>
  <r>
    <x v="0"/>
  </r>
  <r>
    <x v="2"/>
  </r>
  <r>
    <x v="0"/>
  </r>
  <r>
    <x v="1"/>
  </r>
  <r>
    <x v="3"/>
  </r>
  <r>
    <x v="2"/>
  </r>
  <r>
    <x v="0"/>
  </r>
  <r>
    <x v="1"/>
  </r>
  <r>
    <x v="3"/>
  </r>
  <r>
    <x v="2"/>
  </r>
  <r>
    <x v="2"/>
  </r>
  <r>
    <x v="4"/>
  </r>
  <r>
    <x v="3"/>
  </r>
  <r>
    <x v="2"/>
  </r>
  <r>
    <x v="1"/>
  </r>
  <r>
    <x v="0"/>
  </r>
  <r>
    <x v="2"/>
  </r>
  <r>
    <x v="4"/>
  </r>
  <r>
    <x v="0"/>
  </r>
  <r>
    <x v="0"/>
  </r>
  <r>
    <x v="3"/>
  </r>
  <r>
    <x v="1"/>
  </r>
  <r>
    <x v="2"/>
  </r>
  <r>
    <x v="3"/>
  </r>
  <r>
    <x v="2"/>
  </r>
  <r>
    <x v="1"/>
  </r>
  <r>
    <x v="0"/>
  </r>
  <r>
    <x v="0"/>
  </r>
  <r>
    <x v="2"/>
  </r>
  <r>
    <x v="0"/>
  </r>
  <r>
    <x v="1"/>
  </r>
  <r>
    <x v="3"/>
  </r>
  <r>
    <x v="1"/>
  </r>
  <r>
    <x v="3"/>
  </r>
  <r>
    <x v="1"/>
  </r>
  <r>
    <x v="2"/>
  </r>
  <r>
    <x v="0"/>
  </r>
  <r>
    <x v="4"/>
  </r>
  <r>
    <x v="4"/>
  </r>
  <r>
    <x v="3"/>
  </r>
  <r>
    <x v="3"/>
  </r>
  <r>
    <x v="2"/>
  </r>
  <r>
    <x v="1"/>
  </r>
  <r>
    <x v="0"/>
  </r>
  <r>
    <x v="3"/>
  </r>
  <r>
    <x v="2"/>
  </r>
  <r>
    <x v="4"/>
  </r>
  <r>
    <x v="0"/>
  </r>
  <r>
    <x v="3"/>
  </r>
  <r>
    <x v="3"/>
  </r>
  <r>
    <x v="2"/>
  </r>
  <r>
    <x v="0"/>
  </r>
  <r>
    <x v="4"/>
  </r>
  <r>
    <x v="1"/>
  </r>
  <r>
    <x v="3"/>
  </r>
  <r>
    <x v="1"/>
  </r>
  <r>
    <x v="3"/>
  </r>
  <r>
    <x v="2"/>
  </r>
  <r>
    <x v="4"/>
  </r>
  <r>
    <x v="3"/>
  </r>
  <r>
    <x v="3"/>
  </r>
  <r>
    <x v="4"/>
  </r>
  <r>
    <x v="2"/>
  </r>
  <r>
    <x v="1"/>
  </r>
  <r>
    <x v="4"/>
  </r>
  <r>
    <x v="0"/>
  </r>
  <r>
    <x v="2"/>
  </r>
  <r>
    <x v="3"/>
  </r>
  <r>
    <x v="2"/>
  </r>
  <r>
    <x v="3"/>
  </r>
  <r>
    <x v="1"/>
  </r>
  <r>
    <x v="3"/>
  </r>
  <r>
    <x v="3"/>
  </r>
  <r>
    <x v="0"/>
  </r>
  <r>
    <x v="0"/>
  </r>
  <r>
    <x v="1"/>
  </r>
  <r>
    <x v="3"/>
  </r>
  <r>
    <x v="1"/>
  </r>
  <r>
    <x v="0"/>
  </r>
  <r>
    <x v="3"/>
  </r>
  <r>
    <x v="3"/>
  </r>
  <r>
    <x v="3"/>
  </r>
  <r>
    <x v="0"/>
  </r>
  <r>
    <x v="2"/>
  </r>
  <r>
    <x v="4"/>
  </r>
  <r>
    <x v="0"/>
  </r>
  <r>
    <x v="4"/>
  </r>
  <r>
    <x v="2"/>
  </r>
  <r>
    <x v="3"/>
  </r>
  <r>
    <x v="2"/>
  </r>
  <r>
    <x v="2"/>
  </r>
  <r>
    <x v="1"/>
  </r>
  <r>
    <x v="2"/>
  </r>
  <r>
    <x v="3"/>
  </r>
  <r>
    <x v="2"/>
  </r>
  <r>
    <x v="3"/>
  </r>
  <r>
    <x v="1"/>
  </r>
  <r>
    <x v="0"/>
  </r>
  <r>
    <x v="1"/>
  </r>
  <r>
    <x v="3"/>
  </r>
  <r>
    <x v="4"/>
  </r>
  <r>
    <x v="1"/>
  </r>
  <r>
    <x v="3"/>
  </r>
  <r>
    <x v="3"/>
  </r>
  <r>
    <x v="1"/>
  </r>
  <r>
    <x v="0"/>
  </r>
  <r>
    <x v="1"/>
  </r>
  <r>
    <x v="3"/>
  </r>
  <r>
    <x v="2"/>
  </r>
  <r>
    <x v="1"/>
  </r>
  <r>
    <x v="0"/>
  </r>
  <r>
    <x v="0"/>
  </r>
  <r>
    <x v="0"/>
  </r>
  <r>
    <x v="2"/>
  </r>
  <r>
    <x v="1"/>
  </r>
  <r>
    <x v="4"/>
  </r>
  <r>
    <x v="1"/>
  </r>
  <r>
    <x v="3"/>
  </r>
  <r>
    <x v="3"/>
  </r>
  <r>
    <x v="1"/>
  </r>
  <r>
    <x v="0"/>
  </r>
  <r>
    <x v="0"/>
  </r>
  <r>
    <x v="4"/>
  </r>
  <r>
    <x v="0"/>
  </r>
  <r>
    <x v="0"/>
  </r>
  <r>
    <x v="2"/>
  </r>
  <r>
    <x v="2"/>
  </r>
  <r>
    <x v="2"/>
  </r>
  <r>
    <x v="1"/>
  </r>
  <r>
    <x v="3"/>
  </r>
  <r>
    <x v="3"/>
  </r>
  <r>
    <x v="1"/>
  </r>
  <r>
    <x v="0"/>
  </r>
  <r>
    <x v="0"/>
  </r>
  <r>
    <x v="3"/>
  </r>
  <r>
    <x v="1"/>
  </r>
  <r>
    <x v="2"/>
  </r>
  <r>
    <x v="2"/>
  </r>
  <r>
    <x v="2"/>
  </r>
  <r>
    <x v="2"/>
  </r>
  <r>
    <x v="3"/>
  </r>
  <r>
    <x v="0"/>
  </r>
  <r>
    <x v="2"/>
  </r>
  <r>
    <x v="0"/>
  </r>
  <r>
    <x v="2"/>
  </r>
  <r>
    <x v="2"/>
  </r>
  <r>
    <x v="0"/>
  </r>
  <r>
    <x v="4"/>
  </r>
  <r>
    <x v="1"/>
  </r>
  <r>
    <x v="4"/>
  </r>
  <r>
    <x v="0"/>
  </r>
  <r>
    <x v="0"/>
  </r>
  <r>
    <x v="0"/>
  </r>
  <r>
    <x v="0"/>
  </r>
  <r>
    <x v="2"/>
  </r>
  <r>
    <x v="0"/>
  </r>
  <r>
    <x v="3"/>
  </r>
  <r>
    <x v="3"/>
  </r>
  <r>
    <x v="0"/>
  </r>
  <r>
    <x v="2"/>
  </r>
  <r>
    <x v="3"/>
  </r>
  <r>
    <x v="2"/>
  </r>
  <r>
    <x v="4"/>
  </r>
  <r>
    <x v="2"/>
  </r>
  <r>
    <x v="2"/>
  </r>
  <r>
    <x v="1"/>
  </r>
  <r>
    <x v="0"/>
  </r>
  <r>
    <x v="2"/>
  </r>
  <r>
    <x v="3"/>
  </r>
  <r>
    <x v="2"/>
  </r>
  <r>
    <x v="2"/>
  </r>
  <r>
    <x v="2"/>
  </r>
  <r>
    <x v="3"/>
  </r>
  <r>
    <x v="1"/>
  </r>
  <r>
    <x v="0"/>
  </r>
  <r>
    <x v="0"/>
  </r>
  <r>
    <x v="2"/>
  </r>
  <r>
    <x v="3"/>
  </r>
  <r>
    <x v="1"/>
  </r>
  <r>
    <x v="2"/>
  </r>
  <r>
    <x v="1"/>
  </r>
  <r>
    <x v="0"/>
  </r>
  <r>
    <x v="1"/>
  </r>
  <r>
    <x v="3"/>
  </r>
  <r>
    <x v="3"/>
  </r>
  <r>
    <x v="1"/>
  </r>
  <r>
    <x v="1"/>
  </r>
  <r>
    <x v="2"/>
  </r>
  <r>
    <x v="4"/>
  </r>
  <r>
    <x v="2"/>
  </r>
  <r>
    <x v="2"/>
  </r>
  <r>
    <x v="0"/>
  </r>
  <r>
    <x v="1"/>
  </r>
  <r>
    <x v="4"/>
  </r>
  <r>
    <x v="3"/>
  </r>
  <r>
    <x v="2"/>
  </r>
  <r>
    <x v="0"/>
  </r>
  <r>
    <x v="3"/>
  </r>
  <r>
    <x v="3"/>
  </r>
  <r>
    <x v="0"/>
  </r>
  <r>
    <x v="2"/>
  </r>
  <r>
    <x v="0"/>
  </r>
  <r>
    <x v="3"/>
  </r>
  <r>
    <x v="1"/>
  </r>
  <r>
    <x v="0"/>
  </r>
  <r>
    <x v="2"/>
  </r>
  <r>
    <x v="2"/>
  </r>
  <r>
    <x v="2"/>
  </r>
  <r>
    <x v="2"/>
  </r>
  <r>
    <x v="0"/>
  </r>
  <r>
    <x v="4"/>
  </r>
  <r>
    <x v="0"/>
  </r>
  <r>
    <x v="0"/>
  </r>
  <r>
    <x v="3"/>
  </r>
  <r>
    <x v="3"/>
  </r>
  <r>
    <x v="1"/>
  </r>
  <r>
    <x v="4"/>
  </r>
  <r>
    <x v="0"/>
  </r>
  <r>
    <x v="3"/>
  </r>
  <r>
    <x v="1"/>
  </r>
  <r>
    <x v="2"/>
  </r>
  <r>
    <x v="1"/>
  </r>
  <r>
    <x v="1"/>
  </r>
  <r>
    <x v="2"/>
  </r>
  <r>
    <x v="4"/>
  </r>
  <r>
    <x v="4"/>
  </r>
  <r>
    <x v="4"/>
  </r>
  <r>
    <x v="0"/>
  </r>
  <r>
    <x v="2"/>
  </r>
  <r>
    <x v="0"/>
  </r>
  <r>
    <x v="3"/>
  </r>
  <r>
    <x v="2"/>
  </r>
  <r>
    <x v="3"/>
  </r>
  <r>
    <x v="0"/>
  </r>
  <r>
    <x v="2"/>
  </r>
  <r>
    <x v="3"/>
  </r>
  <r>
    <x v="2"/>
  </r>
  <r>
    <x v="1"/>
  </r>
  <r>
    <x v="0"/>
  </r>
  <r>
    <x v="2"/>
  </r>
  <r>
    <x v="4"/>
  </r>
  <r>
    <x v="2"/>
  </r>
  <r>
    <x v="0"/>
  </r>
  <r>
    <x v="1"/>
  </r>
  <r>
    <x v="1"/>
  </r>
  <r>
    <x v="2"/>
  </r>
  <r>
    <x v="1"/>
  </r>
  <r>
    <x v="1"/>
  </r>
  <r>
    <x v="0"/>
  </r>
  <r>
    <x v="0"/>
  </r>
  <r>
    <x v="2"/>
  </r>
  <r>
    <x v="0"/>
  </r>
  <r>
    <x v="3"/>
  </r>
  <r>
    <x v="1"/>
  </r>
  <r>
    <x v="3"/>
  </r>
  <r>
    <x v="0"/>
  </r>
  <r>
    <x v="2"/>
  </r>
  <r>
    <x v="2"/>
  </r>
  <r>
    <x v="2"/>
  </r>
  <r>
    <x v="2"/>
  </r>
  <r>
    <x v="0"/>
  </r>
  <r>
    <x v="1"/>
  </r>
  <r>
    <x v="0"/>
  </r>
  <r>
    <x v="0"/>
  </r>
  <r>
    <x v="0"/>
  </r>
  <r>
    <x v="3"/>
  </r>
  <r>
    <x v="3"/>
  </r>
  <r>
    <x v="3"/>
  </r>
  <r>
    <x v="1"/>
  </r>
  <r>
    <x v="2"/>
  </r>
  <r>
    <x v="2"/>
  </r>
  <r>
    <x v="0"/>
  </r>
  <r>
    <x v="4"/>
  </r>
  <r>
    <x v="0"/>
  </r>
  <r>
    <x v="1"/>
  </r>
  <r>
    <x v="0"/>
  </r>
  <r>
    <x v="0"/>
  </r>
  <r>
    <x v="1"/>
  </r>
  <r>
    <x v="1"/>
  </r>
  <r>
    <x v="2"/>
  </r>
  <r>
    <x v="3"/>
  </r>
  <r>
    <x v="2"/>
  </r>
  <r>
    <x v="3"/>
  </r>
  <r>
    <x v="1"/>
  </r>
  <r>
    <x v="3"/>
  </r>
  <r>
    <x v="3"/>
  </r>
  <r>
    <x v="1"/>
  </r>
  <r>
    <x v="0"/>
  </r>
  <r>
    <x v="0"/>
  </r>
  <r>
    <x v="1"/>
  </r>
  <r>
    <x v="0"/>
  </r>
  <r>
    <x v="0"/>
  </r>
  <r>
    <x v="2"/>
  </r>
  <r>
    <x v="2"/>
  </r>
  <r>
    <x v="3"/>
  </r>
  <r>
    <x v="0"/>
  </r>
  <r>
    <x v="4"/>
  </r>
  <r>
    <x v="4"/>
  </r>
  <r>
    <x v="1"/>
  </r>
  <r>
    <x v="3"/>
  </r>
  <r>
    <x v="4"/>
  </r>
  <r>
    <x v="0"/>
  </r>
  <r>
    <x v="3"/>
  </r>
  <r>
    <x v="1"/>
  </r>
  <r>
    <x v="2"/>
  </r>
  <r>
    <x v="2"/>
  </r>
  <r>
    <x v="1"/>
  </r>
  <r>
    <x v="0"/>
  </r>
  <r>
    <x v="3"/>
  </r>
  <r>
    <x v="0"/>
  </r>
  <r>
    <x v="1"/>
  </r>
  <r>
    <x v="0"/>
  </r>
  <r>
    <x v="3"/>
  </r>
  <r>
    <x v="2"/>
  </r>
  <r>
    <x v="3"/>
  </r>
  <r>
    <x v="4"/>
  </r>
  <r>
    <x v="3"/>
  </r>
  <r>
    <x v="3"/>
  </r>
  <r>
    <x v="0"/>
  </r>
  <r>
    <x v="1"/>
  </r>
  <r>
    <x v="0"/>
  </r>
  <r>
    <x v="0"/>
  </r>
  <r>
    <x v="3"/>
  </r>
  <r>
    <x v="2"/>
  </r>
  <r>
    <x v="4"/>
  </r>
  <r>
    <x v="4"/>
  </r>
  <r>
    <x v="4"/>
  </r>
  <r>
    <x v="4"/>
  </r>
  <r>
    <x v="1"/>
  </r>
  <r>
    <x v="0"/>
  </r>
  <r>
    <x v="1"/>
  </r>
  <r>
    <x v="0"/>
  </r>
  <r>
    <x v="2"/>
  </r>
  <r>
    <x v="3"/>
  </r>
  <r>
    <x v="4"/>
  </r>
  <r>
    <x v="3"/>
  </r>
  <r>
    <x v="1"/>
  </r>
  <r>
    <x v="2"/>
  </r>
  <r>
    <x v="3"/>
  </r>
  <r>
    <x v="3"/>
  </r>
  <r>
    <x v="2"/>
  </r>
  <r>
    <x v="2"/>
  </r>
  <r>
    <x v="2"/>
  </r>
  <r>
    <x v="1"/>
  </r>
  <r>
    <x v="2"/>
  </r>
  <r>
    <x v="3"/>
  </r>
  <r>
    <x v="2"/>
  </r>
  <r>
    <x v="0"/>
  </r>
  <r>
    <x v="0"/>
  </r>
  <r>
    <x v="0"/>
  </r>
  <r>
    <x v="3"/>
  </r>
  <r>
    <x v="2"/>
  </r>
  <r>
    <x v="1"/>
  </r>
  <r>
    <x v="1"/>
  </r>
  <r>
    <x v="2"/>
  </r>
  <r>
    <x v="0"/>
  </r>
  <r>
    <x v="2"/>
  </r>
  <r>
    <x v="2"/>
  </r>
  <r>
    <x v="1"/>
  </r>
  <r>
    <x v="0"/>
  </r>
  <r>
    <x v="2"/>
  </r>
  <r>
    <x v="3"/>
  </r>
  <r>
    <x v="4"/>
  </r>
  <r>
    <x v="1"/>
  </r>
  <r>
    <x v="1"/>
  </r>
  <r>
    <x v="3"/>
  </r>
  <r>
    <x v="0"/>
  </r>
  <r>
    <x v="3"/>
  </r>
  <r>
    <x v="2"/>
  </r>
  <r>
    <x v="3"/>
  </r>
  <r>
    <x v="0"/>
  </r>
  <r>
    <x v="3"/>
  </r>
  <r>
    <x v="1"/>
  </r>
  <r>
    <x v="2"/>
  </r>
  <r>
    <x v="3"/>
  </r>
  <r>
    <x v="2"/>
  </r>
  <r>
    <x v="3"/>
  </r>
  <r>
    <x v="2"/>
  </r>
  <r>
    <x v="2"/>
  </r>
  <r>
    <x v="3"/>
  </r>
  <r>
    <x v="3"/>
  </r>
  <r>
    <x v="0"/>
  </r>
  <r>
    <x v="2"/>
  </r>
  <r>
    <x v="0"/>
  </r>
  <r>
    <x v="0"/>
  </r>
  <r>
    <x v="3"/>
  </r>
  <r>
    <x v="1"/>
  </r>
  <r>
    <x v="0"/>
  </r>
  <r>
    <x v="3"/>
  </r>
  <r>
    <x v="4"/>
  </r>
  <r>
    <x v="1"/>
  </r>
  <r>
    <x v="4"/>
  </r>
  <r>
    <x v="0"/>
  </r>
  <r>
    <x v="3"/>
  </r>
  <r>
    <x v="3"/>
  </r>
  <r>
    <x v="0"/>
  </r>
  <r>
    <x v="4"/>
  </r>
  <r>
    <x v="0"/>
  </r>
  <r>
    <x v="1"/>
  </r>
  <r>
    <x v="3"/>
  </r>
  <r>
    <x v="3"/>
  </r>
  <r>
    <x v="1"/>
  </r>
  <r>
    <x v="1"/>
  </r>
  <r>
    <x v="4"/>
  </r>
  <r>
    <x v="1"/>
  </r>
  <r>
    <x v="3"/>
  </r>
  <r>
    <x v="0"/>
  </r>
  <r>
    <x v="1"/>
  </r>
  <r>
    <x v="0"/>
  </r>
  <r>
    <x v="2"/>
  </r>
  <r>
    <x v="3"/>
  </r>
  <r>
    <x v="0"/>
  </r>
  <r>
    <x v="2"/>
  </r>
  <r>
    <x v="1"/>
  </r>
  <r>
    <x v="2"/>
  </r>
  <r>
    <x v="3"/>
  </r>
  <r>
    <x v="1"/>
  </r>
  <r>
    <x v="3"/>
  </r>
  <r>
    <x v="1"/>
  </r>
  <r>
    <x v="3"/>
  </r>
  <r>
    <x v="4"/>
  </r>
  <r>
    <x v="2"/>
  </r>
  <r>
    <x v="2"/>
  </r>
  <r>
    <x v="1"/>
  </r>
  <r>
    <x v="1"/>
  </r>
  <r>
    <x v="2"/>
  </r>
  <r>
    <x v="4"/>
  </r>
  <r>
    <x v="0"/>
  </r>
  <r>
    <x v="4"/>
  </r>
  <r>
    <x v="0"/>
  </r>
  <r>
    <x v="3"/>
  </r>
  <r>
    <x v="3"/>
  </r>
  <r>
    <x v="3"/>
  </r>
  <r>
    <x v="0"/>
  </r>
  <r>
    <x v="3"/>
  </r>
  <r>
    <x v="2"/>
  </r>
  <r>
    <x v="2"/>
  </r>
  <r>
    <x v="2"/>
  </r>
  <r>
    <x v="1"/>
  </r>
  <r>
    <x v="0"/>
  </r>
  <r>
    <x v="1"/>
  </r>
  <r>
    <x v="4"/>
  </r>
  <r>
    <x v="0"/>
  </r>
  <r>
    <x v="4"/>
  </r>
  <r>
    <x v="3"/>
  </r>
  <r>
    <x v="2"/>
  </r>
  <r>
    <x v="3"/>
  </r>
  <r>
    <x v="3"/>
  </r>
  <r>
    <x v="1"/>
  </r>
  <r>
    <x v="0"/>
  </r>
  <r>
    <x v="3"/>
  </r>
  <r>
    <x v="1"/>
  </r>
  <r>
    <x v="0"/>
  </r>
  <r>
    <x v="2"/>
  </r>
  <r>
    <x v="0"/>
  </r>
  <r>
    <x v="1"/>
  </r>
  <r>
    <x v="1"/>
  </r>
  <r>
    <x v="0"/>
  </r>
  <r>
    <x v="0"/>
  </r>
  <r>
    <x v="2"/>
  </r>
  <r>
    <x v="3"/>
  </r>
  <r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6004">
  <r>
    <x v="0"/>
  </r>
  <r>
    <x v="1"/>
  </r>
  <r>
    <x v="0"/>
  </r>
  <r>
    <x v="2"/>
  </r>
  <r>
    <x v="0"/>
  </r>
  <r>
    <x v="1"/>
  </r>
  <r>
    <x v="3"/>
  </r>
  <r>
    <x v="2"/>
  </r>
  <r>
    <x v="4"/>
  </r>
  <r>
    <x v="1"/>
  </r>
  <r>
    <x v="1"/>
  </r>
  <r>
    <x v="1"/>
  </r>
  <r>
    <x v="4"/>
  </r>
  <r>
    <x v="1"/>
  </r>
  <r>
    <x v="2"/>
  </r>
  <r>
    <x v="3"/>
  </r>
  <r>
    <x v="0"/>
  </r>
  <r>
    <x v="0"/>
  </r>
  <r>
    <x v="4"/>
  </r>
  <r>
    <x v="3"/>
  </r>
  <r>
    <x v="2"/>
  </r>
  <r>
    <x v="1"/>
  </r>
  <r>
    <x v="1"/>
  </r>
  <r>
    <x v="2"/>
  </r>
  <r>
    <x v="4"/>
  </r>
  <r>
    <x v="1"/>
  </r>
  <r>
    <x v="0"/>
  </r>
  <r>
    <x v="2"/>
  </r>
  <r>
    <x v="1"/>
  </r>
  <r>
    <x v="2"/>
  </r>
  <r>
    <x v="1"/>
  </r>
  <r>
    <x v="2"/>
  </r>
  <r>
    <x v="4"/>
  </r>
  <r>
    <x v="1"/>
  </r>
  <r>
    <x v="4"/>
  </r>
  <r>
    <x v="2"/>
  </r>
  <r>
    <x v="3"/>
  </r>
  <r>
    <x v="0"/>
  </r>
  <r>
    <x v="4"/>
  </r>
  <r>
    <x v="4"/>
  </r>
  <r>
    <x v="0"/>
  </r>
  <r>
    <x v="2"/>
  </r>
  <r>
    <x v="1"/>
  </r>
  <r>
    <x v="1"/>
  </r>
  <r>
    <x v="0"/>
  </r>
  <r>
    <x v="1"/>
  </r>
  <r>
    <x v="3"/>
  </r>
  <r>
    <x v="4"/>
  </r>
  <r>
    <x v="0"/>
  </r>
  <r>
    <x v="2"/>
  </r>
  <r>
    <x v="0"/>
  </r>
  <r>
    <x v="0"/>
  </r>
  <r>
    <x v="1"/>
  </r>
  <r>
    <x v="0"/>
  </r>
  <r>
    <x v="1"/>
  </r>
  <r>
    <x v="4"/>
  </r>
  <r>
    <x v="0"/>
  </r>
  <r>
    <x v="1"/>
  </r>
  <r>
    <x v="0"/>
  </r>
  <r>
    <x v="1"/>
  </r>
  <r>
    <x v="3"/>
  </r>
  <r>
    <x v="1"/>
  </r>
  <r>
    <x v="2"/>
  </r>
  <r>
    <x v="0"/>
  </r>
  <r>
    <x v="4"/>
  </r>
  <r>
    <x v="1"/>
  </r>
  <r>
    <x v="3"/>
  </r>
  <r>
    <x v="1"/>
  </r>
  <r>
    <x v="0"/>
  </r>
  <r>
    <x v="3"/>
  </r>
  <r>
    <x v="2"/>
  </r>
  <r>
    <x v="0"/>
  </r>
  <r>
    <x v="3"/>
  </r>
  <r>
    <x v="4"/>
  </r>
  <r>
    <x v="1"/>
  </r>
  <r>
    <x v="0"/>
  </r>
  <r>
    <x v="1"/>
  </r>
  <r>
    <x v="0"/>
  </r>
  <r>
    <x v="2"/>
  </r>
  <r>
    <x v="0"/>
  </r>
  <r>
    <x v="1"/>
  </r>
  <r>
    <x v="2"/>
  </r>
  <r>
    <x v="1"/>
  </r>
  <r>
    <x v="3"/>
  </r>
  <r>
    <x v="3"/>
  </r>
  <r>
    <x v="3"/>
  </r>
  <r>
    <x v="2"/>
  </r>
  <r>
    <x v="1"/>
  </r>
  <r>
    <x v="0"/>
  </r>
  <r>
    <x v="1"/>
  </r>
  <r>
    <x v="1"/>
  </r>
  <r>
    <x v="4"/>
  </r>
  <r>
    <x v="1"/>
  </r>
  <r>
    <x v="3"/>
  </r>
  <r>
    <x v="3"/>
  </r>
  <r>
    <x v="0"/>
  </r>
  <r>
    <x v="0"/>
  </r>
  <r>
    <x v="0"/>
  </r>
  <r>
    <x v="2"/>
  </r>
  <r>
    <x v="4"/>
  </r>
  <r>
    <x v="1"/>
  </r>
  <r>
    <x v="1"/>
  </r>
  <r>
    <x v="1"/>
  </r>
  <r>
    <x v="3"/>
  </r>
  <r>
    <x v="1"/>
  </r>
  <r>
    <x v="1"/>
  </r>
  <r>
    <x v="2"/>
  </r>
  <r>
    <x v="2"/>
  </r>
  <r>
    <x v="2"/>
  </r>
  <r>
    <x v="0"/>
  </r>
  <r>
    <x v="4"/>
  </r>
  <r>
    <x v="0"/>
  </r>
  <r>
    <x v="1"/>
  </r>
  <r>
    <x v="4"/>
  </r>
  <r>
    <x v="1"/>
  </r>
  <r>
    <x v="1"/>
  </r>
  <r>
    <x v="3"/>
  </r>
  <r>
    <x v="1"/>
  </r>
  <r>
    <x v="3"/>
  </r>
  <r>
    <x v="1"/>
  </r>
  <r>
    <x v="1"/>
  </r>
  <r>
    <x v="4"/>
  </r>
  <r>
    <x v="2"/>
  </r>
  <r>
    <x v="0"/>
  </r>
  <r>
    <x v="2"/>
  </r>
  <r>
    <x v="1"/>
  </r>
  <r>
    <x v="3"/>
  </r>
  <r>
    <x v="1"/>
  </r>
  <r>
    <x v="2"/>
  </r>
  <r>
    <x v="0"/>
  </r>
  <r>
    <x v="2"/>
  </r>
  <r>
    <x v="4"/>
  </r>
  <r>
    <x v="1"/>
  </r>
  <r>
    <x v="3"/>
  </r>
  <r>
    <x v="1"/>
  </r>
  <r>
    <x v="1"/>
  </r>
  <r>
    <x v="2"/>
  </r>
  <r>
    <x v="1"/>
  </r>
  <r>
    <x v="1"/>
  </r>
  <r>
    <x v="0"/>
  </r>
  <r>
    <x v="2"/>
  </r>
  <r>
    <x v="1"/>
  </r>
  <r>
    <x v="0"/>
  </r>
  <r>
    <x v="4"/>
  </r>
  <r>
    <x v="2"/>
  </r>
  <r>
    <x v="3"/>
  </r>
  <r>
    <x v="2"/>
  </r>
  <r>
    <x v="4"/>
  </r>
  <r>
    <x v="0"/>
  </r>
  <r>
    <x v="1"/>
  </r>
  <r>
    <x v="5"/>
  </r>
  <r>
    <x v="3"/>
  </r>
  <r>
    <x v="4"/>
  </r>
  <r>
    <x v="1"/>
  </r>
  <r>
    <x v="0"/>
  </r>
  <r>
    <x v="4"/>
  </r>
  <r>
    <x v="4"/>
  </r>
  <r>
    <x v="4"/>
  </r>
  <r>
    <x v="0"/>
  </r>
  <r>
    <x v="1"/>
  </r>
  <r>
    <x v="3"/>
  </r>
  <r>
    <x v="4"/>
  </r>
  <r>
    <x v="1"/>
  </r>
  <r>
    <x v="1"/>
  </r>
  <r>
    <x v="3"/>
  </r>
  <r>
    <x v="2"/>
  </r>
  <r>
    <x v="0"/>
  </r>
  <r>
    <x v="1"/>
  </r>
  <r>
    <x v="1"/>
  </r>
  <r>
    <x v="1"/>
  </r>
  <r>
    <x v="4"/>
  </r>
  <r>
    <x v="0"/>
  </r>
  <r>
    <x v="4"/>
  </r>
  <r>
    <x v="4"/>
  </r>
  <r>
    <x v="1"/>
  </r>
  <r>
    <x v="1"/>
  </r>
  <r>
    <x v="0"/>
  </r>
  <r>
    <x v="1"/>
  </r>
  <r>
    <x v="1"/>
  </r>
  <r>
    <x v="4"/>
  </r>
  <r>
    <x v="2"/>
  </r>
  <r>
    <x v="2"/>
  </r>
  <r>
    <x v="2"/>
  </r>
  <r>
    <x v="4"/>
  </r>
  <r>
    <x v="4"/>
  </r>
  <r>
    <x v="1"/>
  </r>
  <r>
    <x v="3"/>
  </r>
  <r>
    <x v="1"/>
  </r>
  <r>
    <x v="1"/>
  </r>
  <r>
    <x v="1"/>
  </r>
  <r>
    <x v="3"/>
  </r>
  <r>
    <x v="3"/>
  </r>
  <r>
    <x v="2"/>
  </r>
  <r>
    <x v="4"/>
  </r>
  <r>
    <x v="0"/>
  </r>
  <r>
    <x v="3"/>
  </r>
  <r>
    <x v="4"/>
  </r>
  <r>
    <x v="3"/>
  </r>
  <r>
    <x v="1"/>
  </r>
  <r>
    <x v="1"/>
  </r>
  <r>
    <x v="2"/>
  </r>
  <r>
    <x v="1"/>
  </r>
  <r>
    <x v="3"/>
  </r>
  <r>
    <x v="0"/>
  </r>
  <r>
    <x v="3"/>
  </r>
  <r>
    <x v="6"/>
  </r>
  <r>
    <x v="4"/>
  </r>
  <r>
    <x v="0"/>
  </r>
  <r>
    <x v="4"/>
  </r>
  <r>
    <x v="0"/>
  </r>
  <r>
    <x v="3"/>
  </r>
  <r>
    <x v="4"/>
  </r>
  <r>
    <x v="1"/>
  </r>
  <r>
    <x v="3"/>
  </r>
  <r>
    <x v="1"/>
  </r>
  <r>
    <x v="0"/>
  </r>
  <r>
    <x v="1"/>
  </r>
  <r>
    <x v="2"/>
  </r>
  <r>
    <x v="1"/>
  </r>
  <r>
    <x v="1"/>
  </r>
  <r>
    <x v="3"/>
  </r>
  <r>
    <x v="2"/>
  </r>
  <r>
    <x v="1"/>
  </r>
  <r>
    <x v="2"/>
  </r>
  <r>
    <x v="3"/>
  </r>
  <r>
    <x v="1"/>
  </r>
  <r>
    <x v="2"/>
  </r>
  <r>
    <x v="0"/>
  </r>
  <r>
    <x v="4"/>
  </r>
  <r>
    <x v="0"/>
  </r>
  <r>
    <x v="4"/>
  </r>
  <r>
    <x v="1"/>
  </r>
  <r>
    <x v="2"/>
  </r>
  <r>
    <x v="1"/>
  </r>
  <r>
    <x v="0"/>
  </r>
  <r>
    <x v="1"/>
  </r>
  <r>
    <x v="2"/>
  </r>
  <r>
    <x v="1"/>
  </r>
  <r>
    <x v="0"/>
  </r>
  <r>
    <x v="0"/>
  </r>
  <r>
    <x v="2"/>
  </r>
  <r>
    <x v="0"/>
  </r>
  <r>
    <x v="2"/>
  </r>
  <r>
    <x v="1"/>
  </r>
  <r>
    <x v="1"/>
  </r>
  <r>
    <x v="0"/>
  </r>
  <r>
    <x v="3"/>
  </r>
  <r>
    <x v="1"/>
  </r>
  <r>
    <x v="1"/>
  </r>
  <r>
    <x v="1"/>
  </r>
  <r>
    <x v="4"/>
  </r>
  <r>
    <x v="0"/>
  </r>
  <r>
    <x v="2"/>
  </r>
  <r>
    <x v="1"/>
  </r>
  <r>
    <x v="1"/>
  </r>
  <r>
    <x v="1"/>
  </r>
  <r>
    <x v="4"/>
  </r>
  <r>
    <x v="4"/>
  </r>
  <r>
    <x v="1"/>
  </r>
  <r>
    <x v="3"/>
  </r>
  <r>
    <x v="0"/>
  </r>
  <r>
    <x v="4"/>
  </r>
  <r>
    <x v="0"/>
  </r>
  <r>
    <x v="1"/>
  </r>
  <r>
    <x v="2"/>
  </r>
  <r>
    <x v="2"/>
  </r>
  <r>
    <x v="0"/>
  </r>
  <r>
    <x v="0"/>
  </r>
  <r>
    <x v="1"/>
  </r>
  <r>
    <x v="4"/>
  </r>
  <r>
    <x v="1"/>
  </r>
  <r>
    <x v="2"/>
  </r>
  <r>
    <x v="1"/>
  </r>
  <r>
    <x v="1"/>
  </r>
  <r>
    <x v="1"/>
  </r>
  <r>
    <x v="1"/>
  </r>
  <r>
    <x v="0"/>
  </r>
  <r>
    <x v="1"/>
  </r>
  <r>
    <x v="2"/>
  </r>
  <r>
    <x v="1"/>
  </r>
  <r>
    <x v="4"/>
  </r>
  <r>
    <x v="0"/>
  </r>
  <r>
    <x v="3"/>
  </r>
  <r>
    <x v="3"/>
  </r>
  <r>
    <x v="2"/>
  </r>
  <r>
    <x v="2"/>
  </r>
  <r>
    <x v="0"/>
  </r>
  <r>
    <x v="2"/>
  </r>
  <r>
    <x v="3"/>
  </r>
  <r>
    <x v="1"/>
  </r>
  <r>
    <x v="0"/>
  </r>
  <r>
    <x v="1"/>
  </r>
  <r>
    <x v="0"/>
  </r>
  <r>
    <x v="0"/>
  </r>
  <r>
    <x v="0"/>
  </r>
  <r>
    <x v="0"/>
  </r>
  <r>
    <x v="3"/>
  </r>
  <r>
    <x v="0"/>
  </r>
  <r>
    <x v="2"/>
  </r>
  <r>
    <x v="1"/>
  </r>
  <r>
    <x v="0"/>
  </r>
  <r>
    <x v="0"/>
  </r>
  <r>
    <x v="1"/>
  </r>
  <r>
    <x v="0"/>
  </r>
  <r>
    <x v="4"/>
  </r>
  <r>
    <x v="0"/>
  </r>
  <r>
    <x v="4"/>
  </r>
  <r>
    <x v="0"/>
  </r>
  <r>
    <x v="1"/>
  </r>
  <r>
    <x v="4"/>
  </r>
  <r>
    <x v="1"/>
  </r>
  <r>
    <x v="1"/>
  </r>
  <r>
    <x v="1"/>
  </r>
  <r>
    <x v="1"/>
  </r>
  <r>
    <x v="1"/>
  </r>
  <r>
    <x v="1"/>
  </r>
  <r>
    <x v="1"/>
  </r>
  <r>
    <x v="4"/>
  </r>
  <r>
    <x v="1"/>
  </r>
  <r>
    <x v="0"/>
  </r>
  <r>
    <x v="3"/>
  </r>
  <r>
    <x v="2"/>
  </r>
  <r>
    <x v="1"/>
  </r>
  <r>
    <x v="3"/>
  </r>
  <r>
    <x v="1"/>
  </r>
  <r>
    <x v="1"/>
  </r>
  <r>
    <x v="3"/>
  </r>
  <r>
    <x v="2"/>
  </r>
  <r>
    <x v="0"/>
  </r>
  <r>
    <x v="4"/>
  </r>
  <r>
    <x v="4"/>
  </r>
  <r>
    <x v="1"/>
  </r>
  <r>
    <x v="1"/>
  </r>
  <r>
    <x v="0"/>
  </r>
  <r>
    <x v="3"/>
  </r>
  <r>
    <x v="1"/>
  </r>
  <r>
    <x v="2"/>
  </r>
  <r>
    <x v="1"/>
  </r>
  <r>
    <x v="0"/>
  </r>
  <r>
    <x v="4"/>
  </r>
  <r>
    <x v="4"/>
  </r>
  <r>
    <x v="1"/>
  </r>
  <r>
    <x v="0"/>
  </r>
  <r>
    <x v="0"/>
  </r>
  <r>
    <x v="1"/>
  </r>
  <r>
    <x v="1"/>
  </r>
  <r>
    <x v="4"/>
  </r>
  <r>
    <x v="0"/>
  </r>
  <r>
    <x v="1"/>
  </r>
  <r>
    <x v="0"/>
  </r>
  <r>
    <x v="3"/>
  </r>
  <r>
    <x v="1"/>
  </r>
  <r>
    <x v="4"/>
  </r>
  <r>
    <x v="1"/>
  </r>
  <r>
    <x v="1"/>
  </r>
  <r>
    <x v="1"/>
  </r>
  <r>
    <x v="0"/>
  </r>
  <r>
    <x v="2"/>
  </r>
  <r>
    <x v="1"/>
  </r>
  <r>
    <x v="4"/>
  </r>
  <r>
    <x v="0"/>
  </r>
  <r>
    <x v="1"/>
  </r>
  <r>
    <x v="0"/>
  </r>
  <r>
    <x v="2"/>
  </r>
  <r>
    <x v="2"/>
  </r>
  <r>
    <x v="2"/>
  </r>
  <r>
    <x v="1"/>
  </r>
  <r>
    <x v="2"/>
  </r>
  <r>
    <x v="1"/>
  </r>
  <r>
    <x v="4"/>
  </r>
  <r>
    <x v="3"/>
  </r>
  <r>
    <x v="1"/>
  </r>
  <r>
    <x v="0"/>
  </r>
  <r>
    <x v="4"/>
  </r>
  <r>
    <x v="4"/>
  </r>
  <r>
    <x v="1"/>
  </r>
  <r>
    <x v="3"/>
  </r>
  <r>
    <x v="4"/>
  </r>
  <r>
    <x v="1"/>
  </r>
  <r>
    <x v="1"/>
  </r>
  <r>
    <x v="2"/>
  </r>
  <r>
    <x v="1"/>
  </r>
  <r>
    <x v="1"/>
  </r>
  <r>
    <x v="0"/>
  </r>
  <r>
    <x v="4"/>
  </r>
  <r>
    <x v="4"/>
  </r>
  <r>
    <x v="0"/>
  </r>
  <r>
    <x v="2"/>
  </r>
  <r>
    <x v="3"/>
  </r>
  <r>
    <x v="1"/>
  </r>
  <r>
    <x v="4"/>
  </r>
  <r>
    <x v="3"/>
  </r>
  <r>
    <x v="4"/>
  </r>
  <r>
    <x v="4"/>
  </r>
  <r>
    <x v="1"/>
  </r>
  <r>
    <x v="0"/>
  </r>
  <r>
    <x v="0"/>
  </r>
  <r>
    <x v="4"/>
  </r>
  <r>
    <x v="3"/>
  </r>
  <r>
    <x v="1"/>
  </r>
  <r>
    <x v="1"/>
  </r>
  <r>
    <x v="1"/>
  </r>
  <r>
    <x v="4"/>
  </r>
  <r>
    <x v="1"/>
  </r>
  <r>
    <x v="4"/>
  </r>
  <r>
    <x v="1"/>
  </r>
  <r>
    <x v="0"/>
  </r>
  <r>
    <x v="1"/>
  </r>
  <r>
    <x v="2"/>
  </r>
  <r>
    <x v="0"/>
  </r>
  <r>
    <x v="3"/>
  </r>
  <r>
    <x v="0"/>
  </r>
  <r>
    <x v="1"/>
  </r>
  <r>
    <x v="1"/>
  </r>
  <r>
    <x v="3"/>
  </r>
  <r>
    <x v="4"/>
  </r>
  <r>
    <x v="1"/>
  </r>
  <r>
    <x v="4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3"/>
  </r>
  <r>
    <x v="1"/>
  </r>
  <r>
    <x v="0"/>
  </r>
  <r>
    <x v="0"/>
  </r>
  <r>
    <x v="0"/>
  </r>
  <r>
    <x v="2"/>
  </r>
  <r>
    <x v="1"/>
  </r>
  <r>
    <x v="2"/>
  </r>
  <r>
    <x v="2"/>
  </r>
  <r>
    <x v="4"/>
  </r>
  <r>
    <x v="1"/>
  </r>
  <r>
    <x v="1"/>
  </r>
  <r>
    <x v="4"/>
  </r>
  <r>
    <x v="2"/>
  </r>
  <r>
    <x v="0"/>
  </r>
  <r>
    <x v="1"/>
  </r>
  <r>
    <x v="1"/>
  </r>
  <r>
    <x v="4"/>
  </r>
  <r>
    <x v="4"/>
  </r>
  <r>
    <x v="1"/>
  </r>
  <r>
    <x v="1"/>
  </r>
  <r>
    <x v="0"/>
  </r>
  <r>
    <x v="0"/>
  </r>
  <r>
    <x v="4"/>
  </r>
  <r>
    <x v="2"/>
  </r>
  <r>
    <x v="4"/>
  </r>
  <r>
    <x v="1"/>
  </r>
  <r>
    <x v="4"/>
  </r>
  <r>
    <x v="3"/>
  </r>
  <r>
    <x v="3"/>
  </r>
  <r>
    <x v="2"/>
  </r>
  <r>
    <x v="1"/>
  </r>
  <r>
    <x v="2"/>
  </r>
  <r>
    <x v="2"/>
  </r>
  <r>
    <x v="4"/>
  </r>
  <r>
    <x v="1"/>
  </r>
  <r>
    <x v="3"/>
  </r>
  <r>
    <x v="0"/>
  </r>
  <r>
    <x v="1"/>
  </r>
  <r>
    <x v="1"/>
  </r>
  <r>
    <x v="4"/>
  </r>
  <r>
    <x v="0"/>
  </r>
  <r>
    <x v="1"/>
  </r>
  <r>
    <x v="4"/>
  </r>
  <r>
    <x v="2"/>
  </r>
  <r>
    <x v="4"/>
  </r>
  <r>
    <x v="1"/>
  </r>
  <r>
    <x v="4"/>
  </r>
  <r>
    <x v="1"/>
  </r>
  <r>
    <x v="1"/>
  </r>
  <r>
    <x v="0"/>
  </r>
  <r>
    <x v="2"/>
  </r>
  <r>
    <x v="0"/>
  </r>
  <r>
    <x v="1"/>
  </r>
  <r>
    <x v="0"/>
  </r>
  <r>
    <x v="0"/>
  </r>
  <r>
    <x v="3"/>
  </r>
  <r>
    <x v="3"/>
  </r>
  <r>
    <x v="1"/>
  </r>
  <r>
    <x v="1"/>
  </r>
  <r>
    <x v="1"/>
  </r>
  <r>
    <x v="2"/>
  </r>
  <r>
    <x v="1"/>
  </r>
  <r>
    <x v="1"/>
  </r>
  <r>
    <x v="0"/>
  </r>
  <r>
    <x v="1"/>
  </r>
  <r>
    <x v="1"/>
  </r>
  <r>
    <x v="0"/>
  </r>
  <r>
    <x v="1"/>
  </r>
  <r>
    <x v="0"/>
  </r>
  <r>
    <x v="3"/>
  </r>
  <r>
    <x v="1"/>
  </r>
  <r>
    <x v="0"/>
  </r>
  <r>
    <x v="3"/>
  </r>
  <r>
    <x v="2"/>
  </r>
  <r>
    <x v="0"/>
  </r>
  <r>
    <x v="4"/>
  </r>
  <r>
    <x v="1"/>
  </r>
  <r>
    <x v="4"/>
  </r>
  <r>
    <x v="3"/>
  </r>
  <r>
    <x v="0"/>
  </r>
  <r>
    <x v="0"/>
  </r>
  <r>
    <x v="1"/>
  </r>
  <r>
    <x v="4"/>
  </r>
  <r>
    <x v="4"/>
  </r>
  <r>
    <x v="4"/>
  </r>
  <r>
    <x v="1"/>
  </r>
  <r>
    <x v="0"/>
  </r>
  <r>
    <x v="4"/>
  </r>
  <r>
    <x v="1"/>
  </r>
  <r>
    <x v="1"/>
  </r>
  <r>
    <x v="1"/>
  </r>
  <r>
    <x v="4"/>
  </r>
  <r>
    <x v="4"/>
  </r>
  <r>
    <x v="2"/>
  </r>
  <r>
    <x v="1"/>
  </r>
  <r>
    <x v="3"/>
  </r>
  <r>
    <x v="4"/>
  </r>
  <r>
    <x v="0"/>
  </r>
  <r>
    <x v="1"/>
  </r>
  <r>
    <x v="1"/>
  </r>
  <r>
    <x v="3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2"/>
  </r>
  <r>
    <x v="2"/>
  </r>
  <r>
    <x v="2"/>
  </r>
  <r>
    <x v="1"/>
  </r>
  <r>
    <x v="2"/>
  </r>
  <r>
    <x v="1"/>
  </r>
  <r>
    <x v="1"/>
  </r>
  <r>
    <x v="3"/>
  </r>
  <r>
    <x v="2"/>
  </r>
  <r>
    <x v="0"/>
  </r>
  <r>
    <x v="2"/>
  </r>
  <r>
    <x v="3"/>
  </r>
  <r>
    <x v="4"/>
  </r>
  <r>
    <x v="4"/>
  </r>
  <r>
    <x v="2"/>
  </r>
  <r>
    <x v="1"/>
  </r>
  <r>
    <x v="1"/>
  </r>
  <r>
    <x v="2"/>
  </r>
  <r>
    <x v="0"/>
  </r>
  <r>
    <x v="1"/>
  </r>
  <r>
    <x v="1"/>
  </r>
  <r>
    <x v="0"/>
  </r>
  <r>
    <x v="3"/>
  </r>
  <r>
    <x v="4"/>
  </r>
  <r>
    <x v="0"/>
  </r>
  <r>
    <x v="3"/>
  </r>
  <r>
    <x v="3"/>
  </r>
  <r>
    <x v="0"/>
  </r>
  <r>
    <x v="3"/>
  </r>
  <r>
    <x v="0"/>
  </r>
  <r>
    <x v="1"/>
  </r>
  <r>
    <x v="1"/>
  </r>
  <r>
    <x v="4"/>
  </r>
  <r>
    <x v="0"/>
  </r>
  <r>
    <x v="4"/>
  </r>
  <r>
    <x v="4"/>
  </r>
  <r>
    <x v="1"/>
  </r>
  <r>
    <x v="1"/>
  </r>
  <r>
    <x v="0"/>
  </r>
  <r>
    <x v="1"/>
  </r>
  <r>
    <x v="4"/>
  </r>
  <r>
    <x v="0"/>
  </r>
  <r>
    <x v="0"/>
  </r>
  <r>
    <x v="1"/>
  </r>
  <r>
    <x v="4"/>
  </r>
  <r>
    <x v="2"/>
  </r>
  <r>
    <x v="3"/>
  </r>
  <r>
    <x v="2"/>
  </r>
  <r>
    <x v="0"/>
  </r>
  <r>
    <x v="1"/>
  </r>
  <r>
    <x v="4"/>
  </r>
  <r>
    <x v="3"/>
  </r>
  <r>
    <x v="1"/>
  </r>
  <r>
    <x v="1"/>
  </r>
  <r>
    <x v="1"/>
  </r>
  <r>
    <x v="4"/>
  </r>
  <r>
    <x v="0"/>
  </r>
  <r>
    <x v="1"/>
  </r>
  <r>
    <x v="2"/>
  </r>
  <r>
    <x v="0"/>
  </r>
  <r>
    <x v="1"/>
  </r>
  <r>
    <x v="0"/>
  </r>
  <r>
    <x v="1"/>
  </r>
  <r>
    <x v="0"/>
  </r>
  <r>
    <x v="1"/>
  </r>
  <r>
    <x v="0"/>
  </r>
  <r>
    <x v="2"/>
  </r>
  <r>
    <x v="4"/>
  </r>
  <r>
    <x v="1"/>
  </r>
  <r>
    <x v="0"/>
  </r>
  <r>
    <x v="2"/>
  </r>
  <r>
    <x v="1"/>
  </r>
  <r>
    <x v="1"/>
  </r>
  <r>
    <x v="0"/>
  </r>
  <r>
    <x v="4"/>
  </r>
  <r>
    <x v="1"/>
  </r>
  <r>
    <x v="4"/>
  </r>
  <r>
    <x v="4"/>
  </r>
  <r>
    <x v="3"/>
  </r>
  <r>
    <x v="1"/>
  </r>
  <r>
    <x v="2"/>
  </r>
  <r>
    <x v="1"/>
  </r>
  <r>
    <x v="0"/>
  </r>
  <r>
    <x v="0"/>
  </r>
  <r>
    <x v="0"/>
  </r>
  <r>
    <x v="2"/>
  </r>
  <r>
    <x v="1"/>
  </r>
  <r>
    <x v="0"/>
  </r>
  <r>
    <x v="1"/>
  </r>
  <r>
    <x v="4"/>
  </r>
  <r>
    <x v="1"/>
  </r>
  <r>
    <x v="2"/>
  </r>
  <r>
    <x v="2"/>
  </r>
  <r>
    <x v="2"/>
  </r>
  <r>
    <x v="1"/>
  </r>
  <r>
    <x v="4"/>
  </r>
  <r>
    <x v="1"/>
  </r>
  <r>
    <x v="2"/>
  </r>
  <r>
    <x v="4"/>
  </r>
  <r>
    <x v="0"/>
  </r>
  <r>
    <x v="4"/>
  </r>
  <r>
    <x v="1"/>
  </r>
  <r>
    <x v="0"/>
  </r>
  <r>
    <x v="1"/>
  </r>
  <r>
    <x v="3"/>
  </r>
  <r>
    <x v="2"/>
  </r>
  <r>
    <x v="4"/>
  </r>
  <r>
    <x v="3"/>
  </r>
  <r>
    <x v="0"/>
  </r>
  <r>
    <x v="3"/>
  </r>
  <r>
    <x v="1"/>
  </r>
  <r>
    <x v="4"/>
  </r>
  <r>
    <x v="4"/>
  </r>
  <r>
    <x v="1"/>
  </r>
  <r>
    <x v="0"/>
  </r>
  <r>
    <x v="1"/>
  </r>
  <r>
    <x v="3"/>
  </r>
  <r>
    <x v="1"/>
  </r>
  <r>
    <x v="0"/>
  </r>
  <r>
    <x v="2"/>
  </r>
  <r>
    <x v="1"/>
  </r>
  <r>
    <x v="0"/>
  </r>
  <r>
    <x v="4"/>
  </r>
  <r>
    <x v="1"/>
  </r>
  <r>
    <x v="2"/>
  </r>
  <r>
    <x v="1"/>
  </r>
  <r>
    <x v="1"/>
  </r>
  <r>
    <x v="0"/>
  </r>
  <r>
    <x v="0"/>
  </r>
  <r>
    <x v="3"/>
  </r>
  <r>
    <x v="2"/>
  </r>
  <r>
    <x v="0"/>
  </r>
  <r>
    <x v="0"/>
  </r>
  <r>
    <x v="1"/>
  </r>
  <r>
    <x v="1"/>
  </r>
  <r>
    <x v="0"/>
  </r>
  <r>
    <x v="2"/>
  </r>
  <r>
    <x v="1"/>
  </r>
  <r>
    <x v="1"/>
  </r>
  <r>
    <x v="0"/>
  </r>
  <r>
    <x v="1"/>
  </r>
  <r>
    <x v="4"/>
  </r>
  <r>
    <x v="0"/>
  </r>
  <r>
    <x v="0"/>
  </r>
  <r>
    <x v="1"/>
  </r>
  <r>
    <x v="3"/>
  </r>
  <r>
    <x v="1"/>
  </r>
  <r>
    <x v="2"/>
  </r>
  <r>
    <x v="0"/>
  </r>
  <r>
    <x v="2"/>
  </r>
  <r>
    <x v="4"/>
  </r>
  <r>
    <x v="1"/>
  </r>
  <r>
    <x v="2"/>
  </r>
  <r>
    <x v="4"/>
  </r>
  <r>
    <x v="1"/>
  </r>
  <r>
    <x v="1"/>
  </r>
  <r>
    <x v="4"/>
  </r>
  <r>
    <x v="4"/>
  </r>
  <r>
    <x v="4"/>
  </r>
  <r>
    <x v="4"/>
  </r>
  <r>
    <x v="4"/>
  </r>
  <r>
    <x v="2"/>
  </r>
  <r>
    <x v="0"/>
  </r>
  <r>
    <x v="1"/>
  </r>
  <r>
    <x v="3"/>
  </r>
  <r>
    <x v="1"/>
  </r>
  <r>
    <x v="0"/>
  </r>
  <r>
    <x v="4"/>
  </r>
  <r>
    <x v="0"/>
  </r>
  <r>
    <x v="1"/>
  </r>
  <r>
    <x v="1"/>
  </r>
  <r>
    <x v="4"/>
  </r>
  <r>
    <x v="3"/>
  </r>
  <r>
    <x v="0"/>
  </r>
  <r>
    <x v="0"/>
  </r>
  <r>
    <x v="1"/>
  </r>
  <r>
    <x v="1"/>
  </r>
  <r>
    <x v="1"/>
  </r>
  <r>
    <x v="1"/>
  </r>
  <r>
    <x v="0"/>
  </r>
  <r>
    <x v="1"/>
  </r>
  <r>
    <x v="1"/>
  </r>
  <r>
    <x v="4"/>
  </r>
  <r>
    <x v="2"/>
  </r>
  <r>
    <x v="3"/>
  </r>
  <r>
    <x v="4"/>
  </r>
  <r>
    <x v="1"/>
  </r>
  <r>
    <x v="4"/>
  </r>
  <r>
    <x v="1"/>
  </r>
  <r>
    <x v="4"/>
  </r>
  <r>
    <x v="2"/>
  </r>
  <r>
    <x v="4"/>
  </r>
  <r>
    <x v="3"/>
  </r>
  <r>
    <x v="4"/>
  </r>
  <r>
    <x v="4"/>
  </r>
  <r>
    <x v="1"/>
  </r>
  <r>
    <x v="3"/>
  </r>
  <r>
    <x v="1"/>
  </r>
  <r>
    <x v="3"/>
  </r>
  <r>
    <x v="1"/>
  </r>
  <r>
    <x v="1"/>
  </r>
  <r>
    <x v="2"/>
  </r>
  <r>
    <x v="1"/>
  </r>
  <r>
    <x v="2"/>
  </r>
  <r>
    <x v="1"/>
  </r>
  <r>
    <x v="2"/>
  </r>
  <r>
    <x v="4"/>
  </r>
  <r>
    <x v="4"/>
  </r>
  <r>
    <x v="0"/>
  </r>
  <r>
    <x v="1"/>
  </r>
  <r>
    <x v="2"/>
  </r>
  <r>
    <x v="1"/>
  </r>
  <r>
    <x v="0"/>
  </r>
  <r>
    <x v="4"/>
  </r>
  <r>
    <x v="0"/>
  </r>
  <r>
    <x v="1"/>
  </r>
  <r>
    <x v="1"/>
  </r>
  <r>
    <x v="1"/>
  </r>
  <r>
    <x v="2"/>
  </r>
  <r>
    <x v="1"/>
  </r>
  <r>
    <x v="3"/>
  </r>
  <r>
    <x v="1"/>
  </r>
  <r>
    <x v="1"/>
  </r>
  <r>
    <x v="0"/>
  </r>
  <r>
    <x v="1"/>
  </r>
  <r>
    <x v="4"/>
  </r>
  <r>
    <x v="2"/>
  </r>
  <r>
    <x v="1"/>
  </r>
  <r>
    <x v="2"/>
  </r>
  <r>
    <x v="0"/>
  </r>
  <r>
    <x v="1"/>
  </r>
  <r>
    <x v="1"/>
  </r>
  <r>
    <x v="3"/>
  </r>
  <r>
    <x v="1"/>
  </r>
  <r>
    <x v="2"/>
  </r>
  <r>
    <x v="0"/>
  </r>
  <r>
    <x v="1"/>
  </r>
  <r>
    <x v="0"/>
  </r>
  <r>
    <x v="2"/>
  </r>
  <r>
    <x v="4"/>
  </r>
  <r>
    <x v="0"/>
  </r>
  <r>
    <x v="2"/>
  </r>
  <r>
    <x v="1"/>
  </r>
  <r>
    <x v="3"/>
  </r>
  <r>
    <x v="2"/>
  </r>
  <r>
    <x v="4"/>
  </r>
  <r>
    <x v="2"/>
  </r>
  <r>
    <x v="0"/>
  </r>
  <r>
    <x v="4"/>
  </r>
  <r>
    <x v="0"/>
  </r>
  <r>
    <x v="0"/>
  </r>
  <r>
    <x v="0"/>
  </r>
  <r>
    <x v="1"/>
  </r>
  <r>
    <x v="0"/>
  </r>
  <r>
    <x v="1"/>
  </r>
  <r>
    <x v="1"/>
  </r>
  <r>
    <x v="1"/>
  </r>
  <r>
    <x v="2"/>
  </r>
  <r>
    <x v="0"/>
  </r>
  <r>
    <x v="4"/>
  </r>
  <r>
    <x v="1"/>
  </r>
  <r>
    <x v="0"/>
  </r>
  <r>
    <x v="1"/>
  </r>
  <r>
    <x v="1"/>
  </r>
  <r>
    <x v="4"/>
  </r>
  <r>
    <x v="4"/>
  </r>
  <r>
    <x v="1"/>
  </r>
  <r>
    <x v="0"/>
  </r>
  <r>
    <x v="2"/>
  </r>
  <r>
    <x v="1"/>
  </r>
  <r>
    <x v="1"/>
  </r>
  <r>
    <x v="4"/>
  </r>
  <r>
    <x v="1"/>
  </r>
  <r>
    <x v="3"/>
  </r>
  <r>
    <x v="4"/>
  </r>
  <r>
    <x v="0"/>
  </r>
  <r>
    <x v="0"/>
  </r>
  <r>
    <x v="0"/>
  </r>
  <r>
    <x v="1"/>
  </r>
  <r>
    <x v="3"/>
  </r>
  <r>
    <x v="4"/>
  </r>
  <r>
    <x v="1"/>
  </r>
  <r>
    <x v="0"/>
  </r>
  <r>
    <x v="1"/>
  </r>
  <r>
    <x v="1"/>
  </r>
  <r>
    <x v="4"/>
  </r>
  <r>
    <x v="4"/>
  </r>
  <r>
    <x v="0"/>
  </r>
  <r>
    <x v="1"/>
  </r>
  <r>
    <x v="4"/>
  </r>
  <r>
    <x v="1"/>
  </r>
  <r>
    <x v="4"/>
  </r>
  <r>
    <x v="0"/>
  </r>
  <r>
    <x v="4"/>
  </r>
  <r>
    <x v="2"/>
  </r>
  <r>
    <x v="2"/>
  </r>
  <r>
    <x v="3"/>
  </r>
  <r>
    <x v="3"/>
  </r>
  <r>
    <x v="2"/>
  </r>
  <r>
    <x v="3"/>
  </r>
  <r>
    <x v="2"/>
  </r>
  <r>
    <x v="4"/>
  </r>
  <r>
    <x v="1"/>
  </r>
  <r>
    <x v="1"/>
  </r>
  <r>
    <x v="2"/>
  </r>
  <r>
    <x v="0"/>
  </r>
  <r>
    <x v="2"/>
  </r>
  <r>
    <x v="1"/>
  </r>
  <r>
    <x v="0"/>
  </r>
  <r>
    <x v="4"/>
  </r>
  <r>
    <x v="3"/>
  </r>
  <r>
    <x v="1"/>
  </r>
  <r>
    <x v="2"/>
  </r>
  <r>
    <x v="2"/>
  </r>
  <r>
    <x v="1"/>
  </r>
  <r>
    <x v="0"/>
  </r>
  <r>
    <x v="1"/>
  </r>
  <r>
    <x v="1"/>
  </r>
  <r>
    <x v="0"/>
  </r>
  <r>
    <x v="1"/>
  </r>
  <r>
    <x v="1"/>
  </r>
  <r>
    <x v="2"/>
  </r>
  <r>
    <x v="0"/>
  </r>
  <r>
    <x v="4"/>
  </r>
  <r>
    <x v="1"/>
  </r>
  <r>
    <x v="2"/>
  </r>
  <r>
    <x v="2"/>
  </r>
  <r>
    <x v="0"/>
  </r>
  <r>
    <x v="3"/>
  </r>
  <r>
    <x v="2"/>
  </r>
  <r>
    <x v="4"/>
  </r>
  <r>
    <x v="4"/>
  </r>
  <r>
    <x v="1"/>
  </r>
  <r>
    <x v="1"/>
  </r>
  <r>
    <x v="1"/>
  </r>
  <r>
    <x v="1"/>
  </r>
  <r>
    <x v="1"/>
  </r>
  <r>
    <x v="2"/>
  </r>
  <r>
    <x v="1"/>
  </r>
  <r>
    <x v="3"/>
  </r>
  <r>
    <x v="4"/>
  </r>
  <r>
    <x v="1"/>
  </r>
  <r>
    <x v="0"/>
  </r>
  <r>
    <x v="1"/>
  </r>
  <r>
    <x v="3"/>
  </r>
  <r>
    <x v="2"/>
  </r>
  <r>
    <x v="1"/>
  </r>
  <r>
    <x v="3"/>
  </r>
  <r>
    <x v="4"/>
  </r>
  <r>
    <x v="1"/>
  </r>
  <r>
    <x v="4"/>
  </r>
  <r>
    <x v="4"/>
  </r>
  <r>
    <x v="1"/>
  </r>
  <r>
    <x v="2"/>
  </r>
  <r>
    <x v="1"/>
  </r>
  <r>
    <x v="0"/>
  </r>
  <r>
    <x v="1"/>
  </r>
  <r>
    <x v="3"/>
  </r>
  <r>
    <x v="2"/>
  </r>
  <r>
    <x v="1"/>
  </r>
  <r>
    <x v="0"/>
  </r>
  <r>
    <x v="1"/>
  </r>
  <r>
    <x v="2"/>
  </r>
  <r>
    <x v="1"/>
  </r>
  <r>
    <x v="2"/>
  </r>
  <r>
    <x v="3"/>
  </r>
  <r>
    <x v="4"/>
  </r>
  <r>
    <x v="1"/>
  </r>
  <r>
    <x v="0"/>
  </r>
  <r>
    <x v="0"/>
  </r>
  <r>
    <x v="4"/>
  </r>
  <r>
    <x v="4"/>
  </r>
  <r>
    <x v="0"/>
  </r>
  <r>
    <x v="0"/>
  </r>
  <r>
    <x v="2"/>
  </r>
  <r>
    <x v="1"/>
  </r>
  <r>
    <x v="0"/>
  </r>
  <r>
    <x v="2"/>
  </r>
  <r>
    <x v="1"/>
  </r>
  <r>
    <x v="4"/>
  </r>
  <r>
    <x v="2"/>
  </r>
  <r>
    <x v="4"/>
  </r>
  <r>
    <x v="1"/>
  </r>
  <r>
    <x v="1"/>
  </r>
  <r>
    <x v="0"/>
  </r>
  <r>
    <x v="1"/>
  </r>
  <r>
    <x v="3"/>
  </r>
  <r>
    <x v="4"/>
  </r>
  <r>
    <x v="1"/>
  </r>
  <r>
    <x v="3"/>
  </r>
  <r>
    <x v="4"/>
  </r>
  <r>
    <x v="1"/>
  </r>
  <r>
    <x v="0"/>
  </r>
  <r>
    <x v="1"/>
  </r>
  <r>
    <x v="3"/>
  </r>
  <r>
    <x v="0"/>
  </r>
  <r>
    <x v="2"/>
  </r>
  <r>
    <x v="0"/>
  </r>
  <r>
    <x v="2"/>
  </r>
  <r>
    <x v="1"/>
  </r>
  <r>
    <x v="3"/>
  </r>
  <r>
    <x v="3"/>
  </r>
  <r>
    <x v="0"/>
  </r>
  <r>
    <x v="2"/>
  </r>
  <r>
    <x v="2"/>
  </r>
  <r>
    <x v="3"/>
  </r>
  <r>
    <x v="1"/>
  </r>
  <r>
    <x v="0"/>
  </r>
  <r>
    <x v="2"/>
  </r>
  <r>
    <x v="2"/>
  </r>
  <r>
    <x v="0"/>
  </r>
  <r>
    <x v="2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2"/>
  </r>
  <r>
    <x v="0"/>
  </r>
  <r>
    <x v="0"/>
  </r>
  <r>
    <x v="4"/>
  </r>
  <r>
    <x v="3"/>
  </r>
  <r>
    <x v="4"/>
  </r>
  <r>
    <x v="1"/>
  </r>
  <r>
    <x v="2"/>
  </r>
  <r>
    <x v="3"/>
  </r>
  <r>
    <x v="0"/>
  </r>
  <r>
    <x v="3"/>
  </r>
  <r>
    <x v="0"/>
  </r>
  <r>
    <x v="0"/>
  </r>
  <r>
    <x v="1"/>
  </r>
  <r>
    <x v="4"/>
  </r>
  <r>
    <x v="1"/>
  </r>
  <r>
    <x v="1"/>
  </r>
  <r>
    <x v="1"/>
  </r>
  <r>
    <x v="1"/>
  </r>
  <r>
    <x v="0"/>
  </r>
  <r>
    <x v="0"/>
  </r>
  <r>
    <x v="1"/>
  </r>
  <r>
    <x v="3"/>
  </r>
  <r>
    <x v="1"/>
  </r>
  <r>
    <x v="0"/>
  </r>
  <r>
    <x v="1"/>
  </r>
  <r>
    <x v="1"/>
  </r>
  <r>
    <x v="1"/>
  </r>
  <r>
    <x v="0"/>
  </r>
  <r>
    <x v="2"/>
  </r>
  <r>
    <x v="1"/>
  </r>
  <r>
    <x v="0"/>
  </r>
  <r>
    <x v="1"/>
  </r>
  <r>
    <x v="2"/>
  </r>
  <r>
    <x v="2"/>
  </r>
  <r>
    <x v="1"/>
  </r>
  <r>
    <x v="0"/>
  </r>
  <r>
    <x v="3"/>
  </r>
  <r>
    <x v="0"/>
  </r>
  <r>
    <x v="0"/>
  </r>
  <r>
    <x v="0"/>
  </r>
  <r>
    <x v="4"/>
  </r>
  <r>
    <x v="3"/>
  </r>
  <r>
    <x v="3"/>
  </r>
  <r>
    <x v="2"/>
  </r>
  <r>
    <x v="0"/>
  </r>
  <r>
    <x v="0"/>
  </r>
  <r>
    <x v="0"/>
  </r>
  <r>
    <x v="3"/>
  </r>
  <r>
    <x v="4"/>
  </r>
  <r>
    <x v="0"/>
  </r>
  <r>
    <x v="1"/>
  </r>
  <r>
    <x v="0"/>
  </r>
  <r>
    <x v="3"/>
  </r>
  <r>
    <x v="0"/>
  </r>
  <r>
    <x v="1"/>
  </r>
  <r>
    <x v="1"/>
  </r>
  <r>
    <x v="0"/>
  </r>
  <r>
    <x v="3"/>
  </r>
  <r>
    <x v="3"/>
  </r>
  <r>
    <x v="3"/>
  </r>
  <r>
    <x v="4"/>
  </r>
  <r>
    <x v="0"/>
  </r>
  <r>
    <x v="4"/>
  </r>
  <r>
    <x v="0"/>
  </r>
  <r>
    <x v="4"/>
  </r>
  <r>
    <x v="0"/>
  </r>
  <r>
    <x v="4"/>
  </r>
  <r>
    <x v="1"/>
  </r>
  <r>
    <x v="1"/>
  </r>
  <r>
    <x v="2"/>
  </r>
  <r>
    <x v="3"/>
  </r>
  <r>
    <x v="0"/>
  </r>
  <r>
    <x v="1"/>
  </r>
  <r>
    <x v="3"/>
  </r>
  <r>
    <x v="4"/>
  </r>
  <r>
    <x v="0"/>
  </r>
  <r>
    <x v="4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0"/>
  </r>
  <r>
    <x v="1"/>
  </r>
  <r>
    <x v="4"/>
  </r>
  <r>
    <x v="3"/>
  </r>
  <r>
    <x v="3"/>
  </r>
  <r>
    <x v="1"/>
  </r>
  <r>
    <x v="2"/>
  </r>
  <r>
    <x v="0"/>
  </r>
  <r>
    <x v="1"/>
  </r>
  <r>
    <x v="1"/>
  </r>
  <r>
    <x v="1"/>
  </r>
  <r>
    <x v="0"/>
  </r>
  <r>
    <x v="4"/>
  </r>
  <r>
    <x v="4"/>
  </r>
  <r>
    <x v="1"/>
  </r>
  <r>
    <x v="1"/>
  </r>
  <r>
    <x v="1"/>
  </r>
  <r>
    <x v="0"/>
  </r>
  <r>
    <x v="3"/>
  </r>
  <r>
    <x v="2"/>
  </r>
  <r>
    <x v="3"/>
  </r>
  <r>
    <x v="4"/>
  </r>
  <r>
    <x v="0"/>
  </r>
  <r>
    <x v="0"/>
  </r>
  <r>
    <x v="0"/>
  </r>
  <r>
    <x v="0"/>
  </r>
  <r>
    <x v="2"/>
  </r>
  <r>
    <x v="0"/>
  </r>
  <r>
    <x v="1"/>
  </r>
  <r>
    <x v="2"/>
  </r>
  <r>
    <x v="2"/>
  </r>
  <r>
    <x v="0"/>
  </r>
  <r>
    <x v="4"/>
  </r>
  <r>
    <x v="1"/>
  </r>
  <r>
    <x v="0"/>
  </r>
  <r>
    <x v="1"/>
  </r>
  <r>
    <x v="1"/>
  </r>
  <r>
    <x v="4"/>
  </r>
  <r>
    <x v="1"/>
  </r>
  <r>
    <x v="4"/>
  </r>
  <r>
    <x v="2"/>
  </r>
  <r>
    <x v="1"/>
  </r>
  <r>
    <x v="4"/>
  </r>
  <r>
    <x v="0"/>
  </r>
  <r>
    <x v="1"/>
  </r>
  <r>
    <x v="4"/>
  </r>
  <r>
    <x v="4"/>
  </r>
  <r>
    <x v="0"/>
  </r>
  <r>
    <x v="3"/>
  </r>
  <r>
    <x v="0"/>
  </r>
  <r>
    <x v="3"/>
  </r>
  <r>
    <x v="0"/>
  </r>
  <r>
    <x v="1"/>
  </r>
  <r>
    <x v="0"/>
  </r>
  <r>
    <x v="1"/>
  </r>
  <r>
    <x v="4"/>
  </r>
  <r>
    <x v="4"/>
  </r>
  <r>
    <x v="0"/>
  </r>
  <r>
    <x v="1"/>
  </r>
  <r>
    <x v="0"/>
  </r>
  <r>
    <x v="1"/>
  </r>
  <r>
    <x v="4"/>
  </r>
  <r>
    <x v="2"/>
  </r>
  <r>
    <x v="3"/>
  </r>
  <r>
    <x v="1"/>
  </r>
  <r>
    <x v="0"/>
  </r>
  <r>
    <x v="0"/>
  </r>
  <r>
    <x v="3"/>
  </r>
  <r>
    <x v="4"/>
  </r>
  <r>
    <x v="1"/>
  </r>
  <r>
    <x v="0"/>
  </r>
  <r>
    <x v="4"/>
  </r>
  <r>
    <x v="4"/>
  </r>
  <r>
    <x v="2"/>
  </r>
  <r>
    <x v="1"/>
  </r>
  <r>
    <x v="3"/>
  </r>
  <r>
    <x v="1"/>
  </r>
  <r>
    <x v="3"/>
  </r>
  <r>
    <x v="2"/>
  </r>
  <r>
    <x v="4"/>
  </r>
  <r>
    <x v="4"/>
  </r>
  <r>
    <x v="1"/>
  </r>
  <r>
    <x v="1"/>
  </r>
  <r>
    <x v="1"/>
  </r>
  <r>
    <x v="1"/>
  </r>
  <r>
    <x v="0"/>
  </r>
  <r>
    <x v="1"/>
  </r>
  <r>
    <x v="2"/>
  </r>
  <r>
    <x v="0"/>
  </r>
  <r>
    <x v="4"/>
  </r>
  <r>
    <x v="4"/>
  </r>
  <r>
    <x v="1"/>
  </r>
  <r>
    <x v="1"/>
  </r>
  <r>
    <x v="0"/>
  </r>
  <r>
    <x v="2"/>
  </r>
  <r>
    <x v="0"/>
  </r>
  <r>
    <x v="1"/>
  </r>
  <r>
    <x v="2"/>
  </r>
  <r>
    <x v="1"/>
  </r>
  <r>
    <x v="4"/>
  </r>
  <r>
    <x v="0"/>
  </r>
  <r>
    <x v="4"/>
  </r>
  <r>
    <x v="3"/>
  </r>
  <r>
    <x v="2"/>
  </r>
  <r>
    <x v="0"/>
  </r>
  <r>
    <x v="1"/>
  </r>
  <r>
    <x v="2"/>
  </r>
  <r>
    <x v="0"/>
  </r>
  <r>
    <x v="1"/>
  </r>
  <r>
    <x v="4"/>
  </r>
  <r>
    <x v="1"/>
  </r>
  <r>
    <x v="1"/>
  </r>
  <r>
    <x v="3"/>
  </r>
  <r>
    <x v="0"/>
  </r>
  <r>
    <x v="1"/>
  </r>
  <r>
    <x v="4"/>
  </r>
  <r>
    <x v="2"/>
  </r>
  <r>
    <x v="1"/>
  </r>
  <r>
    <x v="4"/>
  </r>
  <r>
    <x v="2"/>
  </r>
  <r>
    <x v="1"/>
  </r>
  <r>
    <x v="0"/>
  </r>
  <r>
    <x v="1"/>
  </r>
  <r>
    <x v="4"/>
  </r>
  <r>
    <x v="2"/>
  </r>
  <r>
    <x v="1"/>
  </r>
  <r>
    <x v="2"/>
  </r>
  <r>
    <x v="2"/>
  </r>
  <r>
    <x v="0"/>
  </r>
  <r>
    <x v="4"/>
  </r>
  <r>
    <x v="1"/>
  </r>
  <r>
    <x v="3"/>
  </r>
  <r>
    <x v="0"/>
  </r>
  <r>
    <x v="4"/>
  </r>
  <r>
    <x v="4"/>
  </r>
  <r>
    <x v="0"/>
  </r>
  <r>
    <x v="2"/>
  </r>
  <r>
    <x v="4"/>
  </r>
  <r>
    <x v="3"/>
  </r>
  <r>
    <x v="0"/>
  </r>
  <r>
    <x v="1"/>
  </r>
  <r>
    <x v="3"/>
  </r>
  <r>
    <x v="4"/>
  </r>
  <r>
    <x v="4"/>
  </r>
  <r>
    <x v="3"/>
  </r>
  <r>
    <x v="1"/>
  </r>
  <r>
    <x v="0"/>
  </r>
  <r>
    <x v="1"/>
  </r>
  <r>
    <x v="4"/>
  </r>
  <r>
    <x v="2"/>
  </r>
  <r>
    <x v="3"/>
  </r>
  <r>
    <x v="0"/>
  </r>
  <r>
    <x v="2"/>
  </r>
  <r>
    <x v="3"/>
  </r>
  <r>
    <x v="4"/>
  </r>
  <r>
    <x v="1"/>
  </r>
  <r>
    <x v="4"/>
  </r>
  <r>
    <x v="3"/>
  </r>
  <r>
    <x v="3"/>
  </r>
  <r>
    <x v="4"/>
  </r>
  <r>
    <x v="2"/>
  </r>
  <r>
    <x v="1"/>
  </r>
  <r>
    <x v="1"/>
  </r>
  <r>
    <x v="3"/>
  </r>
  <r>
    <x v="1"/>
  </r>
  <r>
    <x v="1"/>
  </r>
  <r>
    <x v="0"/>
  </r>
  <r>
    <x v="0"/>
  </r>
  <r>
    <x v="4"/>
  </r>
  <r>
    <x v="1"/>
  </r>
  <r>
    <x v="3"/>
  </r>
  <r>
    <x v="3"/>
  </r>
  <r>
    <x v="0"/>
  </r>
  <r>
    <x v="0"/>
  </r>
  <r>
    <x v="4"/>
  </r>
  <r>
    <x v="4"/>
  </r>
  <r>
    <x v="0"/>
  </r>
  <r>
    <x v="0"/>
  </r>
  <r>
    <x v="0"/>
  </r>
  <r>
    <x v="1"/>
  </r>
  <r>
    <x v="0"/>
  </r>
  <r>
    <x v="4"/>
  </r>
  <r>
    <x v="4"/>
  </r>
  <r>
    <x v="2"/>
  </r>
  <r>
    <x v="0"/>
  </r>
  <r>
    <x v="2"/>
  </r>
  <r>
    <x v="1"/>
  </r>
  <r>
    <x v="0"/>
  </r>
  <r>
    <x v="2"/>
  </r>
  <r>
    <x v="4"/>
  </r>
  <r>
    <x v="0"/>
  </r>
  <r>
    <x v="4"/>
  </r>
  <r>
    <x v="3"/>
  </r>
  <r>
    <x v="0"/>
  </r>
  <r>
    <x v="2"/>
  </r>
  <r>
    <x v="3"/>
  </r>
  <r>
    <x v="4"/>
  </r>
  <r>
    <x v="0"/>
  </r>
  <r>
    <x v="1"/>
  </r>
  <r>
    <x v="0"/>
  </r>
  <r>
    <x v="0"/>
  </r>
  <r>
    <x v="2"/>
  </r>
  <r>
    <x v="0"/>
  </r>
  <r>
    <x v="3"/>
  </r>
  <r>
    <x v="1"/>
  </r>
  <r>
    <x v="4"/>
  </r>
  <r>
    <x v="0"/>
  </r>
  <r>
    <x v="0"/>
  </r>
  <r>
    <x v="2"/>
  </r>
  <r>
    <x v="1"/>
  </r>
  <r>
    <x v="1"/>
  </r>
  <r>
    <x v="0"/>
  </r>
  <r>
    <x v="0"/>
  </r>
  <r>
    <x v="2"/>
  </r>
  <r>
    <x v="3"/>
  </r>
  <r>
    <x v="1"/>
  </r>
  <r>
    <x v="4"/>
  </r>
  <r>
    <x v="4"/>
  </r>
  <r>
    <x v="3"/>
  </r>
  <r>
    <x v="3"/>
  </r>
  <r>
    <x v="4"/>
  </r>
  <r>
    <x v="0"/>
  </r>
  <r>
    <x v="1"/>
  </r>
  <r>
    <x v="0"/>
  </r>
  <r>
    <x v="0"/>
  </r>
  <r>
    <x v="4"/>
  </r>
  <r>
    <x v="4"/>
  </r>
  <r>
    <x v="4"/>
  </r>
  <r>
    <x v="0"/>
  </r>
  <r>
    <x v="4"/>
  </r>
  <r>
    <x v="1"/>
  </r>
  <r>
    <x v="1"/>
  </r>
  <r>
    <x v="1"/>
  </r>
  <r>
    <x v="2"/>
  </r>
  <r>
    <x v="1"/>
  </r>
  <r>
    <x v="2"/>
  </r>
  <r>
    <x v="1"/>
  </r>
  <r>
    <x v="0"/>
  </r>
  <r>
    <x v="3"/>
  </r>
  <r>
    <x v="0"/>
  </r>
  <r>
    <x v="1"/>
  </r>
  <r>
    <x v="1"/>
  </r>
  <r>
    <x v="3"/>
  </r>
  <r>
    <x v="0"/>
  </r>
  <r>
    <x v="0"/>
  </r>
  <r>
    <x v="0"/>
  </r>
  <r>
    <x v="0"/>
  </r>
  <r>
    <x v="1"/>
  </r>
  <r>
    <x v="4"/>
  </r>
  <r>
    <x v="4"/>
  </r>
  <r>
    <x v="1"/>
  </r>
  <r>
    <x v="2"/>
  </r>
  <r>
    <x v="2"/>
  </r>
  <r>
    <x v="3"/>
  </r>
  <r>
    <x v="1"/>
  </r>
  <r>
    <x v="1"/>
  </r>
  <r>
    <x v="2"/>
  </r>
  <r>
    <x v="1"/>
  </r>
  <r>
    <x v="1"/>
  </r>
  <r>
    <x v="2"/>
  </r>
  <r>
    <x v="1"/>
  </r>
  <r>
    <x v="0"/>
  </r>
  <r>
    <x v="0"/>
  </r>
  <r>
    <x v="2"/>
  </r>
  <r>
    <x v="1"/>
  </r>
  <r>
    <x v="2"/>
  </r>
  <r>
    <x v="4"/>
  </r>
  <r>
    <x v="0"/>
  </r>
  <r>
    <x v="1"/>
  </r>
  <r>
    <x v="1"/>
  </r>
  <r>
    <x v="4"/>
  </r>
  <r>
    <x v="0"/>
  </r>
  <r>
    <x v="3"/>
  </r>
  <r>
    <x v="0"/>
  </r>
  <r>
    <x v="0"/>
  </r>
  <r>
    <x v="0"/>
  </r>
  <r>
    <x v="2"/>
  </r>
  <r>
    <x v="0"/>
  </r>
  <r>
    <x v="1"/>
  </r>
  <r>
    <x v="2"/>
  </r>
  <r>
    <x v="4"/>
  </r>
  <r>
    <x v="4"/>
  </r>
  <r>
    <x v="4"/>
  </r>
  <r>
    <x v="4"/>
  </r>
  <r>
    <x v="1"/>
  </r>
  <r>
    <x v="1"/>
  </r>
  <r>
    <x v="2"/>
  </r>
  <r>
    <x v="1"/>
  </r>
  <r>
    <x v="4"/>
  </r>
  <r>
    <x v="1"/>
  </r>
  <r>
    <x v="0"/>
  </r>
  <r>
    <x v="1"/>
  </r>
  <r>
    <x v="0"/>
  </r>
  <r>
    <x v="4"/>
  </r>
  <r>
    <x v="1"/>
  </r>
  <r>
    <x v="0"/>
  </r>
  <r>
    <x v="3"/>
  </r>
  <r>
    <x v="0"/>
  </r>
  <r>
    <x v="2"/>
  </r>
  <r>
    <x v="3"/>
  </r>
  <r>
    <x v="3"/>
  </r>
  <r>
    <x v="2"/>
  </r>
  <r>
    <x v="1"/>
  </r>
  <r>
    <x v="3"/>
  </r>
  <r>
    <x v="2"/>
  </r>
  <r>
    <x v="2"/>
  </r>
  <r>
    <x v="1"/>
  </r>
  <r>
    <x v="3"/>
  </r>
  <r>
    <x v="2"/>
  </r>
  <r>
    <x v="2"/>
  </r>
  <r>
    <x v="1"/>
  </r>
  <r>
    <x v="1"/>
  </r>
  <r>
    <x v="3"/>
  </r>
  <r>
    <x v="0"/>
  </r>
  <r>
    <x v="0"/>
  </r>
  <r>
    <x v="2"/>
  </r>
  <r>
    <x v="1"/>
  </r>
  <r>
    <x v="0"/>
  </r>
  <r>
    <x v="0"/>
  </r>
  <r>
    <x v="0"/>
  </r>
  <r>
    <x v="1"/>
  </r>
  <r>
    <x v="1"/>
  </r>
  <r>
    <x v="1"/>
  </r>
  <r>
    <x v="4"/>
  </r>
  <r>
    <x v="3"/>
  </r>
  <r>
    <x v="0"/>
  </r>
  <r>
    <x v="1"/>
  </r>
  <r>
    <x v="1"/>
  </r>
  <r>
    <x v="2"/>
  </r>
  <r>
    <x v="3"/>
  </r>
  <r>
    <x v="0"/>
  </r>
  <r>
    <x v="1"/>
  </r>
  <r>
    <x v="4"/>
  </r>
  <r>
    <x v="2"/>
  </r>
  <r>
    <x v="0"/>
  </r>
  <r>
    <x v="4"/>
  </r>
  <r>
    <x v="4"/>
  </r>
  <r>
    <x v="3"/>
  </r>
  <r>
    <x v="1"/>
  </r>
  <r>
    <x v="3"/>
  </r>
  <r>
    <x v="0"/>
  </r>
  <r>
    <x v="4"/>
  </r>
  <r>
    <x v="0"/>
  </r>
  <r>
    <x v="0"/>
  </r>
  <r>
    <x v="4"/>
  </r>
  <r>
    <x v="0"/>
  </r>
  <r>
    <x v="1"/>
  </r>
  <r>
    <x v="0"/>
  </r>
  <r>
    <x v="0"/>
  </r>
  <r>
    <x v="1"/>
  </r>
  <r>
    <x v="3"/>
  </r>
  <r>
    <x v="1"/>
  </r>
  <r>
    <x v="0"/>
  </r>
  <r>
    <x v="1"/>
  </r>
  <r>
    <x v="0"/>
  </r>
  <r>
    <x v="1"/>
  </r>
  <r>
    <x v="0"/>
  </r>
  <r>
    <x v="1"/>
  </r>
  <r>
    <x v="1"/>
  </r>
  <r>
    <x v="2"/>
  </r>
  <r>
    <x v="4"/>
  </r>
  <r>
    <x v="0"/>
  </r>
  <r>
    <x v="1"/>
  </r>
  <r>
    <x v="2"/>
  </r>
  <r>
    <x v="1"/>
  </r>
  <r>
    <x v="3"/>
  </r>
  <r>
    <x v="0"/>
  </r>
  <r>
    <x v="0"/>
  </r>
  <r>
    <x v="4"/>
  </r>
  <r>
    <x v="2"/>
  </r>
  <r>
    <x v="0"/>
  </r>
  <r>
    <x v="0"/>
  </r>
  <r>
    <x v="0"/>
  </r>
  <r>
    <x v="3"/>
  </r>
  <r>
    <x v="4"/>
  </r>
  <r>
    <x v="1"/>
  </r>
  <r>
    <x v="1"/>
  </r>
  <r>
    <x v="1"/>
  </r>
  <r>
    <x v="1"/>
  </r>
  <r>
    <x v="1"/>
  </r>
  <r>
    <x v="4"/>
  </r>
  <r>
    <x v="1"/>
  </r>
  <r>
    <x v="0"/>
  </r>
  <r>
    <x v="4"/>
  </r>
  <r>
    <x v="1"/>
  </r>
  <r>
    <x v="1"/>
  </r>
  <r>
    <x v="1"/>
  </r>
  <r>
    <x v="1"/>
  </r>
  <r>
    <x v="2"/>
  </r>
  <r>
    <x v="4"/>
  </r>
  <r>
    <x v="1"/>
  </r>
  <r>
    <x v="0"/>
  </r>
  <r>
    <x v="1"/>
  </r>
  <r>
    <x v="0"/>
  </r>
  <r>
    <x v="0"/>
  </r>
  <r>
    <x v="0"/>
  </r>
  <r>
    <x v="1"/>
  </r>
  <r>
    <x v="1"/>
  </r>
  <r>
    <x v="4"/>
  </r>
  <r>
    <x v="2"/>
  </r>
  <r>
    <x v="3"/>
  </r>
  <r>
    <x v="1"/>
  </r>
  <r>
    <x v="4"/>
  </r>
  <r>
    <x v="4"/>
  </r>
  <r>
    <x v="3"/>
  </r>
  <r>
    <x v="1"/>
  </r>
  <r>
    <x v="4"/>
  </r>
  <r>
    <x v="1"/>
  </r>
  <r>
    <x v="4"/>
  </r>
  <r>
    <x v="0"/>
  </r>
  <r>
    <x v="2"/>
  </r>
  <r>
    <x v="2"/>
  </r>
  <r>
    <x v="0"/>
  </r>
  <r>
    <x v="0"/>
  </r>
  <r>
    <x v="1"/>
  </r>
  <r>
    <x v="0"/>
  </r>
  <r>
    <x v="0"/>
  </r>
  <r>
    <x v="1"/>
  </r>
  <r>
    <x v="2"/>
  </r>
  <r>
    <x v="1"/>
  </r>
  <r>
    <x v="4"/>
  </r>
  <r>
    <x v="2"/>
  </r>
  <r>
    <x v="3"/>
  </r>
  <r>
    <x v="2"/>
  </r>
  <r>
    <x v="1"/>
  </r>
  <r>
    <x v="2"/>
  </r>
  <r>
    <x v="1"/>
  </r>
  <r>
    <x v="3"/>
  </r>
  <r>
    <x v="4"/>
  </r>
  <r>
    <x v="2"/>
  </r>
  <r>
    <x v="1"/>
  </r>
  <r>
    <x v="0"/>
  </r>
  <r>
    <x v="2"/>
  </r>
  <r>
    <x v="2"/>
  </r>
  <r>
    <x v="1"/>
  </r>
  <r>
    <x v="3"/>
  </r>
  <r>
    <x v="1"/>
  </r>
  <r>
    <x v="4"/>
  </r>
  <r>
    <x v="4"/>
  </r>
  <r>
    <x v="1"/>
  </r>
  <r>
    <x v="1"/>
  </r>
  <r>
    <x v="2"/>
  </r>
  <r>
    <x v="0"/>
  </r>
  <r>
    <x v="1"/>
  </r>
  <r>
    <x v="2"/>
  </r>
  <r>
    <x v="2"/>
  </r>
  <r>
    <x v="0"/>
  </r>
  <r>
    <x v="1"/>
  </r>
  <r>
    <x v="1"/>
  </r>
  <r>
    <x v="4"/>
  </r>
  <r>
    <x v="0"/>
  </r>
  <r>
    <x v="4"/>
  </r>
  <r>
    <x v="2"/>
  </r>
  <r>
    <x v="0"/>
  </r>
  <r>
    <x v="1"/>
  </r>
  <r>
    <x v="3"/>
  </r>
  <r>
    <x v="0"/>
  </r>
  <r>
    <x v="4"/>
  </r>
  <r>
    <x v="3"/>
  </r>
  <r>
    <x v="3"/>
  </r>
  <r>
    <x v="0"/>
  </r>
  <r>
    <x v="1"/>
  </r>
  <r>
    <x v="3"/>
  </r>
  <r>
    <x v="4"/>
  </r>
  <r>
    <x v="0"/>
  </r>
  <r>
    <x v="0"/>
  </r>
  <r>
    <x v="0"/>
  </r>
  <r>
    <x v="2"/>
  </r>
  <r>
    <x v="0"/>
  </r>
  <r>
    <x v="2"/>
  </r>
  <r>
    <x v="2"/>
  </r>
  <r>
    <x v="2"/>
  </r>
  <r>
    <x v="4"/>
  </r>
  <r>
    <x v="2"/>
  </r>
  <r>
    <x v="0"/>
  </r>
  <r>
    <x v="1"/>
  </r>
  <r>
    <x v="2"/>
  </r>
  <r>
    <x v="0"/>
  </r>
  <r>
    <x v="1"/>
  </r>
  <r>
    <x v="1"/>
  </r>
  <r>
    <x v="1"/>
  </r>
  <r>
    <x v="2"/>
  </r>
  <r>
    <x v="4"/>
  </r>
  <r>
    <x v="1"/>
  </r>
  <r>
    <x v="2"/>
  </r>
  <r>
    <x v="1"/>
  </r>
  <r>
    <x v="2"/>
  </r>
  <r>
    <x v="0"/>
  </r>
  <r>
    <x v="4"/>
  </r>
  <r>
    <x v="0"/>
  </r>
  <r>
    <x v="0"/>
  </r>
  <r>
    <x v="2"/>
  </r>
  <r>
    <x v="1"/>
  </r>
  <r>
    <x v="3"/>
  </r>
  <r>
    <x v="4"/>
  </r>
  <r>
    <x v="0"/>
  </r>
  <r>
    <x v="4"/>
  </r>
  <r>
    <x v="1"/>
  </r>
  <r>
    <x v="0"/>
  </r>
  <r>
    <x v="3"/>
  </r>
  <r>
    <x v="1"/>
  </r>
  <r>
    <x v="4"/>
  </r>
  <r>
    <x v="0"/>
  </r>
  <r>
    <x v="4"/>
  </r>
  <r>
    <x v="1"/>
  </r>
  <r>
    <x v="0"/>
  </r>
  <r>
    <x v="3"/>
  </r>
  <r>
    <x v="1"/>
  </r>
  <r>
    <x v="4"/>
  </r>
  <r>
    <x v="0"/>
  </r>
  <r>
    <x v="0"/>
  </r>
  <r>
    <x v="4"/>
  </r>
  <r>
    <x v="0"/>
  </r>
  <r>
    <x v="1"/>
  </r>
  <r>
    <x v="3"/>
  </r>
  <r>
    <x v="2"/>
  </r>
  <r>
    <x v="1"/>
  </r>
  <r>
    <x v="0"/>
  </r>
  <r>
    <x v="2"/>
  </r>
  <r>
    <x v="3"/>
  </r>
  <r>
    <x v="3"/>
  </r>
  <r>
    <x v="2"/>
  </r>
  <r>
    <x v="1"/>
  </r>
  <r>
    <x v="3"/>
  </r>
  <r>
    <x v="2"/>
  </r>
  <r>
    <x v="0"/>
  </r>
  <r>
    <x v="0"/>
  </r>
  <r>
    <x v="0"/>
  </r>
  <r>
    <x v="4"/>
  </r>
  <r>
    <x v="1"/>
  </r>
  <r>
    <x v="1"/>
  </r>
  <r>
    <x v="1"/>
  </r>
  <r>
    <x v="0"/>
  </r>
  <r>
    <x v="1"/>
  </r>
  <r>
    <x v="2"/>
  </r>
  <r>
    <x v="1"/>
  </r>
  <r>
    <x v="3"/>
  </r>
  <r>
    <x v="2"/>
  </r>
  <r>
    <x v="3"/>
  </r>
  <r>
    <x v="4"/>
  </r>
  <r>
    <x v="1"/>
  </r>
  <r>
    <x v="0"/>
  </r>
  <r>
    <x v="1"/>
  </r>
  <r>
    <x v="3"/>
  </r>
  <r>
    <x v="1"/>
  </r>
  <r>
    <x v="0"/>
  </r>
  <r>
    <x v="2"/>
  </r>
  <r>
    <x v="3"/>
  </r>
  <r>
    <x v="2"/>
  </r>
  <r>
    <x v="4"/>
  </r>
  <r>
    <x v="0"/>
  </r>
  <r>
    <x v="4"/>
  </r>
  <r>
    <x v="1"/>
  </r>
  <r>
    <x v="2"/>
  </r>
  <r>
    <x v="0"/>
  </r>
  <r>
    <x v="1"/>
  </r>
  <r>
    <x v="3"/>
  </r>
  <r>
    <x v="0"/>
  </r>
  <r>
    <x v="2"/>
  </r>
  <r>
    <x v="2"/>
  </r>
  <r>
    <x v="2"/>
  </r>
  <r>
    <x v="1"/>
  </r>
  <r>
    <x v="1"/>
  </r>
  <r>
    <x v="2"/>
  </r>
  <r>
    <x v="2"/>
  </r>
  <r>
    <x v="0"/>
  </r>
  <r>
    <x v="0"/>
  </r>
  <r>
    <x v="1"/>
  </r>
  <r>
    <x v="3"/>
  </r>
  <r>
    <x v="1"/>
  </r>
  <r>
    <x v="1"/>
  </r>
  <r>
    <x v="4"/>
  </r>
  <r>
    <x v="1"/>
  </r>
  <r>
    <x v="3"/>
  </r>
  <r>
    <x v="1"/>
  </r>
  <r>
    <x v="1"/>
  </r>
  <r>
    <x v="0"/>
  </r>
  <r>
    <x v="0"/>
  </r>
  <r>
    <x v="1"/>
  </r>
  <r>
    <x v="0"/>
  </r>
  <r>
    <x v="0"/>
  </r>
  <r>
    <x v="2"/>
  </r>
  <r>
    <x v="1"/>
  </r>
  <r>
    <x v="3"/>
  </r>
  <r>
    <x v="4"/>
  </r>
  <r>
    <x v="1"/>
  </r>
  <r>
    <x v="1"/>
  </r>
  <r>
    <x v="0"/>
  </r>
  <r>
    <x v="1"/>
  </r>
  <r>
    <x v="1"/>
  </r>
  <r>
    <x v="1"/>
  </r>
  <r>
    <x v="4"/>
  </r>
  <r>
    <x v="0"/>
  </r>
  <r>
    <x v="1"/>
  </r>
  <r>
    <x v="0"/>
  </r>
  <r>
    <x v="2"/>
  </r>
  <r>
    <x v="1"/>
  </r>
  <r>
    <x v="2"/>
  </r>
  <r>
    <x v="0"/>
  </r>
  <r>
    <x v="3"/>
  </r>
  <r>
    <x v="1"/>
  </r>
  <r>
    <x v="3"/>
  </r>
  <r>
    <x v="4"/>
  </r>
  <r>
    <x v="0"/>
  </r>
  <r>
    <x v="0"/>
  </r>
  <r>
    <x v="1"/>
  </r>
  <r>
    <x v="3"/>
  </r>
  <r>
    <x v="4"/>
  </r>
  <r>
    <x v="1"/>
  </r>
  <r>
    <x v="1"/>
  </r>
  <r>
    <x v="1"/>
  </r>
  <r>
    <x v="4"/>
  </r>
  <r>
    <x v="4"/>
  </r>
  <r>
    <x v="0"/>
  </r>
  <r>
    <x v="1"/>
  </r>
  <r>
    <x v="0"/>
  </r>
  <r>
    <x v="0"/>
  </r>
  <r>
    <x v="1"/>
  </r>
  <r>
    <x v="1"/>
  </r>
  <r>
    <x v="1"/>
  </r>
  <r>
    <x v="3"/>
  </r>
  <r>
    <x v="4"/>
  </r>
  <r>
    <x v="3"/>
  </r>
  <r>
    <x v="1"/>
  </r>
  <r>
    <x v="2"/>
  </r>
  <r>
    <x v="4"/>
  </r>
  <r>
    <x v="0"/>
  </r>
  <r>
    <x v="1"/>
  </r>
  <r>
    <x v="4"/>
  </r>
  <r>
    <x v="3"/>
  </r>
  <r>
    <x v="1"/>
  </r>
  <r>
    <x v="1"/>
  </r>
  <r>
    <x v="4"/>
  </r>
  <r>
    <x v="3"/>
  </r>
  <r>
    <x v="4"/>
  </r>
  <r>
    <x v="1"/>
  </r>
  <r>
    <x v="0"/>
  </r>
  <r>
    <x v="0"/>
  </r>
  <r>
    <x v="2"/>
  </r>
  <r>
    <x v="2"/>
  </r>
  <r>
    <x v="0"/>
  </r>
  <r>
    <x v="1"/>
  </r>
  <r>
    <x v="3"/>
  </r>
  <r>
    <x v="4"/>
  </r>
  <r>
    <x v="3"/>
  </r>
  <r>
    <x v="0"/>
  </r>
  <r>
    <x v="2"/>
  </r>
  <r>
    <x v="2"/>
  </r>
  <r>
    <x v="1"/>
  </r>
  <r>
    <x v="3"/>
  </r>
  <r>
    <x v="1"/>
  </r>
  <r>
    <x v="2"/>
  </r>
  <r>
    <x v="3"/>
  </r>
  <r>
    <x v="1"/>
  </r>
  <r>
    <x v="4"/>
  </r>
  <r>
    <x v="0"/>
  </r>
  <r>
    <x v="2"/>
  </r>
  <r>
    <x v="2"/>
  </r>
  <r>
    <x v="4"/>
  </r>
  <r>
    <x v="2"/>
  </r>
  <r>
    <x v="1"/>
  </r>
  <r>
    <x v="1"/>
  </r>
  <r>
    <x v="0"/>
  </r>
  <r>
    <x v="4"/>
  </r>
  <r>
    <x v="1"/>
  </r>
  <r>
    <x v="4"/>
  </r>
  <r>
    <x v="0"/>
  </r>
  <r>
    <x v="2"/>
  </r>
  <r>
    <x v="1"/>
  </r>
  <r>
    <x v="4"/>
  </r>
  <r>
    <x v="4"/>
  </r>
  <r>
    <x v="3"/>
  </r>
  <r>
    <x v="4"/>
  </r>
  <r>
    <x v="2"/>
  </r>
  <r>
    <x v="3"/>
  </r>
  <r>
    <x v="4"/>
  </r>
  <r>
    <x v="1"/>
  </r>
  <r>
    <x v="2"/>
  </r>
  <r>
    <x v="4"/>
  </r>
  <r>
    <x v="0"/>
  </r>
  <r>
    <x v="4"/>
  </r>
  <r>
    <x v="2"/>
  </r>
  <r>
    <x v="3"/>
  </r>
  <r>
    <x v="3"/>
  </r>
  <r>
    <x v="1"/>
  </r>
  <r>
    <x v="0"/>
  </r>
  <r>
    <x v="1"/>
  </r>
  <r>
    <x v="1"/>
  </r>
  <r>
    <x v="2"/>
  </r>
  <r>
    <x v="0"/>
  </r>
  <r>
    <x v="4"/>
  </r>
  <r>
    <x v="4"/>
  </r>
  <r>
    <x v="2"/>
  </r>
  <r>
    <x v="1"/>
  </r>
  <r>
    <x v="1"/>
  </r>
  <r>
    <x v="0"/>
  </r>
  <r>
    <x v="0"/>
  </r>
  <r>
    <x v="3"/>
  </r>
  <r>
    <x v="2"/>
  </r>
  <r>
    <x v="0"/>
  </r>
  <r>
    <x v="2"/>
  </r>
  <r>
    <x v="0"/>
  </r>
  <r>
    <x v="2"/>
  </r>
  <r>
    <x v="1"/>
  </r>
  <r>
    <x v="2"/>
  </r>
  <r>
    <x v="0"/>
  </r>
  <r>
    <x v="1"/>
  </r>
  <r>
    <x v="1"/>
  </r>
  <r>
    <x v="0"/>
  </r>
  <r>
    <x v="4"/>
  </r>
  <r>
    <x v="1"/>
  </r>
  <r>
    <x v="4"/>
  </r>
  <r>
    <x v="4"/>
  </r>
  <r>
    <x v="4"/>
  </r>
  <r>
    <x v="2"/>
  </r>
  <r>
    <x v="1"/>
  </r>
  <r>
    <x v="0"/>
  </r>
  <r>
    <x v="3"/>
  </r>
  <r>
    <x v="4"/>
  </r>
  <r>
    <x v="4"/>
  </r>
  <r>
    <x v="4"/>
  </r>
  <r>
    <x v="1"/>
  </r>
  <r>
    <x v="4"/>
  </r>
  <r>
    <x v="3"/>
  </r>
  <r>
    <x v="1"/>
  </r>
  <r>
    <x v="2"/>
  </r>
  <r>
    <x v="1"/>
  </r>
  <r>
    <x v="0"/>
  </r>
  <r>
    <x v="2"/>
  </r>
  <r>
    <x v="2"/>
  </r>
  <r>
    <x v="2"/>
  </r>
  <r>
    <x v="3"/>
  </r>
  <r>
    <x v="0"/>
  </r>
  <r>
    <x v="4"/>
  </r>
  <r>
    <x v="0"/>
  </r>
  <r>
    <x v="0"/>
  </r>
  <r>
    <x v="0"/>
  </r>
  <r>
    <x v="4"/>
  </r>
  <r>
    <x v="0"/>
  </r>
  <r>
    <x v="2"/>
  </r>
  <r>
    <x v="4"/>
  </r>
  <r>
    <x v="1"/>
  </r>
  <r>
    <x v="4"/>
  </r>
  <r>
    <x v="0"/>
  </r>
  <r>
    <x v="0"/>
  </r>
  <r>
    <x v="2"/>
  </r>
  <r>
    <x v="0"/>
  </r>
  <r>
    <x v="2"/>
  </r>
  <r>
    <x v="4"/>
  </r>
  <r>
    <x v="0"/>
  </r>
  <r>
    <x v="2"/>
  </r>
  <r>
    <x v="1"/>
  </r>
  <r>
    <x v="1"/>
  </r>
  <r>
    <x v="1"/>
  </r>
  <r>
    <x v="0"/>
  </r>
  <r>
    <x v="1"/>
  </r>
  <r>
    <x v="3"/>
  </r>
  <r>
    <x v="0"/>
  </r>
  <r>
    <x v="4"/>
  </r>
  <r>
    <x v="1"/>
  </r>
  <r>
    <x v="1"/>
  </r>
  <r>
    <x v="1"/>
  </r>
  <r>
    <x v="4"/>
  </r>
  <r>
    <x v="0"/>
  </r>
  <r>
    <x v="0"/>
  </r>
  <r>
    <x v="4"/>
  </r>
  <r>
    <x v="2"/>
  </r>
  <r>
    <x v="1"/>
  </r>
  <r>
    <x v="2"/>
  </r>
  <r>
    <x v="0"/>
  </r>
  <r>
    <x v="4"/>
  </r>
  <r>
    <x v="1"/>
  </r>
  <r>
    <x v="0"/>
  </r>
  <r>
    <x v="1"/>
  </r>
  <r>
    <x v="3"/>
  </r>
  <r>
    <x v="0"/>
  </r>
  <r>
    <x v="3"/>
  </r>
  <r>
    <x v="0"/>
  </r>
  <r>
    <x v="1"/>
  </r>
  <r>
    <x v="0"/>
  </r>
  <r>
    <x v="1"/>
  </r>
  <r>
    <x v="3"/>
  </r>
  <r>
    <x v="2"/>
  </r>
  <r>
    <x v="4"/>
  </r>
  <r>
    <x v="4"/>
  </r>
  <r>
    <x v="0"/>
  </r>
  <r>
    <x v="3"/>
  </r>
  <r>
    <x v="1"/>
  </r>
  <r>
    <x v="2"/>
  </r>
  <r>
    <x v="0"/>
  </r>
  <r>
    <x v="3"/>
  </r>
  <r>
    <x v="2"/>
  </r>
  <r>
    <x v="3"/>
  </r>
  <r>
    <x v="0"/>
  </r>
  <r>
    <x v="1"/>
  </r>
  <r>
    <x v="0"/>
  </r>
  <r>
    <x v="4"/>
  </r>
  <r>
    <x v="2"/>
  </r>
  <r>
    <x v="1"/>
  </r>
  <r>
    <x v="0"/>
  </r>
  <r>
    <x v="1"/>
  </r>
  <r>
    <x v="2"/>
  </r>
  <r>
    <x v="1"/>
  </r>
  <r>
    <x v="4"/>
  </r>
  <r>
    <x v="1"/>
  </r>
  <r>
    <x v="0"/>
  </r>
  <r>
    <x v="3"/>
  </r>
  <r>
    <x v="1"/>
  </r>
  <r>
    <x v="1"/>
  </r>
  <r>
    <x v="1"/>
  </r>
  <r>
    <x v="0"/>
  </r>
  <r>
    <x v="4"/>
  </r>
  <r>
    <x v="1"/>
  </r>
  <r>
    <x v="4"/>
  </r>
  <r>
    <x v="1"/>
  </r>
  <r>
    <x v="2"/>
  </r>
  <r>
    <x v="2"/>
  </r>
  <r>
    <x v="3"/>
  </r>
  <r>
    <x v="3"/>
  </r>
  <r>
    <x v="0"/>
  </r>
  <r>
    <x v="0"/>
  </r>
  <r>
    <x v="4"/>
  </r>
  <r>
    <x v="1"/>
  </r>
  <r>
    <x v="1"/>
  </r>
  <r>
    <x v="1"/>
  </r>
  <r>
    <x v="0"/>
  </r>
  <r>
    <x v="0"/>
  </r>
  <r>
    <x v="1"/>
  </r>
  <r>
    <x v="1"/>
  </r>
  <r>
    <x v="4"/>
  </r>
  <r>
    <x v="1"/>
  </r>
  <r>
    <x v="3"/>
  </r>
  <r>
    <x v="1"/>
  </r>
  <r>
    <x v="4"/>
  </r>
  <r>
    <x v="0"/>
  </r>
  <r>
    <x v="1"/>
  </r>
  <r>
    <x v="0"/>
  </r>
  <r>
    <x v="0"/>
  </r>
  <r>
    <x v="2"/>
  </r>
  <r>
    <x v="4"/>
  </r>
  <r>
    <x v="1"/>
  </r>
  <r>
    <x v="1"/>
  </r>
  <r>
    <x v="1"/>
  </r>
  <r>
    <x v="1"/>
  </r>
  <r>
    <x v="0"/>
  </r>
  <r>
    <x v="3"/>
  </r>
  <r>
    <x v="0"/>
  </r>
  <r>
    <x v="4"/>
  </r>
  <r>
    <x v="4"/>
  </r>
  <r>
    <x v="2"/>
  </r>
  <r>
    <x v="1"/>
  </r>
  <r>
    <x v="2"/>
  </r>
  <r>
    <x v="2"/>
  </r>
  <r>
    <x v="1"/>
  </r>
  <r>
    <x v="0"/>
  </r>
  <r>
    <x v="3"/>
  </r>
  <r>
    <x v="2"/>
  </r>
  <r>
    <x v="1"/>
  </r>
  <r>
    <x v="0"/>
  </r>
  <r>
    <x v="0"/>
  </r>
  <r>
    <x v="0"/>
  </r>
  <r>
    <x v="0"/>
  </r>
  <r>
    <x v="1"/>
  </r>
  <r>
    <x v="4"/>
  </r>
  <r>
    <x v="2"/>
  </r>
  <r>
    <x v="2"/>
  </r>
  <r>
    <x v="1"/>
  </r>
  <r>
    <x v="2"/>
  </r>
  <r>
    <x v="1"/>
  </r>
  <r>
    <x v="0"/>
  </r>
  <r>
    <x v="3"/>
  </r>
  <r>
    <x v="0"/>
  </r>
  <r>
    <x v="1"/>
  </r>
  <r>
    <x v="1"/>
  </r>
  <r>
    <x v="0"/>
  </r>
  <r>
    <x v="2"/>
  </r>
  <r>
    <x v="3"/>
  </r>
  <r>
    <x v="2"/>
  </r>
  <r>
    <x v="2"/>
  </r>
  <r>
    <x v="4"/>
  </r>
  <r>
    <x v="2"/>
  </r>
  <r>
    <x v="1"/>
  </r>
  <r>
    <x v="3"/>
  </r>
  <r>
    <x v="0"/>
  </r>
  <r>
    <x v="3"/>
  </r>
  <r>
    <x v="1"/>
  </r>
  <r>
    <x v="4"/>
  </r>
  <r>
    <x v="4"/>
  </r>
  <r>
    <x v="3"/>
  </r>
  <r>
    <x v="2"/>
  </r>
  <r>
    <x v="0"/>
  </r>
  <r>
    <x v="0"/>
  </r>
  <r>
    <x v="0"/>
  </r>
  <r>
    <x v="1"/>
  </r>
  <r>
    <x v="1"/>
  </r>
  <r>
    <x v="1"/>
  </r>
  <r>
    <x v="0"/>
  </r>
  <r>
    <x v="3"/>
  </r>
  <r>
    <x v="3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4"/>
  </r>
  <r>
    <x v="2"/>
  </r>
  <r>
    <x v="0"/>
  </r>
  <r>
    <x v="1"/>
  </r>
  <r>
    <x v="1"/>
  </r>
  <r>
    <x v="1"/>
  </r>
  <r>
    <x v="0"/>
  </r>
  <r>
    <x v="1"/>
  </r>
  <r>
    <x v="0"/>
  </r>
  <r>
    <x v="1"/>
  </r>
  <r>
    <x v="4"/>
  </r>
  <r>
    <x v="1"/>
  </r>
  <r>
    <x v="0"/>
  </r>
  <r>
    <x v="1"/>
  </r>
  <r>
    <x v="1"/>
  </r>
  <r>
    <x v="2"/>
  </r>
  <r>
    <x v="4"/>
  </r>
  <r>
    <x v="1"/>
  </r>
  <r>
    <x v="4"/>
  </r>
  <r>
    <x v="4"/>
  </r>
  <r>
    <x v="0"/>
  </r>
  <r>
    <x v="0"/>
  </r>
  <r>
    <x v="2"/>
  </r>
  <r>
    <x v="1"/>
  </r>
  <r>
    <x v="0"/>
  </r>
  <r>
    <x v="1"/>
  </r>
  <r>
    <x v="2"/>
  </r>
  <r>
    <x v="3"/>
  </r>
  <r>
    <x v="2"/>
  </r>
  <r>
    <x v="2"/>
  </r>
  <r>
    <x v="3"/>
  </r>
  <r>
    <x v="4"/>
  </r>
  <r>
    <x v="2"/>
  </r>
  <r>
    <x v="3"/>
  </r>
  <r>
    <x v="1"/>
  </r>
  <r>
    <x v="4"/>
  </r>
  <r>
    <x v="4"/>
  </r>
  <r>
    <x v="3"/>
  </r>
  <r>
    <x v="2"/>
  </r>
  <r>
    <x v="2"/>
  </r>
  <r>
    <x v="3"/>
  </r>
  <r>
    <x v="0"/>
  </r>
  <r>
    <x v="1"/>
  </r>
  <r>
    <x v="1"/>
  </r>
  <r>
    <x v="0"/>
  </r>
  <r>
    <x v="0"/>
  </r>
  <r>
    <x v="0"/>
  </r>
  <r>
    <x v="0"/>
  </r>
  <r>
    <x v="3"/>
  </r>
  <r>
    <x v="0"/>
  </r>
  <r>
    <x v="2"/>
  </r>
  <r>
    <x v="3"/>
  </r>
  <r>
    <x v="0"/>
  </r>
  <r>
    <x v="0"/>
  </r>
  <r>
    <x v="2"/>
  </r>
  <r>
    <x v="4"/>
  </r>
  <r>
    <x v="1"/>
  </r>
  <r>
    <x v="1"/>
  </r>
  <r>
    <x v="1"/>
  </r>
  <r>
    <x v="1"/>
  </r>
  <r>
    <x v="1"/>
  </r>
  <r>
    <x v="1"/>
  </r>
  <r>
    <x v="4"/>
  </r>
  <r>
    <x v="3"/>
  </r>
  <r>
    <x v="4"/>
  </r>
  <r>
    <x v="3"/>
  </r>
  <r>
    <x v="2"/>
  </r>
  <r>
    <x v="4"/>
  </r>
  <r>
    <x v="0"/>
  </r>
  <r>
    <x v="1"/>
  </r>
  <r>
    <x v="2"/>
  </r>
  <r>
    <x v="3"/>
  </r>
  <r>
    <x v="0"/>
  </r>
  <r>
    <x v="1"/>
  </r>
  <r>
    <x v="2"/>
  </r>
  <r>
    <x v="1"/>
  </r>
  <r>
    <x v="1"/>
  </r>
  <r>
    <x v="2"/>
  </r>
  <r>
    <x v="0"/>
  </r>
  <r>
    <x v="4"/>
  </r>
  <r>
    <x v="3"/>
  </r>
  <r>
    <x v="0"/>
  </r>
  <r>
    <x v="0"/>
  </r>
  <r>
    <x v="1"/>
  </r>
  <r>
    <x v="1"/>
  </r>
  <r>
    <x v="2"/>
  </r>
  <r>
    <x v="0"/>
  </r>
  <r>
    <x v="1"/>
  </r>
  <r>
    <x v="1"/>
  </r>
  <r>
    <x v="0"/>
  </r>
  <r>
    <x v="0"/>
  </r>
  <r>
    <x v="4"/>
  </r>
  <r>
    <x v="0"/>
  </r>
  <r>
    <x v="1"/>
  </r>
  <r>
    <x v="0"/>
  </r>
  <r>
    <x v="3"/>
  </r>
  <r>
    <x v="1"/>
  </r>
  <r>
    <x v="4"/>
  </r>
  <r>
    <x v="4"/>
  </r>
  <r>
    <x v="4"/>
  </r>
  <r>
    <x v="1"/>
  </r>
  <r>
    <x v="3"/>
  </r>
  <r>
    <x v="4"/>
  </r>
  <r>
    <x v="2"/>
  </r>
  <r>
    <x v="1"/>
  </r>
  <r>
    <x v="4"/>
  </r>
  <r>
    <x v="2"/>
  </r>
  <r>
    <x v="0"/>
  </r>
  <r>
    <x v="0"/>
  </r>
  <r>
    <x v="4"/>
  </r>
  <r>
    <x v="1"/>
  </r>
  <r>
    <x v="4"/>
  </r>
  <r>
    <x v="1"/>
  </r>
  <r>
    <x v="1"/>
  </r>
  <r>
    <x v="4"/>
  </r>
  <r>
    <x v="1"/>
  </r>
  <r>
    <x v="3"/>
  </r>
  <r>
    <x v="2"/>
  </r>
  <r>
    <x v="4"/>
  </r>
  <r>
    <x v="2"/>
  </r>
  <r>
    <x v="2"/>
  </r>
  <r>
    <x v="1"/>
  </r>
  <r>
    <x v="2"/>
  </r>
  <r>
    <x v="1"/>
  </r>
  <r>
    <x v="0"/>
  </r>
  <r>
    <x v="0"/>
  </r>
  <r>
    <x v="4"/>
  </r>
  <r>
    <x v="1"/>
  </r>
  <r>
    <x v="1"/>
  </r>
  <r>
    <x v="4"/>
  </r>
  <r>
    <x v="0"/>
  </r>
  <r>
    <x v="2"/>
  </r>
  <r>
    <x v="4"/>
  </r>
  <r>
    <x v="1"/>
  </r>
  <r>
    <x v="1"/>
  </r>
  <r>
    <x v="4"/>
  </r>
  <r>
    <x v="0"/>
  </r>
  <r>
    <x v="1"/>
  </r>
  <r>
    <x v="1"/>
  </r>
  <r>
    <x v="1"/>
  </r>
  <r>
    <x v="1"/>
  </r>
  <r>
    <x v="0"/>
  </r>
  <r>
    <x v="2"/>
  </r>
  <r>
    <x v="0"/>
  </r>
  <r>
    <x v="2"/>
  </r>
  <r>
    <x v="1"/>
  </r>
  <r>
    <x v="0"/>
  </r>
  <r>
    <x v="4"/>
  </r>
  <r>
    <x v="4"/>
  </r>
  <r>
    <x v="4"/>
  </r>
  <r>
    <x v="4"/>
  </r>
  <r>
    <x v="4"/>
  </r>
  <r>
    <x v="1"/>
  </r>
  <r>
    <x v="4"/>
  </r>
  <r>
    <x v="4"/>
  </r>
  <r>
    <x v="3"/>
  </r>
  <r>
    <x v="4"/>
  </r>
  <r>
    <x v="4"/>
  </r>
  <r>
    <x v="0"/>
  </r>
  <r>
    <x v="2"/>
  </r>
  <r>
    <x v="3"/>
  </r>
  <r>
    <x v="2"/>
  </r>
  <r>
    <x v="4"/>
  </r>
  <r>
    <x v="1"/>
  </r>
  <r>
    <x v="4"/>
  </r>
  <r>
    <x v="4"/>
  </r>
  <r>
    <x v="2"/>
  </r>
  <r>
    <x v="1"/>
  </r>
  <r>
    <x v="4"/>
  </r>
  <r>
    <x v="1"/>
  </r>
  <r>
    <x v="2"/>
  </r>
  <r>
    <x v="1"/>
  </r>
  <r>
    <x v="4"/>
  </r>
  <r>
    <x v="1"/>
  </r>
  <r>
    <x v="1"/>
  </r>
  <r>
    <x v="4"/>
  </r>
  <r>
    <x v="1"/>
  </r>
  <r>
    <x v="4"/>
  </r>
  <r>
    <x v="3"/>
  </r>
  <r>
    <x v="3"/>
  </r>
  <r>
    <x v="1"/>
  </r>
  <r>
    <x v="2"/>
  </r>
  <r>
    <x v="0"/>
  </r>
  <r>
    <x v="3"/>
  </r>
  <r>
    <x v="2"/>
  </r>
  <r>
    <x v="1"/>
  </r>
  <r>
    <x v="0"/>
  </r>
  <r>
    <x v="1"/>
  </r>
  <r>
    <x v="2"/>
  </r>
  <r>
    <x v="0"/>
  </r>
  <r>
    <x v="4"/>
  </r>
  <r>
    <x v="4"/>
  </r>
  <r>
    <x v="3"/>
  </r>
  <r>
    <x v="3"/>
  </r>
  <r>
    <x v="0"/>
  </r>
  <r>
    <x v="4"/>
  </r>
  <r>
    <x v="2"/>
  </r>
  <r>
    <x v="2"/>
  </r>
  <r>
    <x v="1"/>
  </r>
  <r>
    <x v="1"/>
  </r>
  <r>
    <x v="1"/>
  </r>
  <r>
    <x v="0"/>
  </r>
  <r>
    <x v="1"/>
  </r>
  <r>
    <x v="0"/>
  </r>
  <r>
    <x v="4"/>
  </r>
  <r>
    <x v="0"/>
  </r>
  <r>
    <x v="4"/>
  </r>
  <r>
    <x v="1"/>
  </r>
  <r>
    <x v="2"/>
  </r>
  <r>
    <x v="3"/>
  </r>
  <r>
    <x v="4"/>
  </r>
  <r>
    <x v="2"/>
  </r>
  <r>
    <x v="1"/>
  </r>
  <r>
    <x v="2"/>
  </r>
  <r>
    <x v="1"/>
  </r>
  <r>
    <x v="0"/>
  </r>
  <r>
    <x v="1"/>
  </r>
  <r>
    <x v="0"/>
  </r>
  <r>
    <x v="1"/>
  </r>
  <r>
    <x v="4"/>
  </r>
  <r>
    <x v="0"/>
  </r>
  <r>
    <x v="2"/>
  </r>
  <r>
    <x v="4"/>
  </r>
  <r>
    <x v="1"/>
  </r>
  <r>
    <x v="1"/>
  </r>
  <r>
    <x v="2"/>
  </r>
  <r>
    <x v="0"/>
  </r>
  <r>
    <x v="0"/>
  </r>
  <r>
    <x v="4"/>
  </r>
  <r>
    <x v="0"/>
  </r>
  <r>
    <x v="1"/>
  </r>
  <r>
    <x v="0"/>
  </r>
  <r>
    <x v="1"/>
  </r>
  <r>
    <x v="1"/>
  </r>
  <r>
    <x v="1"/>
  </r>
  <r>
    <x v="1"/>
  </r>
  <r>
    <x v="1"/>
  </r>
  <r>
    <x v="3"/>
  </r>
  <r>
    <x v="0"/>
  </r>
  <r>
    <x v="2"/>
  </r>
  <r>
    <x v="1"/>
  </r>
  <r>
    <x v="1"/>
  </r>
  <r>
    <x v="2"/>
  </r>
  <r>
    <x v="4"/>
  </r>
  <r>
    <x v="1"/>
  </r>
  <r>
    <x v="0"/>
  </r>
  <r>
    <x v="0"/>
  </r>
  <r>
    <x v="2"/>
  </r>
  <r>
    <x v="1"/>
  </r>
  <r>
    <x v="4"/>
  </r>
  <r>
    <x v="4"/>
  </r>
  <r>
    <x v="3"/>
  </r>
  <r>
    <x v="2"/>
  </r>
  <r>
    <x v="1"/>
  </r>
  <r>
    <x v="4"/>
  </r>
  <r>
    <x v="2"/>
  </r>
  <r>
    <x v="4"/>
  </r>
  <r>
    <x v="2"/>
  </r>
  <r>
    <x v="3"/>
  </r>
  <r>
    <x v="1"/>
  </r>
  <r>
    <x v="1"/>
  </r>
  <r>
    <x v="2"/>
  </r>
  <r>
    <x v="1"/>
  </r>
  <r>
    <x v="1"/>
  </r>
  <r>
    <x v="0"/>
  </r>
  <r>
    <x v="2"/>
  </r>
  <r>
    <x v="1"/>
  </r>
  <r>
    <x v="4"/>
  </r>
  <r>
    <x v="1"/>
  </r>
  <r>
    <x v="1"/>
  </r>
  <r>
    <x v="0"/>
  </r>
  <r>
    <x v="1"/>
  </r>
  <r>
    <x v="2"/>
  </r>
  <r>
    <x v="2"/>
  </r>
  <r>
    <x v="2"/>
  </r>
  <r>
    <x v="1"/>
  </r>
  <r>
    <x v="0"/>
  </r>
  <r>
    <x v="1"/>
  </r>
  <r>
    <x v="1"/>
  </r>
  <r>
    <x v="0"/>
  </r>
  <r>
    <x v="4"/>
  </r>
  <r>
    <x v="1"/>
  </r>
  <r>
    <x v="1"/>
  </r>
  <r>
    <x v="3"/>
  </r>
  <r>
    <x v="0"/>
  </r>
  <r>
    <x v="3"/>
  </r>
  <r>
    <x v="3"/>
  </r>
  <r>
    <x v="0"/>
  </r>
  <r>
    <x v="1"/>
  </r>
  <r>
    <x v="2"/>
  </r>
  <r>
    <x v="1"/>
  </r>
  <r>
    <x v="1"/>
  </r>
  <r>
    <x v="2"/>
  </r>
  <r>
    <x v="0"/>
  </r>
  <r>
    <x v="1"/>
  </r>
  <r>
    <x v="4"/>
  </r>
  <r>
    <x v="4"/>
  </r>
  <r>
    <x v="1"/>
  </r>
  <r>
    <x v="1"/>
  </r>
  <r>
    <x v="1"/>
  </r>
  <r>
    <x v="0"/>
  </r>
  <r>
    <x v="2"/>
  </r>
  <r>
    <x v="4"/>
  </r>
  <r>
    <x v="4"/>
  </r>
  <r>
    <x v="1"/>
  </r>
  <r>
    <x v="1"/>
  </r>
  <r>
    <x v="1"/>
  </r>
  <r>
    <x v="1"/>
  </r>
  <r>
    <x v="1"/>
  </r>
  <r>
    <x v="0"/>
  </r>
  <r>
    <x v="1"/>
  </r>
  <r>
    <x v="2"/>
  </r>
  <r>
    <x v="2"/>
  </r>
  <r>
    <x v="0"/>
  </r>
  <r>
    <x v="1"/>
  </r>
  <r>
    <x v="2"/>
  </r>
  <r>
    <x v="3"/>
  </r>
  <r>
    <x v="1"/>
  </r>
  <r>
    <x v="4"/>
  </r>
  <r>
    <x v="2"/>
  </r>
  <r>
    <x v="0"/>
  </r>
  <r>
    <x v="1"/>
  </r>
  <r>
    <x v="0"/>
  </r>
  <r>
    <x v="0"/>
  </r>
  <r>
    <x v="0"/>
  </r>
  <r>
    <x v="3"/>
  </r>
  <r>
    <x v="4"/>
  </r>
  <r>
    <x v="1"/>
  </r>
  <r>
    <x v="0"/>
  </r>
  <r>
    <x v="4"/>
  </r>
  <r>
    <x v="1"/>
  </r>
  <r>
    <x v="0"/>
  </r>
  <r>
    <x v="3"/>
  </r>
  <r>
    <x v="0"/>
  </r>
  <r>
    <x v="1"/>
  </r>
  <r>
    <x v="1"/>
  </r>
  <r>
    <x v="0"/>
  </r>
  <r>
    <x v="0"/>
  </r>
  <r>
    <x v="1"/>
  </r>
  <r>
    <x v="4"/>
  </r>
  <r>
    <x v="1"/>
  </r>
  <r>
    <x v="1"/>
  </r>
  <r>
    <x v="0"/>
  </r>
  <r>
    <x v="1"/>
  </r>
  <r>
    <x v="2"/>
  </r>
  <r>
    <x v="1"/>
  </r>
  <r>
    <x v="4"/>
  </r>
  <r>
    <x v="0"/>
  </r>
  <r>
    <x v="0"/>
  </r>
  <r>
    <x v="2"/>
  </r>
  <r>
    <x v="0"/>
  </r>
  <r>
    <x v="4"/>
  </r>
  <r>
    <x v="0"/>
  </r>
  <r>
    <x v="4"/>
  </r>
  <r>
    <x v="2"/>
  </r>
  <r>
    <x v="4"/>
  </r>
  <r>
    <x v="4"/>
  </r>
  <r>
    <x v="2"/>
  </r>
  <r>
    <x v="3"/>
  </r>
  <r>
    <x v="0"/>
  </r>
  <r>
    <x v="0"/>
  </r>
  <r>
    <x v="1"/>
  </r>
  <r>
    <x v="0"/>
  </r>
  <r>
    <x v="0"/>
  </r>
  <r>
    <x v="2"/>
  </r>
  <r>
    <x v="0"/>
  </r>
  <r>
    <x v="4"/>
  </r>
  <r>
    <x v="1"/>
  </r>
  <r>
    <x v="0"/>
  </r>
  <r>
    <x v="3"/>
  </r>
  <r>
    <x v="1"/>
  </r>
  <r>
    <x v="1"/>
  </r>
  <r>
    <x v="0"/>
  </r>
  <r>
    <x v="4"/>
  </r>
  <r>
    <x v="0"/>
  </r>
  <r>
    <x v="0"/>
  </r>
  <r>
    <x v="4"/>
  </r>
  <r>
    <x v="1"/>
  </r>
  <r>
    <x v="2"/>
  </r>
  <r>
    <x v="1"/>
  </r>
  <r>
    <x v="0"/>
  </r>
  <r>
    <x v="4"/>
  </r>
  <r>
    <x v="2"/>
  </r>
  <r>
    <x v="2"/>
  </r>
  <r>
    <x v="4"/>
  </r>
  <r>
    <x v="0"/>
  </r>
  <r>
    <x v="1"/>
  </r>
  <r>
    <x v="1"/>
  </r>
  <r>
    <x v="2"/>
  </r>
  <r>
    <x v="2"/>
  </r>
  <r>
    <x v="3"/>
  </r>
  <r>
    <x v="1"/>
  </r>
  <r>
    <x v="0"/>
  </r>
  <r>
    <x v="4"/>
  </r>
  <r>
    <x v="4"/>
  </r>
  <r>
    <x v="4"/>
  </r>
  <r>
    <x v="2"/>
  </r>
  <r>
    <x v="0"/>
  </r>
  <r>
    <x v="1"/>
  </r>
  <r>
    <x v="1"/>
  </r>
  <r>
    <x v="1"/>
  </r>
  <r>
    <x v="0"/>
  </r>
  <r>
    <x v="1"/>
  </r>
  <r>
    <x v="1"/>
  </r>
  <r>
    <x v="4"/>
  </r>
  <r>
    <x v="2"/>
  </r>
  <r>
    <x v="2"/>
  </r>
  <r>
    <x v="1"/>
  </r>
  <r>
    <x v="1"/>
  </r>
  <r>
    <x v="1"/>
  </r>
  <r>
    <x v="3"/>
  </r>
  <r>
    <x v="0"/>
  </r>
  <r>
    <x v="1"/>
  </r>
  <r>
    <x v="2"/>
  </r>
  <r>
    <x v="0"/>
  </r>
  <r>
    <x v="2"/>
  </r>
  <r>
    <x v="1"/>
  </r>
  <r>
    <x v="0"/>
  </r>
  <r>
    <x v="0"/>
  </r>
  <r>
    <x v="2"/>
  </r>
  <r>
    <x v="2"/>
  </r>
  <r>
    <x v="0"/>
  </r>
  <r>
    <x v="1"/>
  </r>
  <r>
    <x v="0"/>
  </r>
  <r>
    <x v="3"/>
  </r>
  <r>
    <x v="4"/>
  </r>
  <r>
    <x v="2"/>
  </r>
  <r>
    <x v="0"/>
  </r>
  <r>
    <x v="0"/>
  </r>
  <r>
    <x v="0"/>
  </r>
  <r>
    <x v="4"/>
  </r>
  <r>
    <x v="2"/>
  </r>
  <r>
    <x v="0"/>
  </r>
  <r>
    <x v="0"/>
  </r>
  <r>
    <x v="0"/>
  </r>
  <r>
    <x v="1"/>
  </r>
  <r>
    <x v="3"/>
  </r>
  <r>
    <x v="1"/>
  </r>
  <r>
    <x v="2"/>
  </r>
  <r>
    <x v="4"/>
  </r>
  <r>
    <x v="2"/>
  </r>
  <r>
    <x v="3"/>
  </r>
  <r>
    <x v="4"/>
  </r>
  <r>
    <x v="2"/>
  </r>
  <r>
    <x v="1"/>
  </r>
  <r>
    <x v="4"/>
  </r>
  <r>
    <x v="2"/>
  </r>
  <r>
    <x v="1"/>
  </r>
  <r>
    <x v="4"/>
  </r>
  <r>
    <x v="2"/>
  </r>
  <r>
    <x v="2"/>
  </r>
  <r>
    <x v="1"/>
  </r>
  <r>
    <x v="4"/>
  </r>
  <r>
    <x v="1"/>
  </r>
  <r>
    <x v="4"/>
  </r>
  <r>
    <x v="0"/>
  </r>
  <r>
    <x v="4"/>
  </r>
  <r>
    <x v="0"/>
  </r>
  <r>
    <x v="1"/>
  </r>
  <r>
    <x v="1"/>
  </r>
  <r>
    <x v="1"/>
  </r>
  <r>
    <x v="4"/>
  </r>
  <r>
    <x v="2"/>
  </r>
  <r>
    <x v="1"/>
  </r>
  <r>
    <x v="1"/>
  </r>
  <r>
    <x v="0"/>
  </r>
  <r>
    <x v="4"/>
  </r>
  <r>
    <x v="1"/>
  </r>
  <r>
    <x v="1"/>
  </r>
  <r>
    <x v="1"/>
  </r>
  <r>
    <x v="0"/>
  </r>
  <r>
    <x v="1"/>
  </r>
  <r>
    <x v="0"/>
  </r>
  <r>
    <x v="4"/>
  </r>
  <r>
    <x v="4"/>
  </r>
  <r>
    <x v="1"/>
  </r>
  <r>
    <x v="4"/>
  </r>
  <r>
    <x v="0"/>
  </r>
  <r>
    <x v="3"/>
  </r>
  <r>
    <x v="1"/>
  </r>
  <r>
    <x v="4"/>
  </r>
  <r>
    <x v="4"/>
  </r>
  <r>
    <x v="1"/>
  </r>
  <r>
    <x v="3"/>
  </r>
  <r>
    <x v="0"/>
  </r>
  <r>
    <x v="4"/>
  </r>
  <r>
    <x v="1"/>
  </r>
  <r>
    <x v="1"/>
  </r>
  <r>
    <x v="0"/>
  </r>
  <r>
    <x v="1"/>
  </r>
  <r>
    <x v="0"/>
  </r>
  <r>
    <x v="0"/>
  </r>
  <r>
    <x v="4"/>
  </r>
  <r>
    <x v="0"/>
  </r>
  <r>
    <x v="1"/>
  </r>
  <r>
    <x v="4"/>
  </r>
  <r>
    <x v="0"/>
  </r>
  <r>
    <x v="0"/>
  </r>
  <r>
    <x v="1"/>
  </r>
  <r>
    <x v="1"/>
  </r>
  <r>
    <x v="1"/>
  </r>
  <r>
    <x v="3"/>
  </r>
  <r>
    <x v="0"/>
  </r>
  <r>
    <x v="1"/>
  </r>
  <r>
    <x v="1"/>
  </r>
  <r>
    <x v="1"/>
  </r>
  <r>
    <x v="0"/>
  </r>
  <r>
    <x v="1"/>
  </r>
  <r>
    <x v="0"/>
  </r>
  <r>
    <x v="0"/>
  </r>
  <r>
    <x v="2"/>
  </r>
  <r>
    <x v="1"/>
  </r>
  <r>
    <x v="0"/>
  </r>
  <r>
    <x v="4"/>
  </r>
  <r>
    <x v="0"/>
  </r>
  <r>
    <x v="2"/>
  </r>
  <r>
    <x v="4"/>
  </r>
  <r>
    <x v="0"/>
  </r>
  <r>
    <x v="0"/>
  </r>
  <r>
    <x v="3"/>
  </r>
  <r>
    <x v="4"/>
  </r>
  <r>
    <x v="3"/>
  </r>
  <r>
    <x v="1"/>
  </r>
  <r>
    <x v="0"/>
  </r>
  <r>
    <x v="3"/>
  </r>
  <r>
    <x v="1"/>
  </r>
  <r>
    <x v="3"/>
  </r>
  <r>
    <x v="1"/>
  </r>
  <r>
    <x v="3"/>
  </r>
  <r>
    <x v="0"/>
  </r>
  <r>
    <x v="1"/>
  </r>
  <r>
    <x v="2"/>
  </r>
  <r>
    <x v="1"/>
  </r>
  <r>
    <x v="1"/>
  </r>
  <r>
    <x v="1"/>
  </r>
  <r>
    <x v="4"/>
  </r>
  <r>
    <x v="3"/>
  </r>
  <r>
    <x v="1"/>
  </r>
  <r>
    <x v="0"/>
  </r>
  <r>
    <x v="1"/>
  </r>
  <r>
    <x v="4"/>
  </r>
  <r>
    <x v="1"/>
  </r>
  <r>
    <x v="1"/>
  </r>
  <r>
    <x v="1"/>
  </r>
  <r>
    <x v="0"/>
  </r>
  <r>
    <x v="2"/>
  </r>
  <r>
    <x v="0"/>
  </r>
  <r>
    <x v="1"/>
  </r>
  <r>
    <x v="0"/>
  </r>
  <r>
    <x v="2"/>
  </r>
  <r>
    <x v="1"/>
  </r>
  <r>
    <x v="1"/>
  </r>
  <r>
    <x v="1"/>
  </r>
  <r>
    <x v="4"/>
  </r>
  <r>
    <x v="4"/>
  </r>
  <r>
    <x v="0"/>
  </r>
  <r>
    <x v="1"/>
  </r>
  <r>
    <x v="1"/>
  </r>
  <r>
    <x v="3"/>
  </r>
  <r>
    <x v="1"/>
  </r>
  <r>
    <x v="3"/>
  </r>
  <r>
    <x v="0"/>
  </r>
  <r>
    <x v="1"/>
  </r>
  <r>
    <x v="0"/>
  </r>
  <r>
    <x v="3"/>
  </r>
  <r>
    <x v="0"/>
  </r>
  <r>
    <x v="2"/>
  </r>
  <r>
    <x v="1"/>
  </r>
  <r>
    <x v="0"/>
  </r>
  <r>
    <x v="2"/>
  </r>
  <r>
    <x v="3"/>
  </r>
  <r>
    <x v="0"/>
  </r>
  <r>
    <x v="4"/>
  </r>
  <r>
    <x v="1"/>
  </r>
  <r>
    <x v="1"/>
  </r>
  <r>
    <x v="1"/>
  </r>
  <r>
    <x v="1"/>
  </r>
  <r>
    <x v="1"/>
  </r>
  <r>
    <x v="1"/>
  </r>
  <r>
    <x v="3"/>
  </r>
  <r>
    <x v="4"/>
  </r>
  <r>
    <x v="0"/>
  </r>
  <r>
    <x v="3"/>
  </r>
  <r>
    <x v="1"/>
  </r>
  <r>
    <x v="0"/>
  </r>
  <r>
    <x v="4"/>
  </r>
  <r>
    <x v="1"/>
  </r>
  <r>
    <x v="4"/>
  </r>
  <r>
    <x v="1"/>
  </r>
  <r>
    <x v="1"/>
  </r>
  <r>
    <x v="1"/>
  </r>
  <r>
    <x v="3"/>
  </r>
  <r>
    <x v="4"/>
  </r>
  <r>
    <x v="4"/>
  </r>
  <r>
    <x v="0"/>
  </r>
  <r>
    <x v="1"/>
  </r>
  <r>
    <x v="4"/>
  </r>
  <r>
    <x v="0"/>
  </r>
  <r>
    <x v="1"/>
  </r>
  <r>
    <x v="4"/>
  </r>
  <r>
    <x v="1"/>
  </r>
  <r>
    <x v="1"/>
  </r>
  <r>
    <x v="2"/>
  </r>
  <r>
    <x v="4"/>
  </r>
  <r>
    <x v="4"/>
  </r>
  <r>
    <x v="0"/>
  </r>
  <r>
    <x v="0"/>
  </r>
  <r>
    <x v="4"/>
  </r>
  <r>
    <x v="4"/>
  </r>
  <r>
    <x v="0"/>
  </r>
  <r>
    <x v="3"/>
  </r>
  <r>
    <x v="3"/>
  </r>
  <r>
    <x v="0"/>
  </r>
  <r>
    <x v="2"/>
  </r>
  <r>
    <x v="0"/>
  </r>
  <r>
    <x v="0"/>
  </r>
  <r>
    <x v="1"/>
  </r>
  <r>
    <x v="0"/>
  </r>
  <r>
    <x v="3"/>
  </r>
  <r>
    <x v="2"/>
  </r>
  <r>
    <x v="2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2"/>
  </r>
  <r>
    <x v="1"/>
  </r>
  <r>
    <x v="1"/>
  </r>
  <r>
    <x v="2"/>
  </r>
  <r>
    <x v="3"/>
  </r>
  <r>
    <x v="4"/>
  </r>
  <r>
    <x v="1"/>
  </r>
  <r>
    <x v="1"/>
  </r>
  <r>
    <x v="3"/>
  </r>
  <r>
    <x v="2"/>
  </r>
  <r>
    <x v="0"/>
  </r>
  <r>
    <x v="1"/>
  </r>
  <r>
    <x v="1"/>
  </r>
  <r>
    <x v="1"/>
  </r>
  <r>
    <x v="4"/>
  </r>
  <r>
    <x v="1"/>
  </r>
  <r>
    <x v="3"/>
  </r>
  <r>
    <x v="1"/>
  </r>
  <r>
    <x v="4"/>
  </r>
  <r>
    <x v="1"/>
  </r>
  <r>
    <x v="0"/>
  </r>
  <r>
    <x v="1"/>
  </r>
  <r>
    <x v="2"/>
  </r>
  <r>
    <x v="0"/>
  </r>
  <r>
    <x v="1"/>
  </r>
  <r>
    <x v="2"/>
  </r>
  <r>
    <x v="0"/>
  </r>
  <r>
    <x v="3"/>
  </r>
  <r>
    <x v="3"/>
  </r>
  <r>
    <x v="3"/>
  </r>
  <r>
    <x v="1"/>
  </r>
  <r>
    <x v="1"/>
  </r>
  <r>
    <x v="3"/>
  </r>
  <r>
    <x v="0"/>
  </r>
  <r>
    <x v="1"/>
  </r>
  <r>
    <x v="2"/>
  </r>
  <r>
    <x v="1"/>
  </r>
  <r>
    <x v="4"/>
  </r>
  <r>
    <x v="2"/>
  </r>
  <r>
    <x v="2"/>
  </r>
  <r>
    <x v="1"/>
  </r>
  <r>
    <x v="0"/>
  </r>
  <r>
    <x v="0"/>
  </r>
  <r>
    <x v="0"/>
  </r>
  <r>
    <x v="1"/>
  </r>
  <r>
    <x v="0"/>
  </r>
  <r>
    <x v="0"/>
  </r>
  <r>
    <x v="0"/>
  </r>
  <r>
    <x v="2"/>
  </r>
  <r>
    <x v="0"/>
  </r>
  <r>
    <x v="1"/>
  </r>
  <r>
    <x v="4"/>
  </r>
  <r>
    <x v="2"/>
  </r>
  <r>
    <x v="1"/>
  </r>
  <r>
    <x v="4"/>
  </r>
  <r>
    <x v="1"/>
  </r>
  <r>
    <x v="0"/>
  </r>
  <r>
    <x v="3"/>
  </r>
  <r>
    <x v="3"/>
  </r>
  <r>
    <x v="0"/>
  </r>
  <r>
    <x v="4"/>
  </r>
  <r>
    <x v="2"/>
  </r>
  <r>
    <x v="3"/>
  </r>
  <r>
    <x v="0"/>
  </r>
  <r>
    <x v="0"/>
  </r>
  <r>
    <x v="0"/>
  </r>
  <r>
    <x v="1"/>
  </r>
  <r>
    <x v="0"/>
  </r>
  <r>
    <x v="2"/>
  </r>
  <r>
    <x v="2"/>
  </r>
  <r>
    <x v="2"/>
  </r>
  <r>
    <x v="1"/>
  </r>
  <r>
    <x v="0"/>
  </r>
  <r>
    <x v="1"/>
  </r>
  <r>
    <x v="1"/>
  </r>
  <r>
    <x v="3"/>
  </r>
  <r>
    <x v="0"/>
  </r>
  <r>
    <x v="2"/>
  </r>
  <r>
    <x v="1"/>
  </r>
  <r>
    <x v="0"/>
  </r>
  <r>
    <x v="4"/>
  </r>
  <r>
    <x v="1"/>
  </r>
  <r>
    <x v="1"/>
  </r>
  <r>
    <x v="1"/>
  </r>
  <r>
    <x v="4"/>
  </r>
  <r>
    <x v="3"/>
  </r>
  <r>
    <x v="2"/>
  </r>
  <r>
    <x v="3"/>
  </r>
  <r>
    <x v="2"/>
  </r>
  <r>
    <x v="2"/>
  </r>
  <r>
    <x v="0"/>
  </r>
  <r>
    <x v="0"/>
  </r>
  <r>
    <x v="0"/>
  </r>
  <r>
    <x v="2"/>
  </r>
  <r>
    <x v="1"/>
  </r>
  <r>
    <x v="1"/>
  </r>
  <r>
    <x v="3"/>
  </r>
  <r>
    <x v="1"/>
  </r>
  <r>
    <x v="3"/>
  </r>
  <r>
    <x v="4"/>
  </r>
  <r>
    <x v="1"/>
  </r>
  <r>
    <x v="4"/>
  </r>
  <r>
    <x v="2"/>
  </r>
  <r>
    <x v="1"/>
  </r>
  <r>
    <x v="2"/>
  </r>
  <r>
    <x v="2"/>
  </r>
  <r>
    <x v="1"/>
  </r>
  <r>
    <x v="1"/>
  </r>
  <r>
    <x v="1"/>
  </r>
  <r>
    <x v="1"/>
  </r>
  <r>
    <x v="1"/>
  </r>
  <r>
    <x v="4"/>
  </r>
  <r>
    <x v="0"/>
  </r>
  <r>
    <x v="2"/>
  </r>
  <r>
    <x v="1"/>
  </r>
  <r>
    <x v="0"/>
  </r>
  <r>
    <x v="4"/>
  </r>
  <r>
    <x v="2"/>
  </r>
  <r>
    <x v="0"/>
  </r>
  <r>
    <x v="0"/>
  </r>
  <r>
    <x v="2"/>
  </r>
  <r>
    <x v="1"/>
  </r>
  <r>
    <x v="1"/>
  </r>
  <r>
    <x v="0"/>
  </r>
  <r>
    <x v="2"/>
  </r>
  <r>
    <x v="1"/>
  </r>
  <r>
    <x v="0"/>
  </r>
  <r>
    <x v="4"/>
  </r>
  <r>
    <x v="3"/>
  </r>
  <r>
    <x v="1"/>
  </r>
  <r>
    <x v="1"/>
  </r>
  <r>
    <x v="0"/>
  </r>
  <r>
    <x v="0"/>
  </r>
  <r>
    <x v="4"/>
  </r>
  <r>
    <x v="4"/>
  </r>
  <r>
    <x v="2"/>
  </r>
  <r>
    <x v="2"/>
  </r>
  <r>
    <x v="3"/>
  </r>
  <r>
    <x v="0"/>
  </r>
  <r>
    <x v="3"/>
  </r>
  <r>
    <x v="1"/>
  </r>
  <r>
    <x v="4"/>
  </r>
  <r>
    <x v="0"/>
  </r>
  <r>
    <x v="2"/>
  </r>
  <r>
    <x v="0"/>
  </r>
  <r>
    <x v="2"/>
  </r>
  <r>
    <x v="3"/>
  </r>
  <r>
    <x v="4"/>
  </r>
  <r>
    <x v="2"/>
  </r>
  <r>
    <x v="1"/>
  </r>
  <r>
    <x v="1"/>
  </r>
  <r>
    <x v="3"/>
  </r>
  <r>
    <x v="4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3"/>
  </r>
  <r>
    <x v="0"/>
  </r>
  <r>
    <x v="2"/>
  </r>
  <r>
    <x v="3"/>
  </r>
  <r>
    <x v="1"/>
  </r>
  <r>
    <x v="1"/>
  </r>
  <r>
    <x v="0"/>
  </r>
  <r>
    <x v="0"/>
  </r>
  <r>
    <x v="0"/>
  </r>
  <r>
    <x v="1"/>
  </r>
  <r>
    <x v="4"/>
  </r>
  <r>
    <x v="1"/>
  </r>
  <r>
    <x v="3"/>
  </r>
  <r>
    <x v="1"/>
  </r>
  <r>
    <x v="3"/>
  </r>
  <r>
    <x v="1"/>
  </r>
  <r>
    <x v="1"/>
  </r>
  <r>
    <x v="1"/>
  </r>
  <r>
    <x v="3"/>
  </r>
  <r>
    <x v="1"/>
  </r>
  <r>
    <x v="4"/>
  </r>
  <r>
    <x v="2"/>
  </r>
  <r>
    <x v="4"/>
  </r>
  <r>
    <x v="0"/>
  </r>
  <r>
    <x v="3"/>
  </r>
  <r>
    <x v="2"/>
  </r>
  <r>
    <x v="0"/>
  </r>
  <r>
    <x v="0"/>
  </r>
  <r>
    <x v="3"/>
  </r>
  <r>
    <x v="3"/>
  </r>
  <r>
    <x v="0"/>
  </r>
  <r>
    <x v="2"/>
  </r>
  <r>
    <x v="1"/>
  </r>
  <r>
    <x v="0"/>
  </r>
  <r>
    <x v="1"/>
  </r>
  <r>
    <x v="1"/>
  </r>
  <r>
    <x v="4"/>
  </r>
  <r>
    <x v="0"/>
  </r>
  <r>
    <x v="1"/>
  </r>
  <r>
    <x v="0"/>
  </r>
  <r>
    <x v="0"/>
  </r>
  <r>
    <x v="3"/>
  </r>
  <r>
    <x v="2"/>
  </r>
  <r>
    <x v="0"/>
  </r>
  <r>
    <x v="3"/>
  </r>
  <r>
    <x v="0"/>
  </r>
  <r>
    <x v="4"/>
  </r>
  <r>
    <x v="3"/>
  </r>
  <r>
    <x v="0"/>
  </r>
  <r>
    <x v="4"/>
  </r>
  <r>
    <x v="1"/>
  </r>
  <r>
    <x v="1"/>
  </r>
  <r>
    <x v="0"/>
  </r>
  <r>
    <x v="3"/>
  </r>
  <r>
    <x v="0"/>
  </r>
  <r>
    <x v="3"/>
  </r>
  <r>
    <x v="3"/>
  </r>
  <r>
    <x v="1"/>
  </r>
  <r>
    <x v="0"/>
  </r>
  <r>
    <x v="4"/>
  </r>
  <r>
    <x v="0"/>
  </r>
  <r>
    <x v="1"/>
  </r>
  <r>
    <x v="3"/>
  </r>
  <r>
    <x v="2"/>
  </r>
  <r>
    <x v="0"/>
  </r>
  <r>
    <x v="4"/>
  </r>
  <r>
    <x v="1"/>
  </r>
  <r>
    <x v="0"/>
  </r>
  <r>
    <x v="3"/>
  </r>
  <r>
    <x v="2"/>
  </r>
  <r>
    <x v="1"/>
  </r>
  <r>
    <x v="0"/>
  </r>
  <r>
    <x v="4"/>
  </r>
  <r>
    <x v="0"/>
  </r>
  <r>
    <x v="1"/>
  </r>
  <r>
    <x v="0"/>
  </r>
  <r>
    <x v="4"/>
  </r>
  <r>
    <x v="1"/>
  </r>
  <r>
    <x v="1"/>
  </r>
  <r>
    <x v="1"/>
  </r>
  <r>
    <x v="0"/>
  </r>
  <r>
    <x v="0"/>
  </r>
  <r>
    <x v="1"/>
  </r>
  <r>
    <x v="1"/>
  </r>
  <r>
    <x v="2"/>
  </r>
  <r>
    <x v="1"/>
  </r>
  <r>
    <x v="0"/>
  </r>
  <r>
    <x v="3"/>
  </r>
  <r>
    <x v="4"/>
  </r>
  <r>
    <x v="4"/>
  </r>
  <r>
    <x v="0"/>
  </r>
  <r>
    <x v="1"/>
  </r>
  <r>
    <x v="4"/>
  </r>
  <r>
    <x v="4"/>
  </r>
  <r>
    <x v="1"/>
  </r>
  <r>
    <x v="0"/>
  </r>
  <r>
    <x v="3"/>
  </r>
  <r>
    <x v="1"/>
  </r>
  <r>
    <x v="0"/>
  </r>
  <r>
    <x v="0"/>
  </r>
  <r>
    <x v="2"/>
  </r>
  <r>
    <x v="2"/>
  </r>
  <r>
    <x v="2"/>
  </r>
  <r>
    <x v="0"/>
  </r>
  <r>
    <x v="1"/>
  </r>
  <r>
    <x v="0"/>
  </r>
  <r>
    <x v="4"/>
  </r>
  <r>
    <x v="4"/>
  </r>
  <r>
    <x v="3"/>
  </r>
  <r>
    <x v="0"/>
  </r>
  <r>
    <x v="4"/>
  </r>
  <r>
    <x v="0"/>
  </r>
  <r>
    <x v="1"/>
  </r>
  <r>
    <x v="0"/>
  </r>
  <r>
    <x v="0"/>
  </r>
  <r>
    <x v="3"/>
  </r>
  <r>
    <x v="0"/>
  </r>
  <r>
    <x v="3"/>
  </r>
  <r>
    <x v="0"/>
  </r>
  <r>
    <x v="1"/>
  </r>
  <r>
    <x v="1"/>
  </r>
  <r>
    <x v="1"/>
  </r>
  <r>
    <x v="0"/>
  </r>
  <r>
    <x v="1"/>
  </r>
  <r>
    <x v="0"/>
  </r>
  <r>
    <x v="3"/>
  </r>
  <r>
    <x v="4"/>
  </r>
  <r>
    <x v="2"/>
  </r>
  <r>
    <x v="1"/>
  </r>
  <r>
    <x v="0"/>
  </r>
  <r>
    <x v="1"/>
  </r>
  <r>
    <x v="2"/>
  </r>
  <r>
    <x v="1"/>
  </r>
  <r>
    <x v="0"/>
  </r>
  <r>
    <x v="0"/>
  </r>
  <r>
    <x v="0"/>
  </r>
  <r>
    <x v="2"/>
  </r>
  <r>
    <x v="1"/>
  </r>
  <r>
    <x v="0"/>
  </r>
  <r>
    <x v="2"/>
  </r>
  <r>
    <x v="0"/>
  </r>
  <r>
    <x v="0"/>
  </r>
  <r>
    <x v="1"/>
  </r>
  <r>
    <x v="2"/>
  </r>
  <r>
    <x v="3"/>
  </r>
  <r>
    <x v="4"/>
  </r>
  <r>
    <x v="2"/>
  </r>
  <r>
    <x v="0"/>
  </r>
  <r>
    <x v="1"/>
  </r>
  <r>
    <x v="1"/>
  </r>
  <r>
    <x v="4"/>
  </r>
  <r>
    <x v="0"/>
  </r>
  <r>
    <x v="2"/>
  </r>
  <r>
    <x v="4"/>
  </r>
  <r>
    <x v="3"/>
  </r>
  <r>
    <x v="0"/>
  </r>
  <r>
    <x v="0"/>
  </r>
  <r>
    <x v="1"/>
  </r>
  <r>
    <x v="0"/>
  </r>
  <r>
    <x v="2"/>
  </r>
  <r>
    <x v="1"/>
  </r>
  <r>
    <x v="3"/>
  </r>
  <r>
    <x v="3"/>
  </r>
  <r>
    <x v="4"/>
  </r>
  <r>
    <x v="1"/>
  </r>
  <r>
    <x v="1"/>
  </r>
  <r>
    <x v="1"/>
  </r>
  <r>
    <x v="1"/>
  </r>
  <r>
    <x v="0"/>
  </r>
  <r>
    <x v="1"/>
  </r>
  <r>
    <x v="4"/>
  </r>
  <r>
    <x v="0"/>
  </r>
  <r>
    <x v="1"/>
  </r>
  <r>
    <x v="0"/>
  </r>
  <r>
    <x v="3"/>
  </r>
  <r>
    <x v="4"/>
  </r>
  <r>
    <x v="0"/>
  </r>
  <r>
    <x v="2"/>
  </r>
  <r>
    <x v="4"/>
  </r>
  <r>
    <x v="2"/>
  </r>
  <r>
    <x v="1"/>
  </r>
  <r>
    <x v="2"/>
  </r>
  <r>
    <x v="1"/>
  </r>
  <r>
    <x v="3"/>
  </r>
  <r>
    <x v="1"/>
  </r>
  <r>
    <x v="3"/>
  </r>
  <r>
    <x v="3"/>
  </r>
  <r>
    <x v="1"/>
  </r>
  <r>
    <x v="3"/>
  </r>
  <r>
    <x v="1"/>
  </r>
  <r>
    <x v="1"/>
  </r>
  <r>
    <x v="0"/>
  </r>
  <r>
    <x v="3"/>
  </r>
  <r>
    <x v="0"/>
  </r>
  <r>
    <x v="0"/>
  </r>
  <r>
    <x v="4"/>
  </r>
  <r>
    <x v="3"/>
  </r>
  <r>
    <x v="2"/>
  </r>
  <r>
    <x v="1"/>
  </r>
  <r>
    <x v="1"/>
  </r>
  <r>
    <x v="1"/>
  </r>
  <r>
    <x v="4"/>
  </r>
  <r>
    <x v="1"/>
  </r>
  <r>
    <x v="1"/>
  </r>
  <r>
    <x v="2"/>
  </r>
  <r>
    <x v="1"/>
  </r>
  <r>
    <x v="0"/>
  </r>
  <r>
    <x v="0"/>
  </r>
  <r>
    <x v="1"/>
  </r>
  <r>
    <x v="0"/>
  </r>
  <r>
    <x v="0"/>
  </r>
  <r>
    <x v="2"/>
  </r>
  <r>
    <x v="1"/>
  </r>
  <r>
    <x v="0"/>
  </r>
  <r>
    <x v="2"/>
  </r>
  <r>
    <x v="2"/>
  </r>
  <r>
    <x v="2"/>
  </r>
  <r>
    <x v="3"/>
  </r>
  <r>
    <x v="2"/>
  </r>
  <r>
    <x v="0"/>
  </r>
  <r>
    <x v="2"/>
  </r>
  <r>
    <x v="0"/>
  </r>
  <r>
    <x v="1"/>
  </r>
  <r>
    <x v="1"/>
  </r>
  <r>
    <x v="1"/>
  </r>
  <r>
    <x v="1"/>
  </r>
  <r>
    <x v="1"/>
  </r>
  <r>
    <x v="1"/>
  </r>
  <r>
    <x v="2"/>
  </r>
  <r>
    <x v="3"/>
  </r>
  <r>
    <x v="0"/>
  </r>
  <r>
    <x v="2"/>
  </r>
  <r>
    <x v="1"/>
  </r>
  <r>
    <x v="3"/>
  </r>
  <r>
    <x v="0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4"/>
  </r>
  <r>
    <x v="2"/>
  </r>
  <r>
    <x v="0"/>
  </r>
  <r>
    <x v="2"/>
  </r>
  <r>
    <x v="0"/>
  </r>
  <r>
    <x v="1"/>
  </r>
  <r>
    <x v="1"/>
  </r>
  <r>
    <x v="4"/>
  </r>
  <r>
    <x v="0"/>
  </r>
  <r>
    <x v="4"/>
  </r>
  <r>
    <x v="1"/>
  </r>
  <r>
    <x v="4"/>
  </r>
  <r>
    <x v="0"/>
  </r>
  <r>
    <x v="0"/>
  </r>
  <r>
    <x v="0"/>
  </r>
  <r>
    <x v="4"/>
  </r>
  <r>
    <x v="1"/>
  </r>
  <r>
    <x v="2"/>
  </r>
  <r>
    <x v="4"/>
  </r>
  <r>
    <x v="1"/>
  </r>
  <r>
    <x v="3"/>
  </r>
  <r>
    <x v="4"/>
  </r>
  <r>
    <x v="0"/>
  </r>
  <r>
    <x v="1"/>
  </r>
  <r>
    <x v="0"/>
  </r>
  <r>
    <x v="1"/>
  </r>
  <r>
    <x v="0"/>
  </r>
  <r>
    <x v="0"/>
  </r>
  <r>
    <x v="4"/>
  </r>
  <r>
    <x v="1"/>
  </r>
  <r>
    <x v="2"/>
  </r>
  <r>
    <x v="1"/>
  </r>
  <r>
    <x v="0"/>
  </r>
  <r>
    <x v="2"/>
  </r>
  <r>
    <x v="4"/>
  </r>
  <r>
    <x v="1"/>
  </r>
  <r>
    <x v="0"/>
  </r>
  <r>
    <x v="1"/>
  </r>
  <r>
    <x v="4"/>
  </r>
  <r>
    <x v="1"/>
  </r>
  <r>
    <x v="4"/>
  </r>
  <r>
    <x v="0"/>
  </r>
  <r>
    <x v="1"/>
  </r>
  <r>
    <x v="1"/>
  </r>
  <r>
    <x v="1"/>
  </r>
  <r>
    <x v="0"/>
  </r>
  <r>
    <x v="0"/>
  </r>
  <r>
    <x v="0"/>
  </r>
  <r>
    <x v="2"/>
  </r>
  <r>
    <x v="1"/>
  </r>
  <r>
    <x v="3"/>
  </r>
  <r>
    <x v="0"/>
  </r>
  <r>
    <x v="1"/>
  </r>
  <r>
    <x v="4"/>
  </r>
  <r>
    <x v="2"/>
  </r>
  <r>
    <x v="0"/>
  </r>
  <r>
    <x v="4"/>
  </r>
  <r>
    <x v="2"/>
  </r>
  <r>
    <x v="2"/>
  </r>
  <r>
    <x v="1"/>
  </r>
  <r>
    <x v="2"/>
  </r>
  <r>
    <x v="2"/>
  </r>
  <r>
    <x v="4"/>
  </r>
  <r>
    <x v="2"/>
  </r>
  <r>
    <x v="3"/>
  </r>
  <r>
    <x v="0"/>
  </r>
  <r>
    <x v="1"/>
  </r>
  <r>
    <x v="0"/>
  </r>
  <r>
    <x v="1"/>
  </r>
  <r>
    <x v="1"/>
  </r>
  <r>
    <x v="0"/>
  </r>
  <r>
    <x v="1"/>
  </r>
  <r>
    <x v="4"/>
  </r>
  <r>
    <x v="2"/>
  </r>
  <r>
    <x v="0"/>
  </r>
  <r>
    <x v="3"/>
  </r>
  <r>
    <x v="1"/>
  </r>
  <r>
    <x v="2"/>
  </r>
  <r>
    <x v="2"/>
  </r>
  <r>
    <x v="1"/>
  </r>
  <r>
    <x v="1"/>
  </r>
  <r>
    <x v="1"/>
  </r>
  <r>
    <x v="2"/>
  </r>
  <r>
    <x v="2"/>
  </r>
  <r>
    <x v="1"/>
  </r>
  <r>
    <x v="4"/>
  </r>
  <r>
    <x v="1"/>
  </r>
  <r>
    <x v="0"/>
  </r>
  <r>
    <x v="3"/>
  </r>
  <r>
    <x v="1"/>
  </r>
  <r>
    <x v="3"/>
  </r>
  <r>
    <x v="2"/>
  </r>
  <r>
    <x v="3"/>
  </r>
  <r>
    <x v="1"/>
  </r>
  <r>
    <x v="1"/>
  </r>
  <r>
    <x v="1"/>
  </r>
  <r>
    <x v="4"/>
  </r>
  <r>
    <x v="4"/>
  </r>
  <r>
    <x v="1"/>
  </r>
  <r>
    <x v="2"/>
  </r>
  <r>
    <x v="1"/>
  </r>
  <r>
    <x v="1"/>
  </r>
  <r>
    <x v="0"/>
  </r>
  <r>
    <x v="1"/>
  </r>
  <r>
    <x v="1"/>
  </r>
  <r>
    <x v="0"/>
  </r>
  <r>
    <x v="2"/>
  </r>
  <r>
    <x v="2"/>
  </r>
  <r>
    <x v="0"/>
  </r>
  <r>
    <x v="4"/>
  </r>
  <r>
    <x v="0"/>
  </r>
  <r>
    <x v="0"/>
  </r>
  <r>
    <x v="4"/>
  </r>
  <r>
    <x v="4"/>
  </r>
  <r>
    <x v="4"/>
  </r>
  <r>
    <x v="4"/>
  </r>
  <r>
    <x v="4"/>
  </r>
  <r>
    <x v="0"/>
  </r>
  <r>
    <x v="2"/>
  </r>
  <r>
    <x v="1"/>
  </r>
  <r>
    <x v="2"/>
  </r>
  <r>
    <x v="0"/>
  </r>
  <r>
    <x v="1"/>
  </r>
  <r>
    <x v="4"/>
  </r>
  <r>
    <x v="0"/>
  </r>
  <r>
    <x v="2"/>
  </r>
  <r>
    <x v="0"/>
  </r>
  <r>
    <x v="4"/>
  </r>
  <r>
    <x v="1"/>
  </r>
  <r>
    <x v="1"/>
  </r>
  <r>
    <x v="0"/>
  </r>
  <r>
    <x v="4"/>
  </r>
  <r>
    <x v="4"/>
  </r>
  <r>
    <x v="0"/>
  </r>
  <r>
    <x v="3"/>
  </r>
  <r>
    <x v="4"/>
  </r>
  <r>
    <x v="3"/>
  </r>
  <r>
    <x v="1"/>
  </r>
  <r>
    <x v="1"/>
  </r>
  <r>
    <x v="1"/>
  </r>
  <r>
    <x v="1"/>
  </r>
  <r>
    <x v="0"/>
  </r>
  <r>
    <x v="0"/>
  </r>
  <r>
    <x v="0"/>
  </r>
  <r>
    <x v="4"/>
  </r>
  <r>
    <x v="3"/>
  </r>
  <r>
    <x v="2"/>
  </r>
  <r>
    <x v="1"/>
  </r>
  <r>
    <x v="1"/>
  </r>
  <r>
    <x v="1"/>
  </r>
  <r>
    <x v="1"/>
  </r>
  <r>
    <x v="0"/>
  </r>
  <r>
    <x v="0"/>
  </r>
  <r>
    <x v="1"/>
  </r>
  <r>
    <x v="4"/>
  </r>
  <r>
    <x v="4"/>
  </r>
  <r>
    <x v="1"/>
  </r>
  <r>
    <x v="0"/>
  </r>
  <r>
    <x v="2"/>
  </r>
  <r>
    <x v="0"/>
  </r>
  <r>
    <x v="0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2"/>
  </r>
  <r>
    <x v="3"/>
  </r>
  <r>
    <x v="0"/>
  </r>
  <r>
    <x v="1"/>
  </r>
  <r>
    <x v="1"/>
  </r>
  <r>
    <x v="2"/>
  </r>
  <r>
    <x v="0"/>
  </r>
  <r>
    <x v="2"/>
  </r>
  <r>
    <x v="4"/>
  </r>
  <r>
    <x v="3"/>
  </r>
  <r>
    <x v="2"/>
  </r>
  <r>
    <x v="2"/>
  </r>
  <r>
    <x v="0"/>
  </r>
  <r>
    <x v="1"/>
  </r>
  <r>
    <x v="0"/>
  </r>
  <r>
    <x v="0"/>
  </r>
  <r>
    <x v="4"/>
  </r>
  <r>
    <x v="1"/>
  </r>
  <r>
    <x v="4"/>
  </r>
  <r>
    <x v="0"/>
  </r>
  <r>
    <x v="4"/>
  </r>
  <r>
    <x v="1"/>
  </r>
  <r>
    <x v="0"/>
  </r>
  <r>
    <x v="1"/>
  </r>
  <r>
    <x v="2"/>
  </r>
  <r>
    <x v="0"/>
  </r>
  <r>
    <x v="1"/>
  </r>
  <r>
    <x v="1"/>
  </r>
  <r>
    <x v="4"/>
  </r>
  <r>
    <x v="1"/>
  </r>
  <r>
    <x v="3"/>
  </r>
  <r>
    <x v="0"/>
  </r>
  <r>
    <x v="1"/>
  </r>
  <r>
    <x v="4"/>
  </r>
  <r>
    <x v="1"/>
  </r>
  <r>
    <x v="2"/>
  </r>
  <r>
    <x v="1"/>
  </r>
  <r>
    <x v="3"/>
  </r>
  <r>
    <x v="4"/>
  </r>
  <r>
    <x v="2"/>
  </r>
  <r>
    <x v="1"/>
  </r>
  <r>
    <x v="0"/>
  </r>
  <r>
    <x v="4"/>
  </r>
  <r>
    <x v="4"/>
  </r>
  <r>
    <x v="1"/>
  </r>
  <r>
    <x v="0"/>
  </r>
  <r>
    <x v="1"/>
  </r>
  <r>
    <x v="4"/>
  </r>
  <r>
    <x v="0"/>
  </r>
  <r>
    <x v="1"/>
  </r>
  <r>
    <x v="1"/>
  </r>
  <r>
    <x v="0"/>
  </r>
  <r>
    <x v="1"/>
  </r>
  <r>
    <x v="3"/>
  </r>
  <r>
    <x v="1"/>
  </r>
  <r>
    <x v="3"/>
  </r>
  <r>
    <x v="0"/>
  </r>
  <r>
    <x v="0"/>
  </r>
  <r>
    <x v="1"/>
  </r>
  <r>
    <x v="4"/>
  </r>
  <r>
    <x v="4"/>
  </r>
  <r>
    <x v="0"/>
  </r>
  <r>
    <x v="1"/>
  </r>
  <r>
    <x v="3"/>
  </r>
  <r>
    <x v="3"/>
  </r>
  <r>
    <x v="0"/>
  </r>
  <r>
    <x v="4"/>
  </r>
  <r>
    <x v="0"/>
  </r>
  <r>
    <x v="1"/>
  </r>
  <r>
    <x v="1"/>
  </r>
  <r>
    <x v="0"/>
  </r>
  <r>
    <x v="2"/>
  </r>
  <r>
    <x v="1"/>
  </r>
  <r>
    <x v="0"/>
  </r>
  <r>
    <x v="2"/>
  </r>
  <r>
    <x v="1"/>
  </r>
  <r>
    <x v="1"/>
  </r>
  <r>
    <x v="2"/>
  </r>
  <r>
    <x v="1"/>
  </r>
  <r>
    <x v="1"/>
  </r>
  <r>
    <x v="0"/>
  </r>
  <r>
    <x v="0"/>
  </r>
  <r>
    <x v="2"/>
  </r>
  <r>
    <x v="4"/>
  </r>
  <r>
    <x v="0"/>
  </r>
  <r>
    <x v="0"/>
  </r>
  <r>
    <x v="3"/>
  </r>
  <r>
    <x v="1"/>
  </r>
  <r>
    <x v="1"/>
  </r>
  <r>
    <x v="3"/>
  </r>
  <r>
    <x v="3"/>
  </r>
  <r>
    <x v="1"/>
  </r>
  <r>
    <x v="1"/>
  </r>
  <r>
    <x v="0"/>
  </r>
  <r>
    <x v="1"/>
  </r>
  <r>
    <x v="4"/>
  </r>
  <r>
    <x v="1"/>
  </r>
  <r>
    <x v="1"/>
  </r>
  <r>
    <x v="0"/>
  </r>
  <r>
    <x v="3"/>
  </r>
  <r>
    <x v="0"/>
  </r>
  <r>
    <x v="0"/>
  </r>
  <r>
    <x v="3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3"/>
  </r>
  <r>
    <x v="0"/>
  </r>
  <r>
    <x v="1"/>
  </r>
  <r>
    <x v="4"/>
  </r>
  <r>
    <x v="1"/>
  </r>
  <r>
    <x v="4"/>
  </r>
  <r>
    <x v="4"/>
  </r>
  <r>
    <x v="4"/>
  </r>
  <r>
    <x v="4"/>
  </r>
  <r>
    <x v="1"/>
  </r>
  <r>
    <x v="4"/>
  </r>
  <r>
    <x v="1"/>
  </r>
  <r>
    <x v="1"/>
  </r>
  <r>
    <x v="3"/>
  </r>
  <r>
    <x v="0"/>
  </r>
  <r>
    <x v="3"/>
  </r>
  <r>
    <x v="1"/>
  </r>
  <r>
    <x v="0"/>
  </r>
  <r>
    <x v="1"/>
  </r>
  <r>
    <x v="4"/>
  </r>
  <r>
    <x v="1"/>
  </r>
  <r>
    <x v="1"/>
  </r>
  <r>
    <x v="1"/>
  </r>
  <r>
    <x v="4"/>
  </r>
  <r>
    <x v="1"/>
  </r>
  <r>
    <x v="2"/>
  </r>
  <r>
    <x v="1"/>
  </r>
  <r>
    <x v="1"/>
  </r>
  <r>
    <x v="0"/>
  </r>
  <r>
    <x v="3"/>
  </r>
  <r>
    <x v="1"/>
  </r>
  <r>
    <x v="1"/>
  </r>
  <r>
    <x v="2"/>
  </r>
  <r>
    <x v="1"/>
  </r>
  <r>
    <x v="4"/>
  </r>
  <r>
    <x v="1"/>
  </r>
  <r>
    <x v="0"/>
  </r>
  <r>
    <x v="1"/>
  </r>
  <r>
    <x v="0"/>
  </r>
  <r>
    <x v="2"/>
  </r>
  <r>
    <x v="2"/>
  </r>
  <r>
    <x v="0"/>
  </r>
  <r>
    <x v="3"/>
  </r>
  <r>
    <x v="1"/>
  </r>
  <r>
    <x v="1"/>
  </r>
  <r>
    <x v="4"/>
  </r>
  <r>
    <x v="4"/>
  </r>
  <r>
    <x v="1"/>
  </r>
  <r>
    <x v="4"/>
  </r>
  <r>
    <x v="0"/>
  </r>
  <r>
    <x v="4"/>
  </r>
  <r>
    <x v="2"/>
  </r>
  <r>
    <x v="0"/>
  </r>
  <r>
    <x v="1"/>
  </r>
  <r>
    <x v="4"/>
  </r>
  <r>
    <x v="4"/>
  </r>
  <r>
    <x v="1"/>
  </r>
  <r>
    <x v="0"/>
  </r>
  <r>
    <x v="3"/>
  </r>
  <r>
    <x v="1"/>
  </r>
  <r>
    <x v="1"/>
  </r>
  <r>
    <x v="1"/>
  </r>
  <r>
    <x v="0"/>
  </r>
  <r>
    <x v="3"/>
  </r>
  <r>
    <x v="4"/>
  </r>
  <r>
    <x v="1"/>
  </r>
  <r>
    <x v="4"/>
  </r>
  <r>
    <x v="4"/>
  </r>
  <r>
    <x v="4"/>
  </r>
  <r>
    <x v="1"/>
  </r>
  <r>
    <x v="4"/>
  </r>
  <r>
    <x v="0"/>
  </r>
  <r>
    <x v="1"/>
  </r>
  <r>
    <x v="0"/>
  </r>
  <r>
    <x v="3"/>
  </r>
  <r>
    <x v="0"/>
  </r>
  <r>
    <x v="3"/>
  </r>
  <r>
    <x v="1"/>
  </r>
  <r>
    <x v="4"/>
  </r>
  <r>
    <x v="1"/>
  </r>
  <r>
    <x v="1"/>
  </r>
  <r>
    <x v="0"/>
  </r>
  <r>
    <x v="4"/>
  </r>
  <r>
    <x v="2"/>
  </r>
  <r>
    <x v="4"/>
  </r>
  <r>
    <x v="4"/>
  </r>
  <r>
    <x v="3"/>
  </r>
  <r>
    <x v="0"/>
  </r>
  <r>
    <x v="1"/>
  </r>
  <r>
    <x v="1"/>
  </r>
  <r>
    <x v="0"/>
  </r>
  <r>
    <x v="4"/>
  </r>
  <r>
    <x v="1"/>
  </r>
  <r>
    <x v="1"/>
  </r>
  <r>
    <x v="1"/>
  </r>
  <r>
    <x v="0"/>
  </r>
  <r>
    <x v="1"/>
  </r>
  <r>
    <x v="1"/>
  </r>
  <r>
    <x v="4"/>
  </r>
  <r>
    <x v="2"/>
  </r>
  <r>
    <x v="1"/>
  </r>
  <r>
    <x v="0"/>
  </r>
  <r>
    <x v="1"/>
  </r>
  <r>
    <x v="3"/>
  </r>
  <r>
    <x v="1"/>
  </r>
  <r>
    <x v="3"/>
  </r>
  <r>
    <x v="3"/>
  </r>
  <r>
    <x v="2"/>
  </r>
  <r>
    <x v="1"/>
  </r>
  <r>
    <x v="0"/>
  </r>
  <r>
    <x v="1"/>
  </r>
  <r>
    <x v="2"/>
  </r>
  <r>
    <x v="2"/>
  </r>
  <r>
    <x v="3"/>
  </r>
  <r>
    <x v="4"/>
  </r>
  <r>
    <x v="0"/>
  </r>
  <r>
    <x v="0"/>
  </r>
  <r>
    <x v="0"/>
  </r>
  <r>
    <x v="0"/>
  </r>
  <r>
    <x v="4"/>
  </r>
  <r>
    <x v="3"/>
  </r>
  <r>
    <x v="4"/>
  </r>
  <r>
    <x v="2"/>
  </r>
  <r>
    <x v="2"/>
  </r>
  <r>
    <x v="0"/>
  </r>
  <r>
    <x v="0"/>
  </r>
  <r>
    <x v="4"/>
  </r>
  <r>
    <x v="0"/>
  </r>
  <r>
    <x v="1"/>
  </r>
  <r>
    <x v="0"/>
  </r>
  <r>
    <x v="3"/>
  </r>
  <r>
    <x v="1"/>
  </r>
  <r>
    <x v="4"/>
  </r>
  <r>
    <x v="2"/>
  </r>
  <r>
    <x v="4"/>
  </r>
  <r>
    <x v="0"/>
  </r>
  <r>
    <x v="4"/>
  </r>
  <r>
    <x v="0"/>
  </r>
  <r>
    <x v="1"/>
  </r>
  <r>
    <x v="3"/>
  </r>
  <r>
    <x v="0"/>
  </r>
  <r>
    <x v="4"/>
  </r>
  <r>
    <x v="0"/>
  </r>
  <r>
    <x v="1"/>
  </r>
  <r>
    <x v="3"/>
  </r>
  <r>
    <x v="2"/>
  </r>
  <r>
    <x v="1"/>
  </r>
  <r>
    <x v="3"/>
  </r>
  <r>
    <x v="4"/>
  </r>
  <r>
    <x v="0"/>
  </r>
  <r>
    <x v="4"/>
  </r>
  <r>
    <x v="1"/>
  </r>
  <r>
    <x v="0"/>
  </r>
  <r>
    <x v="1"/>
  </r>
  <r>
    <x v="0"/>
  </r>
  <r>
    <x v="0"/>
  </r>
  <r>
    <x v="2"/>
  </r>
  <r>
    <x v="4"/>
  </r>
  <r>
    <x v="1"/>
  </r>
  <r>
    <x v="2"/>
  </r>
  <r>
    <x v="0"/>
  </r>
  <r>
    <x v="4"/>
  </r>
  <r>
    <x v="1"/>
  </r>
  <r>
    <x v="2"/>
  </r>
  <r>
    <x v="3"/>
  </r>
  <r>
    <x v="2"/>
  </r>
  <r>
    <x v="3"/>
  </r>
  <r>
    <x v="1"/>
  </r>
  <r>
    <x v="2"/>
  </r>
  <r>
    <x v="0"/>
  </r>
  <r>
    <x v="1"/>
  </r>
  <r>
    <x v="4"/>
  </r>
  <r>
    <x v="4"/>
  </r>
  <r>
    <x v="1"/>
  </r>
  <r>
    <x v="1"/>
  </r>
  <r>
    <x v="1"/>
  </r>
  <r>
    <x v="0"/>
  </r>
  <r>
    <x v="1"/>
  </r>
  <r>
    <x v="1"/>
  </r>
  <r>
    <x v="0"/>
  </r>
  <r>
    <x v="3"/>
  </r>
  <r>
    <x v="2"/>
  </r>
  <r>
    <x v="1"/>
  </r>
  <r>
    <x v="3"/>
  </r>
  <r>
    <x v="4"/>
  </r>
  <r>
    <x v="0"/>
  </r>
  <r>
    <x v="0"/>
  </r>
  <r>
    <x v="0"/>
  </r>
  <r>
    <x v="1"/>
  </r>
  <r>
    <x v="0"/>
  </r>
  <r>
    <x v="0"/>
  </r>
  <r>
    <x v="0"/>
  </r>
  <r>
    <x v="2"/>
  </r>
  <r>
    <x v="0"/>
  </r>
  <r>
    <x v="4"/>
  </r>
  <r>
    <x v="0"/>
  </r>
  <r>
    <x v="3"/>
  </r>
  <r>
    <x v="0"/>
  </r>
  <r>
    <x v="3"/>
  </r>
  <r>
    <x v="2"/>
  </r>
  <r>
    <x v="4"/>
  </r>
  <r>
    <x v="4"/>
  </r>
  <r>
    <x v="1"/>
  </r>
  <r>
    <x v="3"/>
  </r>
  <r>
    <x v="1"/>
  </r>
  <r>
    <x v="0"/>
  </r>
  <r>
    <x v="1"/>
  </r>
  <r>
    <x v="0"/>
  </r>
  <r>
    <x v="4"/>
  </r>
  <r>
    <x v="3"/>
  </r>
  <r>
    <x v="0"/>
  </r>
  <r>
    <x v="3"/>
  </r>
  <r>
    <x v="4"/>
  </r>
  <r>
    <x v="1"/>
  </r>
  <r>
    <x v="1"/>
  </r>
  <r>
    <x v="4"/>
  </r>
  <r>
    <x v="1"/>
  </r>
  <r>
    <x v="0"/>
  </r>
  <r>
    <x v="1"/>
  </r>
  <r>
    <x v="0"/>
  </r>
  <r>
    <x v="4"/>
  </r>
  <r>
    <x v="0"/>
  </r>
  <r>
    <x v="1"/>
  </r>
  <r>
    <x v="1"/>
  </r>
  <r>
    <x v="0"/>
  </r>
  <r>
    <x v="1"/>
  </r>
  <r>
    <x v="0"/>
  </r>
  <r>
    <x v="4"/>
  </r>
  <r>
    <x v="1"/>
  </r>
  <r>
    <x v="0"/>
  </r>
  <r>
    <x v="0"/>
  </r>
  <r>
    <x v="1"/>
  </r>
  <r>
    <x v="0"/>
  </r>
  <r>
    <x v="0"/>
  </r>
  <r>
    <x v="0"/>
  </r>
  <r>
    <x v="2"/>
  </r>
  <r>
    <x v="1"/>
  </r>
  <r>
    <x v="4"/>
  </r>
  <r>
    <x v="0"/>
  </r>
  <r>
    <x v="1"/>
  </r>
  <r>
    <x v="4"/>
  </r>
  <r>
    <x v="0"/>
  </r>
  <r>
    <x v="0"/>
  </r>
  <r>
    <x v="4"/>
  </r>
  <r>
    <x v="2"/>
  </r>
  <r>
    <x v="3"/>
  </r>
  <r>
    <x v="4"/>
  </r>
  <r>
    <x v="2"/>
  </r>
  <r>
    <x v="1"/>
  </r>
  <r>
    <x v="0"/>
  </r>
  <r>
    <x v="1"/>
  </r>
  <r>
    <x v="1"/>
  </r>
  <r>
    <x v="0"/>
  </r>
  <r>
    <x v="4"/>
  </r>
  <r>
    <x v="0"/>
  </r>
  <r>
    <x v="4"/>
  </r>
  <r>
    <x v="0"/>
  </r>
  <r>
    <x v="0"/>
  </r>
  <r>
    <x v="1"/>
  </r>
  <r>
    <x v="0"/>
  </r>
  <r>
    <x v="0"/>
  </r>
  <r>
    <x v="4"/>
  </r>
  <r>
    <x v="1"/>
  </r>
  <r>
    <x v="1"/>
  </r>
  <r>
    <x v="4"/>
  </r>
  <r>
    <x v="0"/>
  </r>
  <r>
    <x v="0"/>
  </r>
  <r>
    <x v="1"/>
  </r>
  <r>
    <x v="0"/>
  </r>
  <r>
    <x v="2"/>
  </r>
  <r>
    <x v="2"/>
  </r>
  <r>
    <x v="4"/>
  </r>
  <r>
    <x v="1"/>
  </r>
  <r>
    <x v="4"/>
  </r>
  <r>
    <x v="1"/>
  </r>
  <r>
    <x v="1"/>
  </r>
  <r>
    <x v="1"/>
  </r>
  <r>
    <x v="2"/>
  </r>
  <r>
    <x v="4"/>
  </r>
  <r>
    <x v="4"/>
  </r>
  <r>
    <x v="4"/>
  </r>
  <r>
    <x v="1"/>
  </r>
  <r>
    <x v="0"/>
  </r>
  <r>
    <x v="4"/>
  </r>
  <r>
    <x v="4"/>
  </r>
  <r>
    <x v="2"/>
  </r>
  <r>
    <x v="1"/>
  </r>
  <r>
    <x v="2"/>
  </r>
  <r>
    <x v="0"/>
  </r>
  <r>
    <x v="4"/>
  </r>
  <r>
    <x v="0"/>
  </r>
  <r>
    <x v="3"/>
  </r>
  <r>
    <x v="1"/>
  </r>
  <r>
    <x v="4"/>
  </r>
  <r>
    <x v="0"/>
  </r>
  <r>
    <x v="1"/>
  </r>
  <r>
    <x v="1"/>
  </r>
  <r>
    <x v="2"/>
  </r>
  <r>
    <x v="1"/>
  </r>
  <r>
    <x v="1"/>
  </r>
  <r>
    <x v="3"/>
  </r>
  <r>
    <x v="4"/>
  </r>
  <r>
    <x v="1"/>
  </r>
  <r>
    <x v="4"/>
  </r>
  <r>
    <x v="0"/>
  </r>
  <r>
    <x v="2"/>
  </r>
  <r>
    <x v="4"/>
  </r>
  <r>
    <x v="2"/>
  </r>
  <r>
    <x v="1"/>
  </r>
  <r>
    <x v="4"/>
  </r>
  <r>
    <x v="1"/>
  </r>
  <r>
    <x v="1"/>
  </r>
  <r>
    <x v="4"/>
  </r>
  <r>
    <x v="1"/>
  </r>
  <r>
    <x v="0"/>
  </r>
  <r>
    <x v="2"/>
  </r>
  <r>
    <x v="0"/>
  </r>
  <r>
    <x v="1"/>
  </r>
  <r>
    <x v="4"/>
  </r>
  <r>
    <x v="3"/>
  </r>
  <r>
    <x v="4"/>
  </r>
  <r>
    <x v="0"/>
  </r>
  <r>
    <x v="1"/>
  </r>
  <r>
    <x v="1"/>
  </r>
  <r>
    <x v="4"/>
  </r>
  <r>
    <x v="1"/>
  </r>
  <r>
    <x v="2"/>
  </r>
  <r>
    <x v="0"/>
  </r>
  <r>
    <x v="0"/>
  </r>
  <r>
    <x v="2"/>
  </r>
  <r>
    <x v="2"/>
  </r>
  <r>
    <x v="4"/>
  </r>
  <r>
    <x v="3"/>
  </r>
  <r>
    <x v="3"/>
  </r>
  <r>
    <x v="3"/>
  </r>
  <r>
    <x v="2"/>
  </r>
  <r>
    <x v="4"/>
  </r>
  <r>
    <x v="4"/>
  </r>
  <r>
    <x v="1"/>
  </r>
  <r>
    <x v="1"/>
  </r>
  <r>
    <x v="1"/>
  </r>
  <r>
    <x v="1"/>
  </r>
  <r>
    <x v="0"/>
  </r>
  <r>
    <x v="1"/>
  </r>
  <r>
    <x v="3"/>
  </r>
  <r>
    <x v="2"/>
  </r>
  <r>
    <x v="1"/>
  </r>
  <r>
    <x v="1"/>
  </r>
  <r>
    <x v="2"/>
  </r>
  <r>
    <x v="2"/>
  </r>
  <r>
    <x v="3"/>
  </r>
  <r>
    <x v="3"/>
  </r>
  <r>
    <x v="3"/>
  </r>
  <r>
    <x v="0"/>
  </r>
  <r>
    <x v="1"/>
  </r>
  <r>
    <x v="2"/>
  </r>
  <r>
    <x v="1"/>
  </r>
  <r>
    <x v="2"/>
  </r>
  <r>
    <x v="0"/>
  </r>
  <r>
    <x v="2"/>
  </r>
  <r>
    <x v="1"/>
  </r>
  <r>
    <x v="0"/>
  </r>
  <r>
    <x v="0"/>
  </r>
  <r>
    <x v="3"/>
  </r>
  <r>
    <x v="1"/>
  </r>
  <r>
    <x v="3"/>
  </r>
  <r>
    <x v="2"/>
  </r>
  <r>
    <x v="4"/>
  </r>
  <r>
    <x v="2"/>
  </r>
  <r>
    <x v="4"/>
  </r>
  <r>
    <x v="1"/>
  </r>
  <r>
    <x v="1"/>
  </r>
  <r>
    <x v="2"/>
  </r>
  <r>
    <x v="4"/>
  </r>
  <r>
    <x v="1"/>
  </r>
  <r>
    <x v="4"/>
  </r>
  <r>
    <x v="0"/>
  </r>
  <r>
    <x v="1"/>
  </r>
  <r>
    <x v="0"/>
  </r>
  <r>
    <x v="1"/>
  </r>
  <r>
    <x v="1"/>
  </r>
  <r>
    <x v="0"/>
  </r>
  <r>
    <x v="4"/>
  </r>
  <r>
    <x v="1"/>
  </r>
  <r>
    <x v="0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2"/>
  </r>
  <r>
    <x v="0"/>
  </r>
  <r>
    <x v="1"/>
  </r>
  <r>
    <x v="0"/>
  </r>
  <r>
    <x v="0"/>
  </r>
  <r>
    <x v="1"/>
  </r>
  <r>
    <x v="4"/>
  </r>
  <r>
    <x v="0"/>
  </r>
  <r>
    <x v="1"/>
  </r>
  <r>
    <x v="4"/>
  </r>
  <r>
    <x v="4"/>
  </r>
  <r>
    <x v="4"/>
  </r>
  <r>
    <x v="0"/>
  </r>
  <r>
    <x v="0"/>
  </r>
  <r>
    <x v="0"/>
  </r>
  <r>
    <x v="4"/>
  </r>
  <r>
    <x v="0"/>
  </r>
  <r>
    <x v="1"/>
  </r>
  <r>
    <x v="4"/>
  </r>
  <r>
    <x v="4"/>
  </r>
  <r>
    <x v="0"/>
  </r>
  <r>
    <x v="2"/>
  </r>
  <r>
    <x v="2"/>
  </r>
  <r>
    <x v="1"/>
  </r>
  <r>
    <x v="3"/>
  </r>
  <r>
    <x v="0"/>
  </r>
  <r>
    <x v="4"/>
  </r>
  <r>
    <x v="2"/>
  </r>
  <r>
    <x v="0"/>
  </r>
  <r>
    <x v="0"/>
  </r>
  <r>
    <x v="3"/>
  </r>
  <r>
    <x v="1"/>
  </r>
  <r>
    <x v="1"/>
  </r>
  <r>
    <x v="0"/>
  </r>
  <r>
    <x v="2"/>
  </r>
  <r>
    <x v="3"/>
  </r>
  <r>
    <x v="1"/>
  </r>
  <r>
    <x v="2"/>
  </r>
  <r>
    <x v="1"/>
  </r>
  <r>
    <x v="3"/>
  </r>
  <r>
    <x v="4"/>
  </r>
  <r>
    <x v="1"/>
  </r>
  <r>
    <x v="1"/>
  </r>
  <r>
    <x v="1"/>
  </r>
  <r>
    <x v="1"/>
  </r>
  <r>
    <x v="2"/>
  </r>
  <r>
    <x v="1"/>
  </r>
  <r>
    <x v="3"/>
  </r>
  <r>
    <x v="4"/>
  </r>
  <r>
    <x v="4"/>
  </r>
  <r>
    <x v="1"/>
  </r>
  <r>
    <x v="2"/>
  </r>
  <r>
    <x v="4"/>
  </r>
  <r>
    <x v="2"/>
  </r>
  <r>
    <x v="3"/>
  </r>
  <r>
    <x v="1"/>
  </r>
  <r>
    <x v="1"/>
  </r>
  <r>
    <x v="2"/>
  </r>
  <r>
    <x v="2"/>
  </r>
  <r>
    <x v="0"/>
  </r>
  <r>
    <x v="0"/>
  </r>
  <r>
    <x v="4"/>
  </r>
  <r>
    <x v="1"/>
  </r>
  <r>
    <x v="1"/>
  </r>
  <r>
    <x v="0"/>
  </r>
  <r>
    <x v="1"/>
  </r>
  <r>
    <x v="0"/>
  </r>
  <r>
    <x v="3"/>
  </r>
  <r>
    <x v="2"/>
  </r>
  <r>
    <x v="3"/>
  </r>
  <r>
    <x v="2"/>
  </r>
  <r>
    <x v="0"/>
  </r>
  <r>
    <x v="2"/>
  </r>
  <r>
    <x v="3"/>
  </r>
  <r>
    <x v="3"/>
  </r>
  <r>
    <x v="4"/>
  </r>
  <r>
    <x v="1"/>
  </r>
  <r>
    <x v="1"/>
  </r>
  <r>
    <x v="1"/>
  </r>
  <r>
    <x v="3"/>
  </r>
  <r>
    <x v="0"/>
  </r>
  <r>
    <x v="2"/>
  </r>
  <r>
    <x v="0"/>
  </r>
  <r>
    <x v="4"/>
  </r>
  <r>
    <x v="1"/>
  </r>
  <r>
    <x v="1"/>
  </r>
  <r>
    <x v="0"/>
  </r>
  <r>
    <x v="4"/>
  </r>
  <r>
    <x v="1"/>
  </r>
  <r>
    <x v="2"/>
  </r>
  <r>
    <x v="0"/>
  </r>
  <r>
    <x v="2"/>
  </r>
  <r>
    <x v="1"/>
  </r>
  <r>
    <x v="4"/>
  </r>
  <r>
    <x v="1"/>
  </r>
  <r>
    <x v="2"/>
  </r>
  <r>
    <x v="0"/>
  </r>
  <r>
    <x v="4"/>
  </r>
  <r>
    <x v="3"/>
  </r>
  <r>
    <x v="1"/>
  </r>
  <r>
    <x v="1"/>
  </r>
  <r>
    <x v="2"/>
  </r>
  <r>
    <x v="4"/>
  </r>
  <r>
    <x v="1"/>
  </r>
  <r>
    <x v="0"/>
  </r>
  <r>
    <x v="1"/>
  </r>
  <r>
    <x v="1"/>
  </r>
  <r>
    <x v="0"/>
  </r>
  <r>
    <x v="2"/>
  </r>
  <r>
    <x v="0"/>
  </r>
  <r>
    <x v="0"/>
  </r>
  <r>
    <x v="2"/>
  </r>
  <r>
    <x v="1"/>
  </r>
  <r>
    <x v="4"/>
  </r>
  <r>
    <x v="2"/>
  </r>
  <r>
    <x v="1"/>
  </r>
  <r>
    <x v="0"/>
  </r>
  <r>
    <x v="3"/>
  </r>
  <r>
    <x v="3"/>
  </r>
  <r>
    <x v="1"/>
  </r>
  <r>
    <x v="1"/>
  </r>
  <r>
    <x v="1"/>
  </r>
  <r>
    <x v="0"/>
  </r>
  <r>
    <x v="0"/>
  </r>
  <r>
    <x v="4"/>
  </r>
  <r>
    <x v="2"/>
  </r>
  <r>
    <x v="1"/>
  </r>
  <r>
    <x v="2"/>
  </r>
  <r>
    <x v="1"/>
  </r>
  <r>
    <x v="1"/>
  </r>
  <r>
    <x v="0"/>
  </r>
  <r>
    <x v="1"/>
  </r>
  <r>
    <x v="0"/>
  </r>
  <r>
    <x v="2"/>
  </r>
  <r>
    <x v="1"/>
  </r>
  <r>
    <x v="4"/>
  </r>
  <r>
    <x v="1"/>
  </r>
  <r>
    <x v="1"/>
  </r>
  <r>
    <x v="0"/>
  </r>
  <r>
    <x v="2"/>
  </r>
  <r>
    <x v="0"/>
  </r>
  <r>
    <x v="4"/>
  </r>
  <r>
    <x v="3"/>
  </r>
  <r>
    <x v="2"/>
  </r>
  <r>
    <x v="1"/>
  </r>
  <r>
    <x v="4"/>
  </r>
  <r>
    <x v="0"/>
  </r>
  <r>
    <x v="4"/>
  </r>
  <r>
    <x v="0"/>
  </r>
  <r>
    <x v="1"/>
  </r>
  <r>
    <x v="0"/>
  </r>
  <r>
    <x v="0"/>
  </r>
  <r>
    <x v="0"/>
  </r>
  <r>
    <x v="2"/>
  </r>
  <r>
    <x v="2"/>
  </r>
  <r>
    <x v="0"/>
  </r>
  <r>
    <x v="0"/>
  </r>
  <r>
    <x v="0"/>
  </r>
  <r>
    <x v="0"/>
  </r>
  <r>
    <x v="3"/>
  </r>
  <r>
    <x v="4"/>
  </r>
  <r>
    <x v="1"/>
  </r>
  <r>
    <x v="0"/>
  </r>
  <r>
    <x v="4"/>
  </r>
  <r>
    <x v="4"/>
  </r>
  <r>
    <x v="0"/>
  </r>
  <r>
    <x v="1"/>
  </r>
  <r>
    <x v="1"/>
  </r>
  <r>
    <x v="1"/>
  </r>
  <r>
    <x v="0"/>
  </r>
  <r>
    <x v="1"/>
  </r>
  <r>
    <x v="2"/>
  </r>
  <r>
    <x v="0"/>
  </r>
  <r>
    <x v="3"/>
  </r>
  <r>
    <x v="1"/>
  </r>
  <r>
    <x v="1"/>
  </r>
  <r>
    <x v="0"/>
  </r>
  <r>
    <x v="1"/>
  </r>
  <r>
    <x v="3"/>
  </r>
  <r>
    <x v="1"/>
  </r>
  <r>
    <x v="0"/>
  </r>
  <r>
    <x v="3"/>
  </r>
  <r>
    <x v="0"/>
  </r>
  <r>
    <x v="1"/>
  </r>
  <r>
    <x v="1"/>
  </r>
  <r>
    <x v="0"/>
  </r>
  <r>
    <x v="1"/>
  </r>
  <r>
    <x v="0"/>
  </r>
  <r>
    <x v="2"/>
  </r>
  <r>
    <x v="2"/>
  </r>
  <r>
    <x v="1"/>
  </r>
  <r>
    <x v="1"/>
  </r>
  <r>
    <x v="1"/>
  </r>
  <r>
    <x v="4"/>
  </r>
  <r>
    <x v="0"/>
  </r>
  <r>
    <x v="2"/>
  </r>
  <r>
    <x v="4"/>
  </r>
  <r>
    <x v="1"/>
  </r>
  <r>
    <x v="4"/>
  </r>
  <r>
    <x v="1"/>
  </r>
  <r>
    <x v="1"/>
  </r>
  <r>
    <x v="1"/>
  </r>
  <r>
    <x v="1"/>
  </r>
  <r>
    <x v="4"/>
  </r>
  <r>
    <x v="0"/>
  </r>
  <r>
    <x v="1"/>
  </r>
  <r>
    <x v="3"/>
  </r>
  <r>
    <x v="0"/>
  </r>
  <r>
    <x v="1"/>
  </r>
  <r>
    <x v="1"/>
  </r>
  <r>
    <x v="0"/>
  </r>
  <r>
    <x v="3"/>
  </r>
  <r>
    <x v="0"/>
  </r>
  <r>
    <x v="3"/>
  </r>
  <r>
    <x v="0"/>
  </r>
  <r>
    <x v="0"/>
  </r>
  <r>
    <x v="0"/>
  </r>
  <r>
    <x v="4"/>
  </r>
  <r>
    <x v="0"/>
  </r>
  <r>
    <x v="2"/>
  </r>
  <r>
    <x v="1"/>
  </r>
  <r>
    <x v="0"/>
  </r>
  <r>
    <x v="0"/>
  </r>
  <r>
    <x v="4"/>
  </r>
  <r>
    <x v="1"/>
  </r>
  <r>
    <x v="0"/>
  </r>
  <r>
    <x v="0"/>
  </r>
  <r>
    <x v="4"/>
  </r>
  <r>
    <x v="2"/>
  </r>
  <r>
    <x v="4"/>
  </r>
  <r>
    <x v="0"/>
  </r>
  <r>
    <x v="3"/>
  </r>
  <r>
    <x v="2"/>
  </r>
  <r>
    <x v="1"/>
  </r>
  <r>
    <x v="1"/>
  </r>
  <r>
    <x v="1"/>
  </r>
  <r>
    <x v="0"/>
  </r>
  <r>
    <x v="2"/>
  </r>
  <r>
    <x v="2"/>
  </r>
  <r>
    <x v="2"/>
  </r>
  <r>
    <x v="1"/>
  </r>
  <r>
    <x v="4"/>
  </r>
  <r>
    <x v="1"/>
  </r>
  <r>
    <x v="1"/>
  </r>
  <r>
    <x v="4"/>
  </r>
  <r>
    <x v="1"/>
  </r>
  <r>
    <x v="4"/>
  </r>
  <r>
    <x v="4"/>
  </r>
  <r>
    <x v="2"/>
  </r>
  <r>
    <x v="1"/>
  </r>
  <r>
    <x v="2"/>
  </r>
  <r>
    <x v="3"/>
  </r>
  <r>
    <x v="2"/>
  </r>
  <r>
    <x v="2"/>
  </r>
  <r>
    <x v="4"/>
  </r>
  <r>
    <x v="0"/>
  </r>
  <r>
    <x v="4"/>
  </r>
  <r>
    <x v="4"/>
  </r>
  <r>
    <x v="4"/>
  </r>
  <r>
    <x v="2"/>
  </r>
  <r>
    <x v="0"/>
  </r>
  <r>
    <x v="1"/>
  </r>
  <r>
    <x v="0"/>
  </r>
  <r>
    <x v="1"/>
  </r>
  <r>
    <x v="0"/>
  </r>
  <r>
    <x v="1"/>
  </r>
  <r>
    <x v="0"/>
  </r>
  <r>
    <x v="2"/>
  </r>
  <r>
    <x v="0"/>
  </r>
  <r>
    <x v="1"/>
  </r>
  <r>
    <x v="0"/>
  </r>
  <r>
    <x v="1"/>
  </r>
  <r>
    <x v="0"/>
  </r>
  <r>
    <x v="0"/>
  </r>
  <r>
    <x v="3"/>
  </r>
  <r>
    <x v="1"/>
  </r>
  <r>
    <x v="4"/>
  </r>
  <r>
    <x v="2"/>
  </r>
  <r>
    <x v="3"/>
  </r>
  <r>
    <x v="1"/>
  </r>
  <r>
    <x v="0"/>
  </r>
  <r>
    <x v="1"/>
  </r>
  <r>
    <x v="0"/>
  </r>
  <r>
    <x v="1"/>
  </r>
  <r>
    <x v="2"/>
  </r>
  <r>
    <x v="1"/>
  </r>
  <r>
    <x v="0"/>
  </r>
  <r>
    <x v="0"/>
  </r>
  <r>
    <x v="3"/>
  </r>
  <r>
    <x v="4"/>
  </r>
  <r>
    <x v="1"/>
  </r>
  <r>
    <x v="1"/>
  </r>
  <r>
    <x v="1"/>
  </r>
  <r>
    <x v="2"/>
  </r>
  <r>
    <x v="4"/>
  </r>
  <r>
    <x v="4"/>
  </r>
  <r>
    <x v="1"/>
  </r>
  <r>
    <x v="2"/>
  </r>
  <r>
    <x v="4"/>
  </r>
  <r>
    <x v="3"/>
  </r>
  <r>
    <x v="0"/>
  </r>
  <r>
    <x v="1"/>
  </r>
  <r>
    <x v="0"/>
  </r>
  <r>
    <x v="1"/>
  </r>
  <r>
    <x v="4"/>
  </r>
  <r>
    <x v="4"/>
  </r>
  <r>
    <x v="1"/>
  </r>
  <r>
    <x v="1"/>
  </r>
  <r>
    <x v="1"/>
  </r>
  <r>
    <x v="3"/>
  </r>
  <r>
    <x v="1"/>
  </r>
  <r>
    <x v="0"/>
  </r>
  <r>
    <x v="1"/>
  </r>
  <r>
    <x v="0"/>
  </r>
  <r>
    <x v="4"/>
  </r>
  <r>
    <x v="2"/>
  </r>
  <r>
    <x v="1"/>
  </r>
  <r>
    <x v="4"/>
  </r>
  <r>
    <x v="0"/>
  </r>
  <r>
    <x v="3"/>
  </r>
  <r>
    <x v="1"/>
  </r>
  <r>
    <x v="1"/>
  </r>
  <r>
    <x v="0"/>
  </r>
  <r>
    <x v="1"/>
  </r>
  <r>
    <x v="1"/>
  </r>
  <r>
    <x v="4"/>
  </r>
  <r>
    <x v="4"/>
  </r>
  <r>
    <x v="0"/>
  </r>
  <r>
    <x v="4"/>
  </r>
  <r>
    <x v="0"/>
  </r>
  <r>
    <x v="4"/>
  </r>
  <r>
    <x v="4"/>
  </r>
  <r>
    <x v="4"/>
  </r>
  <r>
    <x v="1"/>
  </r>
  <r>
    <x v="1"/>
  </r>
  <r>
    <x v="0"/>
  </r>
  <r>
    <x v="0"/>
  </r>
  <r>
    <x v="2"/>
  </r>
  <r>
    <x v="0"/>
  </r>
  <r>
    <x v="1"/>
  </r>
  <r>
    <x v="1"/>
  </r>
  <r>
    <x v="1"/>
  </r>
  <r>
    <x v="4"/>
  </r>
  <r>
    <x v="0"/>
  </r>
  <r>
    <x v="4"/>
  </r>
  <r>
    <x v="0"/>
  </r>
  <r>
    <x v="2"/>
  </r>
  <r>
    <x v="3"/>
  </r>
  <r>
    <x v="4"/>
  </r>
  <r>
    <x v="2"/>
  </r>
  <r>
    <x v="0"/>
  </r>
  <r>
    <x v="3"/>
  </r>
  <r>
    <x v="2"/>
  </r>
  <r>
    <x v="3"/>
  </r>
  <r>
    <x v="4"/>
  </r>
  <r>
    <x v="2"/>
  </r>
  <r>
    <x v="0"/>
  </r>
  <r>
    <x v="1"/>
  </r>
  <r>
    <x v="0"/>
  </r>
  <r>
    <x v="2"/>
  </r>
  <r>
    <x v="1"/>
  </r>
  <r>
    <x v="4"/>
  </r>
  <r>
    <x v="0"/>
  </r>
  <r>
    <x v="0"/>
  </r>
  <r>
    <x v="2"/>
  </r>
  <r>
    <x v="2"/>
  </r>
  <r>
    <x v="4"/>
  </r>
  <r>
    <x v="1"/>
  </r>
  <r>
    <x v="0"/>
  </r>
  <r>
    <x v="0"/>
  </r>
  <r>
    <x v="0"/>
  </r>
  <r>
    <x v="1"/>
  </r>
  <r>
    <x v="0"/>
  </r>
  <r>
    <x v="1"/>
  </r>
  <r>
    <x v="4"/>
  </r>
  <r>
    <x v="1"/>
  </r>
  <r>
    <x v="0"/>
  </r>
  <r>
    <x v="1"/>
  </r>
  <r>
    <x v="3"/>
  </r>
  <r>
    <x v="0"/>
  </r>
  <r>
    <x v="1"/>
  </r>
  <r>
    <x v="0"/>
  </r>
  <r>
    <x v="2"/>
  </r>
  <r>
    <x v="2"/>
  </r>
  <r>
    <x v="4"/>
  </r>
  <r>
    <x v="1"/>
  </r>
  <r>
    <x v="4"/>
  </r>
  <r>
    <x v="2"/>
  </r>
  <r>
    <x v="0"/>
  </r>
  <r>
    <x v="2"/>
  </r>
  <r>
    <x v="1"/>
  </r>
  <r>
    <x v="1"/>
  </r>
  <r>
    <x v="2"/>
  </r>
  <r>
    <x v="4"/>
  </r>
  <r>
    <x v="1"/>
  </r>
  <r>
    <x v="0"/>
  </r>
  <r>
    <x v="2"/>
  </r>
  <r>
    <x v="1"/>
  </r>
  <r>
    <x v="1"/>
  </r>
  <r>
    <x v="1"/>
  </r>
  <r>
    <x v="3"/>
  </r>
  <r>
    <x v="3"/>
  </r>
  <r>
    <x v="0"/>
  </r>
  <r>
    <x v="0"/>
  </r>
  <r>
    <x v="1"/>
  </r>
  <r>
    <x v="1"/>
  </r>
  <r>
    <x v="2"/>
  </r>
  <r>
    <x v="1"/>
  </r>
  <r>
    <x v="0"/>
  </r>
  <r>
    <x v="4"/>
  </r>
  <r>
    <x v="1"/>
  </r>
  <r>
    <x v="0"/>
  </r>
  <r>
    <x v="0"/>
  </r>
  <r>
    <x v="4"/>
  </r>
  <r>
    <x v="1"/>
  </r>
  <r>
    <x v="1"/>
  </r>
  <r>
    <x v="0"/>
  </r>
  <r>
    <x v="3"/>
  </r>
  <r>
    <x v="1"/>
  </r>
  <r>
    <x v="3"/>
  </r>
  <r>
    <x v="4"/>
  </r>
  <r>
    <x v="2"/>
  </r>
  <r>
    <x v="1"/>
  </r>
  <r>
    <x v="1"/>
  </r>
  <r>
    <x v="1"/>
  </r>
  <r>
    <x v="0"/>
  </r>
  <r>
    <x v="3"/>
  </r>
  <r>
    <x v="1"/>
  </r>
  <r>
    <x v="0"/>
  </r>
  <r>
    <x v="1"/>
  </r>
  <r>
    <x v="4"/>
  </r>
  <r>
    <x v="1"/>
  </r>
  <r>
    <x v="1"/>
  </r>
  <r>
    <x v="1"/>
  </r>
  <r>
    <x v="2"/>
  </r>
  <r>
    <x v="1"/>
  </r>
  <r>
    <x v="1"/>
  </r>
  <r>
    <x v="1"/>
  </r>
  <r>
    <x v="3"/>
  </r>
  <r>
    <x v="4"/>
  </r>
  <r>
    <x v="4"/>
  </r>
  <r>
    <x v="4"/>
  </r>
  <r>
    <x v="1"/>
  </r>
  <r>
    <x v="4"/>
  </r>
  <r>
    <x v="1"/>
  </r>
  <r>
    <x v="0"/>
  </r>
  <r>
    <x v="0"/>
  </r>
  <r>
    <x v="0"/>
  </r>
  <r>
    <x v="1"/>
  </r>
  <r>
    <x v="1"/>
  </r>
  <r>
    <x v="2"/>
  </r>
  <r>
    <x v="4"/>
  </r>
  <r>
    <x v="1"/>
  </r>
  <r>
    <x v="1"/>
  </r>
  <r>
    <x v="2"/>
  </r>
  <r>
    <x v="2"/>
  </r>
  <r>
    <x v="3"/>
  </r>
  <r>
    <x v="1"/>
  </r>
  <r>
    <x v="0"/>
  </r>
  <r>
    <x v="1"/>
  </r>
  <r>
    <x v="4"/>
  </r>
  <r>
    <x v="1"/>
  </r>
  <r>
    <x v="1"/>
  </r>
  <r>
    <x v="1"/>
  </r>
  <r>
    <x v="4"/>
  </r>
  <r>
    <x v="0"/>
  </r>
  <r>
    <x v="4"/>
  </r>
  <r>
    <x v="2"/>
  </r>
  <r>
    <x v="4"/>
  </r>
  <r>
    <x v="0"/>
  </r>
  <r>
    <x v="3"/>
  </r>
  <r>
    <x v="0"/>
  </r>
  <r>
    <x v="1"/>
  </r>
  <r>
    <x v="3"/>
  </r>
  <r>
    <x v="1"/>
  </r>
  <r>
    <x v="0"/>
  </r>
  <r>
    <x v="1"/>
  </r>
  <r>
    <x v="0"/>
  </r>
  <r>
    <x v="0"/>
  </r>
  <r>
    <x v="1"/>
  </r>
  <r>
    <x v="0"/>
  </r>
  <r>
    <x v="2"/>
  </r>
  <r>
    <x v="1"/>
  </r>
  <r>
    <x v="0"/>
  </r>
  <r>
    <x v="1"/>
  </r>
  <r>
    <x v="2"/>
  </r>
  <r>
    <x v="4"/>
  </r>
  <r>
    <x v="2"/>
  </r>
  <r>
    <x v="1"/>
  </r>
  <r>
    <x v="1"/>
  </r>
  <r>
    <x v="1"/>
  </r>
  <r>
    <x v="1"/>
  </r>
  <r>
    <x v="0"/>
  </r>
  <r>
    <x v="3"/>
  </r>
  <r>
    <x v="0"/>
  </r>
  <r>
    <x v="3"/>
  </r>
  <r>
    <x v="1"/>
  </r>
  <r>
    <x v="3"/>
  </r>
  <r>
    <x v="1"/>
  </r>
  <r>
    <x v="3"/>
  </r>
  <r>
    <x v="1"/>
  </r>
  <r>
    <x v="3"/>
  </r>
  <r>
    <x v="1"/>
  </r>
  <r>
    <x v="1"/>
  </r>
  <r>
    <x v="0"/>
  </r>
  <r>
    <x v="0"/>
  </r>
  <r>
    <x v="4"/>
  </r>
  <r>
    <x v="3"/>
  </r>
  <r>
    <x v="4"/>
  </r>
  <r>
    <x v="4"/>
  </r>
  <r>
    <x v="1"/>
  </r>
  <r>
    <x v="4"/>
  </r>
  <r>
    <x v="0"/>
  </r>
  <r>
    <x v="2"/>
  </r>
  <r>
    <x v="0"/>
  </r>
  <r>
    <x v="4"/>
  </r>
  <r>
    <x v="1"/>
  </r>
  <r>
    <x v="1"/>
  </r>
  <r>
    <x v="0"/>
  </r>
  <r>
    <x v="1"/>
  </r>
  <r>
    <x v="1"/>
  </r>
  <r>
    <x v="1"/>
  </r>
  <r>
    <x v="2"/>
  </r>
  <r>
    <x v="1"/>
  </r>
  <r>
    <x v="2"/>
  </r>
  <r>
    <x v="1"/>
  </r>
  <r>
    <x v="1"/>
  </r>
  <r>
    <x v="0"/>
  </r>
  <r>
    <x v="0"/>
  </r>
  <r>
    <x v="0"/>
  </r>
  <r>
    <x v="0"/>
  </r>
  <r>
    <x v="1"/>
  </r>
  <r>
    <x v="4"/>
  </r>
  <r>
    <x v="0"/>
  </r>
  <r>
    <x v="1"/>
  </r>
  <r>
    <x v="2"/>
  </r>
  <r>
    <x v="4"/>
  </r>
  <r>
    <x v="0"/>
  </r>
  <r>
    <x v="2"/>
  </r>
  <r>
    <x v="3"/>
  </r>
  <r>
    <x v="0"/>
  </r>
  <r>
    <x v="1"/>
  </r>
  <r>
    <x v="3"/>
  </r>
  <r>
    <x v="1"/>
  </r>
  <r>
    <x v="1"/>
  </r>
  <r>
    <x v="1"/>
  </r>
  <r>
    <x v="4"/>
  </r>
  <r>
    <x v="3"/>
  </r>
  <r>
    <x v="4"/>
  </r>
  <r>
    <x v="3"/>
  </r>
  <r>
    <x v="1"/>
  </r>
  <r>
    <x v="1"/>
  </r>
  <r>
    <x v="4"/>
  </r>
  <r>
    <x v="3"/>
  </r>
  <r>
    <x v="0"/>
  </r>
  <r>
    <x v="1"/>
  </r>
  <r>
    <x v="1"/>
  </r>
  <r>
    <x v="1"/>
  </r>
  <r>
    <x v="1"/>
  </r>
  <r>
    <x v="1"/>
  </r>
  <r>
    <x v="3"/>
  </r>
  <r>
    <x v="0"/>
  </r>
  <r>
    <x v="4"/>
  </r>
  <r>
    <x v="1"/>
  </r>
  <r>
    <x v="1"/>
  </r>
  <r>
    <x v="0"/>
  </r>
  <r>
    <x v="2"/>
  </r>
  <r>
    <x v="0"/>
  </r>
  <r>
    <x v="2"/>
  </r>
  <r>
    <x v="2"/>
  </r>
  <r>
    <x v="1"/>
  </r>
  <r>
    <x v="1"/>
  </r>
  <r>
    <x v="4"/>
  </r>
  <r>
    <x v="0"/>
  </r>
  <r>
    <x v="1"/>
  </r>
  <r>
    <x v="0"/>
  </r>
  <r>
    <x v="0"/>
  </r>
  <r>
    <x v="3"/>
  </r>
  <r>
    <x v="1"/>
  </r>
  <r>
    <x v="1"/>
  </r>
  <r>
    <x v="0"/>
  </r>
  <r>
    <x v="4"/>
  </r>
  <r>
    <x v="4"/>
  </r>
  <r>
    <x v="3"/>
  </r>
  <r>
    <x v="2"/>
  </r>
  <r>
    <x v="0"/>
  </r>
  <r>
    <x v="1"/>
  </r>
  <r>
    <x v="0"/>
  </r>
  <r>
    <x v="4"/>
  </r>
  <r>
    <x v="2"/>
  </r>
  <r>
    <x v="3"/>
  </r>
  <r>
    <x v="4"/>
  </r>
  <r>
    <x v="0"/>
  </r>
  <r>
    <x v="1"/>
  </r>
  <r>
    <x v="1"/>
  </r>
  <r>
    <x v="1"/>
  </r>
  <r>
    <x v="1"/>
  </r>
  <r>
    <x v="0"/>
  </r>
  <r>
    <x v="1"/>
  </r>
  <r>
    <x v="4"/>
  </r>
  <r>
    <x v="0"/>
  </r>
  <r>
    <x v="4"/>
  </r>
  <r>
    <x v="0"/>
  </r>
  <r>
    <x v="1"/>
  </r>
  <r>
    <x v="3"/>
  </r>
  <r>
    <x v="1"/>
  </r>
  <r>
    <x v="3"/>
  </r>
  <r>
    <x v="1"/>
  </r>
  <r>
    <x v="0"/>
  </r>
  <r>
    <x v="1"/>
  </r>
  <r>
    <x v="1"/>
  </r>
  <r>
    <x v="0"/>
  </r>
  <r>
    <x v="4"/>
  </r>
  <r>
    <x v="1"/>
  </r>
  <r>
    <x v="0"/>
  </r>
  <r>
    <x v="1"/>
  </r>
  <r>
    <x v="0"/>
  </r>
  <r>
    <x v="3"/>
  </r>
  <r>
    <x v="2"/>
  </r>
  <r>
    <x v="0"/>
  </r>
  <r>
    <x v="1"/>
  </r>
  <r>
    <x v="1"/>
  </r>
  <r>
    <x v="3"/>
  </r>
  <r>
    <x v="1"/>
  </r>
  <r>
    <x v="2"/>
  </r>
  <r>
    <x v="0"/>
  </r>
  <r>
    <x v="3"/>
  </r>
  <r>
    <x v="0"/>
  </r>
  <r>
    <x v="0"/>
  </r>
  <r>
    <x v="4"/>
  </r>
  <r>
    <x v="3"/>
  </r>
  <r>
    <x v="3"/>
  </r>
  <r>
    <x v="4"/>
  </r>
  <r>
    <x v="2"/>
  </r>
  <r>
    <x v="0"/>
  </r>
  <r>
    <x v="2"/>
  </r>
  <r>
    <x v="2"/>
  </r>
  <r>
    <x v="0"/>
  </r>
  <r>
    <x v="4"/>
  </r>
  <r>
    <x v="0"/>
  </r>
  <r>
    <x v="0"/>
  </r>
  <r>
    <x v="2"/>
  </r>
  <r>
    <x v="0"/>
  </r>
  <r>
    <x v="1"/>
  </r>
  <r>
    <x v="0"/>
  </r>
  <r>
    <x v="1"/>
  </r>
  <r>
    <x v="0"/>
  </r>
  <r>
    <x v="3"/>
  </r>
  <r>
    <x v="4"/>
  </r>
  <r>
    <x v="2"/>
  </r>
  <r>
    <x v="1"/>
  </r>
  <r>
    <x v="3"/>
  </r>
  <r>
    <x v="4"/>
  </r>
  <r>
    <x v="1"/>
  </r>
  <r>
    <x v="4"/>
  </r>
  <r>
    <x v="3"/>
  </r>
  <r>
    <x v="1"/>
  </r>
  <r>
    <x v="0"/>
  </r>
  <r>
    <x v="3"/>
  </r>
  <r>
    <x v="1"/>
  </r>
  <r>
    <x v="4"/>
  </r>
  <r>
    <x v="0"/>
  </r>
  <r>
    <x v="0"/>
  </r>
  <r>
    <x v="4"/>
  </r>
  <r>
    <x v="1"/>
  </r>
  <r>
    <x v="2"/>
  </r>
  <r>
    <x v="1"/>
  </r>
  <r>
    <x v="1"/>
  </r>
  <r>
    <x v="0"/>
  </r>
  <r>
    <x v="0"/>
  </r>
  <r>
    <x v="1"/>
  </r>
  <r>
    <x v="2"/>
  </r>
  <r>
    <x v="3"/>
  </r>
  <r>
    <x v="2"/>
  </r>
  <r>
    <x v="0"/>
  </r>
  <r>
    <x v="2"/>
  </r>
  <r>
    <x v="3"/>
  </r>
  <r>
    <x v="0"/>
  </r>
  <r>
    <x v="1"/>
  </r>
  <r>
    <x v="1"/>
  </r>
  <r>
    <x v="0"/>
  </r>
  <r>
    <x v="3"/>
  </r>
  <r>
    <x v="0"/>
  </r>
  <r>
    <x v="4"/>
  </r>
  <r>
    <x v="1"/>
  </r>
  <r>
    <x v="1"/>
  </r>
  <r>
    <x v="0"/>
  </r>
  <r>
    <x v="3"/>
  </r>
  <r>
    <x v="0"/>
  </r>
  <r>
    <x v="2"/>
  </r>
  <r>
    <x v="1"/>
  </r>
  <r>
    <x v="4"/>
  </r>
  <r>
    <x v="4"/>
  </r>
  <r>
    <x v="2"/>
  </r>
  <r>
    <x v="1"/>
  </r>
  <r>
    <x v="1"/>
  </r>
  <r>
    <x v="1"/>
  </r>
  <r>
    <x v="3"/>
  </r>
  <r>
    <x v="1"/>
  </r>
  <r>
    <x v="1"/>
  </r>
  <r>
    <x v="0"/>
  </r>
  <r>
    <x v="0"/>
  </r>
  <r>
    <x v="2"/>
  </r>
  <r>
    <x v="3"/>
  </r>
  <r>
    <x v="0"/>
  </r>
  <r>
    <x v="3"/>
  </r>
  <r>
    <x v="4"/>
  </r>
  <r>
    <x v="1"/>
  </r>
  <r>
    <x v="3"/>
  </r>
  <r>
    <x v="4"/>
  </r>
  <r>
    <x v="0"/>
  </r>
  <r>
    <x v="4"/>
  </r>
  <r>
    <x v="0"/>
  </r>
  <r>
    <x v="1"/>
  </r>
  <r>
    <x v="4"/>
  </r>
  <r>
    <x v="2"/>
  </r>
  <r>
    <x v="4"/>
  </r>
  <r>
    <x v="1"/>
  </r>
  <r>
    <x v="3"/>
  </r>
  <r>
    <x v="1"/>
  </r>
  <r>
    <x v="1"/>
  </r>
  <r>
    <x v="1"/>
  </r>
  <r>
    <x v="1"/>
  </r>
  <r>
    <x v="0"/>
  </r>
  <r>
    <x v="4"/>
  </r>
  <r>
    <x v="2"/>
  </r>
  <r>
    <x v="3"/>
  </r>
  <r>
    <x v="2"/>
  </r>
  <r>
    <x v="0"/>
  </r>
  <r>
    <x v="4"/>
  </r>
  <r>
    <x v="2"/>
  </r>
  <r>
    <x v="0"/>
  </r>
  <r>
    <x v="2"/>
  </r>
  <r>
    <x v="0"/>
  </r>
  <r>
    <x v="0"/>
  </r>
  <r>
    <x v="0"/>
  </r>
  <r>
    <x v="4"/>
  </r>
  <r>
    <x v="4"/>
  </r>
  <r>
    <x v="0"/>
  </r>
  <r>
    <x v="0"/>
  </r>
  <r>
    <x v="3"/>
  </r>
  <r>
    <x v="3"/>
  </r>
  <r>
    <x v="1"/>
  </r>
  <r>
    <x v="1"/>
  </r>
  <r>
    <x v="4"/>
  </r>
  <r>
    <x v="0"/>
  </r>
  <r>
    <x v="1"/>
  </r>
  <r>
    <x v="0"/>
  </r>
  <r>
    <x v="2"/>
  </r>
  <r>
    <x v="2"/>
  </r>
  <r>
    <x v="0"/>
  </r>
  <r>
    <x v="0"/>
  </r>
  <r>
    <x v="0"/>
  </r>
  <r>
    <x v="1"/>
  </r>
  <r>
    <x v="0"/>
  </r>
  <r>
    <x v="1"/>
  </r>
  <r>
    <x v="0"/>
  </r>
  <r>
    <x v="1"/>
  </r>
  <r>
    <x v="4"/>
  </r>
  <r>
    <x v="4"/>
  </r>
  <r>
    <x v="0"/>
  </r>
  <r>
    <x v="1"/>
  </r>
  <r>
    <x v="1"/>
  </r>
  <r>
    <x v="4"/>
  </r>
  <r>
    <x v="1"/>
  </r>
  <r>
    <x v="1"/>
  </r>
  <r>
    <x v="4"/>
  </r>
  <r>
    <x v="2"/>
  </r>
  <r>
    <x v="1"/>
  </r>
  <r>
    <x v="0"/>
  </r>
  <r>
    <x v="3"/>
  </r>
  <r>
    <x v="3"/>
  </r>
  <r>
    <x v="1"/>
  </r>
  <r>
    <x v="2"/>
  </r>
  <r>
    <x v="4"/>
  </r>
  <r>
    <x v="3"/>
  </r>
  <r>
    <x v="0"/>
  </r>
  <r>
    <x v="2"/>
  </r>
  <r>
    <x v="2"/>
  </r>
  <r>
    <x v="0"/>
  </r>
  <r>
    <x v="2"/>
  </r>
  <r>
    <x v="1"/>
  </r>
  <r>
    <x v="1"/>
  </r>
  <r>
    <x v="0"/>
  </r>
  <r>
    <x v="3"/>
  </r>
  <r>
    <x v="0"/>
  </r>
  <r>
    <x v="4"/>
  </r>
  <r>
    <x v="4"/>
  </r>
  <r>
    <x v="1"/>
  </r>
  <r>
    <x v="0"/>
  </r>
  <r>
    <x v="4"/>
  </r>
  <r>
    <x v="3"/>
  </r>
  <r>
    <x v="1"/>
  </r>
  <r>
    <x v="0"/>
  </r>
  <r>
    <x v="1"/>
  </r>
  <r>
    <x v="1"/>
  </r>
  <r>
    <x v="0"/>
  </r>
  <r>
    <x v="0"/>
  </r>
  <r>
    <x v="1"/>
  </r>
  <r>
    <x v="1"/>
  </r>
  <r>
    <x v="2"/>
  </r>
  <r>
    <x v="3"/>
  </r>
  <r>
    <x v="1"/>
  </r>
  <r>
    <x v="4"/>
  </r>
  <r>
    <x v="1"/>
  </r>
  <r>
    <x v="3"/>
  </r>
  <r>
    <x v="4"/>
  </r>
  <r>
    <x v="2"/>
  </r>
  <r>
    <x v="1"/>
  </r>
  <r>
    <x v="4"/>
  </r>
  <r>
    <x v="0"/>
  </r>
  <r>
    <x v="1"/>
  </r>
  <r>
    <x v="1"/>
  </r>
  <r>
    <x v="0"/>
  </r>
  <r>
    <x v="4"/>
  </r>
  <r>
    <x v="1"/>
  </r>
  <r>
    <x v="0"/>
  </r>
  <r>
    <x v="1"/>
  </r>
  <r>
    <x v="1"/>
  </r>
  <r>
    <x v="4"/>
  </r>
  <r>
    <x v="1"/>
  </r>
  <r>
    <x v="0"/>
  </r>
  <r>
    <x v="0"/>
  </r>
  <r>
    <x v="4"/>
  </r>
  <r>
    <x v="0"/>
  </r>
  <r>
    <x v="3"/>
  </r>
  <r>
    <x v="0"/>
  </r>
  <r>
    <x v="4"/>
  </r>
  <r>
    <x v="1"/>
  </r>
  <r>
    <x v="0"/>
  </r>
  <r>
    <x v="0"/>
  </r>
  <r>
    <x v="1"/>
  </r>
  <r>
    <x v="0"/>
  </r>
  <r>
    <x v="1"/>
  </r>
  <r>
    <x v="1"/>
  </r>
  <r>
    <x v="1"/>
  </r>
  <r>
    <x v="4"/>
  </r>
  <r>
    <x v="2"/>
  </r>
  <r>
    <x v="1"/>
  </r>
  <r>
    <x v="0"/>
  </r>
  <r>
    <x v="1"/>
  </r>
  <r>
    <x v="1"/>
  </r>
  <r>
    <x v="2"/>
  </r>
  <r>
    <x v="4"/>
  </r>
  <r>
    <x v="1"/>
  </r>
  <r>
    <x v="1"/>
  </r>
  <r>
    <x v="2"/>
  </r>
  <r>
    <x v="1"/>
  </r>
  <r>
    <x v="1"/>
  </r>
  <r>
    <x v="4"/>
  </r>
  <r>
    <x v="0"/>
  </r>
  <r>
    <x v="0"/>
  </r>
  <r>
    <x v="2"/>
  </r>
  <r>
    <x v="1"/>
  </r>
  <r>
    <x v="4"/>
  </r>
  <r>
    <x v="1"/>
  </r>
  <r>
    <x v="4"/>
  </r>
  <r>
    <x v="2"/>
  </r>
  <r>
    <x v="0"/>
  </r>
  <r>
    <x v="4"/>
  </r>
  <r>
    <x v="2"/>
  </r>
  <r>
    <x v="1"/>
  </r>
  <r>
    <x v="4"/>
  </r>
  <r>
    <x v="3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4"/>
  </r>
  <r>
    <x v="1"/>
  </r>
  <r>
    <x v="1"/>
  </r>
  <r>
    <x v="1"/>
  </r>
  <r>
    <x v="0"/>
  </r>
  <r>
    <x v="1"/>
  </r>
  <r>
    <x v="4"/>
  </r>
  <r>
    <x v="1"/>
  </r>
  <r>
    <x v="3"/>
  </r>
  <r>
    <x v="0"/>
  </r>
  <r>
    <x v="0"/>
  </r>
  <r>
    <x v="2"/>
  </r>
  <r>
    <x v="4"/>
  </r>
  <r>
    <x v="4"/>
  </r>
  <r>
    <x v="3"/>
  </r>
  <r>
    <x v="0"/>
  </r>
  <r>
    <x v="2"/>
  </r>
  <r>
    <x v="0"/>
  </r>
  <r>
    <x v="2"/>
  </r>
  <r>
    <x v="1"/>
  </r>
  <r>
    <x v="1"/>
  </r>
  <r>
    <x v="4"/>
  </r>
  <r>
    <x v="1"/>
  </r>
  <r>
    <x v="1"/>
  </r>
  <r>
    <x v="1"/>
  </r>
  <r>
    <x v="4"/>
  </r>
  <r>
    <x v="2"/>
  </r>
  <r>
    <x v="4"/>
  </r>
  <r>
    <x v="2"/>
  </r>
  <r>
    <x v="0"/>
  </r>
  <r>
    <x v="1"/>
  </r>
  <r>
    <x v="1"/>
  </r>
  <r>
    <x v="0"/>
  </r>
  <r>
    <x v="1"/>
  </r>
  <r>
    <x v="1"/>
  </r>
  <r>
    <x v="0"/>
  </r>
  <r>
    <x v="4"/>
  </r>
  <r>
    <x v="0"/>
  </r>
  <r>
    <x v="2"/>
  </r>
  <r>
    <x v="4"/>
  </r>
  <r>
    <x v="4"/>
  </r>
  <r>
    <x v="3"/>
  </r>
  <r>
    <x v="1"/>
  </r>
  <r>
    <x v="4"/>
  </r>
  <r>
    <x v="2"/>
  </r>
  <r>
    <x v="0"/>
  </r>
  <r>
    <x v="2"/>
  </r>
  <r>
    <x v="0"/>
  </r>
  <r>
    <x v="4"/>
  </r>
  <r>
    <x v="1"/>
  </r>
  <r>
    <x v="3"/>
  </r>
  <r>
    <x v="2"/>
  </r>
  <r>
    <x v="2"/>
  </r>
  <r>
    <x v="4"/>
  </r>
  <r>
    <x v="1"/>
  </r>
  <r>
    <x v="1"/>
  </r>
  <r>
    <x v="2"/>
  </r>
  <r>
    <x v="0"/>
  </r>
  <r>
    <x v="1"/>
  </r>
  <r>
    <x v="0"/>
  </r>
  <r>
    <x v="0"/>
  </r>
  <r>
    <x v="4"/>
  </r>
  <r>
    <x v="0"/>
  </r>
  <r>
    <x v="4"/>
  </r>
  <r>
    <x v="2"/>
  </r>
  <r>
    <x v="1"/>
  </r>
  <r>
    <x v="1"/>
  </r>
  <r>
    <x v="0"/>
  </r>
  <r>
    <x v="3"/>
  </r>
  <r>
    <x v="0"/>
  </r>
  <r>
    <x v="0"/>
  </r>
  <r>
    <x v="4"/>
  </r>
  <r>
    <x v="0"/>
  </r>
  <r>
    <x v="3"/>
  </r>
  <r>
    <x v="2"/>
  </r>
  <r>
    <x v="0"/>
  </r>
  <r>
    <x v="4"/>
  </r>
  <r>
    <x v="1"/>
  </r>
  <r>
    <x v="4"/>
  </r>
  <r>
    <x v="4"/>
  </r>
  <r>
    <x v="0"/>
  </r>
  <r>
    <x v="1"/>
  </r>
  <r>
    <x v="3"/>
  </r>
  <r>
    <x v="0"/>
  </r>
  <r>
    <x v="4"/>
  </r>
  <r>
    <x v="1"/>
  </r>
  <r>
    <x v="0"/>
  </r>
  <r>
    <x v="2"/>
  </r>
  <r>
    <x v="0"/>
  </r>
  <r>
    <x v="4"/>
  </r>
  <r>
    <x v="1"/>
  </r>
  <r>
    <x v="0"/>
  </r>
  <r>
    <x v="3"/>
  </r>
  <r>
    <x v="0"/>
  </r>
  <r>
    <x v="3"/>
  </r>
  <r>
    <x v="3"/>
  </r>
  <r>
    <x v="3"/>
  </r>
  <r>
    <x v="2"/>
  </r>
  <r>
    <x v="1"/>
  </r>
  <r>
    <x v="3"/>
  </r>
  <r>
    <x v="1"/>
  </r>
  <r>
    <x v="1"/>
  </r>
  <r>
    <x v="1"/>
  </r>
  <r>
    <x v="0"/>
  </r>
  <r>
    <x v="4"/>
  </r>
  <r>
    <x v="0"/>
  </r>
  <r>
    <x v="1"/>
  </r>
  <r>
    <x v="0"/>
  </r>
  <r>
    <x v="0"/>
  </r>
  <r>
    <x v="2"/>
  </r>
  <r>
    <x v="1"/>
  </r>
  <r>
    <x v="1"/>
  </r>
  <r>
    <x v="1"/>
  </r>
  <r>
    <x v="1"/>
  </r>
  <r>
    <x v="4"/>
  </r>
  <r>
    <x v="0"/>
  </r>
  <r>
    <x v="1"/>
  </r>
  <r>
    <x v="0"/>
  </r>
  <r>
    <x v="0"/>
  </r>
  <r>
    <x v="3"/>
  </r>
  <r>
    <x v="1"/>
  </r>
  <r>
    <x v="2"/>
  </r>
  <r>
    <x v="4"/>
  </r>
  <r>
    <x v="1"/>
  </r>
  <r>
    <x v="3"/>
  </r>
  <r>
    <x v="2"/>
  </r>
  <r>
    <x v="4"/>
  </r>
  <r>
    <x v="0"/>
  </r>
  <r>
    <x v="0"/>
  </r>
  <r>
    <x v="1"/>
  </r>
  <r>
    <x v="1"/>
  </r>
  <r>
    <x v="2"/>
  </r>
  <r>
    <x v="2"/>
  </r>
  <r>
    <x v="1"/>
  </r>
  <r>
    <x v="2"/>
  </r>
  <r>
    <x v="4"/>
  </r>
  <r>
    <x v="1"/>
  </r>
  <r>
    <x v="0"/>
  </r>
  <r>
    <x v="0"/>
  </r>
  <r>
    <x v="2"/>
  </r>
  <r>
    <x v="2"/>
  </r>
  <r>
    <x v="1"/>
  </r>
  <r>
    <x v="0"/>
  </r>
  <r>
    <x v="2"/>
  </r>
  <r>
    <x v="2"/>
  </r>
  <r>
    <x v="1"/>
  </r>
  <r>
    <x v="0"/>
  </r>
  <r>
    <x v="2"/>
  </r>
  <r>
    <x v="1"/>
  </r>
  <r>
    <x v="0"/>
  </r>
  <r>
    <x v="2"/>
  </r>
  <r>
    <x v="1"/>
  </r>
  <r>
    <x v="2"/>
  </r>
  <r>
    <x v="1"/>
  </r>
  <r>
    <x v="1"/>
  </r>
  <r>
    <x v="1"/>
  </r>
  <r>
    <x v="1"/>
  </r>
  <r>
    <x v="1"/>
  </r>
  <r>
    <x v="4"/>
  </r>
  <r>
    <x v="1"/>
  </r>
  <r>
    <x v="3"/>
  </r>
  <r>
    <x v="0"/>
  </r>
  <r>
    <x v="0"/>
  </r>
  <r>
    <x v="0"/>
  </r>
  <r>
    <x v="4"/>
  </r>
  <r>
    <x v="0"/>
  </r>
  <r>
    <x v="1"/>
  </r>
  <r>
    <x v="2"/>
  </r>
  <r>
    <x v="0"/>
  </r>
  <r>
    <x v="1"/>
  </r>
  <r>
    <x v="0"/>
  </r>
  <r>
    <x v="4"/>
  </r>
  <r>
    <x v="1"/>
  </r>
  <r>
    <x v="2"/>
  </r>
  <r>
    <x v="4"/>
  </r>
  <r>
    <x v="4"/>
  </r>
  <r>
    <x v="0"/>
  </r>
  <r>
    <x v="3"/>
  </r>
  <r>
    <x v="1"/>
  </r>
  <r>
    <x v="0"/>
  </r>
  <r>
    <x v="1"/>
  </r>
  <r>
    <x v="4"/>
  </r>
  <r>
    <x v="1"/>
  </r>
  <r>
    <x v="1"/>
  </r>
  <r>
    <x v="2"/>
  </r>
  <r>
    <x v="0"/>
  </r>
  <r>
    <x v="0"/>
  </r>
  <r>
    <x v="4"/>
  </r>
  <r>
    <x v="4"/>
  </r>
  <r>
    <x v="1"/>
  </r>
  <r>
    <x v="1"/>
  </r>
  <r>
    <x v="3"/>
  </r>
  <r>
    <x v="0"/>
  </r>
  <r>
    <x v="0"/>
  </r>
  <r>
    <x v="2"/>
  </r>
  <r>
    <x v="0"/>
  </r>
  <r>
    <x v="1"/>
  </r>
  <r>
    <x v="1"/>
  </r>
  <r>
    <x v="0"/>
  </r>
  <r>
    <x v="2"/>
  </r>
  <r>
    <x v="1"/>
  </r>
  <r>
    <x v="1"/>
  </r>
  <r>
    <x v="2"/>
  </r>
  <r>
    <x v="1"/>
  </r>
  <r>
    <x v="4"/>
  </r>
  <r>
    <x v="1"/>
  </r>
  <r>
    <x v="4"/>
  </r>
  <r>
    <x v="0"/>
  </r>
  <r>
    <x v="1"/>
  </r>
  <r>
    <x v="0"/>
  </r>
  <r>
    <x v="4"/>
  </r>
  <r>
    <x v="4"/>
  </r>
  <r>
    <x v="4"/>
  </r>
  <r>
    <x v="0"/>
  </r>
  <r>
    <x v="0"/>
  </r>
  <r>
    <x v="4"/>
  </r>
  <r>
    <x v="4"/>
  </r>
  <r>
    <x v="4"/>
  </r>
  <r>
    <x v="0"/>
  </r>
  <r>
    <x v="1"/>
  </r>
  <r>
    <x v="1"/>
  </r>
  <r>
    <x v="1"/>
  </r>
  <r>
    <x v="3"/>
  </r>
  <r>
    <x v="2"/>
  </r>
  <r>
    <x v="0"/>
  </r>
  <r>
    <x v="1"/>
  </r>
  <r>
    <x v="1"/>
  </r>
  <r>
    <x v="2"/>
  </r>
  <r>
    <x v="2"/>
  </r>
  <r>
    <x v="1"/>
  </r>
  <r>
    <x v="2"/>
  </r>
  <r>
    <x v="0"/>
  </r>
  <r>
    <x v="1"/>
  </r>
  <r>
    <x v="4"/>
  </r>
  <r>
    <x v="4"/>
  </r>
  <r>
    <x v="2"/>
  </r>
  <r>
    <x v="1"/>
  </r>
  <r>
    <x v="1"/>
  </r>
  <r>
    <x v="1"/>
  </r>
  <r>
    <x v="1"/>
  </r>
  <r>
    <x v="0"/>
  </r>
  <r>
    <x v="1"/>
  </r>
  <r>
    <x v="0"/>
  </r>
  <r>
    <x v="0"/>
  </r>
  <r>
    <x v="4"/>
  </r>
  <r>
    <x v="4"/>
  </r>
  <r>
    <x v="4"/>
  </r>
  <r>
    <x v="1"/>
  </r>
  <r>
    <x v="1"/>
  </r>
  <r>
    <x v="1"/>
  </r>
  <r>
    <x v="1"/>
  </r>
  <r>
    <x v="1"/>
  </r>
  <r>
    <x v="1"/>
  </r>
  <r>
    <x v="4"/>
  </r>
  <r>
    <x v="3"/>
  </r>
  <r>
    <x v="1"/>
  </r>
  <r>
    <x v="2"/>
  </r>
  <r>
    <x v="1"/>
  </r>
  <r>
    <x v="4"/>
  </r>
  <r>
    <x v="4"/>
  </r>
  <r>
    <x v="3"/>
  </r>
  <r>
    <x v="1"/>
  </r>
  <r>
    <x v="1"/>
  </r>
  <r>
    <x v="1"/>
  </r>
  <r>
    <x v="0"/>
  </r>
  <r>
    <x v="3"/>
  </r>
  <r>
    <x v="2"/>
  </r>
  <r>
    <x v="4"/>
  </r>
  <r>
    <x v="0"/>
  </r>
  <r>
    <x v="2"/>
  </r>
  <r>
    <x v="0"/>
  </r>
  <r>
    <x v="1"/>
  </r>
  <r>
    <x v="2"/>
  </r>
  <r>
    <x v="1"/>
  </r>
  <r>
    <x v="1"/>
  </r>
  <r>
    <x v="1"/>
  </r>
  <r>
    <x v="4"/>
  </r>
  <r>
    <x v="4"/>
  </r>
  <r>
    <x v="1"/>
  </r>
  <r>
    <x v="4"/>
  </r>
  <r>
    <x v="2"/>
  </r>
  <r>
    <x v="3"/>
  </r>
  <r>
    <x v="0"/>
  </r>
  <r>
    <x v="2"/>
  </r>
  <r>
    <x v="2"/>
  </r>
  <r>
    <x v="1"/>
  </r>
  <r>
    <x v="1"/>
  </r>
  <r>
    <x v="0"/>
  </r>
  <r>
    <x v="1"/>
  </r>
  <r>
    <x v="1"/>
  </r>
  <r>
    <x v="0"/>
  </r>
  <r>
    <x v="1"/>
  </r>
  <r>
    <x v="1"/>
  </r>
  <r>
    <x v="0"/>
  </r>
  <r>
    <x v="4"/>
  </r>
  <r>
    <x v="2"/>
  </r>
  <r>
    <x v="0"/>
  </r>
  <r>
    <x v="0"/>
  </r>
  <r>
    <x v="0"/>
  </r>
  <r>
    <x v="1"/>
  </r>
  <r>
    <x v="1"/>
  </r>
  <r>
    <x v="2"/>
  </r>
  <r>
    <x v="0"/>
  </r>
  <r>
    <x v="2"/>
  </r>
  <r>
    <x v="4"/>
  </r>
  <r>
    <x v="1"/>
  </r>
  <r>
    <x v="0"/>
  </r>
  <r>
    <x v="0"/>
  </r>
  <r>
    <x v="0"/>
  </r>
  <r>
    <x v="0"/>
  </r>
  <r>
    <x v="3"/>
  </r>
  <r>
    <x v="2"/>
  </r>
  <r>
    <x v="3"/>
  </r>
  <r>
    <x v="1"/>
  </r>
  <r>
    <x v="1"/>
  </r>
  <r>
    <x v="1"/>
  </r>
  <r>
    <x v="1"/>
  </r>
  <r>
    <x v="0"/>
  </r>
  <r>
    <x v="4"/>
  </r>
  <r>
    <x v="0"/>
  </r>
  <r>
    <x v="3"/>
  </r>
  <r>
    <x v="3"/>
  </r>
  <r>
    <x v="1"/>
  </r>
  <r>
    <x v="2"/>
  </r>
  <r>
    <x v="0"/>
  </r>
  <r>
    <x v="0"/>
  </r>
  <r>
    <x v="2"/>
  </r>
  <r>
    <x v="1"/>
  </r>
  <r>
    <x v="2"/>
  </r>
  <r>
    <x v="4"/>
  </r>
  <r>
    <x v="2"/>
  </r>
  <r>
    <x v="3"/>
  </r>
  <r>
    <x v="0"/>
  </r>
  <r>
    <x v="1"/>
  </r>
  <r>
    <x v="1"/>
  </r>
  <r>
    <x v="1"/>
  </r>
  <r>
    <x v="1"/>
  </r>
  <r>
    <x v="2"/>
  </r>
  <r>
    <x v="1"/>
  </r>
  <r>
    <x v="3"/>
  </r>
  <r>
    <x v="4"/>
  </r>
  <r>
    <x v="1"/>
  </r>
  <r>
    <x v="0"/>
  </r>
  <r>
    <x v="0"/>
  </r>
  <r>
    <x v="0"/>
  </r>
  <r>
    <x v="0"/>
  </r>
  <r>
    <x v="1"/>
  </r>
  <r>
    <x v="4"/>
  </r>
  <r>
    <x v="0"/>
  </r>
  <r>
    <x v="2"/>
  </r>
  <r>
    <x v="2"/>
  </r>
  <r>
    <x v="1"/>
  </r>
  <r>
    <x v="1"/>
  </r>
  <r>
    <x v="4"/>
  </r>
  <r>
    <x v="3"/>
  </r>
  <r>
    <x v="0"/>
  </r>
  <r>
    <x v="1"/>
  </r>
  <r>
    <x v="1"/>
  </r>
  <r>
    <x v="1"/>
  </r>
  <r>
    <x v="1"/>
  </r>
  <r>
    <x v="0"/>
  </r>
  <r>
    <x v="4"/>
  </r>
  <r>
    <x v="1"/>
  </r>
  <r>
    <x v="1"/>
  </r>
  <r>
    <x v="0"/>
  </r>
  <r>
    <x v="2"/>
  </r>
  <r>
    <x v="0"/>
  </r>
  <r>
    <x v="3"/>
  </r>
  <r>
    <x v="0"/>
  </r>
  <r>
    <x v="1"/>
  </r>
  <r>
    <x v="1"/>
  </r>
  <r>
    <x v="4"/>
  </r>
  <r>
    <x v="0"/>
  </r>
  <r>
    <x v="4"/>
  </r>
  <r>
    <x v="2"/>
  </r>
  <r>
    <x v="4"/>
  </r>
  <r>
    <x v="1"/>
  </r>
  <r>
    <x v="2"/>
  </r>
  <r>
    <x v="0"/>
  </r>
  <r>
    <x v="0"/>
  </r>
  <r>
    <x v="0"/>
  </r>
  <r>
    <x v="4"/>
  </r>
  <r>
    <x v="1"/>
  </r>
  <r>
    <x v="0"/>
  </r>
  <r>
    <x v="1"/>
  </r>
  <r>
    <x v="0"/>
  </r>
  <r>
    <x v="1"/>
  </r>
  <r>
    <x v="1"/>
  </r>
  <r>
    <x v="1"/>
  </r>
  <r>
    <x v="0"/>
  </r>
  <r>
    <x v="2"/>
  </r>
  <r>
    <x v="1"/>
  </r>
  <r>
    <x v="0"/>
  </r>
  <r>
    <x v="1"/>
  </r>
  <r>
    <x v="2"/>
  </r>
  <r>
    <x v="1"/>
  </r>
  <r>
    <x v="1"/>
  </r>
  <r>
    <x v="1"/>
  </r>
  <r>
    <x v="3"/>
  </r>
  <r>
    <x v="0"/>
  </r>
  <r>
    <x v="1"/>
  </r>
  <r>
    <x v="1"/>
  </r>
  <r>
    <x v="1"/>
  </r>
  <r>
    <x v="1"/>
  </r>
  <r>
    <x v="2"/>
  </r>
  <r>
    <x v="0"/>
  </r>
  <r>
    <x v="4"/>
  </r>
  <r>
    <x v="1"/>
  </r>
  <r>
    <x v="0"/>
  </r>
  <r>
    <x v="1"/>
  </r>
  <r>
    <x v="1"/>
  </r>
  <r>
    <x v="4"/>
  </r>
  <r>
    <x v="1"/>
  </r>
  <r>
    <x v="4"/>
  </r>
  <r>
    <x v="2"/>
  </r>
  <r>
    <x v="1"/>
  </r>
  <r>
    <x v="2"/>
  </r>
  <r>
    <x v="1"/>
  </r>
  <r>
    <x v="0"/>
  </r>
  <r>
    <x v="4"/>
  </r>
  <r>
    <x v="0"/>
  </r>
  <r>
    <x v="1"/>
  </r>
  <r>
    <x v="2"/>
  </r>
  <r>
    <x v="3"/>
  </r>
  <r>
    <x v="1"/>
  </r>
  <r>
    <x v="2"/>
  </r>
  <r>
    <x v="0"/>
  </r>
  <r>
    <x v="3"/>
  </r>
  <r>
    <x v="1"/>
  </r>
  <r>
    <x v="2"/>
  </r>
  <r>
    <x v="1"/>
  </r>
  <r>
    <x v="2"/>
  </r>
  <r>
    <x v="4"/>
  </r>
  <r>
    <x v="0"/>
  </r>
  <r>
    <x v="1"/>
  </r>
  <r>
    <x v="2"/>
  </r>
  <r>
    <x v="4"/>
  </r>
  <r>
    <x v="0"/>
  </r>
  <r>
    <x v="0"/>
  </r>
  <r>
    <x v="2"/>
  </r>
  <r>
    <x v="1"/>
  </r>
  <r>
    <x v="1"/>
  </r>
  <r>
    <x v="3"/>
  </r>
  <r>
    <x v="0"/>
  </r>
  <r>
    <x v="0"/>
  </r>
  <r>
    <x v="1"/>
  </r>
  <r>
    <x v="2"/>
  </r>
  <r>
    <x v="1"/>
  </r>
  <r>
    <x v="4"/>
  </r>
  <r>
    <x v="2"/>
  </r>
  <r>
    <x v="1"/>
  </r>
  <r>
    <x v="2"/>
  </r>
  <r>
    <x v="0"/>
  </r>
  <r>
    <x v="4"/>
  </r>
  <r>
    <x v="0"/>
  </r>
  <r>
    <x v="4"/>
  </r>
  <r>
    <x v="1"/>
  </r>
  <r>
    <x v="1"/>
  </r>
  <r>
    <x v="3"/>
  </r>
  <r>
    <x v="1"/>
  </r>
  <r>
    <x v="2"/>
  </r>
  <r>
    <x v="1"/>
  </r>
  <r>
    <x v="0"/>
  </r>
  <r>
    <x v="2"/>
  </r>
  <r>
    <x v="1"/>
  </r>
  <r>
    <x v="2"/>
  </r>
  <r>
    <x v="0"/>
  </r>
  <r>
    <x v="0"/>
  </r>
  <r>
    <x v="4"/>
  </r>
  <r>
    <x v="0"/>
  </r>
  <r>
    <x v="0"/>
  </r>
  <r>
    <x v="4"/>
  </r>
  <r>
    <x v="1"/>
  </r>
  <r>
    <x v="1"/>
  </r>
  <r>
    <x v="2"/>
  </r>
  <r>
    <x v="2"/>
  </r>
  <r>
    <x v="0"/>
  </r>
  <r>
    <x v="0"/>
  </r>
  <r>
    <x v="4"/>
  </r>
  <r>
    <x v="0"/>
  </r>
  <r>
    <x v="0"/>
  </r>
  <r>
    <x v="3"/>
  </r>
  <r>
    <x v="1"/>
  </r>
  <r>
    <x v="4"/>
  </r>
  <r>
    <x v="2"/>
  </r>
  <r>
    <x v="4"/>
  </r>
  <r>
    <x v="2"/>
  </r>
  <r>
    <x v="1"/>
  </r>
  <r>
    <x v="1"/>
  </r>
  <r>
    <x v="2"/>
  </r>
  <r>
    <x v="0"/>
  </r>
  <r>
    <x v="4"/>
  </r>
  <r>
    <x v="1"/>
  </r>
  <r>
    <x v="2"/>
  </r>
  <r>
    <x v="0"/>
  </r>
  <r>
    <x v="1"/>
  </r>
  <r>
    <x v="0"/>
  </r>
  <r>
    <x v="4"/>
  </r>
  <r>
    <x v="1"/>
  </r>
  <r>
    <x v="4"/>
  </r>
  <r>
    <x v="0"/>
  </r>
  <r>
    <x v="1"/>
  </r>
  <r>
    <x v="2"/>
  </r>
  <r>
    <x v="1"/>
  </r>
  <r>
    <x v="1"/>
  </r>
  <r>
    <x v="0"/>
  </r>
  <r>
    <x v="4"/>
  </r>
  <r>
    <x v="3"/>
  </r>
  <r>
    <x v="1"/>
  </r>
  <r>
    <x v="0"/>
  </r>
  <r>
    <x v="1"/>
  </r>
  <r>
    <x v="2"/>
  </r>
  <r>
    <x v="0"/>
  </r>
  <r>
    <x v="4"/>
  </r>
  <r>
    <x v="1"/>
  </r>
  <r>
    <x v="2"/>
  </r>
  <r>
    <x v="0"/>
  </r>
  <r>
    <x v="3"/>
  </r>
  <r>
    <x v="1"/>
  </r>
  <r>
    <x v="0"/>
  </r>
  <r>
    <x v="2"/>
  </r>
  <r>
    <x v="4"/>
  </r>
  <r>
    <x v="1"/>
  </r>
  <r>
    <x v="3"/>
  </r>
  <r>
    <x v="1"/>
  </r>
  <r>
    <x v="1"/>
  </r>
  <r>
    <x v="0"/>
  </r>
  <r>
    <x v="0"/>
  </r>
  <r>
    <x v="2"/>
  </r>
  <r>
    <x v="0"/>
  </r>
  <r>
    <x v="0"/>
  </r>
  <r>
    <x v="0"/>
  </r>
  <r>
    <x v="0"/>
  </r>
  <r>
    <x v="3"/>
  </r>
  <r>
    <x v="2"/>
  </r>
  <r>
    <x v="0"/>
  </r>
  <r>
    <x v="1"/>
  </r>
  <r>
    <x v="3"/>
  </r>
  <r>
    <x v="1"/>
  </r>
  <r>
    <x v="1"/>
  </r>
  <r>
    <x v="1"/>
  </r>
  <r>
    <x v="1"/>
  </r>
  <r>
    <x v="2"/>
  </r>
  <r>
    <x v="0"/>
  </r>
  <r>
    <x v="3"/>
  </r>
  <r>
    <x v="1"/>
  </r>
  <r>
    <x v="0"/>
  </r>
  <r>
    <x v="3"/>
  </r>
  <r>
    <x v="2"/>
  </r>
  <r>
    <x v="4"/>
  </r>
  <r>
    <x v="1"/>
  </r>
  <r>
    <x v="2"/>
  </r>
  <r>
    <x v="0"/>
  </r>
  <r>
    <x v="0"/>
  </r>
  <r>
    <x v="4"/>
  </r>
  <r>
    <x v="4"/>
  </r>
  <r>
    <x v="4"/>
  </r>
  <r>
    <x v="4"/>
  </r>
  <r>
    <x v="1"/>
  </r>
  <r>
    <x v="0"/>
  </r>
  <r>
    <x v="4"/>
  </r>
  <r>
    <x v="1"/>
  </r>
  <r>
    <x v="1"/>
  </r>
  <r>
    <x v="1"/>
  </r>
  <r>
    <x v="0"/>
  </r>
  <r>
    <x v="3"/>
  </r>
  <r>
    <x v="1"/>
  </r>
  <r>
    <x v="0"/>
  </r>
  <r>
    <x v="4"/>
  </r>
  <r>
    <x v="1"/>
  </r>
  <r>
    <x v="3"/>
  </r>
  <r>
    <x v="0"/>
  </r>
  <r>
    <x v="2"/>
  </r>
  <r>
    <x v="1"/>
  </r>
  <r>
    <x v="1"/>
  </r>
  <r>
    <x v="1"/>
  </r>
  <r>
    <x v="0"/>
  </r>
  <r>
    <x v="2"/>
  </r>
  <r>
    <x v="1"/>
  </r>
  <r>
    <x v="4"/>
  </r>
  <r>
    <x v="1"/>
  </r>
  <r>
    <x v="2"/>
  </r>
  <r>
    <x v="2"/>
  </r>
  <r>
    <x v="0"/>
  </r>
  <r>
    <x v="1"/>
  </r>
  <r>
    <x v="4"/>
  </r>
  <r>
    <x v="1"/>
  </r>
  <r>
    <x v="1"/>
  </r>
  <r>
    <x v="4"/>
  </r>
  <r>
    <x v="3"/>
  </r>
  <r>
    <x v="2"/>
  </r>
  <r>
    <x v="4"/>
  </r>
  <r>
    <x v="0"/>
  </r>
  <r>
    <x v="3"/>
  </r>
  <r>
    <x v="0"/>
  </r>
  <r>
    <x v="0"/>
  </r>
  <r>
    <x v="3"/>
  </r>
  <r>
    <x v="1"/>
  </r>
  <r>
    <x v="1"/>
  </r>
  <r>
    <x v="4"/>
  </r>
  <r>
    <x v="1"/>
  </r>
  <r>
    <x v="0"/>
  </r>
  <r>
    <x v="0"/>
  </r>
  <r>
    <x v="0"/>
  </r>
  <r>
    <x v="3"/>
  </r>
  <r>
    <x v="1"/>
  </r>
  <r>
    <x v="0"/>
  </r>
  <r>
    <x v="1"/>
  </r>
  <r>
    <x v="4"/>
  </r>
  <r>
    <x v="4"/>
  </r>
  <r>
    <x v="0"/>
  </r>
  <r>
    <x v="1"/>
  </r>
  <r>
    <x v="4"/>
  </r>
  <r>
    <x v="0"/>
  </r>
  <r>
    <x v="1"/>
  </r>
  <r>
    <x v="0"/>
  </r>
  <r>
    <x v="0"/>
  </r>
  <r>
    <x v="3"/>
  </r>
  <r>
    <x v="2"/>
  </r>
  <r>
    <x v="4"/>
  </r>
  <r>
    <x v="2"/>
  </r>
  <r>
    <x v="4"/>
  </r>
  <r>
    <x v="3"/>
  </r>
  <r>
    <x v="1"/>
  </r>
  <r>
    <x v="0"/>
  </r>
  <r>
    <x v="4"/>
  </r>
  <r>
    <x v="0"/>
  </r>
  <r>
    <x v="1"/>
  </r>
  <r>
    <x v="0"/>
  </r>
  <r>
    <x v="1"/>
  </r>
  <r>
    <x v="1"/>
  </r>
  <r>
    <x v="0"/>
  </r>
  <r>
    <x v="0"/>
  </r>
  <r>
    <x v="2"/>
  </r>
  <r>
    <x v="4"/>
  </r>
  <r>
    <x v="2"/>
  </r>
  <r>
    <x v="2"/>
  </r>
  <r>
    <x v="0"/>
  </r>
  <r>
    <x v="0"/>
  </r>
  <r>
    <x v="1"/>
  </r>
  <r>
    <x v="3"/>
  </r>
  <r>
    <x v="1"/>
  </r>
  <r>
    <x v="4"/>
  </r>
  <r>
    <x v="0"/>
  </r>
  <r>
    <x v="3"/>
  </r>
  <r>
    <x v="0"/>
  </r>
  <r>
    <x v="2"/>
  </r>
  <r>
    <x v="1"/>
  </r>
  <r>
    <x v="1"/>
  </r>
  <r>
    <x v="4"/>
  </r>
  <r>
    <x v="3"/>
  </r>
  <r>
    <x v="0"/>
  </r>
  <r>
    <x v="3"/>
  </r>
  <r>
    <x v="2"/>
  </r>
  <r>
    <x v="2"/>
  </r>
  <r>
    <x v="0"/>
  </r>
  <r>
    <x v="0"/>
  </r>
  <r>
    <x v="1"/>
  </r>
  <r>
    <x v="3"/>
  </r>
  <r>
    <x v="3"/>
  </r>
  <r>
    <x v="4"/>
  </r>
  <r>
    <x v="1"/>
  </r>
  <r>
    <x v="1"/>
  </r>
  <r>
    <x v="3"/>
  </r>
  <r>
    <x v="1"/>
  </r>
  <r>
    <x v="2"/>
  </r>
  <r>
    <x v="0"/>
  </r>
  <r>
    <x v="0"/>
  </r>
  <r>
    <x v="2"/>
  </r>
  <r>
    <x v="1"/>
  </r>
  <r>
    <x v="0"/>
  </r>
  <r>
    <x v="3"/>
  </r>
  <r>
    <x v="4"/>
  </r>
  <r>
    <x v="2"/>
  </r>
  <r>
    <x v="2"/>
  </r>
  <r>
    <x v="1"/>
  </r>
  <r>
    <x v="1"/>
  </r>
  <r>
    <x v="0"/>
  </r>
  <r>
    <x v="0"/>
  </r>
  <r>
    <x v="0"/>
  </r>
  <r>
    <x v="2"/>
  </r>
  <r>
    <x v="1"/>
  </r>
  <r>
    <x v="4"/>
  </r>
  <r>
    <x v="1"/>
  </r>
  <r>
    <x v="1"/>
  </r>
  <r>
    <x v="0"/>
  </r>
  <r>
    <x v="2"/>
  </r>
  <r>
    <x v="1"/>
  </r>
  <r>
    <x v="0"/>
  </r>
  <r>
    <x v="4"/>
  </r>
  <r>
    <x v="1"/>
  </r>
  <r>
    <x v="0"/>
  </r>
  <r>
    <x v="3"/>
  </r>
  <r>
    <x v="0"/>
  </r>
  <r>
    <x v="1"/>
  </r>
  <r>
    <x v="4"/>
  </r>
  <r>
    <x v="4"/>
  </r>
  <r>
    <x v="1"/>
  </r>
  <r>
    <x v="1"/>
  </r>
  <r>
    <x v="1"/>
  </r>
  <r>
    <x v="1"/>
  </r>
  <r>
    <x v="1"/>
  </r>
  <r>
    <x v="0"/>
  </r>
  <r>
    <x v="0"/>
  </r>
  <r>
    <x v="2"/>
  </r>
  <r>
    <x v="4"/>
  </r>
  <r>
    <x v="2"/>
  </r>
  <r>
    <x v="0"/>
  </r>
  <r>
    <x v="1"/>
  </r>
  <r>
    <x v="0"/>
  </r>
  <r>
    <x v="2"/>
  </r>
  <r>
    <x v="1"/>
  </r>
  <r>
    <x v="1"/>
  </r>
  <r>
    <x v="1"/>
  </r>
  <r>
    <x v="0"/>
  </r>
  <r>
    <x v="1"/>
  </r>
  <r>
    <x v="1"/>
  </r>
  <r>
    <x v="1"/>
  </r>
  <r>
    <x v="4"/>
  </r>
  <r>
    <x v="0"/>
  </r>
  <r>
    <x v="4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3"/>
  </r>
  <r>
    <x v="0"/>
  </r>
  <r>
    <x v="0"/>
  </r>
  <r>
    <x v="4"/>
  </r>
  <r>
    <x v="4"/>
  </r>
  <r>
    <x v="3"/>
  </r>
  <r>
    <x v="2"/>
  </r>
  <r>
    <x v="2"/>
  </r>
  <r>
    <x v="3"/>
  </r>
  <r>
    <x v="1"/>
  </r>
  <r>
    <x v="4"/>
  </r>
  <r>
    <x v="2"/>
  </r>
  <r>
    <x v="4"/>
  </r>
  <r>
    <x v="3"/>
  </r>
  <r>
    <x v="1"/>
  </r>
  <r>
    <x v="0"/>
  </r>
  <r>
    <x v="3"/>
  </r>
  <r>
    <x v="0"/>
  </r>
  <r>
    <x v="4"/>
  </r>
  <r>
    <x v="1"/>
  </r>
  <r>
    <x v="4"/>
  </r>
  <r>
    <x v="3"/>
  </r>
  <r>
    <x v="0"/>
  </r>
  <r>
    <x v="1"/>
  </r>
  <r>
    <x v="1"/>
  </r>
  <r>
    <x v="2"/>
  </r>
  <r>
    <x v="4"/>
  </r>
  <r>
    <x v="1"/>
  </r>
  <r>
    <x v="1"/>
  </r>
  <r>
    <x v="2"/>
  </r>
  <r>
    <x v="2"/>
  </r>
  <r>
    <x v="1"/>
  </r>
  <r>
    <x v="1"/>
  </r>
  <r>
    <x v="2"/>
  </r>
  <r>
    <x v="0"/>
  </r>
  <r>
    <x v="3"/>
  </r>
  <r>
    <x v="0"/>
  </r>
  <r>
    <x v="4"/>
  </r>
  <r>
    <x v="0"/>
  </r>
  <r>
    <x v="3"/>
  </r>
  <r>
    <x v="0"/>
  </r>
  <r>
    <x v="1"/>
  </r>
  <r>
    <x v="1"/>
  </r>
  <r>
    <x v="2"/>
  </r>
  <r>
    <x v="0"/>
  </r>
  <r>
    <x v="0"/>
  </r>
  <r>
    <x v="0"/>
  </r>
  <r>
    <x v="1"/>
  </r>
  <r>
    <x v="1"/>
  </r>
  <r>
    <x v="1"/>
  </r>
  <r>
    <x v="4"/>
  </r>
  <r>
    <x v="4"/>
  </r>
  <r>
    <x v="2"/>
  </r>
  <r>
    <x v="3"/>
  </r>
  <r>
    <x v="0"/>
  </r>
  <r>
    <x v="4"/>
  </r>
  <r>
    <x v="1"/>
  </r>
  <r>
    <x v="1"/>
  </r>
  <r>
    <x v="1"/>
  </r>
  <r>
    <x v="0"/>
  </r>
  <r>
    <x v="1"/>
  </r>
  <r>
    <x v="1"/>
  </r>
  <r>
    <x v="4"/>
  </r>
  <r>
    <x v="0"/>
  </r>
  <r>
    <x v="0"/>
  </r>
  <r>
    <x v="0"/>
  </r>
  <r>
    <x v="1"/>
  </r>
  <r>
    <x v="1"/>
  </r>
  <r>
    <x v="1"/>
  </r>
  <r>
    <x v="1"/>
  </r>
  <r>
    <x v="4"/>
  </r>
  <r>
    <x v="2"/>
  </r>
  <r>
    <x v="1"/>
  </r>
  <r>
    <x v="0"/>
  </r>
  <r>
    <x v="2"/>
  </r>
  <r>
    <x v="1"/>
  </r>
  <r>
    <x v="1"/>
  </r>
  <r>
    <x v="0"/>
  </r>
  <r>
    <x v="4"/>
  </r>
  <r>
    <x v="4"/>
  </r>
  <r>
    <x v="4"/>
  </r>
  <r>
    <x v="1"/>
  </r>
  <r>
    <x v="0"/>
  </r>
  <r>
    <x v="1"/>
  </r>
  <r>
    <x v="2"/>
  </r>
  <r>
    <x v="2"/>
  </r>
  <r>
    <x v="1"/>
  </r>
  <r>
    <x v="1"/>
  </r>
  <r>
    <x v="1"/>
  </r>
  <r>
    <x v="1"/>
  </r>
  <r>
    <x v="1"/>
  </r>
  <r>
    <x v="0"/>
  </r>
  <r>
    <x v="3"/>
  </r>
  <r>
    <x v="0"/>
  </r>
  <r>
    <x v="1"/>
  </r>
  <r>
    <x v="1"/>
  </r>
  <r>
    <x v="1"/>
  </r>
  <r>
    <x v="1"/>
  </r>
  <r>
    <x v="2"/>
  </r>
  <r>
    <x v="1"/>
  </r>
  <r>
    <x v="3"/>
  </r>
  <r>
    <x v="0"/>
  </r>
  <r>
    <x v="0"/>
  </r>
  <r>
    <x v="0"/>
  </r>
  <r>
    <x v="4"/>
  </r>
  <r>
    <x v="0"/>
  </r>
  <r>
    <x v="1"/>
  </r>
  <r>
    <x v="1"/>
  </r>
  <r>
    <x v="3"/>
  </r>
  <r>
    <x v="1"/>
  </r>
  <r>
    <x v="0"/>
  </r>
  <r>
    <x v="0"/>
  </r>
  <r>
    <x v="1"/>
  </r>
  <r>
    <x v="1"/>
  </r>
  <r>
    <x v="1"/>
  </r>
  <r>
    <x v="4"/>
  </r>
  <r>
    <x v="0"/>
  </r>
  <r>
    <x v="2"/>
  </r>
  <r>
    <x v="4"/>
  </r>
  <r>
    <x v="1"/>
  </r>
  <r>
    <x v="0"/>
  </r>
  <r>
    <x v="4"/>
  </r>
  <r>
    <x v="4"/>
  </r>
  <r>
    <x v="4"/>
  </r>
  <r>
    <x v="4"/>
  </r>
  <r>
    <x v="1"/>
  </r>
  <r>
    <x v="4"/>
  </r>
  <r>
    <x v="1"/>
  </r>
  <r>
    <x v="0"/>
  </r>
  <r>
    <x v="1"/>
  </r>
  <r>
    <x v="2"/>
  </r>
  <r>
    <x v="0"/>
  </r>
  <r>
    <x v="4"/>
  </r>
  <r>
    <x v="2"/>
  </r>
  <r>
    <x v="2"/>
  </r>
  <r>
    <x v="4"/>
  </r>
  <r>
    <x v="1"/>
  </r>
  <r>
    <x v="2"/>
  </r>
  <r>
    <x v="4"/>
  </r>
  <r>
    <x v="4"/>
  </r>
  <r>
    <x v="3"/>
  </r>
  <r>
    <x v="1"/>
  </r>
  <r>
    <x v="1"/>
  </r>
  <r>
    <x v="0"/>
  </r>
  <r>
    <x v="2"/>
  </r>
  <r>
    <x v="0"/>
  </r>
  <r>
    <x v="4"/>
  </r>
  <r>
    <x v="0"/>
  </r>
  <r>
    <x v="4"/>
  </r>
  <r>
    <x v="2"/>
  </r>
  <r>
    <x v="1"/>
  </r>
  <r>
    <x v="4"/>
  </r>
  <r>
    <x v="2"/>
  </r>
  <r>
    <x v="0"/>
  </r>
  <r>
    <x v="1"/>
  </r>
  <r>
    <x v="1"/>
  </r>
  <r>
    <x v="2"/>
  </r>
  <r>
    <x v="1"/>
  </r>
  <r>
    <x v="0"/>
  </r>
  <r>
    <x v="1"/>
  </r>
  <r>
    <x v="0"/>
  </r>
  <r>
    <x v="4"/>
  </r>
  <r>
    <x v="2"/>
  </r>
  <r>
    <x v="0"/>
  </r>
  <r>
    <x v="4"/>
  </r>
  <r>
    <x v="4"/>
  </r>
  <r>
    <x v="1"/>
  </r>
  <r>
    <x v="1"/>
  </r>
  <r>
    <x v="2"/>
  </r>
  <r>
    <x v="4"/>
  </r>
  <r>
    <x v="4"/>
  </r>
  <r>
    <x v="1"/>
  </r>
  <r>
    <x v="2"/>
  </r>
  <r>
    <x v="0"/>
  </r>
  <r>
    <x v="2"/>
  </r>
  <r>
    <x v="3"/>
  </r>
  <r>
    <x v="3"/>
  </r>
  <r>
    <x v="2"/>
  </r>
  <r>
    <x v="1"/>
  </r>
  <r>
    <x v="2"/>
  </r>
  <r>
    <x v="1"/>
  </r>
  <r>
    <x v="2"/>
  </r>
  <r>
    <x v="1"/>
  </r>
  <r>
    <x v="4"/>
  </r>
  <r>
    <x v="1"/>
  </r>
  <r>
    <x v="2"/>
  </r>
  <r>
    <x v="1"/>
  </r>
  <r>
    <x v="0"/>
  </r>
  <r>
    <x v="2"/>
  </r>
  <r>
    <x v="4"/>
  </r>
  <r>
    <x v="1"/>
  </r>
  <r>
    <x v="0"/>
  </r>
  <r>
    <x v="1"/>
  </r>
  <r>
    <x v="4"/>
  </r>
  <r>
    <x v="3"/>
  </r>
  <r>
    <x v="4"/>
  </r>
  <r>
    <x v="1"/>
  </r>
  <r>
    <x v="0"/>
  </r>
  <r>
    <x v="3"/>
  </r>
  <r>
    <x v="1"/>
  </r>
  <r>
    <x v="0"/>
  </r>
  <r>
    <x v="0"/>
  </r>
  <r>
    <x v="2"/>
  </r>
  <r>
    <x v="2"/>
  </r>
  <r>
    <x v="0"/>
  </r>
  <r>
    <x v="4"/>
  </r>
  <r>
    <x v="0"/>
  </r>
  <r>
    <x v="1"/>
  </r>
  <r>
    <x v="1"/>
  </r>
  <r>
    <x v="0"/>
  </r>
  <r>
    <x v="1"/>
  </r>
  <r>
    <x v="2"/>
  </r>
  <r>
    <x v="1"/>
  </r>
  <r>
    <x v="1"/>
  </r>
  <r>
    <x v="0"/>
  </r>
  <r>
    <x v="1"/>
  </r>
  <r>
    <x v="0"/>
  </r>
  <r>
    <x v="0"/>
  </r>
  <r>
    <x v="4"/>
  </r>
  <r>
    <x v="3"/>
  </r>
  <r>
    <x v="2"/>
  </r>
  <r>
    <x v="1"/>
  </r>
  <r>
    <x v="3"/>
  </r>
  <r>
    <x v="0"/>
  </r>
  <r>
    <x v="0"/>
  </r>
  <r>
    <x v="0"/>
  </r>
  <r>
    <x v="1"/>
  </r>
  <r>
    <x v="2"/>
  </r>
  <r>
    <x v="1"/>
  </r>
  <r>
    <x v="0"/>
  </r>
  <r>
    <x v="1"/>
  </r>
  <r>
    <x v="2"/>
  </r>
  <r>
    <x v="2"/>
  </r>
  <r>
    <x v="1"/>
  </r>
  <r>
    <x v="4"/>
  </r>
  <r>
    <x v="4"/>
  </r>
  <r>
    <x v="0"/>
  </r>
  <r>
    <x v="4"/>
  </r>
  <r>
    <x v="0"/>
  </r>
  <r>
    <x v="1"/>
  </r>
  <r>
    <x v="4"/>
  </r>
  <r>
    <x v="0"/>
  </r>
  <r>
    <x v="0"/>
  </r>
  <r>
    <x v="2"/>
  </r>
  <r>
    <x v="1"/>
  </r>
  <r>
    <x v="1"/>
  </r>
  <r>
    <x v="1"/>
  </r>
  <r>
    <x v="1"/>
  </r>
  <r>
    <x v="1"/>
  </r>
  <r>
    <x v="3"/>
  </r>
  <r>
    <x v="1"/>
  </r>
  <r>
    <x v="4"/>
  </r>
  <r>
    <x v="1"/>
  </r>
  <r>
    <x v="4"/>
  </r>
  <r>
    <x v="3"/>
  </r>
  <r>
    <x v="1"/>
  </r>
  <r>
    <x v="2"/>
  </r>
  <r>
    <x v="3"/>
  </r>
  <r>
    <x v="0"/>
  </r>
  <r>
    <x v="1"/>
  </r>
  <r>
    <x v="4"/>
  </r>
  <r>
    <x v="2"/>
  </r>
  <r>
    <x v="1"/>
  </r>
  <r>
    <x v="0"/>
  </r>
  <r>
    <x v="1"/>
  </r>
  <r>
    <x v="1"/>
  </r>
  <r>
    <x v="2"/>
  </r>
  <r>
    <x v="0"/>
  </r>
  <r>
    <x v="1"/>
  </r>
  <r>
    <x v="4"/>
  </r>
  <r>
    <x v="1"/>
  </r>
  <r>
    <x v="1"/>
  </r>
  <r>
    <x v="0"/>
  </r>
  <r>
    <x v="0"/>
  </r>
  <r>
    <x v="1"/>
  </r>
  <r>
    <x v="1"/>
  </r>
  <r>
    <x v="0"/>
  </r>
  <r>
    <x v="2"/>
  </r>
  <r>
    <x v="2"/>
  </r>
  <r>
    <x v="1"/>
  </r>
  <r>
    <x v="4"/>
  </r>
  <r>
    <x v="2"/>
  </r>
  <r>
    <x v="0"/>
  </r>
  <r>
    <x v="3"/>
  </r>
  <r>
    <x v="3"/>
  </r>
  <r>
    <x v="1"/>
  </r>
  <r>
    <x v="1"/>
  </r>
  <r>
    <x v="1"/>
  </r>
  <r>
    <x v="1"/>
  </r>
  <r>
    <x v="3"/>
  </r>
  <r>
    <x v="3"/>
  </r>
  <r>
    <x v="1"/>
  </r>
  <r>
    <x v="4"/>
  </r>
  <r>
    <x v="0"/>
  </r>
  <r>
    <x v="0"/>
  </r>
  <r>
    <x v="4"/>
  </r>
  <r>
    <x v="3"/>
  </r>
  <r>
    <x v="1"/>
  </r>
  <r>
    <x v="1"/>
  </r>
  <r>
    <x v="1"/>
  </r>
  <r>
    <x v="0"/>
  </r>
  <r>
    <x v="1"/>
  </r>
  <r>
    <x v="0"/>
  </r>
  <r>
    <x v="0"/>
  </r>
  <r>
    <x v="2"/>
  </r>
  <r>
    <x v="0"/>
  </r>
  <r>
    <x v="1"/>
  </r>
  <r>
    <x v="2"/>
  </r>
  <r>
    <x v="2"/>
  </r>
  <r>
    <x v="1"/>
  </r>
  <r>
    <x v="1"/>
  </r>
  <r>
    <x v="2"/>
  </r>
  <r>
    <x v="1"/>
  </r>
  <r>
    <x v="1"/>
  </r>
  <r>
    <x v="0"/>
  </r>
  <r>
    <x v="1"/>
  </r>
  <r>
    <x v="1"/>
  </r>
  <r>
    <x v="0"/>
  </r>
  <r>
    <x v="2"/>
  </r>
  <r>
    <x v="2"/>
  </r>
  <r>
    <x v="3"/>
  </r>
  <r>
    <x v="1"/>
  </r>
  <r>
    <x v="1"/>
  </r>
  <r>
    <x v="2"/>
  </r>
  <r>
    <x v="0"/>
  </r>
  <r>
    <x v="1"/>
  </r>
  <r>
    <x v="1"/>
  </r>
  <r>
    <x v="1"/>
  </r>
  <r>
    <x v="0"/>
  </r>
  <r>
    <x v="1"/>
  </r>
  <r>
    <x v="3"/>
  </r>
  <r>
    <x v="1"/>
  </r>
  <r>
    <x v="3"/>
  </r>
  <r>
    <x v="2"/>
  </r>
  <r>
    <x v="0"/>
  </r>
  <r>
    <x v="4"/>
  </r>
  <r>
    <x v="4"/>
  </r>
  <r>
    <x v="1"/>
  </r>
  <r>
    <x v="1"/>
  </r>
  <r>
    <x v="0"/>
  </r>
  <r>
    <x v="4"/>
  </r>
  <r>
    <x v="0"/>
  </r>
  <r>
    <x v="0"/>
  </r>
  <r>
    <x v="0"/>
  </r>
  <r>
    <x v="0"/>
  </r>
  <r>
    <x v="0"/>
  </r>
  <r>
    <x v="0"/>
  </r>
  <r>
    <x v="2"/>
  </r>
  <r>
    <x v="4"/>
  </r>
  <r>
    <x v="4"/>
  </r>
  <r>
    <x v="4"/>
  </r>
  <r>
    <x v="4"/>
  </r>
  <r>
    <x v="0"/>
  </r>
  <r>
    <x v="1"/>
  </r>
  <r>
    <x v="3"/>
  </r>
  <r>
    <x v="1"/>
  </r>
  <r>
    <x v="0"/>
  </r>
  <r>
    <x v="1"/>
  </r>
  <r>
    <x v="1"/>
  </r>
  <r>
    <x v="2"/>
  </r>
  <r>
    <x v="0"/>
  </r>
  <r>
    <x v="2"/>
  </r>
  <r>
    <x v="1"/>
  </r>
  <r>
    <x v="1"/>
  </r>
  <r>
    <x v="1"/>
  </r>
  <r>
    <x v="4"/>
  </r>
  <r>
    <x v="2"/>
  </r>
  <r>
    <x v="0"/>
  </r>
  <r>
    <x v="0"/>
  </r>
  <r>
    <x v="3"/>
  </r>
  <r>
    <x v="1"/>
  </r>
  <r>
    <x v="0"/>
  </r>
  <r>
    <x v="0"/>
  </r>
  <r>
    <x v="1"/>
  </r>
  <r>
    <x v="1"/>
  </r>
  <r>
    <x v="1"/>
  </r>
  <r>
    <x v="2"/>
  </r>
  <r>
    <x v="4"/>
  </r>
  <r>
    <x v="2"/>
  </r>
  <r>
    <x v="0"/>
  </r>
  <r>
    <x v="4"/>
  </r>
  <r>
    <x v="4"/>
  </r>
  <r>
    <x v="3"/>
  </r>
  <r>
    <x v="1"/>
  </r>
  <r>
    <x v="1"/>
  </r>
  <r>
    <x v="4"/>
  </r>
  <r>
    <x v="3"/>
  </r>
  <r>
    <x v="3"/>
  </r>
  <r>
    <x v="4"/>
  </r>
  <r>
    <x v="1"/>
  </r>
  <r>
    <x v="1"/>
  </r>
  <r>
    <x v="3"/>
  </r>
  <r>
    <x v="0"/>
  </r>
  <r>
    <x v="1"/>
  </r>
  <r>
    <x v="3"/>
  </r>
  <r>
    <x v="1"/>
  </r>
  <r>
    <x v="4"/>
  </r>
  <r>
    <x v="4"/>
  </r>
  <r>
    <x v="1"/>
  </r>
  <r>
    <x v="1"/>
  </r>
  <r>
    <x v="1"/>
  </r>
  <r>
    <x v="4"/>
  </r>
  <r>
    <x v="0"/>
  </r>
  <r>
    <x v="1"/>
  </r>
  <r>
    <x v="3"/>
  </r>
  <r>
    <x v="0"/>
  </r>
  <r>
    <x v="1"/>
  </r>
  <r>
    <x v="1"/>
  </r>
  <r>
    <x v="1"/>
  </r>
  <r>
    <x v="3"/>
  </r>
  <r>
    <x v="1"/>
  </r>
  <r>
    <x v="0"/>
  </r>
  <r>
    <x v="2"/>
  </r>
  <r>
    <x v="4"/>
  </r>
  <r>
    <x v="0"/>
  </r>
  <r>
    <x v="2"/>
  </r>
  <r>
    <x v="4"/>
  </r>
  <r>
    <x v="1"/>
  </r>
  <r>
    <x v="4"/>
  </r>
  <r>
    <x v="3"/>
  </r>
  <r>
    <x v="0"/>
  </r>
  <r>
    <x v="4"/>
  </r>
  <r>
    <x v="3"/>
  </r>
  <r>
    <x v="4"/>
  </r>
  <r>
    <x v="1"/>
  </r>
  <r>
    <x v="1"/>
  </r>
  <r>
    <x v="4"/>
  </r>
  <r>
    <x v="1"/>
  </r>
  <r>
    <x v="3"/>
  </r>
  <r>
    <x v="0"/>
  </r>
  <r>
    <x v="0"/>
  </r>
  <r>
    <x v="4"/>
  </r>
  <r>
    <x v="0"/>
  </r>
  <r>
    <x v="0"/>
  </r>
  <r>
    <x v="1"/>
  </r>
  <r>
    <x v="4"/>
  </r>
  <r>
    <x v="2"/>
  </r>
  <r>
    <x v="4"/>
  </r>
  <r>
    <x v="0"/>
  </r>
  <r>
    <x v="1"/>
  </r>
  <r>
    <x v="2"/>
  </r>
  <r>
    <x v="3"/>
  </r>
  <r>
    <x v="0"/>
  </r>
  <r>
    <x v="4"/>
  </r>
  <r>
    <x v="0"/>
  </r>
  <r>
    <x v="0"/>
  </r>
  <r>
    <x v="2"/>
  </r>
  <r>
    <x v="1"/>
  </r>
  <r>
    <x v="0"/>
  </r>
  <r>
    <x v="1"/>
  </r>
  <r>
    <x v="1"/>
  </r>
  <r>
    <x v="4"/>
  </r>
  <r>
    <x v="1"/>
  </r>
  <r>
    <x v="4"/>
  </r>
  <r>
    <x v="1"/>
  </r>
  <r>
    <x v="4"/>
  </r>
  <r>
    <x v="1"/>
  </r>
  <r>
    <x v="4"/>
  </r>
  <r>
    <x v="4"/>
  </r>
  <r>
    <x v="3"/>
  </r>
  <r>
    <x v="3"/>
  </r>
  <r>
    <x v="1"/>
  </r>
  <r>
    <x v="1"/>
  </r>
  <r>
    <x v="4"/>
  </r>
  <r>
    <x v="4"/>
  </r>
  <r>
    <x v="1"/>
  </r>
  <r>
    <x v="1"/>
  </r>
  <r>
    <x v="0"/>
  </r>
  <r>
    <x v="3"/>
  </r>
  <r>
    <x v="3"/>
  </r>
  <r>
    <x v="1"/>
  </r>
  <r>
    <x v="0"/>
  </r>
  <r>
    <x v="1"/>
  </r>
  <r>
    <x v="0"/>
  </r>
  <r>
    <x v="2"/>
  </r>
  <r>
    <x v="2"/>
  </r>
  <r>
    <x v="0"/>
  </r>
  <r>
    <x v="1"/>
  </r>
  <r>
    <x v="0"/>
  </r>
  <r>
    <x v="3"/>
  </r>
  <r>
    <x v="1"/>
  </r>
  <r>
    <x v="1"/>
  </r>
  <r>
    <x v="4"/>
  </r>
  <r>
    <x v="4"/>
  </r>
  <r>
    <x v="3"/>
  </r>
  <r>
    <x v="0"/>
  </r>
  <r>
    <x v="0"/>
  </r>
  <r>
    <x v="0"/>
  </r>
  <r>
    <x v="3"/>
  </r>
  <r>
    <x v="2"/>
  </r>
  <r>
    <x v="2"/>
  </r>
  <r>
    <x v="1"/>
  </r>
  <r>
    <x v="2"/>
  </r>
  <r>
    <x v="0"/>
  </r>
  <r>
    <x v="1"/>
  </r>
  <r>
    <x v="1"/>
  </r>
  <r>
    <x v="4"/>
  </r>
  <r>
    <x v="0"/>
  </r>
  <r>
    <x v="2"/>
  </r>
  <r>
    <x v="4"/>
  </r>
  <r>
    <x v="1"/>
  </r>
  <r>
    <x v="4"/>
  </r>
  <r>
    <x v="1"/>
  </r>
  <r>
    <x v="0"/>
  </r>
  <r>
    <x v="4"/>
  </r>
  <r>
    <x v="2"/>
  </r>
  <r>
    <x v="0"/>
  </r>
  <r>
    <x v="2"/>
  </r>
  <r>
    <x v="2"/>
  </r>
  <r>
    <x v="0"/>
  </r>
  <r>
    <x v="0"/>
  </r>
  <r>
    <x v="4"/>
  </r>
  <r>
    <x v="1"/>
  </r>
  <r>
    <x v="2"/>
  </r>
  <r>
    <x v="2"/>
  </r>
  <r>
    <x v="1"/>
  </r>
  <r>
    <x v="3"/>
  </r>
  <r>
    <x v="1"/>
  </r>
  <r>
    <x v="3"/>
  </r>
  <r>
    <x v="1"/>
  </r>
  <r>
    <x v="2"/>
  </r>
  <r>
    <x v="0"/>
  </r>
  <r>
    <x v="4"/>
  </r>
  <r>
    <x v="1"/>
  </r>
  <r>
    <x v="1"/>
  </r>
  <r>
    <x v="1"/>
  </r>
  <r>
    <x v="2"/>
  </r>
  <r>
    <x v="1"/>
  </r>
  <r>
    <x v="4"/>
  </r>
  <r>
    <x v="2"/>
  </r>
  <r>
    <x v="3"/>
  </r>
  <r>
    <x v="1"/>
  </r>
  <r>
    <x v="2"/>
  </r>
  <r>
    <x v="1"/>
  </r>
  <r>
    <x v="4"/>
  </r>
  <r>
    <x v="4"/>
  </r>
  <r>
    <x v="1"/>
  </r>
  <r>
    <x v="1"/>
  </r>
  <r>
    <x v="0"/>
  </r>
  <r>
    <x v="0"/>
  </r>
  <r>
    <x v="3"/>
  </r>
  <r>
    <x v="0"/>
  </r>
  <r>
    <x v="3"/>
  </r>
  <r>
    <x v="0"/>
  </r>
  <r>
    <x v="3"/>
  </r>
  <r>
    <x v="4"/>
  </r>
  <r>
    <x v="2"/>
  </r>
  <r>
    <x v="1"/>
  </r>
  <r>
    <x v="0"/>
  </r>
  <r>
    <x v="1"/>
  </r>
  <r>
    <x v="1"/>
  </r>
  <r>
    <x v="4"/>
  </r>
  <r>
    <x v="4"/>
  </r>
  <r>
    <x v="1"/>
  </r>
  <r>
    <x v="0"/>
  </r>
  <r>
    <x v="0"/>
  </r>
  <r>
    <x v="1"/>
  </r>
  <r>
    <x v="0"/>
  </r>
  <r>
    <x v="4"/>
  </r>
  <r>
    <x v="1"/>
  </r>
  <r>
    <x v="2"/>
  </r>
  <r>
    <x v="0"/>
  </r>
  <r>
    <x v="2"/>
  </r>
  <r>
    <x v="1"/>
  </r>
  <r>
    <x v="2"/>
  </r>
  <r>
    <x v="1"/>
  </r>
  <r>
    <x v="0"/>
  </r>
  <r>
    <x v="1"/>
  </r>
  <r>
    <x v="2"/>
  </r>
  <r>
    <x v="4"/>
  </r>
  <r>
    <x v="1"/>
  </r>
  <r>
    <x v="1"/>
  </r>
  <r>
    <x v="1"/>
  </r>
  <r>
    <x v="1"/>
  </r>
  <r>
    <x v="4"/>
  </r>
  <r>
    <x v="4"/>
  </r>
  <r>
    <x v="3"/>
  </r>
  <r>
    <x v="3"/>
  </r>
  <r>
    <x v="4"/>
  </r>
  <r>
    <x v="1"/>
  </r>
  <r>
    <x v="0"/>
  </r>
  <r>
    <x v="0"/>
  </r>
  <r>
    <x v="0"/>
  </r>
  <r>
    <x v="4"/>
  </r>
  <r>
    <x v="3"/>
  </r>
  <r>
    <x v="2"/>
  </r>
  <r>
    <x v="1"/>
  </r>
  <r>
    <x v="1"/>
  </r>
  <r>
    <x v="2"/>
  </r>
  <r>
    <x v="2"/>
  </r>
  <r>
    <x v="1"/>
  </r>
  <r>
    <x v="4"/>
  </r>
  <r>
    <x v="4"/>
  </r>
  <r>
    <x v="0"/>
  </r>
  <r>
    <x v="1"/>
  </r>
  <r>
    <x v="2"/>
  </r>
  <r>
    <x v="4"/>
  </r>
  <r>
    <x v="1"/>
  </r>
  <r>
    <x v="4"/>
  </r>
  <r>
    <x v="4"/>
  </r>
  <r>
    <x v="2"/>
  </r>
  <r>
    <x v="1"/>
  </r>
  <r>
    <x v="3"/>
  </r>
  <r>
    <x v="1"/>
  </r>
  <r>
    <x v="4"/>
  </r>
  <r>
    <x v="4"/>
  </r>
  <r>
    <x v="0"/>
  </r>
  <r>
    <x v="0"/>
  </r>
  <r>
    <x v="2"/>
  </r>
  <r>
    <x v="4"/>
  </r>
  <r>
    <x v="0"/>
  </r>
  <r>
    <x v="1"/>
  </r>
  <r>
    <x v="1"/>
  </r>
  <r>
    <x v="1"/>
  </r>
  <r>
    <x v="3"/>
  </r>
  <r>
    <x v="2"/>
  </r>
  <r>
    <x v="3"/>
  </r>
  <r>
    <x v="1"/>
  </r>
  <r>
    <x v="4"/>
  </r>
  <r>
    <x v="1"/>
  </r>
  <r>
    <x v="2"/>
  </r>
  <r>
    <x v="0"/>
  </r>
  <r>
    <x v="1"/>
  </r>
  <r>
    <x v="0"/>
  </r>
  <r>
    <x v="1"/>
  </r>
  <r>
    <x v="4"/>
  </r>
  <r>
    <x v="4"/>
  </r>
  <r>
    <x v="4"/>
  </r>
  <r>
    <x v="3"/>
  </r>
  <r>
    <x v="0"/>
  </r>
  <r>
    <x v="0"/>
  </r>
  <r>
    <x v="2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4"/>
  </r>
  <r>
    <x v="1"/>
  </r>
  <r>
    <x v="1"/>
  </r>
  <r>
    <x v="0"/>
  </r>
  <r>
    <x v="1"/>
  </r>
  <r>
    <x v="1"/>
  </r>
  <r>
    <x v="0"/>
  </r>
  <r>
    <x v="4"/>
  </r>
  <r>
    <x v="4"/>
  </r>
  <r>
    <x v="3"/>
  </r>
  <r>
    <x v="0"/>
  </r>
  <r>
    <x v="0"/>
  </r>
  <r>
    <x v="1"/>
  </r>
  <r>
    <x v="2"/>
  </r>
  <r>
    <x v="1"/>
  </r>
  <r>
    <x v="0"/>
  </r>
  <r>
    <x v="0"/>
  </r>
  <r>
    <x v="4"/>
  </r>
  <r>
    <x v="3"/>
  </r>
  <r>
    <x v="3"/>
  </r>
  <r>
    <x v="1"/>
  </r>
  <r>
    <x v="1"/>
  </r>
  <r>
    <x v="2"/>
  </r>
  <r>
    <x v="0"/>
  </r>
  <r>
    <x v="0"/>
  </r>
  <r>
    <x v="4"/>
  </r>
  <r>
    <x v="4"/>
  </r>
  <r>
    <x v="3"/>
  </r>
  <r>
    <x v="0"/>
  </r>
  <r>
    <x v="0"/>
  </r>
  <r>
    <x v="0"/>
  </r>
  <r>
    <x v="2"/>
  </r>
  <r>
    <x v="4"/>
  </r>
  <r>
    <x v="4"/>
  </r>
  <r>
    <x v="3"/>
  </r>
  <r>
    <x v="4"/>
  </r>
  <r>
    <x v="0"/>
  </r>
  <r>
    <x v="4"/>
  </r>
  <r>
    <x v="4"/>
  </r>
  <r>
    <x v="1"/>
  </r>
  <r>
    <x v="0"/>
  </r>
  <r>
    <x v="4"/>
  </r>
  <r>
    <x v="0"/>
  </r>
  <r>
    <x v="2"/>
  </r>
  <r>
    <x v="0"/>
  </r>
  <r>
    <x v="3"/>
  </r>
  <r>
    <x v="1"/>
  </r>
  <r>
    <x v="1"/>
  </r>
  <r>
    <x v="0"/>
  </r>
  <r>
    <x v="0"/>
  </r>
  <r>
    <x v="0"/>
  </r>
  <r>
    <x v="1"/>
  </r>
  <r>
    <x v="4"/>
  </r>
  <r>
    <x v="0"/>
  </r>
  <r>
    <x v="4"/>
  </r>
  <r>
    <x v="2"/>
  </r>
  <r>
    <x v="2"/>
  </r>
  <r>
    <x v="0"/>
  </r>
  <r>
    <x v="1"/>
  </r>
  <r>
    <x v="3"/>
  </r>
  <r>
    <x v="2"/>
  </r>
  <r>
    <x v="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450">
  <r>
    <x v="0"/>
    <s v="C00974"/>
    <x v="0"/>
    <n v="3502.93"/>
    <x v="0"/>
    <x v="0"/>
    <n v="31.22"/>
    <n v="24"/>
  </r>
  <r>
    <x v="1"/>
    <s v="C00514"/>
    <x v="0"/>
    <n v="17350.650000000001"/>
    <x v="0"/>
    <x v="1"/>
    <n v="17.43"/>
    <n v="12"/>
  </r>
  <r>
    <x v="2"/>
    <s v="C00453"/>
    <x v="1"/>
    <n v="9657.24"/>
    <x v="0"/>
    <x v="2"/>
    <n v="21.29"/>
    <n v="24"/>
  </r>
  <r>
    <x v="3"/>
    <s v="C00132"/>
    <x v="0"/>
    <n v="8862.2800000000007"/>
    <x v="0"/>
    <x v="3"/>
    <n v="25.84"/>
    <n v="12"/>
  </r>
  <r>
    <x v="4"/>
    <s v="C00716"/>
    <x v="1"/>
    <n v="26228.41"/>
    <x v="1"/>
    <x v="4"/>
    <n v="16.47"/>
    <n v="6"/>
  </r>
  <r>
    <x v="5"/>
    <s v="C00691"/>
    <x v="1"/>
    <n v="22925.68"/>
    <x v="0"/>
    <x v="5"/>
    <n v="26.43"/>
    <n v="36"/>
  </r>
  <r>
    <x v="6"/>
    <s v="C00040"/>
    <x v="0"/>
    <n v="35970.61"/>
    <x v="1"/>
    <x v="6"/>
    <n v="17.22"/>
    <n v="12"/>
  </r>
  <r>
    <x v="7"/>
    <s v="C00589"/>
    <x v="1"/>
    <n v="24585.37"/>
    <x v="0"/>
    <x v="7"/>
    <n v="22.11"/>
    <n v="6"/>
  </r>
  <r>
    <x v="8"/>
    <s v="C00707"/>
    <x v="0"/>
    <n v="20822.63"/>
    <x v="0"/>
    <x v="8"/>
    <n v="10.58"/>
    <n v="36"/>
  </r>
  <r>
    <x v="9"/>
    <s v="C00158"/>
    <x v="1"/>
    <n v="11534.99"/>
    <x v="1"/>
    <x v="9"/>
    <n v="11.95"/>
    <n v="36"/>
  </r>
  <r>
    <x v="10"/>
    <s v="C00173"/>
    <x v="1"/>
    <n v="8591.2199999999993"/>
    <x v="0"/>
    <x v="10"/>
    <n v="15.68"/>
    <n v="24"/>
  </r>
  <r>
    <x v="11"/>
    <s v="C00587"/>
    <x v="2"/>
    <n v="29123.23"/>
    <x v="0"/>
    <x v="11"/>
    <n v="30.16"/>
    <n v="48"/>
  </r>
  <r>
    <x v="12"/>
    <s v="C00689"/>
    <x v="1"/>
    <n v="14696.04"/>
    <x v="0"/>
    <x v="12"/>
    <n v="26.51"/>
    <n v="36"/>
  </r>
  <r>
    <x v="13"/>
    <s v="C00632"/>
    <x v="1"/>
    <n v="24819.21"/>
    <x v="0"/>
    <x v="13"/>
    <n v="32.340000000000003"/>
    <n v="36"/>
  </r>
  <r>
    <x v="14"/>
    <s v="C00617"/>
    <x v="2"/>
    <n v="17968.759999999998"/>
    <x v="0"/>
    <x v="14"/>
    <n v="32.619999999999997"/>
    <n v="6"/>
  </r>
  <r>
    <x v="15"/>
    <s v="C00857"/>
    <x v="1"/>
    <n v="3516.14"/>
    <x v="1"/>
    <x v="15"/>
    <n v="19.37"/>
    <n v="12"/>
  </r>
  <r>
    <x v="16"/>
    <s v="C00976"/>
    <x v="0"/>
    <n v="26550.41"/>
    <x v="0"/>
    <x v="16"/>
    <n v="19.190000000000001"/>
    <n v="12"/>
  </r>
  <r>
    <x v="17"/>
    <s v="C00357"/>
    <x v="0"/>
    <n v="10930.36"/>
    <x v="2"/>
    <x v="17"/>
    <n v="30.89"/>
    <n v="36"/>
  </r>
  <r>
    <x v="18"/>
    <s v="C00086"/>
    <x v="2"/>
    <n v="36003.040000000001"/>
    <x v="0"/>
    <x v="18"/>
    <n v="20.66"/>
    <n v="36"/>
  </r>
  <r>
    <x v="19"/>
    <s v="C00931"/>
    <x v="1"/>
    <n v="4076.13"/>
    <x v="0"/>
    <x v="19"/>
    <n v="31.43"/>
    <n v="24"/>
  </r>
  <r>
    <x v="20"/>
    <s v="C00549"/>
    <x v="2"/>
    <n v="82392.41"/>
    <x v="3"/>
    <x v="20"/>
    <n v="22.65"/>
    <n v="12"/>
  </r>
  <r>
    <x v="21"/>
    <s v="C00767"/>
    <x v="0"/>
    <n v="11194.83"/>
    <x v="0"/>
    <x v="21"/>
    <n v="20.62"/>
    <n v="6"/>
  </r>
  <r>
    <x v="22"/>
    <s v="C00370"/>
    <x v="1"/>
    <n v="26290.3"/>
    <x v="2"/>
    <x v="22"/>
    <n v="16.98"/>
    <n v="3"/>
  </r>
  <r>
    <x v="23"/>
    <s v="C00823"/>
    <x v="1"/>
    <n v="10197.91"/>
    <x v="0"/>
    <x v="23"/>
    <n v="13.16"/>
    <n v="24"/>
  </r>
  <r>
    <x v="24"/>
    <s v="C00363"/>
    <x v="0"/>
    <n v="11369.29"/>
    <x v="0"/>
    <x v="24"/>
    <n v="23.15"/>
    <n v="48"/>
  </r>
  <r>
    <x v="25"/>
    <s v="C00253"/>
    <x v="1"/>
    <n v="31202.01"/>
    <x v="0"/>
    <x v="25"/>
    <n v="18.13"/>
    <n v="12"/>
  </r>
  <r>
    <x v="26"/>
    <s v="C00102"/>
    <x v="2"/>
    <n v="15342.55"/>
    <x v="0"/>
    <x v="26"/>
    <n v="16.239999999999998"/>
    <n v="24"/>
  </r>
  <r>
    <x v="27"/>
    <s v="C00564"/>
    <x v="1"/>
    <n v="16219.08"/>
    <x v="1"/>
    <x v="27"/>
    <n v="14.24"/>
    <n v="36"/>
  </r>
  <r>
    <x v="28"/>
    <s v="C00203"/>
    <x v="0"/>
    <n v="35581.1"/>
    <x v="0"/>
    <x v="28"/>
    <n v="19.72"/>
    <n v="6"/>
  </r>
  <r>
    <x v="29"/>
    <s v="C00093"/>
    <x v="1"/>
    <n v="20976.25"/>
    <x v="0"/>
    <x v="29"/>
    <n v="23.9"/>
    <n v="36"/>
  </r>
  <r>
    <x v="30"/>
    <s v="C00863"/>
    <x v="0"/>
    <n v="25812.32"/>
    <x v="0"/>
    <x v="30"/>
    <n v="30.93"/>
    <n v="24"/>
  </r>
  <r>
    <x v="31"/>
    <s v="C00350"/>
    <x v="1"/>
    <n v="10940.51"/>
    <x v="0"/>
    <x v="31"/>
    <n v="30.5"/>
    <n v="24"/>
  </r>
  <r>
    <x v="32"/>
    <s v="C00052"/>
    <x v="0"/>
    <n v="30737.56"/>
    <x v="2"/>
    <x v="32"/>
    <n v="31.38"/>
    <n v="24"/>
  </r>
  <r>
    <x v="33"/>
    <s v="C00483"/>
    <x v="1"/>
    <n v="19717.93"/>
    <x v="0"/>
    <x v="33"/>
    <n v="24.41"/>
    <n v="12"/>
  </r>
  <r>
    <x v="34"/>
    <s v="C00159"/>
    <x v="2"/>
    <n v="25446.15"/>
    <x v="1"/>
    <x v="34"/>
    <n v="23.99"/>
    <n v="24"/>
  </r>
  <r>
    <x v="35"/>
    <s v="C00196"/>
    <x v="0"/>
    <n v="24125.27"/>
    <x v="0"/>
    <x v="35"/>
    <n v="32.630000000000003"/>
    <n v="12"/>
  </r>
  <r>
    <x v="36"/>
    <s v="C00928"/>
    <x v="1"/>
    <n v="44517.75"/>
    <x v="0"/>
    <x v="36"/>
    <n v="17.21"/>
    <n v="6"/>
  </r>
  <r>
    <x v="37"/>
    <s v="C00342"/>
    <x v="1"/>
    <n v="27007.119999999999"/>
    <x v="1"/>
    <x v="37"/>
    <n v="13.64"/>
    <n v="24"/>
  </r>
  <r>
    <x v="38"/>
    <s v="C00869"/>
    <x v="3"/>
    <n v="7129.73"/>
    <x v="1"/>
    <x v="38"/>
    <n v="12.07"/>
    <n v="12"/>
  </r>
  <r>
    <x v="39"/>
    <s v="C00649"/>
    <x v="1"/>
    <n v="11208.28"/>
    <x v="3"/>
    <x v="39"/>
    <n v="32.03"/>
    <n v="24"/>
  </r>
  <r>
    <x v="40"/>
    <s v="C00415"/>
    <x v="0"/>
    <n v="21613.18"/>
    <x v="1"/>
    <x v="40"/>
    <n v="19.29"/>
    <n v="12"/>
  </r>
  <r>
    <x v="41"/>
    <s v="C00436"/>
    <x v="1"/>
    <n v="24803.29"/>
    <x v="0"/>
    <x v="41"/>
    <n v="22.47"/>
    <n v="24"/>
  </r>
  <r>
    <x v="42"/>
    <s v="C00225"/>
    <x v="2"/>
    <n v="6248.45"/>
    <x v="0"/>
    <x v="42"/>
    <n v="30.08"/>
    <n v="36"/>
  </r>
  <r>
    <x v="43"/>
    <s v="C00756"/>
    <x v="1"/>
    <n v="8152.62"/>
    <x v="1"/>
    <x v="43"/>
    <n v="19.329999999999998"/>
    <n v="6"/>
  </r>
  <r>
    <x v="44"/>
    <s v="C00146"/>
    <x v="0"/>
    <n v="43254.34"/>
    <x v="0"/>
    <x v="44"/>
    <n v="31.7"/>
    <n v="3"/>
  </r>
  <r>
    <x v="45"/>
    <s v="C00432"/>
    <x v="1"/>
    <n v="86911.35"/>
    <x v="1"/>
    <x v="45"/>
    <n v="18.04"/>
    <n v="12"/>
  </r>
  <r>
    <x v="46"/>
    <s v="C00783"/>
    <x v="2"/>
    <n v="4801.03"/>
    <x v="1"/>
    <x v="46"/>
    <n v="28.31"/>
    <n v="24"/>
  </r>
  <r>
    <x v="47"/>
    <s v="C00049"/>
    <x v="1"/>
    <n v="22171.16"/>
    <x v="3"/>
    <x v="47"/>
    <n v="26.68"/>
    <n v="36"/>
  </r>
  <r>
    <x v="48"/>
    <s v="C00663"/>
    <x v="2"/>
    <n v="18737.93"/>
    <x v="1"/>
    <x v="48"/>
    <n v="15.03"/>
    <n v="3"/>
  </r>
  <r>
    <x v="49"/>
    <s v="C00397"/>
    <x v="1"/>
    <n v="40502.800000000003"/>
    <x v="1"/>
    <x v="49"/>
    <n v="13.11"/>
    <n v="36"/>
  </r>
  <r>
    <x v="50"/>
    <s v="C00239"/>
    <x v="1"/>
    <n v="26825.17"/>
    <x v="0"/>
    <x v="50"/>
    <n v="12.79"/>
    <n v="3"/>
  </r>
  <r>
    <x v="51"/>
    <s v="C00428"/>
    <x v="2"/>
    <n v="35006.17"/>
    <x v="1"/>
    <x v="51"/>
    <n v="26.27"/>
    <n v="24"/>
  </r>
  <r>
    <x v="52"/>
    <s v="C00329"/>
    <x v="1"/>
    <n v="2908.33"/>
    <x v="0"/>
    <x v="52"/>
    <n v="10.32"/>
    <n v="12"/>
  </r>
  <r>
    <x v="53"/>
    <s v="C00864"/>
    <x v="0"/>
    <n v="17931.099999999999"/>
    <x v="1"/>
    <x v="53"/>
    <n v="26.52"/>
    <n v="3"/>
  </r>
  <r>
    <x v="54"/>
    <s v="C00305"/>
    <x v="0"/>
    <n v="8734.7099999999991"/>
    <x v="1"/>
    <x v="54"/>
    <n v="29.55"/>
    <n v="6"/>
  </r>
  <r>
    <x v="55"/>
    <s v="C00376"/>
    <x v="2"/>
    <n v="8915.43"/>
    <x v="1"/>
    <x v="55"/>
    <n v="17.559999999999999"/>
    <n v="12"/>
  </r>
  <r>
    <x v="56"/>
    <s v="C00032"/>
    <x v="1"/>
    <n v="6762.6"/>
    <x v="1"/>
    <x v="56"/>
    <n v="28.64"/>
    <n v="48"/>
  </r>
  <r>
    <x v="57"/>
    <s v="C00540"/>
    <x v="2"/>
    <n v="21648.75"/>
    <x v="1"/>
    <x v="57"/>
    <n v="14.13"/>
    <n v="6"/>
  </r>
  <r>
    <x v="58"/>
    <s v="C00788"/>
    <x v="1"/>
    <n v="23546.84"/>
    <x v="0"/>
    <x v="58"/>
    <n v="34.01"/>
    <n v="12"/>
  </r>
  <r>
    <x v="59"/>
    <s v="C00625"/>
    <x v="0"/>
    <n v="29874.34"/>
    <x v="3"/>
    <x v="59"/>
    <n v="15.8"/>
    <n v="48"/>
  </r>
  <r>
    <x v="60"/>
    <s v="C00607"/>
    <x v="1"/>
    <n v="13063.03"/>
    <x v="0"/>
    <x v="60"/>
    <n v="22.21"/>
    <n v="12"/>
  </r>
  <r>
    <x v="61"/>
    <s v="C00740"/>
    <x v="1"/>
    <n v="54574"/>
    <x v="1"/>
    <x v="61"/>
    <n v="34.51"/>
    <n v="12"/>
  </r>
  <r>
    <x v="62"/>
    <s v="C00295"/>
    <x v="1"/>
    <n v="8555.76"/>
    <x v="0"/>
    <x v="62"/>
    <n v="32.68"/>
    <n v="24"/>
  </r>
  <r>
    <x v="63"/>
    <s v="C00985"/>
    <x v="3"/>
    <n v="5732.69"/>
    <x v="1"/>
    <x v="63"/>
    <n v="26.49"/>
    <n v="12"/>
  </r>
  <r>
    <x v="64"/>
    <s v="C00854"/>
    <x v="0"/>
    <n v="21483.42"/>
    <x v="0"/>
    <x v="64"/>
    <n v="19.23"/>
    <n v="36"/>
  </r>
  <r>
    <x v="65"/>
    <s v="C00969"/>
    <x v="1"/>
    <n v="10429.540000000001"/>
    <x v="1"/>
    <x v="65"/>
    <n v="27.5"/>
    <n v="3"/>
  </r>
  <r>
    <x v="66"/>
    <s v="C00143"/>
    <x v="3"/>
    <n v="27596.34"/>
    <x v="0"/>
    <x v="66"/>
    <n v="21.51"/>
    <n v="48"/>
  </r>
  <r>
    <x v="67"/>
    <s v="C00876"/>
    <x v="1"/>
    <n v="10655.23"/>
    <x v="1"/>
    <x v="67"/>
    <n v="12.72"/>
    <n v="3"/>
  </r>
  <r>
    <x v="68"/>
    <s v="C00381"/>
    <x v="0"/>
    <n v="11348.72"/>
    <x v="0"/>
    <x v="68"/>
    <n v="29.9"/>
    <n v="24"/>
  </r>
  <r>
    <x v="69"/>
    <s v="C00021"/>
    <x v="2"/>
    <n v="10634.68"/>
    <x v="1"/>
    <x v="69"/>
    <n v="31.79"/>
    <n v="24"/>
  </r>
  <r>
    <x v="70"/>
    <s v="C00313"/>
    <x v="0"/>
    <n v="10040.74"/>
    <x v="0"/>
    <x v="70"/>
    <n v="20.190000000000001"/>
    <n v="24"/>
  </r>
  <r>
    <x v="71"/>
    <s v="C00022"/>
    <x v="1"/>
    <n v="18005.82"/>
    <x v="1"/>
    <x v="71"/>
    <n v="26.64"/>
    <n v="12"/>
  </r>
  <r>
    <x v="72"/>
    <s v="C00497"/>
    <x v="1"/>
    <n v="21836.49"/>
    <x v="0"/>
    <x v="72"/>
    <n v="10.76"/>
    <n v="36"/>
  </r>
  <r>
    <x v="73"/>
    <s v="C00502"/>
    <x v="2"/>
    <n v="10025.969999999999"/>
    <x v="0"/>
    <x v="73"/>
    <n v="14.93"/>
    <n v="12"/>
  </r>
  <r>
    <x v="74"/>
    <s v="C00220"/>
    <x v="1"/>
    <n v="7069.06"/>
    <x v="1"/>
    <x v="74"/>
    <n v="24.26"/>
    <n v="12"/>
  </r>
  <r>
    <x v="75"/>
    <s v="C00328"/>
    <x v="1"/>
    <n v="26874.83"/>
    <x v="1"/>
    <x v="75"/>
    <n v="16.850000000000001"/>
    <n v="24"/>
  </r>
  <r>
    <x v="76"/>
    <s v="C00184"/>
    <x v="0"/>
    <n v="24595.63"/>
    <x v="1"/>
    <x v="76"/>
    <n v="33.61"/>
    <n v="6"/>
  </r>
  <r>
    <x v="77"/>
    <s v="C00793"/>
    <x v="2"/>
    <n v="31942.93"/>
    <x v="2"/>
    <x v="73"/>
    <n v="30.93"/>
    <n v="6"/>
  </r>
  <r>
    <x v="78"/>
    <s v="C00723"/>
    <x v="1"/>
    <n v="7826.84"/>
    <x v="0"/>
    <x v="36"/>
    <n v="26.38"/>
    <n v="12"/>
  </r>
  <r>
    <x v="79"/>
    <s v="C00148"/>
    <x v="1"/>
    <n v="9307.34"/>
    <x v="0"/>
    <x v="77"/>
    <n v="34.97"/>
    <n v="12"/>
  </r>
  <r>
    <x v="80"/>
    <s v="C00879"/>
    <x v="1"/>
    <n v="34842.49"/>
    <x v="0"/>
    <x v="78"/>
    <n v="16.079999999999998"/>
    <n v="3"/>
  </r>
  <r>
    <x v="81"/>
    <s v="C00702"/>
    <x v="0"/>
    <n v="36932.15"/>
    <x v="0"/>
    <x v="79"/>
    <n v="32.979999999999997"/>
    <n v="48"/>
  </r>
  <r>
    <x v="82"/>
    <s v="C00107"/>
    <x v="0"/>
    <n v="13000.12"/>
    <x v="0"/>
    <x v="80"/>
    <n v="17.61"/>
    <n v="24"/>
  </r>
  <r>
    <x v="83"/>
    <s v="C00448"/>
    <x v="0"/>
    <n v="8416.16"/>
    <x v="1"/>
    <x v="81"/>
    <n v="24.91"/>
    <n v="48"/>
  </r>
  <r>
    <x v="84"/>
    <s v="C00475"/>
    <x v="0"/>
    <n v="10288.66"/>
    <x v="0"/>
    <x v="28"/>
    <n v="20.86"/>
    <n v="36"/>
  </r>
  <r>
    <x v="85"/>
    <s v="C00096"/>
    <x v="0"/>
    <n v="8329.91"/>
    <x v="0"/>
    <x v="82"/>
    <n v="21.08"/>
    <n v="6"/>
  </r>
  <r>
    <x v="86"/>
    <s v="C00628"/>
    <x v="1"/>
    <n v="34143.86"/>
    <x v="1"/>
    <x v="83"/>
    <n v="29.06"/>
    <n v="6"/>
  </r>
  <r>
    <x v="87"/>
    <s v="C00700"/>
    <x v="1"/>
    <n v="31898.7"/>
    <x v="0"/>
    <x v="84"/>
    <n v="18.690000000000001"/>
    <n v="3"/>
  </r>
  <r>
    <x v="88"/>
    <s v="C00042"/>
    <x v="0"/>
    <n v="19245.72"/>
    <x v="0"/>
    <x v="85"/>
    <n v="22.69"/>
    <n v="36"/>
  </r>
  <r>
    <x v="89"/>
    <s v="C00486"/>
    <x v="1"/>
    <n v="10485.5"/>
    <x v="0"/>
    <x v="86"/>
    <n v="15.29"/>
    <n v="24"/>
  </r>
  <r>
    <x v="90"/>
    <s v="C00341"/>
    <x v="3"/>
    <n v="8911.31"/>
    <x v="2"/>
    <x v="87"/>
    <n v="29.09"/>
    <n v="6"/>
  </r>
  <r>
    <x v="91"/>
    <s v="C00714"/>
    <x v="0"/>
    <n v="11020.38"/>
    <x v="0"/>
    <x v="88"/>
    <n v="23.8"/>
    <n v="48"/>
  </r>
  <r>
    <x v="92"/>
    <s v="C00009"/>
    <x v="2"/>
    <n v="8858.32"/>
    <x v="3"/>
    <x v="34"/>
    <n v="16.38"/>
    <n v="24"/>
  </r>
  <r>
    <x v="93"/>
    <s v="C00953"/>
    <x v="1"/>
    <n v="21618.18"/>
    <x v="1"/>
    <x v="86"/>
    <n v="16.649999999999999"/>
    <n v="24"/>
  </r>
  <r>
    <x v="94"/>
    <s v="C00881"/>
    <x v="2"/>
    <n v="33186.43"/>
    <x v="0"/>
    <x v="89"/>
    <n v="17.34"/>
    <n v="12"/>
  </r>
  <r>
    <x v="95"/>
    <s v="C00538"/>
    <x v="0"/>
    <n v="34034.01"/>
    <x v="0"/>
    <x v="90"/>
    <n v="27.48"/>
    <n v="12"/>
  </r>
  <r>
    <x v="96"/>
    <s v="C00317"/>
    <x v="0"/>
    <n v="8888.67"/>
    <x v="1"/>
    <x v="91"/>
    <n v="24.88"/>
    <n v="24"/>
  </r>
  <r>
    <x v="97"/>
    <s v="C00218"/>
    <x v="1"/>
    <n v="11179.24"/>
    <x v="2"/>
    <x v="92"/>
    <n v="30.56"/>
    <n v="24"/>
  </r>
  <r>
    <x v="98"/>
    <s v="C00883"/>
    <x v="0"/>
    <n v="11584.77"/>
    <x v="0"/>
    <x v="15"/>
    <n v="24.29"/>
    <n v="24"/>
  </r>
  <r>
    <x v="99"/>
    <s v="C00636"/>
    <x v="2"/>
    <n v="40753.14"/>
    <x v="0"/>
    <x v="90"/>
    <n v="17.670000000000002"/>
    <n v="36"/>
  </r>
  <r>
    <x v="100"/>
    <s v="C00627"/>
    <x v="1"/>
    <n v="6202.11"/>
    <x v="0"/>
    <x v="93"/>
    <n v="34.07"/>
    <n v="6"/>
  </r>
  <r>
    <x v="101"/>
    <s v="C00977"/>
    <x v="1"/>
    <n v="17991.080000000002"/>
    <x v="0"/>
    <x v="94"/>
    <n v="32.15"/>
    <n v="6"/>
  </r>
  <r>
    <x v="102"/>
    <s v="C00165"/>
    <x v="2"/>
    <n v="8956.2000000000007"/>
    <x v="1"/>
    <x v="48"/>
    <n v="16.97"/>
    <n v="24"/>
  </r>
  <r>
    <x v="103"/>
    <s v="C00352"/>
    <x v="1"/>
    <n v="15472.16"/>
    <x v="0"/>
    <x v="95"/>
    <n v="32.82"/>
    <n v="12"/>
  </r>
  <r>
    <x v="104"/>
    <s v="C00956"/>
    <x v="1"/>
    <n v="31416.22"/>
    <x v="0"/>
    <x v="96"/>
    <n v="28"/>
    <n v="12"/>
  </r>
  <r>
    <x v="105"/>
    <s v="C00498"/>
    <x v="1"/>
    <n v="13925.77"/>
    <x v="2"/>
    <x v="97"/>
    <n v="20.37"/>
    <n v="36"/>
  </r>
  <r>
    <x v="106"/>
    <s v="C00775"/>
    <x v="3"/>
    <n v="9870.69"/>
    <x v="0"/>
    <x v="98"/>
    <n v="21.67"/>
    <n v="24"/>
  </r>
  <r>
    <x v="107"/>
    <s v="C00419"/>
    <x v="1"/>
    <n v="32797.64"/>
    <x v="1"/>
    <x v="99"/>
    <n v="21.16"/>
    <n v="24"/>
  </r>
  <r>
    <x v="108"/>
    <s v="C00894"/>
    <x v="1"/>
    <n v="20008.91"/>
    <x v="1"/>
    <x v="100"/>
    <n v="29.92"/>
    <n v="12"/>
  </r>
  <r>
    <x v="109"/>
    <s v="C00198"/>
    <x v="1"/>
    <n v="26524.65"/>
    <x v="0"/>
    <x v="101"/>
    <n v="14.39"/>
    <n v="12"/>
  </r>
  <r>
    <x v="110"/>
    <s v="C00975"/>
    <x v="0"/>
    <n v="22286.39"/>
    <x v="0"/>
    <x v="102"/>
    <n v="11.47"/>
    <n v="48"/>
  </r>
  <r>
    <x v="111"/>
    <s v="C00390"/>
    <x v="0"/>
    <n v="6823.83"/>
    <x v="0"/>
    <x v="83"/>
    <n v="22.46"/>
    <n v="24"/>
  </r>
  <r>
    <x v="112"/>
    <s v="C00882"/>
    <x v="0"/>
    <n v="51232.4"/>
    <x v="2"/>
    <x v="103"/>
    <n v="17.260000000000002"/>
    <n v="36"/>
  </r>
  <r>
    <x v="113"/>
    <s v="C00403"/>
    <x v="2"/>
    <n v="15380.73"/>
    <x v="1"/>
    <x v="14"/>
    <n v="24.1"/>
    <n v="12"/>
  </r>
  <r>
    <x v="114"/>
    <s v="C00637"/>
    <x v="2"/>
    <n v="35382.050000000003"/>
    <x v="0"/>
    <x v="104"/>
    <n v="34.450000000000003"/>
    <n v="6"/>
  </r>
  <r>
    <x v="115"/>
    <s v="C00868"/>
    <x v="1"/>
    <n v="13628.3"/>
    <x v="1"/>
    <x v="105"/>
    <n v="26.79"/>
    <n v="12"/>
  </r>
  <r>
    <x v="116"/>
    <s v="C00153"/>
    <x v="2"/>
    <n v="28355.79"/>
    <x v="1"/>
    <x v="106"/>
    <n v="33.979999999999997"/>
    <n v="12"/>
  </r>
  <r>
    <x v="117"/>
    <s v="C00287"/>
    <x v="1"/>
    <n v="40483.620000000003"/>
    <x v="0"/>
    <x v="107"/>
    <n v="28.3"/>
    <n v="24"/>
  </r>
  <r>
    <x v="118"/>
    <s v="C00960"/>
    <x v="2"/>
    <n v="36532.339999999997"/>
    <x v="0"/>
    <x v="108"/>
    <n v="11.9"/>
    <n v="6"/>
  </r>
  <r>
    <x v="119"/>
    <s v="C00400"/>
    <x v="1"/>
    <n v="19620.05"/>
    <x v="1"/>
    <x v="109"/>
    <n v="32.229999999999997"/>
    <n v="12"/>
  </r>
  <r>
    <x v="120"/>
    <s v="C00560"/>
    <x v="0"/>
    <n v="13744.39"/>
    <x v="0"/>
    <x v="110"/>
    <n v="14.97"/>
    <n v="6"/>
  </r>
  <r>
    <x v="121"/>
    <s v="C00359"/>
    <x v="2"/>
    <n v="5844.93"/>
    <x v="3"/>
    <x v="111"/>
    <n v="31.62"/>
    <n v="12"/>
  </r>
  <r>
    <x v="122"/>
    <s v="C00127"/>
    <x v="2"/>
    <n v="6699.34"/>
    <x v="1"/>
    <x v="65"/>
    <n v="28.73"/>
    <n v="48"/>
  </r>
  <r>
    <x v="123"/>
    <s v="C00125"/>
    <x v="2"/>
    <n v="44052.61"/>
    <x v="0"/>
    <x v="36"/>
    <n v="30.97"/>
    <n v="12"/>
  </r>
  <r>
    <x v="124"/>
    <s v="C00816"/>
    <x v="0"/>
    <n v="9329.91"/>
    <x v="3"/>
    <x v="112"/>
    <n v="16.34"/>
    <n v="3"/>
  </r>
  <r>
    <x v="125"/>
    <s v="C00583"/>
    <x v="2"/>
    <n v="34316.36"/>
    <x v="0"/>
    <x v="113"/>
    <n v="30.18"/>
    <n v="24"/>
  </r>
  <r>
    <x v="126"/>
    <s v="C00028"/>
    <x v="1"/>
    <n v="37477.49"/>
    <x v="3"/>
    <x v="114"/>
    <n v="25.26"/>
    <n v="24"/>
  </r>
  <r>
    <x v="127"/>
    <s v="C00971"/>
    <x v="1"/>
    <n v="25958.720000000001"/>
    <x v="0"/>
    <x v="115"/>
    <n v="12.05"/>
    <n v="12"/>
  </r>
  <r>
    <x v="128"/>
    <s v="C00150"/>
    <x v="1"/>
    <n v="24661.02"/>
    <x v="1"/>
    <x v="92"/>
    <n v="32.229999999999997"/>
    <n v="12"/>
  </r>
  <r>
    <x v="129"/>
    <s v="C00966"/>
    <x v="1"/>
    <n v="7098.19"/>
    <x v="1"/>
    <x v="116"/>
    <n v="31.92"/>
    <n v="36"/>
  </r>
  <r>
    <x v="130"/>
    <s v="C00139"/>
    <x v="1"/>
    <n v="6127.16"/>
    <x v="0"/>
    <x v="117"/>
    <n v="24.3"/>
    <n v="48"/>
  </r>
  <r>
    <x v="131"/>
    <s v="C00644"/>
    <x v="0"/>
    <n v="10646.93"/>
    <x v="0"/>
    <x v="118"/>
    <n v="21.32"/>
    <n v="24"/>
  </r>
  <r>
    <x v="132"/>
    <s v="C00638"/>
    <x v="0"/>
    <n v="67660.289999999994"/>
    <x v="1"/>
    <x v="119"/>
    <n v="20.010000000000002"/>
    <n v="12"/>
  </r>
  <r>
    <x v="133"/>
    <s v="C00114"/>
    <x v="1"/>
    <n v="54166.3"/>
    <x v="1"/>
    <x v="120"/>
    <n v="25.07"/>
    <n v="3"/>
  </r>
  <r>
    <x v="134"/>
    <s v="C00383"/>
    <x v="1"/>
    <n v="18578.25"/>
    <x v="0"/>
    <x v="121"/>
    <n v="31.04"/>
    <n v="12"/>
  </r>
  <r>
    <x v="135"/>
    <s v="C00023"/>
    <x v="2"/>
    <n v="50792.27"/>
    <x v="2"/>
    <x v="122"/>
    <n v="24.15"/>
    <n v="12"/>
  </r>
  <r>
    <x v="136"/>
    <s v="C00519"/>
    <x v="1"/>
    <n v="8535.82"/>
    <x v="1"/>
    <x v="123"/>
    <n v="13.24"/>
    <n v="3"/>
  </r>
  <r>
    <x v="137"/>
    <s v="C00134"/>
    <x v="0"/>
    <n v="13419.44"/>
    <x v="0"/>
    <x v="124"/>
    <n v="17.649999999999999"/>
    <n v="36"/>
  </r>
  <r>
    <x v="138"/>
    <s v="C00730"/>
    <x v="1"/>
    <n v="64202.53"/>
    <x v="1"/>
    <x v="125"/>
    <n v="26.71"/>
    <n v="36"/>
  </r>
  <r>
    <x v="139"/>
    <s v="C00841"/>
    <x v="0"/>
    <n v="96929.84"/>
    <x v="0"/>
    <x v="126"/>
    <n v="26.17"/>
    <n v="36"/>
  </r>
  <r>
    <x v="140"/>
    <s v="C00227"/>
    <x v="1"/>
    <n v="33432.86"/>
    <x v="3"/>
    <x v="127"/>
    <n v="22.97"/>
    <n v="24"/>
  </r>
  <r>
    <x v="141"/>
    <s v="C00601"/>
    <x v="1"/>
    <n v="5056.6400000000003"/>
    <x v="0"/>
    <x v="128"/>
    <n v="16.010000000000002"/>
    <n v="24"/>
  </r>
  <r>
    <x v="142"/>
    <s v="C00076"/>
    <x v="3"/>
    <n v="53084.03"/>
    <x v="0"/>
    <x v="47"/>
    <n v="16.760000000000002"/>
    <n v="12"/>
  </r>
  <r>
    <x v="143"/>
    <s v="C00703"/>
    <x v="1"/>
    <n v="14555.8"/>
    <x v="0"/>
    <x v="23"/>
    <n v="22.11"/>
    <n v="36"/>
  </r>
  <r>
    <x v="144"/>
    <s v="C00819"/>
    <x v="1"/>
    <n v="32146.53"/>
    <x v="2"/>
    <x v="129"/>
    <n v="19.86"/>
    <n v="12"/>
  </r>
  <r>
    <x v="145"/>
    <s v="C00045"/>
    <x v="1"/>
    <n v="19521.87"/>
    <x v="0"/>
    <x v="106"/>
    <n v="17.899999999999999"/>
    <n v="3"/>
  </r>
  <r>
    <x v="146"/>
    <s v="C00899"/>
    <x v="2"/>
    <n v="40345.53"/>
    <x v="0"/>
    <x v="130"/>
    <n v="30.74"/>
    <n v="24"/>
  </r>
  <r>
    <x v="147"/>
    <s v="C00237"/>
    <x v="1"/>
    <n v="18720.41"/>
    <x v="0"/>
    <x v="131"/>
    <n v="22.6"/>
    <n v="12"/>
  </r>
  <r>
    <x v="148"/>
    <s v="C00887"/>
    <x v="0"/>
    <n v="160034.31"/>
    <x v="0"/>
    <x v="132"/>
    <n v="22.58"/>
    <n v="12"/>
  </r>
  <r>
    <x v="149"/>
    <s v="C00110"/>
    <x v="3"/>
    <n v="39030.99"/>
    <x v="0"/>
    <x v="133"/>
    <n v="20.7"/>
    <n v="12"/>
  </r>
  <r>
    <x v="150"/>
    <s v="C00688"/>
    <x v="0"/>
    <n v="6591.9"/>
    <x v="1"/>
    <x v="100"/>
    <n v="27.02"/>
    <n v="12"/>
  </r>
  <r>
    <x v="151"/>
    <s v="C00008"/>
    <x v="1"/>
    <n v="4709.2299999999996"/>
    <x v="0"/>
    <x v="134"/>
    <n v="14.39"/>
    <n v="6"/>
  </r>
  <r>
    <x v="152"/>
    <s v="C00247"/>
    <x v="3"/>
    <n v="4756.5200000000004"/>
    <x v="1"/>
    <x v="135"/>
    <n v="33.590000000000003"/>
    <n v="3"/>
  </r>
  <r>
    <x v="153"/>
    <s v="C00647"/>
    <x v="0"/>
    <n v="29026.62"/>
    <x v="0"/>
    <x v="82"/>
    <n v="12.62"/>
    <n v="12"/>
  </r>
  <r>
    <x v="154"/>
    <s v="C00842"/>
    <x v="1"/>
    <n v="38944.639999999999"/>
    <x v="1"/>
    <x v="136"/>
    <n v="27.76"/>
    <n v="12"/>
  </r>
  <r>
    <x v="155"/>
    <s v="C00014"/>
    <x v="1"/>
    <n v="2231.1799999999998"/>
    <x v="0"/>
    <x v="137"/>
    <n v="27.61"/>
    <n v="12"/>
  </r>
  <r>
    <x v="156"/>
    <s v="C00188"/>
    <x v="2"/>
    <n v="47898"/>
    <x v="1"/>
    <x v="138"/>
    <n v="12.85"/>
    <n v="48"/>
  </r>
  <r>
    <x v="157"/>
    <s v="C00685"/>
    <x v="0"/>
    <n v="23869.24"/>
    <x v="0"/>
    <x v="139"/>
    <n v="34.83"/>
    <n v="36"/>
  </r>
  <r>
    <x v="158"/>
    <s v="C00244"/>
    <x v="1"/>
    <n v="65763.210000000006"/>
    <x v="0"/>
    <x v="140"/>
    <n v="10.86"/>
    <n v="3"/>
  </r>
  <r>
    <x v="159"/>
    <s v="C00334"/>
    <x v="2"/>
    <n v="8312.98"/>
    <x v="0"/>
    <x v="120"/>
    <n v="19.12"/>
    <n v="3"/>
  </r>
  <r>
    <x v="160"/>
    <s v="C00147"/>
    <x v="3"/>
    <n v="22754.73"/>
    <x v="0"/>
    <x v="36"/>
    <n v="20.62"/>
    <n v="24"/>
  </r>
  <r>
    <x v="161"/>
    <s v="C00848"/>
    <x v="1"/>
    <n v="22616.53"/>
    <x v="0"/>
    <x v="141"/>
    <n v="30.07"/>
    <n v="48"/>
  </r>
  <r>
    <x v="162"/>
    <s v="C00079"/>
    <x v="1"/>
    <n v="9711.42"/>
    <x v="1"/>
    <x v="142"/>
    <n v="10.75"/>
    <n v="12"/>
  </r>
  <r>
    <x v="163"/>
    <s v="C00712"/>
    <x v="3"/>
    <n v="6534.01"/>
    <x v="1"/>
    <x v="128"/>
    <n v="23.93"/>
    <n v="12"/>
  </r>
  <r>
    <x v="164"/>
    <s v="C00178"/>
    <x v="1"/>
    <n v="37990.14"/>
    <x v="0"/>
    <x v="143"/>
    <n v="15.1"/>
    <n v="12"/>
  </r>
  <r>
    <x v="165"/>
    <s v="C00648"/>
    <x v="3"/>
    <n v="21661.72"/>
    <x v="0"/>
    <x v="144"/>
    <n v="24.31"/>
    <n v="24"/>
  </r>
  <r>
    <x v="166"/>
    <s v="C00709"/>
    <x v="0"/>
    <n v="24714.73"/>
    <x v="1"/>
    <x v="145"/>
    <n v="26.16"/>
    <n v="12"/>
  </r>
  <r>
    <x v="167"/>
    <s v="C00373"/>
    <x v="1"/>
    <n v="53647.43"/>
    <x v="2"/>
    <x v="8"/>
    <n v="10.85"/>
    <n v="6"/>
  </r>
  <r>
    <x v="168"/>
    <s v="C00100"/>
    <x v="1"/>
    <n v="17469.77"/>
    <x v="0"/>
    <x v="146"/>
    <n v="11.69"/>
    <n v="12"/>
  </r>
  <r>
    <x v="169"/>
    <s v="C00137"/>
    <x v="1"/>
    <n v="23199.96"/>
    <x v="0"/>
    <x v="101"/>
    <n v="12.13"/>
    <n v="12"/>
  </r>
  <r>
    <x v="170"/>
    <s v="C00123"/>
    <x v="1"/>
    <n v="23907.19"/>
    <x v="0"/>
    <x v="147"/>
    <n v="31.31"/>
    <n v="36"/>
  </r>
  <r>
    <x v="171"/>
    <s v="C00660"/>
    <x v="0"/>
    <n v="24421.3"/>
    <x v="0"/>
    <x v="148"/>
    <n v="33.17"/>
    <n v="24"/>
  </r>
  <r>
    <x v="172"/>
    <s v="C00157"/>
    <x v="2"/>
    <n v="5842.87"/>
    <x v="0"/>
    <x v="1"/>
    <n v="20.94"/>
    <n v="24"/>
  </r>
  <r>
    <x v="173"/>
    <s v="C00875"/>
    <x v="0"/>
    <n v="17748.669999999998"/>
    <x v="1"/>
    <x v="149"/>
    <n v="31.87"/>
    <n v="12"/>
  </r>
  <r>
    <x v="174"/>
    <s v="C00802"/>
    <x v="2"/>
    <n v="45556.97"/>
    <x v="0"/>
    <x v="150"/>
    <n v="21.91"/>
    <n v="6"/>
  </r>
  <r>
    <x v="175"/>
    <s v="C00024"/>
    <x v="2"/>
    <n v="16278.44"/>
    <x v="0"/>
    <x v="151"/>
    <n v="20.03"/>
    <n v="36"/>
  </r>
  <r>
    <x v="176"/>
    <s v="C00163"/>
    <x v="3"/>
    <n v="12355.62"/>
    <x v="2"/>
    <x v="152"/>
    <n v="23.28"/>
    <n v="12"/>
  </r>
  <r>
    <x v="177"/>
    <s v="C00897"/>
    <x v="0"/>
    <n v="39136.699999999997"/>
    <x v="0"/>
    <x v="153"/>
    <n v="29.75"/>
    <n v="24"/>
  </r>
  <r>
    <x v="178"/>
    <s v="C00348"/>
    <x v="3"/>
    <n v="18232.32"/>
    <x v="0"/>
    <x v="154"/>
    <n v="15.59"/>
    <n v="24"/>
  </r>
  <r>
    <x v="179"/>
    <s v="C00235"/>
    <x v="1"/>
    <n v="10897.53"/>
    <x v="0"/>
    <x v="155"/>
    <n v="17.54"/>
    <n v="36"/>
  </r>
  <r>
    <x v="180"/>
    <s v="C00309"/>
    <x v="0"/>
    <n v="9053.36"/>
    <x v="0"/>
    <x v="156"/>
    <n v="31.22"/>
    <n v="6"/>
  </r>
  <r>
    <x v="181"/>
    <s v="C00741"/>
    <x v="2"/>
    <n v="17273.27"/>
    <x v="1"/>
    <x v="157"/>
    <n v="32.9"/>
    <n v="24"/>
  </r>
  <r>
    <x v="182"/>
    <s v="C00584"/>
    <x v="3"/>
    <n v="10622.7"/>
    <x v="0"/>
    <x v="158"/>
    <n v="13.08"/>
    <n v="12"/>
  </r>
  <r>
    <x v="183"/>
    <s v="C00856"/>
    <x v="2"/>
    <n v="37092.959999999999"/>
    <x v="1"/>
    <x v="159"/>
    <n v="27.62"/>
    <n v="6"/>
  </r>
  <r>
    <x v="184"/>
    <s v="C00919"/>
    <x v="1"/>
    <n v="9811.31"/>
    <x v="1"/>
    <x v="160"/>
    <n v="10.24"/>
    <n v="36"/>
  </r>
  <r>
    <x v="185"/>
    <s v="C00860"/>
    <x v="1"/>
    <n v="22530.6"/>
    <x v="0"/>
    <x v="161"/>
    <n v="16.149999999999999"/>
    <n v="36"/>
  </r>
  <r>
    <x v="186"/>
    <s v="C00777"/>
    <x v="1"/>
    <n v="25232.36"/>
    <x v="1"/>
    <x v="75"/>
    <n v="11.72"/>
    <n v="3"/>
  </r>
  <r>
    <x v="187"/>
    <s v="C00528"/>
    <x v="1"/>
    <n v="29921.67"/>
    <x v="1"/>
    <x v="162"/>
    <n v="22.88"/>
    <n v="24"/>
  </r>
  <r>
    <x v="188"/>
    <s v="C00671"/>
    <x v="2"/>
    <n v="63307.79"/>
    <x v="3"/>
    <x v="89"/>
    <n v="18.579999999999998"/>
    <n v="6"/>
  </r>
  <r>
    <x v="189"/>
    <s v="C00896"/>
    <x v="0"/>
    <n v="6111.58"/>
    <x v="0"/>
    <x v="163"/>
    <n v="13.44"/>
    <n v="24"/>
  </r>
  <r>
    <x v="190"/>
    <s v="C00692"/>
    <x v="1"/>
    <n v="29328.68"/>
    <x v="0"/>
    <x v="100"/>
    <n v="10.01"/>
    <n v="24"/>
  </r>
  <r>
    <x v="191"/>
    <s v="C00728"/>
    <x v="1"/>
    <n v="29684.66"/>
    <x v="3"/>
    <x v="164"/>
    <n v="19.71"/>
    <n v="24"/>
  </r>
  <r>
    <x v="192"/>
    <s v="C00677"/>
    <x v="0"/>
    <n v="7561.98"/>
    <x v="0"/>
    <x v="165"/>
    <n v="17.36"/>
    <n v="6"/>
  </r>
  <r>
    <x v="193"/>
    <s v="C00680"/>
    <x v="1"/>
    <n v="22214.27"/>
    <x v="0"/>
    <x v="166"/>
    <n v="11.17"/>
    <n v="24"/>
  </r>
  <r>
    <x v="194"/>
    <s v="C00861"/>
    <x v="3"/>
    <n v="12891.88"/>
    <x v="1"/>
    <x v="167"/>
    <n v="31.29"/>
    <n v="6"/>
  </r>
  <r>
    <x v="195"/>
    <s v="C00262"/>
    <x v="1"/>
    <n v="55357.82"/>
    <x v="0"/>
    <x v="168"/>
    <n v="20.27"/>
    <n v="24"/>
  </r>
  <r>
    <x v="196"/>
    <s v="C00903"/>
    <x v="1"/>
    <n v="11443.76"/>
    <x v="0"/>
    <x v="169"/>
    <n v="29.37"/>
    <n v="3"/>
  </r>
  <r>
    <x v="197"/>
    <s v="C00631"/>
    <x v="1"/>
    <n v="15181.37"/>
    <x v="1"/>
    <x v="170"/>
    <n v="20.55"/>
    <n v="24"/>
  </r>
  <r>
    <x v="198"/>
    <s v="C00943"/>
    <x v="3"/>
    <n v="13302.45"/>
    <x v="1"/>
    <x v="72"/>
    <n v="11.69"/>
    <n v="36"/>
  </r>
  <r>
    <x v="199"/>
    <s v="C00120"/>
    <x v="0"/>
    <n v="9223.2000000000007"/>
    <x v="1"/>
    <x v="19"/>
    <n v="19.86"/>
    <n v="12"/>
  </r>
  <r>
    <x v="200"/>
    <s v="C00569"/>
    <x v="0"/>
    <n v="5221.1400000000003"/>
    <x v="0"/>
    <x v="171"/>
    <n v="32.15"/>
    <n v="24"/>
  </r>
  <r>
    <x v="201"/>
    <s v="C00749"/>
    <x v="1"/>
    <n v="9263.11"/>
    <x v="1"/>
    <x v="41"/>
    <n v="10.19"/>
    <n v="12"/>
  </r>
  <r>
    <x v="202"/>
    <s v="C00081"/>
    <x v="3"/>
    <n v="20233.41"/>
    <x v="1"/>
    <x v="172"/>
    <n v="32.380000000000003"/>
    <n v="36"/>
  </r>
  <r>
    <x v="203"/>
    <s v="C00474"/>
    <x v="3"/>
    <n v="22604.63"/>
    <x v="0"/>
    <x v="173"/>
    <n v="26.42"/>
    <n v="24"/>
  </r>
  <r>
    <x v="204"/>
    <s v="C00655"/>
    <x v="1"/>
    <n v="34540.800000000003"/>
    <x v="0"/>
    <x v="116"/>
    <n v="34.89"/>
    <n v="12"/>
  </r>
  <r>
    <x v="205"/>
    <s v="C00815"/>
    <x v="2"/>
    <n v="41767.1"/>
    <x v="1"/>
    <x v="174"/>
    <n v="32.9"/>
    <n v="6"/>
  </r>
  <r>
    <x v="206"/>
    <s v="C00880"/>
    <x v="3"/>
    <n v="24847.62"/>
    <x v="0"/>
    <x v="80"/>
    <n v="31.72"/>
    <n v="36"/>
  </r>
  <r>
    <x v="207"/>
    <s v="C00142"/>
    <x v="1"/>
    <n v="34108.94"/>
    <x v="0"/>
    <x v="175"/>
    <n v="10.94"/>
    <n v="36"/>
  </r>
  <r>
    <x v="208"/>
    <s v="C00266"/>
    <x v="1"/>
    <n v="27425.85"/>
    <x v="0"/>
    <x v="176"/>
    <n v="17.010000000000002"/>
    <n v="24"/>
  </r>
  <r>
    <x v="209"/>
    <s v="C00738"/>
    <x v="0"/>
    <n v="7472.51"/>
    <x v="0"/>
    <x v="177"/>
    <n v="19.37"/>
    <n v="12"/>
  </r>
  <r>
    <x v="210"/>
    <s v="C00478"/>
    <x v="2"/>
    <n v="24467.599999999999"/>
    <x v="0"/>
    <x v="178"/>
    <n v="27.5"/>
    <n v="12"/>
  </r>
  <r>
    <x v="211"/>
    <s v="C00910"/>
    <x v="3"/>
    <n v="18205.849999999999"/>
    <x v="1"/>
    <x v="179"/>
    <n v="26.22"/>
    <n v="24"/>
  </r>
  <r>
    <x v="212"/>
    <s v="C00371"/>
    <x v="2"/>
    <n v="11477.41"/>
    <x v="0"/>
    <x v="132"/>
    <n v="14.29"/>
    <n v="6"/>
  </r>
  <r>
    <x v="213"/>
    <s v="C00523"/>
    <x v="1"/>
    <n v="18210.55"/>
    <x v="0"/>
    <x v="180"/>
    <n v="28.42"/>
    <n v="48"/>
  </r>
  <r>
    <x v="214"/>
    <s v="C00091"/>
    <x v="2"/>
    <n v="24000.07"/>
    <x v="0"/>
    <x v="181"/>
    <n v="13.89"/>
    <n v="6"/>
  </r>
  <r>
    <x v="215"/>
    <s v="C00423"/>
    <x v="0"/>
    <n v="15344.67"/>
    <x v="0"/>
    <x v="77"/>
    <n v="21.41"/>
    <n v="24"/>
  </r>
  <r>
    <x v="216"/>
    <s v="C00303"/>
    <x v="1"/>
    <n v="39872.199999999997"/>
    <x v="0"/>
    <x v="182"/>
    <n v="24.47"/>
    <n v="12"/>
  </r>
  <r>
    <x v="217"/>
    <s v="C00778"/>
    <x v="1"/>
    <n v="23693.29"/>
    <x v="0"/>
    <x v="183"/>
    <n v="31.77"/>
    <n v="24"/>
  </r>
  <r>
    <x v="218"/>
    <s v="C00056"/>
    <x v="1"/>
    <n v="36291.980000000003"/>
    <x v="0"/>
    <x v="184"/>
    <n v="25.78"/>
    <n v="12"/>
  </r>
  <r>
    <x v="219"/>
    <s v="C00832"/>
    <x v="2"/>
    <n v="49275.89"/>
    <x v="0"/>
    <x v="185"/>
    <n v="33.869999999999997"/>
    <n v="12"/>
  </r>
  <r>
    <x v="220"/>
    <s v="C00207"/>
    <x v="3"/>
    <n v="13139.53"/>
    <x v="0"/>
    <x v="186"/>
    <n v="34.86"/>
    <n v="12"/>
  </r>
  <r>
    <x v="221"/>
    <s v="C00801"/>
    <x v="2"/>
    <n v="12635.07"/>
    <x v="2"/>
    <x v="187"/>
    <n v="22.72"/>
    <n v="6"/>
  </r>
  <r>
    <x v="222"/>
    <s v="C00822"/>
    <x v="2"/>
    <n v="45497.65"/>
    <x v="0"/>
    <x v="188"/>
    <n v="11.29"/>
    <n v="36"/>
  </r>
  <r>
    <x v="223"/>
    <s v="C00937"/>
    <x v="1"/>
    <n v="9743.4599999999991"/>
    <x v="1"/>
    <x v="189"/>
    <n v="10.71"/>
    <n v="48"/>
  </r>
  <r>
    <x v="224"/>
    <s v="C00029"/>
    <x v="2"/>
    <n v="16669.86"/>
    <x v="0"/>
    <x v="158"/>
    <n v="31.39"/>
    <n v="12"/>
  </r>
  <r>
    <x v="225"/>
    <s v="C00492"/>
    <x v="2"/>
    <n v="12210.96"/>
    <x v="0"/>
    <x v="190"/>
    <n v="22.5"/>
    <n v="12"/>
  </r>
  <r>
    <x v="226"/>
    <s v="C00972"/>
    <x v="0"/>
    <n v="8163.32"/>
    <x v="1"/>
    <x v="108"/>
    <n v="19.170000000000002"/>
    <n v="24"/>
  </r>
  <r>
    <x v="227"/>
    <s v="C00300"/>
    <x v="0"/>
    <n v="26858.68"/>
    <x v="0"/>
    <x v="91"/>
    <n v="17.11"/>
    <n v="24"/>
  </r>
  <r>
    <x v="228"/>
    <s v="C00406"/>
    <x v="2"/>
    <n v="14558.99"/>
    <x v="0"/>
    <x v="191"/>
    <n v="17.04"/>
    <n v="36"/>
  </r>
  <r>
    <x v="229"/>
    <s v="C00905"/>
    <x v="3"/>
    <n v="8587.2900000000009"/>
    <x v="0"/>
    <x v="192"/>
    <n v="11.82"/>
    <n v="12"/>
  </r>
  <r>
    <x v="230"/>
    <s v="C00933"/>
    <x v="0"/>
    <n v="37803.25"/>
    <x v="0"/>
    <x v="193"/>
    <n v="17.57"/>
    <n v="24"/>
  </r>
  <r>
    <x v="231"/>
    <s v="C00814"/>
    <x v="1"/>
    <n v="6250.54"/>
    <x v="1"/>
    <x v="194"/>
    <n v="26.12"/>
    <n v="12"/>
  </r>
  <r>
    <x v="232"/>
    <s v="C00664"/>
    <x v="2"/>
    <n v="16023.26"/>
    <x v="1"/>
    <x v="195"/>
    <n v="19.63"/>
    <n v="24"/>
  </r>
  <r>
    <x v="233"/>
    <s v="C00118"/>
    <x v="3"/>
    <n v="36763.449999999997"/>
    <x v="0"/>
    <x v="163"/>
    <n v="33.700000000000003"/>
    <n v="12"/>
  </r>
  <r>
    <x v="234"/>
    <s v="C00112"/>
    <x v="3"/>
    <n v="37497.51"/>
    <x v="0"/>
    <x v="188"/>
    <n v="26.7"/>
    <n v="24"/>
  </r>
  <r>
    <x v="235"/>
    <s v="C00865"/>
    <x v="1"/>
    <n v="25387.72"/>
    <x v="1"/>
    <x v="196"/>
    <n v="31.6"/>
    <n v="12"/>
  </r>
  <r>
    <x v="236"/>
    <s v="C00191"/>
    <x v="0"/>
    <n v="8918.99"/>
    <x v="0"/>
    <x v="197"/>
    <n v="12.85"/>
    <n v="12"/>
  </r>
  <r>
    <x v="237"/>
    <s v="C00380"/>
    <x v="1"/>
    <n v="20505.240000000002"/>
    <x v="1"/>
    <x v="64"/>
    <n v="21.26"/>
    <n v="12"/>
  </r>
  <r>
    <x v="238"/>
    <s v="C00683"/>
    <x v="1"/>
    <n v="23968.78"/>
    <x v="2"/>
    <x v="198"/>
    <n v="11.04"/>
    <n v="36"/>
  </r>
  <r>
    <x v="239"/>
    <s v="C00185"/>
    <x v="0"/>
    <n v="12664.08"/>
    <x v="0"/>
    <x v="199"/>
    <n v="32.380000000000003"/>
    <n v="24"/>
  </r>
  <r>
    <x v="240"/>
    <s v="C00167"/>
    <x v="3"/>
    <n v="24374.080000000002"/>
    <x v="0"/>
    <x v="200"/>
    <n v="13.67"/>
    <n v="24"/>
  </r>
  <r>
    <x v="241"/>
    <s v="C00457"/>
    <x v="2"/>
    <n v="5529.22"/>
    <x v="2"/>
    <x v="201"/>
    <n v="30.14"/>
    <n v="24"/>
  </r>
  <r>
    <x v="242"/>
    <s v="C00572"/>
    <x v="1"/>
    <n v="4434.97"/>
    <x v="0"/>
    <x v="202"/>
    <n v="33.1"/>
    <n v="24"/>
  </r>
  <r>
    <x v="243"/>
    <s v="C00789"/>
    <x v="0"/>
    <n v="10788.51"/>
    <x v="0"/>
    <x v="203"/>
    <n v="21.05"/>
    <n v="12"/>
  </r>
  <r>
    <x v="244"/>
    <s v="C00115"/>
    <x v="2"/>
    <n v="31397.53"/>
    <x v="0"/>
    <x v="204"/>
    <n v="19.73"/>
    <n v="12"/>
  </r>
  <r>
    <x v="245"/>
    <s v="C00080"/>
    <x v="1"/>
    <n v="35888.839999999997"/>
    <x v="0"/>
    <x v="71"/>
    <n v="25"/>
    <n v="12"/>
  </r>
  <r>
    <x v="246"/>
    <s v="C00365"/>
    <x v="1"/>
    <n v="6481.05"/>
    <x v="2"/>
    <x v="187"/>
    <n v="28.51"/>
    <n v="6"/>
  </r>
  <r>
    <x v="247"/>
    <s v="C00489"/>
    <x v="1"/>
    <n v="58355.09"/>
    <x v="0"/>
    <x v="106"/>
    <n v="26.14"/>
    <n v="12"/>
  </r>
  <r>
    <x v="248"/>
    <s v="C00030"/>
    <x v="2"/>
    <n v="19379.84"/>
    <x v="0"/>
    <x v="205"/>
    <n v="10.029999999999999"/>
    <n v="24"/>
  </r>
  <r>
    <x v="249"/>
    <s v="C00512"/>
    <x v="1"/>
    <n v="5224.8100000000004"/>
    <x v="1"/>
    <x v="206"/>
    <n v="29.65"/>
    <n v="3"/>
  </r>
  <r>
    <x v="250"/>
    <s v="C00074"/>
    <x v="1"/>
    <n v="22991.01"/>
    <x v="0"/>
    <x v="207"/>
    <n v="13.68"/>
    <n v="6"/>
  </r>
  <r>
    <x v="251"/>
    <s v="C00721"/>
    <x v="3"/>
    <n v="49900.98"/>
    <x v="1"/>
    <x v="172"/>
    <n v="21.24"/>
    <n v="48"/>
  </r>
  <r>
    <x v="252"/>
    <s v="C00981"/>
    <x v="3"/>
    <n v="12236.71"/>
    <x v="2"/>
    <x v="67"/>
    <n v="17.059999999999999"/>
    <n v="36"/>
  </r>
  <r>
    <x v="253"/>
    <s v="C00458"/>
    <x v="1"/>
    <n v="39405.75"/>
    <x v="3"/>
    <x v="208"/>
    <n v="33.200000000000003"/>
    <n v="12"/>
  </r>
  <r>
    <x v="254"/>
    <s v="C00568"/>
    <x v="1"/>
    <n v="57176.36"/>
    <x v="0"/>
    <x v="209"/>
    <n v="22.55"/>
    <n v="24"/>
  </r>
  <r>
    <x v="255"/>
    <s v="C00686"/>
    <x v="2"/>
    <n v="18627.77"/>
    <x v="1"/>
    <x v="174"/>
    <n v="23.05"/>
    <n v="6"/>
  </r>
  <r>
    <x v="256"/>
    <s v="C00718"/>
    <x v="1"/>
    <n v="9935.18"/>
    <x v="0"/>
    <x v="210"/>
    <n v="11.9"/>
    <n v="12"/>
  </r>
  <r>
    <x v="257"/>
    <s v="C00508"/>
    <x v="1"/>
    <n v="45994.400000000001"/>
    <x v="0"/>
    <x v="211"/>
    <n v="32.43"/>
    <n v="36"/>
  </r>
  <r>
    <x v="258"/>
    <s v="C00559"/>
    <x v="1"/>
    <n v="45864.28"/>
    <x v="0"/>
    <x v="65"/>
    <n v="15.98"/>
    <n v="36"/>
  </r>
  <r>
    <x v="259"/>
    <s v="C00695"/>
    <x v="3"/>
    <n v="6589.91"/>
    <x v="1"/>
    <x v="51"/>
    <n v="20.350000000000001"/>
    <n v="12"/>
  </r>
  <r>
    <x v="260"/>
    <s v="C00306"/>
    <x v="3"/>
    <n v="16623.97"/>
    <x v="0"/>
    <x v="212"/>
    <n v="34.630000000000003"/>
    <n v="12"/>
  </r>
  <r>
    <x v="261"/>
    <s v="C00078"/>
    <x v="0"/>
    <n v="32101.5"/>
    <x v="1"/>
    <x v="67"/>
    <n v="12.85"/>
    <n v="24"/>
  </r>
  <r>
    <x v="262"/>
    <s v="C00849"/>
    <x v="2"/>
    <n v="33554.65"/>
    <x v="0"/>
    <x v="213"/>
    <n v="27.96"/>
    <n v="24"/>
  </r>
  <r>
    <x v="263"/>
    <s v="C00087"/>
    <x v="0"/>
    <n v="14309.01"/>
    <x v="2"/>
    <x v="214"/>
    <n v="16.5"/>
    <n v="48"/>
  </r>
  <r>
    <x v="264"/>
    <s v="C00586"/>
    <x v="2"/>
    <n v="8375.77"/>
    <x v="0"/>
    <x v="215"/>
    <n v="20.49"/>
    <n v="24"/>
  </r>
  <r>
    <x v="265"/>
    <s v="C00130"/>
    <x v="2"/>
    <n v="63357.13"/>
    <x v="1"/>
    <x v="60"/>
    <n v="20.45"/>
    <n v="12"/>
  </r>
  <r>
    <x v="266"/>
    <s v="C00058"/>
    <x v="2"/>
    <n v="19370.34"/>
    <x v="1"/>
    <x v="216"/>
    <n v="33.31"/>
    <n v="3"/>
  </r>
  <r>
    <x v="267"/>
    <s v="C00915"/>
    <x v="0"/>
    <n v="15632.16"/>
    <x v="2"/>
    <x v="217"/>
    <n v="10.26"/>
    <n v="12"/>
  </r>
  <r>
    <x v="268"/>
    <s v="C00450"/>
    <x v="1"/>
    <n v="11264.51"/>
    <x v="1"/>
    <x v="218"/>
    <n v="19.18"/>
    <n v="6"/>
  </r>
  <r>
    <x v="269"/>
    <s v="C00382"/>
    <x v="1"/>
    <n v="15348.73"/>
    <x v="1"/>
    <x v="9"/>
    <n v="31.31"/>
    <n v="6"/>
  </r>
  <r>
    <x v="270"/>
    <s v="C00490"/>
    <x v="3"/>
    <n v="5116.82"/>
    <x v="0"/>
    <x v="219"/>
    <n v="32.76"/>
    <n v="12"/>
  </r>
  <r>
    <x v="271"/>
    <s v="C00272"/>
    <x v="1"/>
    <n v="40102.53"/>
    <x v="1"/>
    <x v="220"/>
    <n v="17.78"/>
    <n v="12"/>
  </r>
  <r>
    <x v="272"/>
    <s v="C00336"/>
    <x v="1"/>
    <n v="14520.3"/>
    <x v="0"/>
    <x v="221"/>
    <n v="16.05"/>
    <n v="36"/>
  </r>
  <r>
    <x v="273"/>
    <s v="C00588"/>
    <x v="1"/>
    <n v="3359.11"/>
    <x v="0"/>
    <x v="222"/>
    <n v="21.53"/>
    <n v="12"/>
  </r>
  <r>
    <x v="274"/>
    <s v="C00773"/>
    <x v="1"/>
    <n v="8201.9500000000007"/>
    <x v="1"/>
    <x v="223"/>
    <n v="28.65"/>
    <n v="36"/>
  </r>
  <r>
    <x v="275"/>
    <s v="C00230"/>
    <x v="1"/>
    <n v="38795.22"/>
    <x v="0"/>
    <x v="224"/>
    <n v="13.85"/>
    <n v="12"/>
  </r>
  <r>
    <x v="276"/>
    <s v="C00605"/>
    <x v="1"/>
    <n v="16093.93"/>
    <x v="0"/>
    <x v="225"/>
    <n v="29.61"/>
    <n v="36"/>
  </r>
  <r>
    <x v="277"/>
    <s v="C00524"/>
    <x v="2"/>
    <n v="9594.75"/>
    <x v="0"/>
    <x v="226"/>
    <n v="22.82"/>
    <n v="12"/>
  </r>
  <r>
    <x v="278"/>
    <s v="C00921"/>
    <x v="1"/>
    <n v="20048.57"/>
    <x v="0"/>
    <x v="227"/>
    <n v="13.52"/>
    <n v="3"/>
  </r>
  <r>
    <x v="279"/>
    <s v="C00444"/>
    <x v="2"/>
    <n v="14200.61"/>
    <x v="0"/>
    <x v="228"/>
    <n v="26.79"/>
    <n v="12"/>
  </r>
  <r>
    <x v="280"/>
    <s v="C00646"/>
    <x v="1"/>
    <n v="19700.150000000001"/>
    <x v="0"/>
    <x v="113"/>
    <n v="25.71"/>
    <n v="6"/>
  </r>
  <r>
    <x v="281"/>
    <s v="C00550"/>
    <x v="1"/>
    <n v="23287.279999999999"/>
    <x v="0"/>
    <x v="229"/>
    <n v="25.56"/>
    <n v="12"/>
  </r>
  <r>
    <x v="282"/>
    <s v="C00019"/>
    <x v="0"/>
    <n v="9385.4699999999993"/>
    <x v="1"/>
    <x v="230"/>
    <n v="28.87"/>
    <n v="24"/>
  </r>
  <r>
    <x v="283"/>
    <s v="C00980"/>
    <x v="0"/>
    <n v="11374.7"/>
    <x v="0"/>
    <x v="231"/>
    <n v="14.53"/>
    <n v="12"/>
  </r>
  <r>
    <x v="284"/>
    <s v="C00578"/>
    <x v="2"/>
    <n v="10021.32"/>
    <x v="2"/>
    <x v="95"/>
    <n v="27.44"/>
    <n v="36"/>
  </r>
  <r>
    <x v="285"/>
    <s v="C00098"/>
    <x v="1"/>
    <n v="10260.44"/>
    <x v="2"/>
    <x v="185"/>
    <n v="32.18"/>
    <n v="48"/>
  </r>
  <r>
    <x v="286"/>
    <s v="C00374"/>
    <x v="1"/>
    <n v="10911.99"/>
    <x v="0"/>
    <x v="232"/>
    <n v="23.26"/>
    <n v="24"/>
  </r>
  <r>
    <x v="287"/>
    <s v="C00231"/>
    <x v="0"/>
    <n v="14295.78"/>
    <x v="0"/>
    <x v="174"/>
    <n v="22.15"/>
    <n v="36"/>
  </r>
  <r>
    <x v="288"/>
    <s v="C00250"/>
    <x v="1"/>
    <n v="11089.32"/>
    <x v="0"/>
    <x v="233"/>
    <n v="29.94"/>
    <n v="6"/>
  </r>
  <r>
    <x v="289"/>
    <s v="C00673"/>
    <x v="0"/>
    <n v="20494.47"/>
    <x v="3"/>
    <x v="234"/>
    <n v="13.66"/>
    <n v="3"/>
  </r>
  <r>
    <x v="290"/>
    <s v="C00706"/>
    <x v="2"/>
    <n v="14031.92"/>
    <x v="1"/>
    <x v="235"/>
    <n v="18.52"/>
    <n v="12"/>
  </r>
  <r>
    <x v="291"/>
    <s v="C00927"/>
    <x v="0"/>
    <n v="10247.01"/>
    <x v="1"/>
    <x v="33"/>
    <n v="31.34"/>
    <n v="12"/>
  </r>
  <r>
    <x v="292"/>
    <s v="C00245"/>
    <x v="2"/>
    <n v="3864.46"/>
    <x v="3"/>
    <x v="236"/>
    <n v="22.49"/>
    <n v="24"/>
  </r>
  <r>
    <x v="293"/>
    <s v="C00491"/>
    <x v="1"/>
    <n v="8756.08"/>
    <x v="3"/>
    <x v="23"/>
    <n v="31.01"/>
    <n v="36"/>
  </r>
  <r>
    <x v="294"/>
    <s v="C00532"/>
    <x v="1"/>
    <n v="13472.12"/>
    <x v="1"/>
    <x v="237"/>
    <n v="16.3"/>
    <n v="12"/>
  </r>
  <r>
    <x v="295"/>
    <s v="C00620"/>
    <x v="2"/>
    <n v="38796.11"/>
    <x v="1"/>
    <x v="154"/>
    <n v="19.739999999999998"/>
    <n v="12"/>
  </r>
  <r>
    <x v="296"/>
    <s v="C00669"/>
    <x v="0"/>
    <n v="17052.18"/>
    <x v="3"/>
    <x v="238"/>
    <n v="30.59"/>
    <n v="6"/>
  </r>
  <r>
    <x v="297"/>
    <s v="C00285"/>
    <x v="1"/>
    <n v="5374.07"/>
    <x v="3"/>
    <x v="5"/>
    <n v="14.09"/>
    <n v="12"/>
  </r>
  <r>
    <x v="298"/>
    <s v="C00353"/>
    <x v="1"/>
    <n v="19504.099999999999"/>
    <x v="0"/>
    <x v="239"/>
    <n v="32.369999999999997"/>
    <n v="6"/>
  </r>
  <r>
    <x v="299"/>
    <s v="C00379"/>
    <x v="1"/>
    <n v="12556.32"/>
    <x v="2"/>
    <x v="183"/>
    <n v="17.75"/>
    <n v="12"/>
  </r>
  <r>
    <x v="300"/>
    <s v="C00414"/>
    <x v="2"/>
    <n v="28474.97"/>
    <x v="1"/>
    <x v="240"/>
    <n v="34.32"/>
    <n v="12"/>
  </r>
  <r>
    <x v="301"/>
    <s v="C00513"/>
    <x v="1"/>
    <n v="5597.35"/>
    <x v="0"/>
    <x v="241"/>
    <n v="30.69"/>
    <n v="36"/>
  </r>
  <r>
    <x v="302"/>
    <s v="C00990"/>
    <x v="3"/>
    <n v="47521.69"/>
    <x v="0"/>
    <x v="242"/>
    <n v="21.39"/>
    <n v="3"/>
  </r>
  <r>
    <x v="303"/>
    <s v="C00670"/>
    <x v="2"/>
    <n v="25786.51"/>
    <x v="1"/>
    <x v="142"/>
    <n v="28.56"/>
    <n v="12"/>
  </r>
  <r>
    <x v="304"/>
    <s v="C00322"/>
    <x v="3"/>
    <n v="15259.13"/>
    <x v="0"/>
    <x v="243"/>
    <n v="23.88"/>
    <n v="48"/>
  </r>
  <r>
    <x v="305"/>
    <s v="C00494"/>
    <x v="0"/>
    <n v="5244.44"/>
    <x v="1"/>
    <x v="244"/>
    <n v="31.33"/>
    <n v="24"/>
  </r>
  <r>
    <x v="306"/>
    <s v="C00437"/>
    <x v="1"/>
    <n v="5604.08"/>
    <x v="0"/>
    <x v="199"/>
    <n v="22.95"/>
    <n v="24"/>
  </r>
  <r>
    <x v="307"/>
    <s v="C00970"/>
    <x v="1"/>
    <n v="31204"/>
    <x v="3"/>
    <x v="11"/>
    <n v="34.700000000000003"/>
    <n v="36"/>
  </r>
  <r>
    <x v="308"/>
    <s v="C00065"/>
    <x v="0"/>
    <n v="34288.1"/>
    <x v="0"/>
    <x v="208"/>
    <n v="13.34"/>
    <n v="12"/>
  </r>
  <r>
    <x v="309"/>
    <s v="C00580"/>
    <x v="2"/>
    <n v="41492.730000000003"/>
    <x v="0"/>
    <x v="245"/>
    <n v="26.91"/>
    <n v="3"/>
  </r>
  <r>
    <x v="310"/>
    <s v="C00798"/>
    <x v="1"/>
    <n v="68447.08"/>
    <x v="3"/>
    <x v="175"/>
    <n v="16.14"/>
    <n v="12"/>
  </r>
  <r>
    <x v="311"/>
    <s v="C00016"/>
    <x v="3"/>
    <n v="32837.300000000003"/>
    <x v="0"/>
    <x v="246"/>
    <n v="14.78"/>
    <n v="24"/>
  </r>
  <r>
    <x v="312"/>
    <s v="C00998"/>
    <x v="2"/>
    <n v="24984.15"/>
    <x v="1"/>
    <x v="225"/>
    <n v="20.21"/>
    <n v="12"/>
  </r>
  <r>
    <x v="313"/>
    <s v="C00047"/>
    <x v="1"/>
    <n v="121877"/>
    <x v="0"/>
    <x v="247"/>
    <n v="19.190000000000001"/>
    <n v="12"/>
  </r>
  <r>
    <x v="314"/>
    <s v="C00614"/>
    <x v="2"/>
    <n v="11656.65"/>
    <x v="2"/>
    <x v="248"/>
    <n v="11.16"/>
    <n v="36"/>
  </r>
  <r>
    <x v="315"/>
    <s v="C00496"/>
    <x v="0"/>
    <n v="16638.07"/>
    <x v="0"/>
    <x v="249"/>
    <n v="20.69"/>
    <n v="3"/>
  </r>
  <r>
    <x v="316"/>
    <s v="C00557"/>
    <x v="1"/>
    <n v="5255.27"/>
    <x v="0"/>
    <x v="250"/>
    <n v="33.799999999999997"/>
    <n v="12"/>
  </r>
  <r>
    <x v="317"/>
    <s v="C00467"/>
    <x v="1"/>
    <n v="29720.29"/>
    <x v="2"/>
    <x v="161"/>
    <n v="21.67"/>
    <n v="12"/>
  </r>
  <r>
    <x v="318"/>
    <s v="C00385"/>
    <x v="1"/>
    <n v="15324.96"/>
    <x v="0"/>
    <x v="251"/>
    <n v="17.55"/>
    <n v="12"/>
  </r>
  <r>
    <x v="319"/>
    <s v="C00006"/>
    <x v="0"/>
    <n v="10980.45"/>
    <x v="2"/>
    <x v="252"/>
    <n v="33.729999999999997"/>
    <n v="12"/>
  </r>
  <r>
    <x v="320"/>
    <s v="C00787"/>
    <x v="0"/>
    <n v="11164.33"/>
    <x v="1"/>
    <x v="78"/>
    <n v="22.64"/>
    <n v="12"/>
  </r>
  <r>
    <x v="321"/>
    <s v="C00679"/>
    <x v="1"/>
    <n v="9547.27"/>
    <x v="0"/>
    <x v="253"/>
    <n v="17.18"/>
    <n v="36"/>
  </r>
  <r>
    <x v="322"/>
    <s v="C00312"/>
    <x v="2"/>
    <n v="15754.05"/>
    <x v="0"/>
    <x v="254"/>
    <n v="29.57"/>
    <n v="12"/>
  </r>
  <r>
    <x v="323"/>
    <s v="C00003"/>
    <x v="1"/>
    <n v="5690.4"/>
    <x v="0"/>
    <x v="255"/>
    <n v="15.59"/>
    <n v="12"/>
  </r>
  <r>
    <x v="324"/>
    <s v="C00913"/>
    <x v="2"/>
    <n v="6115.58"/>
    <x v="0"/>
    <x v="97"/>
    <n v="16.190000000000001"/>
    <n v="12"/>
  </r>
  <r>
    <x v="325"/>
    <s v="C00378"/>
    <x v="3"/>
    <n v="7437.38"/>
    <x v="0"/>
    <x v="256"/>
    <n v="18.11"/>
    <n v="3"/>
  </r>
  <r>
    <x v="326"/>
    <s v="C00939"/>
    <x v="2"/>
    <n v="10980.92"/>
    <x v="1"/>
    <x v="124"/>
    <n v="19.87"/>
    <n v="12"/>
  </r>
  <r>
    <x v="327"/>
    <s v="C00900"/>
    <x v="3"/>
    <n v="12441.91"/>
    <x v="2"/>
    <x v="257"/>
    <n v="24.57"/>
    <n v="3"/>
  </r>
  <r>
    <x v="328"/>
    <s v="C00473"/>
    <x v="0"/>
    <n v="3501.36"/>
    <x v="0"/>
    <x v="258"/>
    <n v="22.88"/>
    <n v="36"/>
  </r>
  <r>
    <x v="329"/>
    <s v="C00299"/>
    <x v="1"/>
    <n v="11942.68"/>
    <x v="0"/>
    <x v="259"/>
    <n v="28.59"/>
    <n v="6"/>
  </r>
  <r>
    <x v="330"/>
    <s v="C00197"/>
    <x v="0"/>
    <n v="9200.32"/>
    <x v="1"/>
    <x v="260"/>
    <n v="27.93"/>
    <n v="36"/>
  </r>
  <r>
    <x v="331"/>
    <s v="C00044"/>
    <x v="1"/>
    <n v="33732.32"/>
    <x v="0"/>
    <x v="189"/>
    <n v="11.14"/>
    <n v="36"/>
  </r>
  <r>
    <x v="332"/>
    <s v="C00593"/>
    <x v="2"/>
    <n v="8778.07"/>
    <x v="1"/>
    <x v="257"/>
    <n v="13.35"/>
    <n v="24"/>
  </r>
  <r>
    <x v="333"/>
    <s v="C00570"/>
    <x v="2"/>
    <n v="40262.67"/>
    <x v="0"/>
    <x v="121"/>
    <n v="15.38"/>
    <n v="36"/>
  </r>
  <r>
    <x v="334"/>
    <s v="C00039"/>
    <x v="0"/>
    <n v="72657.100000000006"/>
    <x v="2"/>
    <x v="261"/>
    <n v="24.94"/>
    <n v="36"/>
  </r>
  <r>
    <x v="335"/>
    <s v="C00010"/>
    <x v="1"/>
    <n v="45864.85"/>
    <x v="1"/>
    <x v="262"/>
    <n v="32.380000000000003"/>
    <n v="24"/>
  </r>
  <r>
    <x v="336"/>
    <s v="C00665"/>
    <x v="0"/>
    <n v="8222.2900000000009"/>
    <x v="0"/>
    <x v="263"/>
    <n v="18.12"/>
    <n v="12"/>
  </r>
  <r>
    <x v="337"/>
    <s v="C00243"/>
    <x v="3"/>
    <n v="27325.1"/>
    <x v="1"/>
    <x v="264"/>
    <n v="34.090000000000003"/>
    <n v="48"/>
  </r>
  <r>
    <x v="338"/>
    <s v="C00675"/>
    <x v="1"/>
    <n v="8336.25"/>
    <x v="1"/>
    <x v="265"/>
    <n v="14.32"/>
    <n v="36"/>
  </r>
  <r>
    <x v="339"/>
    <s v="C00994"/>
    <x v="0"/>
    <n v="9316.98"/>
    <x v="1"/>
    <x v="266"/>
    <n v="33.119999999999997"/>
    <n v="6"/>
  </r>
  <r>
    <x v="340"/>
    <s v="C00264"/>
    <x v="1"/>
    <n v="9831.02"/>
    <x v="0"/>
    <x v="8"/>
    <n v="30.03"/>
    <n v="12"/>
  </r>
  <r>
    <x v="341"/>
    <s v="C00470"/>
    <x v="1"/>
    <n v="20108.8"/>
    <x v="0"/>
    <x v="267"/>
    <n v="19.73"/>
    <n v="24"/>
  </r>
  <r>
    <x v="342"/>
    <s v="C00200"/>
    <x v="3"/>
    <n v="8962.94"/>
    <x v="0"/>
    <x v="268"/>
    <n v="15.16"/>
    <n v="12"/>
  </r>
  <r>
    <x v="343"/>
    <s v="C00268"/>
    <x v="1"/>
    <n v="18600.439999999999"/>
    <x v="0"/>
    <x v="195"/>
    <n v="19.78"/>
    <n v="12"/>
  </r>
  <r>
    <x v="344"/>
    <s v="C00284"/>
    <x v="2"/>
    <n v="49512.24"/>
    <x v="0"/>
    <x v="269"/>
    <n v="15.34"/>
    <n v="24"/>
  </r>
  <r>
    <x v="345"/>
    <s v="C00992"/>
    <x v="2"/>
    <n v="7469.36"/>
    <x v="1"/>
    <x v="270"/>
    <n v="24.03"/>
    <n v="6"/>
  </r>
  <r>
    <x v="346"/>
    <s v="C00744"/>
    <x v="1"/>
    <n v="4981.3999999999996"/>
    <x v="0"/>
    <x v="271"/>
    <n v="24.37"/>
    <n v="24"/>
  </r>
  <r>
    <x v="347"/>
    <s v="C00358"/>
    <x v="2"/>
    <n v="10806.35"/>
    <x v="0"/>
    <x v="272"/>
    <n v="29.2"/>
    <n v="12"/>
  </r>
  <r>
    <x v="348"/>
    <s v="C00005"/>
    <x v="1"/>
    <n v="56522.29"/>
    <x v="0"/>
    <x v="273"/>
    <n v="23.2"/>
    <n v="36"/>
  </r>
  <r>
    <x v="349"/>
    <s v="C00835"/>
    <x v="1"/>
    <n v="31283.87"/>
    <x v="0"/>
    <x v="274"/>
    <n v="18.63"/>
    <n v="24"/>
  </r>
  <r>
    <x v="350"/>
    <s v="C00031"/>
    <x v="3"/>
    <n v="9103.0400000000009"/>
    <x v="0"/>
    <x v="275"/>
    <n v="32.79"/>
    <n v="6"/>
  </r>
  <r>
    <x v="351"/>
    <s v="C00820"/>
    <x v="3"/>
    <n v="7813.72"/>
    <x v="1"/>
    <x v="276"/>
    <n v="11.95"/>
    <n v="12"/>
  </r>
  <r>
    <x v="352"/>
    <s v="C00855"/>
    <x v="2"/>
    <n v="23363.48"/>
    <x v="2"/>
    <x v="8"/>
    <n v="30.22"/>
    <n v="24"/>
  </r>
  <r>
    <x v="353"/>
    <s v="C00202"/>
    <x v="1"/>
    <n v="19498.32"/>
    <x v="1"/>
    <x v="277"/>
    <n v="20.239999999999998"/>
    <n v="12"/>
  </r>
  <r>
    <x v="354"/>
    <s v="C00609"/>
    <x v="1"/>
    <n v="29679.73"/>
    <x v="0"/>
    <x v="278"/>
    <n v="14.53"/>
    <n v="24"/>
  </r>
  <r>
    <x v="355"/>
    <s v="C00408"/>
    <x v="0"/>
    <n v="7156.71"/>
    <x v="1"/>
    <x v="279"/>
    <n v="13.01"/>
    <n v="48"/>
  </r>
  <r>
    <x v="356"/>
    <s v="C00033"/>
    <x v="1"/>
    <n v="16864.25"/>
    <x v="0"/>
    <x v="280"/>
    <n v="15.52"/>
    <n v="3"/>
  </r>
  <r>
    <x v="357"/>
    <s v="C00964"/>
    <x v="1"/>
    <n v="36929.910000000003"/>
    <x v="0"/>
    <x v="240"/>
    <n v="13.05"/>
    <n v="6"/>
  </r>
  <r>
    <x v="358"/>
    <s v="C00653"/>
    <x v="0"/>
    <n v="44484.87"/>
    <x v="0"/>
    <x v="281"/>
    <n v="21.47"/>
    <n v="12"/>
  </r>
  <r>
    <x v="359"/>
    <s v="C00308"/>
    <x v="1"/>
    <n v="6694.1"/>
    <x v="0"/>
    <x v="282"/>
    <n v="18.739999999999998"/>
    <n v="24"/>
  </r>
  <r>
    <x v="360"/>
    <s v="C00643"/>
    <x v="1"/>
    <n v="16843.560000000001"/>
    <x v="1"/>
    <x v="283"/>
    <n v="18.91"/>
    <n v="12"/>
  </r>
  <r>
    <x v="361"/>
    <s v="C00720"/>
    <x v="1"/>
    <n v="14345.94"/>
    <x v="2"/>
    <x v="284"/>
    <n v="13.92"/>
    <n v="6"/>
  </r>
  <r>
    <x v="362"/>
    <s v="C00656"/>
    <x v="0"/>
    <n v="9233.16"/>
    <x v="1"/>
    <x v="242"/>
    <n v="26.49"/>
    <n v="12"/>
  </r>
  <r>
    <x v="363"/>
    <s v="C00084"/>
    <x v="2"/>
    <n v="10012.959999999999"/>
    <x v="0"/>
    <x v="38"/>
    <n v="25.19"/>
    <n v="24"/>
  </r>
  <r>
    <x v="364"/>
    <s v="C00071"/>
    <x v="1"/>
    <n v="28385.01"/>
    <x v="0"/>
    <x v="116"/>
    <n v="34.56"/>
    <n v="36"/>
  </r>
  <r>
    <x v="365"/>
    <s v="C00949"/>
    <x v="0"/>
    <n v="9771.5"/>
    <x v="0"/>
    <x v="141"/>
    <n v="14.19"/>
    <n v="48"/>
  </r>
  <r>
    <x v="366"/>
    <s v="C00177"/>
    <x v="0"/>
    <n v="16340.63"/>
    <x v="2"/>
    <x v="57"/>
    <n v="30.85"/>
    <n v="24"/>
  </r>
  <r>
    <x v="367"/>
    <s v="C00281"/>
    <x v="1"/>
    <n v="26619.05"/>
    <x v="0"/>
    <x v="183"/>
    <n v="10.85"/>
    <n v="12"/>
  </r>
  <r>
    <x v="368"/>
    <s v="C00813"/>
    <x v="2"/>
    <n v="73273.460000000006"/>
    <x v="0"/>
    <x v="285"/>
    <n v="11.83"/>
    <n v="12"/>
  </r>
  <r>
    <x v="369"/>
    <s v="C00155"/>
    <x v="1"/>
    <n v="22913.7"/>
    <x v="0"/>
    <x v="129"/>
    <n v="26.2"/>
    <n v="36"/>
  </r>
  <r>
    <x v="370"/>
    <s v="C00642"/>
    <x v="2"/>
    <n v="32100.99"/>
    <x v="1"/>
    <x v="87"/>
    <n v="20.16"/>
    <n v="24"/>
  </r>
  <r>
    <x v="371"/>
    <s v="C00736"/>
    <x v="1"/>
    <n v="22255.86"/>
    <x v="1"/>
    <x v="84"/>
    <n v="15.76"/>
    <n v="24"/>
  </r>
  <r>
    <x v="372"/>
    <s v="C00301"/>
    <x v="1"/>
    <n v="15298.72"/>
    <x v="0"/>
    <x v="286"/>
    <n v="10.07"/>
    <n v="12"/>
  </r>
  <r>
    <x v="373"/>
    <s v="C00441"/>
    <x v="2"/>
    <n v="15081.83"/>
    <x v="1"/>
    <x v="287"/>
    <n v="26.58"/>
    <n v="12"/>
  </r>
  <r>
    <x v="374"/>
    <s v="C00495"/>
    <x v="2"/>
    <n v="16431.68"/>
    <x v="1"/>
    <x v="26"/>
    <n v="21.02"/>
    <n v="24"/>
  </r>
  <r>
    <x v="375"/>
    <s v="C00599"/>
    <x v="1"/>
    <n v="3256.3"/>
    <x v="1"/>
    <x v="288"/>
    <n v="14.27"/>
    <n v="36"/>
  </r>
  <r>
    <x v="376"/>
    <s v="C00238"/>
    <x v="1"/>
    <n v="13882.41"/>
    <x v="3"/>
    <x v="289"/>
    <n v="34.31"/>
    <n v="12"/>
  </r>
  <r>
    <x v="377"/>
    <s v="C00611"/>
    <x v="3"/>
    <n v="25607.19"/>
    <x v="3"/>
    <x v="290"/>
    <n v="18.77"/>
    <n v="24"/>
  </r>
  <r>
    <x v="378"/>
    <s v="C00762"/>
    <x v="1"/>
    <n v="10000.85"/>
    <x v="0"/>
    <x v="291"/>
    <n v="17.579999999999998"/>
    <n v="3"/>
  </r>
  <r>
    <x v="379"/>
    <s v="C00097"/>
    <x v="2"/>
    <n v="57655.85"/>
    <x v="1"/>
    <x v="292"/>
    <n v="22.76"/>
    <n v="48"/>
  </r>
  <r>
    <x v="380"/>
    <s v="C00180"/>
    <x v="1"/>
    <n v="19933.490000000002"/>
    <x v="1"/>
    <x v="81"/>
    <n v="16.93"/>
    <n v="48"/>
  </r>
  <r>
    <x v="381"/>
    <s v="C00527"/>
    <x v="2"/>
    <n v="16237.18"/>
    <x v="0"/>
    <x v="177"/>
    <n v="16.82"/>
    <n v="12"/>
  </r>
  <r>
    <x v="382"/>
    <s v="C00805"/>
    <x v="1"/>
    <n v="35196.120000000003"/>
    <x v="1"/>
    <x v="79"/>
    <n v="34.159999999999997"/>
    <n v="12"/>
  </r>
  <r>
    <x v="383"/>
    <s v="C00183"/>
    <x v="1"/>
    <n v="28318.15"/>
    <x v="0"/>
    <x v="293"/>
    <n v="16.53"/>
    <n v="6"/>
  </r>
  <r>
    <x v="384"/>
    <s v="C00302"/>
    <x v="2"/>
    <n v="44634.21"/>
    <x v="1"/>
    <x v="15"/>
    <n v="25.14"/>
    <n v="6"/>
  </r>
  <r>
    <x v="385"/>
    <s v="C00792"/>
    <x v="1"/>
    <n v="52160.4"/>
    <x v="0"/>
    <x v="294"/>
    <n v="10.94"/>
    <n v="24"/>
  </r>
  <r>
    <x v="386"/>
    <s v="C00354"/>
    <x v="2"/>
    <n v="58235.17"/>
    <x v="1"/>
    <x v="295"/>
    <n v="13.86"/>
    <n v="24"/>
  </r>
  <r>
    <x v="387"/>
    <s v="C00988"/>
    <x v="1"/>
    <n v="25990.48"/>
    <x v="0"/>
    <x v="296"/>
    <n v="10.55"/>
    <n v="12"/>
  </r>
  <r>
    <x v="388"/>
    <s v="C00546"/>
    <x v="1"/>
    <n v="7867.02"/>
    <x v="0"/>
    <x v="297"/>
    <n v="23.36"/>
    <n v="12"/>
  </r>
  <r>
    <x v="389"/>
    <s v="C00214"/>
    <x v="0"/>
    <n v="14903.24"/>
    <x v="0"/>
    <x v="298"/>
    <n v="22.29"/>
    <n v="12"/>
  </r>
  <r>
    <x v="390"/>
    <s v="C00595"/>
    <x v="1"/>
    <n v="66916.33"/>
    <x v="0"/>
    <x v="156"/>
    <n v="18.27"/>
    <n v="48"/>
  </r>
  <r>
    <x v="391"/>
    <s v="C00967"/>
    <x v="1"/>
    <n v="22192.54"/>
    <x v="2"/>
    <x v="299"/>
    <n v="27.51"/>
    <n v="6"/>
  </r>
  <r>
    <x v="392"/>
    <s v="C00335"/>
    <x v="1"/>
    <n v="12741.97"/>
    <x v="0"/>
    <x v="222"/>
    <n v="25.64"/>
    <n v="24"/>
  </r>
  <r>
    <x v="393"/>
    <s v="C00416"/>
    <x v="1"/>
    <n v="11661.94"/>
    <x v="0"/>
    <x v="157"/>
    <n v="25.01"/>
    <n v="3"/>
  </r>
  <r>
    <x v="394"/>
    <s v="C00535"/>
    <x v="1"/>
    <n v="7616.25"/>
    <x v="1"/>
    <x v="300"/>
    <n v="18.41"/>
    <n v="12"/>
  </r>
  <r>
    <x v="395"/>
    <s v="C00539"/>
    <x v="1"/>
    <n v="37626.67"/>
    <x v="0"/>
    <x v="156"/>
    <n v="18.18"/>
    <n v="12"/>
  </r>
  <r>
    <x v="396"/>
    <s v="C00811"/>
    <x v="1"/>
    <n v="12564.69"/>
    <x v="0"/>
    <x v="301"/>
    <n v="31.84"/>
    <n v="6"/>
  </r>
  <r>
    <x v="397"/>
    <s v="C00704"/>
    <x v="0"/>
    <n v="8215.34"/>
    <x v="0"/>
    <x v="178"/>
    <n v="23.6"/>
    <n v="6"/>
  </r>
  <r>
    <x v="398"/>
    <s v="C00057"/>
    <x v="1"/>
    <n v="8992.0400000000009"/>
    <x v="1"/>
    <x v="81"/>
    <n v="16.809999999999999"/>
    <n v="12"/>
  </r>
  <r>
    <x v="399"/>
    <s v="C00836"/>
    <x v="0"/>
    <n v="2236.3200000000002"/>
    <x v="3"/>
    <x v="302"/>
    <n v="23.58"/>
    <n v="6"/>
  </r>
  <r>
    <x v="400"/>
    <s v="C00465"/>
    <x v="0"/>
    <n v="31726.11"/>
    <x v="1"/>
    <x v="44"/>
    <n v="16.670000000000002"/>
    <n v="12"/>
  </r>
  <r>
    <x v="401"/>
    <s v="C00711"/>
    <x v="1"/>
    <n v="14914.51"/>
    <x v="2"/>
    <x v="41"/>
    <n v="14.63"/>
    <n v="3"/>
  </r>
  <r>
    <x v="402"/>
    <s v="C00059"/>
    <x v="1"/>
    <n v="6748.28"/>
    <x v="1"/>
    <x v="236"/>
    <n v="17.05"/>
    <n v="12"/>
  </r>
  <r>
    <x v="403"/>
    <s v="C00850"/>
    <x v="1"/>
    <n v="54705.57"/>
    <x v="2"/>
    <x v="303"/>
    <n v="25.72"/>
    <n v="24"/>
  </r>
  <r>
    <x v="404"/>
    <s v="C00501"/>
    <x v="2"/>
    <n v="18717.439999999999"/>
    <x v="0"/>
    <x v="304"/>
    <n v="22.9"/>
    <n v="24"/>
  </r>
  <r>
    <x v="405"/>
    <s v="C00797"/>
    <x v="2"/>
    <n v="3001.36"/>
    <x v="0"/>
    <x v="199"/>
    <n v="14.11"/>
    <n v="36"/>
  </r>
  <r>
    <x v="406"/>
    <s v="C00809"/>
    <x v="2"/>
    <n v="32126.880000000001"/>
    <x v="0"/>
    <x v="155"/>
    <n v="32.700000000000003"/>
    <n v="12"/>
  </r>
  <r>
    <x v="407"/>
    <s v="C00053"/>
    <x v="2"/>
    <n v="8033.65"/>
    <x v="0"/>
    <x v="305"/>
    <n v="22.46"/>
    <n v="48"/>
  </r>
  <r>
    <x v="408"/>
    <s v="C00987"/>
    <x v="1"/>
    <n v="29037.69"/>
    <x v="1"/>
    <x v="162"/>
    <n v="29.84"/>
    <n v="12"/>
  </r>
  <r>
    <x v="409"/>
    <s v="C00048"/>
    <x v="0"/>
    <n v="27013.53"/>
    <x v="0"/>
    <x v="306"/>
    <n v="18.27"/>
    <n v="6"/>
  </r>
  <r>
    <x v="410"/>
    <s v="C00889"/>
    <x v="1"/>
    <n v="20128.5"/>
    <x v="1"/>
    <x v="307"/>
    <n v="33.94"/>
    <n v="36"/>
  </r>
  <r>
    <x v="411"/>
    <s v="C00651"/>
    <x v="3"/>
    <n v="6625.18"/>
    <x v="0"/>
    <x v="308"/>
    <n v="28.8"/>
    <n v="24"/>
  </r>
  <r>
    <x v="412"/>
    <s v="C00641"/>
    <x v="1"/>
    <n v="6727.08"/>
    <x v="0"/>
    <x v="309"/>
    <n v="21.36"/>
    <n v="12"/>
  </r>
  <r>
    <x v="413"/>
    <s v="C00733"/>
    <x v="1"/>
    <n v="17341.87"/>
    <x v="0"/>
    <x v="310"/>
    <n v="32.56"/>
    <n v="36"/>
  </r>
  <r>
    <x v="414"/>
    <s v="C00274"/>
    <x v="0"/>
    <n v="8492.17"/>
    <x v="0"/>
    <x v="311"/>
    <n v="27.94"/>
    <n v="24"/>
  </r>
  <r>
    <x v="415"/>
    <s v="C00918"/>
    <x v="2"/>
    <n v="47832.52"/>
    <x v="2"/>
    <x v="185"/>
    <n v="20.76"/>
    <n v="36"/>
  </r>
  <r>
    <x v="416"/>
    <s v="C00784"/>
    <x v="0"/>
    <n v="16627.7"/>
    <x v="1"/>
    <x v="312"/>
    <n v="34.35"/>
    <n v="12"/>
  </r>
  <r>
    <x v="417"/>
    <s v="C00687"/>
    <x v="1"/>
    <n v="8071.62"/>
    <x v="1"/>
    <x v="45"/>
    <n v="17.46"/>
    <n v="36"/>
  </r>
  <r>
    <x v="418"/>
    <s v="C00893"/>
    <x v="0"/>
    <n v="40088.54"/>
    <x v="0"/>
    <x v="216"/>
    <n v="16.41"/>
    <n v="24"/>
  </r>
  <r>
    <x v="419"/>
    <s v="C00729"/>
    <x v="3"/>
    <n v="3910.47"/>
    <x v="0"/>
    <x v="313"/>
    <n v="32.369999999999997"/>
    <n v="24"/>
  </r>
  <r>
    <x v="420"/>
    <s v="C00054"/>
    <x v="1"/>
    <n v="16228.64"/>
    <x v="0"/>
    <x v="314"/>
    <n v="27.68"/>
    <n v="12"/>
  </r>
  <r>
    <x v="421"/>
    <s v="C00794"/>
    <x v="1"/>
    <n v="28139.71"/>
    <x v="1"/>
    <x v="315"/>
    <n v="18.64"/>
    <n v="12"/>
  </r>
  <r>
    <x v="422"/>
    <s v="C00258"/>
    <x v="2"/>
    <n v="7917.41"/>
    <x v="0"/>
    <x v="135"/>
    <n v="15.8"/>
    <n v="12"/>
  </r>
  <r>
    <x v="423"/>
    <s v="C00590"/>
    <x v="3"/>
    <n v="12759.87"/>
    <x v="1"/>
    <x v="197"/>
    <n v="14.45"/>
    <n v="24"/>
  </r>
  <r>
    <x v="424"/>
    <s v="C00616"/>
    <x v="2"/>
    <n v="10514.2"/>
    <x v="1"/>
    <x v="39"/>
    <n v="17.84"/>
    <n v="24"/>
  </r>
  <r>
    <x v="425"/>
    <s v="C00002"/>
    <x v="3"/>
    <n v="7335.19"/>
    <x v="0"/>
    <x v="316"/>
    <n v="13.14"/>
    <n v="12"/>
  </r>
  <r>
    <x v="426"/>
    <s v="C00817"/>
    <x v="1"/>
    <n v="19171.330000000002"/>
    <x v="1"/>
    <x v="239"/>
    <n v="13.63"/>
    <n v="24"/>
  </r>
  <r>
    <x v="427"/>
    <s v="C00135"/>
    <x v="3"/>
    <n v="35625.57"/>
    <x v="1"/>
    <x v="317"/>
    <n v="29.42"/>
    <n v="24"/>
  </r>
  <r>
    <x v="428"/>
    <s v="C00189"/>
    <x v="1"/>
    <n v="89589.66"/>
    <x v="0"/>
    <x v="1"/>
    <n v="11.59"/>
    <n v="24"/>
  </r>
  <r>
    <x v="429"/>
    <s v="C00460"/>
    <x v="1"/>
    <n v="33175.410000000003"/>
    <x v="1"/>
    <x v="318"/>
    <n v="20.98"/>
    <n v="12"/>
  </r>
  <r>
    <x v="430"/>
    <s v="C00412"/>
    <x v="2"/>
    <n v="14538.08"/>
    <x v="1"/>
    <x v="319"/>
    <n v="20.12"/>
    <n v="12"/>
  </r>
  <r>
    <x v="431"/>
    <s v="C00311"/>
    <x v="2"/>
    <n v="43990.12"/>
    <x v="0"/>
    <x v="320"/>
    <n v="34"/>
    <n v="24"/>
  </r>
  <r>
    <x v="432"/>
    <s v="C00488"/>
    <x v="1"/>
    <n v="7307.79"/>
    <x v="0"/>
    <x v="321"/>
    <n v="21.64"/>
    <n v="36"/>
  </r>
  <r>
    <x v="433"/>
    <s v="C00846"/>
    <x v="3"/>
    <n v="11742.48"/>
    <x v="0"/>
    <x v="322"/>
    <n v="14.02"/>
    <n v="12"/>
  </r>
  <r>
    <x v="434"/>
    <s v="C00989"/>
    <x v="3"/>
    <n v="38642.32"/>
    <x v="2"/>
    <x v="108"/>
    <n v="12.21"/>
    <n v="48"/>
  </r>
  <r>
    <x v="435"/>
    <s v="C00959"/>
    <x v="0"/>
    <n v="10652.59"/>
    <x v="0"/>
    <x v="323"/>
    <n v="28.31"/>
    <n v="6"/>
  </r>
  <r>
    <x v="436"/>
    <s v="C00073"/>
    <x v="1"/>
    <n v="18886.71"/>
    <x v="0"/>
    <x v="191"/>
    <n v="13.69"/>
    <n v="6"/>
  </r>
  <r>
    <x v="437"/>
    <s v="C00232"/>
    <x v="1"/>
    <n v="10291.74"/>
    <x v="0"/>
    <x v="186"/>
    <n v="33.450000000000003"/>
    <n v="12"/>
  </r>
  <r>
    <x v="438"/>
    <s v="C00884"/>
    <x v="2"/>
    <n v="15176.3"/>
    <x v="0"/>
    <x v="324"/>
    <n v="23.98"/>
    <n v="12"/>
  </r>
  <r>
    <x v="439"/>
    <s v="C00034"/>
    <x v="0"/>
    <n v="17062.07"/>
    <x v="0"/>
    <x v="325"/>
    <n v="20.04"/>
    <n v="12"/>
  </r>
  <r>
    <x v="440"/>
    <s v="C00926"/>
    <x v="1"/>
    <n v="26293.29"/>
    <x v="0"/>
    <x v="326"/>
    <n v="27.11"/>
    <n v="12"/>
  </r>
  <r>
    <x v="441"/>
    <s v="C00174"/>
    <x v="2"/>
    <n v="20590.05"/>
    <x v="0"/>
    <x v="92"/>
    <n v="14.97"/>
    <n v="12"/>
  </r>
  <r>
    <x v="442"/>
    <s v="C00978"/>
    <x v="2"/>
    <n v="31952.11"/>
    <x v="1"/>
    <x v="166"/>
    <n v="19.559999999999999"/>
    <n v="12"/>
  </r>
  <r>
    <x v="443"/>
    <s v="C00708"/>
    <x v="0"/>
    <n v="24678.73"/>
    <x v="3"/>
    <x v="21"/>
    <n v="10.84"/>
    <n v="6"/>
  </r>
  <r>
    <x v="444"/>
    <s v="C00772"/>
    <x v="1"/>
    <n v="15369.06"/>
    <x v="0"/>
    <x v="291"/>
    <n v="31.94"/>
    <n v="48"/>
  </r>
  <r>
    <x v="445"/>
    <s v="C00476"/>
    <x v="2"/>
    <n v="11076.38"/>
    <x v="3"/>
    <x v="60"/>
    <n v="20.63"/>
    <n v="36"/>
  </r>
  <r>
    <x v="446"/>
    <s v="C00529"/>
    <x v="1"/>
    <n v="8676.1299999999992"/>
    <x v="0"/>
    <x v="82"/>
    <n v="28.97"/>
    <n v="36"/>
  </r>
  <r>
    <x v="447"/>
    <s v="C00375"/>
    <x v="1"/>
    <n v="2034.3"/>
    <x v="1"/>
    <x v="133"/>
    <n v="32.92"/>
    <n v="12"/>
  </r>
  <r>
    <x v="448"/>
    <s v="C00129"/>
    <x v="3"/>
    <n v="16447.52"/>
    <x v="0"/>
    <x v="327"/>
    <n v="26.32"/>
    <n v="12"/>
  </r>
  <r>
    <x v="449"/>
    <s v="C00077"/>
    <x v="1"/>
    <n v="7226.86"/>
    <x v="0"/>
    <x v="328"/>
    <n v="19.39"/>
    <n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L11:M19" firstHeaderRow="1" firstDataRow="1" firstDataCol="1"/>
  <pivotFields count="8">
    <pivotField showAll="0"/>
    <pivotField showAll="0"/>
    <pivotField showAll="0">
      <items count="4">
        <item x="1"/>
        <item x="0"/>
        <item x="2"/>
        <item t="default"/>
      </items>
    </pivotField>
    <pivotField axis="axisRow" dataField="1" showAll="0">
      <items count="8">
        <item x="5"/>
        <item x="3"/>
        <item x="1"/>
        <item x="0"/>
        <item x="6"/>
        <item x="2"/>
        <item x="4"/>
        <item t="default"/>
      </items>
    </pivotField>
    <pivotField showAll="0">
      <items count="10">
        <item x="8"/>
        <item x="7"/>
        <item x="1"/>
        <item x="6"/>
        <item x="3"/>
        <item x="2"/>
        <item x="0"/>
        <item x="4"/>
        <item x="5"/>
        <item t="default"/>
      </items>
    </pivotField>
    <pivotField showAll="0">
      <items count="11">
        <item x="4"/>
        <item x="8"/>
        <item x="0"/>
        <item x="9"/>
        <item x="3"/>
        <item x="6"/>
        <item x="2"/>
        <item x="7"/>
        <item x="5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numFmtId="165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ovinc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L3:M8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0"/>
        <item x="2"/>
        <item x="1"/>
        <item t="default"/>
      </items>
    </pivotField>
    <pivotField numFmtId="165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Segment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0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M22:N30" firstHeaderRow="1" firstDataRow="1" firstDataCol="1"/>
  <pivotFields count="1">
    <pivotField axis="axisRow" dataField="1" showAll="0">
      <items count="9">
        <item x="5"/>
        <item x="0"/>
        <item x="6"/>
        <item x="4"/>
        <item x="2"/>
        <item x="1"/>
        <item x="3"/>
        <item h="1" x="7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hannel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M2:N8" firstHeaderRow="1" firstDataRow="1" firstDataCol="1"/>
  <pivotFields count="1">
    <pivotField axis="axisRow" dataField="1" showAll="0">
      <items count="7">
        <item x="2"/>
        <item x="4"/>
        <item x="1"/>
        <item x="0"/>
        <item x="3"/>
        <item h="1" x="5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Typ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5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L10:M15" firstHeaderRow="1" firstDataRow="1" firstDataCol="1"/>
  <pivotFields count="8"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axis="axisRow" dataField="1" showAll="0">
      <items count="5">
        <item x="0"/>
        <item x="3"/>
        <item x="1"/>
        <item x="2"/>
        <item t="default"/>
      </items>
    </pivotField>
    <pivotField numFmtId="14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Loan_Statu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4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L2:M7" firstHeaderRow="1" firstDataRow="1" firstDataCol="1"/>
  <pivotFields count="8">
    <pivotField showAll="0"/>
    <pivotField showAll="0"/>
    <pivotField axis="axisRow" dataField="1" showAll="0">
      <items count="5">
        <item x="3"/>
        <item x="1"/>
        <item x="0"/>
        <item x="2"/>
        <item t="default"/>
      </items>
    </pivotField>
    <pivotField showAll="0"/>
    <pivotField showAll="0"/>
    <pivotField numFmtId="14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Loan_Typ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42578125" customWidth="1"/>
    <col min="6" max="6" width="13.7109375" customWidth="1"/>
    <col min="7" max="7" width="21.42578125" customWidth="1"/>
    <col min="8" max="8" width="30.42578125" style="3" bestFit="1" customWidth="1"/>
    <col min="11" max="11" width="20" customWidth="1"/>
    <col min="12" max="12" width="15.140625" customWidth="1"/>
    <col min="13" max="13" width="16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13" x14ac:dyDescent="0.25">
      <c r="A2" t="s">
        <v>8</v>
      </c>
      <c r="B2">
        <v>64</v>
      </c>
      <c r="C2" t="s">
        <v>9</v>
      </c>
      <c r="D2" t="s">
        <v>10</v>
      </c>
      <c r="E2" t="s">
        <v>10</v>
      </c>
      <c r="F2" t="s">
        <v>11</v>
      </c>
      <c r="G2" t="s">
        <v>12</v>
      </c>
      <c r="H2" s="3">
        <v>46044</v>
      </c>
    </row>
    <row r="3" spans="1:13" x14ac:dyDescent="0.25">
      <c r="A3" t="s">
        <v>13</v>
      </c>
      <c r="B3">
        <v>29</v>
      </c>
      <c r="C3" t="s">
        <v>9</v>
      </c>
      <c r="D3" t="s">
        <v>14</v>
      </c>
      <c r="E3" t="s">
        <v>15</v>
      </c>
      <c r="F3" t="s">
        <v>16</v>
      </c>
      <c r="G3" t="s">
        <v>17</v>
      </c>
      <c r="H3" s="3">
        <v>45707</v>
      </c>
      <c r="L3" s="4" t="s">
        <v>8561</v>
      </c>
      <c r="M3" t="s">
        <v>8562</v>
      </c>
    </row>
    <row r="4" spans="1:13" x14ac:dyDescent="0.25">
      <c r="A4" t="s">
        <v>18</v>
      </c>
      <c r="B4">
        <v>33</v>
      </c>
      <c r="C4" t="s">
        <v>9</v>
      </c>
      <c r="D4" t="s">
        <v>19</v>
      </c>
      <c r="E4" t="s">
        <v>20</v>
      </c>
      <c r="F4" t="s">
        <v>21</v>
      </c>
      <c r="G4" t="s">
        <v>22</v>
      </c>
      <c r="H4" s="3">
        <v>46121</v>
      </c>
      <c r="L4" s="5" t="s">
        <v>78</v>
      </c>
      <c r="M4" s="6">
        <v>63</v>
      </c>
    </row>
    <row r="5" spans="1:13" x14ac:dyDescent="0.25">
      <c r="A5" t="s">
        <v>23</v>
      </c>
      <c r="B5">
        <v>41</v>
      </c>
      <c r="C5" t="s">
        <v>24</v>
      </c>
      <c r="D5" t="s">
        <v>25</v>
      </c>
      <c r="E5" t="s">
        <v>26</v>
      </c>
      <c r="F5" t="s">
        <v>27</v>
      </c>
      <c r="G5" t="s">
        <v>12</v>
      </c>
      <c r="H5" s="3">
        <v>45532</v>
      </c>
      <c r="L5" s="5" t="s">
        <v>12</v>
      </c>
      <c r="M5" s="6">
        <v>582</v>
      </c>
    </row>
    <row r="6" spans="1:13" x14ac:dyDescent="0.25">
      <c r="A6" t="s">
        <v>28</v>
      </c>
      <c r="B6">
        <v>36</v>
      </c>
      <c r="C6" t="s">
        <v>24</v>
      </c>
      <c r="D6" t="s">
        <v>10</v>
      </c>
      <c r="E6" t="s">
        <v>10</v>
      </c>
      <c r="F6" t="s">
        <v>29</v>
      </c>
      <c r="G6" t="s">
        <v>22</v>
      </c>
      <c r="H6" s="3">
        <v>45587</v>
      </c>
      <c r="L6" s="5" t="s">
        <v>22</v>
      </c>
      <c r="M6" s="6">
        <v>237</v>
      </c>
    </row>
    <row r="7" spans="1:13" x14ac:dyDescent="0.25">
      <c r="A7" t="s">
        <v>30</v>
      </c>
      <c r="B7">
        <v>25</v>
      </c>
      <c r="C7" t="s">
        <v>9</v>
      </c>
      <c r="D7" t="s">
        <v>10</v>
      </c>
      <c r="E7" t="s">
        <v>10</v>
      </c>
      <c r="F7" t="s">
        <v>29</v>
      </c>
      <c r="G7" t="s">
        <v>22</v>
      </c>
      <c r="H7" s="3">
        <v>45775</v>
      </c>
      <c r="L7" s="5" t="s">
        <v>17</v>
      </c>
      <c r="M7" s="6">
        <v>118</v>
      </c>
    </row>
    <row r="8" spans="1:13" x14ac:dyDescent="0.25">
      <c r="A8" t="s">
        <v>31</v>
      </c>
      <c r="B8">
        <v>48</v>
      </c>
      <c r="C8" t="s">
        <v>9</v>
      </c>
      <c r="D8" t="s">
        <v>10</v>
      </c>
      <c r="E8" t="s">
        <v>10</v>
      </c>
      <c r="F8" t="s">
        <v>29</v>
      </c>
      <c r="G8" t="s">
        <v>12</v>
      </c>
      <c r="H8" s="3">
        <v>45862</v>
      </c>
      <c r="L8" s="5" t="s">
        <v>8563</v>
      </c>
      <c r="M8" s="6">
        <v>1000</v>
      </c>
    </row>
    <row r="9" spans="1:13" x14ac:dyDescent="0.25">
      <c r="A9" t="s">
        <v>32</v>
      </c>
      <c r="B9">
        <v>38</v>
      </c>
      <c r="C9" t="s">
        <v>9</v>
      </c>
      <c r="D9" t="s">
        <v>33</v>
      </c>
      <c r="E9" t="s">
        <v>34</v>
      </c>
      <c r="F9" t="s">
        <v>35</v>
      </c>
      <c r="G9" t="s">
        <v>12</v>
      </c>
      <c r="H9" s="3">
        <v>45554</v>
      </c>
    </row>
    <row r="10" spans="1:13" x14ac:dyDescent="0.25">
      <c r="A10" t="s">
        <v>36</v>
      </c>
      <c r="B10">
        <v>34</v>
      </c>
      <c r="C10" t="s">
        <v>24</v>
      </c>
      <c r="D10" t="s">
        <v>25</v>
      </c>
      <c r="E10" t="s">
        <v>26</v>
      </c>
      <c r="F10" t="s">
        <v>27</v>
      </c>
      <c r="G10" t="s">
        <v>12</v>
      </c>
      <c r="H10" s="3">
        <v>45069</v>
      </c>
    </row>
    <row r="11" spans="1:13" x14ac:dyDescent="0.25">
      <c r="A11" t="s">
        <v>37</v>
      </c>
      <c r="B11">
        <v>40</v>
      </c>
      <c r="C11" t="s">
        <v>24</v>
      </c>
      <c r="D11" t="s">
        <v>25</v>
      </c>
      <c r="E11" t="s">
        <v>38</v>
      </c>
      <c r="F11" t="s">
        <v>39</v>
      </c>
      <c r="G11" t="s">
        <v>22</v>
      </c>
      <c r="H11" s="3">
        <v>46151</v>
      </c>
      <c r="L11" s="4" t="s">
        <v>8561</v>
      </c>
      <c r="M11" t="s">
        <v>8564</v>
      </c>
    </row>
    <row r="12" spans="1:13" x14ac:dyDescent="0.25">
      <c r="A12" t="s">
        <v>40</v>
      </c>
      <c r="B12">
        <v>54</v>
      </c>
      <c r="C12" t="s">
        <v>24</v>
      </c>
      <c r="D12" t="s">
        <v>10</v>
      </c>
      <c r="E12" t="s">
        <v>10</v>
      </c>
      <c r="F12" t="s">
        <v>29</v>
      </c>
      <c r="G12" t="s">
        <v>12</v>
      </c>
      <c r="H12" s="3">
        <v>46130</v>
      </c>
      <c r="L12" s="5" t="s">
        <v>43</v>
      </c>
      <c r="M12" s="6">
        <v>62</v>
      </c>
    </row>
    <row r="13" spans="1:13" x14ac:dyDescent="0.25">
      <c r="A13" t="s">
        <v>41</v>
      </c>
      <c r="B13">
        <v>33</v>
      </c>
      <c r="C13" t="s">
        <v>24</v>
      </c>
      <c r="D13" t="s">
        <v>14</v>
      </c>
      <c r="E13" t="s">
        <v>15</v>
      </c>
      <c r="F13" t="s">
        <v>16</v>
      </c>
      <c r="G13" t="s">
        <v>12</v>
      </c>
      <c r="H13" s="3">
        <v>45640</v>
      </c>
      <c r="L13" s="5" t="s">
        <v>25</v>
      </c>
      <c r="M13" s="6">
        <v>219</v>
      </c>
    </row>
    <row r="14" spans="1:13" x14ac:dyDescent="0.25">
      <c r="A14" t="s">
        <v>42</v>
      </c>
      <c r="B14">
        <v>23</v>
      </c>
      <c r="C14" t="s">
        <v>8663</v>
      </c>
      <c r="D14" t="s">
        <v>43</v>
      </c>
      <c r="E14" t="s">
        <v>44</v>
      </c>
      <c r="F14" t="s">
        <v>45</v>
      </c>
      <c r="G14" t="s">
        <v>12</v>
      </c>
      <c r="H14" s="3">
        <v>45405</v>
      </c>
      <c r="L14" s="5" t="s">
        <v>14</v>
      </c>
      <c r="M14" s="6">
        <v>68</v>
      </c>
    </row>
    <row r="15" spans="1:13" x14ac:dyDescent="0.25">
      <c r="A15" t="s">
        <v>46</v>
      </c>
      <c r="B15">
        <v>25</v>
      </c>
      <c r="C15" t="s">
        <v>24</v>
      </c>
      <c r="D15" t="s">
        <v>10</v>
      </c>
      <c r="E15" t="s">
        <v>10</v>
      </c>
      <c r="F15" t="s">
        <v>47</v>
      </c>
      <c r="G15" t="s">
        <v>12</v>
      </c>
      <c r="H15" s="3">
        <v>45491</v>
      </c>
      <c r="L15" s="5" t="s">
        <v>10</v>
      </c>
      <c r="M15" s="6">
        <v>503</v>
      </c>
    </row>
    <row r="16" spans="1:13" x14ac:dyDescent="0.25">
      <c r="A16" t="s">
        <v>48</v>
      </c>
      <c r="B16">
        <v>42</v>
      </c>
      <c r="C16" t="s">
        <v>9</v>
      </c>
      <c r="D16" t="s">
        <v>10</v>
      </c>
      <c r="E16" t="s">
        <v>10</v>
      </c>
      <c r="F16" t="s">
        <v>47</v>
      </c>
      <c r="G16" t="s">
        <v>12</v>
      </c>
      <c r="H16" s="3">
        <v>45397</v>
      </c>
      <c r="L16" s="5" t="s">
        <v>269</v>
      </c>
      <c r="M16" s="6">
        <v>1</v>
      </c>
    </row>
    <row r="17" spans="1:13" x14ac:dyDescent="0.25">
      <c r="A17" t="s">
        <v>49</v>
      </c>
      <c r="B17">
        <v>35</v>
      </c>
      <c r="C17" t="s">
        <v>24</v>
      </c>
      <c r="D17" t="s">
        <v>10</v>
      </c>
      <c r="E17" t="s">
        <v>10</v>
      </c>
      <c r="F17" t="s">
        <v>47</v>
      </c>
      <c r="G17" t="s">
        <v>12</v>
      </c>
      <c r="H17" s="3">
        <v>45310</v>
      </c>
      <c r="L17" s="5" t="s">
        <v>19</v>
      </c>
      <c r="M17" s="6">
        <v>62</v>
      </c>
    </row>
    <row r="18" spans="1:13" x14ac:dyDescent="0.25">
      <c r="A18" t="s">
        <v>50</v>
      </c>
      <c r="B18">
        <v>42</v>
      </c>
      <c r="C18" t="s">
        <v>9</v>
      </c>
      <c r="D18" t="s">
        <v>10</v>
      </c>
      <c r="E18" t="s">
        <v>10</v>
      </c>
      <c r="F18" t="s">
        <v>11</v>
      </c>
      <c r="G18" t="s">
        <v>22</v>
      </c>
      <c r="H18" s="3">
        <v>45852</v>
      </c>
      <c r="L18" s="5" t="s">
        <v>33</v>
      </c>
      <c r="M18" s="6">
        <v>85</v>
      </c>
    </row>
    <row r="19" spans="1:13" x14ac:dyDescent="0.25">
      <c r="A19" t="s">
        <v>51</v>
      </c>
      <c r="B19">
        <v>29</v>
      </c>
      <c r="C19" t="s">
        <v>24</v>
      </c>
      <c r="D19" t="s">
        <v>25</v>
      </c>
      <c r="E19" t="s">
        <v>26</v>
      </c>
      <c r="F19" t="s">
        <v>27</v>
      </c>
      <c r="G19" t="s">
        <v>12</v>
      </c>
      <c r="H19" s="3">
        <v>45343</v>
      </c>
      <c r="L19" s="5" t="s">
        <v>8563</v>
      </c>
      <c r="M19" s="6">
        <v>1000</v>
      </c>
    </row>
    <row r="20" spans="1:13" x14ac:dyDescent="0.25">
      <c r="A20" t="s">
        <v>52</v>
      </c>
      <c r="B20">
        <v>32</v>
      </c>
      <c r="C20" t="s">
        <v>9</v>
      </c>
      <c r="D20" t="s">
        <v>10</v>
      </c>
      <c r="E20" t="s">
        <v>10</v>
      </c>
      <c r="F20" t="s">
        <v>53</v>
      </c>
      <c r="G20" t="s">
        <v>12</v>
      </c>
      <c r="H20" s="3">
        <v>45234</v>
      </c>
    </row>
    <row r="21" spans="1:13" x14ac:dyDescent="0.25">
      <c r="A21" t="s">
        <v>54</v>
      </c>
      <c r="B21">
        <v>43</v>
      </c>
      <c r="C21" t="s">
        <v>24</v>
      </c>
      <c r="D21" t="s">
        <v>10</v>
      </c>
      <c r="E21" t="s">
        <v>10</v>
      </c>
      <c r="F21" t="s">
        <v>11</v>
      </c>
      <c r="G21" t="s">
        <v>12</v>
      </c>
      <c r="H21" s="3">
        <v>45575</v>
      </c>
    </row>
    <row r="22" spans="1:13" x14ac:dyDescent="0.25">
      <c r="A22" t="s">
        <v>55</v>
      </c>
      <c r="B22">
        <v>58</v>
      </c>
      <c r="C22" t="s">
        <v>24</v>
      </c>
      <c r="D22" t="s">
        <v>25</v>
      </c>
      <c r="E22" t="s">
        <v>38</v>
      </c>
      <c r="F22" t="s">
        <v>39</v>
      </c>
      <c r="G22" t="s">
        <v>22</v>
      </c>
      <c r="H22" s="3">
        <v>45951</v>
      </c>
      <c r="K22" t="s">
        <v>8584</v>
      </c>
      <c r="L22">
        <f>MAX(B:B)</f>
        <v>65</v>
      </c>
    </row>
    <row r="23" spans="1:13" x14ac:dyDescent="0.25">
      <c r="A23" t="s">
        <v>56</v>
      </c>
      <c r="B23">
        <v>62</v>
      </c>
      <c r="C23" t="s">
        <v>24</v>
      </c>
      <c r="D23" t="s">
        <v>10</v>
      </c>
      <c r="E23" t="s">
        <v>10</v>
      </c>
      <c r="F23" t="s">
        <v>29</v>
      </c>
      <c r="G23" t="s">
        <v>12</v>
      </c>
      <c r="H23" s="3">
        <v>45994</v>
      </c>
      <c r="K23" t="s">
        <v>8584</v>
      </c>
      <c r="L23">
        <f>MIN(B:B)</f>
        <v>18</v>
      </c>
    </row>
    <row r="24" spans="1:13" x14ac:dyDescent="0.25">
      <c r="A24" t="s">
        <v>57</v>
      </c>
      <c r="B24">
        <v>43</v>
      </c>
      <c r="C24" t="s">
        <v>24</v>
      </c>
      <c r="D24" t="s">
        <v>10</v>
      </c>
      <c r="E24" t="s">
        <v>10</v>
      </c>
      <c r="F24" t="s">
        <v>11</v>
      </c>
      <c r="G24" t="s">
        <v>22</v>
      </c>
      <c r="H24" s="3">
        <v>45665</v>
      </c>
    </row>
    <row r="25" spans="1:13" x14ac:dyDescent="0.25">
      <c r="A25" t="s">
        <v>58</v>
      </c>
      <c r="B25">
        <v>64</v>
      </c>
      <c r="C25" t="s">
        <v>9</v>
      </c>
      <c r="D25" t="s">
        <v>10</v>
      </c>
      <c r="E25" t="s">
        <v>10</v>
      </c>
      <c r="F25" t="s">
        <v>11</v>
      </c>
      <c r="G25" t="s">
        <v>12</v>
      </c>
      <c r="H25" s="3">
        <v>46048</v>
      </c>
      <c r="K25" t="s">
        <v>8615</v>
      </c>
      <c r="L25">
        <f>COUNTA(A2:A1001)</f>
        <v>1000</v>
      </c>
    </row>
    <row r="26" spans="1:13" x14ac:dyDescent="0.25">
      <c r="A26" t="s">
        <v>59</v>
      </c>
      <c r="B26">
        <v>49</v>
      </c>
      <c r="C26" t="s">
        <v>9</v>
      </c>
      <c r="D26" t="s">
        <v>10</v>
      </c>
      <c r="E26" t="s">
        <v>10</v>
      </c>
      <c r="F26" t="s">
        <v>53</v>
      </c>
      <c r="G26" t="s">
        <v>12</v>
      </c>
      <c r="H26" s="3">
        <v>45066</v>
      </c>
      <c r="L26" s="13"/>
      <c r="M26" s="13">
        <f ca="1">COUNTA(UNIQUE(A2:A1001))</f>
        <v>1</v>
      </c>
    </row>
    <row r="27" spans="1:13" x14ac:dyDescent="0.25">
      <c r="A27" t="s">
        <v>60</v>
      </c>
      <c r="B27">
        <v>27</v>
      </c>
      <c r="C27" t="s">
        <v>9</v>
      </c>
      <c r="D27" t="s">
        <v>43</v>
      </c>
      <c r="E27" t="s">
        <v>44</v>
      </c>
      <c r="F27" t="s">
        <v>45</v>
      </c>
      <c r="G27" t="s">
        <v>17</v>
      </c>
      <c r="H27" s="3">
        <v>46187</v>
      </c>
    </row>
    <row r="28" spans="1:13" x14ac:dyDescent="0.25">
      <c r="A28" t="s">
        <v>61</v>
      </c>
      <c r="B28">
        <v>33</v>
      </c>
      <c r="C28" t="s">
        <v>9</v>
      </c>
      <c r="D28" t="s">
        <v>10</v>
      </c>
      <c r="E28" t="s">
        <v>10</v>
      </c>
      <c r="F28" t="s">
        <v>47</v>
      </c>
      <c r="G28" t="s">
        <v>17</v>
      </c>
      <c r="H28" s="3">
        <v>45900</v>
      </c>
    </row>
    <row r="29" spans="1:13" x14ac:dyDescent="0.25">
      <c r="A29" t="s">
        <v>62</v>
      </c>
      <c r="B29">
        <v>24</v>
      </c>
      <c r="C29" t="s">
        <v>24</v>
      </c>
      <c r="D29" t="s">
        <v>25</v>
      </c>
      <c r="E29" t="s">
        <v>26</v>
      </c>
      <c r="F29" t="s">
        <v>27</v>
      </c>
      <c r="G29" t="s">
        <v>12</v>
      </c>
      <c r="H29" s="3">
        <v>45943</v>
      </c>
    </row>
    <row r="30" spans="1:13" x14ac:dyDescent="0.25">
      <c r="A30" t="s">
        <v>63</v>
      </c>
      <c r="B30">
        <v>34</v>
      </c>
      <c r="C30" t="s">
        <v>9</v>
      </c>
      <c r="D30" t="s">
        <v>25</v>
      </c>
      <c r="E30" t="s">
        <v>26</v>
      </c>
      <c r="F30" t="s">
        <v>27</v>
      </c>
      <c r="G30" t="s">
        <v>12</v>
      </c>
      <c r="H30" s="3">
        <v>45879</v>
      </c>
    </row>
    <row r="31" spans="1:13" x14ac:dyDescent="0.25">
      <c r="A31" t="s">
        <v>64</v>
      </c>
      <c r="B31">
        <v>40</v>
      </c>
      <c r="C31" t="s">
        <v>24</v>
      </c>
      <c r="D31" t="s">
        <v>10</v>
      </c>
      <c r="E31" t="s">
        <v>10</v>
      </c>
      <c r="F31" t="s">
        <v>29</v>
      </c>
      <c r="G31" t="s">
        <v>22</v>
      </c>
      <c r="H31" s="3">
        <v>45830</v>
      </c>
    </row>
    <row r="32" spans="1:13" x14ac:dyDescent="0.25">
      <c r="A32" t="s">
        <v>65</v>
      </c>
      <c r="B32">
        <v>43</v>
      </c>
      <c r="C32" t="s">
        <v>24</v>
      </c>
      <c r="D32" t="s">
        <v>25</v>
      </c>
      <c r="E32" t="s">
        <v>26</v>
      </c>
      <c r="F32" t="s">
        <v>27</v>
      </c>
      <c r="G32" t="s">
        <v>17</v>
      </c>
      <c r="H32" s="3">
        <v>44998</v>
      </c>
    </row>
    <row r="33" spans="1:8" x14ac:dyDescent="0.25">
      <c r="A33" t="s">
        <v>66</v>
      </c>
      <c r="B33">
        <v>38</v>
      </c>
      <c r="C33" t="s">
        <v>24</v>
      </c>
      <c r="D33" t="s">
        <v>10</v>
      </c>
      <c r="E33" t="s">
        <v>10</v>
      </c>
      <c r="F33" t="s">
        <v>47</v>
      </c>
      <c r="G33" t="s">
        <v>12</v>
      </c>
      <c r="H33" s="3">
        <v>46140</v>
      </c>
    </row>
    <row r="34" spans="1:8" x14ac:dyDescent="0.25">
      <c r="A34" t="s">
        <v>67</v>
      </c>
      <c r="B34">
        <v>39</v>
      </c>
      <c r="C34" t="s">
        <v>9</v>
      </c>
      <c r="D34" t="s">
        <v>10</v>
      </c>
      <c r="E34" t="s">
        <v>10</v>
      </c>
      <c r="F34" t="s">
        <v>29</v>
      </c>
      <c r="G34" t="s">
        <v>12</v>
      </c>
      <c r="H34" s="3">
        <v>45033</v>
      </c>
    </row>
    <row r="35" spans="1:8" x14ac:dyDescent="0.25">
      <c r="A35" t="s">
        <v>68</v>
      </c>
      <c r="B35">
        <v>24</v>
      </c>
      <c r="C35" t="s">
        <v>24</v>
      </c>
      <c r="D35" t="s">
        <v>14</v>
      </c>
      <c r="E35" t="s">
        <v>15</v>
      </c>
      <c r="F35" t="s">
        <v>16</v>
      </c>
      <c r="G35" t="s">
        <v>17</v>
      </c>
      <c r="H35" s="3">
        <v>46182</v>
      </c>
    </row>
    <row r="36" spans="1:8" x14ac:dyDescent="0.25">
      <c r="A36" t="s">
        <v>69</v>
      </c>
      <c r="B36">
        <v>31</v>
      </c>
      <c r="C36" t="s">
        <v>24</v>
      </c>
      <c r="D36" t="s">
        <v>14</v>
      </c>
      <c r="E36" t="s">
        <v>15</v>
      </c>
      <c r="F36" t="s">
        <v>16</v>
      </c>
      <c r="G36" t="s">
        <v>12</v>
      </c>
      <c r="H36" s="3">
        <v>45992</v>
      </c>
    </row>
    <row r="37" spans="1:8" x14ac:dyDescent="0.25">
      <c r="A37" t="s">
        <v>70</v>
      </c>
      <c r="B37">
        <v>32</v>
      </c>
      <c r="C37" t="s">
        <v>24</v>
      </c>
      <c r="D37" t="s">
        <v>43</v>
      </c>
      <c r="E37" t="s">
        <v>44</v>
      </c>
      <c r="F37" t="s">
        <v>45</v>
      </c>
      <c r="G37" t="s">
        <v>12</v>
      </c>
      <c r="H37" s="3">
        <v>45809</v>
      </c>
    </row>
    <row r="38" spans="1:8" x14ac:dyDescent="0.25">
      <c r="A38" t="s">
        <v>71</v>
      </c>
      <c r="B38">
        <v>24</v>
      </c>
      <c r="C38" t="s">
        <v>24</v>
      </c>
      <c r="D38" t="s">
        <v>10</v>
      </c>
      <c r="E38" t="s">
        <v>10</v>
      </c>
      <c r="F38" t="s">
        <v>11</v>
      </c>
      <c r="G38" t="s">
        <v>12</v>
      </c>
      <c r="H38" s="3">
        <v>45065</v>
      </c>
    </row>
    <row r="39" spans="1:8" x14ac:dyDescent="0.25">
      <c r="A39" t="s">
        <v>72</v>
      </c>
      <c r="B39">
        <v>26</v>
      </c>
      <c r="C39" t="s">
        <v>24</v>
      </c>
      <c r="D39" t="s">
        <v>10</v>
      </c>
      <c r="E39" t="s">
        <v>10</v>
      </c>
      <c r="F39" t="s">
        <v>29</v>
      </c>
      <c r="G39" t="s">
        <v>12</v>
      </c>
      <c r="H39" s="3">
        <v>45541</v>
      </c>
    </row>
    <row r="40" spans="1:8" x14ac:dyDescent="0.25">
      <c r="A40" t="s">
        <v>73</v>
      </c>
      <c r="B40">
        <v>65</v>
      </c>
      <c r="C40" t="s">
        <v>9</v>
      </c>
      <c r="D40" t="s">
        <v>25</v>
      </c>
      <c r="E40" t="s">
        <v>38</v>
      </c>
      <c r="F40" t="s">
        <v>39</v>
      </c>
      <c r="G40" t="s">
        <v>12</v>
      </c>
      <c r="H40" s="3">
        <v>45789</v>
      </c>
    </row>
    <row r="41" spans="1:8" x14ac:dyDescent="0.25">
      <c r="A41" t="s">
        <v>74</v>
      </c>
      <c r="B41">
        <v>25</v>
      </c>
      <c r="C41" t="s">
        <v>24</v>
      </c>
      <c r="D41" t="s">
        <v>10</v>
      </c>
      <c r="E41" t="s">
        <v>10</v>
      </c>
      <c r="F41" t="s">
        <v>53</v>
      </c>
      <c r="G41" t="s">
        <v>12</v>
      </c>
      <c r="H41" s="3">
        <v>45199</v>
      </c>
    </row>
    <row r="42" spans="1:8" x14ac:dyDescent="0.25">
      <c r="A42" t="s">
        <v>75</v>
      </c>
      <c r="B42">
        <v>40</v>
      </c>
      <c r="C42" t="s">
        <v>9</v>
      </c>
      <c r="D42" t="s">
        <v>10</v>
      </c>
      <c r="E42" t="s">
        <v>10</v>
      </c>
      <c r="F42" t="s">
        <v>29</v>
      </c>
      <c r="G42" t="s">
        <v>17</v>
      </c>
      <c r="H42" s="3">
        <v>45342</v>
      </c>
    </row>
    <row r="43" spans="1:8" x14ac:dyDescent="0.25">
      <c r="A43" t="s">
        <v>76</v>
      </c>
      <c r="B43">
        <v>46</v>
      </c>
      <c r="C43" t="s">
        <v>9</v>
      </c>
      <c r="D43" t="s">
        <v>10</v>
      </c>
      <c r="E43" t="s">
        <v>10</v>
      </c>
      <c r="F43" t="s">
        <v>53</v>
      </c>
      <c r="G43" t="s">
        <v>12</v>
      </c>
      <c r="H43" s="3">
        <v>45432</v>
      </c>
    </row>
    <row r="44" spans="1:8" x14ac:dyDescent="0.25">
      <c r="A44" t="s">
        <v>77</v>
      </c>
      <c r="B44">
        <v>35</v>
      </c>
      <c r="C44" t="s">
        <v>9</v>
      </c>
      <c r="D44" t="s">
        <v>10</v>
      </c>
      <c r="E44" t="s">
        <v>10</v>
      </c>
      <c r="F44" t="s">
        <v>29</v>
      </c>
      <c r="G44" t="s">
        <v>78</v>
      </c>
      <c r="H44" s="3">
        <v>45659</v>
      </c>
    </row>
    <row r="45" spans="1:8" x14ac:dyDescent="0.25">
      <c r="A45" t="s">
        <v>79</v>
      </c>
      <c r="B45">
        <v>48</v>
      </c>
      <c r="C45" t="s">
        <v>9</v>
      </c>
      <c r="D45" t="s">
        <v>33</v>
      </c>
      <c r="E45" t="s">
        <v>34</v>
      </c>
      <c r="F45" t="s">
        <v>35</v>
      </c>
      <c r="G45" t="s">
        <v>12</v>
      </c>
      <c r="H45" s="3">
        <v>45350</v>
      </c>
    </row>
    <row r="46" spans="1:8" x14ac:dyDescent="0.25">
      <c r="A46" t="s">
        <v>80</v>
      </c>
      <c r="B46">
        <v>47</v>
      </c>
      <c r="C46" t="s">
        <v>9</v>
      </c>
      <c r="D46" t="s">
        <v>10</v>
      </c>
      <c r="E46" t="s">
        <v>10</v>
      </c>
      <c r="F46" t="s">
        <v>47</v>
      </c>
      <c r="G46" t="s">
        <v>12</v>
      </c>
      <c r="H46" s="3">
        <v>45316</v>
      </c>
    </row>
    <row r="47" spans="1:8" x14ac:dyDescent="0.25">
      <c r="A47" t="s">
        <v>81</v>
      </c>
      <c r="B47">
        <v>56</v>
      </c>
      <c r="C47" t="s">
        <v>9</v>
      </c>
      <c r="D47" t="s">
        <v>25</v>
      </c>
      <c r="E47" t="s">
        <v>82</v>
      </c>
      <c r="F47" t="s">
        <v>39</v>
      </c>
      <c r="G47" t="s">
        <v>12</v>
      </c>
      <c r="H47" s="3">
        <v>45268</v>
      </c>
    </row>
    <row r="48" spans="1:8" x14ac:dyDescent="0.25">
      <c r="A48" t="s">
        <v>83</v>
      </c>
      <c r="B48">
        <v>52</v>
      </c>
      <c r="C48" t="s">
        <v>24</v>
      </c>
      <c r="D48" t="s">
        <v>10</v>
      </c>
      <c r="E48" t="s">
        <v>10</v>
      </c>
      <c r="F48" t="s">
        <v>11</v>
      </c>
      <c r="G48" t="s">
        <v>22</v>
      </c>
      <c r="H48" s="3">
        <v>45872</v>
      </c>
    </row>
    <row r="49" spans="1:8" x14ac:dyDescent="0.25">
      <c r="A49" t="s">
        <v>84</v>
      </c>
      <c r="B49">
        <v>35</v>
      </c>
      <c r="C49" t="s">
        <v>24</v>
      </c>
      <c r="D49" t="s">
        <v>25</v>
      </c>
      <c r="E49" t="s">
        <v>26</v>
      </c>
      <c r="F49" t="s">
        <v>27</v>
      </c>
      <c r="G49" t="s">
        <v>22</v>
      </c>
      <c r="H49" s="3">
        <v>45540</v>
      </c>
    </row>
    <row r="50" spans="1:8" x14ac:dyDescent="0.25">
      <c r="A50" t="s">
        <v>85</v>
      </c>
      <c r="B50">
        <v>59</v>
      </c>
      <c r="C50" t="s">
        <v>24</v>
      </c>
      <c r="D50" t="s">
        <v>25</v>
      </c>
      <c r="E50" t="s">
        <v>26</v>
      </c>
      <c r="F50" t="s">
        <v>27</v>
      </c>
      <c r="G50" t="s">
        <v>12</v>
      </c>
      <c r="H50" s="3">
        <v>45419</v>
      </c>
    </row>
    <row r="51" spans="1:8" x14ac:dyDescent="0.25">
      <c r="A51" t="s">
        <v>86</v>
      </c>
      <c r="B51">
        <v>56</v>
      </c>
      <c r="C51" t="s">
        <v>9</v>
      </c>
      <c r="D51" t="s">
        <v>10</v>
      </c>
      <c r="E51" t="s">
        <v>10</v>
      </c>
      <c r="F51" t="s">
        <v>47</v>
      </c>
      <c r="G51" t="s">
        <v>78</v>
      </c>
      <c r="H51" s="3">
        <v>45118</v>
      </c>
    </row>
    <row r="52" spans="1:8" x14ac:dyDescent="0.25">
      <c r="A52" t="s">
        <v>87</v>
      </c>
      <c r="B52">
        <v>34</v>
      </c>
      <c r="C52" t="s">
        <v>9</v>
      </c>
      <c r="D52" t="s">
        <v>14</v>
      </c>
      <c r="E52" t="s">
        <v>15</v>
      </c>
      <c r="F52" t="s">
        <v>16</v>
      </c>
      <c r="G52" t="s">
        <v>12</v>
      </c>
      <c r="H52" s="3">
        <v>45425</v>
      </c>
    </row>
    <row r="53" spans="1:8" x14ac:dyDescent="0.25">
      <c r="A53" t="s">
        <v>88</v>
      </c>
      <c r="B53">
        <v>31</v>
      </c>
      <c r="C53" t="s">
        <v>24</v>
      </c>
      <c r="D53" t="s">
        <v>19</v>
      </c>
      <c r="E53" t="s">
        <v>20</v>
      </c>
      <c r="F53" t="s">
        <v>21</v>
      </c>
      <c r="G53" t="s">
        <v>17</v>
      </c>
      <c r="H53" s="3">
        <v>45748</v>
      </c>
    </row>
    <row r="54" spans="1:8" x14ac:dyDescent="0.25">
      <c r="A54" t="s">
        <v>89</v>
      </c>
      <c r="B54">
        <v>48</v>
      </c>
      <c r="C54" t="s">
        <v>9</v>
      </c>
      <c r="D54" t="s">
        <v>14</v>
      </c>
      <c r="E54" t="s">
        <v>15</v>
      </c>
      <c r="F54" t="s">
        <v>16</v>
      </c>
      <c r="G54" t="s">
        <v>22</v>
      </c>
      <c r="H54" s="3">
        <v>46183</v>
      </c>
    </row>
    <row r="55" spans="1:8" x14ac:dyDescent="0.25">
      <c r="A55" t="s">
        <v>90</v>
      </c>
      <c r="B55">
        <v>41</v>
      </c>
      <c r="C55" t="s">
        <v>9</v>
      </c>
      <c r="D55" t="s">
        <v>33</v>
      </c>
      <c r="E55" t="s">
        <v>34</v>
      </c>
      <c r="F55" t="s">
        <v>35</v>
      </c>
      <c r="G55" t="s">
        <v>22</v>
      </c>
      <c r="H55" s="3">
        <v>45153</v>
      </c>
    </row>
    <row r="56" spans="1:8" x14ac:dyDescent="0.25">
      <c r="A56" t="s">
        <v>91</v>
      </c>
      <c r="B56">
        <v>52</v>
      </c>
      <c r="C56" t="s">
        <v>24</v>
      </c>
      <c r="D56" t="s">
        <v>25</v>
      </c>
      <c r="E56" t="s">
        <v>26</v>
      </c>
      <c r="F56" t="s">
        <v>27</v>
      </c>
      <c r="G56" t="s">
        <v>12</v>
      </c>
      <c r="H56" s="3">
        <v>45065</v>
      </c>
    </row>
    <row r="57" spans="1:8" x14ac:dyDescent="0.25">
      <c r="A57" t="s">
        <v>92</v>
      </c>
      <c r="B57">
        <v>61</v>
      </c>
      <c r="C57" t="s">
        <v>9</v>
      </c>
      <c r="D57" t="s">
        <v>33</v>
      </c>
      <c r="E57" t="s">
        <v>34</v>
      </c>
      <c r="F57" t="s">
        <v>35</v>
      </c>
      <c r="G57" t="s">
        <v>12</v>
      </c>
      <c r="H57" s="3">
        <v>45782</v>
      </c>
    </row>
    <row r="58" spans="1:8" x14ac:dyDescent="0.25">
      <c r="A58" t="s">
        <v>93</v>
      </c>
      <c r="B58">
        <v>62</v>
      </c>
      <c r="C58" t="s">
        <v>24</v>
      </c>
      <c r="D58" t="s">
        <v>10</v>
      </c>
      <c r="E58" t="s">
        <v>10</v>
      </c>
      <c r="F58" t="s">
        <v>29</v>
      </c>
      <c r="G58" t="s">
        <v>17</v>
      </c>
      <c r="H58" s="3">
        <v>45743</v>
      </c>
    </row>
    <row r="59" spans="1:8" x14ac:dyDescent="0.25">
      <c r="A59" t="s">
        <v>94</v>
      </c>
      <c r="B59">
        <v>51</v>
      </c>
      <c r="C59" t="s">
        <v>24</v>
      </c>
      <c r="D59" t="s">
        <v>10</v>
      </c>
      <c r="E59" t="s">
        <v>10</v>
      </c>
      <c r="F59" t="s">
        <v>47</v>
      </c>
      <c r="G59" t="s">
        <v>12</v>
      </c>
      <c r="H59" s="3">
        <v>46099</v>
      </c>
    </row>
    <row r="60" spans="1:8" x14ac:dyDescent="0.25">
      <c r="A60" t="s">
        <v>95</v>
      </c>
      <c r="B60">
        <v>20</v>
      </c>
      <c r="C60" t="s">
        <v>9</v>
      </c>
      <c r="D60" t="s">
        <v>10</v>
      </c>
      <c r="E60" t="s">
        <v>10</v>
      </c>
      <c r="F60" t="s">
        <v>29</v>
      </c>
      <c r="G60" t="s">
        <v>22</v>
      </c>
      <c r="H60" s="3">
        <v>46065</v>
      </c>
    </row>
    <row r="61" spans="1:8" x14ac:dyDescent="0.25">
      <c r="A61" t="s">
        <v>96</v>
      </c>
      <c r="B61">
        <v>54</v>
      </c>
      <c r="C61" t="s">
        <v>9</v>
      </c>
      <c r="D61" t="s">
        <v>10</v>
      </c>
      <c r="E61" t="s">
        <v>10</v>
      </c>
      <c r="F61" t="s">
        <v>11</v>
      </c>
      <c r="G61" t="s">
        <v>12</v>
      </c>
      <c r="H61" s="3">
        <v>46013</v>
      </c>
    </row>
    <row r="62" spans="1:8" x14ac:dyDescent="0.25">
      <c r="A62" t="s">
        <v>97</v>
      </c>
      <c r="B62">
        <v>60</v>
      </c>
      <c r="C62" t="s">
        <v>24</v>
      </c>
      <c r="D62" t="s">
        <v>10</v>
      </c>
      <c r="E62" t="s">
        <v>10</v>
      </c>
      <c r="F62" t="s">
        <v>11</v>
      </c>
      <c r="G62" t="s">
        <v>12</v>
      </c>
      <c r="H62" s="3">
        <v>45030</v>
      </c>
    </row>
    <row r="63" spans="1:8" x14ac:dyDescent="0.25">
      <c r="A63" t="s">
        <v>98</v>
      </c>
      <c r="B63">
        <v>57</v>
      </c>
      <c r="C63" t="s">
        <v>9</v>
      </c>
      <c r="D63" t="s">
        <v>10</v>
      </c>
      <c r="E63" t="s">
        <v>10</v>
      </c>
      <c r="F63" t="s">
        <v>47</v>
      </c>
      <c r="G63" t="s">
        <v>12</v>
      </c>
      <c r="H63" s="3">
        <v>45797</v>
      </c>
    </row>
    <row r="64" spans="1:8" x14ac:dyDescent="0.25">
      <c r="A64" t="s">
        <v>99</v>
      </c>
      <c r="B64">
        <v>43</v>
      </c>
      <c r="C64" t="s">
        <v>9</v>
      </c>
      <c r="D64" t="s">
        <v>43</v>
      </c>
      <c r="E64" t="s">
        <v>44</v>
      </c>
      <c r="F64" t="s">
        <v>45</v>
      </c>
      <c r="G64" t="s">
        <v>17</v>
      </c>
      <c r="H64" s="3">
        <v>45594</v>
      </c>
    </row>
    <row r="65" spans="1:8" x14ac:dyDescent="0.25">
      <c r="A65" t="s">
        <v>100</v>
      </c>
      <c r="B65">
        <v>40</v>
      </c>
      <c r="C65" t="s">
        <v>24</v>
      </c>
      <c r="D65" t="s">
        <v>10</v>
      </c>
      <c r="E65" t="s">
        <v>10</v>
      </c>
      <c r="F65" t="s">
        <v>11</v>
      </c>
      <c r="G65" t="s">
        <v>12</v>
      </c>
      <c r="H65" s="3">
        <v>45199</v>
      </c>
    </row>
    <row r="66" spans="1:8" x14ac:dyDescent="0.25">
      <c r="A66" t="s">
        <v>101</v>
      </c>
      <c r="B66">
        <v>61</v>
      </c>
      <c r="C66" t="s">
        <v>9</v>
      </c>
      <c r="D66" t="s">
        <v>10</v>
      </c>
      <c r="E66" t="s">
        <v>10</v>
      </c>
      <c r="F66" t="s">
        <v>11</v>
      </c>
      <c r="G66" t="s">
        <v>12</v>
      </c>
      <c r="H66" s="3">
        <v>45956</v>
      </c>
    </row>
    <row r="67" spans="1:8" x14ac:dyDescent="0.25">
      <c r="A67" t="s">
        <v>102</v>
      </c>
      <c r="B67">
        <v>56</v>
      </c>
      <c r="C67" t="s">
        <v>24</v>
      </c>
      <c r="D67" t="s">
        <v>25</v>
      </c>
      <c r="E67" t="s">
        <v>26</v>
      </c>
      <c r="F67" t="s">
        <v>27</v>
      </c>
      <c r="G67" t="s">
        <v>78</v>
      </c>
      <c r="H67" s="3">
        <v>46097</v>
      </c>
    </row>
    <row r="68" spans="1:8" x14ac:dyDescent="0.25">
      <c r="A68" t="s">
        <v>103</v>
      </c>
      <c r="B68">
        <v>32</v>
      </c>
      <c r="C68" t="s">
        <v>24</v>
      </c>
      <c r="D68" t="s">
        <v>10</v>
      </c>
      <c r="E68" t="s">
        <v>10</v>
      </c>
      <c r="F68" t="s">
        <v>29</v>
      </c>
      <c r="G68" t="s">
        <v>22</v>
      </c>
      <c r="H68" s="3">
        <v>45110</v>
      </c>
    </row>
    <row r="69" spans="1:8" x14ac:dyDescent="0.25">
      <c r="A69" t="s">
        <v>104</v>
      </c>
      <c r="B69">
        <v>21</v>
      </c>
      <c r="C69" t="s">
        <v>9</v>
      </c>
      <c r="D69" t="s">
        <v>43</v>
      </c>
      <c r="E69" t="s">
        <v>44</v>
      </c>
      <c r="F69" t="s">
        <v>45</v>
      </c>
      <c r="G69" t="s">
        <v>17</v>
      </c>
      <c r="H69" s="3">
        <v>45978</v>
      </c>
    </row>
    <row r="70" spans="1:8" x14ac:dyDescent="0.25">
      <c r="A70" t="s">
        <v>105</v>
      </c>
      <c r="B70">
        <v>46</v>
      </c>
      <c r="C70" t="s">
        <v>9</v>
      </c>
      <c r="D70" t="s">
        <v>10</v>
      </c>
      <c r="E70" t="s">
        <v>10</v>
      </c>
      <c r="F70" t="s">
        <v>29</v>
      </c>
      <c r="G70" t="s">
        <v>22</v>
      </c>
      <c r="H70" s="3">
        <v>46069</v>
      </c>
    </row>
    <row r="71" spans="1:8" x14ac:dyDescent="0.25">
      <c r="A71" t="s">
        <v>106</v>
      </c>
      <c r="B71">
        <v>39</v>
      </c>
      <c r="C71" t="s">
        <v>9</v>
      </c>
      <c r="D71" t="s">
        <v>14</v>
      </c>
      <c r="E71" t="s">
        <v>15</v>
      </c>
      <c r="F71" t="s">
        <v>16</v>
      </c>
      <c r="G71" t="s">
        <v>22</v>
      </c>
      <c r="H71" s="3">
        <v>45219</v>
      </c>
    </row>
    <row r="72" spans="1:8" x14ac:dyDescent="0.25">
      <c r="A72" t="s">
        <v>107</v>
      </c>
      <c r="B72">
        <v>42</v>
      </c>
      <c r="C72" t="s">
        <v>9</v>
      </c>
      <c r="D72" t="s">
        <v>19</v>
      </c>
      <c r="E72" t="s">
        <v>20</v>
      </c>
      <c r="F72" t="s">
        <v>21</v>
      </c>
      <c r="G72" t="s">
        <v>22</v>
      </c>
      <c r="H72" s="3">
        <v>46194</v>
      </c>
    </row>
    <row r="73" spans="1:8" x14ac:dyDescent="0.25">
      <c r="A73" t="s">
        <v>108</v>
      </c>
      <c r="B73">
        <v>30</v>
      </c>
      <c r="C73" t="s">
        <v>9</v>
      </c>
      <c r="D73" t="s">
        <v>10</v>
      </c>
      <c r="E73" t="s">
        <v>10</v>
      </c>
      <c r="F73" t="s">
        <v>47</v>
      </c>
      <c r="G73" t="s">
        <v>12</v>
      </c>
      <c r="H73" s="3">
        <v>46168</v>
      </c>
    </row>
    <row r="74" spans="1:8" x14ac:dyDescent="0.25">
      <c r="A74" t="s">
        <v>109</v>
      </c>
      <c r="B74">
        <v>35</v>
      </c>
      <c r="C74" t="s">
        <v>24</v>
      </c>
      <c r="D74" t="s">
        <v>10</v>
      </c>
      <c r="E74" t="s">
        <v>10</v>
      </c>
      <c r="F74" t="s">
        <v>29</v>
      </c>
      <c r="G74" t="s">
        <v>12</v>
      </c>
      <c r="H74" s="3">
        <v>45103</v>
      </c>
    </row>
    <row r="75" spans="1:8" x14ac:dyDescent="0.25">
      <c r="A75" t="s">
        <v>110</v>
      </c>
      <c r="B75">
        <v>50</v>
      </c>
      <c r="C75" t="s">
        <v>9</v>
      </c>
      <c r="D75" t="s">
        <v>43</v>
      </c>
      <c r="E75" t="s">
        <v>44</v>
      </c>
      <c r="F75" t="s">
        <v>45</v>
      </c>
      <c r="G75" t="s">
        <v>12</v>
      </c>
      <c r="H75" s="3">
        <v>44984</v>
      </c>
    </row>
    <row r="76" spans="1:8" x14ac:dyDescent="0.25">
      <c r="A76" t="s">
        <v>111</v>
      </c>
      <c r="B76">
        <v>33</v>
      </c>
      <c r="C76" t="s">
        <v>24</v>
      </c>
      <c r="D76" t="s">
        <v>25</v>
      </c>
      <c r="E76" t="s">
        <v>38</v>
      </c>
      <c r="F76" t="s">
        <v>39</v>
      </c>
      <c r="G76" t="s">
        <v>17</v>
      </c>
      <c r="H76" s="3">
        <v>45234</v>
      </c>
    </row>
    <row r="77" spans="1:8" x14ac:dyDescent="0.25">
      <c r="A77" t="s">
        <v>112</v>
      </c>
      <c r="B77">
        <v>62</v>
      </c>
      <c r="C77" t="s">
        <v>24</v>
      </c>
      <c r="D77" t="s">
        <v>19</v>
      </c>
      <c r="E77" t="s">
        <v>20</v>
      </c>
      <c r="F77" t="s">
        <v>21</v>
      </c>
      <c r="G77" t="s">
        <v>12</v>
      </c>
      <c r="H77" s="3">
        <v>45903</v>
      </c>
    </row>
    <row r="78" spans="1:8" x14ac:dyDescent="0.25">
      <c r="A78" t="s">
        <v>113</v>
      </c>
      <c r="B78">
        <v>59</v>
      </c>
      <c r="C78" t="s">
        <v>24</v>
      </c>
      <c r="D78" t="s">
        <v>19</v>
      </c>
      <c r="E78" t="s">
        <v>20</v>
      </c>
      <c r="F78" t="s">
        <v>21</v>
      </c>
      <c r="G78" t="s">
        <v>12</v>
      </c>
      <c r="H78" s="3">
        <v>46055</v>
      </c>
    </row>
    <row r="79" spans="1:8" x14ac:dyDescent="0.25">
      <c r="A79" t="s">
        <v>114</v>
      </c>
      <c r="B79">
        <v>61</v>
      </c>
      <c r="C79" t="s">
        <v>24</v>
      </c>
      <c r="D79" t="s">
        <v>10</v>
      </c>
      <c r="E79" t="s">
        <v>10</v>
      </c>
      <c r="F79" t="s">
        <v>29</v>
      </c>
      <c r="G79" t="s">
        <v>12</v>
      </c>
      <c r="H79" s="3">
        <v>46178</v>
      </c>
    </row>
    <row r="80" spans="1:8" x14ac:dyDescent="0.25">
      <c r="A80" t="s">
        <v>115</v>
      </c>
      <c r="B80">
        <v>19</v>
      </c>
      <c r="C80" t="s">
        <v>9</v>
      </c>
      <c r="D80" t="s">
        <v>10</v>
      </c>
      <c r="E80" t="s">
        <v>10</v>
      </c>
      <c r="F80" t="s">
        <v>11</v>
      </c>
      <c r="G80" t="s">
        <v>22</v>
      </c>
      <c r="H80" s="3">
        <v>46197</v>
      </c>
    </row>
    <row r="81" spans="1:8" x14ac:dyDescent="0.25">
      <c r="A81" t="s">
        <v>116</v>
      </c>
      <c r="B81">
        <v>52</v>
      </c>
      <c r="C81" t="s">
        <v>24</v>
      </c>
      <c r="D81" t="s">
        <v>10</v>
      </c>
      <c r="E81" t="s">
        <v>10</v>
      </c>
      <c r="F81" t="s">
        <v>29</v>
      </c>
      <c r="G81" t="s">
        <v>12</v>
      </c>
      <c r="H81" s="3">
        <v>45626</v>
      </c>
    </row>
    <row r="82" spans="1:8" x14ac:dyDescent="0.25">
      <c r="A82" t="s">
        <v>117</v>
      </c>
      <c r="B82">
        <v>59</v>
      </c>
      <c r="C82" t="s">
        <v>24</v>
      </c>
      <c r="D82" t="s">
        <v>33</v>
      </c>
      <c r="E82" t="s">
        <v>34</v>
      </c>
      <c r="F82" t="s">
        <v>35</v>
      </c>
      <c r="G82" t="s">
        <v>17</v>
      </c>
      <c r="H82" s="3">
        <v>45009</v>
      </c>
    </row>
    <row r="83" spans="1:8" x14ac:dyDescent="0.25">
      <c r="A83" t="s">
        <v>118</v>
      </c>
      <c r="B83">
        <v>51</v>
      </c>
      <c r="C83" t="s">
        <v>9</v>
      </c>
      <c r="D83" t="s">
        <v>25</v>
      </c>
      <c r="E83" t="s">
        <v>38</v>
      </c>
      <c r="F83" t="s">
        <v>39</v>
      </c>
      <c r="G83" t="s">
        <v>78</v>
      </c>
      <c r="H83" s="3">
        <v>46136</v>
      </c>
    </row>
    <row r="84" spans="1:8" x14ac:dyDescent="0.25">
      <c r="A84" t="s">
        <v>119</v>
      </c>
      <c r="B84">
        <v>47</v>
      </c>
      <c r="C84" t="s">
        <v>9</v>
      </c>
      <c r="D84" t="s">
        <v>10</v>
      </c>
      <c r="E84" t="s">
        <v>10</v>
      </c>
      <c r="F84" t="s">
        <v>11</v>
      </c>
      <c r="G84" t="s">
        <v>78</v>
      </c>
      <c r="H84" s="3">
        <v>45178</v>
      </c>
    </row>
    <row r="85" spans="1:8" x14ac:dyDescent="0.25">
      <c r="A85" t="s">
        <v>120</v>
      </c>
      <c r="B85">
        <v>30</v>
      </c>
      <c r="C85" t="s">
        <v>24</v>
      </c>
      <c r="D85" t="s">
        <v>10</v>
      </c>
      <c r="E85" t="s">
        <v>10</v>
      </c>
      <c r="F85" t="s">
        <v>29</v>
      </c>
      <c r="G85" t="s">
        <v>22</v>
      </c>
      <c r="H85" s="3">
        <v>45722</v>
      </c>
    </row>
    <row r="86" spans="1:8" x14ac:dyDescent="0.25">
      <c r="A86" t="s">
        <v>121</v>
      </c>
      <c r="B86">
        <v>30</v>
      </c>
      <c r="C86" t="s">
        <v>9</v>
      </c>
      <c r="D86" t="s">
        <v>10</v>
      </c>
      <c r="E86" t="s">
        <v>10</v>
      </c>
      <c r="F86" t="s">
        <v>11</v>
      </c>
      <c r="G86" t="s">
        <v>78</v>
      </c>
      <c r="H86" s="3">
        <v>45823</v>
      </c>
    </row>
    <row r="87" spans="1:8" x14ac:dyDescent="0.25">
      <c r="A87" t="s">
        <v>122</v>
      </c>
      <c r="B87">
        <v>35</v>
      </c>
      <c r="C87" t="s">
        <v>9</v>
      </c>
      <c r="D87" t="s">
        <v>10</v>
      </c>
      <c r="E87" t="s">
        <v>10</v>
      </c>
      <c r="F87" t="s">
        <v>11</v>
      </c>
      <c r="G87" t="s">
        <v>12</v>
      </c>
      <c r="H87" s="3">
        <v>45136</v>
      </c>
    </row>
    <row r="88" spans="1:8" x14ac:dyDescent="0.25">
      <c r="A88" t="s">
        <v>123</v>
      </c>
      <c r="B88">
        <v>49</v>
      </c>
      <c r="C88" t="s">
        <v>9</v>
      </c>
      <c r="D88" t="s">
        <v>19</v>
      </c>
      <c r="E88" t="s">
        <v>20</v>
      </c>
      <c r="F88" t="s">
        <v>21</v>
      </c>
      <c r="G88" t="s">
        <v>78</v>
      </c>
      <c r="H88" s="3">
        <v>45742</v>
      </c>
    </row>
    <row r="89" spans="1:8" x14ac:dyDescent="0.25">
      <c r="A89" t="s">
        <v>124</v>
      </c>
      <c r="B89">
        <v>49</v>
      </c>
      <c r="C89" t="s">
        <v>8663</v>
      </c>
      <c r="D89" t="s">
        <v>25</v>
      </c>
      <c r="E89" t="s">
        <v>38</v>
      </c>
      <c r="F89" t="s">
        <v>39</v>
      </c>
      <c r="G89" t="s">
        <v>17</v>
      </c>
      <c r="H89" s="3">
        <v>45535</v>
      </c>
    </row>
    <row r="90" spans="1:8" x14ac:dyDescent="0.25">
      <c r="A90" t="s">
        <v>125</v>
      </c>
      <c r="B90">
        <v>52</v>
      </c>
      <c r="C90" t="s">
        <v>24</v>
      </c>
      <c r="D90" t="s">
        <v>33</v>
      </c>
      <c r="E90" t="s">
        <v>34</v>
      </c>
      <c r="F90" t="s">
        <v>35</v>
      </c>
      <c r="G90" t="s">
        <v>12</v>
      </c>
      <c r="H90" s="3">
        <v>45373</v>
      </c>
    </row>
    <row r="91" spans="1:8" x14ac:dyDescent="0.25">
      <c r="A91" t="s">
        <v>126</v>
      </c>
      <c r="B91">
        <v>56</v>
      </c>
      <c r="C91" t="s">
        <v>24</v>
      </c>
      <c r="D91" t="s">
        <v>10</v>
      </c>
      <c r="E91" t="s">
        <v>10</v>
      </c>
      <c r="F91" t="s">
        <v>53</v>
      </c>
      <c r="G91" t="s">
        <v>12</v>
      </c>
      <c r="H91" s="3">
        <v>45386</v>
      </c>
    </row>
    <row r="92" spans="1:8" x14ac:dyDescent="0.25">
      <c r="A92" t="s">
        <v>127</v>
      </c>
      <c r="B92">
        <v>63</v>
      </c>
      <c r="C92" t="s">
        <v>24</v>
      </c>
      <c r="D92" t="s">
        <v>10</v>
      </c>
      <c r="E92" t="s">
        <v>10</v>
      </c>
      <c r="F92" t="s">
        <v>29</v>
      </c>
      <c r="G92" t="s">
        <v>12</v>
      </c>
      <c r="H92" s="3">
        <v>45894</v>
      </c>
    </row>
    <row r="93" spans="1:8" x14ac:dyDescent="0.25">
      <c r="A93" t="s">
        <v>128</v>
      </c>
      <c r="B93">
        <v>46</v>
      </c>
      <c r="C93" t="s">
        <v>9</v>
      </c>
      <c r="D93" t="s">
        <v>19</v>
      </c>
      <c r="E93" t="s">
        <v>20</v>
      </c>
      <c r="F93" t="s">
        <v>21</v>
      </c>
      <c r="G93" t="s">
        <v>12</v>
      </c>
      <c r="H93" s="3">
        <v>45398</v>
      </c>
    </row>
    <row r="94" spans="1:8" x14ac:dyDescent="0.25">
      <c r="A94" t="s">
        <v>129</v>
      </c>
      <c r="B94">
        <v>46</v>
      </c>
      <c r="C94" t="s">
        <v>9</v>
      </c>
      <c r="D94" t="s">
        <v>19</v>
      </c>
      <c r="E94" t="s">
        <v>20</v>
      </c>
      <c r="F94" t="s">
        <v>21</v>
      </c>
      <c r="G94" t="s">
        <v>12</v>
      </c>
      <c r="H94" s="3">
        <v>45296</v>
      </c>
    </row>
    <row r="95" spans="1:8" x14ac:dyDescent="0.25">
      <c r="A95" t="s">
        <v>130</v>
      </c>
      <c r="B95">
        <v>61</v>
      </c>
      <c r="C95" t="s">
        <v>24</v>
      </c>
      <c r="D95" t="s">
        <v>25</v>
      </c>
      <c r="E95" t="s">
        <v>26</v>
      </c>
      <c r="F95" t="s">
        <v>27</v>
      </c>
      <c r="G95" t="s">
        <v>22</v>
      </c>
      <c r="H95" s="3">
        <v>45826</v>
      </c>
    </row>
    <row r="96" spans="1:8" x14ac:dyDescent="0.25">
      <c r="A96" t="s">
        <v>131</v>
      </c>
      <c r="B96">
        <v>33</v>
      </c>
      <c r="C96" t="s">
        <v>9</v>
      </c>
      <c r="D96" t="s">
        <v>19</v>
      </c>
      <c r="E96" t="s">
        <v>20</v>
      </c>
      <c r="F96" t="s">
        <v>21</v>
      </c>
      <c r="G96" t="s">
        <v>12</v>
      </c>
      <c r="H96" s="3">
        <v>45849</v>
      </c>
    </row>
    <row r="97" spans="1:8" x14ac:dyDescent="0.25">
      <c r="A97" t="s">
        <v>132</v>
      </c>
      <c r="B97">
        <v>61</v>
      </c>
      <c r="C97" t="s">
        <v>9</v>
      </c>
      <c r="D97" t="s">
        <v>10</v>
      </c>
      <c r="E97" t="s">
        <v>10</v>
      </c>
      <c r="F97" t="s">
        <v>53</v>
      </c>
      <c r="G97" t="s">
        <v>12</v>
      </c>
      <c r="H97" s="3">
        <v>45063</v>
      </c>
    </row>
    <row r="98" spans="1:8" x14ac:dyDescent="0.25">
      <c r="A98" t="s">
        <v>133</v>
      </c>
      <c r="B98">
        <v>64</v>
      </c>
      <c r="C98" t="s">
        <v>24</v>
      </c>
      <c r="D98" t="s">
        <v>25</v>
      </c>
      <c r="E98" t="s">
        <v>26</v>
      </c>
      <c r="F98" t="s">
        <v>27</v>
      </c>
      <c r="G98" t="s">
        <v>22</v>
      </c>
      <c r="H98" s="3">
        <v>45293</v>
      </c>
    </row>
    <row r="99" spans="1:8" x14ac:dyDescent="0.25">
      <c r="A99" t="s">
        <v>134</v>
      </c>
      <c r="B99">
        <v>27</v>
      </c>
      <c r="C99" t="s">
        <v>9</v>
      </c>
      <c r="D99" t="s">
        <v>10</v>
      </c>
      <c r="E99" t="s">
        <v>10</v>
      </c>
      <c r="F99" t="s">
        <v>53</v>
      </c>
      <c r="G99" t="s">
        <v>12</v>
      </c>
      <c r="H99" s="3">
        <v>45838</v>
      </c>
    </row>
    <row r="100" spans="1:8" x14ac:dyDescent="0.25">
      <c r="A100" t="s">
        <v>135</v>
      </c>
      <c r="B100">
        <v>47</v>
      </c>
      <c r="C100" t="s">
        <v>24</v>
      </c>
      <c r="D100" t="s">
        <v>10</v>
      </c>
      <c r="E100" t="s">
        <v>10</v>
      </c>
      <c r="F100" t="s">
        <v>29</v>
      </c>
      <c r="G100" t="s">
        <v>12</v>
      </c>
      <c r="H100" s="3">
        <v>45110</v>
      </c>
    </row>
    <row r="101" spans="1:8" x14ac:dyDescent="0.25">
      <c r="A101" t="s">
        <v>136</v>
      </c>
      <c r="B101">
        <v>42</v>
      </c>
      <c r="C101" t="s">
        <v>9</v>
      </c>
      <c r="D101" t="s">
        <v>10</v>
      </c>
      <c r="E101" t="s">
        <v>10</v>
      </c>
      <c r="F101" t="s">
        <v>29</v>
      </c>
      <c r="G101" t="s">
        <v>12</v>
      </c>
      <c r="H101" s="3">
        <v>45398</v>
      </c>
    </row>
    <row r="102" spans="1:8" x14ac:dyDescent="0.25">
      <c r="A102" t="s">
        <v>137</v>
      </c>
      <c r="B102">
        <v>56</v>
      </c>
      <c r="C102" t="s">
        <v>9</v>
      </c>
      <c r="D102" t="s">
        <v>10</v>
      </c>
      <c r="E102" t="s">
        <v>10</v>
      </c>
      <c r="F102" t="s">
        <v>29</v>
      </c>
      <c r="G102" t="s">
        <v>12</v>
      </c>
      <c r="H102" s="3">
        <v>45580</v>
      </c>
    </row>
    <row r="103" spans="1:8" x14ac:dyDescent="0.25">
      <c r="A103" t="s">
        <v>138</v>
      </c>
      <c r="B103">
        <v>37</v>
      </c>
      <c r="C103" t="s">
        <v>9</v>
      </c>
      <c r="D103" t="s">
        <v>25</v>
      </c>
      <c r="E103" t="s">
        <v>38</v>
      </c>
      <c r="F103" t="s">
        <v>39</v>
      </c>
      <c r="G103" t="s">
        <v>12</v>
      </c>
      <c r="H103" s="3">
        <v>45675</v>
      </c>
    </row>
    <row r="104" spans="1:8" x14ac:dyDescent="0.25">
      <c r="A104" t="s">
        <v>139</v>
      </c>
      <c r="B104">
        <v>22</v>
      </c>
      <c r="C104" t="s">
        <v>24</v>
      </c>
      <c r="D104" t="s">
        <v>10</v>
      </c>
      <c r="E104" t="s">
        <v>10</v>
      </c>
      <c r="F104" t="s">
        <v>11</v>
      </c>
      <c r="G104" t="s">
        <v>22</v>
      </c>
      <c r="H104" s="3">
        <v>45463</v>
      </c>
    </row>
    <row r="105" spans="1:8" x14ac:dyDescent="0.25">
      <c r="A105" t="s">
        <v>140</v>
      </c>
      <c r="B105">
        <v>18</v>
      </c>
      <c r="C105" t="s">
        <v>24</v>
      </c>
      <c r="D105" t="s">
        <v>25</v>
      </c>
      <c r="E105" t="s">
        <v>26</v>
      </c>
      <c r="F105" t="s">
        <v>27</v>
      </c>
      <c r="G105" t="s">
        <v>12</v>
      </c>
      <c r="H105" s="3">
        <v>45728</v>
      </c>
    </row>
    <row r="106" spans="1:8" x14ac:dyDescent="0.25">
      <c r="A106" t="s">
        <v>141</v>
      </c>
      <c r="B106">
        <v>47</v>
      </c>
      <c r="C106" t="s">
        <v>24</v>
      </c>
      <c r="D106" t="s">
        <v>33</v>
      </c>
      <c r="E106" t="s">
        <v>34</v>
      </c>
      <c r="F106" t="s">
        <v>35</v>
      </c>
      <c r="G106" t="s">
        <v>12</v>
      </c>
      <c r="H106" s="3">
        <v>46200</v>
      </c>
    </row>
    <row r="107" spans="1:8" x14ac:dyDescent="0.25">
      <c r="A107" t="s">
        <v>142</v>
      </c>
      <c r="B107">
        <v>20</v>
      </c>
      <c r="C107" t="s">
        <v>24</v>
      </c>
      <c r="D107" t="s">
        <v>10</v>
      </c>
      <c r="E107" t="s">
        <v>10</v>
      </c>
      <c r="F107" t="s">
        <v>47</v>
      </c>
      <c r="G107" t="s">
        <v>22</v>
      </c>
      <c r="H107" s="3">
        <v>45846</v>
      </c>
    </row>
    <row r="108" spans="1:8" x14ac:dyDescent="0.25">
      <c r="A108" t="s">
        <v>143</v>
      </c>
      <c r="B108">
        <v>62</v>
      </c>
      <c r="C108" t="s">
        <v>9</v>
      </c>
      <c r="D108" t="s">
        <v>10</v>
      </c>
      <c r="E108" t="s">
        <v>10</v>
      </c>
      <c r="F108" t="s">
        <v>53</v>
      </c>
      <c r="G108" t="s">
        <v>22</v>
      </c>
      <c r="H108" s="3">
        <v>45436</v>
      </c>
    </row>
    <row r="109" spans="1:8" x14ac:dyDescent="0.25">
      <c r="A109" t="s">
        <v>144</v>
      </c>
      <c r="B109">
        <v>31</v>
      </c>
      <c r="C109" t="s">
        <v>24</v>
      </c>
      <c r="D109" t="s">
        <v>19</v>
      </c>
      <c r="E109" t="s">
        <v>20</v>
      </c>
      <c r="F109" t="s">
        <v>21</v>
      </c>
      <c r="G109" t="s">
        <v>17</v>
      </c>
      <c r="H109" s="3">
        <v>45556</v>
      </c>
    </row>
    <row r="110" spans="1:8" x14ac:dyDescent="0.25">
      <c r="A110" t="s">
        <v>145</v>
      </c>
      <c r="B110">
        <v>47</v>
      </c>
      <c r="C110" t="s">
        <v>9</v>
      </c>
      <c r="D110" t="s">
        <v>10</v>
      </c>
      <c r="E110" t="s">
        <v>10</v>
      </c>
      <c r="F110" t="s">
        <v>47</v>
      </c>
      <c r="G110" t="s">
        <v>12</v>
      </c>
      <c r="H110" s="3">
        <v>45928</v>
      </c>
    </row>
    <row r="111" spans="1:8" x14ac:dyDescent="0.25">
      <c r="A111" t="s">
        <v>146</v>
      </c>
      <c r="B111">
        <v>21</v>
      </c>
      <c r="C111" t="s">
        <v>24</v>
      </c>
      <c r="D111" t="s">
        <v>10</v>
      </c>
      <c r="E111" t="s">
        <v>10</v>
      </c>
      <c r="F111" t="s">
        <v>29</v>
      </c>
      <c r="G111" t="s">
        <v>17</v>
      </c>
      <c r="H111" s="3">
        <v>46023</v>
      </c>
    </row>
    <row r="112" spans="1:8" x14ac:dyDescent="0.25">
      <c r="A112" t="s">
        <v>147</v>
      </c>
      <c r="B112">
        <v>35</v>
      </c>
      <c r="C112" t="s">
        <v>9</v>
      </c>
      <c r="D112" t="s">
        <v>10</v>
      </c>
      <c r="E112" t="s">
        <v>10</v>
      </c>
      <c r="F112" t="s">
        <v>11</v>
      </c>
      <c r="G112" t="s">
        <v>12</v>
      </c>
      <c r="H112" s="3">
        <v>45842</v>
      </c>
    </row>
    <row r="113" spans="1:8" x14ac:dyDescent="0.25">
      <c r="A113" t="s">
        <v>148</v>
      </c>
      <c r="B113">
        <v>54</v>
      </c>
      <c r="C113" t="s">
        <v>24</v>
      </c>
      <c r="D113" t="s">
        <v>10</v>
      </c>
      <c r="E113" t="s">
        <v>10</v>
      </c>
      <c r="F113" t="s">
        <v>47</v>
      </c>
      <c r="G113" t="s">
        <v>12</v>
      </c>
      <c r="H113" s="3">
        <v>45960</v>
      </c>
    </row>
    <row r="114" spans="1:8" x14ac:dyDescent="0.25">
      <c r="A114" t="s">
        <v>149</v>
      </c>
      <c r="B114">
        <v>42</v>
      </c>
      <c r="C114" t="s">
        <v>9</v>
      </c>
      <c r="D114" t="s">
        <v>33</v>
      </c>
      <c r="E114" t="s">
        <v>34</v>
      </c>
      <c r="F114" t="s">
        <v>35</v>
      </c>
      <c r="G114" t="s">
        <v>12</v>
      </c>
      <c r="H114" s="3">
        <v>46161</v>
      </c>
    </row>
    <row r="115" spans="1:8" x14ac:dyDescent="0.25">
      <c r="A115" t="s">
        <v>150</v>
      </c>
      <c r="B115">
        <v>65</v>
      </c>
      <c r="C115" t="s">
        <v>9</v>
      </c>
      <c r="D115" t="s">
        <v>43</v>
      </c>
      <c r="E115" t="s">
        <v>44</v>
      </c>
      <c r="F115" t="s">
        <v>45</v>
      </c>
      <c r="G115" t="s">
        <v>78</v>
      </c>
      <c r="H115" s="3">
        <v>45078</v>
      </c>
    </row>
    <row r="116" spans="1:8" x14ac:dyDescent="0.25">
      <c r="A116" t="s">
        <v>151</v>
      </c>
      <c r="B116">
        <v>18</v>
      </c>
      <c r="C116" t="s">
        <v>24</v>
      </c>
      <c r="D116" t="s">
        <v>25</v>
      </c>
      <c r="E116" t="s">
        <v>38</v>
      </c>
      <c r="F116" t="s">
        <v>39</v>
      </c>
      <c r="G116" t="s">
        <v>12</v>
      </c>
      <c r="H116" s="3">
        <v>45955</v>
      </c>
    </row>
    <row r="117" spans="1:8" x14ac:dyDescent="0.25">
      <c r="A117" t="s">
        <v>152</v>
      </c>
      <c r="B117">
        <v>63</v>
      </c>
      <c r="C117" t="s">
        <v>9</v>
      </c>
      <c r="D117" t="s">
        <v>33</v>
      </c>
      <c r="E117" t="s">
        <v>34</v>
      </c>
      <c r="F117" t="s">
        <v>35</v>
      </c>
      <c r="G117" t="s">
        <v>12</v>
      </c>
      <c r="H117" s="3">
        <v>46145</v>
      </c>
    </row>
    <row r="118" spans="1:8" x14ac:dyDescent="0.25">
      <c r="A118" t="s">
        <v>153</v>
      </c>
      <c r="B118">
        <v>32</v>
      </c>
      <c r="C118" t="s">
        <v>9</v>
      </c>
      <c r="D118" t="s">
        <v>43</v>
      </c>
      <c r="E118" t="s">
        <v>44</v>
      </c>
      <c r="F118" t="s">
        <v>45</v>
      </c>
      <c r="G118" t="s">
        <v>12</v>
      </c>
      <c r="H118" s="3">
        <v>45390</v>
      </c>
    </row>
    <row r="119" spans="1:8" x14ac:dyDescent="0.25">
      <c r="A119" t="s">
        <v>154</v>
      </c>
      <c r="B119">
        <v>26</v>
      </c>
      <c r="C119" t="s">
        <v>9</v>
      </c>
      <c r="D119" t="s">
        <v>10</v>
      </c>
      <c r="E119" t="s">
        <v>10</v>
      </c>
      <c r="F119" t="s">
        <v>47</v>
      </c>
      <c r="G119" t="s">
        <v>12</v>
      </c>
      <c r="H119" s="3">
        <v>46063</v>
      </c>
    </row>
    <row r="120" spans="1:8" x14ac:dyDescent="0.25">
      <c r="A120" t="s">
        <v>155</v>
      </c>
      <c r="B120">
        <v>32</v>
      </c>
      <c r="C120" t="s">
        <v>9</v>
      </c>
      <c r="D120" t="s">
        <v>33</v>
      </c>
      <c r="E120" t="s">
        <v>34</v>
      </c>
      <c r="F120" t="s">
        <v>35</v>
      </c>
      <c r="G120" t="s">
        <v>17</v>
      </c>
      <c r="H120" s="3">
        <v>45197</v>
      </c>
    </row>
    <row r="121" spans="1:8" x14ac:dyDescent="0.25">
      <c r="A121" t="s">
        <v>156</v>
      </c>
      <c r="B121">
        <v>41</v>
      </c>
      <c r="C121" t="s">
        <v>24</v>
      </c>
      <c r="D121" t="s">
        <v>25</v>
      </c>
      <c r="E121" t="s">
        <v>26</v>
      </c>
      <c r="F121" t="s">
        <v>27</v>
      </c>
      <c r="G121" t="s">
        <v>12</v>
      </c>
      <c r="H121" s="3">
        <v>46113</v>
      </c>
    </row>
    <row r="122" spans="1:8" x14ac:dyDescent="0.25">
      <c r="A122" t="s">
        <v>157</v>
      </c>
      <c r="B122">
        <v>21</v>
      </c>
      <c r="C122" t="s">
        <v>24</v>
      </c>
      <c r="D122" t="s">
        <v>43</v>
      </c>
      <c r="E122" t="s">
        <v>44</v>
      </c>
      <c r="F122" t="s">
        <v>45</v>
      </c>
      <c r="G122" t="s">
        <v>22</v>
      </c>
      <c r="H122" s="3">
        <v>45386</v>
      </c>
    </row>
    <row r="123" spans="1:8" x14ac:dyDescent="0.25">
      <c r="A123" t="s">
        <v>158</v>
      </c>
      <c r="B123">
        <v>29</v>
      </c>
      <c r="C123" t="s">
        <v>24</v>
      </c>
      <c r="D123" t="s">
        <v>33</v>
      </c>
      <c r="E123" t="s">
        <v>34</v>
      </c>
      <c r="F123" t="s">
        <v>35</v>
      </c>
      <c r="G123" t="s">
        <v>12</v>
      </c>
      <c r="H123" s="3">
        <v>45031</v>
      </c>
    </row>
    <row r="124" spans="1:8" x14ac:dyDescent="0.25">
      <c r="A124" t="s">
        <v>159</v>
      </c>
      <c r="B124">
        <v>54</v>
      </c>
      <c r="C124" t="s">
        <v>24</v>
      </c>
      <c r="D124" t="s">
        <v>10</v>
      </c>
      <c r="E124" t="s">
        <v>10</v>
      </c>
      <c r="F124" t="s">
        <v>11</v>
      </c>
      <c r="G124" t="s">
        <v>12</v>
      </c>
      <c r="H124" s="3">
        <v>45088</v>
      </c>
    </row>
    <row r="125" spans="1:8" x14ac:dyDescent="0.25">
      <c r="A125" t="s">
        <v>160</v>
      </c>
      <c r="B125">
        <v>54</v>
      </c>
      <c r="C125" t="s">
        <v>9</v>
      </c>
      <c r="D125" t="s">
        <v>10</v>
      </c>
      <c r="E125" t="s">
        <v>10</v>
      </c>
      <c r="F125" t="s">
        <v>29</v>
      </c>
      <c r="G125" t="s">
        <v>12</v>
      </c>
      <c r="H125" s="3">
        <v>45277</v>
      </c>
    </row>
    <row r="126" spans="1:8" x14ac:dyDescent="0.25">
      <c r="A126" t="s">
        <v>161</v>
      </c>
      <c r="B126">
        <v>60</v>
      </c>
      <c r="C126" t="s">
        <v>24</v>
      </c>
      <c r="D126" t="s">
        <v>10</v>
      </c>
      <c r="E126" t="s">
        <v>10</v>
      </c>
      <c r="F126" t="s">
        <v>47</v>
      </c>
      <c r="G126" t="s">
        <v>17</v>
      </c>
      <c r="H126" s="3">
        <v>45360</v>
      </c>
    </row>
    <row r="127" spans="1:8" x14ac:dyDescent="0.25">
      <c r="A127" t="s">
        <v>162</v>
      </c>
      <c r="B127">
        <v>23</v>
      </c>
      <c r="C127" t="s">
        <v>9</v>
      </c>
      <c r="D127" t="s">
        <v>10</v>
      </c>
      <c r="E127" t="s">
        <v>10</v>
      </c>
      <c r="F127" t="s">
        <v>53</v>
      </c>
      <c r="G127" t="s">
        <v>12</v>
      </c>
      <c r="H127" s="3">
        <v>45778</v>
      </c>
    </row>
    <row r="128" spans="1:8" x14ac:dyDescent="0.25">
      <c r="A128" t="s">
        <v>163</v>
      </c>
      <c r="B128">
        <v>56</v>
      </c>
      <c r="C128" t="s">
        <v>9</v>
      </c>
      <c r="D128" t="s">
        <v>43</v>
      </c>
      <c r="E128" t="s">
        <v>44</v>
      </c>
      <c r="F128" t="s">
        <v>45</v>
      </c>
      <c r="G128" t="s">
        <v>12</v>
      </c>
      <c r="H128" s="3">
        <v>45066</v>
      </c>
    </row>
    <row r="129" spans="1:8" x14ac:dyDescent="0.25">
      <c r="A129" t="s">
        <v>164</v>
      </c>
      <c r="B129">
        <v>63</v>
      </c>
      <c r="C129" t="s">
        <v>24</v>
      </c>
      <c r="D129" t="s">
        <v>33</v>
      </c>
      <c r="E129" t="s">
        <v>34</v>
      </c>
      <c r="F129" t="s">
        <v>35</v>
      </c>
      <c r="G129" t="s">
        <v>12</v>
      </c>
      <c r="H129" s="3">
        <v>46082</v>
      </c>
    </row>
    <row r="130" spans="1:8" x14ac:dyDescent="0.25">
      <c r="A130" t="s">
        <v>165</v>
      </c>
      <c r="B130">
        <v>41</v>
      </c>
      <c r="C130" t="s">
        <v>9</v>
      </c>
      <c r="D130" t="s">
        <v>10</v>
      </c>
      <c r="E130" t="s">
        <v>10</v>
      </c>
      <c r="F130" t="s">
        <v>29</v>
      </c>
      <c r="G130" t="s">
        <v>17</v>
      </c>
      <c r="H130" s="3">
        <v>45013</v>
      </c>
    </row>
    <row r="131" spans="1:8" x14ac:dyDescent="0.25">
      <c r="A131" t="s">
        <v>166</v>
      </c>
      <c r="B131">
        <v>28</v>
      </c>
      <c r="C131" t="s">
        <v>24</v>
      </c>
      <c r="D131" t="s">
        <v>25</v>
      </c>
      <c r="E131" t="s">
        <v>26</v>
      </c>
      <c r="F131" t="s">
        <v>27</v>
      </c>
      <c r="G131" t="s">
        <v>22</v>
      </c>
      <c r="H131" s="3">
        <v>45109</v>
      </c>
    </row>
    <row r="132" spans="1:8" x14ac:dyDescent="0.25">
      <c r="A132" t="s">
        <v>167</v>
      </c>
      <c r="B132">
        <v>30</v>
      </c>
      <c r="C132" t="s">
        <v>9</v>
      </c>
      <c r="D132" t="s">
        <v>10</v>
      </c>
      <c r="E132" t="s">
        <v>10</v>
      </c>
      <c r="F132" t="s">
        <v>53</v>
      </c>
      <c r="G132" t="s">
        <v>78</v>
      </c>
      <c r="H132" s="3">
        <v>45294</v>
      </c>
    </row>
    <row r="133" spans="1:8" x14ac:dyDescent="0.25">
      <c r="A133" t="s">
        <v>168</v>
      </c>
      <c r="B133">
        <v>51</v>
      </c>
      <c r="C133" t="s">
        <v>24</v>
      </c>
      <c r="D133" t="s">
        <v>10</v>
      </c>
      <c r="E133" t="s">
        <v>10</v>
      </c>
      <c r="F133" t="s">
        <v>47</v>
      </c>
      <c r="G133" t="s">
        <v>22</v>
      </c>
      <c r="H133" s="3">
        <v>45055</v>
      </c>
    </row>
    <row r="134" spans="1:8" x14ac:dyDescent="0.25">
      <c r="A134" t="s">
        <v>169</v>
      </c>
      <c r="B134">
        <v>42</v>
      </c>
      <c r="C134" t="s">
        <v>24</v>
      </c>
      <c r="D134" t="s">
        <v>10</v>
      </c>
      <c r="E134" t="s">
        <v>10</v>
      </c>
      <c r="F134" t="s">
        <v>29</v>
      </c>
      <c r="G134" t="s">
        <v>22</v>
      </c>
      <c r="H134" s="3">
        <v>46196</v>
      </c>
    </row>
    <row r="135" spans="1:8" x14ac:dyDescent="0.25">
      <c r="A135" t="s">
        <v>170</v>
      </c>
      <c r="B135">
        <v>24</v>
      </c>
      <c r="C135" t="s">
        <v>24</v>
      </c>
      <c r="D135" t="s">
        <v>10</v>
      </c>
      <c r="E135" t="s">
        <v>10</v>
      </c>
      <c r="F135" t="s">
        <v>11</v>
      </c>
      <c r="G135" t="s">
        <v>12</v>
      </c>
      <c r="H135" s="3">
        <v>45596</v>
      </c>
    </row>
    <row r="136" spans="1:8" x14ac:dyDescent="0.25">
      <c r="A136" t="s">
        <v>171</v>
      </c>
      <c r="B136">
        <v>21</v>
      </c>
      <c r="C136" t="s">
        <v>24</v>
      </c>
      <c r="D136" t="s">
        <v>14</v>
      </c>
      <c r="E136" t="s">
        <v>15</v>
      </c>
      <c r="F136" t="s">
        <v>16</v>
      </c>
      <c r="G136" t="s">
        <v>78</v>
      </c>
      <c r="H136" s="3">
        <v>45075</v>
      </c>
    </row>
    <row r="137" spans="1:8" x14ac:dyDescent="0.25">
      <c r="A137" t="s">
        <v>172</v>
      </c>
      <c r="B137">
        <v>25</v>
      </c>
      <c r="C137" t="s">
        <v>24</v>
      </c>
      <c r="D137" t="s">
        <v>10</v>
      </c>
      <c r="E137" t="s">
        <v>10</v>
      </c>
      <c r="F137" t="s">
        <v>11</v>
      </c>
      <c r="G137" t="s">
        <v>12</v>
      </c>
      <c r="H137" s="3">
        <v>45911</v>
      </c>
    </row>
    <row r="138" spans="1:8" x14ac:dyDescent="0.25">
      <c r="A138" t="s">
        <v>173</v>
      </c>
      <c r="B138">
        <v>37</v>
      </c>
      <c r="C138" t="s">
        <v>9</v>
      </c>
      <c r="D138" t="s">
        <v>25</v>
      </c>
      <c r="E138" t="s">
        <v>26</v>
      </c>
      <c r="F138" t="s">
        <v>27</v>
      </c>
      <c r="G138" t="s">
        <v>78</v>
      </c>
      <c r="H138" s="3">
        <v>45778</v>
      </c>
    </row>
    <row r="139" spans="1:8" x14ac:dyDescent="0.25">
      <c r="A139" t="s">
        <v>174</v>
      </c>
      <c r="B139">
        <v>46</v>
      </c>
      <c r="C139" t="s">
        <v>24</v>
      </c>
      <c r="D139" t="s">
        <v>25</v>
      </c>
      <c r="E139" t="s">
        <v>38</v>
      </c>
      <c r="F139" t="s">
        <v>39</v>
      </c>
      <c r="G139" t="s">
        <v>78</v>
      </c>
      <c r="H139" s="3">
        <v>45554</v>
      </c>
    </row>
    <row r="140" spans="1:8" x14ac:dyDescent="0.25">
      <c r="A140" t="s">
        <v>175</v>
      </c>
      <c r="B140">
        <v>62</v>
      </c>
      <c r="C140" t="s">
        <v>9</v>
      </c>
      <c r="D140" t="s">
        <v>10</v>
      </c>
      <c r="E140" t="s">
        <v>10</v>
      </c>
      <c r="F140" t="s">
        <v>11</v>
      </c>
      <c r="G140" t="s">
        <v>22</v>
      </c>
      <c r="H140" s="3">
        <v>45372</v>
      </c>
    </row>
    <row r="141" spans="1:8" x14ac:dyDescent="0.25">
      <c r="A141" t="s">
        <v>176</v>
      </c>
      <c r="B141">
        <v>63</v>
      </c>
      <c r="C141" t="s">
        <v>24</v>
      </c>
      <c r="D141" t="s">
        <v>14</v>
      </c>
      <c r="E141" t="s">
        <v>15</v>
      </c>
      <c r="F141" t="s">
        <v>16</v>
      </c>
      <c r="G141" t="s">
        <v>78</v>
      </c>
      <c r="H141" s="3">
        <v>45810</v>
      </c>
    </row>
    <row r="142" spans="1:8" x14ac:dyDescent="0.25">
      <c r="A142" t="s">
        <v>177</v>
      </c>
      <c r="B142">
        <v>27</v>
      </c>
      <c r="C142" t="s">
        <v>24</v>
      </c>
      <c r="D142" t="s">
        <v>14</v>
      </c>
      <c r="E142" t="s">
        <v>15</v>
      </c>
      <c r="F142" t="s">
        <v>16</v>
      </c>
      <c r="G142" t="s">
        <v>12</v>
      </c>
      <c r="H142" s="3">
        <v>45220</v>
      </c>
    </row>
    <row r="143" spans="1:8" x14ac:dyDescent="0.25">
      <c r="A143" t="s">
        <v>178</v>
      </c>
      <c r="B143">
        <v>60</v>
      </c>
      <c r="C143" t="s">
        <v>24</v>
      </c>
      <c r="D143" t="s">
        <v>10</v>
      </c>
      <c r="E143" t="s">
        <v>10</v>
      </c>
      <c r="F143" t="s">
        <v>47</v>
      </c>
      <c r="G143" t="s">
        <v>12</v>
      </c>
      <c r="H143" s="3">
        <v>46093</v>
      </c>
    </row>
    <row r="144" spans="1:8" x14ac:dyDescent="0.25">
      <c r="A144" t="s">
        <v>179</v>
      </c>
      <c r="B144">
        <v>51</v>
      </c>
      <c r="C144" t="s">
        <v>9</v>
      </c>
      <c r="D144" t="s">
        <v>10</v>
      </c>
      <c r="E144" t="s">
        <v>10</v>
      </c>
      <c r="F144" t="s">
        <v>53</v>
      </c>
      <c r="G144" t="s">
        <v>12</v>
      </c>
      <c r="H144" s="3">
        <v>45176</v>
      </c>
    </row>
    <row r="145" spans="1:8" x14ac:dyDescent="0.25">
      <c r="A145" t="s">
        <v>180</v>
      </c>
      <c r="B145">
        <v>43</v>
      </c>
      <c r="C145" t="s">
        <v>9</v>
      </c>
      <c r="D145" t="s">
        <v>10</v>
      </c>
      <c r="E145" t="s">
        <v>10</v>
      </c>
      <c r="F145" t="s">
        <v>11</v>
      </c>
      <c r="G145" t="s">
        <v>12</v>
      </c>
      <c r="H145" s="3">
        <v>45804</v>
      </c>
    </row>
    <row r="146" spans="1:8" x14ac:dyDescent="0.25">
      <c r="A146" t="s">
        <v>181</v>
      </c>
      <c r="B146">
        <v>58</v>
      </c>
      <c r="C146" t="s">
        <v>24</v>
      </c>
      <c r="D146" t="s">
        <v>10</v>
      </c>
      <c r="E146" t="s">
        <v>10</v>
      </c>
      <c r="F146" t="s">
        <v>11</v>
      </c>
      <c r="G146" t="s">
        <v>17</v>
      </c>
      <c r="H146" s="3">
        <v>45874</v>
      </c>
    </row>
    <row r="147" spans="1:8" x14ac:dyDescent="0.25">
      <c r="A147" t="s">
        <v>182</v>
      </c>
      <c r="B147">
        <v>20</v>
      </c>
      <c r="C147" t="s">
        <v>9</v>
      </c>
      <c r="D147" t="s">
        <v>10</v>
      </c>
      <c r="E147" t="s">
        <v>10</v>
      </c>
      <c r="F147" t="s">
        <v>29</v>
      </c>
      <c r="G147" t="s">
        <v>12</v>
      </c>
      <c r="H147" s="3">
        <v>45901</v>
      </c>
    </row>
    <row r="148" spans="1:8" x14ac:dyDescent="0.25">
      <c r="A148" t="s">
        <v>183</v>
      </c>
      <c r="B148">
        <v>23</v>
      </c>
      <c r="C148" t="s">
        <v>9</v>
      </c>
      <c r="D148" t="s">
        <v>25</v>
      </c>
      <c r="E148" t="s">
        <v>26</v>
      </c>
      <c r="F148" t="s">
        <v>27</v>
      </c>
      <c r="G148" t="s">
        <v>78</v>
      </c>
      <c r="H148" s="3">
        <v>45975</v>
      </c>
    </row>
    <row r="149" spans="1:8" x14ac:dyDescent="0.25">
      <c r="A149" t="s">
        <v>184</v>
      </c>
      <c r="B149">
        <v>22</v>
      </c>
      <c r="C149" t="s">
        <v>9</v>
      </c>
      <c r="D149" t="s">
        <v>25</v>
      </c>
      <c r="E149" t="s">
        <v>26</v>
      </c>
      <c r="F149" t="s">
        <v>27</v>
      </c>
      <c r="G149" t="s">
        <v>12</v>
      </c>
      <c r="H149" s="3">
        <v>45715</v>
      </c>
    </row>
    <row r="150" spans="1:8" x14ac:dyDescent="0.25">
      <c r="A150" t="s">
        <v>185</v>
      </c>
      <c r="B150">
        <v>22</v>
      </c>
      <c r="C150" t="s">
        <v>24</v>
      </c>
      <c r="D150" t="s">
        <v>10</v>
      </c>
      <c r="E150" t="s">
        <v>10</v>
      </c>
      <c r="F150" t="s">
        <v>29</v>
      </c>
      <c r="G150" t="s">
        <v>22</v>
      </c>
      <c r="H150" s="3">
        <v>45910</v>
      </c>
    </row>
    <row r="151" spans="1:8" x14ac:dyDescent="0.25">
      <c r="A151" t="s">
        <v>186</v>
      </c>
      <c r="B151">
        <v>64</v>
      </c>
      <c r="C151" t="s">
        <v>24</v>
      </c>
      <c r="D151" t="s">
        <v>10</v>
      </c>
      <c r="E151" t="s">
        <v>10</v>
      </c>
      <c r="F151" t="s">
        <v>47</v>
      </c>
      <c r="G151" t="s">
        <v>22</v>
      </c>
      <c r="H151" s="3">
        <v>45815</v>
      </c>
    </row>
    <row r="152" spans="1:8" x14ac:dyDescent="0.25">
      <c r="A152" t="s">
        <v>187</v>
      </c>
      <c r="B152">
        <v>40</v>
      </c>
      <c r="C152" t="s">
        <v>9</v>
      </c>
      <c r="D152" t="s">
        <v>33</v>
      </c>
      <c r="E152" t="s">
        <v>34</v>
      </c>
      <c r="F152" t="s">
        <v>35</v>
      </c>
      <c r="G152" t="s">
        <v>78</v>
      </c>
      <c r="H152" s="3">
        <v>45816</v>
      </c>
    </row>
    <row r="153" spans="1:8" x14ac:dyDescent="0.25">
      <c r="A153" t="s">
        <v>188</v>
      </c>
      <c r="B153">
        <v>26</v>
      </c>
      <c r="C153" t="s">
        <v>9</v>
      </c>
      <c r="D153" t="s">
        <v>10</v>
      </c>
      <c r="E153" t="s">
        <v>10</v>
      </c>
      <c r="F153" t="s">
        <v>47</v>
      </c>
      <c r="G153" t="s">
        <v>78</v>
      </c>
      <c r="H153" s="3">
        <v>44996</v>
      </c>
    </row>
    <row r="154" spans="1:8" x14ac:dyDescent="0.25">
      <c r="A154" t="s">
        <v>189</v>
      </c>
      <c r="B154">
        <v>52</v>
      </c>
      <c r="C154" t="s">
        <v>9</v>
      </c>
      <c r="D154" t="s">
        <v>10</v>
      </c>
      <c r="E154" t="s">
        <v>10</v>
      </c>
      <c r="F154" t="s">
        <v>29</v>
      </c>
      <c r="G154" t="s">
        <v>12</v>
      </c>
      <c r="H154" s="3">
        <v>45551</v>
      </c>
    </row>
    <row r="155" spans="1:8" x14ac:dyDescent="0.25">
      <c r="A155" t="s">
        <v>190</v>
      </c>
      <c r="B155">
        <v>37</v>
      </c>
      <c r="C155" t="s">
        <v>24</v>
      </c>
      <c r="D155" t="s">
        <v>10</v>
      </c>
      <c r="E155" t="s">
        <v>10</v>
      </c>
      <c r="F155" t="s">
        <v>53</v>
      </c>
      <c r="G155" t="s">
        <v>78</v>
      </c>
      <c r="H155" s="3">
        <v>45801</v>
      </c>
    </row>
    <row r="156" spans="1:8" x14ac:dyDescent="0.25">
      <c r="A156" t="s">
        <v>191</v>
      </c>
      <c r="B156">
        <v>59</v>
      </c>
      <c r="C156" t="s">
        <v>24</v>
      </c>
      <c r="D156" t="s">
        <v>14</v>
      </c>
      <c r="E156" t="s">
        <v>15</v>
      </c>
      <c r="F156" t="s">
        <v>16</v>
      </c>
      <c r="G156" t="s">
        <v>22</v>
      </c>
      <c r="H156" s="3">
        <v>46062</v>
      </c>
    </row>
    <row r="157" spans="1:8" x14ac:dyDescent="0.25">
      <c r="A157" t="s">
        <v>192</v>
      </c>
      <c r="B157">
        <v>52</v>
      </c>
      <c r="C157" t="s">
        <v>9</v>
      </c>
      <c r="D157" t="s">
        <v>10</v>
      </c>
      <c r="E157" t="s">
        <v>10</v>
      </c>
      <c r="F157" t="s">
        <v>47</v>
      </c>
      <c r="G157" t="s">
        <v>12</v>
      </c>
      <c r="H157" s="3">
        <v>45397</v>
      </c>
    </row>
    <row r="158" spans="1:8" x14ac:dyDescent="0.25">
      <c r="A158" t="s">
        <v>193</v>
      </c>
      <c r="B158">
        <v>35</v>
      </c>
      <c r="C158" t="s">
        <v>9</v>
      </c>
      <c r="D158" t="s">
        <v>25</v>
      </c>
      <c r="E158" t="s">
        <v>38</v>
      </c>
      <c r="F158" t="s">
        <v>39</v>
      </c>
      <c r="G158" t="s">
        <v>12</v>
      </c>
      <c r="H158" s="3">
        <v>45017</v>
      </c>
    </row>
    <row r="159" spans="1:8" x14ac:dyDescent="0.25">
      <c r="A159" t="s">
        <v>194</v>
      </c>
      <c r="B159">
        <v>34</v>
      </c>
      <c r="C159" t="s">
        <v>9</v>
      </c>
      <c r="D159" t="s">
        <v>19</v>
      </c>
      <c r="E159" t="s">
        <v>20</v>
      </c>
      <c r="F159" t="s">
        <v>21</v>
      </c>
      <c r="G159" t="s">
        <v>22</v>
      </c>
      <c r="H159" s="3">
        <v>45456</v>
      </c>
    </row>
    <row r="160" spans="1:8" x14ac:dyDescent="0.25">
      <c r="A160" t="s">
        <v>195</v>
      </c>
      <c r="B160">
        <v>41</v>
      </c>
      <c r="C160" t="s">
        <v>24</v>
      </c>
      <c r="D160" t="s">
        <v>10</v>
      </c>
      <c r="E160" t="s">
        <v>10</v>
      </c>
      <c r="F160" t="s">
        <v>47</v>
      </c>
      <c r="G160" t="s">
        <v>12</v>
      </c>
      <c r="H160" s="3">
        <v>45587</v>
      </c>
    </row>
    <row r="161" spans="1:8" x14ac:dyDescent="0.25">
      <c r="A161" t="s">
        <v>196</v>
      </c>
      <c r="B161">
        <v>20</v>
      </c>
      <c r="C161" t="s">
        <v>24</v>
      </c>
      <c r="D161" t="s">
        <v>19</v>
      </c>
      <c r="E161" t="s">
        <v>20</v>
      </c>
      <c r="F161" t="s">
        <v>21</v>
      </c>
      <c r="G161" t="s">
        <v>12</v>
      </c>
      <c r="H161" s="3">
        <v>45665</v>
      </c>
    </row>
    <row r="162" spans="1:8" x14ac:dyDescent="0.25">
      <c r="A162" t="s">
        <v>197</v>
      </c>
      <c r="B162">
        <v>49</v>
      </c>
      <c r="C162" t="s">
        <v>9</v>
      </c>
      <c r="D162" t="s">
        <v>10</v>
      </c>
      <c r="E162" t="s">
        <v>10</v>
      </c>
      <c r="F162" t="s">
        <v>11</v>
      </c>
      <c r="G162" t="s">
        <v>12</v>
      </c>
      <c r="H162" s="3">
        <v>45652</v>
      </c>
    </row>
    <row r="163" spans="1:8" x14ac:dyDescent="0.25">
      <c r="A163" t="s">
        <v>198</v>
      </c>
      <c r="B163">
        <v>52</v>
      </c>
      <c r="C163" t="s">
        <v>9</v>
      </c>
      <c r="D163" t="s">
        <v>25</v>
      </c>
      <c r="E163" t="s">
        <v>38</v>
      </c>
      <c r="F163" t="s">
        <v>39</v>
      </c>
      <c r="G163" t="s">
        <v>12</v>
      </c>
      <c r="H163" s="3">
        <v>45798</v>
      </c>
    </row>
    <row r="164" spans="1:8" x14ac:dyDescent="0.25">
      <c r="A164" t="s">
        <v>199</v>
      </c>
      <c r="B164">
        <v>55</v>
      </c>
      <c r="C164" t="s">
        <v>9</v>
      </c>
      <c r="D164" t="s">
        <v>25</v>
      </c>
      <c r="E164" t="s">
        <v>38</v>
      </c>
      <c r="F164" t="s">
        <v>39</v>
      </c>
      <c r="G164" t="s">
        <v>12</v>
      </c>
      <c r="H164" s="3">
        <v>45118</v>
      </c>
    </row>
    <row r="165" spans="1:8" x14ac:dyDescent="0.25">
      <c r="A165" t="s">
        <v>200</v>
      </c>
      <c r="B165">
        <v>30</v>
      </c>
      <c r="C165" t="s">
        <v>24</v>
      </c>
      <c r="D165" t="s">
        <v>25</v>
      </c>
      <c r="E165" t="s">
        <v>26</v>
      </c>
      <c r="F165" t="s">
        <v>27</v>
      </c>
      <c r="G165" t="s">
        <v>22</v>
      </c>
      <c r="H165" s="3">
        <v>46192</v>
      </c>
    </row>
    <row r="166" spans="1:8" x14ac:dyDescent="0.25">
      <c r="A166" t="s">
        <v>201</v>
      </c>
      <c r="B166">
        <v>64</v>
      </c>
      <c r="C166" t="s">
        <v>9</v>
      </c>
      <c r="D166" t="s">
        <v>10</v>
      </c>
      <c r="E166" t="s">
        <v>10</v>
      </c>
      <c r="F166" t="s">
        <v>29</v>
      </c>
      <c r="G166" t="s">
        <v>12</v>
      </c>
      <c r="H166" s="3">
        <v>45064</v>
      </c>
    </row>
    <row r="167" spans="1:8" x14ac:dyDescent="0.25">
      <c r="A167" t="s">
        <v>202</v>
      </c>
      <c r="B167">
        <v>42</v>
      </c>
      <c r="C167" t="s">
        <v>24</v>
      </c>
      <c r="D167" t="s">
        <v>43</v>
      </c>
      <c r="E167" t="s">
        <v>44</v>
      </c>
      <c r="F167" t="s">
        <v>45</v>
      </c>
      <c r="G167" t="s">
        <v>17</v>
      </c>
      <c r="H167" s="3">
        <v>45271</v>
      </c>
    </row>
    <row r="168" spans="1:8" x14ac:dyDescent="0.25">
      <c r="A168" t="s">
        <v>203</v>
      </c>
      <c r="B168">
        <v>26</v>
      </c>
      <c r="C168" t="s">
        <v>24</v>
      </c>
      <c r="D168" t="s">
        <v>10</v>
      </c>
      <c r="E168" t="s">
        <v>10</v>
      </c>
      <c r="F168" t="s">
        <v>11</v>
      </c>
      <c r="G168" t="s">
        <v>17</v>
      </c>
      <c r="H168" s="3">
        <v>46130</v>
      </c>
    </row>
    <row r="169" spans="1:8" x14ac:dyDescent="0.25">
      <c r="A169" t="s">
        <v>204</v>
      </c>
      <c r="B169">
        <v>21</v>
      </c>
      <c r="C169" t="s">
        <v>9</v>
      </c>
      <c r="D169" t="s">
        <v>10</v>
      </c>
      <c r="E169" t="s">
        <v>10</v>
      </c>
      <c r="F169" t="s">
        <v>47</v>
      </c>
      <c r="G169" t="s">
        <v>12</v>
      </c>
      <c r="H169" s="3">
        <v>45935</v>
      </c>
    </row>
    <row r="170" spans="1:8" x14ac:dyDescent="0.25">
      <c r="A170" t="s">
        <v>205</v>
      </c>
      <c r="B170">
        <v>31</v>
      </c>
      <c r="C170" t="s">
        <v>9</v>
      </c>
      <c r="D170" t="s">
        <v>10</v>
      </c>
      <c r="E170" t="s">
        <v>10</v>
      </c>
      <c r="F170" t="s">
        <v>29</v>
      </c>
      <c r="G170" t="s">
        <v>22</v>
      </c>
      <c r="H170" s="3">
        <v>45429</v>
      </c>
    </row>
    <row r="171" spans="1:8" x14ac:dyDescent="0.25">
      <c r="A171" t="s">
        <v>206</v>
      </c>
      <c r="B171">
        <v>54</v>
      </c>
      <c r="C171" t="s">
        <v>9</v>
      </c>
      <c r="D171" t="s">
        <v>25</v>
      </c>
      <c r="E171" t="s">
        <v>26</v>
      </c>
      <c r="F171" t="s">
        <v>27</v>
      </c>
      <c r="G171" t="s">
        <v>12</v>
      </c>
      <c r="H171" s="3">
        <v>45129</v>
      </c>
    </row>
    <row r="172" spans="1:8" x14ac:dyDescent="0.25">
      <c r="A172" t="s">
        <v>207</v>
      </c>
      <c r="B172">
        <v>51</v>
      </c>
      <c r="C172" t="s">
        <v>24</v>
      </c>
      <c r="D172" t="s">
        <v>25</v>
      </c>
      <c r="E172" t="s">
        <v>38</v>
      </c>
      <c r="F172" t="s">
        <v>39</v>
      </c>
      <c r="G172" t="s">
        <v>12</v>
      </c>
      <c r="H172" s="3">
        <v>45499</v>
      </c>
    </row>
    <row r="173" spans="1:8" x14ac:dyDescent="0.25">
      <c r="A173" t="s">
        <v>208</v>
      </c>
      <c r="B173">
        <v>28</v>
      </c>
      <c r="C173" t="s">
        <v>24</v>
      </c>
      <c r="D173" t="s">
        <v>10</v>
      </c>
      <c r="E173" t="s">
        <v>10</v>
      </c>
      <c r="F173" t="s">
        <v>29</v>
      </c>
      <c r="G173" t="s">
        <v>12</v>
      </c>
      <c r="H173" s="3">
        <v>45118</v>
      </c>
    </row>
    <row r="174" spans="1:8" x14ac:dyDescent="0.25">
      <c r="A174" t="s">
        <v>209</v>
      </c>
      <c r="B174">
        <v>58</v>
      </c>
      <c r="C174" t="s">
        <v>24</v>
      </c>
      <c r="D174" t="s">
        <v>25</v>
      </c>
      <c r="E174" t="s">
        <v>26</v>
      </c>
      <c r="F174" t="s">
        <v>27</v>
      </c>
      <c r="G174" t="s">
        <v>12</v>
      </c>
      <c r="H174" s="3">
        <v>44931</v>
      </c>
    </row>
    <row r="175" spans="1:8" x14ac:dyDescent="0.25">
      <c r="A175" t="s">
        <v>210</v>
      </c>
      <c r="B175">
        <v>20</v>
      </c>
      <c r="C175" t="s">
        <v>24</v>
      </c>
      <c r="D175" t="s">
        <v>10</v>
      </c>
      <c r="E175" t="s">
        <v>10</v>
      </c>
      <c r="F175" t="s">
        <v>47</v>
      </c>
      <c r="G175" t="s">
        <v>22</v>
      </c>
      <c r="H175" s="3">
        <v>46187</v>
      </c>
    </row>
    <row r="176" spans="1:8" x14ac:dyDescent="0.25">
      <c r="A176" t="s">
        <v>211</v>
      </c>
      <c r="B176">
        <v>45</v>
      </c>
      <c r="C176" t="s">
        <v>9</v>
      </c>
      <c r="D176" t="s">
        <v>25</v>
      </c>
      <c r="E176" t="s">
        <v>38</v>
      </c>
      <c r="F176" t="s">
        <v>39</v>
      </c>
      <c r="G176" t="s">
        <v>22</v>
      </c>
      <c r="H176" s="3">
        <v>45237</v>
      </c>
    </row>
    <row r="177" spans="1:8" x14ac:dyDescent="0.25">
      <c r="A177" t="s">
        <v>212</v>
      </c>
      <c r="B177">
        <v>46</v>
      </c>
      <c r="C177" t="s">
        <v>24</v>
      </c>
      <c r="D177" t="s">
        <v>10</v>
      </c>
      <c r="E177" t="s">
        <v>10</v>
      </c>
      <c r="F177" t="s">
        <v>47</v>
      </c>
      <c r="G177" t="s">
        <v>17</v>
      </c>
      <c r="H177" s="3">
        <v>45475</v>
      </c>
    </row>
    <row r="178" spans="1:8" x14ac:dyDescent="0.25">
      <c r="A178" t="s">
        <v>213</v>
      </c>
      <c r="B178">
        <v>26</v>
      </c>
      <c r="C178" t="s">
        <v>24</v>
      </c>
      <c r="D178" t="s">
        <v>25</v>
      </c>
      <c r="E178" t="s">
        <v>38</v>
      </c>
      <c r="F178" t="s">
        <v>39</v>
      </c>
      <c r="G178" t="s">
        <v>12</v>
      </c>
      <c r="H178" s="3">
        <v>44982</v>
      </c>
    </row>
    <row r="179" spans="1:8" x14ac:dyDescent="0.25">
      <c r="A179" t="s">
        <v>214</v>
      </c>
      <c r="B179">
        <v>20</v>
      </c>
      <c r="C179" t="s">
        <v>9</v>
      </c>
      <c r="D179" t="s">
        <v>10</v>
      </c>
      <c r="E179" t="s">
        <v>10</v>
      </c>
      <c r="F179" t="s">
        <v>11</v>
      </c>
      <c r="G179" t="s">
        <v>17</v>
      </c>
      <c r="H179" s="3">
        <v>45369</v>
      </c>
    </row>
    <row r="180" spans="1:8" x14ac:dyDescent="0.25">
      <c r="A180" t="s">
        <v>215</v>
      </c>
      <c r="B180">
        <v>42</v>
      </c>
      <c r="C180" t="s">
        <v>24</v>
      </c>
      <c r="D180" t="s">
        <v>14</v>
      </c>
      <c r="E180" t="s">
        <v>216</v>
      </c>
      <c r="F180" t="s">
        <v>16</v>
      </c>
      <c r="G180" t="s">
        <v>12</v>
      </c>
      <c r="H180" s="3">
        <v>46187</v>
      </c>
    </row>
    <row r="181" spans="1:8" x14ac:dyDescent="0.25">
      <c r="A181" t="s">
        <v>217</v>
      </c>
      <c r="B181">
        <v>51</v>
      </c>
      <c r="C181" t="s">
        <v>24</v>
      </c>
      <c r="D181" t="s">
        <v>10</v>
      </c>
      <c r="E181" t="s">
        <v>10</v>
      </c>
      <c r="F181" t="s">
        <v>29</v>
      </c>
      <c r="G181" t="s">
        <v>12</v>
      </c>
      <c r="H181" s="3">
        <v>45796</v>
      </c>
    </row>
    <row r="182" spans="1:8" x14ac:dyDescent="0.25">
      <c r="A182" t="s">
        <v>218</v>
      </c>
      <c r="B182">
        <v>29</v>
      </c>
      <c r="C182" t="s">
        <v>24</v>
      </c>
      <c r="D182" t="s">
        <v>10</v>
      </c>
      <c r="E182" t="s">
        <v>10</v>
      </c>
      <c r="F182" t="s">
        <v>11</v>
      </c>
      <c r="G182" t="s">
        <v>17</v>
      </c>
      <c r="H182" s="3">
        <v>46147</v>
      </c>
    </row>
    <row r="183" spans="1:8" x14ac:dyDescent="0.25">
      <c r="A183" t="s">
        <v>219</v>
      </c>
      <c r="B183">
        <v>59</v>
      </c>
      <c r="C183" t="s">
        <v>24</v>
      </c>
      <c r="D183" t="s">
        <v>10</v>
      </c>
      <c r="E183" t="s">
        <v>10</v>
      </c>
      <c r="F183" t="s">
        <v>29</v>
      </c>
      <c r="G183" t="s">
        <v>12</v>
      </c>
      <c r="H183" s="3">
        <v>45511</v>
      </c>
    </row>
    <row r="184" spans="1:8" x14ac:dyDescent="0.25">
      <c r="A184" t="s">
        <v>220</v>
      </c>
      <c r="B184">
        <v>26</v>
      </c>
      <c r="C184" t="s">
        <v>24</v>
      </c>
      <c r="D184" t="s">
        <v>33</v>
      </c>
      <c r="E184" t="s">
        <v>34</v>
      </c>
      <c r="F184" t="s">
        <v>35</v>
      </c>
      <c r="G184" t="s">
        <v>12</v>
      </c>
      <c r="H184" s="3">
        <v>45678</v>
      </c>
    </row>
    <row r="185" spans="1:8" x14ac:dyDescent="0.25">
      <c r="A185" t="s">
        <v>221</v>
      </c>
      <c r="B185">
        <v>32</v>
      </c>
      <c r="C185" t="s">
        <v>24</v>
      </c>
      <c r="D185" t="s">
        <v>33</v>
      </c>
      <c r="E185" t="s">
        <v>34</v>
      </c>
      <c r="F185" t="s">
        <v>35</v>
      </c>
      <c r="G185" t="s">
        <v>22</v>
      </c>
      <c r="H185" s="3">
        <v>45286</v>
      </c>
    </row>
    <row r="186" spans="1:8" x14ac:dyDescent="0.25">
      <c r="A186" t="s">
        <v>222</v>
      </c>
      <c r="B186">
        <v>57</v>
      </c>
      <c r="C186" t="s">
        <v>9</v>
      </c>
      <c r="D186" t="s">
        <v>10</v>
      </c>
      <c r="E186" t="s">
        <v>10</v>
      </c>
      <c r="F186" t="s">
        <v>47</v>
      </c>
      <c r="G186" t="s">
        <v>78</v>
      </c>
      <c r="H186" s="3">
        <v>45745</v>
      </c>
    </row>
    <row r="187" spans="1:8" x14ac:dyDescent="0.25">
      <c r="A187" t="s">
        <v>223</v>
      </c>
      <c r="B187">
        <v>42</v>
      </c>
      <c r="C187" t="s">
        <v>9</v>
      </c>
      <c r="D187" t="s">
        <v>25</v>
      </c>
      <c r="E187" t="s">
        <v>38</v>
      </c>
      <c r="F187" t="s">
        <v>39</v>
      </c>
      <c r="G187" t="s">
        <v>17</v>
      </c>
      <c r="H187" s="3">
        <v>44956</v>
      </c>
    </row>
    <row r="188" spans="1:8" x14ac:dyDescent="0.25">
      <c r="A188" t="s">
        <v>224</v>
      </c>
      <c r="B188">
        <v>22</v>
      </c>
      <c r="C188" t="s">
        <v>24</v>
      </c>
      <c r="D188" t="s">
        <v>43</v>
      </c>
      <c r="E188" t="s">
        <v>44</v>
      </c>
      <c r="F188" t="s">
        <v>45</v>
      </c>
      <c r="G188" t="s">
        <v>22</v>
      </c>
      <c r="H188" s="3">
        <v>45034</v>
      </c>
    </row>
    <row r="189" spans="1:8" x14ac:dyDescent="0.25">
      <c r="A189" t="s">
        <v>225</v>
      </c>
      <c r="B189">
        <v>28</v>
      </c>
      <c r="C189" t="s">
        <v>9</v>
      </c>
      <c r="D189" t="s">
        <v>25</v>
      </c>
      <c r="E189" t="s">
        <v>26</v>
      </c>
      <c r="F189" t="s">
        <v>27</v>
      </c>
      <c r="G189" t="s">
        <v>12</v>
      </c>
      <c r="H189" s="3">
        <v>45770</v>
      </c>
    </row>
    <row r="190" spans="1:8" x14ac:dyDescent="0.25">
      <c r="A190" t="s">
        <v>226</v>
      </c>
      <c r="B190">
        <v>51</v>
      </c>
      <c r="C190" t="s">
        <v>9</v>
      </c>
      <c r="D190" t="s">
        <v>25</v>
      </c>
      <c r="E190" t="s">
        <v>26</v>
      </c>
      <c r="F190" t="s">
        <v>27</v>
      </c>
      <c r="G190" t="s">
        <v>12</v>
      </c>
      <c r="H190" s="3">
        <v>45643</v>
      </c>
    </row>
    <row r="191" spans="1:8" x14ac:dyDescent="0.25">
      <c r="A191" t="s">
        <v>227</v>
      </c>
      <c r="B191">
        <v>41</v>
      </c>
      <c r="C191" t="s">
        <v>9</v>
      </c>
      <c r="D191" t="s">
        <v>10</v>
      </c>
      <c r="E191" t="s">
        <v>10</v>
      </c>
      <c r="F191" t="s">
        <v>47</v>
      </c>
      <c r="G191" t="s">
        <v>22</v>
      </c>
      <c r="H191" s="3">
        <v>45817</v>
      </c>
    </row>
    <row r="192" spans="1:8" x14ac:dyDescent="0.25">
      <c r="A192" t="s">
        <v>228</v>
      </c>
      <c r="B192">
        <v>32</v>
      </c>
      <c r="C192" t="s">
        <v>9</v>
      </c>
      <c r="D192" t="s">
        <v>10</v>
      </c>
      <c r="E192" t="s">
        <v>10</v>
      </c>
      <c r="F192" t="s">
        <v>29</v>
      </c>
      <c r="G192" t="s">
        <v>22</v>
      </c>
      <c r="H192" s="3">
        <v>45886</v>
      </c>
    </row>
    <row r="193" spans="1:8" x14ac:dyDescent="0.25">
      <c r="A193" t="s">
        <v>229</v>
      </c>
      <c r="B193">
        <v>55</v>
      </c>
      <c r="C193" t="s">
        <v>24</v>
      </c>
      <c r="D193" t="s">
        <v>33</v>
      </c>
      <c r="E193" t="s">
        <v>34</v>
      </c>
      <c r="F193" t="s">
        <v>35</v>
      </c>
      <c r="G193" t="s">
        <v>78</v>
      </c>
      <c r="H193" s="3">
        <v>45819</v>
      </c>
    </row>
    <row r="194" spans="1:8" x14ac:dyDescent="0.25">
      <c r="A194" t="s">
        <v>230</v>
      </c>
      <c r="B194">
        <v>25</v>
      </c>
      <c r="C194" t="s">
        <v>24</v>
      </c>
      <c r="D194" t="s">
        <v>33</v>
      </c>
      <c r="E194" t="s">
        <v>34</v>
      </c>
      <c r="F194" t="s">
        <v>35</v>
      </c>
      <c r="G194" t="s">
        <v>12</v>
      </c>
      <c r="H194" s="3">
        <v>45658</v>
      </c>
    </row>
    <row r="195" spans="1:8" x14ac:dyDescent="0.25">
      <c r="A195" t="s">
        <v>231</v>
      </c>
      <c r="B195">
        <v>22</v>
      </c>
      <c r="C195" t="s">
        <v>9</v>
      </c>
      <c r="D195" t="s">
        <v>25</v>
      </c>
      <c r="E195" t="s">
        <v>38</v>
      </c>
      <c r="F195" t="s">
        <v>39</v>
      </c>
      <c r="G195" t="s">
        <v>12</v>
      </c>
      <c r="H195" s="3">
        <v>45532</v>
      </c>
    </row>
    <row r="196" spans="1:8" x14ac:dyDescent="0.25">
      <c r="A196" t="s">
        <v>232</v>
      </c>
      <c r="B196">
        <v>65</v>
      </c>
      <c r="C196" t="s">
        <v>9</v>
      </c>
      <c r="D196" t="s">
        <v>10</v>
      </c>
      <c r="E196" t="s">
        <v>10</v>
      </c>
      <c r="F196" t="s">
        <v>11</v>
      </c>
      <c r="G196" t="s">
        <v>22</v>
      </c>
      <c r="H196" s="3">
        <v>45383</v>
      </c>
    </row>
    <row r="197" spans="1:8" x14ac:dyDescent="0.25">
      <c r="A197" t="s">
        <v>233</v>
      </c>
      <c r="B197">
        <v>43</v>
      </c>
      <c r="C197" t="s">
        <v>9</v>
      </c>
      <c r="D197" t="s">
        <v>10</v>
      </c>
      <c r="E197" t="s">
        <v>10</v>
      </c>
      <c r="F197" t="s">
        <v>11</v>
      </c>
      <c r="G197" t="s">
        <v>12</v>
      </c>
      <c r="H197" s="3">
        <v>45541</v>
      </c>
    </row>
    <row r="198" spans="1:8" x14ac:dyDescent="0.25">
      <c r="A198" t="s">
        <v>234</v>
      </c>
      <c r="B198">
        <v>35</v>
      </c>
      <c r="C198" t="s">
        <v>24</v>
      </c>
      <c r="D198" t="s">
        <v>19</v>
      </c>
      <c r="E198" t="s">
        <v>20</v>
      </c>
      <c r="F198" t="s">
        <v>21</v>
      </c>
      <c r="G198" t="s">
        <v>12</v>
      </c>
      <c r="H198" s="3">
        <v>45624</v>
      </c>
    </row>
    <row r="199" spans="1:8" x14ac:dyDescent="0.25">
      <c r="A199" t="s">
        <v>235</v>
      </c>
      <c r="B199">
        <v>23</v>
      </c>
      <c r="C199" t="s">
        <v>24</v>
      </c>
      <c r="D199" t="s">
        <v>33</v>
      </c>
      <c r="E199" t="s">
        <v>34</v>
      </c>
      <c r="F199" t="s">
        <v>35</v>
      </c>
      <c r="G199" t="s">
        <v>12</v>
      </c>
      <c r="H199" s="3">
        <v>45600</v>
      </c>
    </row>
    <row r="200" spans="1:8" x14ac:dyDescent="0.25">
      <c r="A200" t="s">
        <v>236</v>
      </c>
      <c r="B200">
        <v>54</v>
      </c>
      <c r="C200" t="s">
        <v>9</v>
      </c>
      <c r="D200" t="s">
        <v>33</v>
      </c>
      <c r="E200" t="s">
        <v>34</v>
      </c>
      <c r="F200" t="s">
        <v>35</v>
      </c>
      <c r="G200" t="s">
        <v>12</v>
      </c>
      <c r="H200" s="3">
        <v>46197</v>
      </c>
    </row>
    <row r="201" spans="1:8" x14ac:dyDescent="0.25">
      <c r="A201" t="s">
        <v>237</v>
      </c>
      <c r="B201">
        <v>65</v>
      </c>
      <c r="C201" t="s">
        <v>24</v>
      </c>
      <c r="D201" t="s">
        <v>19</v>
      </c>
      <c r="E201" t="s">
        <v>20</v>
      </c>
      <c r="F201" t="s">
        <v>21</v>
      </c>
      <c r="G201" t="s">
        <v>12</v>
      </c>
      <c r="H201" s="3">
        <v>45469</v>
      </c>
    </row>
    <row r="202" spans="1:8" x14ac:dyDescent="0.25">
      <c r="A202" t="s">
        <v>238</v>
      </c>
      <c r="B202">
        <v>30</v>
      </c>
      <c r="C202" t="s">
        <v>24</v>
      </c>
      <c r="D202" t="s">
        <v>25</v>
      </c>
      <c r="E202" t="s">
        <v>38</v>
      </c>
      <c r="F202" t="s">
        <v>39</v>
      </c>
      <c r="G202" t="s">
        <v>12</v>
      </c>
      <c r="H202" s="3">
        <v>45783</v>
      </c>
    </row>
    <row r="203" spans="1:8" x14ac:dyDescent="0.25">
      <c r="A203" t="s">
        <v>239</v>
      </c>
      <c r="B203">
        <v>45</v>
      </c>
      <c r="C203" t="s">
        <v>24</v>
      </c>
      <c r="D203" t="s">
        <v>10</v>
      </c>
      <c r="E203" t="s">
        <v>10</v>
      </c>
      <c r="F203" t="s">
        <v>29</v>
      </c>
      <c r="G203" t="s">
        <v>22</v>
      </c>
      <c r="H203" s="3">
        <v>45823</v>
      </c>
    </row>
    <row r="204" spans="1:8" x14ac:dyDescent="0.25">
      <c r="A204" t="s">
        <v>240</v>
      </c>
      <c r="B204">
        <v>22</v>
      </c>
      <c r="C204" t="s">
        <v>24</v>
      </c>
      <c r="D204" t="s">
        <v>10</v>
      </c>
      <c r="E204" t="s">
        <v>10</v>
      </c>
      <c r="F204" t="s">
        <v>47</v>
      </c>
      <c r="G204" t="s">
        <v>17</v>
      </c>
      <c r="H204" s="3">
        <v>45204</v>
      </c>
    </row>
    <row r="205" spans="1:8" x14ac:dyDescent="0.25">
      <c r="A205" t="s">
        <v>241</v>
      </c>
      <c r="B205">
        <v>30</v>
      </c>
      <c r="C205" t="s">
        <v>9</v>
      </c>
      <c r="D205" t="s">
        <v>33</v>
      </c>
      <c r="E205" t="s">
        <v>34</v>
      </c>
      <c r="F205" t="s">
        <v>35</v>
      </c>
      <c r="G205" t="s">
        <v>12</v>
      </c>
      <c r="H205" s="3">
        <v>45478</v>
      </c>
    </row>
    <row r="206" spans="1:8" x14ac:dyDescent="0.25">
      <c r="A206" t="s">
        <v>242</v>
      </c>
      <c r="B206">
        <v>34</v>
      </c>
      <c r="C206" t="s">
        <v>24</v>
      </c>
      <c r="D206" t="s">
        <v>25</v>
      </c>
      <c r="E206" t="s">
        <v>26</v>
      </c>
      <c r="F206" t="s">
        <v>27</v>
      </c>
      <c r="G206" t="s">
        <v>12</v>
      </c>
      <c r="H206" s="3">
        <v>45037</v>
      </c>
    </row>
    <row r="207" spans="1:8" x14ac:dyDescent="0.25">
      <c r="A207" t="s">
        <v>243</v>
      </c>
      <c r="B207">
        <v>57</v>
      </c>
      <c r="C207" t="s">
        <v>9</v>
      </c>
      <c r="D207" t="s">
        <v>10</v>
      </c>
      <c r="E207" t="s">
        <v>10</v>
      </c>
      <c r="F207" t="s">
        <v>29</v>
      </c>
      <c r="G207" t="s">
        <v>17</v>
      </c>
      <c r="H207" s="3">
        <v>45311</v>
      </c>
    </row>
    <row r="208" spans="1:8" x14ac:dyDescent="0.25">
      <c r="A208" t="s">
        <v>244</v>
      </c>
      <c r="B208">
        <v>62</v>
      </c>
      <c r="C208" t="s">
        <v>24</v>
      </c>
      <c r="D208" t="s">
        <v>10</v>
      </c>
      <c r="E208" t="s">
        <v>10</v>
      </c>
      <c r="F208" t="s">
        <v>29</v>
      </c>
      <c r="G208" t="s">
        <v>17</v>
      </c>
      <c r="H208" s="3">
        <v>45687</v>
      </c>
    </row>
    <row r="209" spans="1:8" x14ac:dyDescent="0.25">
      <c r="A209" t="s">
        <v>245</v>
      </c>
      <c r="B209">
        <v>49</v>
      </c>
      <c r="C209" t="s">
        <v>24</v>
      </c>
      <c r="D209" t="s">
        <v>25</v>
      </c>
      <c r="E209" t="s">
        <v>38</v>
      </c>
      <c r="F209" t="s">
        <v>39</v>
      </c>
      <c r="G209" t="s">
        <v>12</v>
      </c>
      <c r="H209" s="3">
        <v>46141</v>
      </c>
    </row>
    <row r="210" spans="1:8" x14ac:dyDescent="0.25">
      <c r="A210" t="s">
        <v>246</v>
      </c>
      <c r="B210">
        <v>46</v>
      </c>
      <c r="C210" t="s">
        <v>24</v>
      </c>
      <c r="D210" t="s">
        <v>10</v>
      </c>
      <c r="E210" t="s">
        <v>10</v>
      </c>
      <c r="F210" t="s">
        <v>29</v>
      </c>
      <c r="G210" t="s">
        <v>22</v>
      </c>
      <c r="H210" s="3">
        <v>45620</v>
      </c>
    </row>
    <row r="211" spans="1:8" x14ac:dyDescent="0.25">
      <c r="A211" t="s">
        <v>247</v>
      </c>
      <c r="B211">
        <v>20</v>
      </c>
      <c r="C211" t="s">
        <v>24</v>
      </c>
      <c r="D211" t="s">
        <v>10</v>
      </c>
      <c r="E211" t="s">
        <v>10</v>
      </c>
      <c r="F211" t="s">
        <v>47</v>
      </c>
      <c r="G211" t="s">
        <v>12</v>
      </c>
      <c r="H211" s="3">
        <v>45331</v>
      </c>
    </row>
    <row r="212" spans="1:8" x14ac:dyDescent="0.25">
      <c r="A212" t="s">
        <v>248</v>
      </c>
      <c r="B212">
        <v>57</v>
      </c>
      <c r="C212" t="s">
        <v>9</v>
      </c>
      <c r="D212" t="s">
        <v>25</v>
      </c>
      <c r="E212" t="s">
        <v>26</v>
      </c>
      <c r="F212" t="s">
        <v>27</v>
      </c>
      <c r="G212" t="s">
        <v>78</v>
      </c>
      <c r="H212" s="3">
        <v>46159</v>
      </c>
    </row>
    <row r="213" spans="1:8" x14ac:dyDescent="0.25">
      <c r="A213" t="s">
        <v>249</v>
      </c>
      <c r="B213">
        <v>51</v>
      </c>
      <c r="C213" t="s">
        <v>24</v>
      </c>
      <c r="D213" t="s">
        <v>25</v>
      </c>
      <c r="E213" t="s">
        <v>38</v>
      </c>
      <c r="F213" t="s">
        <v>39</v>
      </c>
      <c r="G213" t="s">
        <v>12</v>
      </c>
      <c r="H213" s="3">
        <v>44948</v>
      </c>
    </row>
    <row r="214" spans="1:8" x14ac:dyDescent="0.25">
      <c r="A214" t="s">
        <v>250</v>
      </c>
      <c r="B214">
        <v>57</v>
      </c>
      <c r="C214" t="s">
        <v>24</v>
      </c>
      <c r="D214" t="s">
        <v>25</v>
      </c>
      <c r="E214" t="s">
        <v>38</v>
      </c>
      <c r="F214" t="s">
        <v>39</v>
      </c>
      <c r="G214" t="s">
        <v>12</v>
      </c>
      <c r="H214" s="3">
        <v>45604</v>
      </c>
    </row>
    <row r="215" spans="1:8" x14ac:dyDescent="0.25">
      <c r="A215" t="s">
        <v>251</v>
      </c>
      <c r="B215">
        <v>44</v>
      </c>
      <c r="C215" t="s">
        <v>24</v>
      </c>
      <c r="D215" t="s">
        <v>10</v>
      </c>
      <c r="E215" t="s">
        <v>10</v>
      </c>
      <c r="F215" t="s">
        <v>47</v>
      </c>
      <c r="G215" t="s">
        <v>12</v>
      </c>
      <c r="H215" s="3">
        <v>45537</v>
      </c>
    </row>
    <row r="216" spans="1:8" x14ac:dyDescent="0.25">
      <c r="A216" t="s">
        <v>252</v>
      </c>
      <c r="B216">
        <v>30</v>
      </c>
      <c r="C216" t="s">
        <v>9</v>
      </c>
      <c r="D216" t="s">
        <v>19</v>
      </c>
      <c r="E216" t="s">
        <v>20</v>
      </c>
      <c r="F216" t="s">
        <v>21</v>
      </c>
      <c r="G216" t="s">
        <v>12</v>
      </c>
      <c r="H216" s="3">
        <v>46158</v>
      </c>
    </row>
    <row r="217" spans="1:8" x14ac:dyDescent="0.25">
      <c r="A217" t="s">
        <v>253</v>
      </c>
      <c r="B217">
        <v>62</v>
      </c>
      <c r="C217" t="s">
        <v>9</v>
      </c>
      <c r="D217" t="s">
        <v>10</v>
      </c>
      <c r="E217" t="s">
        <v>10</v>
      </c>
      <c r="F217" t="s">
        <v>47</v>
      </c>
      <c r="G217" t="s">
        <v>22</v>
      </c>
      <c r="H217" s="3">
        <v>44934</v>
      </c>
    </row>
    <row r="218" spans="1:8" x14ac:dyDescent="0.25">
      <c r="A218" t="s">
        <v>254</v>
      </c>
      <c r="B218">
        <v>50</v>
      </c>
      <c r="C218" t="s">
        <v>9</v>
      </c>
      <c r="D218" t="s">
        <v>10</v>
      </c>
      <c r="E218" t="s">
        <v>10</v>
      </c>
      <c r="F218" t="s">
        <v>11</v>
      </c>
      <c r="G218" t="s">
        <v>12</v>
      </c>
      <c r="H218" s="3">
        <v>45628</v>
      </c>
    </row>
    <row r="219" spans="1:8" x14ac:dyDescent="0.25">
      <c r="A219" t="s">
        <v>255</v>
      </c>
      <c r="B219">
        <v>23</v>
      </c>
      <c r="C219" t="s">
        <v>24</v>
      </c>
      <c r="D219" t="s">
        <v>19</v>
      </c>
      <c r="E219" t="s">
        <v>20</v>
      </c>
      <c r="F219" t="s">
        <v>21</v>
      </c>
      <c r="G219" t="s">
        <v>12</v>
      </c>
      <c r="H219" s="3">
        <v>45455</v>
      </c>
    </row>
    <row r="220" spans="1:8" x14ac:dyDescent="0.25">
      <c r="A220" t="s">
        <v>256</v>
      </c>
      <c r="B220">
        <v>41</v>
      </c>
      <c r="C220" t="s">
        <v>24</v>
      </c>
      <c r="D220" t="s">
        <v>25</v>
      </c>
      <c r="E220" t="s">
        <v>38</v>
      </c>
      <c r="F220" t="s">
        <v>39</v>
      </c>
      <c r="G220" t="s">
        <v>22</v>
      </c>
      <c r="H220" s="3">
        <v>45528</v>
      </c>
    </row>
    <row r="221" spans="1:8" x14ac:dyDescent="0.25">
      <c r="A221" t="s">
        <v>257</v>
      </c>
      <c r="B221">
        <v>36</v>
      </c>
      <c r="C221" t="s">
        <v>9</v>
      </c>
      <c r="D221" t="s">
        <v>43</v>
      </c>
      <c r="E221" t="s">
        <v>44</v>
      </c>
      <c r="F221" t="s">
        <v>45</v>
      </c>
      <c r="G221" t="s">
        <v>78</v>
      </c>
      <c r="H221" s="3">
        <v>45583</v>
      </c>
    </row>
    <row r="222" spans="1:8" x14ac:dyDescent="0.25">
      <c r="A222" t="s">
        <v>258</v>
      </c>
      <c r="B222">
        <v>33</v>
      </c>
      <c r="C222" t="s">
        <v>24</v>
      </c>
      <c r="D222" t="s">
        <v>25</v>
      </c>
      <c r="E222" t="s">
        <v>38</v>
      </c>
      <c r="F222" t="s">
        <v>39</v>
      </c>
      <c r="G222" t="s">
        <v>22</v>
      </c>
      <c r="H222" s="3">
        <v>45092</v>
      </c>
    </row>
    <row r="223" spans="1:8" x14ac:dyDescent="0.25">
      <c r="A223" t="s">
        <v>259</v>
      </c>
      <c r="B223">
        <v>57</v>
      </c>
      <c r="C223" t="s">
        <v>24</v>
      </c>
      <c r="D223" t="s">
        <v>25</v>
      </c>
      <c r="E223" t="s">
        <v>26</v>
      </c>
      <c r="F223" t="s">
        <v>27</v>
      </c>
      <c r="G223" t="s">
        <v>12</v>
      </c>
      <c r="H223" s="3">
        <v>45775</v>
      </c>
    </row>
    <row r="224" spans="1:8" x14ac:dyDescent="0.25">
      <c r="A224" t="s">
        <v>260</v>
      </c>
      <c r="B224">
        <v>45</v>
      </c>
      <c r="C224" t="s">
        <v>24</v>
      </c>
      <c r="D224" t="s">
        <v>10</v>
      </c>
      <c r="E224" t="s">
        <v>10</v>
      </c>
      <c r="F224" t="s">
        <v>29</v>
      </c>
      <c r="G224" t="s">
        <v>22</v>
      </c>
      <c r="H224" s="3">
        <v>45422</v>
      </c>
    </row>
    <row r="225" spans="1:8" x14ac:dyDescent="0.25">
      <c r="A225" t="s">
        <v>261</v>
      </c>
      <c r="B225">
        <v>50</v>
      </c>
      <c r="C225" t="s">
        <v>24</v>
      </c>
      <c r="D225" t="s">
        <v>10</v>
      </c>
      <c r="E225" t="s">
        <v>10</v>
      </c>
      <c r="F225" t="s">
        <v>11</v>
      </c>
      <c r="G225" t="s">
        <v>12</v>
      </c>
      <c r="H225" s="3">
        <v>45516</v>
      </c>
    </row>
    <row r="226" spans="1:8" x14ac:dyDescent="0.25">
      <c r="A226" t="s">
        <v>262</v>
      </c>
      <c r="B226">
        <v>65</v>
      </c>
      <c r="C226" t="s">
        <v>24</v>
      </c>
      <c r="D226" t="s">
        <v>10</v>
      </c>
      <c r="E226" t="s">
        <v>10</v>
      </c>
      <c r="F226" t="s">
        <v>47</v>
      </c>
      <c r="G226" t="s">
        <v>12</v>
      </c>
      <c r="H226" s="3">
        <v>45355</v>
      </c>
    </row>
    <row r="227" spans="1:8" x14ac:dyDescent="0.25">
      <c r="A227" t="s">
        <v>263</v>
      </c>
      <c r="B227">
        <v>58</v>
      </c>
      <c r="C227" t="s">
        <v>24</v>
      </c>
      <c r="D227" t="s">
        <v>10</v>
      </c>
      <c r="E227" t="s">
        <v>10</v>
      </c>
      <c r="F227" t="s">
        <v>47</v>
      </c>
      <c r="G227" t="s">
        <v>12</v>
      </c>
      <c r="H227" s="3">
        <v>45700</v>
      </c>
    </row>
    <row r="228" spans="1:8" x14ac:dyDescent="0.25">
      <c r="A228" t="s">
        <v>264</v>
      </c>
      <c r="B228">
        <v>30</v>
      </c>
      <c r="C228" t="s">
        <v>9</v>
      </c>
      <c r="D228" t="s">
        <v>14</v>
      </c>
      <c r="E228" t="s">
        <v>15</v>
      </c>
      <c r="F228" t="s">
        <v>16</v>
      </c>
      <c r="G228" t="s">
        <v>12</v>
      </c>
      <c r="H228" s="3">
        <v>45089</v>
      </c>
    </row>
    <row r="229" spans="1:8" x14ac:dyDescent="0.25">
      <c r="A229" t="s">
        <v>265</v>
      </c>
      <c r="B229">
        <v>60</v>
      </c>
      <c r="C229" t="s">
        <v>24</v>
      </c>
      <c r="D229" t="s">
        <v>10</v>
      </c>
      <c r="E229" t="s">
        <v>10</v>
      </c>
      <c r="F229" t="s">
        <v>11</v>
      </c>
      <c r="G229" t="s">
        <v>12</v>
      </c>
      <c r="H229" s="3">
        <v>45292</v>
      </c>
    </row>
    <row r="230" spans="1:8" x14ac:dyDescent="0.25">
      <c r="A230" t="s">
        <v>266</v>
      </c>
      <c r="B230">
        <v>62</v>
      </c>
      <c r="C230" t="s">
        <v>24</v>
      </c>
      <c r="D230" t="s">
        <v>33</v>
      </c>
      <c r="E230" t="s">
        <v>34</v>
      </c>
      <c r="F230" t="s">
        <v>35</v>
      </c>
      <c r="G230" t="s">
        <v>12</v>
      </c>
      <c r="H230" s="3">
        <v>46189</v>
      </c>
    </row>
    <row r="231" spans="1:8" x14ac:dyDescent="0.25">
      <c r="A231" t="s">
        <v>267</v>
      </c>
      <c r="B231">
        <v>42</v>
      </c>
      <c r="C231" t="s">
        <v>24</v>
      </c>
      <c r="D231" t="s">
        <v>25</v>
      </c>
      <c r="E231" t="s">
        <v>38</v>
      </c>
      <c r="F231" t="s">
        <v>39</v>
      </c>
      <c r="G231" t="s">
        <v>22</v>
      </c>
      <c r="H231" s="3">
        <v>44998</v>
      </c>
    </row>
    <row r="232" spans="1:8" x14ac:dyDescent="0.25">
      <c r="A232" t="s">
        <v>268</v>
      </c>
      <c r="B232">
        <v>59</v>
      </c>
      <c r="C232" t="s">
        <v>24</v>
      </c>
      <c r="D232" t="s">
        <v>43</v>
      </c>
      <c r="E232" t="s">
        <v>44</v>
      </c>
      <c r="F232" t="s">
        <v>45</v>
      </c>
      <c r="G232" t="s">
        <v>12</v>
      </c>
      <c r="H232" s="3">
        <v>45581</v>
      </c>
    </row>
    <row r="233" spans="1:8" x14ac:dyDescent="0.25">
      <c r="A233" t="s">
        <v>270</v>
      </c>
      <c r="B233">
        <v>53</v>
      </c>
      <c r="C233" t="s">
        <v>24</v>
      </c>
      <c r="D233" t="s">
        <v>25</v>
      </c>
      <c r="E233" t="s">
        <v>26</v>
      </c>
      <c r="F233" t="s">
        <v>27</v>
      </c>
      <c r="G233" t="s">
        <v>17</v>
      </c>
      <c r="H233" s="3">
        <v>45195</v>
      </c>
    </row>
    <row r="234" spans="1:8" x14ac:dyDescent="0.25">
      <c r="A234" t="s">
        <v>271</v>
      </c>
      <c r="B234">
        <v>44</v>
      </c>
      <c r="C234" t="s">
        <v>9</v>
      </c>
      <c r="D234" t="s">
        <v>25</v>
      </c>
      <c r="E234" t="s">
        <v>26</v>
      </c>
      <c r="F234" t="s">
        <v>27</v>
      </c>
      <c r="G234" t="s">
        <v>17</v>
      </c>
      <c r="H234" s="3">
        <v>45341</v>
      </c>
    </row>
    <row r="235" spans="1:8" x14ac:dyDescent="0.25">
      <c r="A235" t="s">
        <v>272</v>
      </c>
      <c r="B235">
        <v>55</v>
      </c>
      <c r="C235" t="s">
        <v>9</v>
      </c>
      <c r="D235" t="s">
        <v>10</v>
      </c>
      <c r="E235" t="s">
        <v>10</v>
      </c>
      <c r="F235" t="s">
        <v>53</v>
      </c>
      <c r="G235" t="s">
        <v>78</v>
      </c>
      <c r="H235" s="3">
        <v>46195</v>
      </c>
    </row>
    <row r="236" spans="1:8" x14ac:dyDescent="0.25">
      <c r="A236" t="s">
        <v>273</v>
      </c>
      <c r="B236">
        <v>24</v>
      </c>
      <c r="C236" t="s">
        <v>9</v>
      </c>
      <c r="D236" t="s">
        <v>10</v>
      </c>
      <c r="E236" t="s">
        <v>10</v>
      </c>
      <c r="F236" t="s">
        <v>47</v>
      </c>
      <c r="G236" t="s">
        <v>12</v>
      </c>
      <c r="H236" s="3">
        <v>45942</v>
      </c>
    </row>
    <row r="237" spans="1:8" x14ac:dyDescent="0.25">
      <c r="A237" t="s">
        <v>274</v>
      </c>
      <c r="B237">
        <v>22</v>
      </c>
      <c r="C237" t="s">
        <v>9</v>
      </c>
      <c r="D237" t="s">
        <v>19</v>
      </c>
      <c r="E237" t="s">
        <v>20</v>
      </c>
      <c r="F237" t="s">
        <v>21</v>
      </c>
      <c r="G237" t="s">
        <v>12</v>
      </c>
      <c r="H237" s="3">
        <v>45601</v>
      </c>
    </row>
    <row r="238" spans="1:8" x14ac:dyDescent="0.25">
      <c r="A238" t="s">
        <v>275</v>
      </c>
      <c r="B238">
        <v>60</v>
      </c>
      <c r="C238" t="s">
        <v>24</v>
      </c>
      <c r="D238" t="s">
        <v>10</v>
      </c>
      <c r="E238" t="s">
        <v>10</v>
      </c>
      <c r="F238" t="s">
        <v>11</v>
      </c>
      <c r="G238" t="s">
        <v>22</v>
      </c>
      <c r="H238" s="3">
        <v>46010</v>
      </c>
    </row>
    <row r="239" spans="1:8" x14ac:dyDescent="0.25">
      <c r="A239" t="s">
        <v>276</v>
      </c>
      <c r="B239">
        <v>62</v>
      </c>
      <c r="C239" t="s">
        <v>24</v>
      </c>
      <c r="D239" t="s">
        <v>10</v>
      </c>
      <c r="E239" t="s">
        <v>10</v>
      </c>
      <c r="F239" t="s">
        <v>29</v>
      </c>
      <c r="G239" t="s">
        <v>22</v>
      </c>
      <c r="H239" s="3">
        <v>44932</v>
      </c>
    </row>
    <row r="240" spans="1:8" x14ac:dyDescent="0.25">
      <c r="A240" t="s">
        <v>277</v>
      </c>
      <c r="B240">
        <v>48</v>
      </c>
      <c r="C240" t="s">
        <v>9</v>
      </c>
      <c r="D240" t="s">
        <v>25</v>
      </c>
      <c r="E240" t="s">
        <v>38</v>
      </c>
      <c r="F240" t="s">
        <v>39</v>
      </c>
      <c r="G240" t="s">
        <v>12</v>
      </c>
      <c r="H240" s="3">
        <v>45908</v>
      </c>
    </row>
    <row r="241" spans="1:8" x14ac:dyDescent="0.25">
      <c r="A241" t="s">
        <v>278</v>
      </c>
      <c r="B241">
        <v>40</v>
      </c>
      <c r="C241" t="s">
        <v>9</v>
      </c>
      <c r="D241" t="s">
        <v>10</v>
      </c>
      <c r="E241" t="s">
        <v>10</v>
      </c>
      <c r="F241" t="s">
        <v>47</v>
      </c>
      <c r="G241" t="s">
        <v>12</v>
      </c>
      <c r="H241" s="3">
        <v>45496</v>
      </c>
    </row>
    <row r="242" spans="1:8" x14ac:dyDescent="0.25">
      <c r="A242" t="s">
        <v>279</v>
      </c>
      <c r="B242">
        <v>59</v>
      </c>
      <c r="C242" t="s">
        <v>24</v>
      </c>
      <c r="D242" t="s">
        <v>14</v>
      </c>
      <c r="E242" t="s">
        <v>15</v>
      </c>
      <c r="F242" t="s">
        <v>16</v>
      </c>
      <c r="G242" t="s">
        <v>22</v>
      </c>
      <c r="H242" s="3">
        <v>45333</v>
      </c>
    </row>
    <row r="243" spans="1:8" x14ac:dyDescent="0.25">
      <c r="A243" t="s">
        <v>280</v>
      </c>
      <c r="B243">
        <v>27</v>
      </c>
      <c r="C243" t="s">
        <v>9</v>
      </c>
      <c r="D243" t="s">
        <v>14</v>
      </c>
      <c r="E243" t="s">
        <v>15</v>
      </c>
      <c r="F243" t="s">
        <v>16</v>
      </c>
      <c r="G243" t="s">
        <v>12</v>
      </c>
      <c r="H243" s="3">
        <v>46167</v>
      </c>
    </row>
    <row r="244" spans="1:8" x14ac:dyDescent="0.25">
      <c r="A244" t="s">
        <v>281</v>
      </c>
      <c r="B244">
        <v>49</v>
      </c>
      <c r="C244" t="s">
        <v>24</v>
      </c>
      <c r="D244" t="s">
        <v>33</v>
      </c>
      <c r="E244" t="s">
        <v>34</v>
      </c>
      <c r="F244" t="s">
        <v>35</v>
      </c>
      <c r="G244" t="s">
        <v>12</v>
      </c>
      <c r="H244" s="3">
        <v>44952</v>
      </c>
    </row>
    <row r="245" spans="1:8" x14ac:dyDescent="0.25">
      <c r="A245" t="s">
        <v>282</v>
      </c>
      <c r="B245">
        <v>60</v>
      </c>
      <c r="C245" t="s">
        <v>24</v>
      </c>
      <c r="D245" t="s">
        <v>10</v>
      </c>
      <c r="E245" t="s">
        <v>10</v>
      </c>
      <c r="F245" t="s">
        <v>11</v>
      </c>
      <c r="G245" t="s">
        <v>22</v>
      </c>
      <c r="H245" s="3">
        <v>45955</v>
      </c>
    </row>
    <row r="246" spans="1:8" x14ac:dyDescent="0.25">
      <c r="A246" t="s">
        <v>283</v>
      </c>
      <c r="B246">
        <v>47</v>
      </c>
      <c r="C246" t="s">
        <v>24</v>
      </c>
      <c r="D246" t="s">
        <v>10</v>
      </c>
      <c r="E246" t="s">
        <v>10</v>
      </c>
      <c r="F246" t="s">
        <v>29</v>
      </c>
      <c r="G246" t="s">
        <v>12</v>
      </c>
      <c r="H246" s="3">
        <v>45912</v>
      </c>
    </row>
    <row r="247" spans="1:8" x14ac:dyDescent="0.25">
      <c r="A247" t="s">
        <v>284</v>
      </c>
      <c r="B247">
        <v>56</v>
      </c>
      <c r="C247" t="s">
        <v>9</v>
      </c>
      <c r="D247" t="s">
        <v>33</v>
      </c>
      <c r="E247" t="s">
        <v>34</v>
      </c>
      <c r="F247" t="s">
        <v>35</v>
      </c>
      <c r="G247" t="s">
        <v>12</v>
      </c>
      <c r="H247" s="3">
        <v>45316</v>
      </c>
    </row>
    <row r="248" spans="1:8" x14ac:dyDescent="0.25">
      <c r="A248" t="s">
        <v>285</v>
      </c>
      <c r="B248">
        <v>48</v>
      </c>
      <c r="C248" t="s">
        <v>9</v>
      </c>
      <c r="D248" t="s">
        <v>10</v>
      </c>
      <c r="E248" t="s">
        <v>10</v>
      </c>
      <c r="F248" t="s">
        <v>53</v>
      </c>
      <c r="G248" t="s">
        <v>12</v>
      </c>
      <c r="H248" s="3">
        <v>45636</v>
      </c>
    </row>
    <row r="249" spans="1:8" x14ac:dyDescent="0.25">
      <c r="A249" t="s">
        <v>286</v>
      </c>
      <c r="B249">
        <v>35</v>
      </c>
      <c r="C249" t="s">
        <v>24</v>
      </c>
      <c r="D249" t="s">
        <v>14</v>
      </c>
      <c r="E249" t="s">
        <v>15</v>
      </c>
      <c r="F249" t="s">
        <v>16</v>
      </c>
      <c r="G249" t="s">
        <v>17</v>
      </c>
      <c r="H249" s="3">
        <v>45497</v>
      </c>
    </row>
    <row r="250" spans="1:8" x14ac:dyDescent="0.25">
      <c r="A250" t="s">
        <v>287</v>
      </c>
      <c r="B250">
        <v>53</v>
      </c>
      <c r="C250" t="s">
        <v>24</v>
      </c>
      <c r="D250" t="s">
        <v>14</v>
      </c>
      <c r="E250" t="s">
        <v>15</v>
      </c>
      <c r="F250" t="s">
        <v>16</v>
      </c>
      <c r="G250" t="s">
        <v>12</v>
      </c>
      <c r="H250" s="3">
        <v>45680</v>
      </c>
    </row>
    <row r="251" spans="1:8" x14ac:dyDescent="0.25">
      <c r="A251" t="s">
        <v>288</v>
      </c>
      <c r="B251">
        <v>19</v>
      </c>
      <c r="C251" t="s">
        <v>9</v>
      </c>
      <c r="D251" t="s">
        <v>33</v>
      </c>
      <c r="E251" t="s">
        <v>34</v>
      </c>
      <c r="F251" t="s">
        <v>35</v>
      </c>
      <c r="G251" t="s">
        <v>22</v>
      </c>
      <c r="H251" s="3">
        <v>45072</v>
      </c>
    </row>
    <row r="252" spans="1:8" x14ac:dyDescent="0.25">
      <c r="A252" t="s">
        <v>289</v>
      </c>
      <c r="B252">
        <v>31</v>
      </c>
      <c r="C252" t="s">
        <v>24</v>
      </c>
      <c r="D252" t="s">
        <v>10</v>
      </c>
      <c r="E252" t="s">
        <v>10</v>
      </c>
      <c r="F252" t="s">
        <v>11</v>
      </c>
      <c r="G252" t="s">
        <v>17</v>
      </c>
      <c r="H252" s="3">
        <v>45711</v>
      </c>
    </row>
    <row r="253" spans="1:8" x14ac:dyDescent="0.25">
      <c r="A253" t="s">
        <v>290</v>
      </c>
      <c r="B253">
        <v>30</v>
      </c>
      <c r="C253" t="s">
        <v>9</v>
      </c>
      <c r="D253" t="s">
        <v>10</v>
      </c>
      <c r="E253" t="s">
        <v>10</v>
      </c>
      <c r="F253" t="s">
        <v>11</v>
      </c>
      <c r="G253" t="s">
        <v>12</v>
      </c>
      <c r="H253" s="3">
        <v>46199</v>
      </c>
    </row>
    <row r="254" spans="1:8" x14ac:dyDescent="0.25">
      <c r="A254" t="s">
        <v>291</v>
      </c>
      <c r="B254">
        <v>46</v>
      </c>
      <c r="C254" t="s">
        <v>24</v>
      </c>
      <c r="D254" t="s">
        <v>33</v>
      </c>
      <c r="E254" t="s">
        <v>34</v>
      </c>
      <c r="F254" t="s">
        <v>35</v>
      </c>
      <c r="G254" t="s">
        <v>12</v>
      </c>
      <c r="H254" s="3">
        <v>45452</v>
      </c>
    </row>
    <row r="255" spans="1:8" x14ac:dyDescent="0.25">
      <c r="A255" t="s">
        <v>292</v>
      </c>
      <c r="B255">
        <v>29</v>
      </c>
      <c r="C255" t="s">
        <v>9</v>
      </c>
      <c r="D255" t="s">
        <v>10</v>
      </c>
      <c r="E255" t="s">
        <v>10</v>
      </c>
      <c r="F255" t="s">
        <v>11</v>
      </c>
      <c r="G255" t="s">
        <v>17</v>
      </c>
      <c r="H255" s="3">
        <v>44939</v>
      </c>
    </row>
    <row r="256" spans="1:8" x14ac:dyDescent="0.25">
      <c r="A256" t="s">
        <v>293</v>
      </c>
      <c r="B256">
        <v>56</v>
      </c>
      <c r="C256" t="s">
        <v>24</v>
      </c>
      <c r="D256" t="s">
        <v>10</v>
      </c>
      <c r="E256" t="s">
        <v>10</v>
      </c>
      <c r="F256" t="s">
        <v>47</v>
      </c>
      <c r="G256" t="s">
        <v>78</v>
      </c>
      <c r="H256" s="3">
        <v>45829</v>
      </c>
    </row>
    <row r="257" spans="1:8" x14ac:dyDescent="0.25">
      <c r="A257" t="s">
        <v>294</v>
      </c>
      <c r="B257">
        <v>19</v>
      </c>
      <c r="C257" t="s">
        <v>9</v>
      </c>
      <c r="D257" t="s">
        <v>25</v>
      </c>
      <c r="E257" t="s">
        <v>26</v>
      </c>
      <c r="F257" t="s">
        <v>27</v>
      </c>
      <c r="G257" t="s">
        <v>12</v>
      </c>
      <c r="H257" s="3">
        <v>45310</v>
      </c>
    </row>
    <row r="258" spans="1:8" x14ac:dyDescent="0.25">
      <c r="A258" t="s">
        <v>295</v>
      </c>
      <c r="B258">
        <v>49</v>
      </c>
      <c r="C258" t="s">
        <v>9</v>
      </c>
      <c r="D258" t="s">
        <v>14</v>
      </c>
      <c r="E258" t="s">
        <v>15</v>
      </c>
      <c r="F258" t="s">
        <v>16</v>
      </c>
      <c r="G258" t="s">
        <v>12</v>
      </c>
      <c r="H258" s="3">
        <v>45482</v>
      </c>
    </row>
    <row r="259" spans="1:8" x14ac:dyDescent="0.25">
      <c r="A259" t="s">
        <v>296</v>
      </c>
      <c r="B259">
        <v>30</v>
      </c>
      <c r="C259" t="s">
        <v>9</v>
      </c>
      <c r="D259" t="s">
        <v>25</v>
      </c>
      <c r="E259" t="s">
        <v>38</v>
      </c>
      <c r="F259" t="s">
        <v>39</v>
      </c>
      <c r="G259" t="s">
        <v>12</v>
      </c>
      <c r="H259" s="3">
        <v>45813</v>
      </c>
    </row>
    <row r="260" spans="1:8" x14ac:dyDescent="0.25">
      <c r="A260" t="s">
        <v>297</v>
      </c>
      <c r="B260">
        <v>63</v>
      </c>
      <c r="C260" t="s">
        <v>9</v>
      </c>
      <c r="D260" t="s">
        <v>25</v>
      </c>
      <c r="E260" t="s">
        <v>26</v>
      </c>
      <c r="F260" t="s">
        <v>27</v>
      </c>
      <c r="G260" t="s">
        <v>12</v>
      </c>
      <c r="H260" s="3">
        <v>44945</v>
      </c>
    </row>
    <row r="261" spans="1:8" x14ac:dyDescent="0.25">
      <c r="A261" t="s">
        <v>298</v>
      </c>
      <c r="B261">
        <v>44</v>
      </c>
      <c r="C261" t="s">
        <v>24</v>
      </c>
      <c r="D261" t="s">
        <v>10</v>
      </c>
      <c r="E261" t="s">
        <v>10</v>
      </c>
      <c r="F261" t="s">
        <v>29</v>
      </c>
      <c r="G261" t="s">
        <v>17</v>
      </c>
      <c r="H261" s="3">
        <v>45501</v>
      </c>
    </row>
    <row r="262" spans="1:8" x14ac:dyDescent="0.25">
      <c r="A262" t="s">
        <v>299</v>
      </c>
      <c r="B262">
        <v>58</v>
      </c>
      <c r="C262" t="s">
        <v>24</v>
      </c>
      <c r="D262" t="s">
        <v>25</v>
      </c>
      <c r="E262" t="s">
        <v>38</v>
      </c>
      <c r="F262" t="s">
        <v>39</v>
      </c>
      <c r="G262" t="s">
        <v>22</v>
      </c>
      <c r="H262" s="3">
        <v>45677</v>
      </c>
    </row>
    <row r="263" spans="1:8" x14ac:dyDescent="0.25">
      <c r="A263" t="s">
        <v>300</v>
      </c>
      <c r="B263">
        <v>34</v>
      </c>
      <c r="C263" t="s">
        <v>9</v>
      </c>
      <c r="D263" t="s">
        <v>14</v>
      </c>
      <c r="E263" t="s">
        <v>15</v>
      </c>
      <c r="F263" t="s">
        <v>16</v>
      </c>
      <c r="G263" t="s">
        <v>78</v>
      </c>
      <c r="H263" s="3">
        <v>45930</v>
      </c>
    </row>
    <row r="264" spans="1:8" x14ac:dyDescent="0.25">
      <c r="A264" t="s">
        <v>301</v>
      </c>
      <c r="B264">
        <v>57</v>
      </c>
      <c r="C264" t="s">
        <v>9</v>
      </c>
      <c r="D264" t="s">
        <v>10</v>
      </c>
      <c r="E264" t="s">
        <v>10</v>
      </c>
      <c r="F264" t="s">
        <v>29</v>
      </c>
      <c r="G264" t="s">
        <v>12</v>
      </c>
      <c r="H264" s="3">
        <v>45345</v>
      </c>
    </row>
    <row r="265" spans="1:8" x14ac:dyDescent="0.25">
      <c r="A265" t="s">
        <v>302</v>
      </c>
      <c r="B265">
        <v>48</v>
      </c>
      <c r="C265" t="s">
        <v>24</v>
      </c>
      <c r="D265" t="s">
        <v>25</v>
      </c>
      <c r="E265" t="s">
        <v>26</v>
      </c>
      <c r="F265" t="s">
        <v>27</v>
      </c>
      <c r="G265" t="s">
        <v>12</v>
      </c>
      <c r="H265" s="3">
        <v>45345</v>
      </c>
    </row>
    <row r="266" spans="1:8" x14ac:dyDescent="0.25">
      <c r="A266" t="s">
        <v>303</v>
      </c>
      <c r="B266">
        <v>51</v>
      </c>
      <c r="C266" t="s">
        <v>24</v>
      </c>
      <c r="D266" t="s">
        <v>33</v>
      </c>
      <c r="E266" t="s">
        <v>34</v>
      </c>
      <c r="F266" t="s">
        <v>35</v>
      </c>
      <c r="G266" t="s">
        <v>22</v>
      </c>
      <c r="H266" s="3">
        <v>45048</v>
      </c>
    </row>
    <row r="267" spans="1:8" x14ac:dyDescent="0.25">
      <c r="A267" t="s">
        <v>304</v>
      </c>
      <c r="B267">
        <v>41</v>
      </c>
      <c r="C267" t="s">
        <v>24</v>
      </c>
      <c r="D267" t="s">
        <v>19</v>
      </c>
      <c r="E267" t="s">
        <v>20</v>
      </c>
      <c r="F267" t="s">
        <v>21</v>
      </c>
      <c r="G267" t="s">
        <v>22</v>
      </c>
      <c r="H267" s="3">
        <v>45358</v>
      </c>
    </row>
    <row r="268" spans="1:8" x14ac:dyDescent="0.25">
      <c r="A268" t="s">
        <v>305</v>
      </c>
      <c r="B268">
        <v>62</v>
      </c>
      <c r="C268" t="s">
        <v>9</v>
      </c>
      <c r="D268" t="s">
        <v>25</v>
      </c>
      <c r="E268" t="s">
        <v>38</v>
      </c>
      <c r="F268" t="s">
        <v>39</v>
      </c>
      <c r="G268" t="s">
        <v>12</v>
      </c>
      <c r="H268" s="3">
        <v>44970</v>
      </c>
    </row>
    <row r="269" spans="1:8" x14ac:dyDescent="0.25">
      <c r="A269" t="s">
        <v>306</v>
      </c>
      <c r="B269">
        <v>52</v>
      </c>
      <c r="C269" t="s">
        <v>9</v>
      </c>
      <c r="D269" t="s">
        <v>25</v>
      </c>
      <c r="E269" t="s">
        <v>38</v>
      </c>
      <c r="F269" t="s">
        <v>39</v>
      </c>
      <c r="G269" t="s">
        <v>12</v>
      </c>
      <c r="H269" s="3">
        <v>45307</v>
      </c>
    </row>
    <row r="270" spans="1:8" x14ac:dyDescent="0.25">
      <c r="A270" t="s">
        <v>307</v>
      </c>
      <c r="B270">
        <v>65</v>
      </c>
      <c r="C270" t="s">
        <v>24</v>
      </c>
      <c r="D270" t="s">
        <v>10</v>
      </c>
      <c r="E270" t="s">
        <v>10</v>
      </c>
      <c r="F270" t="s">
        <v>11</v>
      </c>
      <c r="G270" t="s">
        <v>12</v>
      </c>
      <c r="H270" s="3">
        <v>45071</v>
      </c>
    </row>
    <row r="271" spans="1:8" x14ac:dyDescent="0.25">
      <c r="A271" t="s">
        <v>308</v>
      </c>
      <c r="B271">
        <v>23</v>
      </c>
      <c r="C271" t="s">
        <v>9</v>
      </c>
      <c r="D271" t="s">
        <v>10</v>
      </c>
      <c r="E271" t="s">
        <v>10</v>
      </c>
      <c r="F271" t="s">
        <v>11</v>
      </c>
      <c r="G271" t="s">
        <v>22</v>
      </c>
      <c r="H271" s="3">
        <v>45289</v>
      </c>
    </row>
    <row r="272" spans="1:8" x14ac:dyDescent="0.25">
      <c r="A272" t="s">
        <v>309</v>
      </c>
      <c r="B272">
        <v>36</v>
      </c>
      <c r="C272" t="s">
        <v>24</v>
      </c>
      <c r="D272" t="s">
        <v>43</v>
      </c>
      <c r="E272" t="s">
        <v>44</v>
      </c>
      <c r="F272" t="s">
        <v>45</v>
      </c>
      <c r="G272" t="s">
        <v>22</v>
      </c>
      <c r="H272" s="3">
        <v>46000</v>
      </c>
    </row>
    <row r="273" spans="1:8" x14ac:dyDescent="0.25">
      <c r="A273" t="s">
        <v>310</v>
      </c>
      <c r="B273">
        <v>47</v>
      </c>
      <c r="C273" t="s">
        <v>9</v>
      </c>
      <c r="D273" t="s">
        <v>43</v>
      </c>
      <c r="E273" t="s">
        <v>44</v>
      </c>
      <c r="F273" t="s">
        <v>45</v>
      </c>
      <c r="G273" t="s">
        <v>12</v>
      </c>
      <c r="H273" s="3">
        <v>46015</v>
      </c>
    </row>
    <row r="274" spans="1:8" x14ac:dyDescent="0.25">
      <c r="A274" t="s">
        <v>311</v>
      </c>
      <c r="B274">
        <v>24</v>
      </c>
      <c r="C274" t="s">
        <v>24</v>
      </c>
      <c r="D274" t="s">
        <v>33</v>
      </c>
      <c r="E274" t="s">
        <v>34</v>
      </c>
      <c r="F274" t="s">
        <v>35</v>
      </c>
      <c r="G274" t="s">
        <v>12</v>
      </c>
      <c r="H274" s="3">
        <v>45281</v>
      </c>
    </row>
    <row r="275" spans="1:8" x14ac:dyDescent="0.25">
      <c r="A275" t="s">
        <v>312</v>
      </c>
      <c r="B275">
        <v>27</v>
      </c>
      <c r="C275" t="s">
        <v>9</v>
      </c>
      <c r="D275" t="s">
        <v>33</v>
      </c>
      <c r="E275" t="s">
        <v>34</v>
      </c>
      <c r="F275" t="s">
        <v>35</v>
      </c>
      <c r="G275" t="s">
        <v>22</v>
      </c>
      <c r="H275" s="3">
        <v>45726</v>
      </c>
    </row>
    <row r="276" spans="1:8" x14ac:dyDescent="0.25">
      <c r="A276" t="s">
        <v>313</v>
      </c>
      <c r="B276">
        <v>58</v>
      </c>
      <c r="C276" t="s">
        <v>24</v>
      </c>
      <c r="D276" t="s">
        <v>25</v>
      </c>
      <c r="E276" t="s">
        <v>26</v>
      </c>
      <c r="F276" t="s">
        <v>27</v>
      </c>
      <c r="G276" t="s">
        <v>22</v>
      </c>
      <c r="H276" s="3">
        <v>46114</v>
      </c>
    </row>
    <row r="277" spans="1:8" x14ac:dyDescent="0.25">
      <c r="A277" t="s">
        <v>314</v>
      </c>
      <c r="B277">
        <v>49</v>
      </c>
      <c r="C277" t="s">
        <v>24</v>
      </c>
      <c r="D277" t="s">
        <v>25</v>
      </c>
      <c r="E277" t="s">
        <v>26</v>
      </c>
      <c r="F277" t="s">
        <v>27</v>
      </c>
      <c r="G277" t="s">
        <v>78</v>
      </c>
      <c r="H277" s="3">
        <v>46091</v>
      </c>
    </row>
    <row r="278" spans="1:8" x14ac:dyDescent="0.25">
      <c r="A278" t="s">
        <v>315</v>
      </c>
      <c r="B278">
        <v>51</v>
      </c>
      <c r="C278" t="s">
        <v>24</v>
      </c>
      <c r="D278" t="s">
        <v>43</v>
      </c>
      <c r="E278" t="s">
        <v>44</v>
      </c>
      <c r="F278" t="s">
        <v>45</v>
      </c>
      <c r="G278" t="s">
        <v>22</v>
      </c>
      <c r="H278" s="3">
        <v>45752</v>
      </c>
    </row>
    <row r="279" spans="1:8" x14ac:dyDescent="0.25">
      <c r="A279" t="s">
        <v>316</v>
      </c>
      <c r="B279">
        <v>45</v>
      </c>
      <c r="C279" t="s">
        <v>9</v>
      </c>
      <c r="D279" t="s">
        <v>25</v>
      </c>
      <c r="E279" t="s">
        <v>38</v>
      </c>
      <c r="F279" t="s">
        <v>39</v>
      </c>
      <c r="G279" t="s">
        <v>12</v>
      </c>
      <c r="H279" s="3">
        <v>46078</v>
      </c>
    </row>
    <row r="280" spans="1:8" x14ac:dyDescent="0.25">
      <c r="A280" t="s">
        <v>317</v>
      </c>
      <c r="B280">
        <v>32</v>
      </c>
      <c r="C280" t="s">
        <v>24</v>
      </c>
      <c r="D280" t="s">
        <v>25</v>
      </c>
      <c r="E280" t="s">
        <v>38</v>
      </c>
      <c r="F280" t="s">
        <v>39</v>
      </c>
      <c r="G280" t="s">
        <v>12</v>
      </c>
      <c r="H280" s="3">
        <v>45324</v>
      </c>
    </row>
    <row r="281" spans="1:8" x14ac:dyDescent="0.25">
      <c r="A281" t="s">
        <v>318</v>
      </c>
      <c r="B281">
        <v>47</v>
      </c>
      <c r="C281" t="s">
        <v>24</v>
      </c>
      <c r="D281" t="s">
        <v>43</v>
      </c>
      <c r="E281" t="s">
        <v>44</v>
      </c>
      <c r="F281" t="s">
        <v>45</v>
      </c>
      <c r="G281" t="s">
        <v>12</v>
      </c>
      <c r="H281" s="3">
        <v>45806</v>
      </c>
    </row>
    <row r="282" spans="1:8" x14ac:dyDescent="0.25">
      <c r="A282" t="s">
        <v>319</v>
      </c>
      <c r="B282">
        <v>54</v>
      </c>
      <c r="C282" t="s">
        <v>24</v>
      </c>
      <c r="D282" t="s">
        <v>33</v>
      </c>
      <c r="E282" t="s">
        <v>34</v>
      </c>
      <c r="F282" t="s">
        <v>35</v>
      </c>
      <c r="G282" t="s">
        <v>17</v>
      </c>
      <c r="H282" s="3">
        <v>45389</v>
      </c>
    </row>
    <row r="283" spans="1:8" x14ac:dyDescent="0.25">
      <c r="A283" t="s">
        <v>320</v>
      </c>
      <c r="B283">
        <v>46</v>
      </c>
      <c r="C283" t="s">
        <v>24</v>
      </c>
      <c r="D283" t="s">
        <v>10</v>
      </c>
      <c r="E283" t="s">
        <v>10</v>
      </c>
      <c r="F283" t="s">
        <v>11</v>
      </c>
      <c r="G283" t="s">
        <v>12</v>
      </c>
      <c r="H283" s="3">
        <v>45734</v>
      </c>
    </row>
    <row r="284" spans="1:8" x14ac:dyDescent="0.25">
      <c r="A284" t="s">
        <v>321</v>
      </c>
      <c r="B284">
        <v>39</v>
      </c>
      <c r="C284" t="s">
        <v>24</v>
      </c>
      <c r="D284" t="s">
        <v>10</v>
      </c>
      <c r="E284" t="s">
        <v>10</v>
      </c>
      <c r="F284" t="s">
        <v>11</v>
      </c>
      <c r="G284" t="s">
        <v>22</v>
      </c>
      <c r="H284" s="3">
        <v>45113</v>
      </c>
    </row>
    <row r="285" spans="1:8" x14ac:dyDescent="0.25">
      <c r="A285" t="s">
        <v>322</v>
      </c>
      <c r="B285">
        <v>21</v>
      </c>
      <c r="C285" t="s">
        <v>24</v>
      </c>
      <c r="D285" t="s">
        <v>10</v>
      </c>
      <c r="E285" t="s">
        <v>10</v>
      </c>
      <c r="F285" t="s">
        <v>29</v>
      </c>
      <c r="G285" t="s">
        <v>12</v>
      </c>
      <c r="H285" s="3">
        <v>45658</v>
      </c>
    </row>
    <row r="286" spans="1:8" x14ac:dyDescent="0.25">
      <c r="A286" t="s">
        <v>323</v>
      </c>
      <c r="B286">
        <v>37</v>
      </c>
      <c r="C286" t="s">
        <v>9</v>
      </c>
      <c r="D286" t="s">
        <v>25</v>
      </c>
      <c r="E286" t="s">
        <v>26</v>
      </c>
      <c r="F286" t="s">
        <v>27</v>
      </c>
      <c r="G286" t="s">
        <v>22</v>
      </c>
      <c r="H286" s="3">
        <v>46140</v>
      </c>
    </row>
    <row r="287" spans="1:8" x14ac:dyDescent="0.25">
      <c r="A287" t="s">
        <v>324</v>
      </c>
      <c r="B287">
        <v>49</v>
      </c>
      <c r="C287" t="s">
        <v>24</v>
      </c>
      <c r="D287" t="s">
        <v>10</v>
      </c>
      <c r="E287" t="s">
        <v>10</v>
      </c>
      <c r="F287" t="s">
        <v>29</v>
      </c>
      <c r="G287" t="s">
        <v>12</v>
      </c>
      <c r="H287" s="3">
        <v>45355</v>
      </c>
    </row>
    <row r="288" spans="1:8" x14ac:dyDescent="0.25">
      <c r="A288" t="s">
        <v>325</v>
      </c>
      <c r="B288">
        <v>53</v>
      </c>
      <c r="C288" t="s">
        <v>24</v>
      </c>
      <c r="D288" t="s">
        <v>10</v>
      </c>
      <c r="E288" t="s">
        <v>10</v>
      </c>
      <c r="F288" t="s">
        <v>53</v>
      </c>
      <c r="G288" t="s">
        <v>78</v>
      </c>
      <c r="H288" s="3">
        <v>45784</v>
      </c>
    </row>
    <row r="289" spans="1:8" x14ac:dyDescent="0.25">
      <c r="A289" t="s">
        <v>326</v>
      </c>
      <c r="B289">
        <v>21</v>
      </c>
      <c r="C289" t="s">
        <v>9</v>
      </c>
      <c r="D289" t="s">
        <v>25</v>
      </c>
      <c r="E289" t="s">
        <v>26</v>
      </c>
      <c r="F289" t="s">
        <v>27</v>
      </c>
      <c r="G289" t="s">
        <v>17</v>
      </c>
      <c r="H289" s="3">
        <v>45163</v>
      </c>
    </row>
    <row r="290" spans="1:8" x14ac:dyDescent="0.25">
      <c r="A290" t="s">
        <v>327</v>
      </c>
      <c r="B290">
        <v>44</v>
      </c>
      <c r="C290" t="s">
        <v>9</v>
      </c>
      <c r="D290" t="s">
        <v>10</v>
      </c>
      <c r="E290" t="s">
        <v>10</v>
      </c>
      <c r="F290" t="s">
        <v>11</v>
      </c>
      <c r="G290" t="s">
        <v>12</v>
      </c>
      <c r="H290" s="3">
        <v>46144</v>
      </c>
    </row>
    <row r="291" spans="1:8" x14ac:dyDescent="0.25">
      <c r="A291" t="s">
        <v>328</v>
      </c>
      <c r="B291">
        <v>34</v>
      </c>
      <c r="C291" t="s">
        <v>9</v>
      </c>
      <c r="D291" t="s">
        <v>25</v>
      </c>
      <c r="E291" t="s">
        <v>26</v>
      </c>
      <c r="F291" t="s">
        <v>27</v>
      </c>
      <c r="G291" t="s">
        <v>12</v>
      </c>
      <c r="H291" s="3">
        <v>45697</v>
      </c>
    </row>
    <row r="292" spans="1:8" x14ac:dyDescent="0.25">
      <c r="A292" t="s">
        <v>329</v>
      </c>
      <c r="B292">
        <v>29</v>
      </c>
      <c r="C292" t="s">
        <v>24</v>
      </c>
      <c r="D292" t="s">
        <v>10</v>
      </c>
      <c r="E292" t="s">
        <v>10</v>
      </c>
      <c r="F292" t="s">
        <v>29</v>
      </c>
      <c r="G292" t="s">
        <v>12</v>
      </c>
      <c r="H292" s="3">
        <v>45684</v>
      </c>
    </row>
    <row r="293" spans="1:8" x14ac:dyDescent="0.25">
      <c r="A293" t="s">
        <v>330</v>
      </c>
      <c r="B293">
        <v>39</v>
      </c>
      <c r="C293" t="s">
        <v>24</v>
      </c>
      <c r="D293" t="s">
        <v>10</v>
      </c>
      <c r="E293" t="s">
        <v>10</v>
      </c>
      <c r="F293" t="s">
        <v>29</v>
      </c>
      <c r="G293" t="s">
        <v>22</v>
      </c>
      <c r="H293" s="3">
        <v>45062</v>
      </c>
    </row>
    <row r="294" spans="1:8" x14ac:dyDescent="0.25">
      <c r="A294" t="s">
        <v>331</v>
      </c>
      <c r="B294">
        <v>34</v>
      </c>
      <c r="C294" t="s">
        <v>24</v>
      </c>
      <c r="D294" t="s">
        <v>43</v>
      </c>
      <c r="E294" t="s">
        <v>44</v>
      </c>
      <c r="F294" t="s">
        <v>45</v>
      </c>
      <c r="G294" t="s">
        <v>22</v>
      </c>
      <c r="H294" s="3">
        <v>45718</v>
      </c>
    </row>
    <row r="295" spans="1:8" x14ac:dyDescent="0.25">
      <c r="A295" t="s">
        <v>332</v>
      </c>
      <c r="B295">
        <v>27</v>
      </c>
      <c r="C295" t="s">
        <v>24</v>
      </c>
      <c r="D295" t="s">
        <v>10</v>
      </c>
      <c r="E295" t="s">
        <v>10</v>
      </c>
      <c r="F295" t="s">
        <v>11</v>
      </c>
      <c r="G295" t="s">
        <v>17</v>
      </c>
      <c r="H295" s="3">
        <v>45097</v>
      </c>
    </row>
    <row r="296" spans="1:8" x14ac:dyDescent="0.25">
      <c r="A296" t="s">
        <v>333</v>
      </c>
      <c r="B296">
        <v>18</v>
      </c>
      <c r="C296" t="s">
        <v>9</v>
      </c>
      <c r="D296" t="s">
        <v>10</v>
      </c>
      <c r="E296" t="s">
        <v>10</v>
      </c>
      <c r="F296" t="s">
        <v>29</v>
      </c>
      <c r="G296" t="s">
        <v>12</v>
      </c>
      <c r="H296" s="3">
        <v>45085</v>
      </c>
    </row>
    <row r="297" spans="1:8" x14ac:dyDescent="0.25">
      <c r="A297" t="s">
        <v>334</v>
      </c>
      <c r="B297">
        <v>39</v>
      </c>
      <c r="C297" t="s">
        <v>9</v>
      </c>
      <c r="D297" t="s">
        <v>25</v>
      </c>
      <c r="E297" t="s">
        <v>26</v>
      </c>
      <c r="F297" t="s">
        <v>27</v>
      </c>
      <c r="G297" t="s">
        <v>12</v>
      </c>
      <c r="H297" s="3">
        <v>45127</v>
      </c>
    </row>
    <row r="298" spans="1:8" x14ac:dyDescent="0.25">
      <c r="A298" t="s">
        <v>335</v>
      </c>
      <c r="B298">
        <v>43</v>
      </c>
      <c r="C298" t="s">
        <v>9</v>
      </c>
      <c r="D298" t="s">
        <v>19</v>
      </c>
      <c r="E298" t="s">
        <v>20</v>
      </c>
      <c r="F298" t="s">
        <v>21</v>
      </c>
      <c r="G298" t="s">
        <v>12</v>
      </c>
      <c r="H298" s="3">
        <v>45888</v>
      </c>
    </row>
    <row r="299" spans="1:8" x14ac:dyDescent="0.25">
      <c r="A299" t="s">
        <v>336</v>
      </c>
      <c r="B299">
        <v>35</v>
      </c>
      <c r="C299" t="s">
        <v>9</v>
      </c>
      <c r="D299" t="s">
        <v>10</v>
      </c>
      <c r="E299" t="s">
        <v>10</v>
      </c>
      <c r="F299" t="s">
        <v>47</v>
      </c>
      <c r="G299" t="s">
        <v>22</v>
      </c>
      <c r="H299" s="3">
        <v>45509</v>
      </c>
    </row>
    <row r="300" spans="1:8" x14ac:dyDescent="0.25">
      <c r="A300" t="s">
        <v>337</v>
      </c>
      <c r="B300">
        <v>31</v>
      </c>
      <c r="C300" t="s">
        <v>9</v>
      </c>
      <c r="D300" t="s">
        <v>25</v>
      </c>
      <c r="E300" t="s">
        <v>38</v>
      </c>
      <c r="F300" t="s">
        <v>39</v>
      </c>
      <c r="G300" t="s">
        <v>22</v>
      </c>
      <c r="H300" s="3">
        <v>45802</v>
      </c>
    </row>
    <row r="301" spans="1:8" x14ac:dyDescent="0.25">
      <c r="A301" t="s">
        <v>338</v>
      </c>
      <c r="B301">
        <v>64</v>
      </c>
      <c r="C301" t="s">
        <v>9</v>
      </c>
      <c r="D301" t="s">
        <v>10</v>
      </c>
      <c r="E301" t="s">
        <v>10</v>
      </c>
      <c r="F301" t="s">
        <v>29</v>
      </c>
      <c r="G301" t="s">
        <v>12</v>
      </c>
      <c r="H301" s="3">
        <v>45297</v>
      </c>
    </row>
    <row r="302" spans="1:8" x14ac:dyDescent="0.25">
      <c r="A302" t="s">
        <v>339</v>
      </c>
      <c r="B302">
        <v>46</v>
      </c>
      <c r="C302" t="s">
        <v>24</v>
      </c>
      <c r="D302" t="s">
        <v>10</v>
      </c>
      <c r="E302" t="s">
        <v>10</v>
      </c>
      <c r="F302" t="s">
        <v>29</v>
      </c>
      <c r="G302" t="s">
        <v>22</v>
      </c>
      <c r="H302" s="3">
        <v>45029</v>
      </c>
    </row>
    <row r="303" spans="1:8" x14ac:dyDescent="0.25">
      <c r="A303" t="s">
        <v>340</v>
      </c>
      <c r="B303">
        <v>29</v>
      </c>
      <c r="C303" t="s">
        <v>24</v>
      </c>
      <c r="D303" t="s">
        <v>25</v>
      </c>
      <c r="E303" t="s">
        <v>26</v>
      </c>
      <c r="F303" t="s">
        <v>27</v>
      </c>
      <c r="G303" t="s">
        <v>12</v>
      </c>
      <c r="H303" s="3">
        <v>45928</v>
      </c>
    </row>
    <row r="304" spans="1:8" x14ac:dyDescent="0.25">
      <c r="A304" t="s">
        <v>341</v>
      </c>
      <c r="B304">
        <v>53</v>
      </c>
      <c r="C304" t="s">
        <v>24</v>
      </c>
      <c r="D304" t="s">
        <v>25</v>
      </c>
      <c r="E304" t="s">
        <v>26</v>
      </c>
      <c r="F304" t="s">
        <v>27</v>
      </c>
      <c r="G304" t="s">
        <v>22</v>
      </c>
      <c r="H304" s="3">
        <v>46075</v>
      </c>
    </row>
    <row r="305" spans="1:8" x14ac:dyDescent="0.25">
      <c r="A305" t="s">
        <v>342</v>
      </c>
      <c r="B305">
        <v>52</v>
      </c>
      <c r="C305" t="s">
        <v>24</v>
      </c>
      <c r="D305" t="s">
        <v>25</v>
      </c>
      <c r="E305" t="s">
        <v>38</v>
      </c>
      <c r="F305" t="s">
        <v>39</v>
      </c>
      <c r="G305" t="s">
        <v>12</v>
      </c>
      <c r="H305" s="3">
        <v>45902</v>
      </c>
    </row>
    <row r="306" spans="1:8" x14ac:dyDescent="0.25">
      <c r="A306" t="s">
        <v>343</v>
      </c>
      <c r="B306">
        <v>29</v>
      </c>
      <c r="C306" t="s">
        <v>24</v>
      </c>
      <c r="D306" t="s">
        <v>19</v>
      </c>
      <c r="E306" t="s">
        <v>20</v>
      </c>
      <c r="F306" t="s">
        <v>21</v>
      </c>
      <c r="G306" t="s">
        <v>22</v>
      </c>
      <c r="H306" s="3">
        <v>45724</v>
      </c>
    </row>
    <row r="307" spans="1:8" x14ac:dyDescent="0.25">
      <c r="A307" t="s">
        <v>344</v>
      </c>
      <c r="B307">
        <v>24</v>
      </c>
      <c r="C307" t="s">
        <v>9</v>
      </c>
      <c r="D307" t="s">
        <v>14</v>
      </c>
      <c r="E307" t="s">
        <v>15</v>
      </c>
      <c r="F307" t="s">
        <v>16</v>
      </c>
      <c r="G307" t="s">
        <v>22</v>
      </c>
      <c r="H307" s="3">
        <v>46180</v>
      </c>
    </row>
    <row r="308" spans="1:8" x14ac:dyDescent="0.25">
      <c r="A308" t="s">
        <v>345</v>
      </c>
      <c r="B308">
        <v>46</v>
      </c>
      <c r="C308" t="s">
        <v>24</v>
      </c>
      <c r="D308" t="s">
        <v>25</v>
      </c>
      <c r="E308" t="s">
        <v>26</v>
      </c>
      <c r="F308" t="s">
        <v>27</v>
      </c>
      <c r="G308" t="s">
        <v>12</v>
      </c>
      <c r="H308" s="3">
        <v>45584</v>
      </c>
    </row>
    <row r="309" spans="1:8" x14ac:dyDescent="0.25">
      <c r="A309" t="s">
        <v>346</v>
      </c>
      <c r="B309">
        <v>28</v>
      </c>
      <c r="C309" t="s">
        <v>24</v>
      </c>
      <c r="D309" t="s">
        <v>10</v>
      </c>
      <c r="E309" t="s">
        <v>10</v>
      </c>
      <c r="F309" t="s">
        <v>11</v>
      </c>
      <c r="G309" t="s">
        <v>22</v>
      </c>
      <c r="H309" s="3">
        <v>45808</v>
      </c>
    </row>
    <row r="310" spans="1:8" x14ac:dyDescent="0.25">
      <c r="A310" t="s">
        <v>347</v>
      </c>
      <c r="B310">
        <v>50</v>
      </c>
      <c r="C310" t="s">
        <v>9</v>
      </c>
      <c r="D310" t="s">
        <v>43</v>
      </c>
      <c r="E310" t="s">
        <v>44</v>
      </c>
      <c r="F310" t="s">
        <v>45</v>
      </c>
      <c r="G310" t="s">
        <v>12</v>
      </c>
      <c r="H310" s="3">
        <v>46147</v>
      </c>
    </row>
    <row r="311" spans="1:8" x14ac:dyDescent="0.25">
      <c r="A311" t="s">
        <v>348</v>
      </c>
      <c r="B311">
        <v>23</v>
      </c>
      <c r="C311" t="s">
        <v>9</v>
      </c>
      <c r="D311" t="s">
        <v>10</v>
      </c>
      <c r="E311" t="s">
        <v>10</v>
      </c>
      <c r="F311" t="s">
        <v>47</v>
      </c>
      <c r="G311" t="s">
        <v>12</v>
      </c>
      <c r="H311" s="3">
        <v>45659</v>
      </c>
    </row>
    <row r="312" spans="1:8" x14ac:dyDescent="0.25">
      <c r="A312" t="s">
        <v>349</v>
      </c>
      <c r="B312">
        <v>64</v>
      </c>
      <c r="C312" t="s">
        <v>24</v>
      </c>
      <c r="D312" t="s">
        <v>10</v>
      </c>
      <c r="E312" t="s">
        <v>10</v>
      </c>
      <c r="F312" t="s">
        <v>53</v>
      </c>
      <c r="G312" t="s">
        <v>12</v>
      </c>
      <c r="H312" s="3">
        <v>45349</v>
      </c>
    </row>
    <row r="313" spans="1:8" x14ac:dyDescent="0.25">
      <c r="A313" t="s">
        <v>350</v>
      </c>
      <c r="B313">
        <v>32</v>
      </c>
      <c r="C313" t="s">
        <v>9</v>
      </c>
      <c r="D313" t="s">
        <v>10</v>
      </c>
      <c r="E313" t="s">
        <v>10</v>
      </c>
      <c r="F313" t="s">
        <v>29</v>
      </c>
      <c r="G313" t="s">
        <v>78</v>
      </c>
      <c r="H313" s="3">
        <v>45498</v>
      </c>
    </row>
    <row r="314" spans="1:8" x14ac:dyDescent="0.25">
      <c r="A314" t="s">
        <v>351</v>
      </c>
      <c r="B314">
        <v>49</v>
      </c>
      <c r="C314" t="s">
        <v>24</v>
      </c>
      <c r="D314" t="s">
        <v>10</v>
      </c>
      <c r="E314" t="s">
        <v>10</v>
      </c>
      <c r="F314" t="s">
        <v>29</v>
      </c>
      <c r="G314" t="s">
        <v>22</v>
      </c>
      <c r="H314" s="3">
        <v>45097</v>
      </c>
    </row>
    <row r="315" spans="1:8" x14ac:dyDescent="0.25">
      <c r="A315" t="s">
        <v>352</v>
      </c>
      <c r="B315">
        <v>28</v>
      </c>
      <c r="C315" t="s">
        <v>24</v>
      </c>
      <c r="D315" t="s">
        <v>14</v>
      </c>
      <c r="E315" t="s">
        <v>15</v>
      </c>
      <c r="F315" t="s">
        <v>16</v>
      </c>
      <c r="G315" t="s">
        <v>22</v>
      </c>
      <c r="H315" s="3">
        <v>45099</v>
      </c>
    </row>
    <row r="316" spans="1:8" x14ac:dyDescent="0.25">
      <c r="A316" t="s">
        <v>353</v>
      </c>
      <c r="B316">
        <v>40</v>
      </c>
      <c r="C316" t="s">
        <v>9</v>
      </c>
      <c r="D316" t="s">
        <v>43</v>
      </c>
      <c r="E316" t="s">
        <v>44</v>
      </c>
      <c r="F316" t="s">
        <v>45</v>
      </c>
      <c r="G316" t="s">
        <v>22</v>
      </c>
      <c r="H316" s="3">
        <v>45589</v>
      </c>
    </row>
    <row r="317" spans="1:8" x14ac:dyDescent="0.25">
      <c r="A317" t="s">
        <v>354</v>
      </c>
      <c r="B317">
        <v>43</v>
      </c>
      <c r="C317" t="s">
        <v>9</v>
      </c>
      <c r="D317" t="s">
        <v>25</v>
      </c>
      <c r="E317" t="s">
        <v>38</v>
      </c>
      <c r="F317" t="s">
        <v>39</v>
      </c>
      <c r="G317" t="s">
        <v>12</v>
      </c>
      <c r="H317" s="3">
        <v>45379</v>
      </c>
    </row>
    <row r="318" spans="1:8" x14ac:dyDescent="0.25">
      <c r="A318" t="s">
        <v>355</v>
      </c>
      <c r="B318">
        <v>51</v>
      </c>
      <c r="C318" t="s">
        <v>9</v>
      </c>
      <c r="D318" t="s">
        <v>10</v>
      </c>
      <c r="E318" t="s">
        <v>10</v>
      </c>
      <c r="F318" t="s">
        <v>11</v>
      </c>
      <c r="G318" t="s">
        <v>78</v>
      </c>
      <c r="H318" s="3">
        <v>45276</v>
      </c>
    </row>
    <row r="319" spans="1:8" x14ac:dyDescent="0.25">
      <c r="A319" t="s">
        <v>356</v>
      </c>
      <c r="B319">
        <v>63</v>
      </c>
      <c r="C319" t="s">
        <v>9</v>
      </c>
      <c r="D319" t="s">
        <v>10</v>
      </c>
      <c r="E319" t="s">
        <v>10</v>
      </c>
      <c r="F319" t="s">
        <v>47</v>
      </c>
      <c r="G319" t="s">
        <v>12</v>
      </c>
      <c r="H319" s="3">
        <v>45420</v>
      </c>
    </row>
    <row r="320" spans="1:8" x14ac:dyDescent="0.25">
      <c r="A320" t="s">
        <v>357</v>
      </c>
      <c r="B320">
        <v>51</v>
      </c>
      <c r="C320" t="s">
        <v>9</v>
      </c>
      <c r="D320" t="s">
        <v>10</v>
      </c>
      <c r="E320" t="s">
        <v>10</v>
      </c>
      <c r="F320" t="s">
        <v>29</v>
      </c>
      <c r="G320" t="s">
        <v>12</v>
      </c>
      <c r="H320" s="3">
        <v>45546</v>
      </c>
    </row>
    <row r="321" spans="1:8" x14ac:dyDescent="0.25">
      <c r="A321" t="s">
        <v>358</v>
      </c>
      <c r="B321">
        <v>46</v>
      </c>
      <c r="C321" t="s">
        <v>24</v>
      </c>
      <c r="D321" t="s">
        <v>10</v>
      </c>
      <c r="E321" t="s">
        <v>10</v>
      </c>
      <c r="F321" t="s">
        <v>47</v>
      </c>
      <c r="G321" t="s">
        <v>12</v>
      </c>
      <c r="H321" s="3">
        <v>45954</v>
      </c>
    </row>
    <row r="322" spans="1:8" x14ac:dyDescent="0.25">
      <c r="A322" t="s">
        <v>359</v>
      </c>
      <c r="B322">
        <v>21</v>
      </c>
      <c r="C322" t="s">
        <v>9</v>
      </c>
      <c r="D322" t="s">
        <v>25</v>
      </c>
      <c r="E322" t="s">
        <v>26</v>
      </c>
      <c r="F322" t="s">
        <v>27</v>
      </c>
      <c r="G322" t="s">
        <v>22</v>
      </c>
      <c r="H322" s="3">
        <v>46043</v>
      </c>
    </row>
    <row r="323" spans="1:8" x14ac:dyDescent="0.25">
      <c r="A323" t="s">
        <v>360</v>
      </c>
      <c r="B323">
        <v>34</v>
      </c>
      <c r="C323" t="s">
        <v>24</v>
      </c>
      <c r="D323" t="s">
        <v>19</v>
      </c>
      <c r="E323" t="s">
        <v>20</v>
      </c>
      <c r="F323" t="s">
        <v>21</v>
      </c>
      <c r="G323" t="s">
        <v>22</v>
      </c>
      <c r="H323" s="3">
        <v>45845</v>
      </c>
    </row>
    <row r="324" spans="1:8" x14ac:dyDescent="0.25">
      <c r="A324" t="s">
        <v>361</v>
      </c>
      <c r="B324">
        <v>52</v>
      </c>
      <c r="C324" t="s">
        <v>9</v>
      </c>
      <c r="D324" t="s">
        <v>25</v>
      </c>
      <c r="E324" t="s">
        <v>38</v>
      </c>
      <c r="F324" t="s">
        <v>39</v>
      </c>
      <c r="G324" t="s">
        <v>12</v>
      </c>
      <c r="H324" s="3">
        <v>44932</v>
      </c>
    </row>
    <row r="325" spans="1:8" x14ac:dyDescent="0.25">
      <c r="A325" t="s">
        <v>362</v>
      </c>
      <c r="B325">
        <v>30</v>
      </c>
      <c r="C325" t="s">
        <v>24</v>
      </c>
      <c r="D325" t="s">
        <v>10</v>
      </c>
      <c r="E325" t="s">
        <v>10</v>
      </c>
      <c r="F325" t="s">
        <v>47</v>
      </c>
      <c r="G325" t="s">
        <v>17</v>
      </c>
      <c r="H325" s="3">
        <v>45214</v>
      </c>
    </row>
    <row r="326" spans="1:8" x14ac:dyDescent="0.25">
      <c r="A326" t="s">
        <v>363</v>
      </c>
      <c r="B326">
        <v>58</v>
      </c>
      <c r="C326" t="s">
        <v>9</v>
      </c>
      <c r="D326" t="s">
        <v>14</v>
      </c>
      <c r="E326" t="s">
        <v>15</v>
      </c>
      <c r="F326" t="s">
        <v>16</v>
      </c>
      <c r="G326" t="s">
        <v>22</v>
      </c>
      <c r="H326" s="3">
        <v>46096</v>
      </c>
    </row>
    <row r="327" spans="1:8" x14ac:dyDescent="0.25">
      <c r="A327" t="s">
        <v>364</v>
      </c>
      <c r="B327">
        <v>56</v>
      </c>
      <c r="C327" t="s">
        <v>9</v>
      </c>
      <c r="D327" t="s">
        <v>19</v>
      </c>
      <c r="E327" t="s">
        <v>20</v>
      </c>
      <c r="F327" t="s">
        <v>21</v>
      </c>
      <c r="G327" t="s">
        <v>17</v>
      </c>
      <c r="H327" s="3">
        <v>45534</v>
      </c>
    </row>
    <row r="328" spans="1:8" x14ac:dyDescent="0.25">
      <c r="A328" t="s">
        <v>365</v>
      </c>
      <c r="B328">
        <v>32</v>
      </c>
      <c r="C328" t="s">
        <v>24</v>
      </c>
      <c r="D328" t="s">
        <v>25</v>
      </c>
      <c r="E328" t="s">
        <v>26</v>
      </c>
      <c r="F328" t="s">
        <v>27</v>
      </c>
      <c r="G328" t="s">
        <v>22</v>
      </c>
      <c r="H328" s="3">
        <v>45383</v>
      </c>
    </row>
    <row r="329" spans="1:8" x14ac:dyDescent="0.25">
      <c r="A329" t="s">
        <v>366</v>
      </c>
      <c r="B329">
        <v>46</v>
      </c>
      <c r="C329" t="s">
        <v>24</v>
      </c>
      <c r="D329" t="s">
        <v>25</v>
      </c>
      <c r="E329" t="s">
        <v>38</v>
      </c>
      <c r="F329" t="s">
        <v>39</v>
      </c>
      <c r="G329" t="s">
        <v>78</v>
      </c>
      <c r="H329" s="3">
        <v>46152</v>
      </c>
    </row>
    <row r="330" spans="1:8" x14ac:dyDescent="0.25">
      <c r="A330" t="s">
        <v>367</v>
      </c>
      <c r="B330">
        <v>46</v>
      </c>
      <c r="C330" t="s">
        <v>9</v>
      </c>
      <c r="D330" t="s">
        <v>10</v>
      </c>
      <c r="E330" t="s">
        <v>10</v>
      </c>
      <c r="F330" t="s">
        <v>53</v>
      </c>
      <c r="G330" t="s">
        <v>12</v>
      </c>
      <c r="H330" s="3">
        <v>46162</v>
      </c>
    </row>
    <row r="331" spans="1:8" x14ac:dyDescent="0.25">
      <c r="A331" t="s">
        <v>368</v>
      </c>
      <c r="B331">
        <v>28</v>
      </c>
      <c r="C331" t="s">
        <v>24</v>
      </c>
      <c r="D331" t="s">
        <v>10</v>
      </c>
      <c r="E331" t="s">
        <v>10</v>
      </c>
      <c r="F331" t="s">
        <v>47</v>
      </c>
      <c r="G331" t="s">
        <v>12</v>
      </c>
      <c r="H331" s="3">
        <v>45956</v>
      </c>
    </row>
    <row r="332" spans="1:8" x14ac:dyDescent="0.25">
      <c r="A332" t="s">
        <v>369</v>
      </c>
      <c r="B332">
        <v>49</v>
      </c>
      <c r="C332" t="s">
        <v>9</v>
      </c>
      <c r="D332" t="s">
        <v>10</v>
      </c>
      <c r="E332" t="s">
        <v>10</v>
      </c>
      <c r="F332" t="s">
        <v>11</v>
      </c>
      <c r="G332" t="s">
        <v>22</v>
      </c>
      <c r="H332" s="3">
        <v>45550</v>
      </c>
    </row>
    <row r="333" spans="1:8" x14ac:dyDescent="0.25">
      <c r="A333" t="s">
        <v>370</v>
      </c>
      <c r="B333">
        <v>19</v>
      </c>
      <c r="C333" t="s">
        <v>24</v>
      </c>
      <c r="D333" t="s">
        <v>19</v>
      </c>
      <c r="E333" t="s">
        <v>20</v>
      </c>
      <c r="F333" t="s">
        <v>21</v>
      </c>
      <c r="G333" t="s">
        <v>22</v>
      </c>
      <c r="H333" s="3">
        <v>45302</v>
      </c>
    </row>
    <row r="334" spans="1:8" x14ac:dyDescent="0.25">
      <c r="A334" t="s">
        <v>371</v>
      </c>
      <c r="B334">
        <v>64</v>
      </c>
      <c r="C334" t="s">
        <v>9</v>
      </c>
      <c r="D334" t="s">
        <v>10</v>
      </c>
      <c r="E334" t="s">
        <v>10</v>
      </c>
      <c r="F334" t="s">
        <v>29</v>
      </c>
      <c r="G334" t="s">
        <v>12</v>
      </c>
      <c r="H334" s="3">
        <v>45373</v>
      </c>
    </row>
    <row r="335" spans="1:8" x14ac:dyDescent="0.25">
      <c r="A335" t="s">
        <v>372</v>
      </c>
      <c r="B335">
        <v>31</v>
      </c>
      <c r="C335" t="s">
        <v>9</v>
      </c>
      <c r="D335" t="s">
        <v>10</v>
      </c>
      <c r="E335" t="s">
        <v>10</v>
      </c>
      <c r="F335" t="s">
        <v>29</v>
      </c>
      <c r="G335" t="s">
        <v>78</v>
      </c>
      <c r="H335" s="3">
        <v>45761</v>
      </c>
    </row>
    <row r="336" spans="1:8" x14ac:dyDescent="0.25">
      <c r="A336" t="s">
        <v>373</v>
      </c>
      <c r="B336">
        <v>37</v>
      </c>
      <c r="C336" t="s">
        <v>24</v>
      </c>
      <c r="D336" t="s">
        <v>10</v>
      </c>
      <c r="E336" t="s">
        <v>10</v>
      </c>
      <c r="F336" t="s">
        <v>29</v>
      </c>
      <c r="G336" t="s">
        <v>17</v>
      </c>
      <c r="H336" s="3">
        <v>46056</v>
      </c>
    </row>
    <row r="337" spans="1:8" x14ac:dyDescent="0.25">
      <c r="A337" t="s">
        <v>374</v>
      </c>
      <c r="B337">
        <v>39</v>
      </c>
      <c r="C337" t="s">
        <v>24</v>
      </c>
      <c r="D337" t="s">
        <v>10</v>
      </c>
      <c r="E337" t="s">
        <v>10</v>
      </c>
      <c r="F337" t="s">
        <v>29</v>
      </c>
      <c r="G337" t="s">
        <v>12</v>
      </c>
      <c r="H337" s="3">
        <v>45737</v>
      </c>
    </row>
    <row r="338" spans="1:8" x14ac:dyDescent="0.25">
      <c r="A338" t="s">
        <v>375</v>
      </c>
      <c r="B338">
        <v>28</v>
      </c>
      <c r="C338" t="s">
        <v>9</v>
      </c>
      <c r="D338" t="s">
        <v>33</v>
      </c>
      <c r="E338" t="s">
        <v>34</v>
      </c>
      <c r="F338" t="s">
        <v>35</v>
      </c>
      <c r="G338" t="s">
        <v>22</v>
      </c>
      <c r="H338" s="3">
        <v>46046</v>
      </c>
    </row>
    <row r="339" spans="1:8" x14ac:dyDescent="0.25">
      <c r="A339" t="s">
        <v>376</v>
      </c>
      <c r="B339">
        <v>44</v>
      </c>
      <c r="C339" t="s">
        <v>24</v>
      </c>
      <c r="D339" t="s">
        <v>25</v>
      </c>
      <c r="E339" t="s">
        <v>38</v>
      </c>
      <c r="F339" t="s">
        <v>39</v>
      </c>
      <c r="G339" t="s">
        <v>22</v>
      </c>
      <c r="H339" s="3">
        <v>45885</v>
      </c>
    </row>
    <row r="340" spans="1:8" x14ac:dyDescent="0.25">
      <c r="A340" t="s">
        <v>377</v>
      </c>
      <c r="B340">
        <v>20</v>
      </c>
      <c r="C340" t="s">
        <v>24</v>
      </c>
      <c r="D340" t="s">
        <v>10</v>
      </c>
      <c r="E340" t="s">
        <v>10</v>
      </c>
      <c r="F340" t="s">
        <v>53</v>
      </c>
      <c r="G340" t="s">
        <v>12</v>
      </c>
      <c r="H340" s="3">
        <v>45775</v>
      </c>
    </row>
    <row r="341" spans="1:8" x14ac:dyDescent="0.25">
      <c r="A341" t="s">
        <v>378</v>
      </c>
      <c r="B341">
        <v>34</v>
      </c>
      <c r="C341" t="s">
        <v>9</v>
      </c>
      <c r="D341" t="s">
        <v>10</v>
      </c>
      <c r="E341" t="s">
        <v>10</v>
      </c>
      <c r="F341" t="s">
        <v>29</v>
      </c>
      <c r="G341" t="s">
        <v>22</v>
      </c>
      <c r="H341" s="3">
        <v>45735</v>
      </c>
    </row>
    <row r="342" spans="1:8" x14ac:dyDescent="0.25">
      <c r="A342" t="s">
        <v>379</v>
      </c>
      <c r="B342">
        <v>61</v>
      </c>
      <c r="C342" t="s">
        <v>24</v>
      </c>
      <c r="D342" t="s">
        <v>10</v>
      </c>
      <c r="E342" t="s">
        <v>10</v>
      </c>
      <c r="F342" t="s">
        <v>53</v>
      </c>
      <c r="G342" t="s">
        <v>12</v>
      </c>
      <c r="H342" s="3">
        <v>45905</v>
      </c>
    </row>
    <row r="343" spans="1:8" x14ac:dyDescent="0.25">
      <c r="A343" t="s">
        <v>380</v>
      </c>
      <c r="B343">
        <v>45</v>
      </c>
      <c r="C343" t="s">
        <v>8663</v>
      </c>
      <c r="D343" t="s">
        <v>10</v>
      </c>
      <c r="E343" t="s">
        <v>10</v>
      </c>
      <c r="F343" t="s">
        <v>53</v>
      </c>
      <c r="G343" t="s">
        <v>12</v>
      </c>
      <c r="H343" s="3">
        <v>45342</v>
      </c>
    </row>
    <row r="344" spans="1:8" x14ac:dyDescent="0.25">
      <c r="A344" t="s">
        <v>381</v>
      </c>
      <c r="B344">
        <v>46</v>
      </c>
      <c r="C344" t="s">
        <v>24</v>
      </c>
      <c r="D344" t="s">
        <v>10</v>
      </c>
      <c r="E344" t="s">
        <v>10</v>
      </c>
      <c r="F344" t="s">
        <v>47</v>
      </c>
      <c r="G344" t="s">
        <v>12</v>
      </c>
      <c r="H344" s="3">
        <v>45652</v>
      </c>
    </row>
    <row r="345" spans="1:8" x14ac:dyDescent="0.25">
      <c r="A345" t="s">
        <v>382</v>
      </c>
      <c r="B345">
        <v>38</v>
      </c>
      <c r="C345" t="s">
        <v>24</v>
      </c>
      <c r="D345" t="s">
        <v>10</v>
      </c>
      <c r="E345" t="s">
        <v>10</v>
      </c>
      <c r="F345" t="s">
        <v>53</v>
      </c>
      <c r="G345" t="s">
        <v>22</v>
      </c>
      <c r="H345" s="3">
        <v>45380</v>
      </c>
    </row>
    <row r="346" spans="1:8" x14ac:dyDescent="0.25">
      <c r="A346" t="s">
        <v>383</v>
      </c>
      <c r="B346">
        <v>64</v>
      </c>
      <c r="C346" t="s">
        <v>24</v>
      </c>
      <c r="D346" t="s">
        <v>10</v>
      </c>
      <c r="E346" t="s">
        <v>10</v>
      </c>
      <c r="F346" t="s">
        <v>11</v>
      </c>
      <c r="G346" t="s">
        <v>12</v>
      </c>
      <c r="H346" s="3">
        <v>46143</v>
      </c>
    </row>
    <row r="347" spans="1:8" x14ac:dyDescent="0.25">
      <c r="A347" t="s">
        <v>384</v>
      </c>
      <c r="B347">
        <v>33</v>
      </c>
      <c r="C347" t="s">
        <v>9</v>
      </c>
      <c r="D347" t="s">
        <v>25</v>
      </c>
      <c r="E347" t="s">
        <v>38</v>
      </c>
      <c r="F347" t="s">
        <v>39</v>
      </c>
      <c r="G347" t="s">
        <v>12</v>
      </c>
      <c r="H347" s="3">
        <v>45076</v>
      </c>
    </row>
    <row r="348" spans="1:8" x14ac:dyDescent="0.25">
      <c r="A348" t="s">
        <v>385</v>
      </c>
      <c r="B348">
        <v>54</v>
      </c>
      <c r="C348" t="s">
        <v>9</v>
      </c>
      <c r="D348" t="s">
        <v>25</v>
      </c>
      <c r="E348" t="s">
        <v>38</v>
      </c>
      <c r="F348" t="s">
        <v>39</v>
      </c>
      <c r="G348" t="s">
        <v>12</v>
      </c>
      <c r="H348" s="3">
        <v>45685</v>
      </c>
    </row>
    <row r="349" spans="1:8" x14ac:dyDescent="0.25">
      <c r="A349" t="s">
        <v>386</v>
      </c>
      <c r="B349">
        <v>37</v>
      </c>
      <c r="C349" t="s">
        <v>9</v>
      </c>
      <c r="D349" t="s">
        <v>10</v>
      </c>
      <c r="E349" t="s">
        <v>10</v>
      </c>
      <c r="F349" t="s">
        <v>29</v>
      </c>
      <c r="G349" t="s">
        <v>22</v>
      </c>
      <c r="H349" s="3">
        <v>45705</v>
      </c>
    </row>
    <row r="350" spans="1:8" x14ac:dyDescent="0.25">
      <c r="A350" t="s">
        <v>387</v>
      </c>
      <c r="B350">
        <v>23</v>
      </c>
      <c r="C350" t="s">
        <v>9</v>
      </c>
      <c r="D350" t="s">
        <v>10</v>
      </c>
      <c r="E350" t="s">
        <v>10</v>
      </c>
      <c r="F350" t="s">
        <v>11</v>
      </c>
      <c r="G350" t="s">
        <v>12</v>
      </c>
      <c r="H350" s="3">
        <v>45899</v>
      </c>
    </row>
    <row r="351" spans="1:8" x14ac:dyDescent="0.25">
      <c r="A351" t="s">
        <v>388</v>
      </c>
      <c r="B351">
        <v>36</v>
      </c>
      <c r="C351" t="s">
        <v>9</v>
      </c>
      <c r="D351" t="s">
        <v>25</v>
      </c>
      <c r="E351" t="s">
        <v>38</v>
      </c>
      <c r="F351" t="s">
        <v>39</v>
      </c>
      <c r="G351" t="s">
        <v>22</v>
      </c>
      <c r="H351" s="3">
        <v>45689</v>
      </c>
    </row>
    <row r="352" spans="1:8" x14ac:dyDescent="0.25">
      <c r="A352" t="s">
        <v>389</v>
      </c>
      <c r="B352">
        <v>22</v>
      </c>
      <c r="C352" t="s">
        <v>24</v>
      </c>
      <c r="D352" t="s">
        <v>25</v>
      </c>
      <c r="E352" t="s">
        <v>26</v>
      </c>
      <c r="F352" t="s">
        <v>27</v>
      </c>
      <c r="G352" t="s">
        <v>12</v>
      </c>
      <c r="H352" s="3">
        <v>45928</v>
      </c>
    </row>
    <row r="353" spans="1:8" x14ac:dyDescent="0.25">
      <c r="A353" t="s">
        <v>390</v>
      </c>
      <c r="B353">
        <v>20</v>
      </c>
      <c r="C353" t="s">
        <v>9</v>
      </c>
      <c r="D353" t="s">
        <v>33</v>
      </c>
      <c r="E353" t="s">
        <v>34</v>
      </c>
      <c r="F353" t="s">
        <v>35</v>
      </c>
      <c r="G353" t="s">
        <v>12</v>
      </c>
      <c r="H353" s="3">
        <v>45002</v>
      </c>
    </row>
    <row r="354" spans="1:8" x14ac:dyDescent="0.25">
      <c r="A354" t="s">
        <v>391</v>
      </c>
      <c r="B354">
        <v>18</v>
      </c>
      <c r="C354" t="s">
        <v>9</v>
      </c>
      <c r="D354" t="s">
        <v>25</v>
      </c>
      <c r="E354" t="s">
        <v>38</v>
      </c>
      <c r="F354" t="s">
        <v>39</v>
      </c>
      <c r="G354" t="s">
        <v>12</v>
      </c>
      <c r="H354" s="3">
        <v>45525</v>
      </c>
    </row>
    <row r="355" spans="1:8" x14ac:dyDescent="0.25">
      <c r="A355" t="s">
        <v>392</v>
      </c>
      <c r="B355">
        <v>55</v>
      </c>
      <c r="C355" t="s">
        <v>24</v>
      </c>
      <c r="D355" t="s">
        <v>10</v>
      </c>
      <c r="E355" t="s">
        <v>10</v>
      </c>
      <c r="F355" t="s">
        <v>47</v>
      </c>
      <c r="G355" t="s">
        <v>22</v>
      </c>
      <c r="H355" s="3">
        <v>45151</v>
      </c>
    </row>
    <row r="356" spans="1:8" x14ac:dyDescent="0.25">
      <c r="A356" t="s">
        <v>393</v>
      </c>
      <c r="B356">
        <v>32</v>
      </c>
      <c r="C356" t="s">
        <v>9</v>
      </c>
      <c r="D356" t="s">
        <v>10</v>
      </c>
      <c r="E356" t="s">
        <v>10</v>
      </c>
      <c r="F356" t="s">
        <v>29</v>
      </c>
      <c r="G356" t="s">
        <v>22</v>
      </c>
      <c r="H356" s="3">
        <v>45039</v>
      </c>
    </row>
    <row r="357" spans="1:8" x14ac:dyDescent="0.25">
      <c r="A357" t="s">
        <v>394</v>
      </c>
      <c r="B357">
        <v>51</v>
      </c>
      <c r="C357" t="s">
        <v>24</v>
      </c>
      <c r="D357" t="s">
        <v>25</v>
      </c>
      <c r="E357" t="s">
        <v>38</v>
      </c>
      <c r="F357" t="s">
        <v>39</v>
      </c>
      <c r="G357" t="s">
        <v>17</v>
      </c>
      <c r="H357" s="3">
        <v>45177</v>
      </c>
    </row>
    <row r="358" spans="1:8" x14ac:dyDescent="0.25">
      <c r="A358" t="s">
        <v>395</v>
      </c>
      <c r="B358">
        <v>52</v>
      </c>
      <c r="C358" t="s">
        <v>9</v>
      </c>
      <c r="D358" t="s">
        <v>10</v>
      </c>
      <c r="E358" t="s">
        <v>10</v>
      </c>
      <c r="F358" t="s">
        <v>29</v>
      </c>
      <c r="G358" t="s">
        <v>12</v>
      </c>
      <c r="H358" s="3">
        <v>46183</v>
      </c>
    </row>
    <row r="359" spans="1:8" x14ac:dyDescent="0.25">
      <c r="A359" t="s">
        <v>396</v>
      </c>
      <c r="B359">
        <v>42</v>
      </c>
      <c r="C359" t="s">
        <v>24</v>
      </c>
      <c r="D359" t="s">
        <v>25</v>
      </c>
      <c r="E359" t="s">
        <v>26</v>
      </c>
      <c r="F359" t="s">
        <v>27</v>
      </c>
      <c r="G359" t="s">
        <v>17</v>
      </c>
      <c r="H359" s="3">
        <v>45767</v>
      </c>
    </row>
    <row r="360" spans="1:8" x14ac:dyDescent="0.25">
      <c r="A360" t="s">
        <v>397</v>
      </c>
      <c r="B360">
        <v>41</v>
      </c>
      <c r="C360" t="s">
        <v>9</v>
      </c>
      <c r="D360" t="s">
        <v>14</v>
      </c>
      <c r="E360" t="s">
        <v>15</v>
      </c>
      <c r="F360" t="s">
        <v>16</v>
      </c>
      <c r="G360" t="s">
        <v>12</v>
      </c>
      <c r="H360" s="3">
        <v>45640</v>
      </c>
    </row>
    <row r="361" spans="1:8" x14ac:dyDescent="0.25">
      <c r="A361" t="s">
        <v>398</v>
      </c>
      <c r="B361">
        <v>29</v>
      </c>
      <c r="C361" t="s">
        <v>9</v>
      </c>
      <c r="D361" t="s">
        <v>25</v>
      </c>
      <c r="E361" t="s">
        <v>26</v>
      </c>
      <c r="F361" t="s">
        <v>27</v>
      </c>
      <c r="G361" t="s">
        <v>12</v>
      </c>
      <c r="H361" s="3">
        <v>46033</v>
      </c>
    </row>
    <row r="362" spans="1:8" x14ac:dyDescent="0.25">
      <c r="A362" t="s">
        <v>399</v>
      </c>
      <c r="B362">
        <v>35</v>
      </c>
      <c r="C362" t="s">
        <v>24</v>
      </c>
      <c r="D362" t="s">
        <v>10</v>
      </c>
      <c r="E362" t="s">
        <v>10</v>
      </c>
      <c r="F362" t="s">
        <v>11</v>
      </c>
      <c r="G362" t="s">
        <v>12</v>
      </c>
      <c r="H362" s="3">
        <v>45051</v>
      </c>
    </row>
    <row r="363" spans="1:8" x14ac:dyDescent="0.25">
      <c r="A363" t="s">
        <v>400</v>
      </c>
      <c r="B363">
        <v>32</v>
      </c>
      <c r="C363" t="s">
        <v>9</v>
      </c>
      <c r="D363" t="s">
        <v>25</v>
      </c>
      <c r="E363" t="s">
        <v>38</v>
      </c>
      <c r="F363" t="s">
        <v>39</v>
      </c>
      <c r="G363" t="s">
        <v>12</v>
      </c>
      <c r="H363" s="3">
        <v>46125</v>
      </c>
    </row>
    <row r="364" spans="1:8" x14ac:dyDescent="0.25">
      <c r="A364" t="s">
        <v>401</v>
      </c>
      <c r="B364">
        <v>61</v>
      </c>
      <c r="C364" t="s">
        <v>24</v>
      </c>
      <c r="D364" t="s">
        <v>10</v>
      </c>
      <c r="E364" t="s">
        <v>10</v>
      </c>
      <c r="F364" t="s">
        <v>53</v>
      </c>
      <c r="G364" t="s">
        <v>12</v>
      </c>
      <c r="H364" s="3">
        <v>46019</v>
      </c>
    </row>
    <row r="365" spans="1:8" x14ac:dyDescent="0.25">
      <c r="A365" t="s">
        <v>402</v>
      </c>
      <c r="B365">
        <v>33</v>
      </c>
      <c r="C365" t="s">
        <v>9</v>
      </c>
      <c r="D365" t="s">
        <v>25</v>
      </c>
      <c r="E365" t="s">
        <v>26</v>
      </c>
      <c r="F365" t="s">
        <v>27</v>
      </c>
      <c r="G365" t="s">
        <v>12</v>
      </c>
      <c r="H365" s="3">
        <v>45997</v>
      </c>
    </row>
    <row r="366" spans="1:8" x14ac:dyDescent="0.25">
      <c r="A366" t="s">
        <v>403</v>
      </c>
      <c r="B366">
        <v>44</v>
      </c>
      <c r="C366" t="s">
        <v>9</v>
      </c>
      <c r="D366" t="s">
        <v>14</v>
      </c>
      <c r="E366" t="s">
        <v>15</v>
      </c>
      <c r="F366" t="s">
        <v>16</v>
      </c>
      <c r="G366" t="s">
        <v>22</v>
      </c>
      <c r="H366" s="3">
        <v>45810</v>
      </c>
    </row>
    <row r="367" spans="1:8" x14ac:dyDescent="0.25">
      <c r="A367" t="s">
        <v>404</v>
      </c>
      <c r="B367">
        <v>25</v>
      </c>
      <c r="C367" t="s">
        <v>24</v>
      </c>
      <c r="D367" t="s">
        <v>10</v>
      </c>
      <c r="E367" t="s">
        <v>10</v>
      </c>
      <c r="F367" t="s">
        <v>11</v>
      </c>
      <c r="G367" t="s">
        <v>12</v>
      </c>
      <c r="H367" s="3">
        <v>44956</v>
      </c>
    </row>
    <row r="368" spans="1:8" x14ac:dyDescent="0.25">
      <c r="A368" t="s">
        <v>405</v>
      </c>
      <c r="B368">
        <v>63</v>
      </c>
      <c r="C368" t="s">
        <v>9</v>
      </c>
      <c r="D368" t="s">
        <v>14</v>
      </c>
      <c r="E368" t="s">
        <v>15</v>
      </c>
      <c r="F368" t="s">
        <v>16</v>
      </c>
      <c r="G368" t="s">
        <v>17</v>
      </c>
      <c r="H368" s="3">
        <v>45207</v>
      </c>
    </row>
    <row r="369" spans="1:8" x14ac:dyDescent="0.25">
      <c r="A369" t="s">
        <v>406</v>
      </c>
      <c r="B369">
        <v>42</v>
      </c>
      <c r="C369" t="s">
        <v>24</v>
      </c>
      <c r="D369" t="s">
        <v>33</v>
      </c>
      <c r="E369" t="s">
        <v>34</v>
      </c>
      <c r="F369" t="s">
        <v>35</v>
      </c>
      <c r="G369" t="s">
        <v>22</v>
      </c>
      <c r="H369" s="3">
        <v>45850</v>
      </c>
    </row>
    <row r="370" spans="1:8" x14ac:dyDescent="0.25">
      <c r="A370" t="s">
        <v>407</v>
      </c>
      <c r="B370">
        <v>34</v>
      </c>
      <c r="C370" t="s">
        <v>24</v>
      </c>
      <c r="D370" t="s">
        <v>10</v>
      </c>
      <c r="E370" t="s">
        <v>10</v>
      </c>
      <c r="F370" t="s">
        <v>47</v>
      </c>
      <c r="G370" t="s">
        <v>12</v>
      </c>
      <c r="H370" s="3">
        <v>46187</v>
      </c>
    </row>
    <row r="371" spans="1:8" x14ac:dyDescent="0.25">
      <c r="A371" t="s">
        <v>408</v>
      </c>
      <c r="B371">
        <v>46</v>
      </c>
      <c r="C371" t="s">
        <v>24</v>
      </c>
      <c r="D371" t="s">
        <v>10</v>
      </c>
      <c r="E371" t="s">
        <v>10</v>
      </c>
      <c r="F371" t="s">
        <v>29</v>
      </c>
      <c r="G371" t="s">
        <v>12</v>
      </c>
      <c r="H371" s="3">
        <v>46198</v>
      </c>
    </row>
    <row r="372" spans="1:8" x14ac:dyDescent="0.25">
      <c r="A372" t="s">
        <v>409</v>
      </c>
      <c r="B372">
        <v>25</v>
      </c>
      <c r="C372" t="s">
        <v>24</v>
      </c>
      <c r="D372" t="s">
        <v>10</v>
      </c>
      <c r="E372" t="s">
        <v>10</v>
      </c>
      <c r="F372" t="s">
        <v>29</v>
      </c>
      <c r="G372" t="s">
        <v>12</v>
      </c>
      <c r="H372" s="3">
        <v>45294</v>
      </c>
    </row>
    <row r="373" spans="1:8" x14ac:dyDescent="0.25">
      <c r="A373" t="s">
        <v>410</v>
      </c>
      <c r="B373">
        <v>32</v>
      </c>
      <c r="C373" t="s">
        <v>9</v>
      </c>
      <c r="D373" t="s">
        <v>10</v>
      </c>
      <c r="E373" t="s">
        <v>10</v>
      </c>
      <c r="F373" t="s">
        <v>29</v>
      </c>
      <c r="G373" t="s">
        <v>12</v>
      </c>
      <c r="H373" s="3">
        <v>45421</v>
      </c>
    </row>
    <row r="374" spans="1:8" x14ac:dyDescent="0.25">
      <c r="A374" t="s">
        <v>411</v>
      </c>
      <c r="B374">
        <v>44</v>
      </c>
      <c r="C374" t="s">
        <v>9</v>
      </c>
      <c r="D374" t="s">
        <v>10</v>
      </c>
      <c r="E374" t="s">
        <v>10</v>
      </c>
      <c r="F374" t="s">
        <v>29</v>
      </c>
      <c r="G374" t="s">
        <v>17</v>
      </c>
      <c r="H374" s="3">
        <v>45975</v>
      </c>
    </row>
    <row r="375" spans="1:8" x14ac:dyDescent="0.25">
      <c r="A375" t="s">
        <v>412</v>
      </c>
      <c r="B375">
        <v>63</v>
      </c>
      <c r="C375" t="s">
        <v>9</v>
      </c>
      <c r="D375" t="s">
        <v>25</v>
      </c>
      <c r="E375" t="s">
        <v>38</v>
      </c>
      <c r="F375" t="s">
        <v>39</v>
      </c>
      <c r="G375" t="s">
        <v>12</v>
      </c>
      <c r="H375" s="3">
        <v>45644</v>
      </c>
    </row>
    <row r="376" spans="1:8" x14ac:dyDescent="0.25">
      <c r="A376" t="s">
        <v>413</v>
      </c>
      <c r="B376">
        <v>24</v>
      </c>
      <c r="C376" t="s">
        <v>24</v>
      </c>
      <c r="D376" t="s">
        <v>10</v>
      </c>
      <c r="E376" t="s">
        <v>10</v>
      </c>
      <c r="F376" t="s">
        <v>29</v>
      </c>
      <c r="G376" t="s">
        <v>78</v>
      </c>
      <c r="H376" s="3">
        <v>45943</v>
      </c>
    </row>
    <row r="377" spans="1:8" x14ac:dyDescent="0.25">
      <c r="A377" t="s">
        <v>414</v>
      </c>
      <c r="B377">
        <v>20</v>
      </c>
      <c r="C377" t="s">
        <v>24</v>
      </c>
      <c r="D377" t="s">
        <v>10</v>
      </c>
      <c r="E377" t="s">
        <v>10</v>
      </c>
      <c r="F377" t="s">
        <v>11</v>
      </c>
      <c r="G377" t="s">
        <v>12</v>
      </c>
      <c r="H377" s="3">
        <v>45532</v>
      </c>
    </row>
    <row r="378" spans="1:8" x14ac:dyDescent="0.25">
      <c r="A378" t="s">
        <v>415</v>
      </c>
      <c r="B378">
        <v>46</v>
      </c>
      <c r="C378" t="s">
        <v>9</v>
      </c>
      <c r="D378" t="s">
        <v>43</v>
      </c>
      <c r="E378" t="s">
        <v>44</v>
      </c>
      <c r="F378" t="s">
        <v>45</v>
      </c>
      <c r="G378" t="s">
        <v>12</v>
      </c>
      <c r="H378" s="3">
        <v>45301</v>
      </c>
    </row>
    <row r="379" spans="1:8" x14ac:dyDescent="0.25">
      <c r="A379" t="s">
        <v>416</v>
      </c>
      <c r="B379">
        <v>61</v>
      </c>
      <c r="C379" t="s">
        <v>24</v>
      </c>
      <c r="D379" t="s">
        <v>10</v>
      </c>
      <c r="E379" t="s">
        <v>10</v>
      </c>
      <c r="F379" t="s">
        <v>29</v>
      </c>
      <c r="G379" t="s">
        <v>12</v>
      </c>
      <c r="H379" s="3">
        <v>45565</v>
      </c>
    </row>
    <row r="380" spans="1:8" x14ac:dyDescent="0.25">
      <c r="A380" t="s">
        <v>417</v>
      </c>
      <c r="B380">
        <v>41</v>
      </c>
      <c r="C380" t="s">
        <v>9</v>
      </c>
      <c r="D380" t="s">
        <v>43</v>
      </c>
      <c r="E380" t="s">
        <v>44</v>
      </c>
      <c r="F380" t="s">
        <v>45</v>
      </c>
      <c r="G380" t="s">
        <v>12</v>
      </c>
      <c r="H380" s="3">
        <v>45975</v>
      </c>
    </row>
    <row r="381" spans="1:8" x14ac:dyDescent="0.25">
      <c r="A381" t="s">
        <v>418</v>
      </c>
      <c r="B381">
        <v>20</v>
      </c>
      <c r="C381" t="s">
        <v>24</v>
      </c>
      <c r="D381" t="s">
        <v>10</v>
      </c>
      <c r="E381" t="s">
        <v>10</v>
      </c>
      <c r="F381" t="s">
        <v>11</v>
      </c>
      <c r="G381" t="s">
        <v>12</v>
      </c>
      <c r="H381" s="3">
        <v>45042</v>
      </c>
    </row>
    <row r="382" spans="1:8" x14ac:dyDescent="0.25">
      <c r="A382" t="s">
        <v>419</v>
      </c>
      <c r="B382">
        <v>37</v>
      </c>
      <c r="C382" t="s">
        <v>9</v>
      </c>
      <c r="D382" t="s">
        <v>10</v>
      </c>
      <c r="E382" t="s">
        <v>10</v>
      </c>
      <c r="F382" t="s">
        <v>29</v>
      </c>
      <c r="G382" t="s">
        <v>22</v>
      </c>
      <c r="H382" s="3">
        <v>44974</v>
      </c>
    </row>
    <row r="383" spans="1:8" x14ac:dyDescent="0.25">
      <c r="A383" t="s">
        <v>420</v>
      </c>
      <c r="B383">
        <v>63</v>
      </c>
      <c r="C383" t="s">
        <v>24</v>
      </c>
      <c r="D383" t="s">
        <v>25</v>
      </c>
      <c r="E383" t="s">
        <v>38</v>
      </c>
      <c r="F383" t="s">
        <v>39</v>
      </c>
      <c r="G383" t="s">
        <v>17</v>
      </c>
      <c r="H383" s="3">
        <v>45025</v>
      </c>
    </row>
    <row r="384" spans="1:8" x14ac:dyDescent="0.25">
      <c r="A384" t="s">
        <v>421</v>
      </c>
      <c r="B384">
        <v>32</v>
      </c>
      <c r="C384" t="s">
        <v>24</v>
      </c>
      <c r="D384" t="s">
        <v>25</v>
      </c>
      <c r="E384" t="s">
        <v>38</v>
      </c>
      <c r="F384" t="s">
        <v>39</v>
      </c>
      <c r="G384" t="s">
        <v>12</v>
      </c>
      <c r="H384" s="3">
        <v>45331</v>
      </c>
    </row>
    <row r="385" spans="1:8" x14ac:dyDescent="0.25">
      <c r="A385" t="s">
        <v>422</v>
      </c>
      <c r="B385">
        <v>42</v>
      </c>
      <c r="C385" t="s">
        <v>9</v>
      </c>
      <c r="D385" t="s">
        <v>33</v>
      </c>
      <c r="E385" t="s">
        <v>34</v>
      </c>
      <c r="F385" t="s">
        <v>35</v>
      </c>
      <c r="G385" t="s">
        <v>12</v>
      </c>
      <c r="H385" s="3">
        <v>46164</v>
      </c>
    </row>
    <row r="386" spans="1:8" x14ac:dyDescent="0.25">
      <c r="A386" t="s">
        <v>423</v>
      </c>
      <c r="B386">
        <v>47</v>
      </c>
      <c r="C386" t="s">
        <v>9</v>
      </c>
      <c r="D386" t="s">
        <v>19</v>
      </c>
      <c r="E386" t="s">
        <v>20</v>
      </c>
      <c r="F386" t="s">
        <v>21</v>
      </c>
      <c r="G386" t="s">
        <v>12</v>
      </c>
      <c r="H386" s="3">
        <v>45611</v>
      </c>
    </row>
    <row r="387" spans="1:8" x14ac:dyDescent="0.25">
      <c r="A387" t="s">
        <v>424</v>
      </c>
      <c r="B387">
        <v>31</v>
      </c>
      <c r="C387" t="s">
        <v>9</v>
      </c>
      <c r="D387" t="s">
        <v>43</v>
      </c>
      <c r="E387" t="s">
        <v>44</v>
      </c>
      <c r="F387" t="s">
        <v>45</v>
      </c>
      <c r="G387" t="s">
        <v>78</v>
      </c>
      <c r="H387" s="3">
        <v>45829</v>
      </c>
    </row>
    <row r="388" spans="1:8" x14ac:dyDescent="0.25">
      <c r="A388" t="s">
        <v>425</v>
      </c>
      <c r="B388">
        <v>24</v>
      </c>
      <c r="C388" t="s">
        <v>9</v>
      </c>
      <c r="D388" t="s">
        <v>10</v>
      </c>
      <c r="E388" t="s">
        <v>10</v>
      </c>
      <c r="F388" t="s">
        <v>11</v>
      </c>
      <c r="G388" t="s">
        <v>17</v>
      </c>
      <c r="H388" s="3">
        <v>45429</v>
      </c>
    </row>
    <row r="389" spans="1:8" x14ac:dyDescent="0.25">
      <c r="A389" t="s">
        <v>426</v>
      </c>
      <c r="B389">
        <v>34</v>
      </c>
      <c r="C389" t="s">
        <v>9</v>
      </c>
      <c r="D389" t="s">
        <v>10</v>
      </c>
      <c r="E389" t="s">
        <v>10</v>
      </c>
      <c r="F389" t="s">
        <v>47</v>
      </c>
      <c r="G389" t="s">
        <v>12</v>
      </c>
      <c r="H389" s="3">
        <v>45820</v>
      </c>
    </row>
    <row r="390" spans="1:8" x14ac:dyDescent="0.25">
      <c r="A390" t="s">
        <v>427</v>
      </c>
      <c r="B390">
        <v>61</v>
      </c>
      <c r="C390" t="s">
        <v>24</v>
      </c>
      <c r="D390" t="s">
        <v>19</v>
      </c>
      <c r="E390" t="s">
        <v>20</v>
      </c>
      <c r="F390" t="s">
        <v>21</v>
      </c>
      <c r="G390" t="s">
        <v>12</v>
      </c>
      <c r="H390" s="3">
        <v>45184</v>
      </c>
    </row>
    <row r="391" spans="1:8" x14ac:dyDescent="0.25">
      <c r="A391" t="s">
        <v>428</v>
      </c>
      <c r="B391">
        <v>37</v>
      </c>
      <c r="C391" t="s">
        <v>24</v>
      </c>
      <c r="D391" t="s">
        <v>43</v>
      </c>
      <c r="E391" t="s">
        <v>44</v>
      </c>
      <c r="F391" t="s">
        <v>45</v>
      </c>
      <c r="G391" t="s">
        <v>78</v>
      </c>
      <c r="H391" s="3">
        <v>45770</v>
      </c>
    </row>
    <row r="392" spans="1:8" x14ac:dyDescent="0.25">
      <c r="A392" t="s">
        <v>429</v>
      </c>
      <c r="B392">
        <v>53</v>
      </c>
      <c r="C392" t="s">
        <v>24</v>
      </c>
      <c r="D392" t="s">
        <v>14</v>
      </c>
      <c r="E392" t="s">
        <v>15</v>
      </c>
      <c r="F392" t="s">
        <v>16</v>
      </c>
      <c r="G392" t="s">
        <v>17</v>
      </c>
      <c r="H392" s="3">
        <v>45047</v>
      </c>
    </row>
    <row r="393" spans="1:8" x14ac:dyDescent="0.25">
      <c r="A393" t="s">
        <v>430</v>
      </c>
      <c r="B393">
        <v>26</v>
      </c>
      <c r="C393" t="s">
        <v>9</v>
      </c>
      <c r="D393" t="s">
        <v>10</v>
      </c>
      <c r="E393" t="s">
        <v>10</v>
      </c>
      <c r="F393" t="s">
        <v>53</v>
      </c>
      <c r="G393" t="s">
        <v>12</v>
      </c>
      <c r="H393" s="3">
        <v>45736</v>
      </c>
    </row>
    <row r="394" spans="1:8" x14ac:dyDescent="0.25">
      <c r="A394" t="s">
        <v>431</v>
      </c>
      <c r="B394">
        <v>55</v>
      </c>
      <c r="C394" t="s">
        <v>24</v>
      </c>
      <c r="D394" t="s">
        <v>10</v>
      </c>
      <c r="E394" t="s">
        <v>10</v>
      </c>
      <c r="F394" t="s">
        <v>11</v>
      </c>
      <c r="G394" t="s">
        <v>22</v>
      </c>
      <c r="H394" s="3">
        <v>45904</v>
      </c>
    </row>
    <row r="395" spans="1:8" x14ac:dyDescent="0.25">
      <c r="A395" t="s">
        <v>432</v>
      </c>
      <c r="B395">
        <v>65</v>
      </c>
      <c r="C395" t="s">
        <v>24</v>
      </c>
      <c r="D395" t="s">
        <v>19</v>
      </c>
      <c r="E395" t="s">
        <v>20</v>
      </c>
      <c r="F395" t="s">
        <v>21</v>
      </c>
      <c r="G395" t="s">
        <v>22</v>
      </c>
      <c r="H395" s="3">
        <v>44980</v>
      </c>
    </row>
    <row r="396" spans="1:8" x14ac:dyDescent="0.25">
      <c r="A396" t="s">
        <v>433</v>
      </c>
      <c r="B396">
        <v>39</v>
      </c>
      <c r="C396" t="s">
        <v>9</v>
      </c>
      <c r="D396" t="s">
        <v>10</v>
      </c>
      <c r="E396" t="s">
        <v>10</v>
      </c>
      <c r="F396" t="s">
        <v>11</v>
      </c>
      <c r="G396" t="s">
        <v>12</v>
      </c>
      <c r="H396" s="3">
        <v>45945</v>
      </c>
    </row>
    <row r="397" spans="1:8" x14ac:dyDescent="0.25">
      <c r="A397" t="s">
        <v>434</v>
      </c>
      <c r="B397">
        <v>19</v>
      </c>
      <c r="C397" t="s">
        <v>24</v>
      </c>
      <c r="D397" t="s">
        <v>14</v>
      </c>
      <c r="E397" t="s">
        <v>15</v>
      </c>
      <c r="F397" t="s">
        <v>16</v>
      </c>
      <c r="G397" t="s">
        <v>12</v>
      </c>
      <c r="H397" s="3">
        <v>45710</v>
      </c>
    </row>
    <row r="398" spans="1:8" x14ac:dyDescent="0.25">
      <c r="A398" t="s">
        <v>435</v>
      </c>
      <c r="B398">
        <v>41</v>
      </c>
      <c r="C398" t="s">
        <v>24</v>
      </c>
      <c r="D398" t="s">
        <v>33</v>
      </c>
      <c r="E398" t="s">
        <v>34</v>
      </c>
      <c r="F398" t="s">
        <v>35</v>
      </c>
      <c r="G398" t="s">
        <v>12</v>
      </c>
      <c r="H398" s="3">
        <v>45167</v>
      </c>
    </row>
    <row r="399" spans="1:8" x14ac:dyDescent="0.25">
      <c r="A399" t="s">
        <v>436</v>
      </c>
      <c r="B399">
        <v>25</v>
      </c>
      <c r="C399" t="s">
        <v>9</v>
      </c>
      <c r="D399" t="s">
        <v>10</v>
      </c>
      <c r="E399" t="s">
        <v>10</v>
      </c>
      <c r="F399" t="s">
        <v>53</v>
      </c>
      <c r="G399" t="s">
        <v>12</v>
      </c>
      <c r="H399" s="3">
        <v>45409</v>
      </c>
    </row>
    <row r="400" spans="1:8" x14ac:dyDescent="0.25">
      <c r="A400" t="s">
        <v>437</v>
      </c>
      <c r="B400">
        <v>28</v>
      </c>
      <c r="C400" t="s">
        <v>9</v>
      </c>
      <c r="D400" t="s">
        <v>19</v>
      </c>
      <c r="E400" t="s">
        <v>20</v>
      </c>
      <c r="F400" t="s">
        <v>21</v>
      </c>
      <c r="G400" t="s">
        <v>12</v>
      </c>
      <c r="H400" s="3">
        <v>45939</v>
      </c>
    </row>
    <row r="401" spans="1:8" x14ac:dyDescent="0.25">
      <c r="A401" t="s">
        <v>438</v>
      </c>
      <c r="B401">
        <v>30</v>
      </c>
      <c r="C401" t="s">
        <v>24</v>
      </c>
      <c r="D401" t="s">
        <v>19</v>
      </c>
      <c r="E401" t="s">
        <v>20</v>
      </c>
      <c r="F401" t="s">
        <v>21</v>
      </c>
      <c r="G401" t="s">
        <v>12</v>
      </c>
      <c r="H401" s="3">
        <v>45113</v>
      </c>
    </row>
    <row r="402" spans="1:8" x14ac:dyDescent="0.25">
      <c r="A402" t="s">
        <v>439</v>
      </c>
      <c r="B402">
        <v>34</v>
      </c>
      <c r="C402" t="s">
        <v>9</v>
      </c>
      <c r="D402" t="s">
        <v>10</v>
      </c>
      <c r="E402" t="s">
        <v>10</v>
      </c>
      <c r="F402" t="s">
        <v>29</v>
      </c>
      <c r="G402" t="s">
        <v>12</v>
      </c>
      <c r="H402" s="3">
        <v>45582</v>
      </c>
    </row>
    <row r="403" spans="1:8" x14ac:dyDescent="0.25">
      <c r="A403" t="s">
        <v>440</v>
      </c>
      <c r="B403">
        <v>25</v>
      </c>
      <c r="C403" t="s">
        <v>24</v>
      </c>
      <c r="D403" t="s">
        <v>33</v>
      </c>
      <c r="E403" t="s">
        <v>34</v>
      </c>
      <c r="F403" t="s">
        <v>35</v>
      </c>
      <c r="G403" t="s">
        <v>12</v>
      </c>
      <c r="H403" s="3">
        <v>45188</v>
      </c>
    </row>
    <row r="404" spans="1:8" x14ac:dyDescent="0.25">
      <c r="A404" t="s">
        <v>441</v>
      </c>
      <c r="B404">
        <v>38</v>
      </c>
      <c r="C404" t="s">
        <v>24</v>
      </c>
      <c r="D404" t="s">
        <v>25</v>
      </c>
      <c r="E404" t="s">
        <v>26</v>
      </c>
      <c r="F404" t="s">
        <v>27</v>
      </c>
      <c r="G404" t="s">
        <v>12</v>
      </c>
      <c r="H404" s="3">
        <v>45879</v>
      </c>
    </row>
    <row r="405" spans="1:8" x14ac:dyDescent="0.25">
      <c r="A405" t="s">
        <v>442</v>
      </c>
      <c r="B405">
        <v>35</v>
      </c>
      <c r="C405" t="s">
        <v>24</v>
      </c>
      <c r="D405" t="s">
        <v>43</v>
      </c>
      <c r="E405" t="s">
        <v>44</v>
      </c>
      <c r="F405" t="s">
        <v>45</v>
      </c>
      <c r="G405" t="s">
        <v>78</v>
      </c>
      <c r="H405" s="3">
        <v>45417</v>
      </c>
    </row>
    <row r="406" spans="1:8" x14ac:dyDescent="0.25">
      <c r="A406" t="s">
        <v>443</v>
      </c>
      <c r="B406">
        <v>47</v>
      </c>
      <c r="C406" t="s">
        <v>9</v>
      </c>
      <c r="D406" t="s">
        <v>10</v>
      </c>
      <c r="E406" t="s">
        <v>10</v>
      </c>
      <c r="F406" t="s">
        <v>11</v>
      </c>
      <c r="G406" t="s">
        <v>12</v>
      </c>
      <c r="H406" s="3">
        <v>45357</v>
      </c>
    </row>
    <row r="407" spans="1:8" x14ac:dyDescent="0.25">
      <c r="A407" t="s">
        <v>444</v>
      </c>
      <c r="B407">
        <v>35</v>
      </c>
      <c r="C407" t="s">
        <v>9</v>
      </c>
      <c r="D407" t="s">
        <v>33</v>
      </c>
      <c r="E407" t="s">
        <v>34</v>
      </c>
      <c r="F407" t="s">
        <v>35</v>
      </c>
      <c r="G407" t="s">
        <v>17</v>
      </c>
      <c r="H407" s="3">
        <v>45165</v>
      </c>
    </row>
    <row r="408" spans="1:8" x14ac:dyDescent="0.25">
      <c r="A408" t="s">
        <v>445</v>
      </c>
      <c r="B408">
        <v>63</v>
      </c>
      <c r="C408" t="s">
        <v>24</v>
      </c>
      <c r="D408" t="s">
        <v>10</v>
      </c>
      <c r="E408" t="s">
        <v>10</v>
      </c>
      <c r="F408" t="s">
        <v>11</v>
      </c>
      <c r="G408" t="s">
        <v>17</v>
      </c>
      <c r="H408" s="3">
        <v>45230</v>
      </c>
    </row>
    <row r="409" spans="1:8" x14ac:dyDescent="0.25">
      <c r="A409" t="s">
        <v>446</v>
      </c>
      <c r="B409">
        <v>64</v>
      </c>
      <c r="C409" t="s">
        <v>24</v>
      </c>
      <c r="D409" t="s">
        <v>10</v>
      </c>
      <c r="E409" t="s">
        <v>10</v>
      </c>
      <c r="F409" t="s">
        <v>29</v>
      </c>
      <c r="G409" t="s">
        <v>78</v>
      </c>
      <c r="H409" s="3">
        <v>45224</v>
      </c>
    </row>
    <row r="410" spans="1:8" x14ac:dyDescent="0.25">
      <c r="A410" t="s">
        <v>447</v>
      </c>
      <c r="B410">
        <v>48</v>
      </c>
      <c r="C410" t="s">
        <v>9</v>
      </c>
      <c r="D410" t="s">
        <v>33</v>
      </c>
      <c r="E410" t="s">
        <v>34</v>
      </c>
      <c r="F410" t="s">
        <v>35</v>
      </c>
      <c r="G410" t="s">
        <v>12</v>
      </c>
      <c r="H410" s="3">
        <v>45002</v>
      </c>
    </row>
    <row r="411" spans="1:8" x14ac:dyDescent="0.25">
      <c r="A411" t="s">
        <v>448</v>
      </c>
      <c r="B411">
        <v>55</v>
      </c>
      <c r="C411" t="s">
        <v>24</v>
      </c>
      <c r="D411" t="s">
        <v>10</v>
      </c>
      <c r="E411" t="s">
        <v>10</v>
      </c>
      <c r="F411" t="s">
        <v>29</v>
      </c>
      <c r="G411" t="s">
        <v>17</v>
      </c>
      <c r="H411" s="3">
        <v>45925</v>
      </c>
    </row>
    <row r="412" spans="1:8" x14ac:dyDescent="0.25">
      <c r="A412" t="s">
        <v>449</v>
      </c>
      <c r="B412">
        <v>49</v>
      </c>
      <c r="C412" t="s">
        <v>24</v>
      </c>
      <c r="D412" t="s">
        <v>10</v>
      </c>
      <c r="E412" t="s">
        <v>10</v>
      </c>
      <c r="F412" t="s">
        <v>11</v>
      </c>
      <c r="G412" t="s">
        <v>12</v>
      </c>
      <c r="H412" s="3">
        <v>45568</v>
      </c>
    </row>
    <row r="413" spans="1:8" x14ac:dyDescent="0.25">
      <c r="A413" t="s">
        <v>450</v>
      </c>
      <c r="B413">
        <v>28</v>
      </c>
      <c r="C413" t="s">
        <v>9</v>
      </c>
      <c r="D413" t="s">
        <v>14</v>
      </c>
      <c r="E413" t="s">
        <v>15</v>
      </c>
      <c r="F413" t="s">
        <v>16</v>
      </c>
      <c r="G413" t="s">
        <v>12</v>
      </c>
      <c r="H413" s="3">
        <v>45753</v>
      </c>
    </row>
    <row r="414" spans="1:8" x14ac:dyDescent="0.25">
      <c r="A414" t="s">
        <v>451</v>
      </c>
      <c r="B414">
        <v>62</v>
      </c>
      <c r="C414" t="s">
        <v>9</v>
      </c>
      <c r="D414" t="s">
        <v>14</v>
      </c>
      <c r="E414" t="s">
        <v>15</v>
      </c>
      <c r="F414" t="s">
        <v>16</v>
      </c>
      <c r="G414" t="s">
        <v>12</v>
      </c>
      <c r="H414" s="3">
        <v>45209</v>
      </c>
    </row>
    <row r="415" spans="1:8" x14ac:dyDescent="0.25">
      <c r="A415" t="s">
        <v>452</v>
      </c>
      <c r="B415">
        <v>42</v>
      </c>
      <c r="C415" t="s">
        <v>24</v>
      </c>
      <c r="D415" t="s">
        <v>25</v>
      </c>
      <c r="E415" t="s">
        <v>26</v>
      </c>
      <c r="F415" t="s">
        <v>27</v>
      </c>
      <c r="G415" t="s">
        <v>12</v>
      </c>
      <c r="H415" s="3">
        <v>45517</v>
      </c>
    </row>
    <row r="416" spans="1:8" x14ac:dyDescent="0.25">
      <c r="A416" t="s">
        <v>453</v>
      </c>
      <c r="B416">
        <v>50</v>
      </c>
      <c r="C416" t="s">
        <v>9</v>
      </c>
      <c r="D416" t="s">
        <v>25</v>
      </c>
      <c r="E416" t="s">
        <v>38</v>
      </c>
      <c r="F416" t="s">
        <v>39</v>
      </c>
      <c r="G416" t="s">
        <v>17</v>
      </c>
      <c r="H416" s="3">
        <v>44998</v>
      </c>
    </row>
    <row r="417" spans="1:8" x14ac:dyDescent="0.25">
      <c r="A417" t="s">
        <v>454</v>
      </c>
      <c r="B417">
        <v>55</v>
      </c>
      <c r="C417" t="s">
        <v>9</v>
      </c>
      <c r="D417" t="s">
        <v>10</v>
      </c>
      <c r="E417" t="s">
        <v>10</v>
      </c>
      <c r="F417" t="s">
        <v>53</v>
      </c>
      <c r="G417" t="s">
        <v>78</v>
      </c>
      <c r="H417" s="3">
        <v>45629</v>
      </c>
    </row>
    <row r="418" spans="1:8" x14ac:dyDescent="0.25">
      <c r="A418" t="s">
        <v>455</v>
      </c>
      <c r="B418">
        <v>58</v>
      </c>
      <c r="C418" t="s">
        <v>9</v>
      </c>
      <c r="D418" t="s">
        <v>10</v>
      </c>
      <c r="E418" t="s">
        <v>10</v>
      </c>
      <c r="F418" t="s">
        <v>11</v>
      </c>
      <c r="G418" t="s">
        <v>12</v>
      </c>
      <c r="H418" s="3">
        <v>45501</v>
      </c>
    </row>
    <row r="419" spans="1:8" x14ac:dyDescent="0.25">
      <c r="A419" t="s">
        <v>456</v>
      </c>
      <c r="B419">
        <v>25</v>
      </c>
      <c r="C419" t="s">
        <v>9</v>
      </c>
      <c r="D419" t="s">
        <v>10</v>
      </c>
      <c r="E419" t="s">
        <v>10</v>
      </c>
      <c r="F419" t="s">
        <v>11</v>
      </c>
      <c r="G419" t="s">
        <v>12</v>
      </c>
      <c r="H419" s="3">
        <v>45926</v>
      </c>
    </row>
    <row r="420" spans="1:8" x14ac:dyDescent="0.25">
      <c r="A420" t="s">
        <v>457</v>
      </c>
      <c r="B420">
        <v>28</v>
      </c>
      <c r="C420" t="s">
        <v>24</v>
      </c>
      <c r="D420" t="s">
        <v>25</v>
      </c>
      <c r="E420" t="s">
        <v>38</v>
      </c>
      <c r="F420" t="s">
        <v>39</v>
      </c>
      <c r="G420" t="s">
        <v>22</v>
      </c>
      <c r="H420" s="3">
        <v>45818</v>
      </c>
    </row>
    <row r="421" spans="1:8" x14ac:dyDescent="0.25">
      <c r="A421" t="s">
        <v>458</v>
      </c>
      <c r="B421">
        <v>39</v>
      </c>
      <c r="C421" t="s">
        <v>24</v>
      </c>
      <c r="D421" t="s">
        <v>19</v>
      </c>
      <c r="E421" t="s">
        <v>20</v>
      </c>
      <c r="F421" t="s">
        <v>21</v>
      </c>
      <c r="G421" t="s">
        <v>12</v>
      </c>
      <c r="H421" s="3">
        <v>44938</v>
      </c>
    </row>
    <row r="422" spans="1:8" x14ac:dyDescent="0.25">
      <c r="A422" t="s">
        <v>459</v>
      </c>
      <c r="B422">
        <v>41</v>
      </c>
      <c r="C422" t="s">
        <v>9</v>
      </c>
      <c r="D422" t="s">
        <v>43</v>
      </c>
      <c r="E422" t="s">
        <v>44</v>
      </c>
      <c r="F422" t="s">
        <v>45</v>
      </c>
      <c r="G422" t="s">
        <v>12</v>
      </c>
      <c r="H422" s="3">
        <v>45067</v>
      </c>
    </row>
    <row r="423" spans="1:8" x14ac:dyDescent="0.25">
      <c r="A423" t="s">
        <v>460</v>
      </c>
      <c r="B423">
        <v>58</v>
      </c>
      <c r="C423" t="s">
        <v>24</v>
      </c>
      <c r="D423" t="s">
        <v>43</v>
      </c>
      <c r="E423" t="s">
        <v>44</v>
      </c>
      <c r="F423" t="s">
        <v>45</v>
      </c>
      <c r="G423" t="s">
        <v>12</v>
      </c>
      <c r="H423" s="3">
        <v>44943</v>
      </c>
    </row>
    <row r="424" spans="1:8" x14ac:dyDescent="0.25">
      <c r="A424" t="s">
        <v>461</v>
      </c>
      <c r="B424">
        <v>34</v>
      </c>
      <c r="C424" t="s">
        <v>24</v>
      </c>
      <c r="D424" t="s">
        <v>10</v>
      </c>
      <c r="E424" t="s">
        <v>10</v>
      </c>
      <c r="F424" t="s">
        <v>29</v>
      </c>
      <c r="G424" t="s">
        <v>12</v>
      </c>
      <c r="H424" s="3">
        <v>46013</v>
      </c>
    </row>
    <row r="425" spans="1:8" x14ac:dyDescent="0.25">
      <c r="A425" t="s">
        <v>462</v>
      </c>
      <c r="B425">
        <v>29</v>
      </c>
      <c r="C425" t="s">
        <v>24</v>
      </c>
      <c r="D425" t="s">
        <v>10</v>
      </c>
      <c r="E425" t="s">
        <v>10</v>
      </c>
      <c r="F425" t="s">
        <v>53</v>
      </c>
      <c r="G425" t="s">
        <v>22</v>
      </c>
      <c r="H425" s="3">
        <v>45179</v>
      </c>
    </row>
    <row r="426" spans="1:8" x14ac:dyDescent="0.25">
      <c r="A426" t="s">
        <v>463</v>
      </c>
      <c r="B426">
        <v>63</v>
      </c>
      <c r="C426" t="s">
        <v>9</v>
      </c>
      <c r="D426" t="s">
        <v>10</v>
      </c>
      <c r="E426" t="s">
        <v>10</v>
      </c>
      <c r="F426" t="s">
        <v>29</v>
      </c>
      <c r="G426" t="s">
        <v>78</v>
      </c>
      <c r="H426" s="3">
        <v>45391</v>
      </c>
    </row>
    <row r="427" spans="1:8" x14ac:dyDescent="0.25">
      <c r="A427" t="s">
        <v>464</v>
      </c>
      <c r="B427">
        <v>49</v>
      </c>
      <c r="C427" t="s">
        <v>9</v>
      </c>
      <c r="D427" t="s">
        <v>25</v>
      </c>
      <c r="E427" t="s">
        <v>26</v>
      </c>
      <c r="F427" t="s">
        <v>27</v>
      </c>
      <c r="G427" t="s">
        <v>17</v>
      </c>
      <c r="H427" s="3">
        <v>45302</v>
      </c>
    </row>
    <row r="428" spans="1:8" x14ac:dyDescent="0.25">
      <c r="A428" t="s">
        <v>465</v>
      </c>
      <c r="B428">
        <v>32</v>
      </c>
      <c r="C428" t="s">
        <v>24</v>
      </c>
      <c r="D428" t="s">
        <v>10</v>
      </c>
      <c r="E428" t="s">
        <v>10</v>
      </c>
      <c r="F428" t="s">
        <v>53</v>
      </c>
      <c r="G428" t="s">
        <v>12</v>
      </c>
      <c r="H428" s="3">
        <v>45907</v>
      </c>
    </row>
    <row r="429" spans="1:8" x14ac:dyDescent="0.25">
      <c r="A429" t="s">
        <v>466</v>
      </c>
      <c r="B429">
        <v>33</v>
      </c>
      <c r="C429" t="s">
        <v>24</v>
      </c>
      <c r="D429" t="s">
        <v>33</v>
      </c>
      <c r="E429" t="s">
        <v>34</v>
      </c>
      <c r="F429" t="s">
        <v>35</v>
      </c>
      <c r="G429" t="s">
        <v>78</v>
      </c>
      <c r="H429" s="3">
        <v>45446</v>
      </c>
    </row>
    <row r="430" spans="1:8" x14ac:dyDescent="0.25">
      <c r="A430" t="s">
        <v>467</v>
      </c>
      <c r="B430">
        <v>39</v>
      </c>
      <c r="C430" t="s">
        <v>9</v>
      </c>
      <c r="D430" t="s">
        <v>10</v>
      </c>
      <c r="E430" t="s">
        <v>10</v>
      </c>
      <c r="F430" t="s">
        <v>11</v>
      </c>
      <c r="G430" t="s">
        <v>22</v>
      </c>
      <c r="H430" s="3">
        <v>45016</v>
      </c>
    </row>
    <row r="431" spans="1:8" x14ac:dyDescent="0.25">
      <c r="A431" t="s">
        <v>468</v>
      </c>
      <c r="B431">
        <v>45</v>
      </c>
      <c r="C431" t="s">
        <v>9</v>
      </c>
      <c r="D431" t="s">
        <v>10</v>
      </c>
      <c r="E431" t="s">
        <v>10</v>
      </c>
      <c r="F431" t="s">
        <v>29</v>
      </c>
      <c r="G431" t="s">
        <v>22</v>
      </c>
      <c r="H431" s="3">
        <v>45646</v>
      </c>
    </row>
    <row r="432" spans="1:8" x14ac:dyDescent="0.25">
      <c r="A432" t="s">
        <v>469</v>
      </c>
      <c r="B432">
        <v>37</v>
      </c>
      <c r="C432" t="s">
        <v>9</v>
      </c>
      <c r="D432" t="s">
        <v>10</v>
      </c>
      <c r="E432" t="s">
        <v>10</v>
      </c>
      <c r="F432" t="s">
        <v>29</v>
      </c>
      <c r="G432" t="s">
        <v>12</v>
      </c>
      <c r="H432" s="3">
        <v>45730</v>
      </c>
    </row>
    <row r="433" spans="1:8" x14ac:dyDescent="0.25">
      <c r="A433" t="s">
        <v>470</v>
      </c>
      <c r="B433">
        <v>50</v>
      </c>
      <c r="C433" t="s">
        <v>24</v>
      </c>
      <c r="D433" t="s">
        <v>19</v>
      </c>
      <c r="E433" t="s">
        <v>20</v>
      </c>
      <c r="F433" t="s">
        <v>21</v>
      </c>
      <c r="G433" t="s">
        <v>12</v>
      </c>
      <c r="H433" s="3">
        <v>45722</v>
      </c>
    </row>
    <row r="434" spans="1:8" x14ac:dyDescent="0.25">
      <c r="A434" t="s">
        <v>471</v>
      </c>
      <c r="B434">
        <v>27</v>
      </c>
      <c r="C434" t="s">
        <v>24</v>
      </c>
      <c r="D434" t="s">
        <v>25</v>
      </c>
      <c r="E434" t="s">
        <v>38</v>
      </c>
      <c r="F434" t="s">
        <v>39</v>
      </c>
      <c r="G434" t="s">
        <v>22</v>
      </c>
      <c r="H434" s="3">
        <v>45556</v>
      </c>
    </row>
    <row r="435" spans="1:8" x14ac:dyDescent="0.25">
      <c r="A435" t="s">
        <v>472</v>
      </c>
      <c r="B435">
        <v>57</v>
      </c>
      <c r="C435" t="s">
        <v>24</v>
      </c>
      <c r="D435" t="s">
        <v>10</v>
      </c>
      <c r="E435" t="s">
        <v>10</v>
      </c>
      <c r="F435" t="s">
        <v>29</v>
      </c>
      <c r="G435" t="s">
        <v>12</v>
      </c>
      <c r="H435" s="3">
        <v>46125</v>
      </c>
    </row>
    <row r="436" spans="1:8" x14ac:dyDescent="0.25">
      <c r="A436" t="s">
        <v>473</v>
      </c>
      <c r="B436">
        <v>49</v>
      </c>
      <c r="C436" t="s">
        <v>9</v>
      </c>
      <c r="D436" t="s">
        <v>10</v>
      </c>
      <c r="E436" t="s">
        <v>10</v>
      </c>
      <c r="F436" t="s">
        <v>29</v>
      </c>
      <c r="G436" t="s">
        <v>12</v>
      </c>
      <c r="H436" s="3">
        <v>45002</v>
      </c>
    </row>
    <row r="437" spans="1:8" x14ac:dyDescent="0.25">
      <c r="A437" t="s">
        <v>474</v>
      </c>
      <c r="B437">
        <v>50</v>
      </c>
      <c r="C437" t="s">
        <v>24</v>
      </c>
      <c r="D437" t="s">
        <v>25</v>
      </c>
      <c r="E437" t="s">
        <v>38</v>
      </c>
      <c r="F437" t="s">
        <v>39</v>
      </c>
      <c r="G437" t="s">
        <v>17</v>
      </c>
      <c r="H437" s="3">
        <v>45852</v>
      </c>
    </row>
    <row r="438" spans="1:8" x14ac:dyDescent="0.25">
      <c r="A438" t="s">
        <v>475</v>
      </c>
      <c r="B438">
        <v>19</v>
      </c>
      <c r="C438" t="s">
        <v>24</v>
      </c>
      <c r="D438" t="s">
        <v>10</v>
      </c>
      <c r="E438" t="s">
        <v>10</v>
      </c>
      <c r="F438" t="s">
        <v>29</v>
      </c>
      <c r="G438" t="s">
        <v>12</v>
      </c>
      <c r="H438" s="3">
        <v>45326</v>
      </c>
    </row>
    <row r="439" spans="1:8" x14ac:dyDescent="0.25">
      <c r="A439" t="s">
        <v>476</v>
      </c>
      <c r="B439">
        <v>50</v>
      </c>
      <c r="C439" t="s">
        <v>9</v>
      </c>
      <c r="D439" t="s">
        <v>43</v>
      </c>
      <c r="E439" t="s">
        <v>44</v>
      </c>
      <c r="F439" t="s">
        <v>45</v>
      </c>
      <c r="G439" t="s">
        <v>12</v>
      </c>
      <c r="H439" s="3">
        <v>45896</v>
      </c>
    </row>
    <row r="440" spans="1:8" x14ac:dyDescent="0.25">
      <c r="A440" t="s">
        <v>477</v>
      </c>
      <c r="B440">
        <v>50</v>
      </c>
      <c r="C440" t="s">
        <v>24</v>
      </c>
      <c r="D440" t="s">
        <v>25</v>
      </c>
      <c r="E440" t="s">
        <v>38</v>
      </c>
      <c r="F440" t="s">
        <v>39</v>
      </c>
      <c r="G440" t="s">
        <v>12</v>
      </c>
      <c r="H440" s="3">
        <v>46021</v>
      </c>
    </row>
    <row r="441" spans="1:8" x14ac:dyDescent="0.25">
      <c r="A441" t="s">
        <v>478</v>
      </c>
      <c r="B441">
        <v>58</v>
      </c>
      <c r="C441" t="s">
        <v>24</v>
      </c>
      <c r="D441" t="s">
        <v>10</v>
      </c>
      <c r="E441" t="s">
        <v>10</v>
      </c>
      <c r="F441" t="s">
        <v>29</v>
      </c>
      <c r="G441" t="s">
        <v>78</v>
      </c>
      <c r="H441" s="3">
        <v>46130</v>
      </c>
    </row>
    <row r="442" spans="1:8" x14ac:dyDescent="0.25">
      <c r="A442" t="s">
        <v>479</v>
      </c>
      <c r="B442">
        <v>30</v>
      </c>
      <c r="C442" t="s">
        <v>9</v>
      </c>
      <c r="D442" t="s">
        <v>10</v>
      </c>
      <c r="E442" t="s">
        <v>10</v>
      </c>
      <c r="F442" t="s">
        <v>29</v>
      </c>
      <c r="G442" t="s">
        <v>12</v>
      </c>
      <c r="H442" s="3">
        <v>46074</v>
      </c>
    </row>
    <row r="443" spans="1:8" x14ac:dyDescent="0.25">
      <c r="A443" t="s">
        <v>480</v>
      </c>
      <c r="B443">
        <v>47</v>
      </c>
      <c r="C443" t="s">
        <v>24</v>
      </c>
      <c r="D443" t="s">
        <v>14</v>
      </c>
      <c r="E443" t="s">
        <v>15</v>
      </c>
      <c r="F443" t="s">
        <v>16</v>
      </c>
      <c r="G443" t="s">
        <v>22</v>
      </c>
      <c r="H443" s="3">
        <v>45723</v>
      </c>
    </row>
    <row r="444" spans="1:8" x14ac:dyDescent="0.25">
      <c r="A444" t="s">
        <v>481</v>
      </c>
      <c r="B444">
        <v>50</v>
      </c>
      <c r="C444" t="s">
        <v>9</v>
      </c>
      <c r="D444" t="s">
        <v>10</v>
      </c>
      <c r="E444" t="s">
        <v>10</v>
      </c>
      <c r="F444" t="s">
        <v>11</v>
      </c>
      <c r="G444" t="s">
        <v>12</v>
      </c>
      <c r="H444" s="3">
        <v>45121</v>
      </c>
    </row>
    <row r="445" spans="1:8" x14ac:dyDescent="0.25">
      <c r="A445" t="s">
        <v>482</v>
      </c>
      <c r="B445">
        <v>30</v>
      </c>
      <c r="C445" t="s">
        <v>24</v>
      </c>
      <c r="D445" t="s">
        <v>10</v>
      </c>
      <c r="E445" t="s">
        <v>10</v>
      </c>
      <c r="F445" t="s">
        <v>11</v>
      </c>
      <c r="G445" t="s">
        <v>12</v>
      </c>
      <c r="H445" s="3">
        <v>45154</v>
      </c>
    </row>
    <row r="446" spans="1:8" x14ac:dyDescent="0.25">
      <c r="A446" t="s">
        <v>483</v>
      </c>
      <c r="B446">
        <v>43</v>
      </c>
      <c r="C446" t="s">
        <v>24</v>
      </c>
      <c r="D446" t="s">
        <v>43</v>
      </c>
      <c r="E446" t="s">
        <v>44</v>
      </c>
      <c r="F446" t="s">
        <v>45</v>
      </c>
      <c r="G446" t="s">
        <v>78</v>
      </c>
      <c r="H446" s="3">
        <v>45387</v>
      </c>
    </row>
    <row r="447" spans="1:8" x14ac:dyDescent="0.25">
      <c r="A447" t="s">
        <v>484</v>
      </c>
      <c r="B447">
        <v>39</v>
      </c>
      <c r="C447" t="s">
        <v>24</v>
      </c>
      <c r="D447" t="s">
        <v>14</v>
      </c>
      <c r="E447" t="s">
        <v>15</v>
      </c>
      <c r="F447" t="s">
        <v>16</v>
      </c>
      <c r="G447" t="s">
        <v>17</v>
      </c>
      <c r="H447" s="3">
        <v>45544</v>
      </c>
    </row>
    <row r="448" spans="1:8" x14ac:dyDescent="0.25">
      <c r="A448" t="s">
        <v>485</v>
      </c>
      <c r="B448">
        <v>56</v>
      </c>
      <c r="C448" t="s">
        <v>24</v>
      </c>
      <c r="D448" t="s">
        <v>14</v>
      </c>
      <c r="E448" t="s">
        <v>15</v>
      </c>
      <c r="F448" t="s">
        <v>16</v>
      </c>
      <c r="G448" t="s">
        <v>17</v>
      </c>
      <c r="H448" s="3">
        <v>45971</v>
      </c>
    </row>
    <row r="449" spans="1:8" x14ac:dyDescent="0.25">
      <c r="A449" t="s">
        <v>486</v>
      </c>
      <c r="B449">
        <v>19</v>
      </c>
      <c r="C449" t="s">
        <v>9</v>
      </c>
      <c r="D449" t="s">
        <v>19</v>
      </c>
      <c r="E449" t="s">
        <v>20</v>
      </c>
      <c r="F449" t="s">
        <v>21</v>
      </c>
      <c r="G449" t="s">
        <v>12</v>
      </c>
      <c r="H449" s="3">
        <v>44990</v>
      </c>
    </row>
    <row r="450" spans="1:8" x14ac:dyDescent="0.25">
      <c r="A450" t="s">
        <v>487</v>
      </c>
      <c r="B450">
        <v>55</v>
      </c>
      <c r="C450" t="s">
        <v>24</v>
      </c>
      <c r="D450" t="s">
        <v>10</v>
      </c>
      <c r="E450" t="s">
        <v>10</v>
      </c>
      <c r="F450" t="s">
        <v>11</v>
      </c>
      <c r="G450" t="s">
        <v>17</v>
      </c>
      <c r="H450" s="3">
        <v>45091</v>
      </c>
    </row>
    <row r="451" spans="1:8" x14ac:dyDescent="0.25">
      <c r="A451" t="s">
        <v>488</v>
      </c>
      <c r="B451">
        <v>56</v>
      </c>
      <c r="C451" t="s">
        <v>24</v>
      </c>
      <c r="D451" t="s">
        <v>10</v>
      </c>
      <c r="E451" t="s">
        <v>10</v>
      </c>
      <c r="F451" t="s">
        <v>29</v>
      </c>
      <c r="G451" t="s">
        <v>22</v>
      </c>
      <c r="H451" s="3">
        <v>44953</v>
      </c>
    </row>
    <row r="452" spans="1:8" x14ac:dyDescent="0.25">
      <c r="A452" t="s">
        <v>489</v>
      </c>
      <c r="B452">
        <v>43</v>
      </c>
      <c r="C452" t="s">
        <v>9</v>
      </c>
      <c r="D452" t="s">
        <v>19</v>
      </c>
      <c r="E452" t="s">
        <v>20</v>
      </c>
      <c r="F452" t="s">
        <v>21</v>
      </c>
      <c r="G452" t="s">
        <v>22</v>
      </c>
      <c r="H452" s="3">
        <v>45938</v>
      </c>
    </row>
    <row r="453" spans="1:8" x14ac:dyDescent="0.25">
      <c r="A453" t="s">
        <v>490</v>
      </c>
      <c r="B453">
        <v>63</v>
      </c>
      <c r="C453" t="s">
        <v>24</v>
      </c>
      <c r="D453" t="s">
        <v>25</v>
      </c>
      <c r="E453" t="s">
        <v>26</v>
      </c>
      <c r="F453" t="s">
        <v>27</v>
      </c>
      <c r="G453" t="s">
        <v>12</v>
      </c>
      <c r="H453" s="3">
        <v>45211</v>
      </c>
    </row>
    <row r="454" spans="1:8" x14ac:dyDescent="0.25">
      <c r="A454" t="s">
        <v>491</v>
      </c>
      <c r="B454">
        <v>32</v>
      </c>
      <c r="C454" t="s">
        <v>24</v>
      </c>
      <c r="D454" t="s">
        <v>10</v>
      </c>
      <c r="E454" t="s">
        <v>10</v>
      </c>
      <c r="F454" t="s">
        <v>53</v>
      </c>
      <c r="G454" t="s">
        <v>12</v>
      </c>
      <c r="H454" s="3">
        <v>45207</v>
      </c>
    </row>
    <row r="455" spans="1:8" x14ac:dyDescent="0.25">
      <c r="A455" t="s">
        <v>492</v>
      </c>
      <c r="B455">
        <v>51</v>
      </c>
      <c r="C455" t="s">
        <v>9</v>
      </c>
      <c r="D455" t="s">
        <v>33</v>
      </c>
      <c r="E455" t="s">
        <v>34</v>
      </c>
      <c r="F455" t="s">
        <v>35</v>
      </c>
      <c r="G455" t="s">
        <v>12</v>
      </c>
      <c r="H455" s="3">
        <v>45764</v>
      </c>
    </row>
    <row r="456" spans="1:8" x14ac:dyDescent="0.25">
      <c r="A456" t="s">
        <v>493</v>
      </c>
      <c r="B456">
        <v>59</v>
      </c>
      <c r="C456" t="s">
        <v>24</v>
      </c>
      <c r="D456" t="s">
        <v>10</v>
      </c>
      <c r="E456" t="s">
        <v>10</v>
      </c>
      <c r="F456" t="s">
        <v>29</v>
      </c>
      <c r="G456" t="s">
        <v>22</v>
      </c>
      <c r="H456" s="3">
        <v>45757</v>
      </c>
    </row>
    <row r="457" spans="1:8" x14ac:dyDescent="0.25">
      <c r="A457" t="s">
        <v>494</v>
      </c>
      <c r="B457">
        <v>61</v>
      </c>
      <c r="C457" t="s">
        <v>24</v>
      </c>
      <c r="D457" t="s">
        <v>10</v>
      </c>
      <c r="E457" t="s">
        <v>10</v>
      </c>
      <c r="F457" t="s">
        <v>53</v>
      </c>
      <c r="G457" t="s">
        <v>17</v>
      </c>
      <c r="H457" s="3">
        <v>46114</v>
      </c>
    </row>
    <row r="458" spans="1:8" x14ac:dyDescent="0.25">
      <c r="A458" t="s">
        <v>495</v>
      </c>
      <c r="B458">
        <v>57</v>
      </c>
      <c r="C458" t="s">
        <v>9</v>
      </c>
      <c r="D458" t="s">
        <v>10</v>
      </c>
      <c r="E458" t="s">
        <v>10</v>
      </c>
      <c r="F458" t="s">
        <v>29</v>
      </c>
      <c r="G458" t="s">
        <v>12</v>
      </c>
      <c r="H458" s="3">
        <v>45844</v>
      </c>
    </row>
    <row r="459" spans="1:8" x14ac:dyDescent="0.25">
      <c r="A459" t="s">
        <v>496</v>
      </c>
      <c r="B459">
        <v>28</v>
      </c>
      <c r="C459" t="s">
        <v>24</v>
      </c>
      <c r="D459" t="s">
        <v>10</v>
      </c>
      <c r="E459" t="s">
        <v>10</v>
      </c>
      <c r="F459" t="s">
        <v>53</v>
      </c>
      <c r="G459" t="s">
        <v>12</v>
      </c>
      <c r="H459" s="3">
        <v>45150</v>
      </c>
    </row>
    <row r="460" spans="1:8" x14ac:dyDescent="0.25">
      <c r="A460" t="s">
        <v>497</v>
      </c>
      <c r="B460">
        <v>20</v>
      </c>
      <c r="C460" t="s">
        <v>9</v>
      </c>
      <c r="D460" t="s">
        <v>10</v>
      </c>
      <c r="E460" t="s">
        <v>10</v>
      </c>
      <c r="F460" t="s">
        <v>29</v>
      </c>
      <c r="G460" t="s">
        <v>12</v>
      </c>
      <c r="H460" s="3">
        <v>45710</v>
      </c>
    </row>
    <row r="461" spans="1:8" x14ac:dyDescent="0.25">
      <c r="A461" t="s">
        <v>498</v>
      </c>
      <c r="B461">
        <v>23</v>
      </c>
      <c r="C461" t="s">
        <v>9</v>
      </c>
      <c r="D461" t="s">
        <v>10</v>
      </c>
      <c r="E461" t="s">
        <v>10</v>
      </c>
      <c r="F461" t="s">
        <v>29</v>
      </c>
      <c r="G461" t="s">
        <v>12</v>
      </c>
      <c r="H461" s="3">
        <v>46096</v>
      </c>
    </row>
    <row r="462" spans="1:8" x14ac:dyDescent="0.25">
      <c r="A462" t="s">
        <v>499</v>
      </c>
      <c r="B462">
        <v>26</v>
      </c>
      <c r="C462" t="s">
        <v>9</v>
      </c>
      <c r="D462" t="s">
        <v>10</v>
      </c>
      <c r="E462" t="s">
        <v>10</v>
      </c>
      <c r="F462" t="s">
        <v>29</v>
      </c>
      <c r="G462" t="s">
        <v>22</v>
      </c>
      <c r="H462" s="3">
        <v>45891</v>
      </c>
    </row>
    <row r="463" spans="1:8" x14ac:dyDescent="0.25">
      <c r="A463" t="s">
        <v>500</v>
      </c>
      <c r="B463">
        <v>23</v>
      </c>
      <c r="C463" t="s">
        <v>24</v>
      </c>
      <c r="D463" t="s">
        <v>25</v>
      </c>
      <c r="E463" t="s">
        <v>38</v>
      </c>
      <c r="F463" t="s">
        <v>39</v>
      </c>
      <c r="G463" t="s">
        <v>17</v>
      </c>
      <c r="H463" s="3">
        <v>45876</v>
      </c>
    </row>
    <row r="464" spans="1:8" x14ac:dyDescent="0.25">
      <c r="A464" t="s">
        <v>501</v>
      </c>
      <c r="B464">
        <v>26</v>
      </c>
      <c r="C464" t="s">
        <v>24</v>
      </c>
      <c r="D464" t="s">
        <v>19</v>
      </c>
      <c r="E464" t="s">
        <v>20</v>
      </c>
      <c r="F464" t="s">
        <v>21</v>
      </c>
      <c r="G464" t="s">
        <v>12</v>
      </c>
      <c r="H464" s="3">
        <v>45980</v>
      </c>
    </row>
    <row r="465" spans="1:8" x14ac:dyDescent="0.25">
      <c r="A465" t="s">
        <v>502</v>
      </c>
      <c r="B465">
        <v>56</v>
      </c>
      <c r="C465" t="s">
        <v>9</v>
      </c>
      <c r="D465" t="s">
        <v>25</v>
      </c>
      <c r="E465" t="s">
        <v>26</v>
      </c>
      <c r="F465" t="s">
        <v>27</v>
      </c>
      <c r="G465" t="s">
        <v>22</v>
      </c>
      <c r="H465" s="3">
        <v>44971</v>
      </c>
    </row>
    <row r="466" spans="1:8" x14ac:dyDescent="0.25">
      <c r="A466" t="s">
        <v>503</v>
      </c>
      <c r="B466">
        <v>48</v>
      </c>
      <c r="C466" t="s">
        <v>9</v>
      </c>
      <c r="D466" t="s">
        <v>14</v>
      </c>
      <c r="E466" t="s">
        <v>15</v>
      </c>
      <c r="F466" t="s">
        <v>16</v>
      </c>
      <c r="G466" t="s">
        <v>22</v>
      </c>
      <c r="H466" s="3">
        <v>45397</v>
      </c>
    </row>
    <row r="467" spans="1:8" x14ac:dyDescent="0.25">
      <c r="A467" t="s">
        <v>504</v>
      </c>
      <c r="B467">
        <v>49</v>
      </c>
      <c r="C467" t="s">
        <v>24</v>
      </c>
      <c r="D467" t="s">
        <v>10</v>
      </c>
      <c r="E467" t="s">
        <v>10</v>
      </c>
      <c r="F467" t="s">
        <v>11</v>
      </c>
      <c r="G467" t="s">
        <v>17</v>
      </c>
      <c r="H467" s="3">
        <v>44960</v>
      </c>
    </row>
    <row r="468" spans="1:8" x14ac:dyDescent="0.25">
      <c r="A468" t="s">
        <v>505</v>
      </c>
      <c r="B468">
        <v>58</v>
      </c>
      <c r="C468" t="s">
        <v>9</v>
      </c>
      <c r="D468" t="s">
        <v>10</v>
      </c>
      <c r="E468" t="s">
        <v>10</v>
      </c>
      <c r="F468" t="s">
        <v>11</v>
      </c>
      <c r="G468" t="s">
        <v>12</v>
      </c>
      <c r="H468" s="3">
        <v>45579</v>
      </c>
    </row>
    <row r="469" spans="1:8" x14ac:dyDescent="0.25">
      <c r="A469" t="s">
        <v>506</v>
      </c>
      <c r="B469">
        <v>29</v>
      </c>
      <c r="C469" t="s">
        <v>24</v>
      </c>
      <c r="D469" t="s">
        <v>33</v>
      </c>
      <c r="E469" t="s">
        <v>34</v>
      </c>
      <c r="F469" t="s">
        <v>35</v>
      </c>
      <c r="G469" t="s">
        <v>12</v>
      </c>
      <c r="H469" s="3">
        <v>45756</v>
      </c>
    </row>
    <row r="470" spans="1:8" x14ac:dyDescent="0.25">
      <c r="A470" t="s">
        <v>507</v>
      </c>
      <c r="B470">
        <v>25</v>
      </c>
      <c r="C470" t="s">
        <v>24</v>
      </c>
      <c r="D470" t="s">
        <v>10</v>
      </c>
      <c r="E470" t="s">
        <v>10</v>
      </c>
      <c r="F470" t="s">
        <v>47</v>
      </c>
      <c r="G470" t="s">
        <v>12</v>
      </c>
      <c r="H470" s="3">
        <v>45147</v>
      </c>
    </row>
    <row r="471" spans="1:8" x14ac:dyDescent="0.25">
      <c r="A471" t="s">
        <v>508</v>
      </c>
      <c r="B471">
        <v>25</v>
      </c>
      <c r="C471" t="s">
        <v>24</v>
      </c>
      <c r="D471" t="s">
        <v>14</v>
      </c>
      <c r="E471" t="s">
        <v>15</v>
      </c>
      <c r="F471" t="s">
        <v>16</v>
      </c>
      <c r="G471" t="s">
        <v>12</v>
      </c>
      <c r="H471" s="3">
        <v>45460</v>
      </c>
    </row>
    <row r="472" spans="1:8" x14ac:dyDescent="0.25">
      <c r="A472" t="s">
        <v>509</v>
      </c>
      <c r="B472">
        <v>45</v>
      </c>
      <c r="C472" t="s">
        <v>24</v>
      </c>
      <c r="D472" t="s">
        <v>10</v>
      </c>
      <c r="E472" t="s">
        <v>10</v>
      </c>
      <c r="F472" t="s">
        <v>29</v>
      </c>
      <c r="G472" t="s">
        <v>17</v>
      </c>
      <c r="H472" s="3">
        <v>45618</v>
      </c>
    </row>
    <row r="473" spans="1:8" x14ac:dyDescent="0.25">
      <c r="A473" t="s">
        <v>510</v>
      </c>
      <c r="B473">
        <v>37</v>
      </c>
      <c r="C473" t="s">
        <v>9</v>
      </c>
      <c r="D473" t="s">
        <v>14</v>
      </c>
      <c r="E473" t="s">
        <v>15</v>
      </c>
      <c r="F473" t="s">
        <v>16</v>
      </c>
      <c r="G473" t="s">
        <v>12</v>
      </c>
      <c r="H473" s="3">
        <v>45858</v>
      </c>
    </row>
    <row r="474" spans="1:8" x14ac:dyDescent="0.25">
      <c r="A474" t="s">
        <v>511</v>
      </c>
      <c r="B474">
        <v>64</v>
      </c>
      <c r="C474" t="s">
        <v>24</v>
      </c>
      <c r="D474" t="s">
        <v>10</v>
      </c>
      <c r="E474" t="s">
        <v>10</v>
      </c>
      <c r="F474" t="s">
        <v>29</v>
      </c>
      <c r="G474" t="s">
        <v>22</v>
      </c>
      <c r="H474" s="3">
        <v>45767</v>
      </c>
    </row>
    <row r="475" spans="1:8" x14ac:dyDescent="0.25">
      <c r="A475" t="s">
        <v>512</v>
      </c>
      <c r="B475">
        <v>24</v>
      </c>
      <c r="C475" t="s">
        <v>24</v>
      </c>
      <c r="D475" t="s">
        <v>33</v>
      </c>
      <c r="E475" t="s">
        <v>34</v>
      </c>
      <c r="F475" t="s">
        <v>35</v>
      </c>
      <c r="G475" t="s">
        <v>12</v>
      </c>
      <c r="H475" s="3">
        <v>45937</v>
      </c>
    </row>
    <row r="476" spans="1:8" x14ac:dyDescent="0.25">
      <c r="A476" t="s">
        <v>513</v>
      </c>
      <c r="B476">
        <v>28</v>
      </c>
      <c r="C476" t="s">
        <v>24</v>
      </c>
      <c r="D476" t="s">
        <v>25</v>
      </c>
      <c r="E476" t="s">
        <v>26</v>
      </c>
      <c r="F476" t="s">
        <v>27</v>
      </c>
      <c r="G476" t="s">
        <v>12</v>
      </c>
      <c r="H476" s="3">
        <v>45508</v>
      </c>
    </row>
    <row r="477" spans="1:8" x14ac:dyDescent="0.25">
      <c r="A477" t="s">
        <v>514</v>
      </c>
      <c r="B477">
        <v>37</v>
      </c>
      <c r="C477" t="s">
        <v>9</v>
      </c>
      <c r="D477" t="s">
        <v>14</v>
      </c>
      <c r="E477" t="s">
        <v>15</v>
      </c>
      <c r="F477" t="s">
        <v>16</v>
      </c>
      <c r="G477" t="s">
        <v>17</v>
      </c>
      <c r="H477" s="3">
        <v>46066</v>
      </c>
    </row>
    <row r="478" spans="1:8" x14ac:dyDescent="0.25">
      <c r="A478" t="s">
        <v>515</v>
      </c>
      <c r="B478">
        <v>33</v>
      </c>
      <c r="C478" t="s">
        <v>24</v>
      </c>
      <c r="D478" t="s">
        <v>10</v>
      </c>
      <c r="E478" t="s">
        <v>10</v>
      </c>
      <c r="F478" t="s">
        <v>29</v>
      </c>
      <c r="G478" t="s">
        <v>78</v>
      </c>
      <c r="H478" s="3">
        <v>45165</v>
      </c>
    </row>
    <row r="479" spans="1:8" x14ac:dyDescent="0.25">
      <c r="A479" t="s">
        <v>516</v>
      </c>
      <c r="B479">
        <v>21</v>
      </c>
      <c r="C479" t="s">
        <v>9</v>
      </c>
      <c r="D479" t="s">
        <v>25</v>
      </c>
      <c r="E479" t="s">
        <v>26</v>
      </c>
      <c r="F479" t="s">
        <v>27</v>
      </c>
      <c r="G479" t="s">
        <v>22</v>
      </c>
      <c r="H479" s="3">
        <v>45367</v>
      </c>
    </row>
    <row r="480" spans="1:8" x14ac:dyDescent="0.25">
      <c r="A480" t="s">
        <v>517</v>
      </c>
      <c r="B480">
        <v>23</v>
      </c>
      <c r="C480" t="s">
        <v>9</v>
      </c>
      <c r="D480" t="s">
        <v>14</v>
      </c>
      <c r="E480" t="s">
        <v>15</v>
      </c>
      <c r="F480" t="s">
        <v>16</v>
      </c>
      <c r="G480" t="s">
        <v>22</v>
      </c>
      <c r="H480" s="3">
        <v>45074</v>
      </c>
    </row>
    <row r="481" spans="1:8" x14ac:dyDescent="0.25">
      <c r="A481" t="s">
        <v>518</v>
      </c>
      <c r="B481">
        <v>39</v>
      </c>
      <c r="C481" t="s">
        <v>9</v>
      </c>
      <c r="D481" t="s">
        <v>25</v>
      </c>
      <c r="E481" t="s">
        <v>26</v>
      </c>
      <c r="F481" t="s">
        <v>27</v>
      </c>
      <c r="G481" t="s">
        <v>22</v>
      </c>
      <c r="H481" s="3">
        <v>45959</v>
      </c>
    </row>
    <row r="482" spans="1:8" x14ac:dyDescent="0.25">
      <c r="A482" t="s">
        <v>519</v>
      </c>
      <c r="B482">
        <v>43</v>
      </c>
      <c r="C482" t="s">
        <v>24</v>
      </c>
      <c r="D482" t="s">
        <v>25</v>
      </c>
      <c r="E482" t="s">
        <v>38</v>
      </c>
      <c r="F482" t="s">
        <v>39</v>
      </c>
      <c r="G482" t="s">
        <v>22</v>
      </c>
      <c r="H482" s="3">
        <v>45314</v>
      </c>
    </row>
    <row r="483" spans="1:8" x14ac:dyDescent="0.25">
      <c r="A483" t="s">
        <v>520</v>
      </c>
      <c r="B483">
        <v>20</v>
      </c>
      <c r="C483" t="s">
        <v>24</v>
      </c>
      <c r="D483" t="s">
        <v>25</v>
      </c>
      <c r="E483" t="s">
        <v>38</v>
      </c>
      <c r="F483" t="s">
        <v>39</v>
      </c>
      <c r="G483" t="s">
        <v>12</v>
      </c>
      <c r="H483" s="3">
        <v>46000</v>
      </c>
    </row>
    <row r="484" spans="1:8" x14ac:dyDescent="0.25">
      <c r="A484" t="s">
        <v>521</v>
      </c>
      <c r="B484">
        <v>58</v>
      </c>
      <c r="C484" t="s">
        <v>24</v>
      </c>
      <c r="D484" t="s">
        <v>10</v>
      </c>
      <c r="E484" t="s">
        <v>10</v>
      </c>
      <c r="F484" t="s">
        <v>53</v>
      </c>
      <c r="G484" t="s">
        <v>12</v>
      </c>
      <c r="H484" s="3">
        <v>45842</v>
      </c>
    </row>
    <row r="485" spans="1:8" x14ac:dyDescent="0.25">
      <c r="A485" t="s">
        <v>522</v>
      </c>
      <c r="B485">
        <v>59</v>
      </c>
      <c r="C485" t="s">
        <v>24</v>
      </c>
      <c r="D485" t="s">
        <v>25</v>
      </c>
      <c r="E485" t="s">
        <v>38</v>
      </c>
      <c r="F485" t="s">
        <v>39</v>
      </c>
      <c r="G485" t="s">
        <v>12</v>
      </c>
      <c r="H485" s="3">
        <v>45564</v>
      </c>
    </row>
    <row r="486" spans="1:8" x14ac:dyDescent="0.25">
      <c r="A486" t="s">
        <v>523</v>
      </c>
      <c r="B486">
        <v>31</v>
      </c>
      <c r="C486" t="s">
        <v>9</v>
      </c>
      <c r="D486" t="s">
        <v>25</v>
      </c>
      <c r="E486" t="s">
        <v>26</v>
      </c>
      <c r="F486" t="s">
        <v>27</v>
      </c>
      <c r="G486" t="s">
        <v>22</v>
      </c>
      <c r="H486" s="3">
        <v>45204</v>
      </c>
    </row>
    <row r="487" spans="1:8" x14ac:dyDescent="0.25">
      <c r="A487" t="s">
        <v>524</v>
      </c>
      <c r="B487">
        <v>28</v>
      </c>
      <c r="C487" t="s">
        <v>24</v>
      </c>
      <c r="D487" t="s">
        <v>33</v>
      </c>
      <c r="E487" t="s">
        <v>34</v>
      </c>
      <c r="F487" t="s">
        <v>35</v>
      </c>
      <c r="G487" t="s">
        <v>22</v>
      </c>
      <c r="H487" s="3">
        <v>45915</v>
      </c>
    </row>
    <row r="488" spans="1:8" x14ac:dyDescent="0.25">
      <c r="A488" t="s">
        <v>525</v>
      </c>
      <c r="B488">
        <v>35</v>
      </c>
      <c r="C488" t="s">
        <v>9</v>
      </c>
      <c r="D488" t="s">
        <v>10</v>
      </c>
      <c r="E488" t="s">
        <v>10</v>
      </c>
      <c r="F488" t="s">
        <v>29</v>
      </c>
      <c r="G488" t="s">
        <v>12</v>
      </c>
      <c r="H488" s="3">
        <v>45515</v>
      </c>
    </row>
    <row r="489" spans="1:8" x14ac:dyDescent="0.25">
      <c r="A489" t="s">
        <v>526</v>
      </c>
      <c r="B489">
        <v>29</v>
      </c>
      <c r="C489" t="s">
        <v>24</v>
      </c>
      <c r="D489" t="s">
        <v>10</v>
      </c>
      <c r="E489" t="s">
        <v>10</v>
      </c>
      <c r="F489" t="s">
        <v>11</v>
      </c>
      <c r="G489" t="s">
        <v>17</v>
      </c>
      <c r="H489" s="3">
        <v>45575</v>
      </c>
    </row>
    <row r="490" spans="1:8" x14ac:dyDescent="0.25">
      <c r="A490" t="s">
        <v>527</v>
      </c>
      <c r="B490">
        <v>40</v>
      </c>
      <c r="C490" t="s">
        <v>24</v>
      </c>
      <c r="D490" t="s">
        <v>14</v>
      </c>
      <c r="E490" t="s">
        <v>15</v>
      </c>
      <c r="F490" t="s">
        <v>16</v>
      </c>
      <c r="G490" t="s">
        <v>12</v>
      </c>
      <c r="H490" s="3">
        <v>45544</v>
      </c>
    </row>
    <row r="491" spans="1:8" x14ac:dyDescent="0.25">
      <c r="A491" t="s">
        <v>528</v>
      </c>
      <c r="B491">
        <v>29</v>
      </c>
      <c r="C491" t="s">
        <v>24</v>
      </c>
      <c r="D491" t="s">
        <v>33</v>
      </c>
      <c r="E491" t="s">
        <v>34</v>
      </c>
      <c r="F491" t="s">
        <v>35</v>
      </c>
      <c r="G491" t="s">
        <v>22</v>
      </c>
      <c r="H491" s="3">
        <v>45061</v>
      </c>
    </row>
    <row r="492" spans="1:8" x14ac:dyDescent="0.25">
      <c r="A492" t="s">
        <v>529</v>
      </c>
      <c r="B492">
        <v>30</v>
      </c>
      <c r="C492" t="s">
        <v>24</v>
      </c>
      <c r="D492" t="s">
        <v>10</v>
      </c>
      <c r="E492" t="s">
        <v>10</v>
      </c>
      <c r="F492" t="s">
        <v>53</v>
      </c>
      <c r="G492" t="s">
        <v>12</v>
      </c>
      <c r="H492" s="3">
        <v>45506</v>
      </c>
    </row>
    <row r="493" spans="1:8" x14ac:dyDescent="0.25">
      <c r="A493" t="s">
        <v>530</v>
      </c>
      <c r="B493">
        <v>42</v>
      </c>
      <c r="C493" t="s">
        <v>9</v>
      </c>
      <c r="D493" t="s">
        <v>25</v>
      </c>
      <c r="E493" t="s">
        <v>38</v>
      </c>
      <c r="F493" t="s">
        <v>39</v>
      </c>
      <c r="G493" t="s">
        <v>12</v>
      </c>
      <c r="H493" s="3">
        <v>46097</v>
      </c>
    </row>
    <row r="494" spans="1:8" x14ac:dyDescent="0.25">
      <c r="A494" t="s">
        <v>531</v>
      </c>
      <c r="B494">
        <v>62</v>
      </c>
      <c r="C494" t="s">
        <v>9</v>
      </c>
      <c r="D494" t="s">
        <v>10</v>
      </c>
      <c r="E494" t="s">
        <v>10</v>
      </c>
      <c r="F494" t="s">
        <v>47</v>
      </c>
      <c r="G494" t="s">
        <v>12</v>
      </c>
      <c r="H494" s="3">
        <v>45416</v>
      </c>
    </row>
    <row r="495" spans="1:8" x14ac:dyDescent="0.25">
      <c r="A495" t="s">
        <v>532</v>
      </c>
      <c r="B495">
        <v>36</v>
      </c>
      <c r="C495" t="s">
        <v>24</v>
      </c>
      <c r="D495" t="s">
        <v>10</v>
      </c>
      <c r="E495" t="s">
        <v>10</v>
      </c>
      <c r="F495" t="s">
        <v>47</v>
      </c>
      <c r="G495" t="s">
        <v>12</v>
      </c>
      <c r="H495" s="3">
        <v>45404</v>
      </c>
    </row>
    <row r="496" spans="1:8" x14ac:dyDescent="0.25">
      <c r="A496" t="s">
        <v>533</v>
      </c>
      <c r="B496">
        <v>63</v>
      </c>
      <c r="C496" t="s">
        <v>9</v>
      </c>
      <c r="D496" t="s">
        <v>10</v>
      </c>
      <c r="E496" t="s">
        <v>10</v>
      </c>
      <c r="F496" t="s">
        <v>53</v>
      </c>
      <c r="G496" t="s">
        <v>22</v>
      </c>
      <c r="H496" s="3">
        <v>46109</v>
      </c>
    </row>
    <row r="497" spans="1:8" x14ac:dyDescent="0.25">
      <c r="A497" t="s">
        <v>534</v>
      </c>
      <c r="B497">
        <v>53</v>
      </c>
      <c r="C497" t="s">
        <v>9</v>
      </c>
      <c r="D497" t="s">
        <v>10</v>
      </c>
      <c r="E497" t="s">
        <v>10</v>
      </c>
      <c r="F497" t="s">
        <v>11</v>
      </c>
      <c r="G497" t="s">
        <v>12</v>
      </c>
      <c r="H497" s="3">
        <v>45310</v>
      </c>
    </row>
    <row r="498" spans="1:8" x14ac:dyDescent="0.25">
      <c r="A498" t="s">
        <v>535</v>
      </c>
      <c r="B498">
        <v>62</v>
      </c>
      <c r="C498" t="s">
        <v>24</v>
      </c>
      <c r="D498" t="s">
        <v>25</v>
      </c>
      <c r="E498" t="s">
        <v>26</v>
      </c>
      <c r="F498" t="s">
        <v>27</v>
      </c>
      <c r="G498" t="s">
        <v>22</v>
      </c>
      <c r="H498" s="3">
        <v>45089</v>
      </c>
    </row>
    <row r="499" spans="1:8" x14ac:dyDescent="0.25">
      <c r="A499" t="s">
        <v>536</v>
      </c>
      <c r="B499">
        <v>25</v>
      </c>
      <c r="C499" t="s">
        <v>24</v>
      </c>
      <c r="D499" t="s">
        <v>10</v>
      </c>
      <c r="E499" t="s">
        <v>10</v>
      </c>
      <c r="F499" t="s">
        <v>29</v>
      </c>
      <c r="G499" t="s">
        <v>12</v>
      </c>
      <c r="H499" s="3">
        <v>45367</v>
      </c>
    </row>
    <row r="500" spans="1:8" x14ac:dyDescent="0.25">
      <c r="A500" t="s">
        <v>537</v>
      </c>
      <c r="B500">
        <v>46</v>
      </c>
      <c r="C500" t="s">
        <v>9</v>
      </c>
      <c r="D500" t="s">
        <v>14</v>
      </c>
      <c r="E500" t="s">
        <v>15</v>
      </c>
      <c r="F500" t="s">
        <v>16</v>
      </c>
      <c r="G500" t="s">
        <v>12</v>
      </c>
      <c r="H500" s="3">
        <v>46139</v>
      </c>
    </row>
    <row r="501" spans="1:8" x14ac:dyDescent="0.25">
      <c r="A501" t="s">
        <v>538</v>
      </c>
      <c r="B501">
        <v>49</v>
      </c>
      <c r="C501" t="s">
        <v>9</v>
      </c>
      <c r="D501" t="s">
        <v>14</v>
      </c>
      <c r="E501" t="s">
        <v>15</v>
      </c>
      <c r="F501" t="s">
        <v>16</v>
      </c>
      <c r="G501" t="s">
        <v>12</v>
      </c>
      <c r="H501" s="3">
        <v>45341</v>
      </c>
    </row>
    <row r="502" spans="1:8" x14ac:dyDescent="0.25">
      <c r="A502" t="s">
        <v>539</v>
      </c>
      <c r="B502">
        <v>61</v>
      </c>
      <c r="C502" t="s">
        <v>24</v>
      </c>
      <c r="D502" t="s">
        <v>25</v>
      </c>
      <c r="E502" t="s">
        <v>38</v>
      </c>
      <c r="F502" t="s">
        <v>39</v>
      </c>
      <c r="G502" t="s">
        <v>22</v>
      </c>
      <c r="H502" s="3">
        <v>46131</v>
      </c>
    </row>
    <row r="503" spans="1:8" x14ac:dyDescent="0.25">
      <c r="A503" t="s">
        <v>540</v>
      </c>
      <c r="B503">
        <v>35</v>
      </c>
      <c r="C503" t="s">
        <v>24</v>
      </c>
      <c r="D503" t="s">
        <v>25</v>
      </c>
      <c r="E503" t="s">
        <v>26</v>
      </c>
      <c r="F503" t="s">
        <v>27</v>
      </c>
      <c r="G503" t="s">
        <v>12</v>
      </c>
      <c r="H503" s="3">
        <v>45214</v>
      </c>
    </row>
    <row r="504" spans="1:8" x14ac:dyDescent="0.25">
      <c r="A504" t="s">
        <v>541</v>
      </c>
      <c r="B504">
        <v>23</v>
      </c>
      <c r="C504" t="s">
        <v>9</v>
      </c>
      <c r="D504" t="s">
        <v>10</v>
      </c>
      <c r="E504" t="s">
        <v>10</v>
      </c>
      <c r="F504" t="s">
        <v>11</v>
      </c>
      <c r="G504" t="s">
        <v>12</v>
      </c>
      <c r="H504" s="3">
        <v>45113</v>
      </c>
    </row>
    <row r="505" spans="1:8" x14ac:dyDescent="0.25">
      <c r="A505" t="s">
        <v>542</v>
      </c>
      <c r="B505">
        <v>35</v>
      </c>
      <c r="C505" t="s">
        <v>9</v>
      </c>
      <c r="D505" t="s">
        <v>43</v>
      </c>
      <c r="E505" t="s">
        <v>44</v>
      </c>
      <c r="F505" t="s">
        <v>45</v>
      </c>
      <c r="G505" t="s">
        <v>12</v>
      </c>
      <c r="H505" s="3">
        <v>46088</v>
      </c>
    </row>
    <row r="506" spans="1:8" x14ac:dyDescent="0.25">
      <c r="A506" t="s">
        <v>543</v>
      </c>
      <c r="B506">
        <v>36</v>
      </c>
      <c r="C506" t="s">
        <v>9</v>
      </c>
      <c r="D506" t="s">
        <v>25</v>
      </c>
      <c r="E506" t="s">
        <v>38</v>
      </c>
      <c r="F506" t="s">
        <v>39</v>
      </c>
      <c r="G506" t="s">
        <v>22</v>
      </c>
      <c r="H506" s="3">
        <v>45056</v>
      </c>
    </row>
    <row r="507" spans="1:8" x14ac:dyDescent="0.25">
      <c r="A507" t="s">
        <v>544</v>
      </c>
      <c r="B507">
        <v>39</v>
      </c>
      <c r="C507" t="s">
        <v>9</v>
      </c>
      <c r="D507" t="s">
        <v>10</v>
      </c>
      <c r="E507" t="s">
        <v>10</v>
      </c>
      <c r="F507" t="s">
        <v>47</v>
      </c>
      <c r="G507" t="s">
        <v>17</v>
      </c>
      <c r="H507" s="3">
        <v>45120</v>
      </c>
    </row>
    <row r="508" spans="1:8" x14ac:dyDescent="0.25">
      <c r="A508" t="s">
        <v>545</v>
      </c>
      <c r="B508">
        <v>54</v>
      </c>
      <c r="C508" t="s">
        <v>9</v>
      </c>
      <c r="D508" t="s">
        <v>33</v>
      </c>
      <c r="E508" t="s">
        <v>34</v>
      </c>
      <c r="F508" t="s">
        <v>35</v>
      </c>
      <c r="G508" t="s">
        <v>22</v>
      </c>
      <c r="H508" s="3">
        <v>45242</v>
      </c>
    </row>
    <row r="509" spans="1:8" x14ac:dyDescent="0.25">
      <c r="A509" t="s">
        <v>546</v>
      </c>
      <c r="B509">
        <v>49</v>
      </c>
      <c r="C509" t="s">
        <v>24</v>
      </c>
      <c r="D509" t="s">
        <v>43</v>
      </c>
      <c r="E509" t="s">
        <v>44</v>
      </c>
      <c r="F509" t="s">
        <v>45</v>
      </c>
      <c r="G509" t="s">
        <v>12</v>
      </c>
      <c r="H509" s="3">
        <v>45070</v>
      </c>
    </row>
    <row r="510" spans="1:8" x14ac:dyDescent="0.25">
      <c r="A510" t="s">
        <v>547</v>
      </c>
      <c r="B510">
        <v>58</v>
      </c>
      <c r="C510" t="s">
        <v>24</v>
      </c>
      <c r="D510" t="s">
        <v>14</v>
      </c>
      <c r="E510" t="s">
        <v>15</v>
      </c>
      <c r="F510" t="s">
        <v>16</v>
      </c>
      <c r="G510" t="s">
        <v>12</v>
      </c>
      <c r="H510" s="3">
        <v>44942</v>
      </c>
    </row>
    <row r="511" spans="1:8" x14ac:dyDescent="0.25">
      <c r="A511" t="s">
        <v>548</v>
      </c>
      <c r="B511">
        <v>20</v>
      </c>
      <c r="C511" t="s">
        <v>24</v>
      </c>
      <c r="D511" t="s">
        <v>19</v>
      </c>
      <c r="E511" t="s">
        <v>20</v>
      </c>
      <c r="F511" t="s">
        <v>21</v>
      </c>
      <c r="G511" t="s">
        <v>17</v>
      </c>
      <c r="H511" s="3">
        <v>45349</v>
      </c>
    </row>
    <row r="512" spans="1:8" x14ac:dyDescent="0.25">
      <c r="A512" t="s">
        <v>549</v>
      </c>
      <c r="B512">
        <v>45</v>
      </c>
      <c r="C512" t="s">
        <v>9</v>
      </c>
      <c r="D512" t="s">
        <v>25</v>
      </c>
      <c r="E512" t="s">
        <v>38</v>
      </c>
      <c r="F512" t="s">
        <v>39</v>
      </c>
      <c r="G512" t="s">
        <v>12</v>
      </c>
      <c r="H512" s="3">
        <v>45171</v>
      </c>
    </row>
    <row r="513" spans="1:8" x14ac:dyDescent="0.25">
      <c r="A513" t="s">
        <v>550</v>
      </c>
      <c r="B513">
        <v>27</v>
      </c>
      <c r="C513" t="s">
        <v>24</v>
      </c>
      <c r="D513" t="s">
        <v>10</v>
      </c>
      <c r="E513" t="s">
        <v>10</v>
      </c>
      <c r="F513" t="s">
        <v>53</v>
      </c>
      <c r="G513" t="s">
        <v>12</v>
      </c>
      <c r="H513" s="3">
        <v>45853</v>
      </c>
    </row>
    <row r="514" spans="1:8" x14ac:dyDescent="0.25">
      <c r="A514" t="s">
        <v>551</v>
      </c>
      <c r="B514">
        <v>52</v>
      </c>
      <c r="C514" t="s">
        <v>9</v>
      </c>
      <c r="D514" t="s">
        <v>14</v>
      </c>
      <c r="E514" t="s">
        <v>15</v>
      </c>
      <c r="F514" t="s">
        <v>16</v>
      </c>
      <c r="G514" t="s">
        <v>17</v>
      </c>
      <c r="H514" s="3">
        <v>46057</v>
      </c>
    </row>
    <row r="515" spans="1:8" x14ac:dyDescent="0.25">
      <c r="A515" t="s">
        <v>552</v>
      </c>
      <c r="B515">
        <v>46</v>
      </c>
      <c r="C515" t="s">
        <v>24</v>
      </c>
      <c r="D515" t="s">
        <v>33</v>
      </c>
      <c r="E515" t="s">
        <v>34</v>
      </c>
      <c r="F515" t="s">
        <v>35</v>
      </c>
      <c r="G515" t="s">
        <v>12</v>
      </c>
      <c r="H515" s="3">
        <v>46038</v>
      </c>
    </row>
    <row r="516" spans="1:8" x14ac:dyDescent="0.25">
      <c r="A516" t="s">
        <v>553</v>
      </c>
      <c r="B516">
        <v>32</v>
      </c>
      <c r="C516" t="s">
        <v>24</v>
      </c>
      <c r="D516" t="s">
        <v>10</v>
      </c>
      <c r="E516" t="s">
        <v>10</v>
      </c>
      <c r="F516" t="s">
        <v>29</v>
      </c>
      <c r="G516" t="s">
        <v>22</v>
      </c>
      <c r="H516" s="3">
        <v>45055</v>
      </c>
    </row>
    <row r="517" spans="1:8" x14ac:dyDescent="0.25">
      <c r="A517" t="s">
        <v>554</v>
      </c>
      <c r="B517">
        <v>50</v>
      </c>
      <c r="C517" t="s">
        <v>9</v>
      </c>
      <c r="D517" t="s">
        <v>10</v>
      </c>
      <c r="E517" t="s">
        <v>10</v>
      </c>
      <c r="F517" t="s">
        <v>29</v>
      </c>
      <c r="G517" t="s">
        <v>17</v>
      </c>
      <c r="H517" s="3">
        <v>45833</v>
      </c>
    </row>
    <row r="518" spans="1:8" x14ac:dyDescent="0.25">
      <c r="A518" t="s">
        <v>555</v>
      </c>
      <c r="B518">
        <v>24</v>
      </c>
      <c r="C518" t="s">
        <v>24</v>
      </c>
      <c r="D518" t="s">
        <v>10</v>
      </c>
      <c r="E518" t="s">
        <v>10</v>
      </c>
      <c r="F518" t="s">
        <v>11</v>
      </c>
      <c r="G518" t="s">
        <v>22</v>
      </c>
      <c r="H518" s="3">
        <v>45813</v>
      </c>
    </row>
    <row r="519" spans="1:8" x14ac:dyDescent="0.25">
      <c r="A519" t="s">
        <v>556</v>
      </c>
      <c r="B519">
        <v>29</v>
      </c>
      <c r="C519" t="s">
        <v>9</v>
      </c>
      <c r="D519" t="s">
        <v>43</v>
      </c>
      <c r="E519" t="s">
        <v>44</v>
      </c>
      <c r="F519" t="s">
        <v>45</v>
      </c>
      <c r="G519" t="s">
        <v>12</v>
      </c>
      <c r="H519" s="3">
        <v>45267</v>
      </c>
    </row>
    <row r="520" spans="1:8" x14ac:dyDescent="0.25">
      <c r="A520" t="s">
        <v>557</v>
      </c>
      <c r="B520">
        <v>47</v>
      </c>
      <c r="C520" t="s">
        <v>24</v>
      </c>
      <c r="D520" t="s">
        <v>14</v>
      </c>
      <c r="E520" t="s">
        <v>15</v>
      </c>
      <c r="F520" t="s">
        <v>16</v>
      </c>
      <c r="G520" t="s">
        <v>12</v>
      </c>
      <c r="H520" s="3">
        <v>44930</v>
      </c>
    </row>
    <row r="521" spans="1:8" x14ac:dyDescent="0.25">
      <c r="A521" t="s">
        <v>558</v>
      </c>
      <c r="B521">
        <v>38</v>
      </c>
      <c r="C521" t="s">
        <v>9</v>
      </c>
      <c r="D521" t="s">
        <v>10</v>
      </c>
      <c r="E521" t="s">
        <v>10</v>
      </c>
      <c r="F521" t="s">
        <v>29</v>
      </c>
      <c r="G521" t="s">
        <v>12</v>
      </c>
      <c r="H521" s="3">
        <v>45232</v>
      </c>
    </row>
    <row r="522" spans="1:8" x14ac:dyDescent="0.25">
      <c r="A522" t="s">
        <v>559</v>
      </c>
      <c r="B522">
        <v>48</v>
      </c>
      <c r="C522" t="s">
        <v>9</v>
      </c>
      <c r="D522" t="s">
        <v>25</v>
      </c>
      <c r="E522" t="s">
        <v>26</v>
      </c>
      <c r="F522" t="s">
        <v>27</v>
      </c>
      <c r="G522" t="s">
        <v>12</v>
      </c>
      <c r="H522" s="3">
        <v>45834</v>
      </c>
    </row>
    <row r="523" spans="1:8" x14ac:dyDescent="0.25">
      <c r="A523" t="s">
        <v>560</v>
      </c>
      <c r="B523">
        <v>41</v>
      </c>
      <c r="C523" t="s">
        <v>24</v>
      </c>
      <c r="D523" t="s">
        <v>10</v>
      </c>
      <c r="E523" t="s">
        <v>10</v>
      </c>
      <c r="F523" t="s">
        <v>11</v>
      </c>
      <c r="G523" t="s">
        <v>12</v>
      </c>
      <c r="H523" s="3">
        <v>45533</v>
      </c>
    </row>
    <row r="524" spans="1:8" x14ac:dyDescent="0.25">
      <c r="A524" t="s">
        <v>561</v>
      </c>
      <c r="B524">
        <v>37</v>
      </c>
      <c r="C524" t="s">
        <v>9</v>
      </c>
      <c r="D524" t="s">
        <v>14</v>
      </c>
      <c r="E524" t="s">
        <v>15</v>
      </c>
      <c r="F524" t="s">
        <v>16</v>
      </c>
      <c r="G524" t="s">
        <v>17</v>
      </c>
      <c r="H524" s="3">
        <v>46175</v>
      </c>
    </row>
    <row r="525" spans="1:8" x14ac:dyDescent="0.25">
      <c r="A525" t="s">
        <v>562</v>
      </c>
      <c r="B525">
        <v>54</v>
      </c>
      <c r="C525" t="s">
        <v>24</v>
      </c>
      <c r="D525" t="s">
        <v>43</v>
      </c>
      <c r="E525" t="s">
        <v>44</v>
      </c>
      <c r="F525" t="s">
        <v>45</v>
      </c>
      <c r="G525" t="s">
        <v>12</v>
      </c>
      <c r="H525" s="3">
        <v>45918</v>
      </c>
    </row>
    <row r="526" spans="1:8" x14ac:dyDescent="0.25">
      <c r="A526" t="s">
        <v>563</v>
      </c>
      <c r="B526">
        <v>21</v>
      </c>
      <c r="C526" t="s">
        <v>9</v>
      </c>
      <c r="D526" t="s">
        <v>43</v>
      </c>
      <c r="E526" t="s">
        <v>44</v>
      </c>
      <c r="F526" t="s">
        <v>45</v>
      </c>
      <c r="G526" t="s">
        <v>12</v>
      </c>
      <c r="H526" s="3">
        <v>45247</v>
      </c>
    </row>
    <row r="527" spans="1:8" x14ac:dyDescent="0.25">
      <c r="A527" t="s">
        <v>564</v>
      </c>
      <c r="B527">
        <v>45</v>
      </c>
      <c r="C527" t="s">
        <v>24</v>
      </c>
      <c r="D527" t="s">
        <v>10</v>
      </c>
      <c r="E527" t="s">
        <v>10</v>
      </c>
      <c r="F527" t="s">
        <v>53</v>
      </c>
      <c r="G527" t="s">
        <v>22</v>
      </c>
      <c r="H527" s="3">
        <v>45485</v>
      </c>
    </row>
    <row r="528" spans="1:8" x14ac:dyDescent="0.25">
      <c r="A528" t="s">
        <v>565</v>
      </c>
      <c r="B528">
        <v>61</v>
      </c>
      <c r="C528" t="s">
        <v>24</v>
      </c>
      <c r="D528" t="s">
        <v>10</v>
      </c>
      <c r="E528" t="s">
        <v>10</v>
      </c>
      <c r="F528" t="s">
        <v>53</v>
      </c>
      <c r="G528" t="s">
        <v>22</v>
      </c>
      <c r="H528" s="3">
        <v>46131</v>
      </c>
    </row>
    <row r="529" spans="1:8" x14ac:dyDescent="0.25">
      <c r="A529" t="s">
        <v>566</v>
      </c>
      <c r="B529">
        <v>37</v>
      </c>
      <c r="C529" t="s">
        <v>24</v>
      </c>
      <c r="D529" t="s">
        <v>10</v>
      </c>
      <c r="E529" t="s">
        <v>10</v>
      </c>
      <c r="F529" t="s">
        <v>47</v>
      </c>
      <c r="G529" t="s">
        <v>12</v>
      </c>
      <c r="H529" s="3">
        <v>45544</v>
      </c>
    </row>
    <row r="530" spans="1:8" x14ac:dyDescent="0.25">
      <c r="A530" t="s">
        <v>567</v>
      </c>
      <c r="B530">
        <v>41</v>
      </c>
      <c r="C530" t="s">
        <v>9</v>
      </c>
      <c r="D530" t="s">
        <v>10</v>
      </c>
      <c r="E530" t="s">
        <v>10</v>
      </c>
      <c r="F530" t="s">
        <v>29</v>
      </c>
      <c r="G530" t="s">
        <v>17</v>
      </c>
      <c r="H530" s="3">
        <v>45637</v>
      </c>
    </row>
    <row r="531" spans="1:8" x14ac:dyDescent="0.25">
      <c r="A531" t="s">
        <v>568</v>
      </c>
      <c r="B531">
        <v>49</v>
      </c>
      <c r="C531" t="s">
        <v>9</v>
      </c>
      <c r="D531" t="s">
        <v>33</v>
      </c>
      <c r="E531" t="s">
        <v>34</v>
      </c>
      <c r="F531" t="s">
        <v>35</v>
      </c>
      <c r="G531" t="s">
        <v>12</v>
      </c>
      <c r="H531" s="3">
        <v>46058</v>
      </c>
    </row>
    <row r="532" spans="1:8" x14ac:dyDescent="0.25">
      <c r="A532" t="s">
        <v>569</v>
      </c>
      <c r="B532">
        <v>58</v>
      </c>
      <c r="C532" t="s">
        <v>9</v>
      </c>
      <c r="D532" t="s">
        <v>43</v>
      </c>
      <c r="E532" t="s">
        <v>44</v>
      </c>
      <c r="F532" t="s">
        <v>45</v>
      </c>
      <c r="G532" t="s">
        <v>12</v>
      </c>
      <c r="H532" s="3">
        <v>45457</v>
      </c>
    </row>
    <row r="533" spans="1:8" x14ac:dyDescent="0.25">
      <c r="A533" t="s">
        <v>570</v>
      </c>
      <c r="B533">
        <v>53</v>
      </c>
      <c r="C533" t="s">
        <v>9</v>
      </c>
      <c r="D533" t="s">
        <v>14</v>
      </c>
      <c r="E533" t="s">
        <v>15</v>
      </c>
      <c r="F533" t="s">
        <v>16</v>
      </c>
      <c r="G533" t="s">
        <v>12</v>
      </c>
      <c r="H533" s="3">
        <v>45336</v>
      </c>
    </row>
    <row r="534" spans="1:8" x14ac:dyDescent="0.25">
      <c r="A534" t="s">
        <v>571</v>
      </c>
      <c r="B534">
        <v>51</v>
      </c>
      <c r="C534" t="s">
        <v>24</v>
      </c>
      <c r="D534" t="s">
        <v>14</v>
      </c>
      <c r="E534" t="s">
        <v>15</v>
      </c>
      <c r="F534" t="s">
        <v>16</v>
      </c>
      <c r="G534" t="s">
        <v>12</v>
      </c>
      <c r="H534" s="3">
        <v>45744</v>
      </c>
    </row>
    <row r="535" spans="1:8" x14ac:dyDescent="0.25">
      <c r="A535" t="s">
        <v>572</v>
      </c>
      <c r="B535">
        <v>53</v>
      </c>
      <c r="C535" t="s">
        <v>24</v>
      </c>
      <c r="D535" t="s">
        <v>25</v>
      </c>
      <c r="E535" t="s">
        <v>26</v>
      </c>
      <c r="F535" t="s">
        <v>27</v>
      </c>
      <c r="G535" t="s">
        <v>12</v>
      </c>
      <c r="H535" s="3">
        <v>46121</v>
      </c>
    </row>
    <row r="536" spans="1:8" x14ac:dyDescent="0.25">
      <c r="A536" t="s">
        <v>573</v>
      </c>
      <c r="B536">
        <v>19</v>
      </c>
      <c r="C536" t="s">
        <v>24</v>
      </c>
      <c r="D536" t="s">
        <v>19</v>
      </c>
      <c r="E536" t="s">
        <v>20</v>
      </c>
      <c r="F536" t="s">
        <v>21</v>
      </c>
      <c r="G536" t="s">
        <v>12</v>
      </c>
      <c r="H536" s="3">
        <v>45419</v>
      </c>
    </row>
    <row r="537" spans="1:8" x14ac:dyDescent="0.25">
      <c r="A537" t="s">
        <v>574</v>
      </c>
      <c r="B537">
        <v>32</v>
      </c>
      <c r="C537" t="s">
        <v>24</v>
      </c>
      <c r="D537" t="s">
        <v>14</v>
      </c>
      <c r="E537" t="s">
        <v>15</v>
      </c>
      <c r="F537" t="s">
        <v>16</v>
      </c>
      <c r="G537" t="s">
        <v>12</v>
      </c>
      <c r="H537" s="3">
        <v>46145</v>
      </c>
    </row>
    <row r="538" spans="1:8" x14ac:dyDescent="0.25">
      <c r="A538" t="s">
        <v>575</v>
      </c>
      <c r="B538">
        <v>51</v>
      </c>
      <c r="C538" t="s">
        <v>24</v>
      </c>
      <c r="D538" t="s">
        <v>43</v>
      </c>
      <c r="E538" t="s">
        <v>44</v>
      </c>
      <c r="F538" t="s">
        <v>45</v>
      </c>
      <c r="G538" t="s">
        <v>22</v>
      </c>
      <c r="H538" s="3">
        <v>44938</v>
      </c>
    </row>
    <row r="539" spans="1:8" x14ac:dyDescent="0.25">
      <c r="A539" t="s">
        <v>576</v>
      </c>
      <c r="B539">
        <v>53</v>
      </c>
      <c r="C539" t="s">
        <v>24</v>
      </c>
      <c r="D539" t="s">
        <v>10</v>
      </c>
      <c r="E539" t="s">
        <v>10</v>
      </c>
      <c r="F539" t="s">
        <v>47</v>
      </c>
      <c r="G539" t="s">
        <v>22</v>
      </c>
      <c r="H539" s="3">
        <v>45121</v>
      </c>
    </row>
    <row r="540" spans="1:8" x14ac:dyDescent="0.25">
      <c r="A540" t="s">
        <v>577</v>
      </c>
      <c r="B540">
        <v>23</v>
      </c>
      <c r="C540" t="s">
        <v>9</v>
      </c>
      <c r="D540" t="s">
        <v>10</v>
      </c>
      <c r="E540" t="s">
        <v>10</v>
      </c>
      <c r="F540" t="s">
        <v>53</v>
      </c>
      <c r="G540" t="s">
        <v>12</v>
      </c>
      <c r="H540" s="3">
        <v>45416</v>
      </c>
    </row>
    <row r="541" spans="1:8" x14ac:dyDescent="0.25">
      <c r="A541" t="s">
        <v>578</v>
      </c>
      <c r="B541">
        <v>56</v>
      </c>
      <c r="C541" t="s">
        <v>24</v>
      </c>
      <c r="D541" t="s">
        <v>10</v>
      </c>
      <c r="E541" t="s">
        <v>10</v>
      </c>
      <c r="F541" t="s">
        <v>29</v>
      </c>
      <c r="G541" t="s">
        <v>22</v>
      </c>
      <c r="H541" s="3">
        <v>45721</v>
      </c>
    </row>
    <row r="542" spans="1:8" x14ac:dyDescent="0.25">
      <c r="A542" t="s">
        <v>579</v>
      </c>
      <c r="B542">
        <v>59</v>
      </c>
      <c r="C542" t="s">
        <v>24</v>
      </c>
      <c r="D542" t="s">
        <v>14</v>
      </c>
      <c r="E542" t="s">
        <v>15</v>
      </c>
      <c r="F542" t="s">
        <v>16</v>
      </c>
      <c r="G542" t="s">
        <v>78</v>
      </c>
      <c r="H542" s="3">
        <v>45807</v>
      </c>
    </row>
    <row r="543" spans="1:8" x14ac:dyDescent="0.25">
      <c r="A543" t="s">
        <v>580</v>
      </c>
      <c r="B543">
        <v>29</v>
      </c>
      <c r="C543" t="s">
        <v>24</v>
      </c>
      <c r="D543" t="s">
        <v>25</v>
      </c>
      <c r="E543" t="s">
        <v>26</v>
      </c>
      <c r="F543" t="s">
        <v>27</v>
      </c>
      <c r="G543" t="s">
        <v>12</v>
      </c>
      <c r="H543" s="3">
        <v>45108</v>
      </c>
    </row>
    <row r="544" spans="1:8" x14ac:dyDescent="0.25">
      <c r="A544" t="s">
        <v>581</v>
      </c>
      <c r="B544">
        <v>20</v>
      </c>
      <c r="C544" t="s">
        <v>9</v>
      </c>
      <c r="D544" t="s">
        <v>10</v>
      </c>
      <c r="E544" t="s">
        <v>10</v>
      </c>
      <c r="F544" t="s">
        <v>47</v>
      </c>
      <c r="G544" t="s">
        <v>12</v>
      </c>
      <c r="H544" s="3">
        <v>45888</v>
      </c>
    </row>
    <row r="545" spans="1:8" x14ac:dyDescent="0.25">
      <c r="A545" t="s">
        <v>582</v>
      </c>
      <c r="B545">
        <v>62</v>
      </c>
      <c r="C545" t="s">
        <v>9</v>
      </c>
      <c r="D545" t="s">
        <v>25</v>
      </c>
      <c r="E545" t="s">
        <v>38</v>
      </c>
      <c r="F545" t="s">
        <v>39</v>
      </c>
      <c r="G545" t="s">
        <v>12</v>
      </c>
      <c r="H545" s="3">
        <v>45582</v>
      </c>
    </row>
    <row r="546" spans="1:8" x14ac:dyDescent="0.25">
      <c r="A546" t="s">
        <v>583</v>
      </c>
      <c r="B546">
        <v>35</v>
      </c>
      <c r="C546" t="s">
        <v>9</v>
      </c>
      <c r="D546" t="s">
        <v>25</v>
      </c>
      <c r="E546" t="s">
        <v>38</v>
      </c>
      <c r="F546" t="s">
        <v>39</v>
      </c>
      <c r="G546" t="s">
        <v>78</v>
      </c>
      <c r="H546" s="3">
        <v>45620</v>
      </c>
    </row>
    <row r="547" spans="1:8" x14ac:dyDescent="0.25">
      <c r="A547" t="s">
        <v>584</v>
      </c>
      <c r="B547">
        <v>57</v>
      </c>
      <c r="C547" t="s">
        <v>24</v>
      </c>
      <c r="D547" t="s">
        <v>10</v>
      </c>
      <c r="E547" t="s">
        <v>10</v>
      </c>
      <c r="F547" t="s">
        <v>11</v>
      </c>
      <c r="G547" t="s">
        <v>22</v>
      </c>
      <c r="H547" s="3">
        <v>44956</v>
      </c>
    </row>
    <row r="548" spans="1:8" x14ac:dyDescent="0.25">
      <c r="A548" t="s">
        <v>585</v>
      </c>
      <c r="B548">
        <v>38</v>
      </c>
      <c r="C548" t="s">
        <v>24</v>
      </c>
      <c r="D548" t="s">
        <v>10</v>
      </c>
      <c r="E548" t="s">
        <v>10</v>
      </c>
      <c r="F548" t="s">
        <v>29</v>
      </c>
      <c r="G548" t="s">
        <v>17</v>
      </c>
      <c r="H548" s="3">
        <v>46046</v>
      </c>
    </row>
    <row r="549" spans="1:8" x14ac:dyDescent="0.25">
      <c r="A549" t="s">
        <v>586</v>
      </c>
      <c r="B549">
        <v>32</v>
      </c>
      <c r="C549" t="s">
        <v>9</v>
      </c>
      <c r="D549" t="s">
        <v>25</v>
      </c>
      <c r="E549" t="s">
        <v>38</v>
      </c>
      <c r="F549" t="s">
        <v>39</v>
      </c>
      <c r="G549" t="s">
        <v>12</v>
      </c>
      <c r="H549" s="3">
        <v>45704</v>
      </c>
    </row>
    <row r="550" spans="1:8" x14ac:dyDescent="0.25">
      <c r="A550" t="s">
        <v>587</v>
      </c>
      <c r="B550">
        <v>50</v>
      </c>
      <c r="C550" t="s">
        <v>24</v>
      </c>
      <c r="D550" t="s">
        <v>25</v>
      </c>
      <c r="E550" t="s">
        <v>26</v>
      </c>
      <c r="F550" t="s">
        <v>27</v>
      </c>
      <c r="G550" t="s">
        <v>12</v>
      </c>
      <c r="H550" s="3">
        <v>45370</v>
      </c>
    </row>
    <row r="551" spans="1:8" x14ac:dyDescent="0.25">
      <c r="A551" t="s">
        <v>588</v>
      </c>
      <c r="B551">
        <v>52</v>
      </c>
      <c r="C551" t="s">
        <v>9</v>
      </c>
      <c r="D551" t="s">
        <v>19</v>
      </c>
      <c r="E551" t="s">
        <v>20</v>
      </c>
      <c r="F551" t="s">
        <v>21</v>
      </c>
      <c r="G551" t="s">
        <v>12</v>
      </c>
      <c r="H551" s="3">
        <v>45224</v>
      </c>
    </row>
    <row r="552" spans="1:8" x14ac:dyDescent="0.25">
      <c r="A552" t="s">
        <v>589</v>
      </c>
      <c r="B552">
        <v>43</v>
      </c>
      <c r="C552" t="s">
        <v>9</v>
      </c>
      <c r="D552" t="s">
        <v>25</v>
      </c>
      <c r="E552" t="s">
        <v>26</v>
      </c>
      <c r="F552" t="s">
        <v>27</v>
      </c>
      <c r="G552" t="s">
        <v>12</v>
      </c>
      <c r="H552" s="3">
        <v>45734</v>
      </c>
    </row>
    <row r="553" spans="1:8" x14ac:dyDescent="0.25">
      <c r="A553" t="s">
        <v>590</v>
      </c>
      <c r="B553">
        <v>25</v>
      </c>
      <c r="C553" t="s">
        <v>9</v>
      </c>
      <c r="D553" t="s">
        <v>33</v>
      </c>
      <c r="E553" t="s">
        <v>34</v>
      </c>
      <c r="F553" t="s">
        <v>35</v>
      </c>
      <c r="G553" t="s">
        <v>22</v>
      </c>
      <c r="H553" s="3">
        <v>45771</v>
      </c>
    </row>
    <row r="554" spans="1:8" x14ac:dyDescent="0.25">
      <c r="A554" t="s">
        <v>591</v>
      </c>
      <c r="B554">
        <v>53</v>
      </c>
      <c r="C554" t="s">
        <v>24</v>
      </c>
      <c r="D554" t="s">
        <v>25</v>
      </c>
      <c r="E554" t="s">
        <v>26</v>
      </c>
      <c r="F554" t="s">
        <v>27</v>
      </c>
      <c r="G554" t="s">
        <v>12</v>
      </c>
      <c r="H554" s="3">
        <v>45942</v>
      </c>
    </row>
    <row r="555" spans="1:8" x14ac:dyDescent="0.25">
      <c r="A555" t="s">
        <v>592</v>
      </c>
      <c r="B555">
        <v>65</v>
      </c>
      <c r="C555" t="s">
        <v>24</v>
      </c>
      <c r="D555" t="s">
        <v>25</v>
      </c>
      <c r="E555" t="s">
        <v>26</v>
      </c>
      <c r="F555" t="s">
        <v>27</v>
      </c>
      <c r="G555" t="s">
        <v>22</v>
      </c>
      <c r="H555" s="3">
        <v>45480</v>
      </c>
    </row>
    <row r="556" spans="1:8" x14ac:dyDescent="0.25">
      <c r="A556" t="s">
        <v>593</v>
      </c>
      <c r="B556">
        <v>47</v>
      </c>
      <c r="C556" t="s">
        <v>9</v>
      </c>
      <c r="D556" t="s">
        <v>33</v>
      </c>
      <c r="E556" t="s">
        <v>34</v>
      </c>
      <c r="F556" t="s">
        <v>35</v>
      </c>
      <c r="G556" t="s">
        <v>22</v>
      </c>
      <c r="H556" s="3">
        <v>45229</v>
      </c>
    </row>
    <row r="557" spans="1:8" x14ac:dyDescent="0.25">
      <c r="A557" t="s">
        <v>594</v>
      </c>
      <c r="B557">
        <v>40</v>
      </c>
      <c r="C557" t="s">
        <v>24</v>
      </c>
      <c r="D557" t="s">
        <v>10</v>
      </c>
      <c r="E557" t="s">
        <v>10</v>
      </c>
      <c r="F557" t="s">
        <v>11</v>
      </c>
      <c r="G557" t="s">
        <v>22</v>
      </c>
      <c r="H557" s="3">
        <v>45347</v>
      </c>
    </row>
    <row r="558" spans="1:8" x14ac:dyDescent="0.25">
      <c r="A558" t="s">
        <v>595</v>
      </c>
      <c r="B558">
        <v>59</v>
      </c>
      <c r="C558" t="s">
        <v>9</v>
      </c>
      <c r="D558" t="s">
        <v>10</v>
      </c>
      <c r="E558" t="s">
        <v>10</v>
      </c>
      <c r="F558" t="s">
        <v>29</v>
      </c>
      <c r="G558" t="s">
        <v>12</v>
      </c>
      <c r="H558" s="3">
        <v>46196</v>
      </c>
    </row>
    <row r="559" spans="1:8" x14ac:dyDescent="0.25">
      <c r="A559" t="s">
        <v>596</v>
      </c>
      <c r="B559">
        <v>61</v>
      </c>
      <c r="C559" t="s">
        <v>24</v>
      </c>
      <c r="D559" t="s">
        <v>10</v>
      </c>
      <c r="E559" t="s">
        <v>10</v>
      </c>
      <c r="F559" t="s">
        <v>29</v>
      </c>
      <c r="G559" t="s">
        <v>12</v>
      </c>
      <c r="H559" s="3">
        <v>46187</v>
      </c>
    </row>
    <row r="560" spans="1:8" x14ac:dyDescent="0.25">
      <c r="A560" t="s">
        <v>597</v>
      </c>
      <c r="B560">
        <v>31</v>
      </c>
      <c r="C560" t="s">
        <v>24</v>
      </c>
      <c r="D560" t="s">
        <v>19</v>
      </c>
      <c r="E560" t="s">
        <v>20</v>
      </c>
      <c r="F560" t="s">
        <v>21</v>
      </c>
      <c r="G560" t="s">
        <v>12</v>
      </c>
      <c r="H560" s="3">
        <v>45111</v>
      </c>
    </row>
    <row r="561" spans="1:8" x14ac:dyDescent="0.25">
      <c r="A561" t="s">
        <v>598</v>
      </c>
      <c r="B561">
        <v>31</v>
      </c>
      <c r="C561" t="s">
        <v>24</v>
      </c>
      <c r="D561" t="s">
        <v>25</v>
      </c>
      <c r="E561" t="s">
        <v>38</v>
      </c>
      <c r="F561" t="s">
        <v>39</v>
      </c>
      <c r="G561" t="s">
        <v>12</v>
      </c>
      <c r="H561" s="3">
        <v>45394</v>
      </c>
    </row>
    <row r="562" spans="1:8" x14ac:dyDescent="0.25">
      <c r="A562" t="s">
        <v>599</v>
      </c>
      <c r="B562">
        <v>19</v>
      </c>
      <c r="C562" t="s">
        <v>9</v>
      </c>
      <c r="D562" t="s">
        <v>25</v>
      </c>
      <c r="E562" t="s">
        <v>38</v>
      </c>
      <c r="F562" t="s">
        <v>39</v>
      </c>
      <c r="G562" t="s">
        <v>12</v>
      </c>
      <c r="H562" s="3">
        <v>45680</v>
      </c>
    </row>
    <row r="563" spans="1:8" x14ac:dyDescent="0.25">
      <c r="A563" t="s">
        <v>600</v>
      </c>
      <c r="B563">
        <v>54</v>
      </c>
      <c r="C563" t="s">
        <v>24</v>
      </c>
      <c r="D563" t="s">
        <v>10</v>
      </c>
      <c r="E563" t="s">
        <v>10</v>
      </c>
      <c r="F563" t="s">
        <v>47</v>
      </c>
      <c r="G563" t="s">
        <v>12</v>
      </c>
      <c r="H563" s="3">
        <v>45289</v>
      </c>
    </row>
    <row r="564" spans="1:8" x14ac:dyDescent="0.25">
      <c r="A564" t="s">
        <v>601</v>
      </c>
      <c r="B564">
        <v>22</v>
      </c>
      <c r="C564" t="s">
        <v>24</v>
      </c>
      <c r="D564" t="s">
        <v>10</v>
      </c>
      <c r="E564" t="s">
        <v>10</v>
      </c>
      <c r="F564" t="s">
        <v>29</v>
      </c>
      <c r="G564" t="s">
        <v>12</v>
      </c>
      <c r="H564" s="3">
        <v>45262</v>
      </c>
    </row>
    <row r="565" spans="1:8" x14ac:dyDescent="0.25">
      <c r="A565" t="s">
        <v>602</v>
      </c>
      <c r="B565">
        <v>55</v>
      </c>
      <c r="C565" t="s">
        <v>9</v>
      </c>
      <c r="D565" t="s">
        <v>10</v>
      </c>
      <c r="E565" t="s">
        <v>10</v>
      </c>
      <c r="F565" t="s">
        <v>29</v>
      </c>
      <c r="G565" t="s">
        <v>17</v>
      </c>
      <c r="H565" s="3">
        <v>45088</v>
      </c>
    </row>
    <row r="566" spans="1:8" x14ac:dyDescent="0.25">
      <c r="A566" t="s">
        <v>603</v>
      </c>
      <c r="B566">
        <v>62</v>
      </c>
      <c r="C566" t="s">
        <v>24</v>
      </c>
      <c r="D566" t="s">
        <v>10</v>
      </c>
      <c r="E566" t="s">
        <v>10</v>
      </c>
      <c r="F566" t="s">
        <v>11</v>
      </c>
      <c r="G566" t="s">
        <v>12</v>
      </c>
      <c r="H566" s="3">
        <v>46110</v>
      </c>
    </row>
    <row r="567" spans="1:8" x14ac:dyDescent="0.25">
      <c r="A567" t="s">
        <v>604</v>
      </c>
      <c r="B567">
        <v>58</v>
      </c>
      <c r="C567" t="s">
        <v>9</v>
      </c>
      <c r="D567" t="s">
        <v>25</v>
      </c>
      <c r="E567" t="s">
        <v>26</v>
      </c>
      <c r="F567" t="s">
        <v>27</v>
      </c>
      <c r="G567" t="s">
        <v>17</v>
      </c>
      <c r="H567" s="3">
        <v>44938</v>
      </c>
    </row>
    <row r="568" spans="1:8" x14ac:dyDescent="0.25">
      <c r="A568" t="s">
        <v>605</v>
      </c>
      <c r="B568">
        <v>64</v>
      </c>
      <c r="C568" t="s">
        <v>24</v>
      </c>
      <c r="D568" t="s">
        <v>10</v>
      </c>
      <c r="E568" t="s">
        <v>10</v>
      </c>
      <c r="F568" t="s">
        <v>11</v>
      </c>
      <c r="G568" t="s">
        <v>22</v>
      </c>
      <c r="H568" s="3">
        <v>46023</v>
      </c>
    </row>
    <row r="569" spans="1:8" x14ac:dyDescent="0.25">
      <c r="A569" t="s">
        <v>606</v>
      </c>
      <c r="B569">
        <v>31</v>
      </c>
      <c r="C569" t="s">
        <v>9</v>
      </c>
      <c r="D569" t="s">
        <v>10</v>
      </c>
      <c r="E569" t="s">
        <v>10</v>
      </c>
      <c r="F569" t="s">
        <v>53</v>
      </c>
      <c r="G569" t="s">
        <v>22</v>
      </c>
      <c r="H569" s="3">
        <v>45514</v>
      </c>
    </row>
    <row r="570" spans="1:8" x14ac:dyDescent="0.25">
      <c r="A570" t="s">
        <v>607</v>
      </c>
      <c r="B570">
        <v>56</v>
      </c>
      <c r="C570" t="s">
        <v>24</v>
      </c>
      <c r="D570" t="s">
        <v>33</v>
      </c>
      <c r="E570" t="s">
        <v>34</v>
      </c>
      <c r="F570" t="s">
        <v>35</v>
      </c>
      <c r="G570" t="s">
        <v>12</v>
      </c>
      <c r="H570" s="3">
        <v>45127</v>
      </c>
    </row>
    <row r="571" spans="1:8" x14ac:dyDescent="0.25">
      <c r="A571" t="s">
        <v>608</v>
      </c>
      <c r="B571">
        <v>42</v>
      </c>
      <c r="C571" t="s">
        <v>24</v>
      </c>
      <c r="D571" t="s">
        <v>10</v>
      </c>
      <c r="E571" t="s">
        <v>10</v>
      </c>
      <c r="F571" t="s">
        <v>11</v>
      </c>
      <c r="G571" t="s">
        <v>12</v>
      </c>
      <c r="H571" s="3">
        <v>45448</v>
      </c>
    </row>
    <row r="572" spans="1:8" x14ac:dyDescent="0.25">
      <c r="A572" t="s">
        <v>609</v>
      </c>
      <c r="B572">
        <v>37</v>
      </c>
      <c r="C572" t="s">
        <v>9</v>
      </c>
      <c r="D572" t="s">
        <v>25</v>
      </c>
      <c r="E572" t="s">
        <v>26</v>
      </c>
      <c r="F572" t="s">
        <v>27</v>
      </c>
      <c r="G572" t="s">
        <v>17</v>
      </c>
      <c r="H572" s="3">
        <v>45431</v>
      </c>
    </row>
    <row r="573" spans="1:8" x14ac:dyDescent="0.25">
      <c r="A573" t="s">
        <v>610</v>
      </c>
      <c r="B573">
        <v>19</v>
      </c>
      <c r="C573" t="s">
        <v>9</v>
      </c>
      <c r="D573" t="s">
        <v>43</v>
      </c>
      <c r="E573" t="s">
        <v>44</v>
      </c>
      <c r="F573" t="s">
        <v>45</v>
      </c>
      <c r="G573" t="s">
        <v>17</v>
      </c>
      <c r="H573" s="3">
        <v>45714</v>
      </c>
    </row>
    <row r="574" spans="1:8" x14ac:dyDescent="0.25">
      <c r="A574" t="s">
        <v>611</v>
      </c>
      <c r="B574">
        <v>56</v>
      </c>
      <c r="C574" t="s">
        <v>9</v>
      </c>
      <c r="D574" t="s">
        <v>10</v>
      </c>
      <c r="E574" t="s">
        <v>10</v>
      </c>
      <c r="F574" t="s">
        <v>11</v>
      </c>
      <c r="G574" t="s">
        <v>12</v>
      </c>
      <c r="H574" s="3">
        <v>45989</v>
      </c>
    </row>
    <row r="575" spans="1:8" x14ac:dyDescent="0.25">
      <c r="A575" t="s">
        <v>612</v>
      </c>
      <c r="B575">
        <v>23</v>
      </c>
      <c r="C575" t="s">
        <v>9</v>
      </c>
      <c r="D575" t="s">
        <v>25</v>
      </c>
      <c r="E575" t="s">
        <v>38</v>
      </c>
      <c r="F575" t="s">
        <v>39</v>
      </c>
      <c r="G575" t="s">
        <v>22</v>
      </c>
      <c r="H575" s="3">
        <v>44986</v>
      </c>
    </row>
    <row r="576" spans="1:8" x14ac:dyDescent="0.25">
      <c r="A576" t="s">
        <v>613</v>
      </c>
      <c r="B576">
        <v>34</v>
      </c>
      <c r="C576" t="s">
        <v>9</v>
      </c>
      <c r="D576" t="s">
        <v>33</v>
      </c>
      <c r="E576" t="s">
        <v>34</v>
      </c>
      <c r="F576" t="s">
        <v>35</v>
      </c>
      <c r="G576" t="s">
        <v>12</v>
      </c>
      <c r="H576" s="3">
        <v>45504</v>
      </c>
    </row>
    <row r="577" spans="1:8" x14ac:dyDescent="0.25">
      <c r="A577" t="s">
        <v>614</v>
      </c>
      <c r="B577">
        <v>42</v>
      </c>
      <c r="C577" t="s">
        <v>24</v>
      </c>
      <c r="D577" t="s">
        <v>14</v>
      </c>
      <c r="E577" t="s">
        <v>15</v>
      </c>
      <c r="F577" t="s">
        <v>16</v>
      </c>
      <c r="G577" t="s">
        <v>12</v>
      </c>
      <c r="H577" s="3">
        <v>45247</v>
      </c>
    </row>
    <row r="578" spans="1:8" x14ac:dyDescent="0.25">
      <c r="A578" t="s">
        <v>615</v>
      </c>
      <c r="B578">
        <v>45</v>
      </c>
      <c r="C578" t="s">
        <v>9</v>
      </c>
      <c r="D578" t="s">
        <v>10</v>
      </c>
      <c r="E578" t="s">
        <v>10</v>
      </c>
      <c r="F578" t="s">
        <v>29</v>
      </c>
      <c r="G578" t="s">
        <v>17</v>
      </c>
      <c r="H578" s="3">
        <v>45849</v>
      </c>
    </row>
    <row r="579" spans="1:8" x14ac:dyDescent="0.25">
      <c r="A579" t="s">
        <v>616</v>
      </c>
      <c r="B579">
        <v>19</v>
      </c>
      <c r="C579" t="s">
        <v>9</v>
      </c>
      <c r="D579" t="s">
        <v>33</v>
      </c>
      <c r="E579" t="s">
        <v>34</v>
      </c>
      <c r="F579" t="s">
        <v>35</v>
      </c>
      <c r="G579" t="s">
        <v>12</v>
      </c>
      <c r="H579" s="3">
        <v>45495</v>
      </c>
    </row>
    <row r="580" spans="1:8" x14ac:dyDescent="0.25">
      <c r="A580" t="s">
        <v>617</v>
      </c>
      <c r="B580">
        <v>52</v>
      </c>
      <c r="C580" t="s">
        <v>24</v>
      </c>
      <c r="D580" t="s">
        <v>10</v>
      </c>
      <c r="E580" t="s">
        <v>10</v>
      </c>
      <c r="F580" t="s">
        <v>53</v>
      </c>
      <c r="G580" t="s">
        <v>12</v>
      </c>
      <c r="H580" s="3">
        <v>46028</v>
      </c>
    </row>
    <row r="581" spans="1:8" x14ac:dyDescent="0.25">
      <c r="A581" t="s">
        <v>618</v>
      </c>
      <c r="B581">
        <v>54</v>
      </c>
      <c r="C581" t="s">
        <v>9</v>
      </c>
      <c r="D581" t="s">
        <v>10</v>
      </c>
      <c r="E581" t="s">
        <v>10</v>
      </c>
      <c r="F581" t="s">
        <v>47</v>
      </c>
      <c r="G581" t="s">
        <v>12</v>
      </c>
      <c r="H581" s="3">
        <v>46144</v>
      </c>
    </row>
    <row r="582" spans="1:8" x14ac:dyDescent="0.25">
      <c r="A582" t="s">
        <v>619</v>
      </c>
      <c r="B582">
        <v>22</v>
      </c>
      <c r="C582" t="s">
        <v>24</v>
      </c>
      <c r="D582" t="s">
        <v>10</v>
      </c>
      <c r="E582" t="s">
        <v>10</v>
      </c>
      <c r="F582" t="s">
        <v>53</v>
      </c>
      <c r="G582" t="s">
        <v>12</v>
      </c>
      <c r="H582" s="3">
        <v>45453</v>
      </c>
    </row>
    <row r="583" spans="1:8" x14ac:dyDescent="0.25">
      <c r="A583" t="s">
        <v>620</v>
      </c>
      <c r="B583">
        <v>18</v>
      </c>
      <c r="C583" t="s">
        <v>24</v>
      </c>
      <c r="D583" t="s">
        <v>14</v>
      </c>
      <c r="E583" t="s">
        <v>15</v>
      </c>
      <c r="F583" t="s">
        <v>16</v>
      </c>
      <c r="G583" t="s">
        <v>17</v>
      </c>
      <c r="H583" s="3">
        <v>45450</v>
      </c>
    </row>
    <row r="584" spans="1:8" x14ac:dyDescent="0.25">
      <c r="A584" t="s">
        <v>621</v>
      </c>
      <c r="B584">
        <v>57</v>
      </c>
      <c r="C584" t="s">
        <v>24</v>
      </c>
      <c r="D584" t="s">
        <v>10</v>
      </c>
      <c r="E584" t="s">
        <v>10</v>
      </c>
      <c r="F584" t="s">
        <v>53</v>
      </c>
      <c r="G584" t="s">
        <v>12</v>
      </c>
      <c r="H584" s="3">
        <v>45539</v>
      </c>
    </row>
    <row r="585" spans="1:8" x14ac:dyDescent="0.25">
      <c r="A585" t="s">
        <v>622</v>
      </c>
      <c r="B585">
        <v>29</v>
      </c>
      <c r="C585" t="s">
        <v>24</v>
      </c>
      <c r="D585" t="s">
        <v>10</v>
      </c>
      <c r="E585" t="s">
        <v>10</v>
      </c>
      <c r="F585" t="s">
        <v>11</v>
      </c>
      <c r="G585" t="s">
        <v>12</v>
      </c>
      <c r="H585" s="3">
        <v>46106</v>
      </c>
    </row>
    <row r="586" spans="1:8" x14ac:dyDescent="0.25">
      <c r="A586" t="s">
        <v>623</v>
      </c>
      <c r="B586">
        <v>53</v>
      </c>
      <c r="C586" t="s">
        <v>24</v>
      </c>
      <c r="D586" t="s">
        <v>25</v>
      </c>
      <c r="E586" t="s">
        <v>38</v>
      </c>
      <c r="F586" t="s">
        <v>39</v>
      </c>
      <c r="G586" t="s">
        <v>12</v>
      </c>
      <c r="H586" s="3">
        <v>45051</v>
      </c>
    </row>
    <row r="587" spans="1:8" x14ac:dyDescent="0.25">
      <c r="A587" t="s">
        <v>624</v>
      </c>
      <c r="B587">
        <v>62</v>
      </c>
      <c r="C587" t="s">
        <v>9</v>
      </c>
      <c r="D587" t="s">
        <v>10</v>
      </c>
      <c r="E587" t="s">
        <v>10</v>
      </c>
      <c r="F587" t="s">
        <v>47</v>
      </c>
      <c r="G587" t="s">
        <v>78</v>
      </c>
      <c r="H587" s="3">
        <v>45797</v>
      </c>
    </row>
    <row r="588" spans="1:8" x14ac:dyDescent="0.25">
      <c r="A588" t="s">
        <v>625</v>
      </c>
      <c r="B588">
        <v>40</v>
      </c>
      <c r="C588" t="s">
        <v>9</v>
      </c>
      <c r="D588" t="s">
        <v>10</v>
      </c>
      <c r="E588" t="s">
        <v>10</v>
      </c>
      <c r="F588" t="s">
        <v>29</v>
      </c>
      <c r="G588" t="s">
        <v>12</v>
      </c>
      <c r="H588" s="3">
        <v>45206</v>
      </c>
    </row>
    <row r="589" spans="1:8" x14ac:dyDescent="0.25">
      <c r="A589" t="s">
        <v>626</v>
      </c>
      <c r="B589">
        <v>64</v>
      </c>
      <c r="C589" t="s">
        <v>9</v>
      </c>
      <c r="D589" t="s">
        <v>10</v>
      </c>
      <c r="E589" t="s">
        <v>10</v>
      </c>
      <c r="F589" t="s">
        <v>29</v>
      </c>
      <c r="G589" t="s">
        <v>12</v>
      </c>
      <c r="H589" s="3">
        <v>45843</v>
      </c>
    </row>
    <row r="590" spans="1:8" x14ac:dyDescent="0.25">
      <c r="A590" t="s">
        <v>627</v>
      </c>
      <c r="B590">
        <v>48</v>
      </c>
      <c r="C590" t="s">
        <v>24</v>
      </c>
      <c r="D590" t="s">
        <v>10</v>
      </c>
      <c r="E590" t="s">
        <v>10</v>
      </c>
      <c r="F590" t="s">
        <v>29</v>
      </c>
      <c r="G590" t="s">
        <v>12</v>
      </c>
      <c r="H590" s="3">
        <v>45548</v>
      </c>
    </row>
    <row r="591" spans="1:8" x14ac:dyDescent="0.25">
      <c r="A591" t="s">
        <v>628</v>
      </c>
      <c r="B591">
        <v>28</v>
      </c>
      <c r="C591" t="s">
        <v>9</v>
      </c>
      <c r="D591" t="s">
        <v>10</v>
      </c>
      <c r="E591" t="s">
        <v>10</v>
      </c>
      <c r="F591" t="s">
        <v>29</v>
      </c>
      <c r="G591" t="s">
        <v>12</v>
      </c>
      <c r="H591" s="3">
        <v>45772</v>
      </c>
    </row>
    <row r="592" spans="1:8" x14ac:dyDescent="0.25">
      <c r="A592" t="s">
        <v>629</v>
      </c>
      <c r="B592">
        <v>27</v>
      </c>
      <c r="C592" t="s">
        <v>24</v>
      </c>
      <c r="D592" t="s">
        <v>10</v>
      </c>
      <c r="E592" t="s">
        <v>10</v>
      </c>
      <c r="F592" t="s">
        <v>29</v>
      </c>
      <c r="G592" t="s">
        <v>12</v>
      </c>
      <c r="H592" s="3">
        <v>45600</v>
      </c>
    </row>
    <row r="593" spans="1:8" x14ac:dyDescent="0.25">
      <c r="A593" t="s">
        <v>630</v>
      </c>
      <c r="B593">
        <v>20</v>
      </c>
      <c r="C593" t="s">
        <v>24</v>
      </c>
      <c r="D593" t="s">
        <v>25</v>
      </c>
      <c r="E593" t="s">
        <v>38</v>
      </c>
      <c r="F593" t="s">
        <v>39</v>
      </c>
      <c r="G593" t="s">
        <v>12</v>
      </c>
      <c r="H593" s="3">
        <v>46078</v>
      </c>
    </row>
    <row r="594" spans="1:8" x14ac:dyDescent="0.25">
      <c r="A594" t="s">
        <v>631</v>
      </c>
      <c r="B594">
        <v>31</v>
      </c>
      <c r="C594" t="s">
        <v>24</v>
      </c>
      <c r="D594" t="s">
        <v>10</v>
      </c>
      <c r="E594" t="s">
        <v>10</v>
      </c>
      <c r="F594" t="s">
        <v>47</v>
      </c>
      <c r="G594" t="s">
        <v>22</v>
      </c>
      <c r="H594" s="3">
        <v>45240</v>
      </c>
    </row>
    <row r="595" spans="1:8" x14ac:dyDescent="0.25">
      <c r="A595" t="s">
        <v>632</v>
      </c>
      <c r="B595">
        <v>33</v>
      </c>
      <c r="C595" t="s">
        <v>24</v>
      </c>
      <c r="D595" t="s">
        <v>10</v>
      </c>
      <c r="E595" t="s">
        <v>10</v>
      </c>
      <c r="F595" t="s">
        <v>11</v>
      </c>
      <c r="G595" t="s">
        <v>12</v>
      </c>
      <c r="H595" s="3">
        <v>45258</v>
      </c>
    </row>
    <row r="596" spans="1:8" x14ac:dyDescent="0.25">
      <c r="A596" t="s">
        <v>633</v>
      </c>
      <c r="B596">
        <v>27</v>
      </c>
      <c r="C596" t="s">
        <v>9</v>
      </c>
      <c r="D596" t="s">
        <v>33</v>
      </c>
      <c r="E596" t="s">
        <v>34</v>
      </c>
      <c r="F596" t="s">
        <v>35</v>
      </c>
      <c r="G596" t="s">
        <v>12</v>
      </c>
      <c r="H596" s="3">
        <v>46100</v>
      </c>
    </row>
    <row r="597" spans="1:8" x14ac:dyDescent="0.25">
      <c r="A597" t="s">
        <v>634</v>
      </c>
      <c r="B597">
        <v>46</v>
      </c>
      <c r="C597" t="s">
        <v>24</v>
      </c>
      <c r="D597" t="s">
        <v>10</v>
      </c>
      <c r="E597" t="s">
        <v>10</v>
      </c>
      <c r="F597" t="s">
        <v>53</v>
      </c>
      <c r="G597" t="s">
        <v>12</v>
      </c>
      <c r="H597" s="3">
        <v>44962</v>
      </c>
    </row>
    <row r="598" spans="1:8" x14ac:dyDescent="0.25">
      <c r="A598" t="s">
        <v>635</v>
      </c>
      <c r="B598">
        <v>27</v>
      </c>
      <c r="C598" t="s">
        <v>24</v>
      </c>
      <c r="D598" t="s">
        <v>25</v>
      </c>
      <c r="E598" t="s">
        <v>38</v>
      </c>
      <c r="F598" t="s">
        <v>39</v>
      </c>
      <c r="G598" t="s">
        <v>22</v>
      </c>
      <c r="H598" s="3">
        <v>45972</v>
      </c>
    </row>
    <row r="599" spans="1:8" x14ac:dyDescent="0.25">
      <c r="A599" t="s">
        <v>636</v>
      </c>
      <c r="B599">
        <v>29</v>
      </c>
      <c r="C599" t="s">
        <v>9</v>
      </c>
      <c r="D599" t="s">
        <v>10</v>
      </c>
      <c r="E599" t="s">
        <v>10</v>
      </c>
      <c r="F599" t="s">
        <v>47</v>
      </c>
      <c r="G599" t="s">
        <v>12</v>
      </c>
      <c r="H599" s="3">
        <v>45132</v>
      </c>
    </row>
    <row r="600" spans="1:8" x14ac:dyDescent="0.25">
      <c r="A600" t="s">
        <v>637</v>
      </c>
      <c r="B600">
        <v>47</v>
      </c>
      <c r="C600" t="s">
        <v>9</v>
      </c>
      <c r="D600" t="s">
        <v>10</v>
      </c>
      <c r="E600" t="s">
        <v>10</v>
      </c>
      <c r="F600" t="s">
        <v>47</v>
      </c>
      <c r="G600" t="s">
        <v>12</v>
      </c>
      <c r="H600" s="3">
        <v>45565</v>
      </c>
    </row>
    <row r="601" spans="1:8" x14ac:dyDescent="0.25">
      <c r="A601" t="s">
        <v>638</v>
      </c>
      <c r="B601">
        <v>58</v>
      </c>
      <c r="C601" t="s">
        <v>24</v>
      </c>
      <c r="D601" t="s">
        <v>10</v>
      </c>
      <c r="E601" t="s">
        <v>10</v>
      </c>
      <c r="F601" t="s">
        <v>29</v>
      </c>
      <c r="G601" t="s">
        <v>17</v>
      </c>
      <c r="H601" s="3">
        <v>45774</v>
      </c>
    </row>
    <row r="602" spans="1:8" x14ac:dyDescent="0.25">
      <c r="A602" t="s">
        <v>639</v>
      </c>
      <c r="B602">
        <v>18</v>
      </c>
      <c r="C602" t="s">
        <v>24</v>
      </c>
      <c r="D602" t="s">
        <v>10</v>
      </c>
      <c r="E602" t="s">
        <v>10</v>
      </c>
      <c r="F602" t="s">
        <v>47</v>
      </c>
      <c r="G602" t="s">
        <v>12</v>
      </c>
      <c r="H602" s="3">
        <v>45366</v>
      </c>
    </row>
    <row r="603" spans="1:8" x14ac:dyDescent="0.25">
      <c r="A603" t="s">
        <v>640</v>
      </c>
      <c r="B603">
        <v>22</v>
      </c>
      <c r="C603" t="s">
        <v>24</v>
      </c>
      <c r="D603" t="s">
        <v>10</v>
      </c>
      <c r="E603" t="s">
        <v>10</v>
      </c>
      <c r="F603" t="s">
        <v>47</v>
      </c>
      <c r="G603" t="s">
        <v>17</v>
      </c>
      <c r="H603" s="3">
        <v>45655</v>
      </c>
    </row>
    <row r="604" spans="1:8" x14ac:dyDescent="0.25">
      <c r="A604" t="s">
        <v>641</v>
      </c>
      <c r="B604">
        <v>37</v>
      </c>
      <c r="C604" t="s">
        <v>24</v>
      </c>
      <c r="D604" t="s">
        <v>10</v>
      </c>
      <c r="E604" t="s">
        <v>10</v>
      </c>
      <c r="F604" t="s">
        <v>47</v>
      </c>
      <c r="G604" t="s">
        <v>12</v>
      </c>
      <c r="H604" s="3">
        <v>46046</v>
      </c>
    </row>
    <row r="605" spans="1:8" x14ac:dyDescent="0.25">
      <c r="A605" t="s">
        <v>642</v>
      </c>
      <c r="B605">
        <v>25</v>
      </c>
      <c r="C605" t="s">
        <v>24</v>
      </c>
      <c r="D605" t="s">
        <v>10</v>
      </c>
      <c r="E605" t="s">
        <v>10</v>
      </c>
      <c r="F605" t="s">
        <v>29</v>
      </c>
      <c r="G605" t="s">
        <v>12</v>
      </c>
      <c r="H605" s="3">
        <v>45867</v>
      </c>
    </row>
    <row r="606" spans="1:8" x14ac:dyDescent="0.25">
      <c r="A606" t="s">
        <v>643</v>
      </c>
      <c r="B606">
        <v>60</v>
      </c>
      <c r="C606" t="s">
        <v>24</v>
      </c>
      <c r="D606" t="s">
        <v>10</v>
      </c>
      <c r="E606" t="s">
        <v>10</v>
      </c>
      <c r="F606" t="s">
        <v>29</v>
      </c>
      <c r="G606" t="s">
        <v>12</v>
      </c>
      <c r="H606" s="3">
        <v>45090</v>
      </c>
    </row>
    <row r="607" spans="1:8" x14ac:dyDescent="0.25">
      <c r="A607" t="s">
        <v>644</v>
      </c>
      <c r="B607">
        <v>29</v>
      </c>
      <c r="C607" t="s">
        <v>9</v>
      </c>
      <c r="D607" t="s">
        <v>10</v>
      </c>
      <c r="E607" t="s">
        <v>10</v>
      </c>
      <c r="F607" t="s">
        <v>53</v>
      </c>
      <c r="G607" t="s">
        <v>12</v>
      </c>
      <c r="H607" s="3">
        <v>45074</v>
      </c>
    </row>
    <row r="608" spans="1:8" x14ac:dyDescent="0.25">
      <c r="A608" t="s">
        <v>645</v>
      </c>
      <c r="B608">
        <v>18</v>
      </c>
      <c r="C608" t="s">
        <v>9</v>
      </c>
      <c r="D608" t="s">
        <v>10</v>
      </c>
      <c r="E608" t="s">
        <v>10</v>
      </c>
      <c r="F608" t="s">
        <v>47</v>
      </c>
      <c r="G608" t="s">
        <v>12</v>
      </c>
      <c r="H608" s="3">
        <v>45220</v>
      </c>
    </row>
    <row r="609" spans="1:8" x14ac:dyDescent="0.25">
      <c r="A609" t="s">
        <v>646</v>
      </c>
      <c r="B609">
        <v>37</v>
      </c>
      <c r="C609" t="s">
        <v>9</v>
      </c>
      <c r="D609" t="s">
        <v>10</v>
      </c>
      <c r="E609" t="s">
        <v>10</v>
      </c>
      <c r="F609" t="s">
        <v>11</v>
      </c>
      <c r="G609" t="s">
        <v>22</v>
      </c>
      <c r="H609" s="3">
        <v>45121</v>
      </c>
    </row>
    <row r="610" spans="1:8" x14ac:dyDescent="0.25">
      <c r="A610" t="s">
        <v>647</v>
      </c>
      <c r="B610">
        <v>45</v>
      </c>
      <c r="C610" t="s">
        <v>24</v>
      </c>
      <c r="D610" t="s">
        <v>25</v>
      </c>
      <c r="E610" t="s">
        <v>26</v>
      </c>
      <c r="F610" t="s">
        <v>27</v>
      </c>
      <c r="G610" t="s">
        <v>12</v>
      </c>
      <c r="H610" s="3">
        <v>45589</v>
      </c>
    </row>
    <row r="611" spans="1:8" x14ac:dyDescent="0.25">
      <c r="A611" t="s">
        <v>648</v>
      </c>
      <c r="B611">
        <v>60</v>
      </c>
      <c r="C611" t="s">
        <v>24</v>
      </c>
      <c r="D611" t="s">
        <v>25</v>
      </c>
      <c r="E611" t="s">
        <v>38</v>
      </c>
      <c r="F611" t="s">
        <v>39</v>
      </c>
      <c r="G611" t="s">
        <v>12</v>
      </c>
      <c r="H611" s="3">
        <v>45406</v>
      </c>
    </row>
    <row r="612" spans="1:8" x14ac:dyDescent="0.25">
      <c r="A612" t="s">
        <v>649</v>
      </c>
      <c r="B612">
        <v>54</v>
      </c>
      <c r="C612" t="s">
        <v>24</v>
      </c>
      <c r="D612" t="s">
        <v>10</v>
      </c>
      <c r="E612" t="s">
        <v>10</v>
      </c>
      <c r="F612" t="s">
        <v>29</v>
      </c>
      <c r="G612" t="s">
        <v>12</v>
      </c>
      <c r="H612" s="3">
        <v>45049</v>
      </c>
    </row>
    <row r="613" spans="1:8" x14ac:dyDescent="0.25">
      <c r="A613" t="s">
        <v>650</v>
      </c>
      <c r="B613">
        <v>64</v>
      </c>
      <c r="C613" t="s">
        <v>9</v>
      </c>
      <c r="D613" t="s">
        <v>43</v>
      </c>
      <c r="E613" t="s">
        <v>44</v>
      </c>
      <c r="F613" t="s">
        <v>45</v>
      </c>
      <c r="G613" t="s">
        <v>17</v>
      </c>
      <c r="H613" s="3">
        <v>45625</v>
      </c>
    </row>
    <row r="614" spans="1:8" x14ac:dyDescent="0.25">
      <c r="A614" t="s">
        <v>651</v>
      </c>
      <c r="B614">
        <v>54</v>
      </c>
      <c r="C614" t="s">
        <v>8663</v>
      </c>
      <c r="D614" t="s">
        <v>25</v>
      </c>
      <c r="E614" t="s">
        <v>38</v>
      </c>
      <c r="F614" t="s">
        <v>39</v>
      </c>
      <c r="G614" t="s">
        <v>22</v>
      </c>
      <c r="H614" s="3">
        <v>45891</v>
      </c>
    </row>
    <row r="615" spans="1:8" x14ac:dyDescent="0.25">
      <c r="A615" t="s">
        <v>652</v>
      </c>
      <c r="B615">
        <v>29</v>
      </c>
      <c r="C615" t="s">
        <v>24</v>
      </c>
      <c r="D615" t="s">
        <v>10</v>
      </c>
      <c r="E615" t="s">
        <v>10</v>
      </c>
      <c r="F615" t="s">
        <v>29</v>
      </c>
      <c r="G615" t="s">
        <v>17</v>
      </c>
      <c r="H615" s="3">
        <v>45587</v>
      </c>
    </row>
    <row r="616" spans="1:8" x14ac:dyDescent="0.25">
      <c r="A616" t="s">
        <v>653</v>
      </c>
      <c r="B616">
        <v>54</v>
      </c>
      <c r="C616" t="s">
        <v>24</v>
      </c>
      <c r="D616" t="s">
        <v>33</v>
      </c>
      <c r="E616" t="s">
        <v>34</v>
      </c>
      <c r="F616" t="s">
        <v>35</v>
      </c>
      <c r="G616" t="s">
        <v>12</v>
      </c>
      <c r="H616" s="3">
        <v>46054</v>
      </c>
    </row>
    <row r="617" spans="1:8" x14ac:dyDescent="0.25">
      <c r="A617" t="s">
        <v>654</v>
      </c>
      <c r="B617">
        <v>61</v>
      </c>
      <c r="C617" t="s">
        <v>24</v>
      </c>
      <c r="D617" t="s">
        <v>33</v>
      </c>
      <c r="E617" t="s">
        <v>34</v>
      </c>
      <c r="F617" t="s">
        <v>35</v>
      </c>
      <c r="G617" t="s">
        <v>12</v>
      </c>
      <c r="H617" s="3">
        <v>45636</v>
      </c>
    </row>
    <row r="618" spans="1:8" x14ac:dyDescent="0.25">
      <c r="A618" t="s">
        <v>655</v>
      </c>
      <c r="B618">
        <v>45</v>
      </c>
      <c r="C618" t="s">
        <v>9</v>
      </c>
      <c r="D618" t="s">
        <v>10</v>
      </c>
      <c r="E618" t="s">
        <v>10</v>
      </c>
      <c r="F618" t="s">
        <v>29</v>
      </c>
      <c r="G618" t="s">
        <v>12</v>
      </c>
      <c r="H618" s="3">
        <v>45322</v>
      </c>
    </row>
    <row r="619" spans="1:8" x14ac:dyDescent="0.25">
      <c r="A619" t="s">
        <v>656</v>
      </c>
      <c r="B619">
        <v>64</v>
      </c>
      <c r="C619" t="s">
        <v>24</v>
      </c>
      <c r="D619" t="s">
        <v>10</v>
      </c>
      <c r="E619" t="s">
        <v>10</v>
      </c>
      <c r="F619" t="s">
        <v>47</v>
      </c>
      <c r="G619" t="s">
        <v>12</v>
      </c>
      <c r="H619" s="3">
        <v>45838</v>
      </c>
    </row>
    <row r="620" spans="1:8" x14ac:dyDescent="0.25">
      <c r="A620" t="s">
        <v>657</v>
      </c>
      <c r="B620">
        <v>32</v>
      </c>
      <c r="C620" t="s">
        <v>9</v>
      </c>
      <c r="D620" t="s">
        <v>43</v>
      </c>
      <c r="E620" t="s">
        <v>44</v>
      </c>
      <c r="F620" t="s">
        <v>45</v>
      </c>
      <c r="G620" t="s">
        <v>12</v>
      </c>
      <c r="H620" s="3">
        <v>45931</v>
      </c>
    </row>
    <row r="621" spans="1:8" x14ac:dyDescent="0.25">
      <c r="A621" t="s">
        <v>658</v>
      </c>
      <c r="B621">
        <v>23</v>
      </c>
      <c r="C621" t="s">
        <v>9</v>
      </c>
      <c r="D621" t="s">
        <v>19</v>
      </c>
      <c r="E621" t="s">
        <v>20</v>
      </c>
      <c r="F621" t="s">
        <v>21</v>
      </c>
      <c r="G621" t="s">
        <v>17</v>
      </c>
      <c r="H621" s="3">
        <v>46092</v>
      </c>
    </row>
    <row r="622" spans="1:8" x14ac:dyDescent="0.25">
      <c r="A622" t="s">
        <v>659</v>
      </c>
      <c r="B622">
        <v>61</v>
      </c>
      <c r="C622" t="s">
        <v>24</v>
      </c>
      <c r="D622" t="s">
        <v>10</v>
      </c>
      <c r="E622" t="s">
        <v>10</v>
      </c>
      <c r="F622" t="s">
        <v>47</v>
      </c>
      <c r="G622" t="s">
        <v>22</v>
      </c>
      <c r="H622" s="3">
        <v>45243</v>
      </c>
    </row>
    <row r="623" spans="1:8" x14ac:dyDescent="0.25">
      <c r="A623" t="s">
        <v>660</v>
      </c>
      <c r="B623">
        <v>37</v>
      </c>
      <c r="C623" t="s">
        <v>24</v>
      </c>
      <c r="D623" t="s">
        <v>10</v>
      </c>
      <c r="E623" t="s">
        <v>10</v>
      </c>
      <c r="F623" t="s">
        <v>47</v>
      </c>
      <c r="G623" t="s">
        <v>12</v>
      </c>
      <c r="H623" s="3">
        <v>45607</v>
      </c>
    </row>
    <row r="624" spans="1:8" x14ac:dyDescent="0.25">
      <c r="A624" t="s">
        <v>661</v>
      </c>
      <c r="B624">
        <v>31</v>
      </c>
      <c r="C624" t="s">
        <v>24</v>
      </c>
      <c r="D624" t="s">
        <v>10</v>
      </c>
      <c r="E624" t="s">
        <v>10</v>
      </c>
      <c r="F624" t="s">
        <v>11</v>
      </c>
      <c r="G624" t="s">
        <v>22</v>
      </c>
      <c r="H624" s="3">
        <v>45421</v>
      </c>
    </row>
    <row r="625" spans="1:8" x14ac:dyDescent="0.25">
      <c r="A625" t="s">
        <v>662</v>
      </c>
      <c r="B625">
        <v>19</v>
      </c>
      <c r="C625" t="s">
        <v>24</v>
      </c>
      <c r="D625" t="s">
        <v>10</v>
      </c>
      <c r="E625" t="s">
        <v>10</v>
      </c>
      <c r="F625" t="s">
        <v>53</v>
      </c>
      <c r="G625" t="s">
        <v>22</v>
      </c>
      <c r="H625" s="3">
        <v>45482</v>
      </c>
    </row>
    <row r="626" spans="1:8" x14ac:dyDescent="0.25">
      <c r="A626" t="s">
        <v>663</v>
      </c>
      <c r="B626">
        <v>26</v>
      </c>
      <c r="C626" t="s">
        <v>24</v>
      </c>
      <c r="D626" t="s">
        <v>25</v>
      </c>
      <c r="E626" t="s">
        <v>38</v>
      </c>
      <c r="F626" t="s">
        <v>39</v>
      </c>
      <c r="G626" t="s">
        <v>22</v>
      </c>
      <c r="H626" s="3">
        <v>45536</v>
      </c>
    </row>
    <row r="627" spans="1:8" x14ac:dyDescent="0.25">
      <c r="A627" t="s">
        <v>664</v>
      </c>
      <c r="B627">
        <v>54</v>
      </c>
      <c r="C627" t="s">
        <v>24</v>
      </c>
      <c r="D627" t="s">
        <v>10</v>
      </c>
      <c r="E627" t="s">
        <v>10</v>
      </c>
      <c r="F627" t="s">
        <v>11</v>
      </c>
      <c r="G627" t="s">
        <v>12</v>
      </c>
      <c r="H627" s="3">
        <v>45035</v>
      </c>
    </row>
    <row r="628" spans="1:8" x14ac:dyDescent="0.25">
      <c r="A628" t="s">
        <v>665</v>
      </c>
      <c r="B628">
        <v>37</v>
      </c>
      <c r="C628" t="s">
        <v>24</v>
      </c>
      <c r="D628" t="s">
        <v>10</v>
      </c>
      <c r="E628" t="s">
        <v>10</v>
      </c>
      <c r="F628" t="s">
        <v>53</v>
      </c>
      <c r="G628" t="s">
        <v>12</v>
      </c>
      <c r="H628" s="3">
        <v>45298</v>
      </c>
    </row>
    <row r="629" spans="1:8" x14ac:dyDescent="0.25">
      <c r="A629" t="s">
        <v>666</v>
      </c>
      <c r="B629">
        <v>43</v>
      </c>
      <c r="C629" t="s">
        <v>9</v>
      </c>
      <c r="D629" t="s">
        <v>19</v>
      </c>
      <c r="E629" t="s">
        <v>20</v>
      </c>
      <c r="F629" t="s">
        <v>21</v>
      </c>
      <c r="G629" t="s">
        <v>22</v>
      </c>
      <c r="H629" s="3">
        <v>45781</v>
      </c>
    </row>
    <row r="630" spans="1:8" x14ac:dyDescent="0.25">
      <c r="A630" t="s">
        <v>667</v>
      </c>
      <c r="B630">
        <v>46</v>
      </c>
      <c r="C630" t="s">
        <v>9</v>
      </c>
      <c r="D630" t="s">
        <v>10</v>
      </c>
      <c r="E630" t="s">
        <v>10</v>
      </c>
      <c r="F630" t="s">
        <v>29</v>
      </c>
      <c r="G630" t="s">
        <v>12</v>
      </c>
      <c r="H630" s="3">
        <v>45542</v>
      </c>
    </row>
    <row r="631" spans="1:8" x14ac:dyDescent="0.25">
      <c r="A631" t="s">
        <v>668</v>
      </c>
      <c r="B631">
        <v>18</v>
      </c>
      <c r="C631" t="s">
        <v>9</v>
      </c>
      <c r="D631" t="s">
        <v>10</v>
      </c>
      <c r="E631" t="s">
        <v>10</v>
      </c>
      <c r="F631" t="s">
        <v>47</v>
      </c>
      <c r="G631" t="s">
        <v>12</v>
      </c>
      <c r="H631" s="3">
        <v>45694</v>
      </c>
    </row>
    <row r="632" spans="1:8" x14ac:dyDescent="0.25">
      <c r="A632" t="s">
        <v>669</v>
      </c>
      <c r="B632">
        <v>52</v>
      </c>
      <c r="C632" t="s">
        <v>9</v>
      </c>
      <c r="D632" t="s">
        <v>19</v>
      </c>
      <c r="E632" t="s">
        <v>20</v>
      </c>
      <c r="F632" t="s">
        <v>21</v>
      </c>
      <c r="G632" t="s">
        <v>22</v>
      </c>
      <c r="H632" s="3">
        <v>45132</v>
      </c>
    </row>
    <row r="633" spans="1:8" x14ac:dyDescent="0.25">
      <c r="A633" t="s">
        <v>670</v>
      </c>
      <c r="B633">
        <v>23</v>
      </c>
      <c r="C633" t="s">
        <v>9</v>
      </c>
      <c r="D633" t="s">
        <v>33</v>
      </c>
      <c r="E633" t="s">
        <v>34</v>
      </c>
      <c r="F633" t="s">
        <v>35</v>
      </c>
      <c r="G633" t="s">
        <v>22</v>
      </c>
      <c r="H633" s="3">
        <v>45773</v>
      </c>
    </row>
    <row r="634" spans="1:8" x14ac:dyDescent="0.25">
      <c r="A634" t="s">
        <v>671</v>
      </c>
      <c r="B634">
        <v>54</v>
      </c>
      <c r="C634" t="s">
        <v>9</v>
      </c>
      <c r="D634" t="s">
        <v>25</v>
      </c>
      <c r="E634" t="s">
        <v>26</v>
      </c>
      <c r="F634" t="s">
        <v>27</v>
      </c>
      <c r="G634" t="s">
        <v>12</v>
      </c>
      <c r="H634" s="3">
        <v>44969</v>
      </c>
    </row>
    <row r="635" spans="1:8" x14ac:dyDescent="0.25">
      <c r="A635" t="s">
        <v>672</v>
      </c>
      <c r="B635">
        <v>22</v>
      </c>
      <c r="C635" t="s">
        <v>9</v>
      </c>
      <c r="D635" t="s">
        <v>25</v>
      </c>
      <c r="E635" t="s">
        <v>26</v>
      </c>
      <c r="F635" t="s">
        <v>27</v>
      </c>
      <c r="G635" t="s">
        <v>17</v>
      </c>
      <c r="H635" s="3">
        <v>45791</v>
      </c>
    </row>
    <row r="636" spans="1:8" x14ac:dyDescent="0.25">
      <c r="A636" t="s">
        <v>673</v>
      </c>
      <c r="B636">
        <v>50</v>
      </c>
      <c r="C636" t="s">
        <v>24</v>
      </c>
      <c r="D636" t="s">
        <v>10</v>
      </c>
      <c r="E636" t="s">
        <v>10</v>
      </c>
      <c r="F636" t="s">
        <v>29</v>
      </c>
      <c r="G636" t="s">
        <v>12</v>
      </c>
      <c r="H636" s="3">
        <v>46195</v>
      </c>
    </row>
    <row r="637" spans="1:8" x14ac:dyDescent="0.25">
      <c r="A637" t="s">
        <v>674</v>
      </c>
      <c r="B637">
        <v>31</v>
      </c>
      <c r="C637" t="s">
        <v>9</v>
      </c>
      <c r="D637" t="s">
        <v>10</v>
      </c>
      <c r="E637" t="s">
        <v>10</v>
      </c>
      <c r="F637" t="s">
        <v>53</v>
      </c>
      <c r="G637" t="s">
        <v>22</v>
      </c>
      <c r="H637" s="3">
        <v>45711</v>
      </c>
    </row>
    <row r="638" spans="1:8" x14ac:dyDescent="0.25">
      <c r="A638" t="s">
        <v>675</v>
      </c>
      <c r="B638">
        <v>29</v>
      </c>
      <c r="C638" t="s">
        <v>24</v>
      </c>
      <c r="D638" t="s">
        <v>25</v>
      </c>
      <c r="E638" t="s">
        <v>26</v>
      </c>
      <c r="F638" t="s">
        <v>27</v>
      </c>
      <c r="G638" t="s">
        <v>22</v>
      </c>
      <c r="H638" s="3">
        <v>45402</v>
      </c>
    </row>
    <row r="639" spans="1:8" x14ac:dyDescent="0.25">
      <c r="A639" t="s">
        <v>676</v>
      </c>
      <c r="B639">
        <v>59</v>
      </c>
      <c r="C639" t="s">
        <v>9</v>
      </c>
      <c r="D639" t="s">
        <v>10</v>
      </c>
      <c r="E639" t="s">
        <v>10</v>
      </c>
      <c r="F639" t="s">
        <v>47</v>
      </c>
      <c r="G639" t="s">
        <v>12</v>
      </c>
      <c r="H639" s="3">
        <v>45009</v>
      </c>
    </row>
    <row r="640" spans="1:8" x14ac:dyDescent="0.25">
      <c r="A640" t="s">
        <v>677</v>
      </c>
      <c r="B640">
        <v>37</v>
      </c>
      <c r="C640" t="s">
        <v>24</v>
      </c>
      <c r="D640" t="s">
        <v>10</v>
      </c>
      <c r="E640" t="s">
        <v>10</v>
      </c>
      <c r="F640" t="s">
        <v>47</v>
      </c>
      <c r="G640" t="s">
        <v>17</v>
      </c>
      <c r="H640" s="3">
        <v>46060</v>
      </c>
    </row>
    <row r="641" spans="1:8" x14ac:dyDescent="0.25">
      <c r="A641" t="s">
        <v>678</v>
      </c>
      <c r="B641">
        <v>41</v>
      </c>
      <c r="C641" t="s">
        <v>9</v>
      </c>
      <c r="D641" t="s">
        <v>10</v>
      </c>
      <c r="E641" t="s">
        <v>10</v>
      </c>
      <c r="F641" t="s">
        <v>11</v>
      </c>
      <c r="G641" t="s">
        <v>22</v>
      </c>
      <c r="H641" s="3">
        <v>45116</v>
      </c>
    </row>
    <row r="642" spans="1:8" x14ac:dyDescent="0.25">
      <c r="A642" t="s">
        <v>679</v>
      </c>
      <c r="B642">
        <v>60</v>
      </c>
      <c r="C642" t="s">
        <v>9</v>
      </c>
      <c r="D642" t="s">
        <v>10</v>
      </c>
      <c r="E642" t="s">
        <v>10</v>
      </c>
      <c r="F642" t="s">
        <v>29</v>
      </c>
      <c r="G642" t="s">
        <v>12</v>
      </c>
      <c r="H642" s="3">
        <v>45726</v>
      </c>
    </row>
    <row r="643" spans="1:8" x14ac:dyDescent="0.25">
      <c r="A643" t="s">
        <v>680</v>
      </c>
      <c r="B643">
        <v>51</v>
      </c>
      <c r="C643" t="s">
        <v>24</v>
      </c>
      <c r="D643" t="s">
        <v>10</v>
      </c>
      <c r="E643" t="s">
        <v>10</v>
      </c>
      <c r="F643" t="s">
        <v>11</v>
      </c>
      <c r="G643" t="s">
        <v>12</v>
      </c>
      <c r="H643" s="3">
        <v>45862</v>
      </c>
    </row>
    <row r="644" spans="1:8" x14ac:dyDescent="0.25">
      <c r="A644" t="s">
        <v>681</v>
      </c>
      <c r="B644">
        <v>42</v>
      </c>
      <c r="C644" t="s">
        <v>9</v>
      </c>
      <c r="D644" t="s">
        <v>10</v>
      </c>
      <c r="E644" t="s">
        <v>10</v>
      </c>
      <c r="F644" t="s">
        <v>47</v>
      </c>
      <c r="G644" t="s">
        <v>78</v>
      </c>
      <c r="H644" s="3">
        <v>45177</v>
      </c>
    </row>
    <row r="645" spans="1:8" x14ac:dyDescent="0.25">
      <c r="A645" t="s">
        <v>682</v>
      </c>
      <c r="B645">
        <v>46</v>
      </c>
      <c r="C645" t="s">
        <v>9</v>
      </c>
      <c r="D645" t="s">
        <v>10</v>
      </c>
      <c r="E645" t="s">
        <v>10</v>
      </c>
      <c r="F645" t="s">
        <v>11</v>
      </c>
      <c r="G645" t="s">
        <v>17</v>
      </c>
      <c r="H645" s="3">
        <v>45217</v>
      </c>
    </row>
    <row r="646" spans="1:8" x14ac:dyDescent="0.25">
      <c r="A646" t="s">
        <v>683</v>
      </c>
      <c r="B646">
        <v>56</v>
      </c>
      <c r="C646" t="s">
        <v>9</v>
      </c>
      <c r="D646" t="s">
        <v>10</v>
      </c>
      <c r="E646" t="s">
        <v>10</v>
      </c>
      <c r="F646" t="s">
        <v>29</v>
      </c>
      <c r="G646" t="s">
        <v>12</v>
      </c>
      <c r="H646" s="3">
        <v>46151</v>
      </c>
    </row>
    <row r="647" spans="1:8" x14ac:dyDescent="0.25">
      <c r="A647" t="s">
        <v>684</v>
      </c>
      <c r="B647">
        <v>48</v>
      </c>
      <c r="C647" t="s">
        <v>9</v>
      </c>
      <c r="D647" t="s">
        <v>33</v>
      </c>
      <c r="E647" t="s">
        <v>34</v>
      </c>
      <c r="F647" t="s">
        <v>35</v>
      </c>
      <c r="G647" t="s">
        <v>17</v>
      </c>
      <c r="H647" s="3">
        <v>45252</v>
      </c>
    </row>
    <row r="648" spans="1:8" x14ac:dyDescent="0.25">
      <c r="A648" t="s">
        <v>685</v>
      </c>
      <c r="B648">
        <v>64</v>
      </c>
      <c r="C648" t="s">
        <v>9</v>
      </c>
      <c r="D648" t="s">
        <v>25</v>
      </c>
      <c r="E648" t="s">
        <v>26</v>
      </c>
      <c r="F648" t="s">
        <v>27</v>
      </c>
      <c r="G648" t="s">
        <v>12</v>
      </c>
      <c r="H648" s="3">
        <v>45763</v>
      </c>
    </row>
    <row r="649" spans="1:8" x14ac:dyDescent="0.25">
      <c r="A649" t="s">
        <v>686</v>
      </c>
      <c r="B649">
        <v>60</v>
      </c>
      <c r="C649" t="s">
        <v>9</v>
      </c>
      <c r="D649" t="s">
        <v>25</v>
      </c>
      <c r="E649" t="s">
        <v>38</v>
      </c>
      <c r="F649" t="s">
        <v>39</v>
      </c>
      <c r="G649" t="s">
        <v>22</v>
      </c>
      <c r="H649" s="3">
        <v>45434</v>
      </c>
    </row>
    <row r="650" spans="1:8" x14ac:dyDescent="0.25">
      <c r="A650" t="s">
        <v>687</v>
      </c>
      <c r="B650">
        <v>40</v>
      </c>
      <c r="C650" t="s">
        <v>24</v>
      </c>
      <c r="D650" t="s">
        <v>43</v>
      </c>
      <c r="E650" t="s">
        <v>44</v>
      </c>
      <c r="F650" t="s">
        <v>45</v>
      </c>
      <c r="G650" t="s">
        <v>12</v>
      </c>
      <c r="H650" s="3">
        <v>45657</v>
      </c>
    </row>
    <row r="651" spans="1:8" x14ac:dyDescent="0.25">
      <c r="A651" t="s">
        <v>688</v>
      </c>
      <c r="B651">
        <v>61</v>
      </c>
      <c r="C651" t="s">
        <v>24</v>
      </c>
      <c r="D651" t="s">
        <v>10</v>
      </c>
      <c r="E651" t="s">
        <v>10</v>
      </c>
      <c r="F651" t="s">
        <v>53</v>
      </c>
      <c r="G651" t="s">
        <v>78</v>
      </c>
      <c r="H651" s="3">
        <v>44998</v>
      </c>
    </row>
    <row r="652" spans="1:8" x14ac:dyDescent="0.25">
      <c r="A652" t="s">
        <v>689</v>
      </c>
      <c r="B652">
        <v>55</v>
      </c>
      <c r="C652" t="s">
        <v>24</v>
      </c>
      <c r="D652" t="s">
        <v>10</v>
      </c>
      <c r="E652" t="s">
        <v>10</v>
      </c>
      <c r="F652" t="s">
        <v>29</v>
      </c>
      <c r="G652" t="s">
        <v>12</v>
      </c>
      <c r="H652" s="3">
        <v>46197</v>
      </c>
    </row>
    <row r="653" spans="1:8" x14ac:dyDescent="0.25">
      <c r="A653" t="s">
        <v>690</v>
      </c>
      <c r="B653">
        <v>37</v>
      </c>
      <c r="C653" t="s">
        <v>9</v>
      </c>
      <c r="D653" t="s">
        <v>25</v>
      </c>
      <c r="E653" t="s">
        <v>26</v>
      </c>
      <c r="F653" t="s">
        <v>27</v>
      </c>
      <c r="G653" t="s">
        <v>12</v>
      </c>
      <c r="H653" s="3">
        <v>45567</v>
      </c>
    </row>
    <row r="654" spans="1:8" x14ac:dyDescent="0.25">
      <c r="A654" t="s">
        <v>691</v>
      </c>
      <c r="B654">
        <v>40</v>
      </c>
      <c r="C654" t="s">
        <v>24</v>
      </c>
      <c r="D654" t="s">
        <v>25</v>
      </c>
      <c r="E654" t="s">
        <v>26</v>
      </c>
      <c r="F654" t="s">
        <v>27</v>
      </c>
      <c r="G654" t="s">
        <v>12</v>
      </c>
      <c r="H654" s="3">
        <v>45866</v>
      </c>
    </row>
    <row r="655" spans="1:8" x14ac:dyDescent="0.25">
      <c r="A655" t="s">
        <v>692</v>
      </c>
      <c r="B655">
        <v>62</v>
      </c>
      <c r="C655" t="s">
        <v>9</v>
      </c>
      <c r="D655" t="s">
        <v>19</v>
      </c>
      <c r="E655" t="s">
        <v>20</v>
      </c>
      <c r="F655" t="s">
        <v>21</v>
      </c>
      <c r="G655" t="s">
        <v>12</v>
      </c>
      <c r="H655" s="3">
        <v>45534</v>
      </c>
    </row>
    <row r="656" spans="1:8" x14ac:dyDescent="0.25">
      <c r="A656" t="s">
        <v>693</v>
      </c>
      <c r="B656">
        <v>33</v>
      </c>
      <c r="C656" t="s">
        <v>9</v>
      </c>
      <c r="D656" t="s">
        <v>10</v>
      </c>
      <c r="E656" t="s">
        <v>10</v>
      </c>
      <c r="F656" t="s">
        <v>53</v>
      </c>
      <c r="G656" t="s">
        <v>12</v>
      </c>
      <c r="H656" s="3">
        <v>45492</v>
      </c>
    </row>
    <row r="657" spans="1:8" x14ac:dyDescent="0.25">
      <c r="A657" t="s">
        <v>694</v>
      </c>
      <c r="B657">
        <v>59</v>
      </c>
      <c r="C657" t="s">
        <v>24</v>
      </c>
      <c r="D657" t="s">
        <v>10</v>
      </c>
      <c r="E657" t="s">
        <v>10</v>
      </c>
      <c r="F657" t="s">
        <v>29</v>
      </c>
      <c r="G657" t="s">
        <v>17</v>
      </c>
      <c r="H657" s="3">
        <v>44980</v>
      </c>
    </row>
    <row r="658" spans="1:8" x14ac:dyDescent="0.25">
      <c r="A658" t="s">
        <v>695</v>
      </c>
      <c r="B658">
        <v>25</v>
      </c>
      <c r="C658" t="s">
        <v>9</v>
      </c>
      <c r="D658" t="s">
        <v>10</v>
      </c>
      <c r="E658" t="s">
        <v>10</v>
      </c>
      <c r="F658" t="s">
        <v>11</v>
      </c>
      <c r="G658" t="s">
        <v>12</v>
      </c>
      <c r="H658" s="3">
        <v>45454</v>
      </c>
    </row>
    <row r="659" spans="1:8" x14ac:dyDescent="0.25">
      <c r="A659" t="s">
        <v>696</v>
      </c>
      <c r="B659">
        <v>38</v>
      </c>
      <c r="C659" t="s">
        <v>9</v>
      </c>
      <c r="D659" t="s">
        <v>10</v>
      </c>
      <c r="E659" t="s">
        <v>10</v>
      </c>
      <c r="F659" t="s">
        <v>11</v>
      </c>
      <c r="G659" t="s">
        <v>12</v>
      </c>
      <c r="H659" s="3">
        <v>45537</v>
      </c>
    </row>
    <row r="660" spans="1:8" x14ac:dyDescent="0.25">
      <c r="A660" t="s">
        <v>697</v>
      </c>
      <c r="B660">
        <v>18</v>
      </c>
      <c r="C660" t="s">
        <v>24</v>
      </c>
      <c r="D660" t="s">
        <v>25</v>
      </c>
      <c r="E660" t="s">
        <v>38</v>
      </c>
      <c r="F660" t="s">
        <v>39</v>
      </c>
      <c r="G660" t="s">
        <v>22</v>
      </c>
      <c r="H660" s="3">
        <v>45119</v>
      </c>
    </row>
    <row r="661" spans="1:8" x14ac:dyDescent="0.25">
      <c r="A661" t="s">
        <v>698</v>
      </c>
      <c r="B661">
        <v>25</v>
      </c>
      <c r="C661" t="s">
        <v>24</v>
      </c>
      <c r="D661" t="s">
        <v>25</v>
      </c>
      <c r="E661" t="s">
        <v>26</v>
      </c>
      <c r="F661" t="s">
        <v>27</v>
      </c>
      <c r="G661" t="s">
        <v>12</v>
      </c>
      <c r="H661" s="3">
        <v>44984</v>
      </c>
    </row>
    <row r="662" spans="1:8" x14ac:dyDescent="0.25">
      <c r="A662" t="s">
        <v>699</v>
      </c>
      <c r="B662">
        <v>46</v>
      </c>
      <c r="C662" t="s">
        <v>24</v>
      </c>
      <c r="D662" t="s">
        <v>10</v>
      </c>
      <c r="E662" t="s">
        <v>10</v>
      </c>
      <c r="F662" t="s">
        <v>11</v>
      </c>
      <c r="G662" t="s">
        <v>22</v>
      </c>
      <c r="H662" s="3">
        <v>46061</v>
      </c>
    </row>
    <row r="663" spans="1:8" x14ac:dyDescent="0.25">
      <c r="A663" t="s">
        <v>700</v>
      </c>
      <c r="B663">
        <v>49</v>
      </c>
      <c r="C663" t="s">
        <v>24</v>
      </c>
      <c r="D663" t="s">
        <v>14</v>
      </c>
      <c r="E663" t="s">
        <v>15</v>
      </c>
      <c r="F663" t="s">
        <v>16</v>
      </c>
      <c r="G663" t="s">
        <v>17</v>
      </c>
      <c r="H663" s="3">
        <v>45055</v>
      </c>
    </row>
    <row r="664" spans="1:8" x14ac:dyDescent="0.25">
      <c r="A664" t="s">
        <v>701</v>
      </c>
      <c r="B664">
        <v>55</v>
      </c>
      <c r="C664" t="s">
        <v>24</v>
      </c>
      <c r="D664" t="s">
        <v>25</v>
      </c>
      <c r="E664" t="s">
        <v>26</v>
      </c>
      <c r="F664" t="s">
        <v>27</v>
      </c>
      <c r="G664" t="s">
        <v>12</v>
      </c>
      <c r="H664" s="3">
        <v>45632</v>
      </c>
    </row>
    <row r="665" spans="1:8" x14ac:dyDescent="0.25">
      <c r="A665" t="s">
        <v>702</v>
      </c>
      <c r="B665">
        <v>22</v>
      </c>
      <c r="C665" t="s">
        <v>9</v>
      </c>
      <c r="D665" t="s">
        <v>10</v>
      </c>
      <c r="E665" t="s">
        <v>10</v>
      </c>
      <c r="F665" t="s">
        <v>47</v>
      </c>
      <c r="G665" t="s">
        <v>12</v>
      </c>
      <c r="H665" s="3">
        <v>45778</v>
      </c>
    </row>
    <row r="666" spans="1:8" x14ac:dyDescent="0.25">
      <c r="A666" t="s">
        <v>703</v>
      </c>
      <c r="B666">
        <v>64</v>
      </c>
      <c r="C666" t="s">
        <v>9</v>
      </c>
      <c r="D666" t="s">
        <v>10</v>
      </c>
      <c r="E666" t="s">
        <v>10</v>
      </c>
      <c r="F666" t="s">
        <v>29</v>
      </c>
      <c r="G666" t="s">
        <v>12</v>
      </c>
      <c r="H666" s="3">
        <v>44934</v>
      </c>
    </row>
    <row r="667" spans="1:8" x14ac:dyDescent="0.25">
      <c r="A667" t="s">
        <v>704</v>
      </c>
      <c r="B667">
        <v>39</v>
      </c>
      <c r="C667" t="s">
        <v>9</v>
      </c>
      <c r="D667" t="s">
        <v>10</v>
      </c>
      <c r="E667" t="s">
        <v>10</v>
      </c>
      <c r="F667" t="s">
        <v>29</v>
      </c>
      <c r="G667" t="s">
        <v>17</v>
      </c>
      <c r="H667" s="3">
        <v>44955</v>
      </c>
    </row>
    <row r="668" spans="1:8" x14ac:dyDescent="0.25">
      <c r="A668" t="s">
        <v>705</v>
      </c>
      <c r="B668">
        <v>64</v>
      </c>
      <c r="C668" t="s">
        <v>9</v>
      </c>
      <c r="D668" t="s">
        <v>10</v>
      </c>
      <c r="E668" t="s">
        <v>10</v>
      </c>
      <c r="F668" t="s">
        <v>47</v>
      </c>
      <c r="G668" t="s">
        <v>22</v>
      </c>
      <c r="H668" s="3">
        <v>46062</v>
      </c>
    </row>
    <row r="669" spans="1:8" x14ac:dyDescent="0.25">
      <c r="A669" t="s">
        <v>706</v>
      </c>
      <c r="B669">
        <v>51</v>
      </c>
      <c r="C669" t="s">
        <v>9</v>
      </c>
      <c r="D669" t="s">
        <v>10</v>
      </c>
      <c r="E669" t="s">
        <v>10</v>
      </c>
      <c r="F669" t="s">
        <v>47</v>
      </c>
      <c r="G669" t="s">
        <v>22</v>
      </c>
      <c r="H669" s="3">
        <v>45873</v>
      </c>
    </row>
    <row r="670" spans="1:8" x14ac:dyDescent="0.25">
      <c r="A670" t="s">
        <v>707</v>
      </c>
      <c r="B670">
        <v>18</v>
      </c>
      <c r="C670" t="s">
        <v>24</v>
      </c>
      <c r="D670" t="s">
        <v>10</v>
      </c>
      <c r="E670" t="s">
        <v>10</v>
      </c>
      <c r="F670" t="s">
        <v>47</v>
      </c>
      <c r="G670" t="s">
        <v>12</v>
      </c>
      <c r="H670" s="3">
        <v>45057</v>
      </c>
    </row>
    <row r="671" spans="1:8" x14ac:dyDescent="0.25">
      <c r="A671" t="s">
        <v>708</v>
      </c>
      <c r="B671">
        <v>43</v>
      </c>
      <c r="C671" t="s">
        <v>24</v>
      </c>
      <c r="D671" t="s">
        <v>10</v>
      </c>
      <c r="E671" t="s">
        <v>10</v>
      </c>
      <c r="F671" t="s">
        <v>11</v>
      </c>
      <c r="G671" t="s">
        <v>17</v>
      </c>
      <c r="H671" s="3">
        <v>45114</v>
      </c>
    </row>
    <row r="672" spans="1:8" x14ac:dyDescent="0.25">
      <c r="A672" t="s">
        <v>709</v>
      </c>
      <c r="B672">
        <v>60</v>
      </c>
      <c r="C672" t="s">
        <v>24</v>
      </c>
      <c r="D672" t="s">
        <v>10</v>
      </c>
      <c r="E672" t="s">
        <v>10</v>
      </c>
      <c r="F672" t="s">
        <v>47</v>
      </c>
      <c r="G672" t="s">
        <v>22</v>
      </c>
      <c r="H672" s="3">
        <v>45635</v>
      </c>
    </row>
    <row r="673" spans="1:8" x14ac:dyDescent="0.25">
      <c r="A673" t="s">
        <v>710</v>
      </c>
      <c r="B673">
        <v>27</v>
      </c>
      <c r="C673" t="s">
        <v>9</v>
      </c>
      <c r="D673" t="s">
        <v>33</v>
      </c>
      <c r="E673" t="s">
        <v>34</v>
      </c>
      <c r="F673" t="s">
        <v>35</v>
      </c>
      <c r="G673" t="s">
        <v>12</v>
      </c>
      <c r="H673" s="3">
        <v>46154</v>
      </c>
    </row>
    <row r="674" spans="1:8" x14ac:dyDescent="0.25">
      <c r="A674" t="s">
        <v>711</v>
      </c>
      <c r="B674">
        <v>47</v>
      </c>
      <c r="C674" t="s">
        <v>24</v>
      </c>
      <c r="D674" t="s">
        <v>10</v>
      </c>
      <c r="E674" t="s">
        <v>10</v>
      </c>
      <c r="F674" t="s">
        <v>29</v>
      </c>
      <c r="G674" t="s">
        <v>22</v>
      </c>
      <c r="H674" s="3">
        <v>45138</v>
      </c>
    </row>
    <row r="675" spans="1:8" x14ac:dyDescent="0.25">
      <c r="A675" t="s">
        <v>712</v>
      </c>
      <c r="B675">
        <v>35</v>
      </c>
      <c r="C675" t="s">
        <v>24</v>
      </c>
      <c r="D675" t="s">
        <v>25</v>
      </c>
      <c r="E675" t="s">
        <v>26</v>
      </c>
      <c r="F675" t="s">
        <v>27</v>
      </c>
      <c r="G675" t="s">
        <v>22</v>
      </c>
      <c r="H675" s="3">
        <v>45202</v>
      </c>
    </row>
    <row r="676" spans="1:8" x14ac:dyDescent="0.25">
      <c r="A676" t="s">
        <v>713</v>
      </c>
      <c r="B676">
        <v>34</v>
      </c>
      <c r="C676" t="s">
        <v>24</v>
      </c>
      <c r="D676" t="s">
        <v>10</v>
      </c>
      <c r="E676" t="s">
        <v>10</v>
      </c>
      <c r="F676" t="s">
        <v>53</v>
      </c>
      <c r="G676" t="s">
        <v>22</v>
      </c>
      <c r="H676" s="3">
        <v>46023</v>
      </c>
    </row>
    <row r="677" spans="1:8" x14ac:dyDescent="0.25">
      <c r="A677" t="s">
        <v>714</v>
      </c>
      <c r="B677">
        <v>43</v>
      </c>
      <c r="C677" t="s">
        <v>9</v>
      </c>
      <c r="D677" t="s">
        <v>14</v>
      </c>
      <c r="E677" t="s">
        <v>15</v>
      </c>
      <c r="F677" t="s">
        <v>16</v>
      </c>
      <c r="G677" t="s">
        <v>12</v>
      </c>
      <c r="H677" s="3">
        <v>45169</v>
      </c>
    </row>
    <row r="678" spans="1:8" x14ac:dyDescent="0.25">
      <c r="A678" t="s">
        <v>715</v>
      </c>
      <c r="B678">
        <v>25</v>
      </c>
      <c r="C678" t="s">
        <v>24</v>
      </c>
      <c r="D678" t="s">
        <v>10</v>
      </c>
      <c r="E678" t="s">
        <v>10</v>
      </c>
      <c r="F678" t="s">
        <v>29</v>
      </c>
      <c r="G678" t="s">
        <v>12</v>
      </c>
      <c r="H678" s="3">
        <v>46052</v>
      </c>
    </row>
    <row r="679" spans="1:8" x14ac:dyDescent="0.25">
      <c r="A679" t="s">
        <v>716</v>
      </c>
      <c r="B679">
        <v>64</v>
      </c>
      <c r="C679" t="s">
        <v>9</v>
      </c>
      <c r="D679" t="s">
        <v>10</v>
      </c>
      <c r="E679" t="s">
        <v>10</v>
      </c>
      <c r="F679" t="s">
        <v>11</v>
      </c>
      <c r="G679" t="s">
        <v>12</v>
      </c>
      <c r="H679" s="3">
        <v>45913</v>
      </c>
    </row>
    <row r="680" spans="1:8" x14ac:dyDescent="0.25">
      <c r="A680" t="s">
        <v>717</v>
      </c>
      <c r="B680">
        <v>57</v>
      </c>
      <c r="C680" t="s">
        <v>9</v>
      </c>
      <c r="D680" t="s">
        <v>14</v>
      </c>
      <c r="E680" t="s">
        <v>15</v>
      </c>
      <c r="F680" t="s">
        <v>16</v>
      </c>
      <c r="G680" t="s">
        <v>12</v>
      </c>
      <c r="H680" s="3">
        <v>45611</v>
      </c>
    </row>
    <row r="681" spans="1:8" x14ac:dyDescent="0.25">
      <c r="A681" t="s">
        <v>718</v>
      </c>
      <c r="B681">
        <v>29</v>
      </c>
      <c r="C681" t="s">
        <v>9</v>
      </c>
      <c r="D681" t="s">
        <v>33</v>
      </c>
      <c r="E681" t="s">
        <v>34</v>
      </c>
      <c r="F681" t="s">
        <v>35</v>
      </c>
      <c r="G681" t="s">
        <v>22</v>
      </c>
      <c r="H681" s="3">
        <v>45097</v>
      </c>
    </row>
    <row r="682" spans="1:8" x14ac:dyDescent="0.25">
      <c r="A682" t="s">
        <v>719</v>
      </c>
      <c r="B682">
        <v>44</v>
      </c>
      <c r="C682" t="s">
        <v>24</v>
      </c>
      <c r="D682" t="s">
        <v>43</v>
      </c>
      <c r="E682" t="s">
        <v>44</v>
      </c>
      <c r="F682" t="s">
        <v>45</v>
      </c>
      <c r="G682" t="s">
        <v>12</v>
      </c>
      <c r="H682" s="3">
        <v>45579</v>
      </c>
    </row>
    <row r="683" spans="1:8" x14ac:dyDescent="0.25">
      <c r="A683" t="s">
        <v>720</v>
      </c>
      <c r="B683">
        <v>25</v>
      </c>
      <c r="C683" t="s">
        <v>24</v>
      </c>
      <c r="D683" t="s">
        <v>10</v>
      </c>
      <c r="E683" t="s">
        <v>10</v>
      </c>
      <c r="F683" t="s">
        <v>47</v>
      </c>
      <c r="G683" t="s">
        <v>12</v>
      </c>
      <c r="H683" s="3">
        <v>45114</v>
      </c>
    </row>
    <row r="684" spans="1:8" x14ac:dyDescent="0.25">
      <c r="A684" t="s">
        <v>721</v>
      </c>
      <c r="B684">
        <v>42</v>
      </c>
      <c r="C684" t="s">
        <v>9</v>
      </c>
      <c r="D684" t="s">
        <v>10</v>
      </c>
      <c r="E684" t="s">
        <v>10</v>
      </c>
      <c r="F684" t="s">
        <v>47</v>
      </c>
      <c r="G684" t="s">
        <v>22</v>
      </c>
      <c r="H684" s="3">
        <v>46036</v>
      </c>
    </row>
    <row r="685" spans="1:8" x14ac:dyDescent="0.25">
      <c r="A685" t="s">
        <v>722</v>
      </c>
      <c r="B685">
        <v>63</v>
      </c>
      <c r="C685" t="s">
        <v>9</v>
      </c>
      <c r="D685" t="s">
        <v>25</v>
      </c>
      <c r="E685" t="s">
        <v>38</v>
      </c>
      <c r="F685" t="s">
        <v>39</v>
      </c>
      <c r="G685" t="s">
        <v>22</v>
      </c>
      <c r="H685" s="3">
        <v>44978</v>
      </c>
    </row>
    <row r="686" spans="1:8" x14ac:dyDescent="0.25">
      <c r="A686" t="s">
        <v>723</v>
      </c>
      <c r="B686">
        <v>21</v>
      </c>
      <c r="C686" t="s">
        <v>9</v>
      </c>
      <c r="D686" t="s">
        <v>33</v>
      </c>
      <c r="E686" t="s">
        <v>34</v>
      </c>
      <c r="F686" t="s">
        <v>35</v>
      </c>
      <c r="G686" t="s">
        <v>22</v>
      </c>
      <c r="H686" s="3">
        <v>45037</v>
      </c>
    </row>
    <row r="687" spans="1:8" x14ac:dyDescent="0.25">
      <c r="A687" t="s">
        <v>724</v>
      </c>
      <c r="B687">
        <v>50</v>
      </c>
      <c r="C687" t="s">
        <v>9</v>
      </c>
      <c r="D687" t="s">
        <v>25</v>
      </c>
      <c r="E687" t="s">
        <v>26</v>
      </c>
      <c r="F687" t="s">
        <v>27</v>
      </c>
      <c r="G687" t="s">
        <v>22</v>
      </c>
      <c r="H687" s="3">
        <v>45803</v>
      </c>
    </row>
    <row r="688" spans="1:8" x14ac:dyDescent="0.25">
      <c r="A688" t="s">
        <v>725</v>
      </c>
      <c r="B688">
        <v>18</v>
      </c>
      <c r="C688" t="s">
        <v>9</v>
      </c>
      <c r="D688" t="s">
        <v>25</v>
      </c>
      <c r="E688" t="s">
        <v>26</v>
      </c>
      <c r="F688" t="s">
        <v>27</v>
      </c>
      <c r="G688" t="s">
        <v>12</v>
      </c>
      <c r="H688" s="3">
        <v>45993</v>
      </c>
    </row>
    <row r="689" spans="1:8" x14ac:dyDescent="0.25">
      <c r="A689" t="s">
        <v>726</v>
      </c>
      <c r="B689">
        <v>36</v>
      </c>
      <c r="C689" t="s">
        <v>9</v>
      </c>
      <c r="D689" t="s">
        <v>10</v>
      </c>
      <c r="E689" t="s">
        <v>10</v>
      </c>
      <c r="F689" t="s">
        <v>47</v>
      </c>
      <c r="G689" t="s">
        <v>12</v>
      </c>
      <c r="H689" s="3">
        <v>45137</v>
      </c>
    </row>
    <row r="690" spans="1:8" x14ac:dyDescent="0.25">
      <c r="A690" t="s">
        <v>727</v>
      </c>
      <c r="B690">
        <v>48</v>
      </c>
      <c r="C690" t="s">
        <v>24</v>
      </c>
      <c r="D690" t="s">
        <v>19</v>
      </c>
      <c r="E690" t="s">
        <v>20</v>
      </c>
      <c r="F690" t="s">
        <v>21</v>
      </c>
      <c r="G690" t="s">
        <v>22</v>
      </c>
      <c r="H690" s="3">
        <v>46150</v>
      </c>
    </row>
    <row r="691" spans="1:8" x14ac:dyDescent="0.25">
      <c r="A691" t="s">
        <v>728</v>
      </c>
      <c r="B691">
        <v>33</v>
      </c>
      <c r="C691" t="s">
        <v>9</v>
      </c>
      <c r="D691" t="s">
        <v>10</v>
      </c>
      <c r="E691" t="s">
        <v>10</v>
      </c>
      <c r="F691" t="s">
        <v>47</v>
      </c>
      <c r="G691" t="s">
        <v>12</v>
      </c>
      <c r="H691" s="3">
        <v>45784</v>
      </c>
    </row>
    <row r="692" spans="1:8" x14ac:dyDescent="0.25">
      <c r="A692" t="s">
        <v>729</v>
      </c>
      <c r="B692">
        <v>31</v>
      </c>
      <c r="C692" t="s">
        <v>9</v>
      </c>
      <c r="D692" t="s">
        <v>10</v>
      </c>
      <c r="E692" t="s">
        <v>10</v>
      </c>
      <c r="F692" t="s">
        <v>11</v>
      </c>
      <c r="G692" t="s">
        <v>12</v>
      </c>
      <c r="H692" s="3">
        <v>45553</v>
      </c>
    </row>
    <row r="693" spans="1:8" x14ac:dyDescent="0.25">
      <c r="A693" t="s">
        <v>730</v>
      </c>
      <c r="B693">
        <v>65</v>
      </c>
      <c r="C693" t="s">
        <v>9</v>
      </c>
      <c r="D693" t="s">
        <v>10</v>
      </c>
      <c r="E693" t="s">
        <v>10</v>
      </c>
      <c r="F693" t="s">
        <v>53</v>
      </c>
      <c r="G693" t="s">
        <v>12</v>
      </c>
      <c r="H693" s="3">
        <v>45976</v>
      </c>
    </row>
    <row r="694" spans="1:8" x14ac:dyDescent="0.25">
      <c r="A694" t="s">
        <v>731</v>
      </c>
      <c r="B694">
        <v>22</v>
      </c>
      <c r="C694" t="s">
        <v>24</v>
      </c>
      <c r="D694" t="s">
        <v>25</v>
      </c>
      <c r="E694" t="s">
        <v>26</v>
      </c>
      <c r="F694" t="s">
        <v>27</v>
      </c>
      <c r="G694" t="s">
        <v>12</v>
      </c>
      <c r="H694" s="3">
        <v>45225</v>
      </c>
    </row>
    <row r="695" spans="1:8" x14ac:dyDescent="0.25">
      <c r="A695" t="s">
        <v>732</v>
      </c>
      <c r="B695">
        <v>58</v>
      </c>
      <c r="C695" t="s">
        <v>24</v>
      </c>
      <c r="D695" t="s">
        <v>10</v>
      </c>
      <c r="E695" t="s">
        <v>10</v>
      </c>
      <c r="F695" t="s">
        <v>47</v>
      </c>
      <c r="G695" t="s">
        <v>22</v>
      </c>
      <c r="H695" s="3">
        <v>46027</v>
      </c>
    </row>
    <row r="696" spans="1:8" x14ac:dyDescent="0.25">
      <c r="A696" t="s">
        <v>733</v>
      </c>
      <c r="B696">
        <v>43</v>
      </c>
      <c r="C696" t="s">
        <v>24</v>
      </c>
      <c r="D696" t="s">
        <v>10</v>
      </c>
      <c r="E696" t="s">
        <v>10</v>
      </c>
      <c r="F696" t="s">
        <v>29</v>
      </c>
      <c r="G696" t="s">
        <v>12</v>
      </c>
      <c r="H696" s="3">
        <v>45850</v>
      </c>
    </row>
    <row r="697" spans="1:8" x14ac:dyDescent="0.25">
      <c r="A697" t="s">
        <v>734</v>
      </c>
      <c r="B697">
        <v>45</v>
      </c>
      <c r="C697" t="s">
        <v>9</v>
      </c>
      <c r="D697" t="s">
        <v>25</v>
      </c>
      <c r="E697" t="s">
        <v>38</v>
      </c>
      <c r="F697" t="s">
        <v>39</v>
      </c>
      <c r="G697" t="s">
        <v>12</v>
      </c>
      <c r="H697" s="3">
        <v>45063</v>
      </c>
    </row>
    <row r="698" spans="1:8" x14ac:dyDescent="0.25">
      <c r="A698" t="s">
        <v>735</v>
      </c>
      <c r="B698">
        <v>19</v>
      </c>
      <c r="C698" t="s">
        <v>24</v>
      </c>
      <c r="D698" t="s">
        <v>10</v>
      </c>
      <c r="E698" t="s">
        <v>10</v>
      </c>
      <c r="F698" t="s">
        <v>11</v>
      </c>
      <c r="G698" t="s">
        <v>12</v>
      </c>
      <c r="H698" s="3">
        <v>45970</v>
      </c>
    </row>
    <row r="699" spans="1:8" x14ac:dyDescent="0.25">
      <c r="A699" t="s">
        <v>736</v>
      </c>
      <c r="B699">
        <v>23</v>
      </c>
      <c r="C699" t="s">
        <v>9</v>
      </c>
      <c r="D699" t="s">
        <v>25</v>
      </c>
      <c r="E699" t="s">
        <v>26</v>
      </c>
      <c r="F699" t="s">
        <v>27</v>
      </c>
      <c r="G699" t="s">
        <v>12</v>
      </c>
      <c r="H699" s="3">
        <v>45366</v>
      </c>
    </row>
    <row r="700" spans="1:8" x14ac:dyDescent="0.25">
      <c r="A700" t="s">
        <v>737</v>
      </c>
      <c r="B700">
        <v>26</v>
      </c>
      <c r="C700" t="s">
        <v>24</v>
      </c>
      <c r="D700" t="s">
        <v>10</v>
      </c>
      <c r="E700" t="s">
        <v>10</v>
      </c>
      <c r="F700" t="s">
        <v>29</v>
      </c>
      <c r="G700" t="s">
        <v>12</v>
      </c>
      <c r="H700" s="3">
        <v>45137</v>
      </c>
    </row>
    <row r="701" spans="1:8" x14ac:dyDescent="0.25">
      <c r="A701" t="s">
        <v>738</v>
      </c>
      <c r="B701">
        <v>50</v>
      </c>
      <c r="C701" t="s">
        <v>24</v>
      </c>
      <c r="D701" t="s">
        <v>10</v>
      </c>
      <c r="E701" t="s">
        <v>10</v>
      </c>
      <c r="F701" t="s">
        <v>53</v>
      </c>
      <c r="G701" t="s">
        <v>12</v>
      </c>
      <c r="H701" s="3">
        <v>45678</v>
      </c>
    </row>
    <row r="702" spans="1:8" x14ac:dyDescent="0.25">
      <c r="A702" t="s">
        <v>739</v>
      </c>
      <c r="B702">
        <v>58</v>
      </c>
      <c r="C702" t="s">
        <v>24</v>
      </c>
      <c r="D702" t="s">
        <v>25</v>
      </c>
      <c r="E702" t="s">
        <v>26</v>
      </c>
      <c r="F702" t="s">
        <v>27</v>
      </c>
      <c r="G702" t="s">
        <v>22</v>
      </c>
      <c r="H702" s="3">
        <v>45361</v>
      </c>
    </row>
    <row r="703" spans="1:8" x14ac:dyDescent="0.25">
      <c r="A703" t="s">
        <v>740</v>
      </c>
      <c r="B703">
        <v>42</v>
      </c>
      <c r="C703" t="s">
        <v>24</v>
      </c>
      <c r="D703" t="s">
        <v>10</v>
      </c>
      <c r="E703" t="s">
        <v>10</v>
      </c>
      <c r="F703" t="s">
        <v>29</v>
      </c>
      <c r="G703" t="s">
        <v>12</v>
      </c>
      <c r="H703" s="3">
        <v>45706</v>
      </c>
    </row>
    <row r="704" spans="1:8" x14ac:dyDescent="0.25">
      <c r="A704" t="s">
        <v>741</v>
      </c>
      <c r="B704">
        <v>65</v>
      </c>
      <c r="C704" t="s">
        <v>24</v>
      </c>
      <c r="D704" t="s">
        <v>10</v>
      </c>
      <c r="E704" t="s">
        <v>10</v>
      </c>
      <c r="F704" t="s">
        <v>11</v>
      </c>
      <c r="G704" t="s">
        <v>12</v>
      </c>
      <c r="H704" s="3">
        <v>46157</v>
      </c>
    </row>
    <row r="705" spans="1:8" x14ac:dyDescent="0.25">
      <c r="A705" t="s">
        <v>742</v>
      </c>
      <c r="B705">
        <v>30</v>
      </c>
      <c r="C705" t="s">
        <v>9</v>
      </c>
      <c r="D705" t="s">
        <v>10</v>
      </c>
      <c r="E705" t="s">
        <v>10</v>
      </c>
      <c r="F705" t="s">
        <v>29</v>
      </c>
      <c r="G705" t="s">
        <v>17</v>
      </c>
      <c r="H705" s="3">
        <v>45365</v>
      </c>
    </row>
    <row r="706" spans="1:8" x14ac:dyDescent="0.25">
      <c r="A706" t="s">
        <v>743</v>
      </c>
      <c r="B706">
        <v>26</v>
      </c>
      <c r="C706" t="s">
        <v>24</v>
      </c>
      <c r="D706" t="s">
        <v>10</v>
      </c>
      <c r="E706" t="s">
        <v>10</v>
      </c>
      <c r="F706" t="s">
        <v>29</v>
      </c>
      <c r="G706" t="s">
        <v>12</v>
      </c>
      <c r="H706" s="3">
        <v>45592</v>
      </c>
    </row>
    <row r="707" spans="1:8" x14ac:dyDescent="0.25">
      <c r="A707" t="s">
        <v>744</v>
      </c>
      <c r="B707">
        <v>30</v>
      </c>
      <c r="C707" t="s">
        <v>9</v>
      </c>
      <c r="D707" t="s">
        <v>14</v>
      </c>
      <c r="E707" t="s">
        <v>15</v>
      </c>
      <c r="F707" t="s">
        <v>16</v>
      </c>
      <c r="G707" t="s">
        <v>12</v>
      </c>
      <c r="H707" s="3">
        <v>45992</v>
      </c>
    </row>
    <row r="708" spans="1:8" x14ac:dyDescent="0.25">
      <c r="A708" t="s">
        <v>745</v>
      </c>
      <c r="B708">
        <v>48</v>
      </c>
      <c r="C708" t="s">
        <v>24</v>
      </c>
      <c r="D708" t="s">
        <v>10</v>
      </c>
      <c r="E708" t="s">
        <v>10</v>
      </c>
      <c r="F708" t="s">
        <v>11</v>
      </c>
      <c r="G708" t="s">
        <v>22</v>
      </c>
      <c r="H708" s="3">
        <v>45337</v>
      </c>
    </row>
    <row r="709" spans="1:8" x14ac:dyDescent="0.25">
      <c r="A709" t="s">
        <v>746</v>
      </c>
      <c r="B709">
        <v>58</v>
      </c>
      <c r="C709" t="s">
        <v>9</v>
      </c>
      <c r="D709" t="s">
        <v>43</v>
      </c>
      <c r="E709" t="s">
        <v>44</v>
      </c>
      <c r="F709" t="s">
        <v>45</v>
      </c>
      <c r="G709" t="s">
        <v>12</v>
      </c>
      <c r="H709" s="3">
        <v>45732</v>
      </c>
    </row>
    <row r="710" spans="1:8" x14ac:dyDescent="0.25">
      <c r="A710" t="s">
        <v>747</v>
      </c>
      <c r="B710">
        <v>28</v>
      </c>
      <c r="C710" t="s">
        <v>9</v>
      </c>
      <c r="D710" t="s">
        <v>10</v>
      </c>
      <c r="E710" t="s">
        <v>10</v>
      </c>
      <c r="F710" t="s">
        <v>47</v>
      </c>
      <c r="G710" t="s">
        <v>22</v>
      </c>
      <c r="H710" s="3">
        <v>45536</v>
      </c>
    </row>
    <row r="711" spans="1:8" x14ac:dyDescent="0.25">
      <c r="A711" t="s">
        <v>748</v>
      </c>
      <c r="B711">
        <v>21</v>
      </c>
      <c r="C711" t="s">
        <v>9</v>
      </c>
      <c r="D711" t="s">
        <v>25</v>
      </c>
      <c r="E711" t="s">
        <v>38</v>
      </c>
      <c r="F711" t="s">
        <v>39</v>
      </c>
      <c r="G711" t="s">
        <v>12</v>
      </c>
      <c r="H711" s="3">
        <v>45353</v>
      </c>
    </row>
    <row r="712" spans="1:8" x14ac:dyDescent="0.25">
      <c r="A712" t="s">
        <v>749</v>
      </c>
      <c r="B712">
        <v>51</v>
      </c>
      <c r="C712" t="s">
        <v>9</v>
      </c>
      <c r="D712" t="s">
        <v>19</v>
      </c>
      <c r="E712" t="s">
        <v>20</v>
      </c>
      <c r="F712" t="s">
        <v>21</v>
      </c>
      <c r="G712" t="s">
        <v>12</v>
      </c>
      <c r="H712" s="3">
        <v>45828</v>
      </c>
    </row>
    <row r="713" spans="1:8" x14ac:dyDescent="0.25">
      <c r="A713" t="s">
        <v>750</v>
      </c>
      <c r="B713">
        <v>55</v>
      </c>
      <c r="C713" t="s">
        <v>24</v>
      </c>
      <c r="D713" t="s">
        <v>25</v>
      </c>
      <c r="E713" t="s">
        <v>26</v>
      </c>
      <c r="F713" t="s">
        <v>27</v>
      </c>
      <c r="G713" t="s">
        <v>12</v>
      </c>
      <c r="H713" s="3">
        <v>45868</v>
      </c>
    </row>
    <row r="714" spans="1:8" x14ac:dyDescent="0.25">
      <c r="A714" t="s">
        <v>751</v>
      </c>
      <c r="B714">
        <v>63</v>
      </c>
      <c r="C714" t="s">
        <v>24</v>
      </c>
      <c r="D714" t="s">
        <v>10</v>
      </c>
      <c r="E714" t="s">
        <v>10</v>
      </c>
      <c r="F714" t="s">
        <v>53</v>
      </c>
      <c r="G714" t="s">
        <v>22</v>
      </c>
      <c r="H714" s="3">
        <v>45668</v>
      </c>
    </row>
    <row r="715" spans="1:8" x14ac:dyDescent="0.25">
      <c r="A715" t="s">
        <v>752</v>
      </c>
      <c r="B715">
        <v>21</v>
      </c>
      <c r="C715" t="s">
        <v>9</v>
      </c>
      <c r="D715" t="s">
        <v>10</v>
      </c>
      <c r="E715" t="s">
        <v>10</v>
      </c>
      <c r="F715" t="s">
        <v>53</v>
      </c>
      <c r="G715" t="s">
        <v>12</v>
      </c>
      <c r="H715" s="3">
        <v>46170</v>
      </c>
    </row>
    <row r="716" spans="1:8" x14ac:dyDescent="0.25">
      <c r="A716" t="s">
        <v>753</v>
      </c>
      <c r="B716">
        <v>55</v>
      </c>
      <c r="C716" t="s">
        <v>9</v>
      </c>
      <c r="D716" t="s">
        <v>10</v>
      </c>
      <c r="E716" t="s">
        <v>10</v>
      </c>
      <c r="F716" t="s">
        <v>11</v>
      </c>
      <c r="G716" t="s">
        <v>12</v>
      </c>
      <c r="H716" s="3">
        <v>46182</v>
      </c>
    </row>
    <row r="717" spans="1:8" x14ac:dyDescent="0.25">
      <c r="A717" t="s">
        <v>754</v>
      </c>
      <c r="B717">
        <v>36</v>
      </c>
      <c r="C717" t="s">
        <v>24</v>
      </c>
      <c r="D717" t="s">
        <v>33</v>
      </c>
      <c r="E717" t="s">
        <v>34</v>
      </c>
      <c r="F717" t="s">
        <v>35</v>
      </c>
      <c r="G717" t="s">
        <v>12</v>
      </c>
      <c r="H717" s="3">
        <v>45254</v>
      </c>
    </row>
    <row r="718" spans="1:8" x14ac:dyDescent="0.25">
      <c r="A718" t="s">
        <v>755</v>
      </c>
      <c r="B718">
        <v>23</v>
      </c>
      <c r="C718" t="s">
        <v>9</v>
      </c>
      <c r="D718" t="s">
        <v>43</v>
      </c>
      <c r="E718" t="s">
        <v>44</v>
      </c>
      <c r="F718" t="s">
        <v>45</v>
      </c>
      <c r="G718" t="s">
        <v>12</v>
      </c>
      <c r="H718" s="3">
        <v>44978</v>
      </c>
    </row>
    <row r="719" spans="1:8" x14ac:dyDescent="0.25">
      <c r="A719" t="s">
        <v>756</v>
      </c>
      <c r="B719">
        <v>51</v>
      </c>
      <c r="C719" t="s">
        <v>24</v>
      </c>
      <c r="D719" t="s">
        <v>14</v>
      </c>
      <c r="E719" t="s">
        <v>15</v>
      </c>
      <c r="F719" t="s">
        <v>16</v>
      </c>
      <c r="G719" t="s">
        <v>12</v>
      </c>
      <c r="H719" s="3">
        <v>45302</v>
      </c>
    </row>
    <row r="720" spans="1:8" x14ac:dyDescent="0.25">
      <c r="A720" t="s">
        <v>757</v>
      </c>
      <c r="B720">
        <v>35</v>
      </c>
      <c r="C720" t="s">
        <v>24</v>
      </c>
      <c r="D720" t="s">
        <v>10</v>
      </c>
      <c r="E720" t="s">
        <v>10</v>
      </c>
      <c r="F720" t="s">
        <v>29</v>
      </c>
      <c r="G720" t="s">
        <v>12</v>
      </c>
      <c r="H720" s="3">
        <v>45189</v>
      </c>
    </row>
    <row r="721" spans="1:8" x14ac:dyDescent="0.25">
      <c r="A721" t="s">
        <v>758</v>
      </c>
      <c r="B721">
        <v>30</v>
      </c>
      <c r="C721" t="s">
        <v>24</v>
      </c>
      <c r="D721" t="s">
        <v>19</v>
      </c>
      <c r="E721" t="s">
        <v>20</v>
      </c>
      <c r="F721" t="s">
        <v>21</v>
      </c>
      <c r="G721" t="s">
        <v>12</v>
      </c>
      <c r="H721" s="3">
        <v>45193</v>
      </c>
    </row>
    <row r="722" spans="1:8" x14ac:dyDescent="0.25">
      <c r="A722" t="s">
        <v>759</v>
      </c>
      <c r="B722">
        <v>58</v>
      </c>
      <c r="C722" t="s">
        <v>24</v>
      </c>
      <c r="D722" t="s">
        <v>14</v>
      </c>
      <c r="E722" t="s">
        <v>15</v>
      </c>
      <c r="F722" t="s">
        <v>16</v>
      </c>
      <c r="G722" t="s">
        <v>12</v>
      </c>
      <c r="H722" s="3">
        <v>45285</v>
      </c>
    </row>
    <row r="723" spans="1:8" x14ac:dyDescent="0.25">
      <c r="A723" t="s">
        <v>760</v>
      </c>
      <c r="B723">
        <v>40</v>
      </c>
      <c r="C723" t="s">
        <v>9</v>
      </c>
      <c r="D723" t="s">
        <v>10</v>
      </c>
      <c r="E723" t="s">
        <v>10</v>
      </c>
      <c r="F723" t="s">
        <v>47</v>
      </c>
      <c r="G723" t="s">
        <v>12</v>
      </c>
      <c r="H723" s="3">
        <v>45578</v>
      </c>
    </row>
    <row r="724" spans="1:8" x14ac:dyDescent="0.25">
      <c r="A724" t="s">
        <v>761</v>
      </c>
      <c r="B724">
        <v>36</v>
      </c>
      <c r="C724" t="s">
        <v>24</v>
      </c>
      <c r="D724" t="s">
        <v>10</v>
      </c>
      <c r="E724" t="s">
        <v>10</v>
      </c>
      <c r="F724" t="s">
        <v>29</v>
      </c>
      <c r="G724" t="s">
        <v>22</v>
      </c>
      <c r="H724" s="3">
        <v>44972</v>
      </c>
    </row>
    <row r="725" spans="1:8" x14ac:dyDescent="0.25">
      <c r="A725" t="s">
        <v>762</v>
      </c>
      <c r="B725">
        <v>62</v>
      </c>
      <c r="C725" t="s">
        <v>9</v>
      </c>
      <c r="D725" t="s">
        <v>19</v>
      </c>
      <c r="E725" t="s">
        <v>20</v>
      </c>
      <c r="F725" t="s">
        <v>21</v>
      </c>
      <c r="G725" t="s">
        <v>22</v>
      </c>
      <c r="H725" s="3">
        <v>45526</v>
      </c>
    </row>
    <row r="726" spans="1:8" x14ac:dyDescent="0.25">
      <c r="A726" t="s">
        <v>763</v>
      </c>
      <c r="B726">
        <v>28</v>
      </c>
      <c r="C726" t="s">
        <v>9</v>
      </c>
      <c r="D726" t="s">
        <v>25</v>
      </c>
      <c r="E726" t="s">
        <v>26</v>
      </c>
      <c r="F726" t="s">
        <v>27</v>
      </c>
      <c r="G726" t="s">
        <v>22</v>
      </c>
      <c r="H726" s="3">
        <v>45646</v>
      </c>
    </row>
    <row r="727" spans="1:8" x14ac:dyDescent="0.25">
      <c r="A727" t="s">
        <v>764</v>
      </c>
      <c r="B727">
        <v>18</v>
      </c>
      <c r="C727" t="s">
        <v>24</v>
      </c>
      <c r="D727" t="s">
        <v>43</v>
      </c>
      <c r="E727" t="s">
        <v>44</v>
      </c>
      <c r="F727" t="s">
        <v>45</v>
      </c>
      <c r="G727" t="s">
        <v>12</v>
      </c>
      <c r="H727" s="3">
        <v>45527</v>
      </c>
    </row>
    <row r="728" spans="1:8" x14ac:dyDescent="0.25">
      <c r="A728" t="s">
        <v>765</v>
      </c>
      <c r="B728">
        <v>41</v>
      </c>
      <c r="C728" t="s">
        <v>9</v>
      </c>
      <c r="D728" t="s">
        <v>10</v>
      </c>
      <c r="E728" t="s">
        <v>10</v>
      </c>
      <c r="F728" t="s">
        <v>29</v>
      </c>
      <c r="G728" t="s">
        <v>17</v>
      </c>
      <c r="H728" s="3">
        <v>45307</v>
      </c>
    </row>
    <row r="729" spans="1:8" x14ac:dyDescent="0.25">
      <c r="A729" t="s">
        <v>766</v>
      </c>
      <c r="B729">
        <v>24</v>
      </c>
      <c r="C729" t="s">
        <v>24</v>
      </c>
      <c r="D729" t="s">
        <v>43</v>
      </c>
      <c r="E729" t="s">
        <v>44</v>
      </c>
      <c r="F729" t="s">
        <v>45</v>
      </c>
      <c r="G729" t="s">
        <v>12</v>
      </c>
      <c r="H729" s="3">
        <v>45044</v>
      </c>
    </row>
    <row r="730" spans="1:8" x14ac:dyDescent="0.25">
      <c r="A730" t="s">
        <v>767</v>
      </c>
      <c r="B730">
        <v>42</v>
      </c>
      <c r="C730" t="s">
        <v>24</v>
      </c>
      <c r="D730" t="s">
        <v>10</v>
      </c>
      <c r="E730" t="s">
        <v>10</v>
      </c>
      <c r="F730" t="s">
        <v>47</v>
      </c>
      <c r="G730" t="s">
        <v>12</v>
      </c>
      <c r="H730" s="3">
        <v>45042</v>
      </c>
    </row>
    <row r="731" spans="1:8" x14ac:dyDescent="0.25">
      <c r="A731" t="s">
        <v>768</v>
      </c>
      <c r="B731">
        <v>38</v>
      </c>
      <c r="C731" t="s">
        <v>24</v>
      </c>
      <c r="D731" t="s">
        <v>10</v>
      </c>
      <c r="E731" t="s">
        <v>10</v>
      </c>
      <c r="F731" t="s">
        <v>47</v>
      </c>
      <c r="G731" t="s">
        <v>12</v>
      </c>
      <c r="H731" s="3">
        <v>45186</v>
      </c>
    </row>
    <row r="732" spans="1:8" x14ac:dyDescent="0.25">
      <c r="A732" t="s">
        <v>769</v>
      </c>
      <c r="B732">
        <v>32</v>
      </c>
      <c r="C732" t="s">
        <v>24</v>
      </c>
      <c r="D732" t="s">
        <v>10</v>
      </c>
      <c r="E732" t="s">
        <v>10</v>
      </c>
      <c r="F732" t="s">
        <v>47</v>
      </c>
      <c r="G732" t="s">
        <v>17</v>
      </c>
      <c r="H732" s="3">
        <v>46025</v>
      </c>
    </row>
    <row r="733" spans="1:8" x14ac:dyDescent="0.25">
      <c r="A733" t="s">
        <v>770</v>
      </c>
      <c r="B733">
        <v>18</v>
      </c>
      <c r="C733" t="s">
        <v>9</v>
      </c>
      <c r="D733" t="s">
        <v>43</v>
      </c>
      <c r="E733" t="s">
        <v>44</v>
      </c>
      <c r="F733" t="s">
        <v>45</v>
      </c>
      <c r="G733" t="s">
        <v>12</v>
      </c>
      <c r="H733" s="3">
        <v>45231</v>
      </c>
    </row>
    <row r="734" spans="1:8" x14ac:dyDescent="0.25">
      <c r="A734" t="s">
        <v>771</v>
      </c>
      <c r="B734">
        <v>29</v>
      </c>
      <c r="C734" t="s">
        <v>9</v>
      </c>
      <c r="D734" t="s">
        <v>25</v>
      </c>
      <c r="E734" t="s">
        <v>38</v>
      </c>
      <c r="F734" t="s">
        <v>39</v>
      </c>
      <c r="G734" t="s">
        <v>17</v>
      </c>
      <c r="H734" s="3">
        <v>44933</v>
      </c>
    </row>
    <row r="735" spans="1:8" x14ac:dyDescent="0.25">
      <c r="A735" t="s">
        <v>772</v>
      </c>
      <c r="B735">
        <v>24</v>
      </c>
      <c r="C735" t="s">
        <v>24</v>
      </c>
      <c r="D735" t="s">
        <v>25</v>
      </c>
      <c r="E735" t="s">
        <v>26</v>
      </c>
      <c r="F735" t="s">
        <v>27</v>
      </c>
      <c r="G735" t="s">
        <v>22</v>
      </c>
      <c r="H735" s="3">
        <v>45292</v>
      </c>
    </row>
    <row r="736" spans="1:8" x14ac:dyDescent="0.25">
      <c r="A736" t="s">
        <v>773</v>
      </c>
      <c r="B736">
        <v>32</v>
      </c>
      <c r="C736" t="s">
        <v>9</v>
      </c>
      <c r="D736" t="s">
        <v>10</v>
      </c>
      <c r="E736" t="s">
        <v>10</v>
      </c>
      <c r="F736" t="s">
        <v>11</v>
      </c>
      <c r="G736" t="s">
        <v>12</v>
      </c>
      <c r="H736" s="3">
        <v>45449</v>
      </c>
    </row>
    <row r="737" spans="1:8" x14ac:dyDescent="0.25">
      <c r="A737" t="s">
        <v>774</v>
      </c>
      <c r="B737">
        <v>38</v>
      </c>
      <c r="C737" t="s">
        <v>24</v>
      </c>
      <c r="D737" t="s">
        <v>33</v>
      </c>
      <c r="E737" t="s">
        <v>34</v>
      </c>
      <c r="F737" t="s">
        <v>35</v>
      </c>
      <c r="G737" t="s">
        <v>12</v>
      </c>
      <c r="H737" s="3">
        <v>46165</v>
      </c>
    </row>
    <row r="738" spans="1:8" x14ac:dyDescent="0.25">
      <c r="A738" t="s">
        <v>775</v>
      </c>
      <c r="B738">
        <v>36</v>
      </c>
      <c r="C738" t="s">
        <v>24</v>
      </c>
      <c r="D738" t="s">
        <v>10</v>
      </c>
      <c r="E738" t="s">
        <v>10</v>
      </c>
      <c r="F738" t="s">
        <v>11</v>
      </c>
      <c r="G738" t="s">
        <v>17</v>
      </c>
      <c r="H738" s="3">
        <v>45355</v>
      </c>
    </row>
    <row r="739" spans="1:8" x14ac:dyDescent="0.25">
      <c r="A739" t="s">
        <v>776</v>
      </c>
      <c r="B739">
        <v>46</v>
      </c>
      <c r="C739" t="s">
        <v>24</v>
      </c>
      <c r="D739" t="s">
        <v>43</v>
      </c>
      <c r="E739" t="s">
        <v>44</v>
      </c>
      <c r="F739" t="s">
        <v>45</v>
      </c>
      <c r="G739" t="s">
        <v>12</v>
      </c>
      <c r="H739" s="3">
        <v>45717</v>
      </c>
    </row>
    <row r="740" spans="1:8" x14ac:dyDescent="0.25">
      <c r="A740" t="s">
        <v>777</v>
      </c>
      <c r="B740">
        <v>42</v>
      </c>
      <c r="C740" t="s">
        <v>9</v>
      </c>
      <c r="D740" t="s">
        <v>10</v>
      </c>
      <c r="E740" t="s">
        <v>10</v>
      </c>
      <c r="F740" t="s">
        <v>53</v>
      </c>
      <c r="G740" t="s">
        <v>12</v>
      </c>
      <c r="H740" s="3">
        <v>45673</v>
      </c>
    </row>
    <row r="741" spans="1:8" x14ac:dyDescent="0.25">
      <c r="A741" t="s">
        <v>778</v>
      </c>
      <c r="B741">
        <v>50</v>
      </c>
      <c r="C741" t="s">
        <v>9</v>
      </c>
      <c r="D741" t="s">
        <v>10</v>
      </c>
      <c r="E741" t="s">
        <v>10</v>
      </c>
      <c r="F741" t="s">
        <v>11</v>
      </c>
      <c r="G741" t="s">
        <v>22</v>
      </c>
      <c r="H741" s="3">
        <v>45293</v>
      </c>
    </row>
    <row r="742" spans="1:8" x14ac:dyDescent="0.25">
      <c r="A742" t="s">
        <v>779</v>
      </c>
      <c r="B742">
        <v>49</v>
      </c>
      <c r="C742" t="s">
        <v>9</v>
      </c>
      <c r="D742" t="s">
        <v>10</v>
      </c>
      <c r="E742" t="s">
        <v>10</v>
      </c>
      <c r="F742" t="s">
        <v>53</v>
      </c>
      <c r="G742" t="s">
        <v>22</v>
      </c>
      <c r="H742" s="3">
        <v>45239</v>
      </c>
    </row>
    <row r="743" spans="1:8" x14ac:dyDescent="0.25">
      <c r="A743" t="s">
        <v>780</v>
      </c>
      <c r="B743">
        <v>52</v>
      </c>
      <c r="C743" t="s">
        <v>9</v>
      </c>
      <c r="D743" t="s">
        <v>10</v>
      </c>
      <c r="E743" t="s">
        <v>10</v>
      </c>
      <c r="F743" t="s">
        <v>11</v>
      </c>
      <c r="G743" t="s">
        <v>12</v>
      </c>
      <c r="H743" s="3">
        <v>45464</v>
      </c>
    </row>
    <row r="744" spans="1:8" x14ac:dyDescent="0.25">
      <c r="A744" t="s">
        <v>781</v>
      </c>
      <c r="B744">
        <v>61</v>
      </c>
      <c r="C744" t="s">
        <v>24</v>
      </c>
      <c r="D744" t="s">
        <v>19</v>
      </c>
      <c r="E744" t="s">
        <v>20</v>
      </c>
      <c r="F744" t="s">
        <v>21</v>
      </c>
      <c r="G744" t="s">
        <v>22</v>
      </c>
      <c r="H744" s="3">
        <v>45847</v>
      </c>
    </row>
    <row r="745" spans="1:8" x14ac:dyDescent="0.25">
      <c r="A745" t="s">
        <v>782</v>
      </c>
      <c r="B745">
        <v>55</v>
      </c>
      <c r="C745" t="s">
        <v>9</v>
      </c>
      <c r="D745" t="s">
        <v>25</v>
      </c>
      <c r="E745" t="s">
        <v>26</v>
      </c>
      <c r="F745" t="s">
        <v>27</v>
      </c>
      <c r="G745" t="s">
        <v>78</v>
      </c>
      <c r="H745" s="3">
        <v>46004</v>
      </c>
    </row>
    <row r="746" spans="1:8" x14ac:dyDescent="0.25">
      <c r="A746" t="s">
        <v>783</v>
      </c>
      <c r="B746">
        <v>43</v>
      </c>
      <c r="C746" t="s">
        <v>9</v>
      </c>
      <c r="D746" t="s">
        <v>10</v>
      </c>
      <c r="E746" t="s">
        <v>10</v>
      </c>
      <c r="F746" t="s">
        <v>47</v>
      </c>
      <c r="G746" t="s">
        <v>22</v>
      </c>
      <c r="H746" s="3">
        <v>45791</v>
      </c>
    </row>
    <row r="747" spans="1:8" x14ac:dyDescent="0.25">
      <c r="A747" t="s">
        <v>784</v>
      </c>
      <c r="B747">
        <v>28</v>
      </c>
      <c r="C747" t="s">
        <v>9</v>
      </c>
      <c r="D747" t="s">
        <v>33</v>
      </c>
      <c r="E747" t="s">
        <v>34</v>
      </c>
      <c r="F747" t="s">
        <v>35</v>
      </c>
      <c r="G747" t="s">
        <v>22</v>
      </c>
      <c r="H747" s="3">
        <v>46114</v>
      </c>
    </row>
    <row r="748" spans="1:8" x14ac:dyDescent="0.25">
      <c r="A748" t="s">
        <v>785</v>
      </c>
      <c r="B748">
        <v>52</v>
      </c>
      <c r="C748" t="s">
        <v>24</v>
      </c>
      <c r="D748" t="s">
        <v>10</v>
      </c>
      <c r="E748" t="s">
        <v>10</v>
      </c>
      <c r="F748" t="s">
        <v>11</v>
      </c>
      <c r="G748" t="s">
        <v>12</v>
      </c>
      <c r="H748" s="3">
        <v>45708</v>
      </c>
    </row>
    <row r="749" spans="1:8" x14ac:dyDescent="0.25">
      <c r="A749" t="s">
        <v>786</v>
      </c>
      <c r="B749">
        <v>25</v>
      </c>
      <c r="C749" t="s">
        <v>24</v>
      </c>
      <c r="D749" t="s">
        <v>25</v>
      </c>
      <c r="E749" t="s">
        <v>26</v>
      </c>
      <c r="F749" t="s">
        <v>27</v>
      </c>
      <c r="G749" t="s">
        <v>12</v>
      </c>
      <c r="H749" s="3">
        <v>45260</v>
      </c>
    </row>
    <row r="750" spans="1:8" x14ac:dyDescent="0.25">
      <c r="A750" t="s">
        <v>787</v>
      </c>
      <c r="B750">
        <v>63</v>
      </c>
      <c r="C750" t="s">
        <v>9</v>
      </c>
      <c r="D750" t="s">
        <v>33</v>
      </c>
      <c r="E750" t="s">
        <v>34</v>
      </c>
      <c r="F750" t="s">
        <v>35</v>
      </c>
      <c r="G750" t="s">
        <v>17</v>
      </c>
      <c r="H750" s="3">
        <v>45724</v>
      </c>
    </row>
    <row r="751" spans="1:8" x14ac:dyDescent="0.25">
      <c r="A751" t="s">
        <v>788</v>
      </c>
      <c r="B751">
        <v>31</v>
      </c>
      <c r="C751" t="s">
        <v>9</v>
      </c>
      <c r="D751" t="s">
        <v>25</v>
      </c>
      <c r="E751" t="s">
        <v>38</v>
      </c>
      <c r="F751" t="s">
        <v>39</v>
      </c>
      <c r="G751" t="s">
        <v>17</v>
      </c>
      <c r="H751" s="3">
        <v>45274</v>
      </c>
    </row>
    <row r="752" spans="1:8" x14ac:dyDescent="0.25">
      <c r="A752" t="s">
        <v>789</v>
      </c>
      <c r="B752">
        <v>27</v>
      </c>
      <c r="C752" t="s">
        <v>9</v>
      </c>
      <c r="D752" t="s">
        <v>10</v>
      </c>
      <c r="E752" t="s">
        <v>10</v>
      </c>
      <c r="F752" t="s">
        <v>29</v>
      </c>
      <c r="G752" t="s">
        <v>78</v>
      </c>
      <c r="H752" s="3">
        <v>45199</v>
      </c>
    </row>
    <row r="753" spans="1:8" x14ac:dyDescent="0.25">
      <c r="A753" t="s">
        <v>790</v>
      </c>
      <c r="B753">
        <v>19</v>
      </c>
      <c r="C753" t="s">
        <v>9</v>
      </c>
      <c r="D753" t="s">
        <v>14</v>
      </c>
      <c r="E753" t="s">
        <v>15</v>
      </c>
      <c r="F753" t="s">
        <v>16</v>
      </c>
      <c r="G753" t="s">
        <v>12</v>
      </c>
      <c r="H753" s="3">
        <v>45889</v>
      </c>
    </row>
    <row r="754" spans="1:8" x14ac:dyDescent="0.25">
      <c r="A754" t="s">
        <v>791</v>
      </c>
      <c r="B754">
        <v>63</v>
      </c>
      <c r="C754" t="s">
        <v>24</v>
      </c>
      <c r="D754" t="s">
        <v>25</v>
      </c>
      <c r="E754" t="s">
        <v>38</v>
      </c>
      <c r="F754" t="s">
        <v>39</v>
      </c>
      <c r="G754" t="s">
        <v>22</v>
      </c>
      <c r="H754" s="3">
        <v>45646</v>
      </c>
    </row>
    <row r="755" spans="1:8" x14ac:dyDescent="0.25">
      <c r="A755" t="s">
        <v>792</v>
      </c>
      <c r="B755">
        <v>26</v>
      </c>
      <c r="C755" t="s">
        <v>24</v>
      </c>
      <c r="D755" t="s">
        <v>10</v>
      </c>
      <c r="E755" t="s">
        <v>10</v>
      </c>
      <c r="F755" t="s">
        <v>11</v>
      </c>
      <c r="G755" t="s">
        <v>22</v>
      </c>
      <c r="H755" s="3">
        <v>45426</v>
      </c>
    </row>
    <row r="756" spans="1:8" x14ac:dyDescent="0.25">
      <c r="A756" t="s">
        <v>793</v>
      </c>
      <c r="B756">
        <v>20</v>
      </c>
      <c r="C756" t="s">
        <v>9</v>
      </c>
      <c r="D756" t="s">
        <v>10</v>
      </c>
      <c r="E756" t="s">
        <v>10</v>
      </c>
      <c r="F756" t="s">
        <v>29</v>
      </c>
      <c r="G756" t="s">
        <v>22</v>
      </c>
      <c r="H756" s="3">
        <v>46043</v>
      </c>
    </row>
    <row r="757" spans="1:8" x14ac:dyDescent="0.25">
      <c r="A757" t="s">
        <v>794</v>
      </c>
      <c r="B757">
        <v>38</v>
      </c>
      <c r="C757" t="s">
        <v>9</v>
      </c>
      <c r="D757" t="s">
        <v>43</v>
      </c>
      <c r="E757" t="s">
        <v>44</v>
      </c>
      <c r="F757" t="s">
        <v>45</v>
      </c>
      <c r="G757" t="s">
        <v>78</v>
      </c>
      <c r="H757" s="3">
        <v>45611</v>
      </c>
    </row>
    <row r="758" spans="1:8" x14ac:dyDescent="0.25">
      <c r="A758" t="s">
        <v>795</v>
      </c>
      <c r="B758">
        <v>43</v>
      </c>
      <c r="C758" t="s">
        <v>24</v>
      </c>
      <c r="D758" t="s">
        <v>25</v>
      </c>
      <c r="E758" t="s">
        <v>38</v>
      </c>
      <c r="F758" t="s">
        <v>39</v>
      </c>
      <c r="G758" t="s">
        <v>12</v>
      </c>
      <c r="H758" s="3">
        <v>45005</v>
      </c>
    </row>
    <row r="759" spans="1:8" x14ac:dyDescent="0.25">
      <c r="A759" t="s">
        <v>796</v>
      </c>
      <c r="B759">
        <v>25</v>
      </c>
      <c r="C759" t="s">
        <v>9</v>
      </c>
      <c r="D759" t="s">
        <v>25</v>
      </c>
      <c r="E759" t="s">
        <v>26</v>
      </c>
      <c r="F759" t="s">
        <v>27</v>
      </c>
      <c r="G759" t="s">
        <v>17</v>
      </c>
      <c r="H759" s="3">
        <v>45548</v>
      </c>
    </row>
    <row r="760" spans="1:8" x14ac:dyDescent="0.25">
      <c r="A760" t="s">
        <v>797</v>
      </c>
      <c r="B760">
        <v>65</v>
      </c>
      <c r="C760" t="s">
        <v>24</v>
      </c>
      <c r="D760" t="s">
        <v>33</v>
      </c>
      <c r="E760" t="s">
        <v>34</v>
      </c>
      <c r="F760" t="s">
        <v>35</v>
      </c>
      <c r="G760" t="s">
        <v>12</v>
      </c>
      <c r="H760" s="3">
        <v>46167</v>
      </c>
    </row>
    <row r="761" spans="1:8" x14ac:dyDescent="0.25">
      <c r="A761" t="s">
        <v>798</v>
      </c>
      <c r="B761">
        <v>19</v>
      </c>
      <c r="C761" t="s">
        <v>9</v>
      </c>
      <c r="D761" t="s">
        <v>43</v>
      </c>
      <c r="E761" t="s">
        <v>44</v>
      </c>
      <c r="F761" t="s">
        <v>45</v>
      </c>
      <c r="G761" t="s">
        <v>12</v>
      </c>
      <c r="H761" s="3">
        <v>45873</v>
      </c>
    </row>
    <row r="762" spans="1:8" x14ac:dyDescent="0.25">
      <c r="A762" t="s">
        <v>799</v>
      </c>
      <c r="B762">
        <v>23</v>
      </c>
      <c r="C762" t="s">
        <v>24</v>
      </c>
      <c r="D762" t="s">
        <v>10</v>
      </c>
      <c r="E762" t="s">
        <v>10</v>
      </c>
      <c r="F762" t="s">
        <v>29</v>
      </c>
      <c r="G762" t="s">
        <v>17</v>
      </c>
      <c r="H762" s="3">
        <v>45284</v>
      </c>
    </row>
    <row r="763" spans="1:8" x14ac:dyDescent="0.25">
      <c r="A763" t="s">
        <v>800</v>
      </c>
      <c r="B763">
        <v>45</v>
      </c>
      <c r="C763" t="s">
        <v>9</v>
      </c>
      <c r="D763" t="s">
        <v>10</v>
      </c>
      <c r="E763" t="s">
        <v>10</v>
      </c>
      <c r="F763" t="s">
        <v>11</v>
      </c>
      <c r="G763" t="s">
        <v>12</v>
      </c>
      <c r="H763" s="3">
        <v>45544</v>
      </c>
    </row>
    <row r="764" spans="1:8" x14ac:dyDescent="0.25">
      <c r="A764" t="s">
        <v>801</v>
      </c>
      <c r="B764">
        <v>46</v>
      </c>
      <c r="C764" t="s">
        <v>24</v>
      </c>
      <c r="D764" t="s">
        <v>10</v>
      </c>
      <c r="E764" t="s">
        <v>10</v>
      </c>
      <c r="F764" t="s">
        <v>47</v>
      </c>
      <c r="G764" t="s">
        <v>22</v>
      </c>
      <c r="H764" s="3">
        <v>45433</v>
      </c>
    </row>
    <row r="765" spans="1:8" x14ac:dyDescent="0.25">
      <c r="A765" t="s">
        <v>802</v>
      </c>
      <c r="B765">
        <v>43</v>
      </c>
      <c r="C765" t="s">
        <v>24</v>
      </c>
      <c r="D765" t="s">
        <v>19</v>
      </c>
      <c r="E765" t="s">
        <v>20</v>
      </c>
      <c r="F765" t="s">
        <v>21</v>
      </c>
      <c r="G765" t="s">
        <v>12</v>
      </c>
      <c r="H765" s="3">
        <v>46131</v>
      </c>
    </row>
    <row r="766" spans="1:8" x14ac:dyDescent="0.25">
      <c r="A766" t="s">
        <v>803</v>
      </c>
      <c r="B766">
        <v>42</v>
      </c>
      <c r="C766" t="s">
        <v>9</v>
      </c>
      <c r="D766" t="s">
        <v>10</v>
      </c>
      <c r="E766" t="s">
        <v>10</v>
      </c>
      <c r="F766" t="s">
        <v>29</v>
      </c>
      <c r="G766" t="s">
        <v>12</v>
      </c>
      <c r="H766" s="3">
        <v>45502</v>
      </c>
    </row>
    <row r="767" spans="1:8" x14ac:dyDescent="0.25">
      <c r="A767" t="s">
        <v>804</v>
      </c>
      <c r="B767">
        <v>29</v>
      </c>
      <c r="C767" t="s">
        <v>9</v>
      </c>
      <c r="D767" t="s">
        <v>25</v>
      </c>
      <c r="E767" t="s">
        <v>26</v>
      </c>
      <c r="F767" t="s">
        <v>27</v>
      </c>
      <c r="G767" t="s">
        <v>12</v>
      </c>
      <c r="H767" s="3">
        <v>46196</v>
      </c>
    </row>
    <row r="768" spans="1:8" x14ac:dyDescent="0.25">
      <c r="A768" t="s">
        <v>805</v>
      </c>
      <c r="B768">
        <v>22</v>
      </c>
      <c r="C768" t="s">
        <v>9</v>
      </c>
      <c r="D768" t="s">
        <v>19</v>
      </c>
      <c r="E768" t="s">
        <v>20</v>
      </c>
      <c r="F768" t="s">
        <v>21</v>
      </c>
      <c r="G768" t="s">
        <v>12</v>
      </c>
      <c r="H768" s="3">
        <v>45170</v>
      </c>
    </row>
    <row r="769" spans="1:8" x14ac:dyDescent="0.25">
      <c r="A769" t="s">
        <v>806</v>
      </c>
      <c r="B769">
        <v>51</v>
      </c>
      <c r="C769" t="s">
        <v>9</v>
      </c>
      <c r="D769" t="s">
        <v>33</v>
      </c>
      <c r="E769" t="s">
        <v>34</v>
      </c>
      <c r="F769" t="s">
        <v>35</v>
      </c>
      <c r="G769" t="s">
        <v>17</v>
      </c>
      <c r="H769" s="3">
        <v>45432</v>
      </c>
    </row>
    <row r="770" spans="1:8" x14ac:dyDescent="0.25">
      <c r="A770" t="s">
        <v>807</v>
      </c>
      <c r="B770">
        <v>65</v>
      </c>
      <c r="C770" t="s">
        <v>9</v>
      </c>
      <c r="D770" t="s">
        <v>10</v>
      </c>
      <c r="E770" t="s">
        <v>10</v>
      </c>
      <c r="F770" t="s">
        <v>11</v>
      </c>
      <c r="G770" t="s">
        <v>22</v>
      </c>
      <c r="H770" s="3">
        <v>45348</v>
      </c>
    </row>
    <row r="771" spans="1:8" x14ac:dyDescent="0.25">
      <c r="A771" t="s">
        <v>808</v>
      </c>
      <c r="B771">
        <v>54</v>
      </c>
      <c r="C771" t="s">
        <v>9</v>
      </c>
      <c r="D771" t="s">
        <v>43</v>
      </c>
      <c r="E771" t="s">
        <v>44</v>
      </c>
      <c r="F771" t="s">
        <v>45</v>
      </c>
      <c r="G771" t="s">
        <v>12</v>
      </c>
      <c r="H771" s="3">
        <v>46037</v>
      </c>
    </row>
    <row r="772" spans="1:8" x14ac:dyDescent="0.25">
      <c r="A772" t="s">
        <v>809</v>
      </c>
      <c r="B772">
        <v>32</v>
      </c>
      <c r="C772" t="s">
        <v>24</v>
      </c>
      <c r="D772" t="s">
        <v>10</v>
      </c>
      <c r="E772" t="s">
        <v>10</v>
      </c>
      <c r="F772" t="s">
        <v>29</v>
      </c>
      <c r="G772" t="s">
        <v>22</v>
      </c>
      <c r="H772" s="3">
        <v>45143</v>
      </c>
    </row>
    <row r="773" spans="1:8" x14ac:dyDescent="0.25">
      <c r="A773" t="s">
        <v>810</v>
      </c>
      <c r="B773">
        <v>61</v>
      </c>
      <c r="C773" t="s">
        <v>9</v>
      </c>
      <c r="D773" t="s">
        <v>43</v>
      </c>
      <c r="E773" t="s">
        <v>44</v>
      </c>
      <c r="F773" t="s">
        <v>45</v>
      </c>
      <c r="G773" t="s">
        <v>17</v>
      </c>
      <c r="H773" s="3">
        <v>45935</v>
      </c>
    </row>
    <row r="774" spans="1:8" x14ac:dyDescent="0.25">
      <c r="A774" t="s">
        <v>811</v>
      </c>
      <c r="B774">
        <v>53</v>
      </c>
      <c r="C774" t="s">
        <v>9</v>
      </c>
      <c r="D774" t="s">
        <v>10</v>
      </c>
      <c r="E774" t="s">
        <v>10</v>
      </c>
      <c r="F774" t="s">
        <v>29</v>
      </c>
      <c r="G774" t="s">
        <v>22</v>
      </c>
      <c r="H774" s="3">
        <v>46119</v>
      </c>
    </row>
    <row r="775" spans="1:8" x14ac:dyDescent="0.25">
      <c r="A775" t="s">
        <v>812</v>
      </c>
      <c r="B775">
        <v>32</v>
      </c>
      <c r="C775" t="s">
        <v>24</v>
      </c>
      <c r="D775" t="s">
        <v>10</v>
      </c>
      <c r="E775" t="s">
        <v>10</v>
      </c>
      <c r="F775" t="s">
        <v>11</v>
      </c>
      <c r="G775" t="s">
        <v>12</v>
      </c>
      <c r="H775" s="3">
        <v>45256</v>
      </c>
    </row>
    <row r="776" spans="1:8" x14ac:dyDescent="0.25">
      <c r="A776" t="s">
        <v>813</v>
      </c>
      <c r="B776">
        <v>60</v>
      </c>
      <c r="C776" t="s">
        <v>9</v>
      </c>
      <c r="D776" t="s">
        <v>43</v>
      </c>
      <c r="E776" t="s">
        <v>44</v>
      </c>
      <c r="F776" t="s">
        <v>45</v>
      </c>
      <c r="G776" t="s">
        <v>12</v>
      </c>
      <c r="H776" s="3">
        <v>45576</v>
      </c>
    </row>
    <row r="777" spans="1:8" x14ac:dyDescent="0.25">
      <c r="A777" t="s">
        <v>814</v>
      </c>
      <c r="B777">
        <v>65</v>
      </c>
      <c r="C777" t="s">
        <v>24</v>
      </c>
      <c r="D777" t="s">
        <v>10</v>
      </c>
      <c r="E777" t="s">
        <v>10</v>
      </c>
      <c r="F777" t="s">
        <v>29</v>
      </c>
      <c r="G777" t="s">
        <v>12</v>
      </c>
      <c r="H777" s="3">
        <v>45317</v>
      </c>
    </row>
    <row r="778" spans="1:8" x14ac:dyDescent="0.25">
      <c r="A778" t="s">
        <v>815</v>
      </c>
      <c r="B778">
        <v>40</v>
      </c>
      <c r="C778" t="s">
        <v>9</v>
      </c>
      <c r="D778" t="s">
        <v>10</v>
      </c>
      <c r="E778" t="s">
        <v>10</v>
      </c>
      <c r="F778" t="s">
        <v>47</v>
      </c>
      <c r="G778" t="s">
        <v>22</v>
      </c>
      <c r="H778" s="3">
        <v>45307</v>
      </c>
    </row>
    <row r="779" spans="1:8" x14ac:dyDescent="0.25">
      <c r="A779" t="s">
        <v>816</v>
      </c>
      <c r="B779">
        <v>23</v>
      </c>
      <c r="C779" t="s">
        <v>24</v>
      </c>
      <c r="D779" t="s">
        <v>19</v>
      </c>
      <c r="E779" t="s">
        <v>20</v>
      </c>
      <c r="F779" t="s">
        <v>21</v>
      </c>
      <c r="G779" t="s">
        <v>12</v>
      </c>
      <c r="H779" s="3">
        <v>45668</v>
      </c>
    </row>
    <row r="780" spans="1:8" x14ac:dyDescent="0.25">
      <c r="A780" t="s">
        <v>817</v>
      </c>
      <c r="B780">
        <v>63</v>
      </c>
      <c r="C780" t="s">
        <v>24</v>
      </c>
      <c r="D780" t="s">
        <v>19</v>
      </c>
      <c r="E780" t="s">
        <v>20</v>
      </c>
      <c r="F780" t="s">
        <v>21</v>
      </c>
      <c r="G780" t="s">
        <v>12</v>
      </c>
      <c r="H780" s="3">
        <v>45746</v>
      </c>
    </row>
    <row r="781" spans="1:8" x14ac:dyDescent="0.25">
      <c r="A781" t="s">
        <v>818</v>
      </c>
      <c r="B781">
        <v>61</v>
      </c>
      <c r="C781" t="s">
        <v>24</v>
      </c>
      <c r="D781" t="s">
        <v>25</v>
      </c>
      <c r="E781" t="s">
        <v>38</v>
      </c>
      <c r="F781" t="s">
        <v>39</v>
      </c>
      <c r="G781" t="s">
        <v>78</v>
      </c>
      <c r="H781" s="3">
        <v>45599</v>
      </c>
    </row>
    <row r="782" spans="1:8" x14ac:dyDescent="0.25">
      <c r="A782" t="s">
        <v>819</v>
      </c>
      <c r="B782">
        <v>60</v>
      </c>
      <c r="C782" t="s">
        <v>24</v>
      </c>
      <c r="D782" t="s">
        <v>25</v>
      </c>
      <c r="E782" t="s">
        <v>38</v>
      </c>
      <c r="F782" t="s">
        <v>39</v>
      </c>
      <c r="G782" t="s">
        <v>22</v>
      </c>
      <c r="H782" s="3">
        <v>45439</v>
      </c>
    </row>
    <row r="783" spans="1:8" x14ac:dyDescent="0.25">
      <c r="A783" t="s">
        <v>820</v>
      </c>
      <c r="B783">
        <v>62</v>
      </c>
      <c r="C783" t="s">
        <v>9</v>
      </c>
      <c r="D783" t="s">
        <v>25</v>
      </c>
      <c r="E783" t="s">
        <v>26</v>
      </c>
      <c r="F783" t="s">
        <v>27</v>
      </c>
      <c r="G783" t="s">
        <v>12</v>
      </c>
      <c r="H783" s="3">
        <v>45875</v>
      </c>
    </row>
    <row r="784" spans="1:8" x14ac:dyDescent="0.25">
      <c r="A784" t="s">
        <v>821</v>
      </c>
      <c r="B784">
        <v>38</v>
      </c>
      <c r="C784" t="s">
        <v>24</v>
      </c>
      <c r="D784" t="s">
        <v>10</v>
      </c>
      <c r="E784" t="s">
        <v>10</v>
      </c>
      <c r="F784" t="s">
        <v>47</v>
      </c>
      <c r="G784" t="s">
        <v>22</v>
      </c>
      <c r="H784" s="3">
        <v>46138</v>
      </c>
    </row>
    <row r="785" spans="1:8" x14ac:dyDescent="0.25">
      <c r="A785" t="s">
        <v>822</v>
      </c>
      <c r="B785">
        <v>40</v>
      </c>
      <c r="C785" t="s">
        <v>9</v>
      </c>
      <c r="D785" t="s">
        <v>10</v>
      </c>
      <c r="E785" t="s">
        <v>10</v>
      </c>
      <c r="F785" t="s">
        <v>11</v>
      </c>
      <c r="G785" t="s">
        <v>12</v>
      </c>
      <c r="H785" s="3">
        <v>45856</v>
      </c>
    </row>
    <row r="786" spans="1:8" x14ac:dyDescent="0.25">
      <c r="A786" t="s">
        <v>823</v>
      </c>
      <c r="B786">
        <v>60</v>
      </c>
      <c r="C786" t="s">
        <v>9</v>
      </c>
      <c r="D786" t="s">
        <v>10</v>
      </c>
      <c r="E786" t="s">
        <v>10</v>
      </c>
      <c r="F786" t="s">
        <v>47</v>
      </c>
      <c r="G786" t="s">
        <v>12</v>
      </c>
      <c r="H786" s="3">
        <v>45839</v>
      </c>
    </row>
    <row r="787" spans="1:8" x14ac:dyDescent="0.25">
      <c r="A787" t="s">
        <v>824</v>
      </c>
      <c r="B787">
        <v>33</v>
      </c>
      <c r="C787" t="s">
        <v>9</v>
      </c>
      <c r="D787" t="s">
        <v>33</v>
      </c>
      <c r="E787" t="s">
        <v>34</v>
      </c>
      <c r="F787" t="s">
        <v>35</v>
      </c>
      <c r="G787" t="s">
        <v>12</v>
      </c>
      <c r="H787" s="3">
        <v>45570</v>
      </c>
    </row>
    <row r="788" spans="1:8" x14ac:dyDescent="0.25">
      <c r="A788" t="s">
        <v>825</v>
      </c>
      <c r="B788">
        <v>64</v>
      </c>
      <c r="C788" t="s">
        <v>24</v>
      </c>
      <c r="D788" t="s">
        <v>25</v>
      </c>
      <c r="E788" t="s">
        <v>26</v>
      </c>
      <c r="F788" t="s">
        <v>27</v>
      </c>
      <c r="G788" t="s">
        <v>22</v>
      </c>
      <c r="H788" s="3">
        <v>45353</v>
      </c>
    </row>
    <row r="789" spans="1:8" x14ac:dyDescent="0.25">
      <c r="A789" t="s">
        <v>826</v>
      </c>
      <c r="B789">
        <v>32</v>
      </c>
      <c r="C789" t="s">
        <v>9</v>
      </c>
      <c r="D789" t="s">
        <v>10</v>
      </c>
      <c r="E789" t="s">
        <v>10</v>
      </c>
      <c r="F789" t="s">
        <v>11</v>
      </c>
      <c r="G789" t="s">
        <v>22</v>
      </c>
      <c r="H789" s="3">
        <v>45428</v>
      </c>
    </row>
    <row r="790" spans="1:8" x14ac:dyDescent="0.25">
      <c r="A790" t="s">
        <v>827</v>
      </c>
      <c r="B790">
        <v>42</v>
      </c>
      <c r="C790" t="s">
        <v>24</v>
      </c>
      <c r="D790" t="s">
        <v>10</v>
      </c>
      <c r="E790" t="s">
        <v>10</v>
      </c>
      <c r="F790" t="s">
        <v>53</v>
      </c>
      <c r="G790" t="s">
        <v>12</v>
      </c>
      <c r="H790" s="3">
        <v>45656</v>
      </c>
    </row>
    <row r="791" spans="1:8" x14ac:dyDescent="0.25">
      <c r="A791" t="s">
        <v>828</v>
      </c>
      <c r="B791">
        <v>53</v>
      </c>
      <c r="C791" t="s">
        <v>24</v>
      </c>
      <c r="D791" t="s">
        <v>14</v>
      </c>
      <c r="E791" t="s">
        <v>15</v>
      </c>
      <c r="F791" t="s">
        <v>16</v>
      </c>
      <c r="G791" t="s">
        <v>12</v>
      </c>
      <c r="H791" s="3">
        <v>44997</v>
      </c>
    </row>
    <row r="792" spans="1:8" x14ac:dyDescent="0.25">
      <c r="A792" t="s">
        <v>829</v>
      </c>
      <c r="B792">
        <v>28</v>
      </c>
      <c r="C792" t="s">
        <v>24</v>
      </c>
      <c r="D792" t="s">
        <v>10</v>
      </c>
      <c r="E792" t="s">
        <v>10</v>
      </c>
      <c r="F792" t="s">
        <v>29</v>
      </c>
      <c r="G792" t="s">
        <v>12</v>
      </c>
      <c r="H792" s="3">
        <v>45404</v>
      </c>
    </row>
    <row r="793" spans="1:8" x14ac:dyDescent="0.25">
      <c r="A793" t="s">
        <v>830</v>
      </c>
      <c r="B793">
        <v>32</v>
      </c>
      <c r="C793" t="s">
        <v>24</v>
      </c>
      <c r="D793" t="s">
        <v>25</v>
      </c>
      <c r="E793" t="s">
        <v>26</v>
      </c>
      <c r="F793" t="s">
        <v>27</v>
      </c>
      <c r="G793" t="s">
        <v>78</v>
      </c>
      <c r="H793" s="3">
        <v>46128</v>
      </c>
    </row>
    <row r="794" spans="1:8" x14ac:dyDescent="0.25">
      <c r="A794" t="s">
        <v>831</v>
      </c>
      <c r="B794">
        <v>21</v>
      </c>
      <c r="C794" t="s">
        <v>9</v>
      </c>
      <c r="D794" t="s">
        <v>25</v>
      </c>
      <c r="E794" t="s">
        <v>26</v>
      </c>
      <c r="F794" t="s">
        <v>27</v>
      </c>
      <c r="G794" t="s">
        <v>78</v>
      </c>
      <c r="H794" s="3">
        <v>45383</v>
      </c>
    </row>
    <row r="795" spans="1:8" x14ac:dyDescent="0.25">
      <c r="A795" t="s">
        <v>832</v>
      </c>
      <c r="B795">
        <v>38</v>
      </c>
      <c r="C795" t="s">
        <v>9</v>
      </c>
      <c r="D795" t="s">
        <v>25</v>
      </c>
      <c r="E795" t="s">
        <v>38</v>
      </c>
      <c r="F795" t="s">
        <v>39</v>
      </c>
      <c r="G795" t="s">
        <v>12</v>
      </c>
      <c r="H795" s="3">
        <v>45115</v>
      </c>
    </row>
    <row r="796" spans="1:8" x14ac:dyDescent="0.25">
      <c r="A796" t="s">
        <v>833</v>
      </c>
      <c r="B796">
        <v>30</v>
      </c>
      <c r="C796" t="s">
        <v>9</v>
      </c>
      <c r="D796" t="s">
        <v>10</v>
      </c>
      <c r="E796" t="s">
        <v>10</v>
      </c>
      <c r="F796" t="s">
        <v>29</v>
      </c>
      <c r="G796" t="s">
        <v>22</v>
      </c>
      <c r="H796" s="3">
        <v>45217</v>
      </c>
    </row>
    <row r="797" spans="1:8" x14ac:dyDescent="0.25">
      <c r="A797" t="s">
        <v>834</v>
      </c>
      <c r="B797">
        <v>39</v>
      </c>
      <c r="C797" t="s">
        <v>9</v>
      </c>
      <c r="D797" t="s">
        <v>33</v>
      </c>
      <c r="E797" t="s">
        <v>34</v>
      </c>
      <c r="F797" t="s">
        <v>35</v>
      </c>
      <c r="G797" t="s">
        <v>22</v>
      </c>
      <c r="H797" s="3">
        <v>45846</v>
      </c>
    </row>
    <row r="798" spans="1:8" x14ac:dyDescent="0.25">
      <c r="A798" t="s">
        <v>835</v>
      </c>
      <c r="B798">
        <v>36</v>
      </c>
      <c r="C798" t="s">
        <v>9</v>
      </c>
      <c r="D798" t="s">
        <v>14</v>
      </c>
      <c r="E798" t="s">
        <v>15</v>
      </c>
      <c r="F798" t="s">
        <v>16</v>
      </c>
      <c r="G798" t="s">
        <v>12</v>
      </c>
      <c r="H798" s="3">
        <v>45218</v>
      </c>
    </row>
    <row r="799" spans="1:8" x14ac:dyDescent="0.25">
      <c r="A799" t="s">
        <v>836</v>
      </c>
      <c r="B799">
        <v>51</v>
      </c>
      <c r="C799" t="s">
        <v>9</v>
      </c>
      <c r="D799" t="s">
        <v>25</v>
      </c>
      <c r="E799" t="s">
        <v>26</v>
      </c>
      <c r="F799" t="s">
        <v>27</v>
      </c>
      <c r="G799" t="s">
        <v>17</v>
      </c>
      <c r="H799" s="3">
        <v>45682</v>
      </c>
    </row>
    <row r="800" spans="1:8" x14ac:dyDescent="0.25">
      <c r="A800" t="s">
        <v>837</v>
      </c>
      <c r="B800">
        <v>31</v>
      </c>
      <c r="C800" t="s">
        <v>9</v>
      </c>
      <c r="D800" t="s">
        <v>25</v>
      </c>
      <c r="E800" t="s">
        <v>38</v>
      </c>
      <c r="F800" t="s">
        <v>39</v>
      </c>
      <c r="G800" t="s">
        <v>12</v>
      </c>
      <c r="H800" s="3">
        <v>45303</v>
      </c>
    </row>
    <row r="801" spans="1:8" x14ac:dyDescent="0.25">
      <c r="A801" t="s">
        <v>838</v>
      </c>
      <c r="B801">
        <v>21</v>
      </c>
      <c r="C801" t="s">
        <v>24</v>
      </c>
      <c r="D801" t="s">
        <v>33</v>
      </c>
      <c r="E801" t="s">
        <v>34</v>
      </c>
      <c r="F801" t="s">
        <v>35</v>
      </c>
      <c r="G801" t="s">
        <v>12</v>
      </c>
      <c r="H801" s="3">
        <v>46106</v>
      </c>
    </row>
    <row r="802" spans="1:8" x14ac:dyDescent="0.25">
      <c r="A802" t="s">
        <v>839</v>
      </c>
      <c r="B802">
        <v>65</v>
      </c>
      <c r="C802" t="s">
        <v>24</v>
      </c>
      <c r="D802" t="s">
        <v>25</v>
      </c>
      <c r="E802" t="s">
        <v>38</v>
      </c>
      <c r="F802" t="s">
        <v>39</v>
      </c>
      <c r="G802" t="s">
        <v>12</v>
      </c>
      <c r="H802" s="3">
        <v>45434</v>
      </c>
    </row>
    <row r="803" spans="1:8" x14ac:dyDescent="0.25">
      <c r="A803" t="s">
        <v>840</v>
      </c>
      <c r="B803">
        <v>63</v>
      </c>
      <c r="C803" t="s">
        <v>9</v>
      </c>
      <c r="D803" t="s">
        <v>10</v>
      </c>
      <c r="E803" t="s">
        <v>10</v>
      </c>
      <c r="F803" t="s">
        <v>29</v>
      </c>
      <c r="G803" t="s">
        <v>12</v>
      </c>
      <c r="H803" s="3">
        <v>45454</v>
      </c>
    </row>
    <row r="804" spans="1:8" x14ac:dyDescent="0.25">
      <c r="A804" t="s">
        <v>841</v>
      </c>
      <c r="B804">
        <v>44</v>
      </c>
      <c r="C804" t="s">
        <v>24</v>
      </c>
      <c r="D804" t="s">
        <v>25</v>
      </c>
      <c r="E804" t="s">
        <v>26</v>
      </c>
      <c r="F804" t="s">
        <v>27</v>
      </c>
      <c r="G804" t="s">
        <v>78</v>
      </c>
      <c r="H804" s="3">
        <v>45485</v>
      </c>
    </row>
    <row r="805" spans="1:8" x14ac:dyDescent="0.25">
      <c r="A805" t="s">
        <v>842</v>
      </c>
      <c r="B805">
        <v>46</v>
      </c>
      <c r="C805" t="s">
        <v>9</v>
      </c>
      <c r="D805" t="s">
        <v>25</v>
      </c>
      <c r="E805" t="s">
        <v>26</v>
      </c>
      <c r="F805" t="s">
        <v>27</v>
      </c>
      <c r="G805" t="s">
        <v>12</v>
      </c>
      <c r="H805" s="3">
        <v>46137</v>
      </c>
    </row>
    <row r="806" spans="1:8" x14ac:dyDescent="0.25">
      <c r="A806" t="s">
        <v>843</v>
      </c>
      <c r="B806">
        <v>64</v>
      </c>
      <c r="C806" t="s">
        <v>9</v>
      </c>
      <c r="D806" t="s">
        <v>10</v>
      </c>
      <c r="E806" t="s">
        <v>10</v>
      </c>
      <c r="F806" t="s">
        <v>53</v>
      </c>
      <c r="G806" t="s">
        <v>12</v>
      </c>
      <c r="H806" s="3">
        <v>45981</v>
      </c>
    </row>
    <row r="807" spans="1:8" x14ac:dyDescent="0.25">
      <c r="A807" t="s">
        <v>844</v>
      </c>
      <c r="B807">
        <v>45</v>
      </c>
      <c r="C807" t="s">
        <v>24</v>
      </c>
      <c r="D807" t="s">
        <v>19</v>
      </c>
      <c r="E807" t="s">
        <v>20</v>
      </c>
      <c r="F807" t="s">
        <v>21</v>
      </c>
      <c r="G807" t="s">
        <v>12</v>
      </c>
      <c r="H807" s="3">
        <v>45186</v>
      </c>
    </row>
    <row r="808" spans="1:8" x14ac:dyDescent="0.25">
      <c r="A808" t="s">
        <v>845</v>
      </c>
      <c r="B808">
        <v>52</v>
      </c>
      <c r="C808" t="s">
        <v>24</v>
      </c>
      <c r="D808" t="s">
        <v>14</v>
      </c>
      <c r="E808" t="s">
        <v>15</v>
      </c>
      <c r="F808" t="s">
        <v>16</v>
      </c>
      <c r="G808" t="s">
        <v>12</v>
      </c>
      <c r="H808" s="3">
        <v>45347</v>
      </c>
    </row>
    <row r="809" spans="1:8" x14ac:dyDescent="0.25">
      <c r="A809" t="s">
        <v>846</v>
      </c>
      <c r="B809">
        <v>25</v>
      </c>
      <c r="C809" t="s">
        <v>9</v>
      </c>
      <c r="D809" t="s">
        <v>33</v>
      </c>
      <c r="E809" t="s">
        <v>34</v>
      </c>
      <c r="F809" t="s">
        <v>35</v>
      </c>
      <c r="G809" t="s">
        <v>12</v>
      </c>
      <c r="H809" s="3">
        <v>45230</v>
      </c>
    </row>
    <row r="810" spans="1:8" x14ac:dyDescent="0.25">
      <c r="A810" t="s">
        <v>847</v>
      </c>
      <c r="B810">
        <v>33</v>
      </c>
      <c r="C810" t="s">
        <v>24</v>
      </c>
      <c r="D810" t="s">
        <v>10</v>
      </c>
      <c r="E810" t="s">
        <v>10</v>
      </c>
      <c r="F810" t="s">
        <v>53</v>
      </c>
      <c r="G810" t="s">
        <v>12</v>
      </c>
      <c r="H810" s="3">
        <v>45868</v>
      </c>
    </row>
    <row r="811" spans="1:8" x14ac:dyDescent="0.25">
      <c r="A811" t="s">
        <v>848</v>
      </c>
      <c r="B811">
        <v>59</v>
      </c>
      <c r="C811" t="s">
        <v>24</v>
      </c>
      <c r="D811" t="s">
        <v>10</v>
      </c>
      <c r="E811" t="s">
        <v>10</v>
      </c>
      <c r="F811" t="s">
        <v>29</v>
      </c>
      <c r="G811" t="s">
        <v>12</v>
      </c>
      <c r="H811" s="3">
        <v>45989</v>
      </c>
    </row>
    <row r="812" spans="1:8" x14ac:dyDescent="0.25">
      <c r="A812" t="s">
        <v>849</v>
      </c>
      <c r="B812">
        <v>53</v>
      </c>
      <c r="C812" t="s">
        <v>24</v>
      </c>
      <c r="D812" t="s">
        <v>14</v>
      </c>
      <c r="E812" t="s">
        <v>15</v>
      </c>
      <c r="F812" t="s">
        <v>16</v>
      </c>
      <c r="G812" t="s">
        <v>12</v>
      </c>
      <c r="H812" s="3">
        <v>45468</v>
      </c>
    </row>
    <row r="813" spans="1:8" x14ac:dyDescent="0.25">
      <c r="A813" t="s">
        <v>850</v>
      </c>
      <c r="B813">
        <v>47</v>
      </c>
      <c r="C813" t="s">
        <v>24</v>
      </c>
      <c r="D813" t="s">
        <v>43</v>
      </c>
      <c r="E813" t="s">
        <v>44</v>
      </c>
      <c r="F813" t="s">
        <v>45</v>
      </c>
      <c r="G813" t="s">
        <v>12</v>
      </c>
      <c r="H813" s="3">
        <v>46153</v>
      </c>
    </row>
    <row r="814" spans="1:8" x14ac:dyDescent="0.25">
      <c r="A814" t="s">
        <v>851</v>
      </c>
      <c r="B814">
        <v>35</v>
      </c>
      <c r="C814" t="s">
        <v>24</v>
      </c>
      <c r="D814" t="s">
        <v>10</v>
      </c>
      <c r="E814" t="s">
        <v>10</v>
      </c>
      <c r="F814" t="s">
        <v>29</v>
      </c>
      <c r="G814" t="s">
        <v>12</v>
      </c>
      <c r="H814" s="3">
        <v>46016</v>
      </c>
    </row>
    <row r="815" spans="1:8" x14ac:dyDescent="0.25">
      <c r="A815" t="s">
        <v>852</v>
      </c>
      <c r="B815">
        <v>19</v>
      </c>
      <c r="C815" t="s">
        <v>9</v>
      </c>
      <c r="D815" t="s">
        <v>33</v>
      </c>
      <c r="E815" t="s">
        <v>34</v>
      </c>
      <c r="F815" t="s">
        <v>35</v>
      </c>
      <c r="G815" t="s">
        <v>22</v>
      </c>
      <c r="H815" s="3">
        <v>45034</v>
      </c>
    </row>
    <row r="816" spans="1:8" x14ac:dyDescent="0.25">
      <c r="A816" t="s">
        <v>853</v>
      </c>
      <c r="B816">
        <v>30</v>
      </c>
      <c r="C816" t="s">
        <v>9</v>
      </c>
      <c r="D816" t="s">
        <v>33</v>
      </c>
      <c r="E816" t="s">
        <v>34</v>
      </c>
      <c r="F816" t="s">
        <v>35</v>
      </c>
      <c r="G816" t="s">
        <v>12</v>
      </c>
      <c r="H816" s="3">
        <v>45194</v>
      </c>
    </row>
    <row r="817" spans="1:8" x14ac:dyDescent="0.25">
      <c r="A817" t="s">
        <v>854</v>
      </c>
      <c r="B817">
        <v>21</v>
      </c>
      <c r="C817" t="s">
        <v>9</v>
      </c>
      <c r="D817" t="s">
        <v>25</v>
      </c>
      <c r="E817" t="s">
        <v>26</v>
      </c>
      <c r="F817" t="s">
        <v>27</v>
      </c>
      <c r="G817" t="s">
        <v>12</v>
      </c>
      <c r="H817" s="3">
        <v>45148</v>
      </c>
    </row>
    <row r="818" spans="1:8" x14ac:dyDescent="0.25">
      <c r="A818" t="s">
        <v>855</v>
      </c>
      <c r="B818">
        <v>43</v>
      </c>
      <c r="C818" t="s">
        <v>9</v>
      </c>
      <c r="D818" t="s">
        <v>25</v>
      </c>
      <c r="E818" t="s">
        <v>26</v>
      </c>
      <c r="F818" t="s">
        <v>27</v>
      </c>
      <c r="G818" t="s">
        <v>22</v>
      </c>
      <c r="H818" s="3">
        <v>46040</v>
      </c>
    </row>
    <row r="819" spans="1:8" x14ac:dyDescent="0.25">
      <c r="A819" t="s">
        <v>856</v>
      </c>
      <c r="B819">
        <v>42</v>
      </c>
      <c r="C819" t="s">
        <v>24</v>
      </c>
      <c r="D819" t="s">
        <v>10</v>
      </c>
      <c r="E819" t="s">
        <v>10</v>
      </c>
      <c r="F819" t="s">
        <v>11</v>
      </c>
      <c r="G819" t="s">
        <v>12</v>
      </c>
      <c r="H819" s="3">
        <v>45619</v>
      </c>
    </row>
    <row r="820" spans="1:8" x14ac:dyDescent="0.25">
      <c r="A820" t="s">
        <v>857</v>
      </c>
      <c r="B820">
        <v>47</v>
      </c>
      <c r="C820" t="s">
        <v>9</v>
      </c>
      <c r="D820" t="s">
        <v>10</v>
      </c>
      <c r="E820" t="s">
        <v>10</v>
      </c>
      <c r="F820" t="s">
        <v>29</v>
      </c>
      <c r="G820" t="s">
        <v>17</v>
      </c>
      <c r="H820" s="3">
        <v>45181</v>
      </c>
    </row>
    <row r="821" spans="1:8" x14ac:dyDescent="0.25">
      <c r="A821" t="s">
        <v>858</v>
      </c>
      <c r="B821">
        <v>28</v>
      </c>
      <c r="C821" t="s">
        <v>24</v>
      </c>
      <c r="D821" t="s">
        <v>10</v>
      </c>
      <c r="E821" t="s">
        <v>10</v>
      </c>
      <c r="F821" t="s">
        <v>11</v>
      </c>
      <c r="G821" t="s">
        <v>22</v>
      </c>
      <c r="H821" s="3">
        <v>45179</v>
      </c>
    </row>
    <row r="822" spans="1:8" x14ac:dyDescent="0.25">
      <c r="A822" t="s">
        <v>859</v>
      </c>
      <c r="B822">
        <v>24</v>
      </c>
      <c r="C822" t="s">
        <v>24</v>
      </c>
      <c r="D822" t="s">
        <v>43</v>
      </c>
      <c r="E822" t="s">
        <v>44</v>
      </c>
      <c r="F822" t="s">
        <v>45</v>
      </c>
      <c r="G822" t="s">
        <v>12</v>
      </c>
      <c r="H822" s="3">
        <v>45183</v>
      </c>
    </row>
    <row r="823" spans="1:8" x14ac:dyDescent="0.25">
      <c r="A823" t="s">
        <v>860</v>
      </c>
      <c r="B823">
        <v>48</v>
      </c>
      <c r="C823" t="s">
        <v>24</v>
      </c>
      <c r="D823" t="s">
        <v>10</v>
      </c>
      <c r="E823" t="s">
        <v>10</v>
      </c>
      <c r="F823" t="s">
        <v>29</v>
      </c>
      <c r="G823" t="s">
        <v>12</v>
      </c>
      <c r="H823" s="3">
        <v>45309</v>
      </c>
    </row>
    <row r="824" spans="1:8" x14ac:dyDescent="0.25">
      <c r="A824" t="s">
        <v>861</v>
      </c>
      <c r="B824">
        <v>61</v>
      </c>
      <c r="C824" t="s">
        <v>24</v>
      </c>
      <c r="D824" t="s">
        <v>10</v>
      </c>
      <c r="E824" t="s">
        <v>10</v>
      </c>
      <c r="F824" t="s">
        <v>11</v>
      </c>
      <c r="G824" t="s">
        <v>22</v>
      </c>
      <c r="H824" s="3">
        <v>45368</v>
      </c>
    </row>
    <row r="825" spans="1:8" x14ac:dyDescent="0.25">
      <c r="A825" t="s">
        <v>862</v>
      </c>
      <c r="B825">
        <v>27</v>
      </c>
      <c r="C825" t="s">
        <v>24</v>
      </c>
      <c r="D825" t="s">
        <v>10</v>
      </c>
      <c r="E825" t="s">
        <v>10</v>
      </c>
      <c r="F825" t="s">
        <v>11</v>
      </c>
      <c r="G825" t="s">
        <v>22</v>
      </c>
      <c r="H825" s="3">
        <v>45525</v>
      </c>
    </row>
    <row r="826" spans="1:8" x14ac:dyDescent="0.25">
      <c r="A826" t="s">
        <v>863</v>
      </c>
      <c r="B826">
        <v>56</v>
      </c>
      <c r="C826" t="s">
        <v>9</v>
      </c>
      <c r="D826" t="s">
        <v>25</v>
      </c>
      <c r="E826" t="s">
        <v>26</v>
      </c>
      <c r="F826" t="s">
        <v>27</v>
      </c>
      <c r="G826" t="s">
        <v>78</v>
      </c>
      <c r="H826" s="3">
        <v>46040</v>
      </c>
    </row>
    <row r="827" spans="1:8" x14ac:dyDescent="0.25">
      <c r="A827" t="s">
        <v>864</v>
      </c>
      <c r="B827">
        <v>30</v>
      </c>
      <c r="C827" t="s">
        <v>24</v>
      </c>
      <c r="D827" t="s">
        <v>33</v>
      </c>
      <c r="E827" t="s">
        <v>34</v>
      </c>
      <c r="F827" t="s">
        <v>35</v>
      </c>
      <c r="G827" t="s">
        <v>12</v>
      </c>
      <c r="H827" s="3">
        <v>45316</v>
      </c>
    </row>
    <row r="828" spans="1:8" x14ac:dyDescent="0.25">
      <c r="A828" t="s">
        <v>865</v>
      </c>
      <c r="B828">
        <v>48</v>
      </c>
      <c r="C828" t="s">
        <v>9</v>
      </c>
      <c r="D828" t="s">
        <v>10</v>
      </c>
      <c r="E828" t="s">
        <v>10</v>
      </c>
      <c r="F828" t="s">
        <v>11</v>
      </c>
      <c r="G828" t="s">
        <v>12</v>
      </c>
      <c r="H828" s="3">
        <v>45508</v>
      </c>
    </row>
    <row r="829" spans="1:8" x14ac:dyDescent="0.25">
      <c r="A829" t="s">
        <v>866</v>
      </c>
      <c r="B829">
        <v>24</v>
      </c>
      <c r="C829" t="s">
        <v>24</v>
      </c>
      <c r="D829" t="s">
        <v>10</v>
      </c>
      <c r="E829" t="s">
        <v>10</v>
      </c>
      <c r="F829" t="s">
        <v>11</v>
      </c>
      <c r="G829" t="s">
        <v>12</v>
      </c>
      <c r="H829" s="3">
        <v>45994</v>
      </c>
    </row>
    <row r="830" spans="1:8" x14ac:dyDescent="0.25">
      <c r="A830" t="s">
        <v>867</v>
      </c>
      <c r="B830">
        <v>59</v>
      </c>
      <c r="C830" t="s">
        <v>9</v>
      </c>
      <c r="D830" t="s">
        <v>19</v>
      </c>
      <c r="E830" t="s">
        <v>20</v>
      </c>
      <c r="F830" t="s">
        <v>21</v>
      </c>
      <c r="G830" t="s">
        <v>12</v>
      </c>
      <c r="H830" s="3">
        <v>45524</v>
      </c>
    </row>
    <row r="831" spans="1:8" x14ac:dyDescent="0.25">
      <c r="A831" t="s">
        <v>868</v>
      </c>
      <c r="B831">
        <v>59</v>
      </c>
      <c r="C831" t="s">
        <v>24</v>
      </c>
      <c r="D831" t="s">
        <v>10</v>
      </c>
      <c r="E831" t="s">
        <v>10</v>
      </c>
      <c r="F831" t="s">
        <v>53</v>
      </c>
      <c r="G831" t="s">
        <v>12</v>
      </c>
      <c r="H831" s="3">
        <v>44945</v>
      </c>
    </row>
    <row r="832" spans="1:8" x14ac:dyDescent="0.25">
      <c r="A832" t="s">
        <v>869</v>
      </c>
      <c r="B832">
        <v>53</v>
      </c>
      <c r="C832" t="s">
        <v>24</v>
      </c>
      <c r="D832" t="s">
        <v>10</v>
      </c>
      <c r="E832" t="s">
        <v>10</v>
      </c>
      <c r="F832" t="s">
        <v>47</v>
      </c>
      <c r="G832" t="s">
        <v>12</v>
      </c>
      <c r="H832" s="3">
        <v>46051</v>
      </c>
    </row>
    <row r="833" spans="1:8" x14ac:dyDescent="0.25">
      <c r="A833" t="s">
        <v>870</v>
      </c>
      <c r="B833">
        <v>37</v>
      </c>
      <c r="C833" t="s">
        <v>9</v>
      </c>
      <c r="D833" t="s">
        <v>10</v>
      </c>
      <c r="E833" t="s">
        <v>10</v>
      </c>
      <c r="F833" t="s">
        <v>53</v>
      </c>
      <c r="G833" t="s">
        <v>22</v>
      </c>
      <c r="H833" s="3">
        <v>45533</v>
      </c>
    </row>
    <row r="834" spans="1:8" x14ac:dyDescent="0.25">
      <c r="A834" t="s">
        <v>871</v>
      </c>
      <c r="B834">
        <v>21</v>
      </c>
      <c r="C834" t="s">
        <v>9</v>
      </c>
      <c r="D834" t="s">
        <v>10</v>
      </c>
      <c r="E834" t="s">
        <v>10</v>
      </c>
      <c r="F834" t="s">
        <v>29</v>
      </c>
      <c r="G834" t="s">
        <v>12</v>
      </c>
      <c r="H834" s="3">
        <v>44959</v>
      </c>
    </row>
    <row r="835" spans="1:8" x14ac:dyDescent="0.25">
      <c r="A835" t="s">
        <v>872</v>
      </c>
      <c r="B835">
        <v>24</v>
      </c>
      <c r="C835" t="s">
        <v>24</v>
      </c>
      <c r="D835" t="s">
        <v>10</v>
      </c>
      <c r="E835" t="s">
        <v>10</v>
      </c>
      <c r="F835" t="s">
        <v>47</v>
      </c>
      <c r="G835" t="s">
        <v>12</v>
      </c>
      <c r="H835" s="3">
        <v>46179</v>
      </c>
    </row>
    <row r="836" spans="1:8" x14ac:dyDescent="0.25">
      <c r="A836" t="s">
        <v>873</v>
      </c>
      <c r="B836">
        <v>18</v>
      </c>
      <c r="C836" t="s">
        <v>24</v>
      </c>
      <c r="D836" t="s">
        <v>10</v>
      </c>
      <c r="E836" t="s">
        <v>10</v>
      </c>
      <c r="F836" t="s">
        <v>53</v>
      </c>
      <c r="G836" t="s">
        <v>12</v>
      </c>
      <c r="H836" s="3">
        <v>45788</v>
      </c>
    </row>
    <row r="837" spans="1:8" x14ac:dyDescent="0.25">
      <c r="A837" t="s">
        <v>874</v>
      </c>
      <c r="B837">
        <v>61</v>
      </c>
      <c r="C837" t="s">
        <v>24</v>
      </c>
      <c r="D837" t="s">
        <v>10</v>
      </c>
      <c r="E837" t="s">
        <v>10</v>
      </c>
      <c r="F837" t="s">
        <v>53</v>
      </c>
      <c r="G837" t="s">
        <v>17</v>
      </c>
      <c r="H837" s="3">
        <v>45081</v>
      </c>
    </row>
    <row r="838" spans="1:8" x14ac:dyDescent="0.25">
      <c r="A838" t="s">
        <v>875</v>
      </c>
      <c r="B838">
        <v>62</v>
      </c>
      <c r="C838" t="s">
        <v>24</v>
      </c>
      <c r="D838" t="s">
        <v>33</v>
      </c>
      <c r="E838" t="s">
        <v>34</v>
      </c>
      <c r="F838" t="s">
        <v>35</v>
      </c>
      <c r="G838" t="s">
        <v>17</v>
      </c>
      <c r="H838" s="3">
        <v>45831</v>
      </c>
    </row>
    <row r="839" spans="1:8" x14ac:dyDescent="0.25">
      <c r="A839" t="s">
        <v>876</v>
      </c>
      <c r="B839">
        <v>59</v>
      </c>
      <c r="C839" t="s">
        <v>9</v>
      </c>
      <c r="D839" t="s">
        <v>10</v>
      </c>
      <c r="E839" t="s">
        <v>10</v>
      </c>
      <c r="F839" t="s">
        <v>11</v>
      </c>
      <c r="G839" t="s">
        <v>12</v>
      </c>
      <c r="H839" s="3">
        <v>46196</v>
      </c>
    </row>
    <row r="840" spans="1:8" x14ac:dyDescent="0.25">
      <c r="A840" t="s">
        <v>877</v>
      </c>
      <c r="B840">
        <v>64</v>
      </c>
      <c r="C840" t="s">
        <v>9</v>
      </c>
      <c r="D840" t="s">
        <v>25</v>
      </c>
      <c r="E840" t="s">
        <v>26</v>
      </c>
      <c r="F840" t="s">
        <v>27</v>
      </c>
      <c r="G840" t="s">
        <v>17</v>
      </c>
      <c r="H840" s="3">
        <v>45331</v>
      </c>
    </row>
    <row r="841" spans="1:8" x14ac:dyDescent="0.25">
      <c r="A841" t="s">
        <v>878</v>
      </c>
      <c r="B841">
        <v>30</v>
      </c>
      <c r="C841" t="s">
        <v>9</v>
      </c>
      <c r="D841" t="s">
        <v>25</v>
      </c>
      <c r="E841" t="s">
        <v>38</v>
      </c>
      <c r="F841" t="s">
        <v>39</v>
      </c>
      <c r="G841" t="s">
        <v>12</v>
      </c>
      <c r="H841" s="3">
        <v>45770</v>
      </c>
    </row>
    <row r="842" spans="1:8" x14ac:dyDescent="0.25">
      <c r="A842" t="s">
        <v>879</v>
      </c>
      <c r="B842">
        <v>39</v>
      </c>
      <c r="C842" t="s">
        <v>24</v>
      </c>
      <c r="D842" t="s">
        <v>10</v>
      </c>
      <c r="E842" t="s">
        <v>10</v>
      </c>
      <c r="F842" t="s">
        <v>29</v>
      </c>
      <c r="G842" t="s">
        <v>22</v>
      </c>
      <c r="H842" s="3">
        <v>46111</v>
      </c>
    </row>
    <row r="843" spans="1:8" x14ac:dyDescent="0.25">
      <c r="A843" t="s">
        <v>880</v>
      </c>
      <c r="B843">
        <v>38</v>
      </c>
      <c r="C843" t="s">
        <v>9</v>
      </c>
      <c r="D843" t="s">
        <v>25</v>
      </c>
      <c r="E843" t="s">
        <v>38</v>
      </c>
      <c r="F843" t="s">
        <v>39</v>
      </c>
      <c r="G843" t="s">
        <v>22</v>
      </c>
      <c r="H843" s="3">
        <v>45673</v>
      </c>
    </row>
    <row r="844" spans="1:8" x14ac:dyDescent="0.25">
      <c r="A844" t="s">
        <v>881</v>
      </c>
      <c r="B844">
        <v>39</v>
      </c>
      <c r="C844" t="s">
        <v>24</v>
      </c>
      <c r="D844" t="s">
        <v>10</v>
      </c>
      <c r="E844" t="s">
        <v>10</v>
      </c>
      <c r="F844" t="s">
        <v>47</v>
      </c>
      <c r="G844" t="s">
        <v>12</v>
      </c>
      <c r="H844" s="3">
        <v>46067</v>
      </c>
    </row>
    <row r="845" spans="1:8" x14ac:dyDescent="0.25">
      <c r="A845" t="s">
        <v>882</v>
      </c>
      <c r="B845">
        <v>45</v>
      </c>
      <c r="C845" t="s">
        <v>24</v>
      </c>
      <c r="D845" t="s">
        <v>14</v>
      </c>
      <c r="E845" t="s">
        <v>15</v>
      </c>
      <c r="F845" t="s">
        <v>16</v>
      </c>
      <c r="G845" t="s">
        <v>12</v>
      </c>
      <c r="H845" s="3">
        <v>45197</v>
      </c>
    </row>
    <row r="846" spans="1:8" x14ac:dyDescent="0.25">
      <c r="A846" t="s">
        <v>883</v>
      </c>
      <c r="B846">
        <v>26</v>
      </c>
      <c r="C846" t="s">
        <v>24</v>
      </c>
      <c r="D846" t="s">
        <v>10</v>
      </c>
      <c r="E846" t="s">
        <v>10</v>
      </c>
      <c r="F846" t="s">
        <v>29</v>
      </c>
      <c r="G846" t="s">
        <v>22</v>
      </c>
      <c r="H846" s="3">
        <v>45696</v>
      </c>
    </row>
    <row r="847" spans="1:8" x14ac:dyDescent="0.25">
      <c r="A847" t="s">
        <v>884</v>
      </c>
      <c r="B847">
        <v>43</v>
      </c>
      <c r="C847" t="s">
        <v>24</v>
      </c>
      <c r="D847" t="s">
        <v>10</v>
      </c>
      <c r="E847" t="s">
        <v>10</v>
      </c>
      <c r="F847" t="s">
        <v>53</v>
      </c>
      <c r="G847" t="s">
        <v>22</v>
      </c>
      <c r="H847" s="3">
        <v>45098</v>
      </c>
    </row>
    <row r="848" spans="1:8" x14ac:dyDescent="0.25">
      <c r="A848" t="s">
        <v>885</v>
      </c>
      <c r="B848">
        <v>26</v>
      </c>
      <c r="C848" t="s">
        <v>24</v>
      </c>
      <c r="D848" t="s">
        <v>10</v>
      </c>
      <c r="E848" t="s">
        <v>10</v>
      </c>
      <c r="F848" t="s">
        <v>29</v>
      </c>
      <c r="G848" t="s">
        <v>12</v>
      </c>
      <c r="H848" s="3">
        <v>45200</v>
      </c>
    </row>
    <row r="849" spans="1:8" x14ac:dyDescent="0.25">
      <c r="A849" t="s">
        <v>886</v>
      </c>
      <c r="B849">
        <v>32</v>
      </c>
      <c r="C849" t="s">
        <v>9</v>
      </c>
      <c r="D849" t="s">
        <v>14</v>
      </c>
      <c r="E849" t="s">
        <v>15</v>
      </c>
      <c r="F849" t="s">
        <v>16</v>
      </c>
      <c r="G849" t="s">
        <v>22</v>
      </c>
      <c r="H849" s="3">
        <v>45185</v>
      </c>
    </row>
    <row r="850" spans="1:8" x14ac:dyDescent="0.25">
      <c r="A850" t="s">
        <v>887</v>
      </c>
      <c r="B850">
        <v>27</v>
      </c>
      <c r="C850" t="s">
        <v>24</v>
      </c>
      <c r="D850" t="s">
        <v>25</v>
      </c>
      <c r="E850" t="s">
        <v>26</v>
      </c>
      <c r="F850" t="s">
        <v>27</v>
      </c>
      <c r="G850" t="s">
        <v>12</v>
      </c>
      <c r="H850" s="3">
        <v>46085</v>
      </c>
    </row>
    <row r="851" spans="1:8" x14ac:dyDescent="0.25">
      <c r="A851" t="s">
        <v>888</v>
      </c>
      <c r="B851">
        <v>41</v>
      </c>
      <c r="C851" t="s">
        <v>24</v>
      </c>
      <c r="D851" t="s">
        <v>25</v>
      </c>
      <c r="E851" t="s">
        <v>26</v>
      </c>
      <c r="F851" t="s">
        <v>27</v>
      </c>
      <c r="G851" t="s">
        <v>22</v>
      </c>
      <c r="H851" s="3">
        <v>45348</v>
      </c>
    </row>
    <row r="852" spans="1:8" x14ac:dyDescent="0.25">
      <c r="A852" t="s">
        <v>889</v>
      </c>
      <c r="B852">
        <v>59</v>
      </c>
      <c r="C852" t="s">
        <v>24</v>
      </c>
      <c r="D852" t="s">
        <v>10</v>
      </c>
      <c r="E852" t="s">
        <v>10</v>
      </c>
      <c r="F852" t="s">
        <v>29</v>
      </c>
      <c r="G852" t="s">
        <v>78</v>
      </c>
      <c r="H852" s="3">
        <v>46136</v>
      </c>
    </row>
    <row r="853" spans="1:8" x14ac:dyDescent="0.25">
      <c r="A853" t="s">
        <v>890</v>
      </c>
      <c r="B853">
        <v>25</v>
      </c>
      <c r="C853" t="s">
        <v>24</v>
      </c>
      <c r="D853" t="s">
        <v>19</v>
      </c>
      <c r="E853" t="s">
        <v>20</v>
      </c>
      <c r="F853" t="s">
        <v>21</v>
      </c>
      <c r="G853" t="s">
        <v>17</v>
      </c>
      <c r="H853" s="3">
        <v>45290</v>
      </c>
    </row>
    <row r="854" spans="1:8" x14ac:dyDescent="0.25">
      <c r="A854" t="s">
        <v>891</v>
      </c>
      <c r="B854">
        <v>41</v>
      </c>
      <c r="C854" t="s">
        <v>9</v>
      </c>
      <c r="D854" t="s">
        <v>10</v>
      </c>
      <c r="E854" t="s">
        <v>10</v>
      </c>
      <c r="F854" t="s">
        <v>47</v>
      </c>
      <c r="G854" t="s">
        <v>22</v>
      </c>
      <c r="H854" s="3">
        <v>45304</v>
      </c>
    </row>
    <row r="855" spans="1:8" x14ac:dyDescent="0.25">
      <c r="A855" t="s">
        <v>892</v>
      </c>
      <c r="B855">
        <v>33</v>
      </c>
      <c r="C855" t="s">
        <v>9</v>
      </c>
      <c r="D855" t="s">
        <v>33</v>
      </c>
      <c r="E855" t="s">
        <v>34</v>
      </c>
      <c r="F855" t="s">
        <v>35</v>
      </c>
      <c r="G855" t="s">
        <v>12</v>
      </c>
      <c r="H855" s="3">
        <v>45506</v>
      </c>
    </row>
    <row r="856" spans="1:8" x14ac:dyDescent="0.25">
      <c r="A856" t="s">
        <v>893</v>
      </c>
      <c r="B856">
        <v>43</v>
      </c>
      <c r="C856" t="s">
        <v>24</v>
      </c>
      <c r="D856" t="s">
        <v>10</v>
      </c>
      <c r="E856" t="s">
        <v>10</v>
      </c>
      <c r="F856" t="s">
        <v>47</v>
      </c>
      <c r="G856" t="s">
        <v>78</v>
      </c>
      <c r="H856" s="3">
        <v>45817</v>
      </c>
    </row>
    <row r="857" spans="1:8" x14ac:dyDescent="0.25">
      <c r="A857" t="s">
        <v>894</v>
      </c>
      <c r="B857">
        <v>44</v>
      </c>
      <c r="C857" t="s">
        <v>9</v>
      </c>
      <c r="D857" t="s">
        <v>10</v>
      </c>
      <c r="E857" t="s">
        <v>10</v>
      </c>
      <c r="F857" t="s">
        <v>47</v>
      </c>
      <c r="G857" t="s">
        <v>12</v>
      </c>
      <c r="H857" s="3">
        <v>45648</v>
      </c>
    </row>
    <row r="858" spans="1:8" x14ac:dyDescent="0.25">
      <c r="A858" t="s">
        <v>895</v>
      </c>
      <c r="B858">
        <v>54</v>
      </c>
      <c r="C858" t="s">
        <v>24</v>
      </c>
      <c r="D858" t="s">
        <v>10</v>
      </c>
      <c r="E858" t="s">
        <v>10</v>
      </c>
      <c r="F858" t="s">
        <v>29</v>
      </c>
      <c r="G858" t="s">
        <v>22</v>
      </c>
      <c r="H858" s="3">
        <v>46146</v>
      </c>
    </row>
    <row r="859" spans="1:8" x14ac:dyDescent="0.25">
      <c r="A859" t="s">
        <v>896</v>
      </c>
      <c r="B859">
        <v>21</v>
      </c>
      <c r="C859" t="s">
        <v>24</v>
      </c>
      <c r="D859" t="s">
        <v>10</v>
      </c>
      <c r="E859" t="s">
        <v>10</v>
      </c>
      <c r="F859" t="s">
        <v>53</v>
      </c>
      <c r="G859" t="s">
        <v>17</v>
      </c>
      <c r="H859" s="3">
        <v>45807</v>
      </c>
    </row>
    <row r="860" spans="1:8" x14ac:dyDescent="0.25">
      <c r="A860" t="s">
        <v>897</v>
      </c>
      <c r="B860">
        <v>41</v>
      </c>
      <c r="C860" t="s">
        <v>9</v>
      </c>
      <c r="D860" t="s">
        <v>25</v>
      </c>
      <c r="E860" t="s">
        <v>26</v>
      </c>
      <c r="F860" t="s">
        <v>27</v>
      </c>
      <c r="G860" t="s">
        <v>12</v>
      </c>
      <c r="H860" s="3">
        <v>46048</v>
      </c>
    </row>
    <row r="861" spans="1:8" x14ac:dyDescent="0.25">
      <c r="A861" t="s">
        <v>898</v>
      </c>
      <c r="B861">
        <v>36</v>
      </c>
      <c r="C861" t="s">
        <v>24</v>
      </c>
      <c r="D861" t="s">
        <v>10</v>
      </c>
      <c r="E861" t="s">
        <v>10</v>
      </c>
      <c r="F861" t="s">
        <v>29</v>
      </c>
      <c r="G861" t="s">
        <v>17</v>
      </c>
      <c r="H861" s="3">
        <v>45531</v>
      </c>
    </row>
    <row r="862" spans="1:8" x14ac:dyDescent="0.25">
      <c r="A862" t="s">
        <v>899</v>
      </c>
      <c r="B862">
        <v>53</v>
      </c>
      <c r="C862" t="s">
        <v>9</v>
      </c>
      <c r="D862" t="s">
        <v>19</v>
      </c>
      <c r="E862" t="s">
        <v>20</v>
      </c>
      <c r="F862" t="s">
        <v>21</v>
      </c>
      <c r="G862" t="s">
        <v>78</v>
      </c>
      <c r="H862" s="3">
        <v>44948</v>
      </c>
    </row>
    <row r="863" spans="1:8" x14ac:dyDescent="0.25">
      <c r="A863" t="s">
        <v>900</v>
      </c>
      <c r="B863">
        <v>56</v>
      </c>
      <c r="C863" t="s">
        <v>24</v>
      </c>
      <c r="D863" t="s">
        <v>10</v>
      </c>
      <c r="E863" t="s">
        <v>10</v>
      </c>
      <c r="F863" t="s">
        <v>53</v>
      </c>
      <c r="G863" t="s">
        <v>22</v>
      </c>
      <c r="H863" s="3">
        <v>46122</v>
      </c>
    </row>
    <row r="864" spans="1:8" x14ac:dyDescent="0.25">
      <c r="A864" t="s">
        <v>901</v>
      </c>
      <c r="B864">
        <v>27</v>
      </c>
      <c r="C864" t="s">
        <v>24</v>
      </c>
      <c r="D864" t="s">
        <v>25</v>
      </c>
      <c r="E864" t="s">
        <v>26</v>
      </c>
      <c r="F864" t="s">
        <v>27</v>
      </c>
      <c r="G864" t="s">
        <v>22</v>
      </c>
      <c r="H864" s="3">
        <v>45309</v>
      </c>
    </row>
    <row r="865" spans="1:8" x14ac:dyDescent="0.25">
      <c r="A865" t="s">
        <v>902</v>
      </c>
      <c r="B865">
        <v>42</v>
      </c>
      <c r="C865" t="s">
        <v>24</v>
      </c>
      <c r="D865" t="s">
        <v>10</v>
      </c>
      <c r="E865" t="s">
        <v>10</v>
      </c>
      <c r="F865" t="s">
        <v>53</v>
      </c>
      <c r="G865" t="s">
        <v>22</v>
      </c>
      <c r="H865" s="3">
        <v>45060</v>
      </c>
    </row>
    <row r="866" spans="1:8" x14ac:dyDescent="0.25">
      <c r="A866" t="s">
        <v>903</v>
      </c>
      <c r="B866">
        <v>35</v>
      </c>
      <c r="C866" t="s">
        <v>9</v>
      </c>
      <c r="D866" t="s">
        <v>10</v>
      </c>
      <c r="E866" t="s">
        <v>10</v>
      </c>
      <c r="F866" t="s">
        <v>11</v>
      </c>
      <c r="G866" t="s">
        <v>17</v>
      </c>
      <c r="H866" s="3">
        <v>45975</v>
      </c>
    </row>
    <row r="867" spans="1:8" x14ac:dyDescent="0.25">
      <c r="A867" t="s">
        <v>904</v>
      </c>
      <c r="B867">
        <v>36</v>
      </c>
      <c r="C867" t="s">
        <v>9</v>
      </c>
      <c r="D867" t="s">
        <v>25</v>
      </c>
      <c r="E867" t="s">
        <v>26</v>
      </c>
      <c r="F867" t="s">
        <v>27</v>
      </c>
      <c r="G867" t="s">
        <v>12</v>
      </c>
      <c r="H867" s="3">
        <v>45429</v>
      </c>
    </row>
    <row r="868" spans="1:8" x14ac:dyDescent="0.25">
      <c r="A868" t="s">
        <v>905</v>
      </c>
      <c r="B868">
        <v>53</v>
      </c>
      <c r="C868" t="s">
        <v>24</v>
      </c>
      <c r="D868" t="s">
        <v>10</v>
      </c>
      <c r="E868" t="s">
        <v>10</v>
      </c>
      <c r="F868" t="s">
        <v>29</v>
      </c>
      <c r="G868" t="s">
        <v>17</v>
      </c>
      <c r="H868" s="3">
        <v>46135</v>
      </c>
    </row>
    <row r="869" spans="1:8" x14ac:dyDescent="0.25">
      <c r="A869" t="s">
        <v>906</v>
      </c>
      <c r="B869">
        <v>27</v>
      </c>
      <c r="C869" t="s">
        <v>24</v>
      </c>
      <c r="D869" t="s">
        <v>10</v>
      </c>
      <c r="E869" t="s">
        <v>10</v>
      </c>
      <c r="F869" t="s">
        <v>47</v>
      </c>
      <c r="G869" t="s">
        <v>12</v>
      </c>
      <c r="H869" s="3">
        <v>46035</v>
      </c>
    </row>
    <row r="870" spans="1:8" x14ac:dyDescent="0.25">
      <c r="A870" t="s">
        <v>907</v>
      </c>
      <c r="B870">
        <v>50</v>
      </c>
      <c r="C870" t="s">
        <v>24</v>
      </c>
      <c r="D870" t="s">
        <v>33</v>
      </c>
      <c r="E870" t="s">
        <v>34</v>
      </c>
      <c r="F870" t="s">
        <v>35</v>
      </c>
      <c r="G870" t="s">
        <v>12</v>
      </c>
      <c r="H870" s="3">
        <v>45070</v>
      </c>
    </row>
    <row r="871" spans="1:8" x14ac:dyDescent="0.25">
      <c r="A871" t="s">
        <v>908</v>
      </c>
      <c r="B871">
        <v>22</v>
      </c>
      <c r="C871" t="s">
        <v>9</v>
      </c>
      <c r="D871" t="s">
        <v>14</v>
      </c>
      <c r="E871" t="s">
        <v>15</v>
      </c>
      <c r="F871" t="s">
        <v>16</v>
      </c>
      <c r="G871" t="s">
        <v>12</v>
      </c>
      <c r="H871" s="3">
        <v>45150</v>
      </c>
    </row>
    <row r="872" spans="1:8" x14ac:dyDescent="0.25">
      <c r="A872" t="s">
        <v>909</v>
      </c>
      <c r="B872">
        <v>64</v>
      </c>
      <c r="C872" t="s">
        <v>9</v>
      </c>
      <c r="D872" t="s">
        <v>10</v>
      </c>
      <c r="E872" t="s">
        <v>10</v>
      </c>
      <c r="F872" t="s">
        <v>11</v>
      </c>
      <c r="G872" t="s">
        <v>12</v>
      </c>
      <c r="H872" s="3">
        <v>45146</v>
      </c>
    </row>
    <row r="873" spans="1:8" x14ac:dyDescent="0.25">
      <c r="A873" t="s">
        <v>910</v>
      </c>
      <c r="B873">
        <v>52</v>
      </c>
      <c r="C873" t="s">
        <v>9</v>
      </c>
      <c r="D873" t="s">
        <v>10</v>
      </c>
      <c r="E873" t="s">
        <v>10</v>
      </c>
      <c r="F873" t="s">
        <v>47</v>
      </c>
      <c r="G873" t="s">
        <v>17</v>
      </c>
      <c r="H873" s="3">
        <v>45105</v>
      </c>
    </row>
    <row r="874" spans="1:8" x14ac:dyDescent="0.25">
      <c r="A874" t="s">
        <v>911</v>
      </c>
      <c r="B874">
        <v>61</v>
      </c>
      <c r="C874" t="s">
        <v>24</v>
      </c>
      <c r="D874" t="s">
        <v>25</v>
      </c>
      <c r="E874" t="s">
        <v>38</v>
      </c>
      <c r="F874" t="s">
        <v>39</v>
      </c>
      <c r="G874" t="s">
        <v>12</v>
      </c>
      <c r="H874" s="3">
        <v>45359</v>
      </c>
    </row>
    <row r="875" spans="1:8" x14ac:dyDescent="0.25">
      <c r="A875" t="s">
        <v>912</v>
      </c>
      <c r="B875">
        <v>51</v>
      </c>
      <c r="C875" t="s">
        <v>9</v>
      </c>
      <c r="D875" t="s">
        <v>10</v>
      </c>
      <c r="E875" t="s">
        <v>10</v>
      </c>
      <c r="F875" t="s">
        <v>11</v>
      </c>
      <c r="G875" t="s">
        <v>12</v>
      </c>
      <c r="H875" s="3">
        <v>45191</v>
      </c>
    </row>
    <row r="876" spans="1:8" x14ac:dyDescent="0.25">
      <c r="A876" t="s">
        <v>913</v>
      </c>
      <c r="B876">
        <v>50</v>
      </c>
      <c r="C876" t="s">
        <v>9</v>
      </c>
      <c r="D876" t="s">
        <v>10</v>
      </c>
      <c r="E876" t="s">
        <v>10</v>
      </c>
      <c r="F876" t="s">
        <v>29</v>
      </c>
      <c r="G876" t="s">
        <v>78</v>
      </c>
      <c r="H876" s="3">
        <v>45880</v>
      </c>
    </row>
    <row r="877" spans="1:8" x14ac:dyDescent="0.25">
      <c r="A877" t="s">
        <v>914</v>
      </c>
      <c r="B877">
        <v>38</v>
      </c>
      <c r="C877" t="s">
        <v>24</v>
      </c>
      <c r="D877" t="s">
        <v>10</v>
      </c>
      <c r="E877" t="s">
        <v>10</v>
      </c>
      <c r="F877" t="s">
        <v>29</v>
      </c>
      <c r="G877" t="s">
        <v>22</v>
      </c>
      <c r="H877" s="3">
        <v>45355</v>
      </c>
    </row>
    <row r="878" spans="1:8" x14ac:dyDescent="0.25">
      <c r="A878" t="s">
        <v>915</v>
      </c>
      <c r="B878">
        <v>34</v>
      </c>
      <c r="C878" t="s">
        <v>9</v>
      </c>
      <c r="D878" t="s">
        <v>19</v>
      </c>
      <c r="E878" t="s">
        <v>20</v>
      </c>
      <c r="F878" t="s">
        <v>21</v>
      </c>
      <c r="G878" t="s">
        <v>78</v>
      </c>
      <c r="H878" s="3">
        <v>45342</v>
      </c>
    </row>
    <row r="879" spans="1:8" x14ac:dyDescent="0.25">
      <c r="A879" t="s">
        <v>916</v>
      </c>
      <c r="B879">
        <v>39</v>
      </c>
      <c r="C879" t="s">
        <v>24</v>
      </c>
      <c r="D879" t="s">
        <v>25</v>
      </c>
      <c r="E879" t="s">
        <v>38</v>
      </c>
      <c r="F879" t="s">
        <v>39</v>
      </c>
      <c r="G879" t="s">
        <v>12</v>
      </c>
      <c r="H879" s="3">
        <v>45653</v>
      </c>
    </row>
    <row r="880" spans="1:8" x14ac:dyDescent="0.25">
      <c r="A880" t="s">
        <v>917</v>
      </c>
      <c r="B880">
        <v>65</v>
      </c>
      <c r="C880" t="s">
        <v>24</v>
      </c>
      <c r="D880" t="s">
        <v>10</v>
      </c>
      <c r="E880" t="s">
        <v>10</v>
      </c>
      <c r="F880" t="s">
        <v>29</v>
      </c>
      <c r="G880" t="s">
        <v>12</v>
      </c>
      <c r="H880" s="3">
        <v>45123</v>
      </c>
    </row>
    <row r="881" spans="1:8" x14ac:dyDescent="0.25">
      <c r="A881" t="s">
        <v>918</v>
      </c>
      <c r="B881">
        <v>54</v>
      </c>
      <c r="C881" t="s">
        <v>24</v>
      </c>
      <c r="D881" t="s">
        <v>10</v>
      </c>
      <c r="E881" t="s">
        <v>10</v>
      </c>
      <c r="F881" t="s">
        <v>47</v>
      </c>
      <c r="G881" t="s">
        <v>22</v>
      </c>
      <c r="H881" s="3">
        <v>46003</v>
      </c>
    </row>
    <row r="882" spans="1:8" x14ac:dyDescent="0.25">
      <c r="A882" t="s">
        <v>919</v>
      </c>
      <c r="B882">
        <v>32</v>
      </c>
      <c r="C882" t="s">
        <v>9</v>
      </c>
      <c r="D882" t="s">
        <v>10</v>
      </c>
      <c r="E882" t="s">
        <v>10</v>
      </c>
      <c r="F882" t="s">
        <v>47</v>
      </c>
      <c r="G882" t="s">
        <v>12</v>
      </c>
      <c r="H882" s="3">
        <v>45406</v>
      </c>
    </row>
    <row r="883" spans="1:8" x14ac:dyDescent="0.25">
      <c r="A883" t="s">
        <v>920</v>
      </c>
      <c r="B883">
        <v>52</v>
      </c>
      <c r="C883" t="s">
        <v>9</v>
      </c>
      <c r="D883" t="s">
        <v>25</v>
      </c>
      <c r="E883" t="s">
        <v>38</v>
      </c>
      <c r="F883" t="s">
        <v>39</v>
      </c>
      <c r="G883" t="s">
        <v>12</v>
      </c>
      <c r="H883" s="3">
        <v>46201</v>
      </c>
    </row>
    <row r="884" spans="1:8" x14ac:dyDescent="0.25">
      <c r="A884" t="s">
        <v>921</v>
      </c>
      <c r="B884">
        <v>45</v>
      </c>
      <c r="C884" t="s">
        <v>24</v>
      </c>
      <c r="D884" t="s">
        <v>10</v>
      </c>
      <c r="E884" t="s">
        <v>10</v>
      </c>
      <c r="F884" t="s">
        <v>29</v>
      </c>
      <c r="G884" t="s">
        <v>12</v>
      </c>
      <c r="H884" s="3">
        <v>45816</v>
      </c>
    </row>
    <row r="885" spans="1:8" x14ac:dyDescent="0.25">
      <c r="A885" t="s">
        <v>922</v>
      </c>
      <c r="B885">
        <v>24</v>
      </c>
      <c r="C885" t="s">
        <v>24</v>
      </c>
      <c r="D885" t="s">
        <v>10</v>
      </c>
      <c r="E885" t="s">
        <v>10</v>
      </c>
      <c r="F885" t="s">
        <v>29</v>
      </c>
      <c r="G885" t="s">
        <v>12</v>
      </c>
      <c r="H885" s="3">
        <v>45851</v>
      </c>
    </row>
    <row r="886" spans="1:8" x14ac:dyDescent="0.25">
      <c r="A886" t="s">
        <v>923</v>
      </c>
      <c r="B886">
        <v>49</v>
      </c>
      <c r="C886" t="s">
        <v>24</v>
      </c>
      <c r="D886" t="s">
        <v>43</v>
      </c>
      <c r="E886" t="s">
        <v>44</v>
      </c>
      <c r="F886" t="s">
        <v>45</v>
      </c>
      <c r="G886" t="s">
        <v>12</v>
      </c>
      <c r="H886" s="3">
        <v>45049</v>
      </c>
    </row>
    <row r="887" spans="1:8" x14ac:dyDescent="0.25">
      <c r="A887" t="s">
        <v>924</v>
      </c>
      <c r="B887">
        <v>28</v>
      </c>
      <c r="C887" t="s">
        <v>9</v>
      </c>
      <c r="D887" t="s">
        <v>10</v>
      </c>
      <c r="E887" t="s">
        <v>10</v>
      </c>
      <c r="F887" t="s">
        <v>47</v>
      </c>
      <c r="G887" t="s">
        <v>12</v>
      </c>
      <c r="H887" s="3">
        <v>45704</v>
      </c>
    </row>
    <row r="888" spans="1:8" x14ac:dyDescent="0.25">
      <c r="A888" t="s">
        <v>925</v>
      </c>
      <c r="B888">
        <v>27</v>
      </c>
      <c r="C888" t="s">
        <v>24</v>
      </c>
      <c r="D888" t="s">
        <v>25</v>
      </c>
      <c r="E888" t="s">
        <v>38</v>
      </c>
      <c r="F888" t="s">
        <v>39</v>
      </c>
      <c r="G888" t="s">
        <v>12</v>
      </c>
      <c r="H888" s="3">
        <v>45274</v>
      </c>
    </row>
    <row r="889" spans="1:8" x14ac:dyDescent="0.25">
      <c r="A889" t="s">
        <v>926</v>
      </c>
      <c r="B889">
        <v>26</v>
      </c>
      <c r="C889" t="s">
        <v>24</v>
      </c>
      <c r="D889" t="s">
        <v>10</v>
      </c>
      <c r="E889" t="s">
        <v>10</v>
      </c>
      <c r="F889" t="s">
        <v>47</v>
      </c>
      <c r="G889" t="s">
        <v>17</v>
      </c>
      <c r="H889" s="3">
        <v>44955</v>
      </c>
    </row>
    <row r="890" spans="1:8" x14ac:dyDescent="0.25">
      <c r="A890" t="s">
        <v>927</v>
      </c>
      <c r="B890">
        <v>31</v>
      </c>
      <c r="C890" t="s">
        <v>24</v>
      </c>
      <c r="D890" t="s">
        <v>10</v>
      </c>
      <c r="E890" t="s">
        <v>10</v>
      </c>
      <c r="F890" t="s">
        <v>29</v>
      </c>
      <c r="G890" t="s">
        <v>12</v>
      </c>
      <c r="H890" s="3">
        <v>45901</v>
      </c>
    </row>
    <row r="891" spans="1:8" x14ac:dyDescent="0.25">
      <c r="A891" t="s">
        <v>928</v>
      </c>
      <c r="B891">
        <v>30</v>
      </c>
      <c r="C891" t="s">
        <v>24</v>
      </c>
      <c r="D891" t="s">
        <v>10</v>
      </c>
      <c r="E891" t="s">
        <v>10</v>
      </c>
      <c r="F891" t="s">
        <v>47</v>
      </c>
      <c r="G891" t="s">
        <v>22</v>
      </c>
      <c r="H891" s="3">
        <v>44961</v>
      </c>
    </row>
    <row r="892" spans="1:8" x14ac:dyDescent="0.25">
      <c r="A892" t="s">
        <v>929</v>
      </c>
      <c r="B892">
        <v>42</v>
      </c>
      <c r="C892" t="s">
        <v>24</v>
      </c>
      <c r="D892" t="s">
        <v>19</v>
      </c>
      <c r="E892" t="s">
        <v>20</v>
      </c>
      <c r="F892" t="s">
        <v>21</v>
      </c>
      <c r="G892" t="s">
        <v>12</v>
      </c>
      <c r="H892" s="3">
        <v>45549</v>
      </c>
    </row>
    <row r="893" spans="1:8" x14ac:dyDescent="0.25">
      <c r="A893" t="s">
        <v>930</v>
      </c>
      <c r="B893">
        <v>19</v>
      </c>
      <c r="C893" t="s">
        <v>24</v>
      </c>
      <c r="D893" t="s">
        <v>33</v>
      </c>
      <c r="E893" t="s">
        <v>34</v>
      </c>
      <c r="F893" t="s">
        <v>35</v>
      </c>
      <c r="G893" t="s">
        <v>12</v>
      </c>
      <c r="H893" s="3">
        <v>45515</v>
      </c>
    </row>
    <row r="894" spans="1:8" x14ac:dyDescent="0.25">
      <c r="A894" t="s">
        <v>931</v>
      </c>
      <c r="B894">
        <v>52</v>
      </c>
      <c r="C894" t="s">
        <v>9</v>
      </c>
      <c r="D894" t="s">
        <v>43</v>
      </c>
      <c r="E894" t="s">
        <v>44</v>
      </c>
      <c r="F894" t="s">
        <v>45</v>
      </c>
      <c r="G894" t="s">
        <v>22</v>
      </c>
      <c r="H894" s="3">
        <v>46097</v>
      </c>
    </row>
    <row r="895" spans="1:8" x14ac:dyDescent="0.25">
      <c r="A895" t="s">
        <v>932</v>
      </c>
      <c r="B895">
        <v>24</v>
      </c>
      <c r="C895" t="s">
        <v>24</v>
      </c>
      <c r="D895" t="s">
        <v>10</v>
      </c>
      <c r="E895" t="s">
        <v>10</v>
      </c>
      <c r="F895" t="s">
        <v>11</v>
      </c>
      <c r="G895" t="s">
        <v>12</v>
      </c>
      <c r="H895" s="3">
        <v>46017</v>
      </c>
    </row>
    <row r="896" spans="1:8" x14ac:dyDescent="0.25">
      <c r="A896" t="s">
        <v>933</v>
      </c>
      <c r="B896">
        <v>38</v>
      </c>
      <c r="C896" t="s">
        <v>9</v>
      </c>
      <c r="D896" t="s">
        <v>25</v>
      </c>
      <c r="E896" t="s">
        <v>38</v>
      </c>
      <c r="F896" t="s">
        <v>39</v>
      </c>
      <c r="G896" t="s">
        <v>17</v>
      </c>
      <c r="H896" s="3">
        <v>45830</v>
      </c>
    </row>
    <row r="897" spans="1:8" x14ac:dyDescent="0.25">
      <c r="A897" t="s">
        <v>934</v>
      </c>
      <c r="B897">
        <v>35</v>
      </c>
      <c r="C897" t="s">
        <v>9</v>
      </c>
      <c r="D897" t="s">
        <v>10</v>
      </c>
      <c r="E897" t="s">
        <v>10</v>
      </c>
      <c r="F897" t="s">
        <v>47</v>
      </c>
      <c r="G897" t="s">
        <v>12</v>
      </c>
      <c r="H897" s="3">
        <v>45446</v>
      </c>
    </row>
    <row r="898" spans="1:8" x14ac:dyDescent="0.25">
      <c r="A898" t="s">
        <v>935</v>
      </c>
      <c r="B898">
        <v>20</v>
      </c>
      <c r="C898" t="s">
        <v>9</v>
      </c>
      <c r="D898" t="s">
        <v>10</v>
      </c>
      <c r="E898" t="s">
        <v>10</v>
      </c>
      <c r="F898" t="s">
        <v>11</v>
      </c>
      <c r="G898" t="s">
        <v>12</v>
      </c>
      <c r="H898" s="3">
        <v>45048</v>
      </c>
    </row>
    <row r="899" spans="1:8" x14ac:dyDescent="0.25">
      <c r="A899" t="s">
        <v>936</v>
      </c>
      <c r="B899">
        <v>59</v>
      </c>
      <c r="C899" t="s">
        <v>9</v>
      </c>
      <c r="D899" t="s">
        <v>33</v>
      </c>
      <c r="E899" t="s">
        <v>34</v>
      </c>
      <c r="F899" t="s">
        <v>35</v>
      </c>
      <c r="G899" t="s">
        <v>12</v>
      </c>
      <c r="H899" s="3">
        <v>45266</v>
      </c>
    </row>
    <row r="900" spans="1:8" x14ac:dyDescent="0.25">
      <c r="A900" t="s">
        <v>937</v>
      </c>
      <c r="B900">
        <v>56</v>
      </c>
      <c r="C900" t="s">
        <v>9</v>
      </c>
      <c r="D900" t="s">
        <v>10</v>
      </c>
      <c r="E900" t="s">
        <v>10</v>
      </c>
      <c r="F900" t="s">
        <v>29</v>
      </c>
      <c r="G900" t="s">
        <v>22</v>
      </c>
      <c r="H900" s="3">
        <v>45101</v>
      </c>
    </row>
    <row r="901" spans="1:8" x14ac:dyDescent="0.25">
      <c r="A901" t="s">
        <v>938</v>
      </c>
      <c r="B901">
        <v>58</v>
      </c>
      <c r="C901" t="s">
        <v>9</v>
      </c>
      <c r="D901" t="s">
        <v>10</v>
      </c>
      <c r="E901" t="s">
        <v>10</v>
      </c>
      <c r="F901" t="s">
        <v>29</v>
      </c>
      <c r="G901" t="s">
        <v>12</v>
      </c>
      <c r="H901" s="3">
        <v>45523</v>
      </c>
    </row>
    <row r="902" spans="1:8" x14ac:dyDescent="0.25">
      <c r="A902" t="s">
        <v>939</v>
      </c>
      <c r="B902">
        <v>28</v>
      </c>
      <c r="C902" t="s">
        <v>24</v>
      </c>
      <c r="D902" t="s">
        <v>10</v>
      </c>
      <c r="E902" t="s">
        <v>10</v>
      </c>
      <c r="F902" t="s">
        <v>47</v>
      </c>
      <c r="G902" t="s">
        <v>12</v>
      </c>
      <c r="H902" s="3">
        <v>45377</v>
      </c>
    </row>
    <row r="903" spans="1:8" x14ac:dyDescent="0.25">
      <c r="A903" t="s">
        <v>940</v>
      </c>
      <c r="B903">
        <v>56</v>
      </c>
      <c r="C903" t="s">
        <v>24</v>
      </c>
      <c r="D903" t="s">
        <v>10</v>
      </c>
      <c r="E903" t="s">
        <v>10</v>
      </c>
      <c r="F903" t="s">
        <v>29</v>
      </c>
      <c r="G903" t="s">
        <v>12</v>
      </c>
      <c r="H903" s="3">
        <v>45483</v>
      </c>
    </row>
    <row r="904" spans="1:8" x14ac:dyDescent="0.25">
      <c r="A904" t="s">
        <v>941</v>
      </c>
      <c r="B904">
        <v>41</v>
      </c>
      <c r="C904" t="s">
        <v>9</v>
      </c>
      <c r="D904" t="s">
        <v>10</v>
      </c>
      <c r="E904" t="s">
        <v>10</v>
      </c>
      <c r="F904" t="s">
        <v>47</v>
      </c>
      <c r="G904" t="s">
        <v>12</v>
      </c>
      <c r="H904" s="3">
        <v>46086</v>
      </c>
    </row>
    <row r="905" spans="1:8" x14ac:dyDescent="0.25">
      <c r="A905" t="s">
        <v>942</v>
      </c>
      <c r="B905">
        <v>63</v>
      </c>
      <c r="C905" t="s">
        <v>24</v>
      </c>
      <c r="D905" t="s">
        <v>25</v>
      </c>
      <c r="E905" t="s">
        <v>26</v>
      </c>
      <c r="F905" t="s">
        <v>27</v>
      </c>
      <c r="G905" t="s">
        <v>12</v>
      </c>
      <c r="H905" s="3">
        <v>45966</v>
      </c>
    </row>
    <row r="906" spans="1:8" x14ac:dyDescent="0.25">
      <c r="A906" t="s">
        <v>943</v>
      </c>
      <c r="B906">
        <v>36</v>
      </c>
      <c r="C906" t="s">
        <v>24</v>
      </c>
      <c r="D906" t="s">
        <v>10</v>
      </c>
      <c r="E906" t="s">
        <v>10</v>
      </c>
      <c r="F906" t="s">
        <v>53</v>
      </c>
      <c r="G906" t="s">
        <v>12</v>
      </c>
      <c r="H906" s="3">
        <v>46145</v>
      </c>
    </row>
    <row r="907" spans="1:8" x14ac:dyDescent="0.25">
      <c r="A907" t="s">
        <v>944</v>
      </c>
      <c r="B907">
        <v>21</v>
      </c>
      <c r="C907" t="s">
        <v>9</v>
      </c>
      <c r="D907" t="s">
        <v>33</v>
      </c>
      <c r="E907" t="s">
        <v>34</v>
      </c>
      <c r="F907" t="s">
        <v>35</v>
      </c>
      <c r="G907" t="s">
        <v>12</v>
      </c>
      <c r="H907" s="3">
        <v>44935</v>
      </c>
    </row>
    <row r="908" spans="1:8" x14ac:dyDescent="0.25">
      <c r="A908" t="s">
        <v>945</v>
      </c>
      <c r="B908">
        <v>43</v>
      </c>
      <c r="C908" t="s">
        <v>9</v>
      </c>
      <c r="D908" t="s">
        <v>43</v>
      </c>
      <c r="E908" t="s">
        <v>44</v>
      </c>
      <c r="F908" t="s">
        <v>45</v>
      </c>
      <c r="G908" t="s">
        <v>17</v>
      </c>
      <c r="H908" s="3">
        <v>45260</v>
      </c>
    </row>
    <row r="909" spans="1:8" x14ac:dyDescent="0.25">
      <c r="A909" t="s">
        <v>946</v>
      </c>
      <c r="B909">
        <v>55</v>
      </c>
      <c r="C909" t="s">
        <v>24</v>
      </c>
      <c r="D909" t="s">
        <v>10</v>
      </c>
      <c r="E909" t="s">
        <v>10</v>
      </c>
      <c r="F909" t="s">
        <v>11</v>
      </c>
      <c r="G909" t="s">
        <v>12</v>
      </c>
      <c r="H909" s="3">
        <v>45943</v>
      </c>
    </row>
    <row r="910" spans="1:8" x14ac:dyDescent="0.25">
      <c r="A910" t="s">
        <v>947</v>
      </c>
      <c r="B910">
        <v>59</v>
      </c>
      <c r="C910" t="s">
        <v>24</v>
      </c>
      <c r="D910" t="s">
        <v>10</v>
      </c>
      <c r="E910" t="s">
        <v>10</v>
      </c>
      <c r="F910" t="s">
        <v>47</v>
      </c>
      <c r="G910" t="s">
        <v>12</v>
      </c>
      <c r="H910" s="3">
        <v>45253</v>
      </c>
    </row>
    <row r="911" spans="1:8" x14ac:dyDescent="0.25">
      <c r="A911" t="s">
        <v>948</v>
      </c>
      <c r="B911">
        <v>49</v>
      </c>
      <c r="C911" t="s">
        <v>24</v>
      </c>
      <c r="D911" t="s">
        <v>10</v>
      </c>
      <c r="E911" t="s">
        <v>10</v>
      </c>
      <c r="F911" t="s">
        <v>11</v>
      </c>
      <c r="G911" t="s">
        <v>22</v>
      </c>
      <c r="H911" s="3">
        <v>44941</v>
      </c>
    </row>
    <row r="912" spans="1:8" x14ac:dyDescent="0.25">
      <c r="A912" t="s">
        <v>949</v>
      </c>
      <c r="B912">
        <v>56</v>
      </c>
      <c r="C912" t="s">
        <v>9</v>
      </c>
      <c r="D912" t="s">
        <v>25</v>
      </c>
      <c r="E912" t="s">
        <v>26</v>
      </c>
      <c r="F912" t="s">
        <v>27</v>
      </c>
      <c r="G912" t="s">
        <v>17</v>
      </c>
      <c r="H912" s="3">
        <v>45765</v>
      </c>
    </row>
    <row r="913" spans="1:8" x14ac:dyDescent="0.25">
      <c r="A913" t="s">
        <v>950</v>
      </c>
      <c r="B913">
        <v>62</v>
      </c>
      <c r="C913" t="s">
        <v>9</v>
      </c>
      <c r="D913" t="s">
        <v>10</v>
      </c>
      <c r="E913" t="s">
        <v>10</v>
      </c>
      <c r="F913" t="s">
        <v>47</v>
      </c>
      <c r="G913" t="s">
        <v>12</v>
      </c>
      <c r="H913" s="3">
        <v>45152</v>
      </c>
    </row>
    <row r="914" spans="1:8" x14ac:dyDescent="0.25">
      <c r="A914" t="s">
        <v>951</v>
      </c>
      <c r="B914">
        <v>63</v>
      </c>
      <c r="C914" t="s">
        <v>9</v>
      </c>
      <c r="D914" t="s">
        <v>25</v>
      </c>
      <c r="E914" t="s">
        <v>38</v>
      </c>
      <c r="F914" t="s">
        <v>39</v>
      </c>
      <c r="G914" t="s">
        <v>12</v>
      </c>
      <c r="H914" s="3">
        <v>45039</v>
      </c>
    </row>
    <row r="915" spans="1:8" x14ac:dyDescent="0.25">
      <c r="A915" t="s">
        <v>952</v>
      </c>
      <c r="B915">
        <v>53</v>
      </c>
      <c r="C915" t="s">
        <v>9</v>
      </c>
      <c r="D915" t="s">
        <v>10</v>
      </c>
      <c r="E915" t="s">
        <v>10</v>
      </c>
      <c r="F915" t="s">
        <v>11</v>
      </c>
      <c r="G915" t="s">
        <v>22</v>
      </c>
      <c r="H915" s="3">
        <v>44927</v>
      </c>
    </row>
    <row r="916" spans="1:8" x14ac:dyDescent="0.25">
      <c r="A916" t="s">
        <v>953</v>
      </c>
      <c r="B916">
        <v>57</v>
      </c>
      <c r="C916" t="s">
        <v>9</v>
      </c>
      <c r="D916" t="s">
        <v>25</v>
      </c>
      <c r="E916" t="s">
        <v>26</v>
      </c>
      <c r="F916" t="s">
        <v>27</v>
      </c>
      <c r="G916" t="s">
        <v>12</v>
      </c>
      <c r="H916" s="3">
        <v>45192</v>
      </c>
    </row>
    <row r="917" spans="1:8" x14ac:dyDescent="0.25">
      <c r="A917" t="s">
        <v>954</v>
      </c>
      <c r="B917">
        <v>54</v>
      </c>
      <c r="C917" t="s">
        <v>9</v>
      </c>
      <c r="D917" t="s">
        <v>10</v>
      </c>
      <c r="E917" t="s">
        <v>10</v>
      </c>
      <c r="F917" t="s">
        <v>53</v>
      </c>
      <c r="G917" t="s">
        <v>12</v>
      </c>
      <c r="H917" s="3">
        <v>46158</v>
      </c>
    </row>
    <row r="918" spans="1:8" x14ac:dyDescent="0.25">
      <c r="A918" t="s">
        <v>955</v>
      </c>
      <c r="B918">
        <v>50</v>
      </c>
      <c r="C918" t="s">
        <v>24</v>
      </c>
      <c r="D918" t="s">
        <v>10</v>
      </c>
      <c r="E918" t="s">
        <v>10</v>
      </c>
      <c r="F918" t="s">
        <v>11</v>
      </c>
      <c r="G918" t="s">
        <v>22</v>
      </c>
      <c r="H918" s="3">
        <v>45878</v>
      </c>
    </row>
    <row r="919" spans="1:8" x14ac:dyDescent="0.25">
      <c r="A919" t="s">
        <v>956</v>
      </c>
      <c r="B919">
        <v>53</v>
      </c>
      <c r="C919" t="s">
        <v>24</v>
      </c>
      <c r="D919" t="s">
        <v>14</v>
      </c>
      <c r="E919" t="s">
        <v>15</v>
      </c>
      <c r="F919" t="s">
        <v>16</v>
      </c>
      <c r="G919" t="s">
        <v>22</v>
      </c>
      <c r="H919" s="3">
        <v>45232</v>
      </c>
    </row>
    <row r="920" spans="1:8" x14ac:dyDescent="0.25">
      <c r="A920" t="s">
        <v>957</v>
      </c>
      <c r="B920">
        <v>20</v>
      </c>
      <c r="C920" t="s">
        <v>9</v>
      </c>
      <c r="D920" t="s">
        <v>19</v>
      </c>
      <c r="E920" t="s">
        <v>20</v>
      </c>
      <c r="F920" t="s">
        <v>21</v>
      </c>
      <c r="G920" t="s">
        <v>12</v>
      </c>
      <c r="H920" s="3">
        <v>44938</v>
      </c>
    </row>
    <row r="921" spans="1:8" x14ac:dyDescent="0.25">
      <c r="A921" t="s">
        <v>958</v>
      </c>
      <c r="B921">
        <v>26</v>
      </c>
      <c r="C921" t="s">
        <v>24</v>
      </c>
      <c r="D921" t="s">
        <v>10</v>
      </c>
      <c r="E921" t="s">
        <v>10</v>
      </c>
      <c r="F921" t="s">
        <v>29</v>
      </c>
      <c r="G921" t="s">
        <v>12</v>
      </c>
      <c r="H921" s="3">
        <v>45863</v>
      </c>
    </row>
    <row r="922" spans="1:8" x14ac:dyDescent="0.25">
      <c r="A922" t="s">
        <v>959</v>
      </c>
      <c r="B922">
        <v>25</v>
      </c>
      <c r="C922" t="s">
        <v>9</v>
      </c>
      <c r="D922" t="s">
        <v>33</v>
      </c>
      <c r="E922" t="s">
        <v>34</v>
      </c>
      <c r="F922" t="s">
        <v>35</v>
      </c>
      <c r="G922" t="s">
        <v>22</v>
      </c>
      <c r="H922" s="3">
        <v>45346</v>
      </c>
    </row>
    <row r="923" spans="1:8" x14ac:dyDescent="0.25">
      <c r="A923" t="s">
        <v>960</v>
      </c>
      <c r="B923">
        <v>50</v>
      </c>
      <c r="C923" t="s">
        <v>9</v>
      </c>
      <c r="D923" t="s">
        <v>10</v>
      </c>
      <c r="E923" t="s">
        <v>10</v>
      </c>
      <c r="F923" t="s">
        <v>53</v>
      </c>
      <c r="G923" t="s">
        <v>78</v>
      </c>
      <c r="H923" s="3">
        <v>45815</v>
      </c>
    </row>
    <row r="924" spans="1:8" x14ac:dyDescent="0.25">
      <c r="A924" t="s">
        <v>961</v>
      </c>
      <c r="B924">
        <v>23</v>
      </c>
      <c r="C924" t="s">
        <v>9</v>
      </c>
      <c r="D924" t="s">
        <v>33</v>
      </c>
      <c r="E924" t="s">
        <v>34</v>
      </c>
      <c r="F924" t="s">
        <v>35</v>
      </c>
      <c r="G924" t="s">
        <v>22</v>
      </c>
      <c r="H924" s="3">
        <v>45097</v>
      </c>
    </row>
    <row r="925" spans="1:8" x14ac:dyDescent="0.25">
      <c r="A925" t="s">
        <v>962</v>
      </c>
      <c r="B925">
        <v>58</v>
      </c>
      <c r="C925" t="s">
        <v>24</v>
      </c>
      <c r="D925" t="s">
        <v>43</v>
      </c>
      <c r="E925" t="s">
        <v>44</v>
      </c>
      <c r="F925" t="s">
        <v>45</v>
      </c>
      <c r="G925" t="s">
        <v>12</v>
      </c>
      <c r="H925" s="3">
        <v>45060</v>
      </c>
    </row>
    <row r="926" spans="1:8" x14ac:dyDescent="0.25">
      <c r="A926" t="s">
        <v>963</v>
      </c>
      <c r="B926">
        <v>56</v>
      </c>
      <c r="C926" t="s">
        <v>24</v>
      </c>
      <c r="D926" t="s">
        <v>10</v>
      </c>
      <c r="E926" t="s">
        <v>10</v>
      </c>
      <c r="F926" t="s">
        <v>53</v>
      </c>
      <c r="G926" t="s">
        <v>12</v>
      </c>
      <c r="H926" s="3">
        <v>45891</v>
      </c>
    </row>
    <row r="927" spans="1:8" x14ac:dyDescent="0.25">
      <c r="A927" t="s">
        <v>964</v>
      </c>
      <c r="B927">
        <v>21</v>
      </c>
      <c r="C927" t="s">
        <v>24</v>
      </c>
      <c r="D927" t="s">
        <v>10</v>
      </c>
      <c r="E927" t="s">
        <v>10</v>
      </c>
      <c r="F927" t="s">
        <v>29</v>
      </c>
      <c r="G927" t="s">
        <v>12</v>
      </c>
      <c r="H927" s="3">
        <v>45975</v>
      </c>
    </row>
    <row r="928" spans="1:8" x14ac:dyDescent="0.25">
      <c r="A928" t="s">
        <v>965</v>
      </c>
      <c r="B928">
        <v>30</v>
      </c>
      <c r="C928" t="s">
        <v>9</v>
      </c>
      <c r="D928" t="s">
        <v>10</v>
      </c>
      <c r="E928" t="s">
        <v>10</v>
      </c>
      <c r="F928" t="s">
        <v>47</v>
      </c>
      <c r="G928" t="s">
        <v>22</v>
      </c>
      <c r="H928" s="3">
        <v>46140</v>
      </c>
    </row>
    <row r="929" spans="1:8" x14ac:dyDescent="0.25">
      <c r="A929" t="s">
        <v>966</v>
      </c>
      <c r="B929">
        <v>19</v>
      </c>
      <c r="C929" t="s">
        <v>24</v>
      </c>
      <c r="D929" t="s">
        <v>25</v>
      </c>
      <c r="E929" t="s">
        <v>26</v>
      </c>
      <c r="F929" t="s">
        <v>27</v>
      </c>
      <c r="G929" t="s">
        <v>12</v>
      </c>
      <c r="H929" s="3">
        <v>46091</v>
      </c>
    </row>
    <row r="930" spans="1:8" x14ac:dyDescent="0.25">
      <c r="A930" t="s">
        <v>967</v>
      </c>
      <c r="B930">
        <v>22</v>
      </c>
      <c r="C930" t="s">
        <v>9</v>
      </c>
      <c r="D930" t="s">
        <v>25</v>
      </c>
      <c r="E930" t="s">
        <v>38</v>
      </c>
      <c r="F930" t="s">
        <v>39</v>
      </c>
      <c r="G930" t="s">
        <v>12</v>
      </c>
      <c r="H930" s="3">
        <v>45584</v>
      </c>
    </row>
    <row r="931" spans="1:8" x14ac:dyDescent="0.25">
      <c r="A931" t="s">
        <v>968</v>
      </c>
      <c r="B931">
        <v>61</v>
      </c>
      <c r="C931" t="s">
        <v>24</v>
      </c>
      <c r="D931" t="s">
        <v>10</v>
      </c>
      <c r="E931" t="s">
        <v>10</v>
      </c>
      <c r="F931" t="s">
        <v>47</v>
      </c>
      <c r="G931" t="s">
        <v>22</v>
      </c>
      <c r="H931" s="3">
        <v>46042</v>
      </c>
    </row>
    <row r="932" spans="1:8" x14ac:dyDescent="0.25">
      <c r="A932" t="s">
        <v>969</v>
      </c>
      <c r="B932">
        <v>44</v>
      </c>
      <c r="C932" t="s">
        <v>24</v>
      </c>
      <c r="D932" t="s">
        <v>10</v>
      </c>
      <c r="E932" t="s">
        <v>10</v>
      </c>
      <c r="F932" t="s">
        <v>29</v>
      </c>
      <c r="G932" t="s">
        <v>12</v>
      </c>
      <c r="H932" s="3">
        <v>45105</v>
      </c>
    </row>
    <row r="933" spans="1:8" x14ac:dyDescent="0.25">
      <c r="A933" t="s">
        <v>970</v>
      </c>
      <c r="B933">
        <v>49</v>
      </c>
      <c r="C933" t="s">
        <v>9</v>
      </c>
      <c r="D933" t="s">
        <v>43</v>
      </c>
      <c r="E933" t="s">
        <v>44</v>
      </c>
      <c r="F933" t="s">
        <v>45</v>
      </c>
      <c r="G933" t="s">
        <v>22</v>
      </c>
      <c r="H933" s="3">
        <v>46006</v>
      </c>
    </row>
    <row r="934" spans="1:8" x14ac:dyDescent="0.25">
      <c r="A934" t="s">
        <v>971</v>
      </c>
      <c r="B934">
        <v>38</v>
      </c>
      <c r="C934" t="s">
        <v>24</v>
      </c>
      <c r="D934" t="s">
        <v>14</v>
      </c>
      <c r="E934" t="s">
        <v>15</v>
      </c>
      <c r="F934" t="s">
        <v>16</v>
      </c>
      <c r="G934" t="s">
        <v>12</v>
      </c>
      <c r="H934" s="3">
        <v>46105</v>
      </c>
    </row>
    <row r="935" spans="1:8" x14ac:dyDescent="0.25">
      <c r="A935" t="s">
        <v>972</v>
      </c>
      <c r="B935">
        <v>25</v>
      </c>
      <c r="C935" t="s">
        <v>24</v>
      </c>
      <c r="D935" t="s">
        <v>25</v>
      </c>
      <c r="E935" t="s">
        <v>26</v>
      </c>
      <c r="F935" t="s">
        <v>27</v>
      </c>
      <c r="G935" t="s">
        <v>12</v>
      </c>
      <c r="H935" s="3">
        <v>45037</v>
      </c>
    </row>
    <row r="936" spans="1:8" x14ac:dyDescent="0.25">
      <c r="A936" t="s">
        <v>973</v>
      </c>
      <c r="B936">
        <v>55</v>
      </c>
      <c r="C936" t="s">
        <v>9</v>
      </c>
      <c r="D936" t="s">
        <v>10</v>
      </c>
      <c r="E936" t="s">
        <v>10</v>
      </c>
      <c r="F936" t="s">
        <v>47</v>
      </c>
      <c r="G936" t="s">
        <v>12</v>
      </c>
      <c r="H936" s="3">
        <v>45063</v>
      </c>
    </row>
    <row r="937" spans="1:8" x14ac:dyDescent="0.25">
      <c r="A937" t="s">
        <v>974</v>
      </c>
      <c r="B937">
        <v>25</v>
      </c>
      <c r="C937" t="s">
        <v>24</v>
      </c>
      <c r="D937" t="s">
        <v>10</v>
      </c>
      <c r="E937" t="s">
        <v>10</v>
      </c>
      <c r="F937" t="s">
        <v>47</v>
      </c>
      <c r="G937" t="s">
        <v>22</v>
      </c>
      <c r="H937" s="3">
        <v>45158</v>
      </c>
    </row>
    <row r="938" spans="1:8" x14ac:dyDescent="0.25">
      <c r="A938" t="s">
        <v>975</v>
      </c>
      <c r="B938">
        <v>20</v>
      </c>
      <c r="C938" t="s">
        <v>9</v>
      </c>
      <c r="D938" t="s">
        <v>10</v>
      </c>
      <c r="E938" t="s">
        <v>10</v>
      </c>
      <c r="F938" t="s">
        <v>29</v>
      </c>
      <c r="G938" t="s">
        <v>12</v>
      </c>
      <c r="H938" s="3">
        <v>45918</v>
      </c>
    </row>
    <row r="939" spans="1:8" x14ac:dyDescent="0.25">
      <c r="A939" t="s">
        <v>976</v>
      </c>
      <c r="B939">
        <v>61</v>
      </c>
      <c r="C939" t="s">
        <v>24</v>
      </c>
      <c r="D939" t="s">
        <v>33</v>
      </c>
      <c r="E939" t="s">
        <v>34</v>
      </c>
      <c r="F939" t="s">
        <v>35</v>
      </c>
      <c r="G939" t="s">
        <v>12</v>
      </c>
      <c r="H939" s="3">
        <v>45394</v>
      </c>
    </row>
    <row r="940" spans="1:8" x14ac:dyDescent="0.25">
      <c r="A940" t="s">
        <v>977</v>
      </c>
      <c r="B940">
        <v>20</v>
      </c>
      <c r="C940" t="s">
        <v>24</v>
      </c>
      <c r="D940" t="s">
        <v>10</v>
      </c>
      <c r="E940" t="s">
        <v>10</v>
      </c>
      <c r="F940" t="s">
        <v>29</v>
      </c>
      <c r="G940" t="s">
        <v>78</v>
      </c>
      <c r="H940" s="3">
        <v>45658</v>
      </c>
    </row>
    <row r="941" spans="1:8" x14ac:dyDescent="0.25">
      <c r="A941" t="s">
        <v>978</v>
      </c>
      <c r="B941">
        <v>39</v>
      </c>
      <c r="C941" t="s">
        <v>24</v>
      </c>
      <c r="D941" t="s">
        <v>25</v>
      </c>
      <c r="E941" t="s">
        <v>26</v>
      </c>
      <c r="F941" t="s">
        <v>27</v>
      </c>
      <c r="G941" t="s">
        <v>12</v>
      </c>
      <c r="H941" s="3">
        <v>45407</v>
      </c>
    </row>
    <row r="942" spans="1:8" x14ac:dyDescent="0.25">
      <c r="A942" t="s">
        <v>979</v>
      </c>
      <c r="B942">
        <v>23</v>
      </c>
      <c r="C942" t="s">
        <v>24</v>
      </c>
      <c r="D942" t="s">
        <v>10</v>
      </c>
      <c r="E942" t="s">
        <v>10</v>
      </c>
      <c r="F942" t="s">
        <v>47</v>
      </c>
      <c r="G942" t="s">
        <v>12</v>
      </c>
      <c r="H942" s="3">
        <v>46018</v>
      </c>
    </row>
    <row r="943" spans="1:8" x14ac:dyDescent="0.25">
      <c r="A943" t="s">
        <v>980</v>
      </c>
      <c r="B943">
        <v>19</v>
      </c>
      <c r="C943" t="s">
        <v>24</v>
      </c>
      <c r="D943" t="s">
        <v>25</v>
      </c>
      <c r="E943" t="s">
        <v>26</v>
      </c>
      <c r="F943" t="s">
        <v>27</v>
      </c>
      <c r="G943" t="s">
        <v>12</v>
      </c>
      <c r="H943" s="3">
        <v>45740</v>
      </c>
    </row>
    <row r="944" spans="1:8" x14ac:dyDescent="0.25">
      <c r="A944" t="s">
        <v>981</v>
      </c>
      <c r="B944">
        <v>40</v>
      </c>
      <c r="C944" t="s">
        <v>9</v>
      </c>
      <c r="D944" t="s">
        <v>25</v>
      </c>
      <c r="E944" t="s">
        <v>38</v>
      </c>
      <c r="F944" t="s">
        <v>39</v>
      </c>
      <c r="G944" t="s">
        <v>12</v>
      </c>
      <c r="H944" s="3">
        <v>46199</v>
      </c>
    </row>
    <row r="945" spans="1:8" x14ac:dyDescent="0.25">
      <c r="A945" t="s">
        <v>982</v>
      </c>
      <c r="B945">
        <v>61</v>
      </c>
      <c r="C945" t="s">
        <v>24</v>
      </c>
      <c r="D945" t="s">
        <v>43</v>
      </c>
      <c r="E945" t="s">
        <v>44</v>
      </c>
      <c r="F945" t="s">
        <v>45</v>
      </c>
      <c r="G945" t="s">
        <v>12</v>
      </c>
      <c r="H945" s="3">
        <v>45920</v>
      </c>
    </row>
    <row r="946" spans="1:8" x14ac:dyDescent="0.25">
      <c r="A946" t="s">
        <v>983</v>
      </c>
      <c r="B946">
        <v>19</v>
      </c>
      <c r="C946" t="s">
        <v>9</v>
      </c>
      <c r="D946" t="s">
        <v>10</v>
      </c>
      <c r="E946" t="s">
        <v>10</v>
      </c>
      <c r="F946" t="s">
        <v>47</v>
      </c>
      <c r="G946" t="s">
        <v>12</v>
      </c>
      <c r="H946" s="3">
        <v>45249</v>
      </c>
    </row>
    <row r="947" spans="1:8" x14ac:dyDescent="0.25">
      <c r="A947" t="s">
        <v>984</v>
      </c>
      <c r="B947">
        <v>55</v>
      </c>
      <c r="C947" t="s">
        <v>24</v>
      </c>
      <c r="D947" t="s">
        <v>10</v>
      </c>
      <c r="E947" t="s">
        <v>10</v>
      </c>
      <c r="F947" t="s">
        <v>29</v>
      </c>
      <c r="G947" t="s">
        <v>12</v>
      </c>
      <c r="H947" s="3">
        <v>45848</v>
      </c>
    </row>
    <row r="948" spans="1:8" x14ac:dyDescent="0.25">
      <c r="A948" t="s">
        <v>985</v>
      </c>
      <c r="B948">
        <v>34</v>
      </c>
      <c r="C948" t="s">
        <v>9</v>
      </c>
      <c r="D948" t="s">
        <v>10</v>
      </c>
      <c r="E948" t="s">
        <v>10</v>
      </c>
      <c r="F948" t="s">
        <v>29</v>
      </c>
      <c r="G948" t="s">
        <v>12</v>
      </c>
      <c r="H948" s="3">
        <v>45830</v>
      </c>
    </row>
    <row r="949" spans="1:8" x14ac:dyDescent="0.25">
      <c r="A949" t="s">
        <v>986</v>
      </c>
      <c r="B949">
        <v>52</v>
      </c>
      <c r="C949" t="s">
        <v>9</v>
      </c>
      <c r="D949" t="s">
        <v>33</v>
      </c>
      <c r="E949" t="s">
        <v>34</v>
      </c>
      <c r="F949" t="s">
        <v>35</v>
      </c>
      <c r="G949" t="s">
        <v>12</v>
      </c>
      <c r="H949" s="3">
        <v>45532</v>
      </c>
    </row>
    <row r="950" spans="1:8" x14ac:dyDescent="0.25">
      <c r="A950" t="s">
        <v>987</v>
      </c>
      <c r="B950">
        <v>51</v>
      </c>
      <c r="C950" t="s">
        <v>24</v>
      </c>
      <c r="D950" t="s">
        <v>33</v>
      </c>
      <c r="E950" t="s">
        <v>34</v>
      </c>
      <c r="F950" t="s">
        <v>35</v>
      </c>
      <c r="G950" t="s">
        <v>12</v>
      </c>
      <c r="H950" s="3">
        <v>45355</v>
      </c>
    </row>
    <row r="951" spans="1:8" x14ac:dyDescent="0.25">
      <c r="A951" t="s">
        <v>988</v>
      </c>
      <c r="B951">
        <v>40</v>
      </c>
      <c r="C951" t="s">
        <v>9</v>
      </c>
      <c r="D951" t="s">
        <v>25</v>
      </c>
      <c r="E951" t="s">
        <v>26</v>
      </c>
      <c r="F951" t="s">
        <v>27</v>
      </c>
      <c r="G951" t="s">
        <v>12</v>
      </c>
      <c r="H951" s="3">
        <v>45074</v>
      </c>
    </row>
    <row r="952" spans="1:8" x14ac:dyDescent="0.25">
      <c r="A952" t="s">
        <v>989</v>
      </c>
      <c r="B952">
        <v>47</v>
      </c>
      <c r="C952" t="s">
        <v>24</v>
      </c>
      <c r="D952" t="s">
        <v>25</v>
      </c>
      <c r="E952" t="s">
        <v>26</v>
      </c>
      <c r="F952" t="s">
        <v>27</v>
      </c>
      <c r="G952" t="s">
        <v>12</v>
      </c>
      <c r="H952" s="3">
        <v>46068</v>
      </c>
    </row>
    <row r="953" spans="1:8" x14ac:dyDescent="0.25">
      <c r="A953" t="s">
        <v>990</v>
      </c>
      <c r="B953">
        <v>25</v>
      </c>
      <c r="C953" t="s">
        <v>9</v>
      </c>
      <c r="D953" t="s">
        <v>25</v>
      </c>
      <c r="E953" t="s">
        <v>38</v>
      </c>
      <c r="F953" t="s">
        <v>39</v>
      </c>
      <c r="G953" t="s">
        <v>12</v>
      </c>
      <c r="H953" s="3">
        <v>45776</v>
      </c>
    </row>
    <row r="954" spans="1:8" x14ac:dyDescent="0.25">
      <c r="A954" t="s">
        <v>991</v>
      </c>
      <c r="B954">
        <v>39</v>
      </c>
      <c r="C954" t="s">
        <v>9</v>
      </c>
      <c r="D954" t="s">
        <v>10</v>
      </c>
      <c r="E954" t="s">
        <v>10</v>
      </c>
      <c r="F954" t="s">
        <v>47</v>
      </c>
      <c r="G954" t="s">
        <v>12</v>
      </c>
      <c r="H954" s="3">
        <v>45293</v>
      </c>
    </row>
    <row r="955" spans="1:8" x14ac:dyDescent="0.25">
      <c r="A955" t="s">
        <v>992</v>
      </c>
      <c r="B955">
        <v>61</v>
      </c>
      <c r="C955" t="s">
        <v>24</v>
      </c>
      <c r="D955" t="s">
        <v>33</v>
      </c>
      <c r="E955" t="s">
        <v>34</v>
      </c>
      <c r="F955" t="s">
        <v>35</v>
      </c>
      <c r="G955" t="s">
        <v>12</v>
      </c>
      <c r="H955" s="3">
        <v>45776</v>
      </c>
    </row>
    <row r="956" spans="1:8" x14ac:dyDescent="0.25">
      <c r="A956" t="s">
        <v>993</v>
      </c>
      <c r="B956">
        <v>53</v>
      </c>
      <c r="C956" t="s">
        <v>9</v>
      </c>
      <c r="D956" t="s">
        <v>10</v>
      </c>
      <c r="E956" t="s">
        <v>10</v>
      </c>
      <c r="F956" t="s">
        <v>53</v>
      </c>
      <c r="G956" t="s">
        <v>22</v>
      </c>
      <c r="H956" s="3">
        <v>46016</v>
      </c>
    </row>
    <row r="957" spans="1:8" x14ac:dyDescent="0.25">
      <c r="A957" t="s">
        <v>994</v>
      </c>
      <c r="B957">
        <v>22</v>
      </c>
      <c r="C957" t="s">
        <v>9</v>
      </c>
      <c r="D957" t="s">
        <v>10</v>
      </c>
      <c r="E957" t="s">
        <v>10</v>
      </c>
      <c r="F957" t="s">
        <v>11</v>
      </c>
      <c r="G957" t="s">
        <v>12</v>
      </c>
      <c r="H957" s="3">
        <v>45739</v>
      </c>
    </row>
    <row r="958" spans="1:8" x14ac:dyDescent="0.25">
      <c r="A958" t="s">
        <v>995</v>
      </c>
      <c r="B958">
        <v>30</v>
      </c>
      <c r="C958" t="s">
        <v>24</v>
      </c>
      <c r="D958" t="s">
        <v>25</v>
      </c>
      <c r="E958" t="s">
        <v>26</v>
      </c>
      <c r="F958" t="s">
        <v>27</v>
      </c>
      <c r="G958" t="s">
        <v>22</v>
      </c>
      <c r="H958" s="3">
        <v>45101</v>
      </c>
    </row>
    <row r="959" spans="1:8" x14ac:dyDescent="0.25">
      <c r="A959" t="s">
        <v>996</v>
      </c>
      <c r="B959">
        <v>46</v>
      </c>
      <c r="C959" t="s">
        <v>9</v>
      </c>
      <c r="D959" t="s">
        <v>10</v>
      </c>
      <c r="E959" t="s">
        <v>10</v>
      </c>
      <c r="F959" t="s">
        <v>29</v>
      </c>
      <c r="G959" t="s">
        <v>78</v>
      </c>
      <c r="H959" s="3">
        <v>45514</v>
      </c>
    </row>
    <row r="960" spans="1:8" x14ac:dyDescent="0.25">
      <c r="A960" t="s">
        <v>997</v>
      </c>
      <c r="B960">
        <v>48</v>
      </c>
      <c r="C960" t="s">
        <v>24</v>
      </c>
      <c r="D960" t="s">
        <v>10</v>
      </c>
      <c r="E960" t="s">
        <v>10</v>
      </c>
      <c r="F960" t="s">
        <v>47</v>
      </c>
      <c r="G960" t="s">
        <v>12</v>
      </c>
      <c r="H960" s="3">
        <v>45421</v>
      </c>
    </row>
    <row r="961" spans="1:8" x14ac:dyDescent="0.25">
      <c r="A961" t="s">
        <v>998</v>
      </c>
      <c r="B961">
        <v>64</v>
      </c>
      <c r="C961" t="s">
        <v>9</v>
      </c>
      <c r="D961" t="s">
        <v>19</v>
      </c>
      <c r="E961" t="s">
        <v>20</v>
      </c>
      <c r="F961" t="s">
        <v>21</v>
      </c>
      <c r="G961" t="s">
        <v>12</v>
      </c>
      <c r="H961" s="3">
        <v>45899</v>
      </c>
    </row>
    <row r="962" spans="1:8" x14ac:dyDescent="0.25">
      <c r="A962" t="s">
        <v>999</v>
      </c>
      <c r="B962">
        <v>33</v>
      </c>
      <c r="C962" t="s">
        <v>9</v>
      </c>
      <c r="D962" t="s">
        <v>10</v>
      </c>
      <c r="E962" t="s">
        <v>10</v>
      </c>
      <c r="F962" t="s">
        <v>29</v>
      </c>
      <c r="G962" t="s">
        <v>12</v>
      </c>
      <c r="H962" s="3">
        <v>46064</v>
      </c>
    </row>
    <row r="963" spans="1:8" x14ac:dyDescent="0.25">
      <c r="A963" t="s">
        <v>1000</v>
      </c>
      <c r="B963">
        <v>59</v>
      </c>
      <c r="C963" t="s">
        <v>24</v>
      </c>
      <c r="D963" t="s">
        <v>25</v>
      </c>
      <c r="E963" t="s">
        <v>26</v>
      </c>
      <c r="F963" t="s">
        <v>27</v>
      </c>
      <c r="G963" t="s">
        <v>22</v>
      </c>
      <c r="H963" s="3">
        <v>46061</v>
      </c>
    </row>
    <row r="964" spans="1:8" x14ac:dyDescent="0.25">
      <c r="A964" t="s">
        <v>1001</v>
      </c>
      <c r="B964">
        <v>47</v>
      </c>
      <c r="C964" t="s">
        <v>9</v>
      </c>
      <c r="D964" t="s">
        <v>10</v>
      </c>
      <c r="E964" t="s">
        <v>10</v>
      </c>
      <c r="F964" t="s">
        <v>47</v>
      </c>
      <c r="G964" t="s">
        <v>12</v>
      </c>
      <c r="H964" s="3">
        <v>46097</v>
      </c>
    </row>
    <row r="965" spans="1:8" x14ac:dyDescent="0.25">
      <c r="A965" t="s">
        <v>1002</v>
      </c>
      <c r="B965">
        <v>33</v>
      </c>
      <c r="C965" t="s">
        <v>9</v>
      </c>
      <c r="D965" t="s">
        <v>10</v>
      </c>
      <c r="E965" t="s">
        <v>10</v>
      </c>
      <c r="F965" t="s">
        <v>11</v>
      </c>
      <c r="G965" t="s">
        <v>17</v>
      </c>
      <c r="H965" s="3">
        <v>44961</v>
      </c>
    </row>
    <row r="966" spans="1:8" x14ac:dyDescent="0.25">
      <c r="A966" t="s">
        <v>1003</v>
      </c>
      <c r="B966">
        <v>29</v>
      </c>
      <c r="C966" t="s">
        <v>9</v>
      </c>
      <c r="D966" t="s">
        <v>10</v>
      </c>
      <c r="E966" t="s">
        <v>10</v>
      </c>
      <c r="F966" t="s">
        <v>11</v>
      </c>
      <c r="G966" t="s">
        <v>12</v>
      </c>
      <c r="H966" s="3">
        <v>45925</v>
      </c>
    </row>
    <row r="967" spans="1:8" x14ac:dyDescent="0.25">
      <c r="A967" t="s">
        <v>1004</v>
      </c>
      <c r="B967">
        <v>34</v>
      </c>
      <c r="C967" t="s">
        <v>9</v>
      </c>
      <c r="D967" t="s">
        <v>10</v>
      </c>
      <c r="E967" t="s">
        <v>10</v>
      </c>
      <c r="F967" t="s">
        <v>11</v>
      </c>
      <c r="G967" t="s">
        <v>22</v>
      </c>
      <c r="H967" s="3">
        <v>45464</v>
      </c>
    </row>
    <row r="968" spans="1:8" x14ac:dyDescent="0.25">
      <c r="A968" t="s">
        <v>1005</v>
      </c>
      <c r="B968">
        <v>33</v>
      </c>
      <c r="C968" t="s">
        <v>24</v>
      </c>
      <c r="D968" t="s">
        <v>19</v>
      </c>
      <c r="E968" t="s">
        <v>20</v>
      </c>
      <c r="F968" t="s">
        <v>21</v>
      </c>
      <c r="G968" t="s">
        <v>22</v>
      </c>
      <c r="H968" s="3">
        <v>45676</v>
      </c>
    </row>
    <row r="969" spans="1:8" x14ac:dyDescent="0.25">
      <c r="A969" t="s">
        <v>1006</v>
      </c>
      <c r="B969">
        <v>29</v>
      </c>
      <c r="C969" t="s">
        <v>9</v>
      </c>
      <c r="D969" t="s">
        <v>10</v>
      </c>
      <c r="E969" t="s">
        <v>10</v>
      </c>
      <c r="F969" t="s">
        <v>11</v>
      </c>
      <c r="G969" t="s">
        <v>12</v>
      </c>
      <c r="H969" s="3">
        <v>45964</v>
      </c>
    </row>
    <row r="970" spans="1:8" x14ac:dyDescent="0.25">
      <c r="A970" t="s">
        <v>1007</v>
      </c>
      <c r="B970">
        <v>25</v>
      </c>
      <c r="C970" t="s">
        <v>24</v>
      </c>
      <c r="D970" t="s">
        <v>25</v>
      </c>
      <c r="E970" t="s">
        <v>26</v>
      </c>
      <c r="F970" t="s">
        <v>27</v>
      </c>
      <c r="G970" t="s">
        <v>12</v>
      </c>
      <c r="H970" s="3">
        <v>45300</v>
      </c>
    </row>
    <row r="971" spans="1:8" x14ac:dyDescent="0.25">
      <c r="A971" t="s">
        <v>1008</v>
      </c>
      <c r="B971">
        <v>37</v>
      </c>
      <c r="C971" t="s">
        <v>24</v>
      </c>
      <c r="D971" t="s">
        <v>10</v>
      </c>
      <c r="E971" t="s">
        <v>10</v>
      </c>
      <c r="F971" t="s">
        <v>53</v>
      </c>
      <c r="G971" t="s">
        <v>12</v>
      </c>
      <c r="H971" s="3">
        <v>45483</v>
      </c>
    </row>
    <row r="972" spans="1:8" x14ac:dyDescent="0.25">
      <c r="A972" t="s">
        <v>1009</v>
      </c>
      <c r="B972">
        <v>20</v>
      </c>
      <c r="C972" t="s">
        <v>9</v>
      </c>
      <c r="D972" t="s">
        <v>25</v>
      </c>
      <c r="E972" t="s">
        <v>38</v>
      </c>
      <c r="F972" t="s">
        <v>39</v>
      </c>
      <c r="G972" t="s">
        <v>12</v>
      </c>
      <c r="H972" s="3">
        <v>45159</v>
      </c>
    </row>
    <row r="973" spans="1:8" x14ac:dyDescent="0.25">
      <c r="A973" t="s">
        <v>1010</v>
      </c>
      <c r="B973">
        <v>33</v>
      </c>
      <c r="C973" t="s">
        <v>24</v>
      </c>
      <c r="D973" t="s">
        <v>14</v>
      </c>
      <c r="E973" t="s">
        <v>15</v>
      </c>
      <c r="F973" t="s">
        <v>16</v>
      </c>
      <c r="G973" t="s">
        <v>22</v>
      </c>
      <c r="H973" s="3">
        <v>45631</v>
      </c>
    </row>
    <row r="974" spans="1:8" x14ac:dyDescent="0.25">
      <c r="A974" t="s">
        <v>1011</v>
      </c>
      <c r="B974">
        <v>47</v>
      </c>
      <c r="C974" t="s">
        <v>9</v>
      </c>
      <c r="D974" t="s">
        <v>19</v>
      </c>
      <c r="E974" t="s">
        <v>20</v>
      </c>
      <c r="F974" t="s">
        <v>21</v>
      </c>
      <c r="G974" t="s">
        <v>12</v>
      </c>
      <c r="H974" s="3">
        <v>45489</v>
      </c>
    </row>
    <row r="975" spans="1:8" x14ac:dyDescent="0.25">
      <c r="A975" t="s">
        <v>1012</v>
      </c>
      <c r="B975">
        <v>62</v>
      </c>
      <c r="C975" t="s">
        <v>24</v>
      </c>
      <c r="D975" t="s">
        <v>10</v>
      </c>
      <c r="E975" t="s">
        <v>10</v>
      </c>
      <c r="F975" t="s">
        <v>47</v>
      </c>
      <c r="G975" t="s">
        <v>12</v>
      </c>
      <c r="H975" s="3">
        <v>45865</v>
      </c>
    </row>
    <row r="976" spans="1:8" x14ac:dyDescent="0.25">
      <c r="A976" t="s">
        <v>1013</v>
      </c>
      <c r="B976">
        <v>40</v>
      </c>
      <c r="C976" t="s">
        <v>9</v>
      </c>
      <c r="D976" t="s">
        <v>10</v>
      </c>
      <c r="E976" t="s">
        <v>10</v>
      </c>
      <c r="F976" t="s">
        <v>29</v>
      </c>
      <c r="G976" t="s">
        <v>17</v>
      </c>
      <c r="H976" s="3">
        <v>45813</v>
      </c>
    </row>
    <row r="977" spans="1:8" x14ac:dyDescent="0.25">
      <c r="A977" t="s">
        <v>1014</v>
      </c>
      <c r="B977">
        <v>45</v>
      </c>
      <c r="C977" t="s">
        <v>24</v>
      </c>
      <c r="D977" t="s">
        <v>10</v>
      </c>
      <c r="E977" t="s">
        <v>10</v>
      </c>
      <c r="F977" t="s">
        <v>47</v>
      </c>
      <c r="G977" t="s">
        <v>22</v>
      </c>
      <c r="H977" s="3">
        <v>45652</v>
      </c>
    </row>
    <row r="978" spans="1:8" x14ac:dyDescent="0.25">
      <c r="A978" t="s">
        <v>1015</v>
      </c>
      <c r="B978">
        <v>57</v>
      </c>
      <c r="C978" t="s">
        <v>24</v>
      </c>
      <c r="D978" t="s">
        <v>25</v>
      </c>
      <c r="E978" t="s">
        <v>26</v>
      </c>
      <c r="F978" t="s">
        <v>27</v>
      </c>
      <c r="G978" t="s">
        <v>22</v>
      </c>
      <c r="H978" s="3">
        <v>45002</v>
      </c>
    </row>
    <row r="979" spans="1:8" x14ac:dyDescent="0.25">
      <c r="A979" t="s">
        <v>1016</v>
      </c>
      <c r="B979">
        <v>22</v>
      </c>
      <c r="C979" t="s">
        <v>9</v>
      </c>
      <c r="D979" t="s">
        <v>10</v>
      </c>
      <c r="E979" t="s">
        <v>10</v>
      </c>
      <c r="F979" t="s">
        <v>29</v>
      </c>
      <c r="G979" t="s">
        <v>12</v>
      </c>
      <c r="H979" s="3">
        <v>45365</v>
      </c>
    </row>
    <row r="980" spans="1:8" x14ac:dyDescent="0.25">
      <c r="A980" t="s">
        <v>1017</v>
      </c>
      <c r="B980">
        <v>37</v>
      </c>
      <c r="C980" t="s">
        <v>24</v>
      </c>
      <c r="D980" t="s">
        <v>10</v>
      </c>
      <c r="E980" t="s">
        <v>10</v>
      </c>
      <c r="F980" t="s">
        <v>53</v>
      </c>
      <c r="G980" t="s">
        <v>22</v>
      </c>
      <c r="H980" s="3">
        <v>45625</v>
      </c>
    </row>
    <row r="981" spans="1:8" x14ac:dyDescent="0.25">
      <c r="A981" t="s">
        <v>1018</v>
      </c>
      <c r="B981">
        <v>57</v>
      </c>
      <c r="C981" t="s">
        <v>24</v>
      </c>
      <c r="D981" t="s">
        <v>25</v>
      </c>
      <c r="E981" t="s">
        <v>26</v>
      </c>
      <c r="F981" t="s">
        <v>27</v>
      </c>
      <c r="G981" t="s">
        <v>12</v>
      </c>
      <c r="H981" s="3">
        <v>45841</v>
      </c>
    </row>
    <row r="982" spans="1:8" x14ac:dyDescent="0.25">
      <c r="A982" t="s">
        <v>1019</v>
      </c>
      <c r="B982">
        <v>61</v>
      </c>
      <c r="C982" t="s">
        <v>9</v>
      </c>
      <c r="D982" t="s">
        <v>10</v>
      </c>
      <c r="E982" t="s">
        <v>10</v>
      </c>
      <c r="F982" t="s">
        <v>11</v>
      </c>
      <c r="G982" t="s">
        <v>12</v>
      </c>
      <c r="H982" s="3">
        <v>45817</v>
      </c>
    </row>
    <row r="983" spans="1:8" x14ac:dyDescent="0.25">
      <c r="A983" t="s">
        <v>1020</v>
      </c>
      <c r="B983">
        <v>18</v>
      </c>
      <c r="C983" t="s">
        <v>9</v>
      </c>
      <c r="D983" t="s">
        <v>19</v>
      </c>
      <c r="E983" t="s">
        <v>20</v>
      </c>
      <c r="F983" t="s">
        <v>21</v>
      </c>
      <c r="G983" t="s">
        <v>12</v>
      </c>
      <c r="H983" s="3">
        <v>45618</v>
      </c>
    </row>
    <row r="984" spans="1:8" x14ac:dyDescent="0.25">
      <c r="A984" t="s">
        <v>1021</v>
      </c>
      <c r="B984">
        <v>47</v>
      </c>
      <c r="C984" t="s">
        <v>24</v>
      </c>
      <c r="D984" t="s">
        <v>10</v>
      </c>
      <c r="E984" t="s">
        <v>10</v>
      </c>
      <c r="F984" t="s">
        <v>29</v>
      </c>
      <c r="G984" t="s">
        <v>17</v>
      </c>
      <c r="H984" s="3">
        <v>45179</v>
      </c>
    </row>
    <row r="985" spans="1:8" x14ac:dyDescent="0.25">
      <c r="A985" t="s">
        <v>1022</v>
      </c>
      <c r="B985">
        <v>38</v>
      </c>
      <c r="C985" t="s">
        <v>24</v>
      </c>
      <c r="D985" t="s">
        <v>10</v>
      </c>
      <c r="E985" t="s">
        <v>10</v>
      </c>
      <c r="F985" t="s">
        <v>29</v>
      </c>
      <c r="G985" t="s">
        <v>12</v>
      </c>
      <c r="H985" s="3">
        <v>46076</v>
      </c>
    </row>
    <row r="986" spans="1:8" x14ac:dyDescent="0.25">
      <c r="A986" t="s">
        <v>1023</v>
      </c>
      <c r="B986">
        <v>37</v>
      </c>
      <c r="C986" t="s">
        <v>24</v>
      </c>
      <c r="D986" t="s">
        <v>19</v>
      </c>
      <c r="E986" t="s">
        <v>20</v>
      </c>
      <c r="F986" t="s">
        <v>21</v>
      </c>
      <c r="G986" t="s">
        <v>22</v>
      </c>
      <c r="H986" s="3">
        <v>46127</v>
      </c>
    </row>
    <row r="987" spans="1:8" x14ac:dyDescent="0.25">
      <c r="A987" t="s">
        <v>1024</v>
      </c>
      <c r="B987">
        <v>23</v>
      </c>
      <c r="C987" t="s">
        <v>24</v>
      </c>
      <c r="D987" t="s">
        <v>10</v>
      </c>
      <c r="E987" t="s">
        <v>10</v>
      </c>
      <c r="F987" t="s">
        <v>53</v>
      </c>
      <c r="G987" t="s">
        <v>17</v>
      </c>
      <c r="H987" s="3">
        <v>45987</v>
      </c>
    </row>
    <row r="988" spans="1:8" x14ac:dyDescent="0.25">
      <c r="A988" t="s">
        <v>1025</v>
      </c>
      <c r="B988">
        <v>39</v>
      </c>
      <c r="C988" t="s">
        <v>24</v>
      </c>
      <c r="D988" t="s">
        <v>25</v>
      </c>
      <c r="E988" t="s">
        <v>38</v>
      </c>
      <c r="F988" t="s">
        <v>39</v>
      </c>
      <c r="G988" t="s">
        <v>12</v>
      </c>
      <c r="H988" s="3">
        <v>45336</v>
      </c>
    </row>
    <row r="989" spans="1:8" x14ac:dyDescent="0.25">
      <c r="A989" t="s">
        <v>1026</v>
      </c>
      <c r="B989">
        <v>35</v>
      </c>
      <c r="C989" t="s">
        <v>24</v>
      </c>
      <c r="D989" t="s">
        <v>10</v>
      </c>
      <c r="E989" t="s">
        <v>10</v>
      </c>
      <c r="F989" t="s">
        <v>53</v>
      </c>
      <c r="G989" t="s">
        <v>12</v>
      </c>
      <c r="H989" s="3">
        <v>45053</v>
      </c>
    </row>
    <row r="990" spans="1:8" x14ac:dyDescent="0.25">
      <c r="A990" t="s">
        <v>1027</v>
      </c>
      <c r="B990">
        <v>25</v>
      </c>
      <c r="C990" t="s">
        <v>9</v>
      </c>
      <c r="D990" t="s">
        <v>10</v>
      </c>
      <c r="E990" t="s">
        <v>10</v>
      </c>
      <c r="F990" t="s">
        <v>47</v>
      </c>
      <c r="G990" t="s">
        <v>12</v>
      </c>
      <c r="H990" s="3">
        <v>46118</v>
      </c>
    </row>
    <row r="991" spans="1:8" x14ac:dyDescent="0.25">
      <c r="A991" t="s">
        <v>1028</v>
      </c>
      <c r="B991">
        <v>56</v>
      </c>
      <c r="C991" t="s">
        <v>9</v>
      </c>
      <c r="D991" t="s">
        <v>43</v>
      </c>
      <c r="E991" t="s">
        <v>44</v>
      </c>
      <c r="F991" t="s">
        <v>45</v>
      </c>
      <c r="G991" t="s">
        <v>22</v>
      </c>
      <c r="H991" s="3">
        <v>45518</v>
      </c>
    </row>
    <row r="992" spans="1:8" x14ac:dyDescent="0.25">
      <c r="A992" t="s">
        <v>1029</v>
      </c>
      <c r="B992">
        <v>49</v>
      </c>
      <c r="C992" t="s">
        <v>24</v>
      </c>
      <c r="D992" t="s">
        <v>43</v>
      </c>
      <c r="E992" t="s">
        <v>44</v>
      </c>
      <c r="F992" t="s">
        <v>45</v>
      </c>
      <c r="G992" t="s">
        <v>12</v>
      </c>
      <c r="H992" s="3">
        <v>45220</v>
      </c>
    </row>
    <row r="993" spans="1:8" x14ac:dyDescent="0.25">
      <c r="A993" t="s">
        <v>1030</v>
      </c>
      <c r="B993">
        <v>50</v>
      </c>
      <c r="C993" t="s">
        <v>24</v>
      </c>
      <c r="D993" t="s">
        <v>25</v>
      </c>
      <c r="E993" t="s">
        <v>38</v>
      </c>
      <c r="F993" t="s">
        <v>39</v>
      </c>
      <c r="G993" t="s">
        <v>12</v>
      </c>
      <c r="H993" s="3">
        <v>45946</v>
      </c>
    </row>
    <row r="994" spans="1:8" x14ac:dyDescent="0.25">
      <c r="A994" t="s">
        <v>1031</v>
      </c>
      <c r="B994">
        <v>33</v>
      </c>
      <c r="C994" t="s">
        <v>9</v>
      </c>
      <c r="D994" t="s">
        <v>10</v>
      </c>
      <c r="E994" t="s">
        <v>10</v>
      </c>
      <c r="F994" t="s">
        <v>47</v>
      </c>
      <c r="G994" t="s">
        <v>22</v>
      </c>
      <c r="H994" s="3">
        <v>45236</v>
      </c>
    </row>
    <row r="995" spans="1:8" x14ac:dyDescent="0.25">
      <c r="A995" t="s">
        <v>1032</v>
      </c>
      <c r="B995">
        <v>29</v>
      </c>
      <c r="C995" t="s">
        <v>9</v>
      </c>
      <c r="D995" t="s">
        <v>25</v>
      </c>
      <c r="E995" t="s">
        <v>26</v>
      </c>
      <c r="F995" t="s">
        <v>27</v>
      </c>
      <c r="G995" t="s">
        <v>12</v>
      </c>
      <c r="H995" s="3">
        <v>45588</v>
      </c>
    </row>
    <row r="996" spans="1:8" x14ac:dyDescent="0.25">
      <c r="A996" t="s">
        <v>1033</v>
      </c>
      <c r="B996">
        <v>55</v>
      </c>
      <c r="C996" t="s">
        <v>24</v>
      </c>
      <c r="D996" t="s">
        <v>10</v>
      </c>
      <c r="E996" t="s">
        <v>10</v>
      </c>
      <c r="F996" t="s">
        <v>11</v>
      </c>
      <c r="G996" t="s">
        <v>12</v>
      </c>
      <c r="H996" s="3">
        <v>45454</v>
      </c>
    </row>
    <row r="997" spans="1:8" x14ac:dyDescent="0.25">
      <c r="A997" t="s">
        <v>1034</v>
      </c>
      <c r="B997">
        <v>51</v>
      </c>
      <c r="C997" t="s">
        <v>24</v>
      </c>
      <c r="D997" t="s">
        <v>10</v>
      </c>
      <c r="E997" t="s">
        <v>10</v>
      </c>
      <c r="F997" t="s">
        <v>29</v>
      </c>
      <c r="G997" t="s">
        <v>12</v>
      </c>
      <c r="H997" s="3">
        <v>45466</v>
      </c>
    </row>
    <row r="998" spans="1:8" x14ac:dyDescent="0.25">
      <c r="A998" t="s">
        <v>1035</v>
      </c>
      <c r="B998">
        <v>31</v>
      </c>
      <c r="C998" t="s">
        <v>9</v>
      </c>
      <c r="D998" t="s">
        <v>33</v>
      </c>
      <c r="E998" t="s">
        <v>34</v>
      </c>
      <c r="F998" t="s">
        <v>35</v>
      </c>
      <c r="G998" t="s">
        <v>12</v>
      </c>
      <c r="H998" s="3">
        <v>45345</v>
      </c>
    </row>
    <row r="999" spans="1:8" x14ac:dyDescent="0.25">
      <c r="A999" t="s">
        <v>1036</v>
      </c>
      <c r="B999">
        <v>53</v>
      </c>
      <c r="C999" t="s">
        <v>9</v>
      </c>
      <c r="D999" t="s">
        <v>10</v>
      </c>
      <c r="E999" t="s">
        <v>10</v>
      </c>
      <c r="F999" t="s">
        <v>29</v>
      </c>
      <c r="G999" t="s">
        <v>78</v>
      </c>
      <c r="H999" s="3">
        <v>45370</v>
      </c>
    </row>
    <row r="1000" spans="1:8" x14ac:dyDescent="0.25">
      <c r="A1000" t="s">
        <v>1037</v>
      </c>
      <c r="B1000">
        <v>50</v>
      </c>
      <c r="C1000" t="s">
        <v>9</v>
      </c>
      <c r="D1000" t="s">
        <v>14</v>
      </c>
      <c r="E1000" t="s">
        <v>15</v>
      </c>
      <c r="F1000" t="s">
        <v>16</v>
      </c>
      <c r="G1000" t="s">
        <v>22</v>
      </c>
      <c r="H1000" s="3">
        <v>45611</v>
      </c>
    </row>
    <row r="1001" spans="1:8" x14ac:dyDescent="0.25">
      <c r="A1001" t="s">
        <v>1038</v>
      </c>
      <c r="B1001">
        <v>40</v>
      </c>
      <c r="C1001" t="s">
        <v>9</v>
      </c>
      <c r="D1001" t="s">
        <v>10</v>
      </c>
      <c r="E1001" t="s">
        <v>10</v>
      </c>
      <c r="F1001" t="s">
        <v>53</v>
      </c>
      <c r="G1001" t="s">
        <v>12</v>
      </c>
      <c r="H1001" s="3">
        <v>45766</v>
      </c>
    </row>
  </sheetData>
  <autoFilter ref="A1:J1001"/>
  <conditionalFormatting sqref="A1:A1048576">
    <cfRule type="duplicateValues" dxfId="1" priority="1"/>
    <cfRule type="duplicateValues" dxfId="0" priority="2"/>
  </conditionalFormatting>
  <pageMargins left="0.75" right="0.75" top="1" bottom="1" header="0.5" footer="0.5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>
      <selection activeCell="G1" sqref="G1"/>
    </sheetView>
  </sheetViews>
  <sheetFormatPr defaultRowHeight="15" x14ac:dyDescent="0.25"/>
  <cols>
    <col min="1" max="1" width="14.42578125" customWidth="1"/>
    <col min="2" max="2" width="13.85546875" customWidth="1"/>
    <col min="3" max="3" width="15" customWidth="1"/>
    <col min="4" max="4" width="19" customWidth="1"/>
    <col min="5" max="5" width="21.140625" customWidth="1"/>
    <col min="6" max="6" width="24" style="8" customWidth="1"/>
    <col min="7" max="7" width="12.7109375" customWidth="1"/>
  </cols>
  <sheetData>
    <row r="1" spans="1:11" x14ac:dyDescent="0.25">
      <c r="A1" s="1" t="s">
        <v>1039</v>
      </c>
      <c r="B1" s="1" t="s">
        <v>0</v>
      </c>
      <c r="C1" s="1" t="s">
        <v>1040</v>
      </c>
      <c r="D1" s="1" t="s">
        <v>1041</v>
      </c>
      <c r="E1" s="1" t="s">
        <v>1042</v>
      </c>
      <c r="F1" s="7" t="s">
        <v>1043</v>
      </c>
      <c r="H1" s="14" t="s">
        <v>8616</v>
      </c>
      <c r="K1" t="s">
        <v>8659</v>
      </c>
    </row>
    <row r="2" spans="1:11" x14ac:dyDescent="0.25">
      <c r="A2" t="s">
        <v>1044</v>
      </c>
      <c r="B2" t="s">
        <v>8</v>
      </c>
      <c r="C2" t="s">
        <v>1045</v>
      </c>
      <c r="D2" t="s">
        <v>1046</v>
      </c>
      <c r="E2">
        <v>3663.33</v>
      </c>
      <c r="F2" s="8">
        <v>45575</v>
      </c>
      <c r="H2" t="str">
        <f>IF(COUNTIF(Customers!$A$2:$A$1001,B2)&gt;0,"Valid","Invalid")</f>
        <v>Valid</v>
      </c>
      <c r="I2" t="str">
        <f>IF(OR(C2="Savings",C2="Current",C2="Business",C2="Student"),"Valid","Check")</f>
        <v>Valid</v>
      </c>
      <c r="K2" t="str">
        <f>VLOOKUP(B2,Customers!A:G,7,FALSE)</f>
        <v>Individual</v>
      </c>
    </row>
    <row r="3" spans="1:11" x14ac:dyDescent="0.25">
      <c r="A3" t="s">
        <v>1047</v>
      </c>
      <c r="B3" t="s">
        <v>13</v>
      </c>
      <c r="C3" t="s">
        <v>17</v>
      </c>
      <c r="D3" t="s">
        <v>1046</v>
      </c>
      <c r="E3">
        <v>5947.62</v>
      </c>
      <c r="F3" s="8">
        <v>46114</v>
      </c>
      <c r="H3" t="str">
        <f>IF(COUNTIF(Customers!$A$2:$A$1001,B3)&gt;0,"Valid","Invalid")</f>
        <v>Valid</v>
      </c>
      <c r="I3" t="str">
        <f t="shared" ref="I3:I66" si="0">IF(OR(C3="Savings",C3="Current",C3="Business",C3="Student"),"Valid","Check")</f>
        <v>Valid</v>
      </c>
      <c r="K3" t="str">
        <f>VLOOKUP(B3,Customers!A:G,7,FALSE)</f>
        <v>Student</v>
      </c>
    </row>
    <row r="4" spans="1:11" x14ac:dyDescent="0.25">
      <c r="A4" t="s">
        <v>1048</v>
      </c>
      <c r="B4" t="s">
        <v>18</v>
      </c>
      <c r="C4" t="s">
        <v>1049</v>
      </c>
      <c r="D4" t="s">
        <v>1050</v>
      </c>
      <c r="E4">
        <v>2931.66</v>
      </c>
      <c r="F4" s="8">
        <v>45402</v>
      </c>
      <c r="H4" t="str">
        <f>IF(COUNTIF(Customers!$A$2:$A$1001,B4)&gt;0,"Valid","Invalid")</f>
        <v>Valid</v>
      </c>
      <c r="I4" t="str">
        <f t="shared" si="0"/>
        <v>Valid</v>
      </c>
      <c r="K4" t="str">
        <f>VLOOKUP(B4,Customers!A:G,7,FALSE)</f>
        <v>SME</v>
      </c>
    </row>
    <row r="5" spans="1:11" x14ac:dyDescent="0.25">
      <c r="A5" t="s">
        <v>1051</v>
      </c>
      <c r="B5" t="s">
        <v>23</v>
      </c>
      <c r="C5" t="s">
        <v>1049</v>
      </c>
      <c r="D5" t="s">
        <v>1050</v>
      </c>
      <c r="E5">
        <v>5224.92</v>
      </c>
      <c r="F5" s="8">
        <v>45096</v>
      </c>
      <c r="H5" t="str">
        <f>IF(COUNTIF(Customers!$A$2:$A$1001,B5)&gt;0,"Valid","Invalid")</f>
        <v>Valid</v>
      </c>
      <c r="I5" t="str">
        <f t="shared" si="0"/>
        <v>Valid</v>
      </c>
      <c r="K5" t="str">
        <f>VLOOKUP(B5,Customers!A:G,7,FALSE)</f>
        <v>Individual</v>
      </c>
    </row>
    <row r="6" spans="1:11" x14ac:dyDescent="0.25">
      <c r="A6" t="s">
        <v>1052</v>
      </c>
      <c r="B6" t="s">
        <v>28</v>
      </c>
      <c r="C6" t="s">
        <v>17</v>
      </c>
      <c r="D6" t="s">
        <v>1050</v>
      </c>
      <c r="E6">
        <v>1867.77</v>
      </c>
      <c r="F6" s="8">
        <v>45100</v>
      </c>
      <c r="H6" t="str">
        <f>IF(COUNTIF(Customers!$A$2:$A$1001,B6)&gt;0,"Valid","Invalid")</f>
        <v>Valid</v>
      </c>
      <c r="I6" t="str">
        <f t="shared" si="0"/>
        <v>Valid</v>
      </c>
      <c r="K6" t="str">
        <f>VLOOKUP(B6,Customers!A:G,7,FALSE)</f>
        <v>SME</v>
      </c>
    </row>
    <row r="7" spans="1:11" x14ac:dyDescent="0.25">
      <c r="A7" t="s">
        <v>1053</v>
      </c>
      <c r="B7" t="s">
        <v>30</v>
      </c>
      <c r="C7" t="s">
        <v>1045</v>
      </c>
      <c r="D7" t="s">
        <v>1050</v>
      </c>
      <c r="E7">
        <v>4046.44</v>
      </c>
      <c r="F7" s="8">
        <v>45396</v>
      </c>
      <c r="H7" t="str">
        <f>IF(COUNTIF(Customers!$A$2:$A$1001,B7)&gt;0,"Valid","Invalid")</f>
        <v>Valid</v>
      </c>
      <c r="I7" t="str">
        <f t="shared" si="0"/>
        <v>Valid</v>
      </c>
      <c r="K7" t="str">
        <f>VLOOKUP(B7,Customers!A:G,7,FALSE)</f>
        <v>SME</v>
      </c>
    </row>
    <row r="8" spans="1:11" x14ac:dyDescent="0.25">
      <c r="A8" t="s">
        <v>1054</v>
      </c>
      <c r="B8" t="s">
        <v>31</v>
      </c>
      <c r="C8" t="s">
        <v>1045</v>
      </c>
      <c r="D8" t="s">
        <v>1046</v>
      </c>
      <c r="E8">
        <v>1949.67</v>
      </c>
      <c r="F8" s="8">
        <v>45271</v>
      </c>
      <c r="H8" t="str">
        <f>IF(COUNTIF(Customers!$A$2:$A$1001,B8)&gt;0,"Valid","Invalid")</f>
        <v>Valid</v>
      </c>
      <c r="I8" t="str">
        <f t="shared" si="0"/>
        <v>Valid</v>
      </c>
      <c r="K8" t="str">
        <f>VLOOKUP(B8,Customers!A:G,7,FALSE)</f>
        <v>Individual</v>
      </c>
    </row>
    <row r="9" spans="1:11" x14ac:dyDescent="0.25">
      <c r="A9" t="s">
        <v>1055</v>
      </c>
      <c r="B9" t="s">
        <v>32</v>
      </c>
      <c r="C9" t="s">
        <v>1056</v>
      </c>
      <c r="D9" t="s">
        <v>1050</v>
      </c>
      <c r="E9">
        <v>648.77</v>
      </c>
      <c r="F9" s="8">
        <v>45371</v>
      </c>
      <c r="H9" t="str">
        <f>IF(COUNTIF(Customers!$A$2:$A$1001,B9)&gt;0,"Valid","Invalid")</f>
        <v>Valid</v>
      </c>
      <c r="I9" t="str">
        <f t="shared" si="0"/>
        <v>Valid</v>
      </c>
      <c r="K9" t="str">
        <f>VLOOKUP(B9,Customers!A:G,7,FALSE)</f>
        <v>Individual</v>
      </c>
    </row>
    <row r="10" spans="1:11" x14ac:dyDescent="0.25">
      <c r="A10" t="s">
        <v>1057</v>
      </c>
      <c r="B10" t="s">
        <v>36</v>
      </c>
      <c r="C10" t="s">
        <v>1045</v>
      </c>
      <c r="D10" t="s">
        <v>1050</v>
      </c>
      <c r="E10">
        <v>2313.9699999999998</v>
      </c>
      <c r="F10" s="8">
        <v>45968</v>
      </c>
      <c r="H10" t="str">
        <f>IF(COUNTIF(Customers!$A$2:$A$1001,B10)&gt;0,"Valid","Invalid")</f>
        <v>Valid</v>
      </c>
      <c r="I10" t="str">
        <f t="shared" si="0"/>
        <v>Valid</v>
      </c>
      <c r="K10" t="str">
        <f>VLOOKUP(B10,Customers!A:G,7,FALSE)</f>
        <v>Individual</v>
      </c>
    </row>
    <row r="11" spans="1:11" x14ac:dyDescent="0.25">
      <c r="A11" t="s">
        <v>1058</v>
      </c>
      <c r="B11" t="s">
        <v>37</v>
      </c>
      <c r="C11" t="s">
        <v>1045</v>
      </c>
      <c r="D11" t="s">
        <v>1050</v>
      </c>
      <c r="E11">
        <v>668.28</v>
      </c>
      <c r="F11" s="8">
        <v>46020</v>
      </c>
      <c r="H11" t="str">
        <f>IF(COUNTIF(Customers!$A$2:$A$1001,B11)&gt;0,"Valid","Invalid")</f>
        <v>Valid</v>
      </c>
      <c r="I11" t="str">
        <f t="shared" si="0"/>
        <v>Valid</v>
      </c>
      <c r="K11" t="str">
        <f>VLOOKUP(B11,Customers!A:G,7,FALSE)</f>
        <v>SME</v>
      </c>
    </row>
    <row r="12" spans="1:11" x14ac:dyDescent="0.25">
      <c r="A12" t="s">
        <v>1059</v>
      </c>
      <c r="B12" t="s">
        <v>40</v>
      </c>
      <c r="C12" t="s">
        <v>1045</v>
      </c>
      <c r="D12" t="s">
        <v>1050</v>
      </c>
      <c r="E12">
        <v>18753.37</v>
      </c>
      <c r="F12" s="8">
        <v>45554</v>
      </c>
      <c r="H12" t="str">
        <f>IF(COUNTIF(Customers!$A$2:$A$1001,B12)&gt;0,"Valid","Invalid")</f>
        <v>Valid</v>
      </c>
      <c r="I12" t="str">
        <f t="shared" si="0"/>
        <v>Valid</v>
      </c>
      <c r="K12" t="str">
        <f>VLOOKUP(B12,Customers!A:G,7,FALSE)</f>
        <v>Individual</v>
      </c>
    </row>
    <row r="13" spans="1:11" x14ac:dyDescent="0.25">
      <c r="A13" t="s">
        <v>1060</v>
      </c>
      <c r="B13" t="s">
        <v>41</v>
      </c>
      <c r="C13" t="s">
        <v>1056</v>
      </c>
      <c r="D13" t="s">
        <v>1046</v>
      </c>
      <c r="E13">
        <v>1294.54</v>
      </c>
      <c r="F13" s="8">
        <v>45518</v>
      </c>
      <c r="H13" t="str">
        <f>IF(COUNTIF(Customers!$A$2:$A$1001,B13)&gt;0,"Valid","Invalid")</f>
        <v>Valid</v>
      </c>
      <c r="I13" t="str">
        <f t="shared" si="0"/>
        <v>Valid</v>
      </c>
      <c r="K13" t="str">
        <f>VLOOKUP(B13,Customers!A:G,7,FALSE)</f>
        <v>Individual</v>
      </c>
    </row>
    <row r="14" spans="1:11" x14ac:dyDescent="0.25">
      <c r="A14" t="s">
        <v>1061</v>
      </c>
      <c r="B14" t="s">
        <v>42</v>
      </c>
      <c r="C14" t="s">
        <v>1056</v>
      </c>
      <c r="D14" t="s">
        <v>1050</v>
      </c>
      <c r="E14">
        <v>3446.24</v>
      </c>
      <c r="F14" s="8">
        <v>45453</v>
      </c>
      <c r="H14" t="str">
        <f>IF(COUNTIF(Customers!$A$2:$A$1001,B14)&gt;0,"Valid","Invalid")</f>
        <v>Valid</v>
      </c>
      <c r="I14" t="str">
        <f t="shared" si="0"/>
        <v>Valid</v>
      </c>
      <c r="K14" t="str">
        <f>VLOOKUP(B14,Customers!A:G,7,FALSE)</f>
        <v>Individual</v>
      </c>
    </row>
    <row r="15" spans="1:11" x14ac:dyDescent="0.25">
      <c r="A15" t="s">
        <v>1062</v>
      </c>
      <c r="B15" t="s">
        <v>46</v>
      </c>
      <c r="C15" t="s">
        <v>1045</v>
      </c>
      <c r="D15" t="s">
        <v>1046</v>
      </c>
      <c r="E15">
        <v>1785.74</v>
      </c>
      <c r="F15" s="8">
        <v>45382</v>
      </c>
      <c r="H15" t="str">
        <f>IF(COUNTIF(Customers!$A$2:$A$1001,B15)&gt;0,"Valid","Invalid")</f>
        <v>Valid</v>
      </c>
      <c r="I15" t="str">
        <f t="shared" si="0"/>
        <v>Valid</v>
      </c>
      <c r="K15" t="str">
        <f>VLOOKUP(B15,Customers!A:G,7,FALSE)</f>
        <v>Individual</v>
      </c>
    </row>
    <row r="16" spans="1:11" x14ac:dyDescent="0.25">
      <c r="A16" t="s">
        <v>1063</v>
      </c>
      <c r="B16" t="s">
        <v>48</v>
      </c>
      <c r="C16" t="s">
        <v>1045</v>
      </c>
      <c r="D16" t="s">
        <v>1050</v>
      </c>
      <c r="E16">
        <v>526.57000000000005</v>
      </c>
      <c r="F16" s="8">
        <v>45737</v>
      </c>
      <c r="H16" t="str">
        <f>IF(COUNTIF(Customers!$A$2:$A$1001,B16)&gt;0,"Valid","Invalid")</f>
        <v>Valid</v>
      </c>
      <c r="I16" t="str">
        <f t="shared" si="0"/>
        <v>Valid</v>
      </c>
      <c r="K16" t="str">
        <f>VLOOKUP(B16,Customers!A:G,7,FALSE)</f>
        <v>Individual</v>
      </c>
    </row>
    <row r="17" spans="1:11" x14ac:dyDescent="0.25">
      <c r="A17" t="s">
        <v>1064</v>
      </c>
      <c r="B17" t="s">
        <v>49</v>
      </c>
      <c r="C17" t="s">
        <v>1056</v>
      </c>
      <c r="D17" t="s">
        <v>1050</v>
      </c>
      <c r="E17">
        <v>270.83</v>
      </c>
      <c r="F17" s="8">
        <v>45114</v>
      </c>
      <c r="H17" t="str">
        <f>IF(COUNTIF(Customers!$A$2:$A$1001,B17)&gt;0,"Valid","Invalid")</f>
        <v>Valid</v>
      </c>
      <c r="I17" t="str">
        <f t="shared" si="0"/>
        <v>Valid</v>
      </c>
      <c r="K17" t="str">
        <f>VLOOKUP(B17,Customers!A:G,7,FALSE)</f>
        <v>Individual</v>
      </c>
    </row>
    <row r="18" spans="1:11" x14ac:dyDescent="0.25">
      <c r="A18" t="s">
        <v>1065</v>
      </c>
      <c r="B18" t="s">
        <v>50</v>
      </c>
      <c r="C18" t="s">
        <v>1056</v>
      </c>
      <c r="D18" t="s">
        <v>1046</v>
      </c>
      <c r="E18">
        <v>3823.85</v>
      </c>
      <c r="F18" s="8">
        <v>45947</v>
      </c>
      <c r="H18" t="str">
        <f>IF(COUNTIF(Customers!$A$2:$A$1001,B18)&gt;0,"Valid","Invalid")</f>
        <v>Valid</v>
      </c>
      <c r="I18" t="str">
        <f t="shared" si="0"/>
        <v>Valid</v>
      </c>
      <c r="K18" t="str">
        <f>VLOOKUP(B18,Customers!A:G,7,FALSE)</f>
        <v>SME</v>
      </c>
    </row>
    <row r="19" spans="1:11" x14ac:dyDescent="0.25">
      <c r="A19" t="s">
        <v>1066</v>
      </c>
      <c r="B19" t="s">
        <v>51</v>
      </c>
      <c r="C19" t="s">
        <v>1045</v>
      </c>
      <c r="D19" t="s">
        <v>1050</v>
      </c>
      <c r="E19">
        <v>8512.93</v>
      </c>
      <c r="F19" s="8">
        <v>45637</v>
      </c>
      <c r="H19" t="str">
        <f>IF(COUNTIF(Customers!$A$2:$A$1001,B19)&gt;0,"Valid","Invalid")</f>
        <v>Valid</v>
      </c>
      <c r="I19" t="str">
        <f t="shared" si="0"/>
        <v>Valid</v>
      </c>
      <c r="K19" t="str">
        <f>VLOOKUP(B19,Customers!A:G,7,FALSE)</f>
        <v>Individual</v>
      </c>
    </row>
    <row r="20" spans="1:11" x14ac:dyDescent="0.25">
      <c r="A20" t="s">
        <v>1067</v>
      </c>
      <c r="B20" t="s">
        <v>52</v>
      </c>
      <c r="C20" t="s">
        <v>1049</v>
      </c>
      <c r="D20" t="s">
        <v>1068</v>
      </c>
      <c r="E20">
        <v>867.14</v>
      </c>
      <c r="F20" s="8">
        <v>45455</v>
      </c>
      <c r="H20" t="str">
        <f>IF(COUNTIF(Customers!$A$2:$A$1001,B20)&gt;0,"Valid","Invalid")</f>
        <v>Valid</v>
      </c>
      <c r="I20" t="str">
        <f t="shared" si="0"/>
        <v>Valid</v>
      </c>
      <c r="K20" t="str">
        <f>VLOOKUP(B20,Customers!A:G,7,FALSE)</f>
        <v>Individual</v>
      </c>
    </row>
    <row r="21" spans="1:11" x14ac:dyDescent="0.25">
      <c r="A21" t="s">
        <v>1069</v>
      </c>
      <c r="B21" t="s">
        <v>54</v>
      </c>
      <c r="C21" t="s">
        <v>1045</v>
      </c>
      <c r="D21" t="s">
        <v>1050</v>
      </c>
      <c r="E21">
        <v>344.92</v>
      </c>
      <c r="F21" s="8">
        <v>45360</v>
      </c>
      <c r="H21" t="str">
        <f>IF(COUNTIF(Customers!$A$2:$A$1001,B21)&gt;0,"Valid","Invalid")</f>
        <v>Valid</v>
      </c>
      <c r="I21" t="str">
        <f t="shared" si="0"/>
        <v>Valid</v>
      </c>
      <c r="K21" t="str">
        <f>VLOOKUP(B21,Customers!A:G,7,FALSE)</f>
        <v>Individual</v>
      </c>
    </row>
    <row r="22" spans="1:11" x14ac:dyDescent="0.25">
      <c r="A22" t="s">
        <v>1070</v>
      </c>
      <c r="B22" t="s">
        <v>55</v>
      </c>
      <c r="C22" t="s">
        <v>1045</v>
      </c>
      <c r="D22" t="s">
        <v>1050</v>
      </c>
      <c r="E22">
        <v>1306.1500000000001</v>
      </c>
      <c r="F22" s="8">
        <v>45214</v>
      </c>
      <c r="H22" t="str">
        <f>IF(COUNTIF(Customers!$A$2:$A$1001,B22)&gt;0,"Valid","Invalid")</f>
        <v>Valid</v>
      </c>
      <c r="I22" t="str">
        <f t="shared" si="0"/>
        <v>Valid</v>
      </c>
      <c r="K22" t="str">
        <f>VLOOKUP(B22,Customers!A:G,7,FALSE)</f>
        <v>SME</v>
      </c>
    </row>
    <row r="23" spans="1:11" x14ac:dyDescent="0.25">
      <c r="A23" t="s">
        <v>1071</v>
      </c>
      <c r="B23" t="s">
        <v>56</v>
      </c>
      <c r="C23" t="s">
        <v>1049</v>
      </c>
      <c r="D23" t="s">
        <v>1050</v>
      </c>
      <c r="E23">
        <v>708.31</v>
      </c>
      <c r="F23" s="8">
        <v>45425</v>
      </c>
      <c r="H23" t="str">
        <f>IF(COUNTIF(Customers!$A$2:$A$1001,B23)&gt;0,"Valid","Invalid")</f>
        <v>Valid</v>
      </c>
      <c r="I23" t="str">
        <f t="shared" si="0"/>
        <v>Valid</v>
      </c>
      <c r="K23" t="str">
        <f>VLOOKUP(B23,Customers!A:G,7,FALSE)</f>
        <v>Individual</v>
      </c>
    </row>
    <row r="24" spans="1:11" x14ac:dyDescent="0.25">
      <c r="A24" t="s">
        <v>1072</v>
      </c>
      <c r="B24" t="s">
        <v>57</v>
      </c>
      <c r="C24" t="s">
        <v>1056</v>
      </c>
      <c r="D24" t="s">
        <v>1073</v>
      </c>
      <c r="E24">
        <v>943.58</v>
      </c>
      <c r="F24" s="8">
        <v>45229</v>
      </c>
      <c r="H24" t="str">
        <f>IF(COUNTIF(Customers!$A$2:$A$1001,B24)&gt;0,"Valid","Invalid")</f>
        <v>Valid</v>
      </c>
      <c r="I24" t="str">
        <f t="shared" si="0"/>
        <v>Valid</v>
      </c>
      <c r="K24" t="str">
        <f>VLOOKUP(B24,Customers!A:G,7,FALSE)</f>
        <v>SME</v>
      </c>
    </row>
    <row r="25" spans="1:11" x14ac:dyDescent="0.25">
      <c r="A25" t="s">
        <v>1074</v>
      </c>
      <c r="B25" t="s">
        <v>58</v>
      </c>
      <c r="C25" t="s">
        <v>1045</v>
      </c>
      <c r="D25" t="s">
        <v>1050</v>
      </c>
      <c r="E25">
        <v>3328.82</v>
      </c>
      <c r="F25" s="8">
        <v>45013</v>
      </c>
      <c r="H25" t="str">
        <f>IF(COUNTIF(Customers!$A$2:$A$1001,B25)&gt;0,"Valid","Invalid")</f>
        <v>Valid</v>
      </c>
      <c r="I25" t="str">
        <f t="shared" si="0"/>
        <v>Valid</v>
      </c>
      <c r="K25" t="str">
        <f>VLOOKUP(B25,Customers!A:G,7,FALSE)</f>
        <v>Individual</v>
      </c>
    </row>
    <row r="26" spans="1:11" x14ac:dyDescent="0.25">
      <c r="A26" t="s">
        <v>1075</v>
      </c>
      <c r="B26" t="s">
        <v>59</v>
      </c>
      <c r="C26" t="s">
        <v>1056</v>
      </c>
      <c r="D26" t="s">
        <v>1046</v>
      </c>
      <c r="E26">
        <v>1719.07</v>
      </c>
      <c r="F26" s="8">
        <v>45756</v>
      </c>
      <c r="H26" t="str">
        <f>IF(COUNTIF(Customers!$A$2:$A$1001,B26)&gt;0,"Valid","Invalid")</f>
        <v>Valid</v>
      </c>
      <c r="I26" t="str">
        <f t="shared" si="0"/>
        <v>Valid</v>
      </c>
      <c r="K26" t="str">
        <f>VLOOKUP(B26,Customers!A:G,7,FALSE)</f>
        <v>Individual</v>
      </c>
    </row>
    <row r="27" spans="1:11" x14ac:dyDescent="0.25">
      <c r="A27" t="s">
        <v>1076</v>
      </c>
      <c r="B27" t="s">
        <v>60</v>
      </c>
      <c r="C27" t="s">
        <v>1056</v>
      </c>
      <c r="D27" t="s">
        <v>1050</v>
      </c>
      <c r="E27">
        <v>788.78</v>
      </c>
      <c r="F27" s="8">
        <v>45364</v>
      </c>
      <c r="H27" t="str">
        <f>IF(COUNTIF(Customers!$A$2:$A$1001,B27)&gt;0,"Valid","Invalid")</f>
        <v>Valid</v>
      </c>
      <c r="I27" t="str">
        <f t="shared" si="0"/>
        <v>Valid</v>
      </c>
      <c r="K27" t="str">
        <f>VLOOKUP(B27,Customers!A:G,7,FALSE)</f>
        <v>Student</v>
      </c>
    </row>
    <row r="28" spans="1:11" x14ac:dyDescent="0.25">
      <c r="A28" t="s">
        <v>1077</v>
      </c>
      <c r="B28" t="s">
        <v>61</v>
      </c>
      <c r="C28" t="s">
        <v>1049</v>
      </c>
      <c r="D28" t="s">
        <v>1050</v>
      </c>
      <c r="E28">
        <v>3256.8</v>
      </c>
      <c r="F28" s="8">
        <v>45467</v>
      </c>
      <c r="H28" t="str">
        <f>IF(COUNTIF(Customers!$A$2:$A$1001,B28)&gt;0,"Valid","Invalid")</f>
        <v>Valid</v>
      </c>
      <c r="I28" t="str">
        <f t="shared" si="0"/>
        <v>Valid</v>
      </c>
      <c r="K28" t="str">
        <f>VLOOKUP(B28,Customers!A:G,7,FALSE)</f>
        <v>Student</v>
      </c>
    </row>
    <row r="29" spans="1:11" x14ac:dyDescent="0.25">
      <c r="A29" t="s">
        <v>1078</v>
      </c>
      <c r="B29" t="s">
        <v>62</v>
      </c>
      <c r="C29" t="s">
        <v>1049</v>
      </c>
      <c r="D29" t="s">
        <v>1050</v>
      </c>
      <c r="E29">
        <v>3522.31</v>
      </c>
      <c r="F29" s="8">
        <v>45972</v>
      </c>
      <c r="H29" t="str">
        <f>IF(COUNTIF(Customers!$A$2:$A$1001,B29)&gt;0,"Valid","Invalid")</f>
        <v>Valid</v>
      </c>
      <c r="I29" t="str">
        <f t="shared" si="0"/>
        <v>Valid</v>
      </c>
      <c r="K29" t="str">
        <f>VLOOKUP(B29,Customers!A:G,7,FALSE)</f>
        <v>Individual</v>
      </c>
    </row>
    <row r="30" spans="1:11" x14ac:dyDescent="0.25">
      <c r="A30" t="s">
        <v>1079</v>
      </c>
      <c r="B30" t="s">
        <v>63</v>
      </c>
      <c r="C30" t="s">
        <v>1056</v>
      </c>
      <c r="D30" t="s">
        <v>1050</v>
      </c>
      <c r="E30">
        <v>1290.7</v>
      </c>
      <c r="F30" s="8">
        <v>45759</v>
      </c>
      <c r="H30" t="str">
        <f>IF(COUNTIF(Customers!$A$2:$A$1001,B30)&gt;0,"Valid","Invalid")</f>
        <v>Valid</v>
      </c>
      <c r="I30" t="str">
        <f t="shared" si="0"/>
        <v>Valid</v>
      </c>
      <c r="K30" t="str">
        <f>VLOOKUP(B30,Customers!A:G,7,FALSE)</f>
        <v>Individual</v>
      </c>
    </row>
    <row r="31" spans="1:11" x14ac:dyDescent="0.25">
      <c r="A31" t="s">
        <v>1080</v>
      </c>
      <c r="B31" t="s">
        <v>64</v>
      </c>
      <c r="C31" t="s">
        <v>1045</v>
      </c>
      <c r="D31" t="s">
        <v>1050</v>
      </c>
      <c r="E31">
        <v>2075.42</v>
      </c>
      <c r="F31" s="8">
        <v>45723</v>
      </c>
      <c r="H31" t="str">
        <f>IF(COUNTIF(Customers!$A$2:$A$1001,B31)&gt;0,"Valid","Invalid")</f>
        <v>Valid</v>
      </c>
      <c r="I31" t="str">
        <f t="shared" si="0"/>
        <v>Valid</v>
      </c>
      <c r="K31" t="str">
        <f>VLOOKUP(B31,Customers!A:G,7,FALSE)</f>
        <v>SME</v>
      </c>
    </row>
    <row r="32" spans="1:11" x14ac:dyDescent="0.25">
      <c r="A32" t="s">
        <v>1081</v>
      </c>
      <c r="B32" t="s">
        <v>65</v>
      </c>
      <c r="C32" t="s">
        <v>1045</v>
      </c>
      <c r="D32" t="s">
        <v>1073</v>
      </c>
      <c r="E32">
        <v>3042.7</v>
      </c>
      <c r="F32" s="8">
        <v>45486</v>
      </c>
      <c r="H32" t="str">
        <f>IF(COUNTIF(Customers!$A$2:$A$1001,B32)&gt;0,"Valid","Invalid")</f>
        <v>Valid</v>
      </c>
      <c r="I32" t="str">
        <f t="shared" si="0"/>
        <v>Valid</v>
      </c>
      <c r="K32" t="str">
        <f>VLOOKUP(B32,Customers!A:G,7,FALSE)</f>
        <v>Student</v>
      </c>
    </row>
    <row r="33" spans="1:11" x14ac:dyDescent="0.25">
      <c r="A33" t="s">
        <v>1082</v>
      </c>
      <c r="B33" t="s">
        <v>66</v>
      </c>
      <c r="C33" t="s">
        <v>1045</v>
      </c>
      <c r="D33" t="s">
        <v>1050</v>
      </c>
      <c r="E33">
        <v>2768.62</v>
      </c>
      <c r="F33" s="8">
        <v>45688</v>
      </c>
      <c r="H33" t="str">
        <f>IF(COUNTIF(Customers!$A$2:$A$1001,B33)&gt;0,"Valid","Invalid")</f>
        <v>Valid</v>
      </c>
      <c r="I33" t="str">
        <f t="shared" si="0"/>
        <v>Valid</v>
      </c>
      <c r="K33" t="str">
        <f>VLOOKUP(B33,Customers!A:G,7,FALSE)</f>
        <v>Individual</v>
      </c>
    </row>
    <row r="34" spans="1:11" x14ac:dyDescent="0.25">
      <c r="A34" t="s">
        <v>1083</v>
      </c>
      <c r="B34" t="s">
        <v>67</v>
      </c>
      <c r="C34" t="s">
        <v>1045</v>
      </c>
      <c r="D34" t="s">
        <v>1050</v>
      </c>
      <c r="E34">
        <v>1882.99</v>
      </c>
      <c r="F34" s="8">
        <v>45393</v>
      </c>
      <c r="H34" t="str">
        <f>IF(COUNTIF(Customers!$A$2:$A$1001,B34)&gt;0,"Valid","Invalid")</f>
        <v>Valid</v>
      </c>
      <c r="I34" t="str">
        <f t="shared" si="0"/>
        <v>Valid</v>
      </c>
      <c r="K34" t="str">
        <f>VLOOKUP(B34,Customers!A:G,7,FALSE)</f>
        <v>Individual</v>
      </c>
    </row>
    <row r="35" spans="1:11" x14ac:dyDescent="0.25">
      <c r="A35" t="s">
        <v>1084</v>
      </c>
      <c r="B35" t="s">
        <v>68</v>
      </c>
      <c r="C35" t="s">
        <v>1056</v>
      </c>
      <c r="D35" t="s">
        <v>1050</v>
      </c>
      <c r="E35">
        <v>7574.83</v>
      </c>
      <c r="F35" s="8">
        <v>46051</v>
      </c>
      <c r="H35" t="str">
        <f>IF(COUNTIF(Customers!$A$2:$A$1001,B35)&gt;0,"Valid","Invalid")</f>
        <v>Valid</v>
      </c>
      <c r="I35" t="str">
        <f t="shared" si="0"/>
        <v>Valid</v>
      </c>
      <c r="K35" t="str">
        <f>VLOOKUP(B35,Customers!A:G,7,FALSE)</f>
        <v>Student</v>
      </c>
    </row>
    <row r="36" spans="1:11" x14ac:dyDescent="0.25">
      <c r="A36" t="s">
        <v>1085</v>
      </c>
      <c r="B36" t="s">
        <v>69</v>
      </c>
      <c r="C36" t="s">
        <v>1045</v>
      </c>
      <c r="D36" t="s">
        <v>1050</v>
      </c>
      <c r="E36">
        <v>3237.9</v>
      </c>
      <c r="F36" s="8">
        <v>45601</v>
      </c>
      <c r="H36" t="str">
        <f>IF(COUNTIF(Customers!$A$2:$A$1001,B36)&gt;0,"Valid","Invalid")</f>
        <v>Valid</v>
      </c>
      <c r="I36" t="str">
        <f t="shared" si="0"/>
        <v>Valid</v>
      </c>
      <c r="K36" t="str">
        <f>VLOOKUP(B36,Customers!A:G,7,FALSE)</f>
        <v>Individual</v>
      </c>
    </row>
    <row r="37" spans="1:11" x14ac:dyDescent="0.25">
      <c r="A37" t="s">
        <v>1086</v>
      </c>
      <c r="B37" t="s">
        <v>70</v>
      </c>
      <c r="C37" t="s">
        <v>1045</v>
      </c>
      <c r="D37" t="s">
        <v>1050</v>
      </c>
      <c r="E37">
        <v>1152.08</v>
      </c>
      <c r="F37" s="8">
        <v>45611</v>
      </c>
      <c r="H37" t="str">
        <f>IF(COUNTIF(Customers!$A$2:$A$1001,B37)&gt;0,"Valid","Invalid")</f>
        <v>Valid</v>
      </c>
      <c r="I37" t="str">
        <f t="shared" si="0"/>
        <v>Valid</v>
      </c>
      <c r="K37" t="str">
        <f>VLOOKUP(B37,Customers!A:G,7,FALSE)</f>
        <v>Individual</v>
      </c>
    </row>
    <row r="38" spans="1:11" x14ac:dyDescent="0.25">
      <c r="A38" t="s">
        <v>1087</v>
      </c>
      <c r="B38" t="s">
        <v>71</v>
      </c>
      <c r="C38" t="s">
        <v>1045</v>
      </c>
      <c r="D38" t="s">
        <v>1050</v>
      </c>
      <c r="E38">
        <v>1159.02</v>
      </c>
      <c r="F38" s="8">
        <v>46091</v>
      </c>
      <c r="H38" t="str">
        <f>IF(COUNTIF(Customers!$A$2:$A$1001,B38)&gt;0,"Valid","Invalid")</f>
        <v>Valid</v>
      </c>
      <c r="I38" t="str">
        <f t="shared" si="0"/>
        <v>Valid</v>
      </c>
      <c r="K38" t="str">
        <f>VLOOKUP(B38,Customers!A:G,7,FALSE)</f>
        <v>Individual</v>
      </c>
    </row>
    <row r="39" spans="1:11" x14ac:dyDescent="0.25">
      <c r="A39" t="s">
        <v>1088</v>
      </c>
      <c r="B39" t="s">
        <v>72</v>
      </c>
      <c r="C39" t="s">
        <v>1045</v>
      </c>
      <c r="D39" t="s">
        <v>1050</v>
      </c>
      <c r="E39">
        <v>1034.75</v>
      </c>
      <c r="F39" s="8">
        <v>45064</v>
      </c>
      <c r="H39" t="str">
        <f>IF(COUNTIF(Customers!$A$2:$A$1001,B39)&gt;0,"Valid","Invalid")</f>
        <v>Valid</v>
      </c>
      <c r="I39" t="str">
        <f t="shared" si="0"/>
        <v>Valid</v>
      </c>
      <c r="K39" t="str">
        <f>VLOOKUP(B39,Customers!A:G,7,FALSE)</f>
        <v>Individual</v>
      </c>
    </row>
    <row r="40" spans="1:11" x14ac:dyDescent="0.25">
      <c r="A40" t="s">
        <v>1089</v>
      </c>
      <c r="B40" t="s">
        <v>73</v>
      </c>
      <c r="C40" t="s">
        <v>1045</v>
      </c>
      <c r="D40" t="s">
        <v>1050</v>
      </c>
      <c r="E40">
        <v>3402.01</v>
      </c>
      <c r="F40" s="8">
        <v>45504</v>
      </c>
      <c r="H40" t="str">
        <f>IF(COUNTIF(Customers!$A$2:$A$1001,B40)&gt;0,"Valid","Invalid")</f>
        <v>Valid</v>
      </c>
      <c r="I40" t="str">
        <f t="shared" si="0"/>
        <v>Valid</v>
      </c>
      <c r="K40" t="str">
        <f>VLOOKUP(B40,Customers!A:G,7,FALSE)</f>
        <v>Individual</v>
      </c>
    </row>
    <row r="41" spans="1:11" x14ac:dyDescent="0.25">
      <c r="A41" t="s">
        <v>1090</v>
      </c>
      <c r="B41" t="s">
        <v>74</v>
      </c>
      <c r="C41" t="s">
        <v>1049</v>
      </c>
      <c r="D41" t="s">
        <v>1050</v>
      </c>
      <c r="E41">
        <v>969.96</v>
      </c>
      <c r="F41" s="8">
        <v>45636</v>
      </c>
      <c r="H41" t="str">
        <f>IF(COUNTIF(Customers!$A$2:$A$1001,B41)&gt;0,"Valid","Invalid")</f>
        <v>Valid</v>
      </c>
      <c r="I41" t="str">
        <f t="shared" si="0"/>
        <v>Valid</v>
      </c>
      <c r="K41" t="str">
        <f>VLOOKUP(B41,Customers!A:G,7,FALSE)</f>
        <v>Individual</v>
      </c>
    </row>
    <row r="42" spans="1:11" x14ac:dyDescent="0.25">
      <c r="A42" t="s">
        <v>1091</v>
      </c>
      <c r="B42" t="s">
        <v>75</v>
      </c>
      <c r="C42" t="s">
        <v>1045</v>
      </c>
      <c r="D42" t="s">
        <v>1050</v>
      </c>
      <c r="E42">
        <v>1182.1600000000001</v>
      </c>
      <c r="F42" s="8">
        <v>45154</v>
      </c>
      <c r="H42" t="str">
        <f>IF(COUNTIF(Customers!$A$2:$A$1001,B42)&gt;0,"Valid","Invalid")</f>
        <v>Valid</v>
      </c>
      <c r="I42" t="str">
        <f t="shared" si="0"/>
        <v>Valid</v>
      </c>
      <c r="K42" t="str">
        <f>VLOOKUP(B42,Customers!A:G,7,FALSE)</f>
        <v>Student</v>
      </c>
    </row>
    <row r="43" spans="1:11" x14ac:dyDescent="0.25">
      <c r="A43" t="s">
        <v>1092</v>
      </c>
      <c r="B43" t="s">
        <v>76</v>
      </c>
      <c r="C43" t="s">
        <v>1056</v>
      </c>
      <c r="D43" t="s">
        <v>1050</v>
      </c>
      <c r="E43">
        <v>5208.37</v>
      </c>
      <c r="F43" s="8">
        <v>45207</v>
      </c>
      <c r="H43" t="str">
        <f>IF(COUNTIF(Customers!$A$2:$A$1001,B43)&gt;0,"Valid","Invalid")</f>
        <v>Valid</v>
      </c>
      <c r="I43" t="str">
        <f t="shared" si="0"/>
        <v>Valid</v>
      </c>
      <c r="K43" t="str">
        <f>VLOOKUP(B43,Customers!A:G,7,FALSE)</f>
        <v>Individual</v>
      </c>
    </row>
    <row r="44" spans="1:11" x14ac:dyDescent="0.25">
      <c r="A44" t="s">
        <v>1093</v>
      </c>
      <c r="B44" t="s">
        <v>77</v>
      </c>
      <c r="C44" t="s">
        <v>17</v>
      </c>
      <c r="D44" t="s">
        <v>1050</v>
      </c>
      <c r="E44">
        <v>2189.9499999999998</v>
      </c>
      <c r="F44" s="8">
        <v>45610</v>
      </c>
      <c r="H44" t="str">
        <f>IF(COUNTIF(Customers!$A$2:$A$1001,B44)&gt;0,"Valid","Invalid")</f>
        <v>Valid</v>
      </c>
      <c r="I44" t="str">
        <f t="shared" si="0"/>
        <v>Valid</v>
      </c>
      <c r="K44" t="str">
        <f>VLOOKUP(B44,Customers!A:G,7,FALSE)</f>
        <v>Corporate</v>
      </c>
    </row>
    <row r="45" spans="1:11" x14ac:dyDescent="0.25">
      <c r="A45" t="s">
        <v>1094</v>
      </c>
      <c r="B45" t="s">
        <v>79</v>
      </c>
      <c r="C45" t="s">
        <v>1045</v>
      </c>
      <c r="D45" t="s">
        <v>1050</v>
      </c>
      <c r="E45">
        <v>5994.11</v>
      </c>
      <c r="F45" s="8">
        <v>45754</v>
      </c>
      <c r="H45" t="str">
        <f>IF(COUNTIF(Customers!$A$2:$A$1001,B45)&gt;0,"Valid","Invalid")</f>
        <v>Valid</v>
      </c>
      <c r="I45" t="str">
        <f t="shared" si="0"/>
        <v>Valid</v>
      </c>
      <c r="K45" t="str">
        <f>VLOOKUP(B45,Customers!A:G,7,FALSE)</f>
        <v>Individual</v>
      </c>
    </row>
    <row r="46" spans="1:11" x14ac:dyDescent="0.25">
      <c r="A46" t="s">
        <v>1095</v>
      </c>
      <c r="B46" t="s">
        <v>80</v>
      </c>
      <c r="C46" t="s">
        <v>1045</v>
      </c>
      <c r="D46" t="s">
        <v>1073</v>
      </c>
      <c r="E46">
        <v>4016.07</v>
      </c>
      <c r="F46" s="8">
        <v>45357</v>
      </c>
      <c r="H46" t="str">
        <f>IF(COUNTIF(Customers!$A$2:$A$1001,B46)&gt;0,"Valid","Invalid")</f>
        <v>Valid</v>
      </c>
      <c r="I46" t="str">
        <f t="shared" si="0"/>
        <v>Valid</v>
      </c>
      <c r="K46" t="str">
        <f>VLOOKUP(B46,Customers!A:G,7,FALSE)</f>
        <v>Individual</v>
      </c>
    </row>
    <row r="47" spans="1:11" x14ac:dyDescent="0.25">
      <c r="A47" t="s">
        <v>1096</v>
      </c>
      <c r="B47" t="s">
        <v>81</v>
      </c>
      <c r="C47" t="s">
        <v>1045</v>
      </c>
      <c r="D47" t="s">
        <v>1073</v>
      </c>
      <c r="E47">
        <v>557.42999999999995</v>
      </c>
      <c r="F47" s="8">
        <v>45990</v>
      </c>
      <c r="H47" t="str">
        <f>IF(COUNTIF(Customers!$A$2:$A$1001,B47)&gt;0,"Valid","Invalid")</f>
        <v>Valid</v>
      </c>
      <c r="I47" t="str">
        <f t="shared" si="0"/>
        <v>Valid</v>
      </c>
      <c r="K47" t="str">
        <f>VLOOKUP(B47,Customers!A:G,7,FALSE)</f>
        <v>Individual</v>
      </c>
    </row>
    <row r="48" spans="1:11" x14ac:dyDescent="0.25">
      <c r="A48" t="s">
        <v>1097</v>
      </c>
      <c r="B48" t="s">
        <v>83</v>
      </c>
      <c r="C48" t="s">
        <v>1056</v>
      </c>
      <c r="D48" t="s">
        <v>1046</v>
      </c>
      <c r="E48">
        <v>1632.5</v>
      </c>
      <c r="F48" s="8">
        <v>46161</v>
      </c>
      <c r="H48" t="str">
        <f>IF(COUNTIF(Customers!$A$2:$A$1001,B48)&gt;0,"Valid","Invalid")</f>
        <v>Valid</v>
      </c>
      <c r="I48" t="str">
        <f t="shared" si="0"/>
        <v>Valid</v>
      </c>
      <c r="K48" t="str">
        <f>VLOOKUP(B48,Customers!A:G,7,FALSE)</f>
        <v>SME</v>
      </c>
    </row>
    <row r="49" spans="1:11" x14ac:dyDescent="0.25">
      <c r="A49" t="s">
        <v>1098</v>
      </c>
      <c r="B49" t="s">
        <v>84</v>
      </c>
      <c r="C49" t="s">
        <v>1056</v>
      </c>
      <c r="D49" t="s">
        <v>1050</v>
      </c>
      <c r="E49">
        <v>4865.62</v>
      </c>
      <c r="F49" s="8">
        <v>45228</v>
      </c>
      <c r="H49" t="str">
        <f>IF(COUNTIF(Customers!$A$2:$A$1001,B49)&gt;0,"Valid","Invalid")</f>
        <v>Valid</v>
      </c>
      <c r="I49" t="str">
        <f t="shared" si="0"/>
        <v>Valid</v>
      </c>
      <c r="K49" t="str">
        <f>VLOOKUP(B49,Customers!A:G,7,FALSE)</f>
        <v>SME</v>
      </c>
    </row>
    <row r="50" spans="1:11" x14ac:dyDescent="0.25">
      <c r="A50" t="s">
        <v>1099</v>
      </c>
      <c r="B50" t="s">
        <v>85</v>
      </c>
      <c r="C50" t="s">
        <v>1045</v>
      </c>
      <c r="D50" t="s">
        <v>1046</v>
      </c>
      <c r="E50">
        <v>532.63</v>
      </c>
      <c r="F50" s="8">
        <v>46036</v>
      </c>
      <c r="H50" t="str">
        <f>IF(COUNTIF(Customers!$A$2:$A$1001,B50)&gt;0,"Valid","Invalid")</f>
        <v>Valid</v>
      </c>
      <c r="I50" t="str">
        <f t="shared" si="0"/>
        <v>Valid</v>
      </c>
      <c r="K50" t="str">
        <f>VLOOKUP(B50,Customers!A:G,7,FALSE)</f>
        <v>Individual</v>
      </c>
    </row>
    <row r="51" spans="1:11" x14ac:dyDescent="0.25">
      <c r="A51" t="s">
        <v>1100</v>
      </c>
      <c r="B51" t="s">
        <v>86</v>
      </c>
      <c r="C51" t="s">
        <v>1056</v>
      </c>
      <c r="D51" t="s">
        <v>1046</v>
      </c>
      <c r="E51">
        <v>2750.98</v>
      </c>
      <c r="F51" s="8">
        <v>46203</v>
      </c>
      <c r="H51" t="str">
        <f>IF(COUNTIF(Customers!$A$2:$A$1001,B51)&gt;0,"Valid","Invalid")</f>
        <v>Valid</v>
      </c>
      <c r="I51" t="str">
        <f t="shared" si="0"/>
        <v>Valid</v>
      </c>
      <c r="K51" t="str">
        <f>VLOOKUP(B51,Customers!A:G,7,FALSE)</f>
        <v>Corporate</v>
      </c>
    </row>
    <row r="52" spans="1:11" x14ac:dyDescent="0.25">
      <c r="A52" t="s">
        <v>1101</v>
      </c>
      <c r="B52" t="s">
        <v>87</v>
      </c>
      <c r="C52" t="s">
        <v>1049</v>
      </c>
      <c r="D52" t="s">
        <v>1046</v>
      </c>
      <c r="E52">
        <v>1738.47</v>
      </c>
      <c r="F52" s="8">
        <v>45459</v>
      </c>
      <c r="H52" t="str">
        <f>IF(COUNTIF(Customers!$A$2:$A$1001,B52)&gt;0,"Valid","Invalid")</f>
        <v>Valid</v>
      </c>
      <c r="I52" t="str">
        <f t="shared" si="0"/>
        <v>Valid</v>
      </c>
      <c r="K52" t="str">
        <f>VLOOKUP(B52,Customers!A:G,7,FALSE)</f>
        <v>Individual</v>
      </c>
    </row>
    <row r="53" spans="1:11" x14ac:dyDescent="0.25">
      <c r="A53" t="s">
        <v>1102</v>
      </c>
      <c r="B53" t="s">
        <v>88</v>
      </c>
      <c r="C53" t="s">
        <v>1045</v>
      </c>
      <c r="D53" t="s">
        <v>1050</v>
      </c>
      <c r="E53">
        <v>312.69</v>
      </c>
      <c r="F53" s="8">
        <v>45695</v>
      </c>
      <c r="H53" t="str">
        <f>IF(COUNTIF(Customers!$A$2:$A$1001,B53)&gt;0,"Valid","Invalid")</f>
        <v>Valid</v>
      </c>
      <c r="I53" t="str">
        <f t="shared" si="0"/>
        <v>Valid</v>
      </c>
      <c r="K53" t="str">
        <f>VLOOKUP(B53,Customers!A:G,7,FALSE)</f>
        <v>Student</v>
      </c>
    </row>
    <row r="54" spans="1:11" x14ac:dyDescent="0.25">
      <c r="A54" t="s">
        <v>1103</v>
      </c>
      <c r="B54" t="s">
        <v>89</v>
      </c>
      <c r="C54" t="s">
        <v>1045</v>
      </c>
      <c r="D54" t="s">
        <v>1050</v>
      </c>
      <c r="E54">
        <v>2037.87</v>
      </c>
      <c r="F54" s="8">
        <v>45370</v>
      </c>
      <c r="H54" t="str">
        <f>IF(COUNTIF(Customers!$A$2:$A$1001,B54)&gt;0,"Valid","Invalid")</f>
        <v>Valid</v>
      </c>
      <c r="I54" t="str">
        <f t="shared" si="0"/>
        <v>Valid</v>
      </c>
      <c r="K54" t="str">
        <f>VLOOKUP(B54,Customers!A:G,7,FALSE)</f>
        <v>SME</v>
      </c>
    </row>
    <row r="55" spans="1:11" x14ac:dyDescent="0.25">
      <c r="A55" t="s">
        <v>1104</v>
      </c>
      <c r="B55" t="s">
        <v>90</v>
      </c>
      <c r="C55" t="s">
        <v>1049</v>
      </c>
      <c r="D55" t="s">
        <v>1046</v>
      </c>
      <c r="E55">
        <v>782.53</v>
      </c>
      <c r="F55" s="8">
        <v>45983</v>
      </c>
      <c r="H55" t="str">
        <f>IF(COUNTIF(Customers!$A$2:$A$1001,B55)&gt;0,"Valid","Invalid")</f>
        <v>Valid</v>
      </c>
      <c r="I55" t="str">
        <f t="shared" si="0"/>
        <v>Valid</v>
      </c>
      <c r="K55" t="str">
        <f>VLOOKUP(B55,Customers!A:G,7,FALSE)</f>
        <v>SME</v>
      </c>
    </row>
    <row r="56" spans="1:11" x14ac:dyDescent="0.25">
      <c r="A56" t="s">
        <v>1105</v>
      </c>
      <c r="B56" t="s">
        <v>91</v>
      </c>
      <c r="C56" t="s">
        <v>1056</v>
      </c>
      <c r="D56" t="s">
        <v>1050</v>
      </c>
      <c r="E56">
        <v>562.48</v>
      </c>
      <c r="F56" s="8">
        <v>45186</v>
      </c>
      <c r="H56" t="str">
        <f>IF(COUNTIF(Customers!$A$2:$A$1001,B56)&gt;0,"Valid","Invalid")</f>
        <v>Valid</v>
      </c>
      <c r="I56" t="str">
        <f t="shared" si="0"/>
        <v>Valid</v>
      </c>
      <c r="K56" t="str">
        <f>VLOOKUP(B56,Customers!A:G,7,FALSE)</f>
        <v>Individual</v>
      </c>
    </row>
    <row r="57" spans="1:11" x14ac:dyDescent="0.25">
      <c r="A57" t="s">
        <v>1106</v>
      </c>
      <c r="B57" t="s">
        <v>92</v>
      </c>
      <c r="C57" t="s">
        <v>1049</v>
      </c>
      <c r="D57" t="s">
        <v>1050</v>
      </c>
      <c r="E57">
        <v>1824.64</v>
      </c>
      <c r="F57" s="8">
        <v>46184</v>
      </c>
      <c r="H57" t="str">
        <f>IF(COUNTIF(Customers!$A$2:$A$1001,B57)&gt;0,"Valid","Invalid")</f>
        <v>Valid</v>
      </c>
      <c r="I57" t="str">
        <f t="shared" si="0"/>
        <v>Valid</v>
      </c>
      <c r="K57" t="str">
        <f>VLOOKUP(B57,Customers!A:G,7,FALSE)</f>
        <v>Individual</v>
      </c>
    </row>
    <row r="58" spans="1:11" x14ac:dyDescent="0.25">
      <c r="A58" t="s">
        <v>1107</v>
      </c>
      <c r="B58" t="s">
        <v>93</v>
      </c>
      <c r="C58" t="s">
        <v>1056</v>
      </c>
      <c r="D58" t="s">
        <v>1050</v>
      </c>
      <c r="E58">
        <v>262.20999999999998</v>
      </c>
      <c r="F58" s="8">
        <v>45665</v>
      </c>
      <c r="H58" t="str">
        <f>IF(COUNTIF(Customers!$A$2:$A$1001,B58)&gt;0,"Valid","Invalid")</f>
        <v>Valid</v>
      </c>
      <c r="I58" t="str">
        <f t="shared" si="0"/>
        <v>Valid</v>
      </c>
      <c r="K58" t="str">
        <f>VLOOKUP(B58,Customers!A:G,7,FALSE)</f>
        <v>Student</v>
      </c>
    </row>
    <row r="59" spans="1:11" x14ac:dyDescent="0.25">
      <c r="A59" t="s">
        <v>1108</v>
      </c>
      <c r="B59" t="s">
        <v>94</v>
      </c>
      <c r="C59" t="s">
        <v>1049</v>
      </c>
      <c r="D59" t="s">
        <v>1050</v>
      </c>
      <c r="E59">
        <v>921.23</v>
      </c>
      <c r="F59" s="8">
        <v>45722</v>
      </c>
      <c r="H59" t="str">
        <f>IF(COUNTIF(Customers!$A$2:$A$1001,B59)&gt;0,"Valid","Invalid")</f>
        <v>Valid</v>
      </c>
      <c r="I59" t="str">
        <f t="shared" si="0"/>
        <v>Valid</v>
      </c>
      <c r="K59" t="str">
        <f>VLOOKUP(B59,Customers!A:G,7,FALSE)</f>
        <v>Individual</v>
      </c>
    </row>
    <row r="60" spans="1:11" x14ac:dyDescent="0.25">
      <c r="A60" t="s">
        <v>1109</v>
      </c>
      <c r="B60" t="s">
        <v>95</v>
      </c>
      <c r="C60" t="s">
        <v>1045</v>
      </c>
      <c r="D60" t="s">
        <v>1050</v>
      </c>
      <c r="E60">
        <v>23182.99</v>
      </c>
      <c r="F60" s="8">
        <v>44996</v>
      </c>
      <c r="H60" t="str">
        <f>IF(COUNTIF(Customers!$A$2:$A$1001,B60)&gt;0,"Valid","Invalid")</f>
        <v>Valid</v>
      </c>
      <c r="I60" t="str">
        <f t="shared" si="0"/>
        <v>Valid</v>
      </c>
      <c r="K60" t="str">
        <f>VLOOKUP(B60,Customers!A:G,7,FALSE)</f>
        <v>SME</v>
      </c>
    </row>
    <row r="61" spans="1:11" x14ac:dyDescent="0.25">
      <c r="A61" t="s">
        <v>1110</v>
      </c>
      <c r="B61" t="s">
        <v>96</v>
      </c>
      <c r="C61" t="s">
        <v>1049</v>
      </c>
      <c r="D61" t="s">
        <v>1050</v>
      </c>
      <c r="E61">
        <v>3464.15</v>
      </c>
      <c r="F61" s="8">
        <v>45909</v>
      </c>
      <c r="H61" t="str">
        <f>IF(COUNTIF(Customers!$A$2:$A$1001,B61)&gt;0,"Valid","Invalid")</f>
        <v>Valid</v>
      </c>
      <c r="I61" t="str">
        <f t="shared" si="0"/>
        <v>Valid</v>
      </c>
      <c r="K61" t="str">
        <f>VLOOKUP(B61,Customers!A:G,7,FALSE)</f>
        <v>Individual</v>
      </c>
    </row>
    <row r="62" spans="1:11" x14ac:dyDescent="0.25">
      <c r="A62" t="s">
        <v>1111</v>
      </c>
      <c r="B62" t="s">
        <v>97</v>
      </c>
      <c r="C62" t="s">
        <v>1049</v>
      </c>
      <c r="D62" t="s">
        <v>1050</v>
      </c>
      <c r="E62">
        <v>748.88</v>
      </c>
      <c r="F62" s="8">
        <v>45407</v>
      </c>
      <c r="H62" t="str">
        <f>IF(COUNTIF(Customers!$A$2:$A$1001,B62)&gt;0,"Valid","Invalid")</f>
        <v>Valid</v>
      </c>
      <c r="I62" t="str">
        <f t="shared" si="0"/>
        <v>Valid</v>
      </c>
      <c r="K62" t="str">
        <f>VLOOKUP(B62,Customers!A:G,7,FALSE)</f>
        <v>Individual</v>
      </c>
    </row>
    <row r="63" spans="1:11" x14ac:dyDescent="0.25">
      <c r="A63" t="s">
        <v>1112</v>
      </c>
      <c r="B63" t="s">
        <v>98</v>
      </c>
      <c r="C63" t="s">
        <v>1056</v>
      </c>
      <c r="D63" t="s">
        <v>1050</v>
      </c>
      <c r="E63">
        <v>7362.58</v>
      </c>
      <c r="F63" s="8">
        <v>46094</v>
      </c>
      <c r="H63" t="str">
        <f>IF(COUNTIF(Customers!$A$2:$A$1001,B63)&gt;0,"Valid","Invalid")</f>
        <v>Valid</v>
      </c>
      <c r="I63" t="str">
        <f t="shared" si="0"/>
        <v>Valid</v>
      </c>
      <c r="K63" t="str">
        <f>VLOOKUP(B63,Customers!A:G,7,FALSE)</f>
        <v>Individual</v>
      </c>
    </row>
    <row r="64" spans="1:11" x14ac:dyDescent="0.25">
      <c r="A64" t="s">
        <v>1113</v>
      </c>
      <c r="B64" t="s">
        <v>99</v>
      </c>
      <c r="C64" t="s">
        <v>1045</v>
      </c>
      <c r="D64" t="s">
        <v>1050</v>
      </c>
      <c r="E64">
        <v>670.45</v>
      </c>
      <c r="F64" s="8">
        <v>44950</v>
      </c>
      <c r="H64" t="str">
        <f>IF(COUNTIF(Customers!$A$2:$A$1001,B64)&gt;0,"Valid","Invalid")</f>
        <v>Valid</v>
      </c>
      <c r="I64" t="str">
        <f t="shared" si="0"/>
        <v>Valid</v>
      </c>
      <c r="K64" t="str">
        <f>VLOOKUP(B64,Customers!A:G,7,FALSE)</f>
        <v>Student</v>
      </c>
    </row>
    <row r="65" spans="1:11" x14ac:dyDescent="0.25">
      <c r="A65" t="s">
        <v>1114</v>
      </c>
      <c r="B65" t="s">
        <v>100</v>
      </c>
      <c r="C65" t="s">
        <v>1045</v>
      </c>
      <c r="D65" t="s">
        <v>1050</v>
      </c>
      <c r="E65">
        <v>1039.3</v>
      </c>
      <c r="F65" s="8">
        <v>45891</v>
      </c>
      <c r="H65" t="str">
        <f>IF(COUNTIF(Customers!$A$2:$A$1001,B65)&gt;0,"Valid","Invalid")</f>
        <v>Valid</v>
      </c>
      <c r="I65" t="str">
        <f t="shared" si="0"/>
        <v>Valid</v>
      </c>
      <c r="K65" t="str">
        <f>VLOOKUP(B65,Customers!A:G,7,FALSE)</f>
        <v>Individual</v>
      </c>
    </row>
    <row r="66" spans="1:11" x14ac:dyDescent="0.25">
      <c r="A66" t="s">
        <v>1115</v>
      </c>
      <c r="B66" t="s">
        <v>101</v>
      </c>
      <c r="C66" t="s">
        <v>1045</v>
      </c>
      <c r="D66" t="s">
        <v>1050</v>
      </c>
      <c r="E66">
        <v>573.15</v>
      </c>
      <c r="F66" s="8">
        <v>45672</v>
      </c>
      <c r="H66" t="str">
        <f>IF(COUNTIF(Customers!$A$2:$A$1001,B66)&gt;0,"Valid","Invalid")</f>
        <v>Valid</v>
      </c>
      <c r="I66" t="str">
        <f t="shared" si="0"/>
        <v>Valid</v>
      </c>
      <c r="K66" t="str">
        <f>VLOOKUP(B66,Customers!A:G,7,FALSE)</f>
        <v>Individual</v>
      </c>
    </row>
    <row r="67" spans="1:11" x14ac:dyDescent="0.25">
      <c r="A67" t="s">
        <v>1116</v>
      </c>
      <c r="B67" t="s">
        <v>102</v>
      </c>
      <c r="C67" t="s">
        <v>1045</v>
      </c>
      <c r="D67" t="s">
        <v>1050</v>
      </c>
      <c r="E67">
        <v>2335.73</v>
      </c>
      <c r="F67" s="8">
        <v>45771</v>
      </c>
      <c r="H67" t="str">
        <f>IF(COUNTIF(Customers!$A$2:$A$1001,B67)&gt;0,"Valid","Invalid")</f>
        <v>Valid</v>
      </c>
      <c r="I67" t="str">
        <f t="shared" ref="I67:I130" si="1">IF(OR(C67="Savings",C67="Current",C67="Business",C67="Student"),"Valid","Check")</f>
        <v>Valid</v>
      </c>
      <c r="K67" t="str">
        <f>VLOOKUP(B67,Customers!A:G,7,FALSE)</f>
        <v>Corporate</v>
      </c>
    </row>
    <row r="68" spans="1:11" x14ac:dyDescent="0.25">
      <c r="A68" t="s">
        <v>1117</v>
      </c>
      <c r="B68" t="s">
        <v>103</v>
      </c>
      <c r="C68" t="s">
        <v>1045</v>
      </c>
      <c r="D68" t="s">
        <v>1046</v>
      </c>
      <c r="E68">
        <v>7105.54</v>
      </c>
      <c r="F68" s="8">
        <v>46125</v>
      </c>
      <c r="H68" t="str">
        <f>IF(COUNTIF(Customers!$A$2:$A$1001,B68)&gt;0,"Valid","Invalid")</f>
        <v>Valid</v>
      </c>
      <c r="I68" t="str">
        <f t="shared" si="1"/>
        <v>Valid</v>
      </c>
      <c r="K68" t="str">
        <f>VLOOKUP(B68,Customers!A:G,7,FALSE)</f>
        <v>SME</v>
      </c>
    </row>
    <row r="69" spans="1:11" x14ac:dyDescent="0.25">
      <c r="A69" t="s">
        <v>1118</v>
      </c>
      <c r="B69" t="s">
        <v>104</v>
      </c>
      <c r="C69" t="s">
        <v>1056</v>
      </c>
      <c r="D69" t="s">
        <v>1050</v>
      </c>
      <c r="E69">
        <v>665.8</v>
      </c>
      <c r="F69" s="8">
        <v>45251</v>
      </c>
      <c r="H69" t="str">
        <f>IF(COUNTIF(Customers!$A$2:$A$1001,B69)&gt;0,"Valid","Invalid")</f>
        <v>Valid</v>
      </c>
      <c r="I69" t="str">
        <f t="shared" si="1"/>
        <v>Valid</v>
      </c>
      <c r="K69" t="str">
        <f>VLOOKUP(B69,Customers!A:G,7,FALSE)</f>
        <v>Student</v>
      </c>
    </row>
    <row r="70" spans="1:11" x14ac:dyDescent="0.25">
      <c r="A70" t="s">
        <v>1119</v>
      </c>
      <c r="B70" t="s">
        <v>105</v>
      </c>
      <c r="C70" t="s">
        <v>1056</v>
      </c>
      <c r="D70" t="s">
        <v>1050</v>
      </c>
      <c r="E70">
        <v>230.34</v>
      </c>
      <c r="F70" s="8">
        <v>45724</v>
      </c>
      <c r="H70" t="str">
        <f>IF(COUNTIF(Customers!$A$2:$A$1001,B70)&gt;0,"Valid","Invalid")</f>
        <v>Valid</v>
      </c>
      <c r="I70" t="str">
        <f t="shared" si="1"/>
        <v>Valid</v>
      </c>
      <c r="K70" t="str">
        <f>VLOOKUP(B70,Customers!A:G,7,FALSE)</f>
        <v>SME</v>
      </c>
    </row>
    <row r="71" spans="1:11" x14ac:dyDescent="0.25">
      <c r="A71" t="s">
        <v>1120</v>
      </c>
      <c r="B71" t="s">
        <v>106</v>
      </c>
      <c r="C71" t="s">
        <v>1045</v>
      </c>
      <c r="D71" t="s">
        <v>1050</v>
      </c>
      <c r="E71">
        <v>5382.81</v>
      </c>
      <c r="F71" s="8">
        <v>44944</v>
      </c>
      <c r="H71" t="str">
        <f>IF(COUNTIF(Customers!$A$2:$A$1001,B71)&gt;0,"Valid","Invalid")</f>
        <v>Valid</v>
      </c>
      <c r="I71" t="str">
        <f t="shared" si="1"/>
        <v>Valid</v>
      </c>
      <c r="K71" t="str">
        <f>VLOOKUP(B71,Customers!A:G,7,FALSE)</f>
        <v>SME</v>
      </c>
    </row>
    <row r="72" spans="1:11" x14ac:dyDescent="0.25">
      <c r="A72" t="s">
        <v>1121</v>
      </c>
      <c r="B72" t="s">
        <v>107</v>
      </c>
      <c r="C72" t="s">
        <v>1056</v>
      </c>
      <c r="D72" t="s">
        <v>1073</v>
      </c>
      <c r="E72">
        <v>8550.9699999999993</v>
      </c>
      <c r="F72" s="8">
        <v>44970</v>
      </c>
      <c r="H72" t="str">
        <f>IF(COUNTIF(Customers!$A$2:$A$1001,B72)&gt;0,"Valid","Invalid")</f>
        <v>Valid</v>
      </c>
      <c r="I72" t="str">
        <f t="shared" si="1"/>
        <v>Valid</v>
      </c>
      <c r="K72" t="str">
        <f>VLOOKUP(B72,Customers!A:G,7,FALSE)</f>
        <v>SME</v>
      </c>
    </row>
    <row r="73" spans="1:11" x14ac:dyDescent="0.25">
      <c r="A73" t="s">
        <v>1122</v>
      </c>
      <c r="B73" t="s">
        <v>108</v>
      </c>
      <c r="C73" t="s">
        <v>1045</v>
      </c>
      <c r="D73" t="s">
        <v>1050</v>
      </c>
      <c r="E73">
        <v>245.9</v>
      </c>
      <c r="F73" s="8">
        <v>45081</v>
      </c>
      <c r="H73" t="str">
        <f>IF(COUNTIF(Customers!$A$2:$A$1001,B73)&gt;0,"Valid","Invalid")</f>
        <v>Valid</v>
      </c>
      <c r="I73" t="str">
        <f t="shared" si="1"/>
        <v>Valid</v>
      </c>
      <c r="K73" t="str">
        <f>VLOOKUP(B73,Customers!A:G,7,FALSE)</f>
        <v>Individual</v>
      </c>
    </row>
    <row r="74" spans="1:11" x14ac:dyDescent="0.25">
      <c r="A74" t="s">
        <v>1123</v>
      </c>
      <c r="B74" t="s">
        <v>109</v>
      </c>
      <c r="C74" t="s">
        <v>1045</v>
      </c>
      <c r="D74" t="s">
        <v>1050</v>
      </c>
      <c r="E74">
        <v>2864.23</v>
      </c>
      <c r="F74" s="8">
        <v>45793</v>
      </c>
      <c r="H74" t="str">
        <f>IF(COUNTIF(Customers!$A$2:$A$1001,B74)&gt;0,"Valid","Invalid")</f>
        <v>Valid</v>
      </c>
      <c r="I74" t="str">
        <f t="shared" si="1"/>
        <v>Valid</v>
      </c>
      <c r="K74" t="str">
        <f>VLOOKUP(B74,Customers!A:G,7,FALSE)</f>
        <v>Individual</v>
      </c>
    </row>
    <row r="75" spans="1:11" x14ac:dyDescent="0.25">
      <c r="A75" t="s">
        <v>1124</v>
      </c>
      <c r="B75" t="s">
        <v>110</v>
      </c>
      <c r="C75" t="s">
        <v>1045</v>
      </c>
      <c r="D75" t="s">
        <v>1050</v>
      </c>
      <c r="E75">
        <v>2267.66</v>
      </c>
      <c r="F75" s="8">
        <v>45848</v>
      </c>
      <c r="H75" t="str">
        <f>IF(COUNTIF(Customers!$A$2:$A$1001,B75)&gt;0,"Valid","Invalid")</f>
        <v>Valid</v>
      </c>
      <c r="I75" t="str">
        <f t="shared" si="1"/>
        <v>Valid</v>
      </c>
      <c r="K75" t="str">
        <f>VLOOKUP(B75,Customers!A:G,7,FALSE)</f>
        <v>Individual</v>
      </c>
    </row>
    <row r="76" spans="1:11" x14ac:dyDescent="0.25">
      <c r="A76" t="s">
        <v>1125</v>
      </c>
      <c r="B76" t="s">
        <v>111</v>
      </c>
      <c r="C76" t="s">
        <v>1045</v>
      </c>
      <c r="D76" t="s">
        <v>1050</v>
      </c>
      <c r="E76">
        <v>822.64</v>
      </c>
      <c r="F76" s="8">
        <v>45669</v>
      </c>
      <c r="H76" t="str">
        <f>IF(COUNTIF(Customers!$A$2:$A$1001,B76)&gt;0,"Valid","Invalid")</f>
        <v>Valid</v>
      </c>
      <c r="I76" t="str">
        <f t="shared" si="1"/>
        <v>Valid</v>
      </c>
      <c r="K76" t="str">
        <f>VLOOKUP(B76,Customers!A:G,7,FALSE)</f>
        <v>Student</v>
      </c>
    </row>
    <row r="77" spans="1:11" x14ac:dyDescent="0.25">
      <c r="A77" t="s">
        <v>1126</v>
      </c>
      <c r="B77" t="s">
        <v>112</v>
      </c>
      <c r="C77" t="s">
        <v>1045</v>
      </c>
      <c r="D77" t="s">
        <v>1073</v>
      </c>
      <c r="E77">
        <v>448.38</v>
      </c>
      <c r="F77" s="8">
        <v>45151</v>
      </c>
      <c r="H77" t="str">
        <f>IF(COUNTIF(Customers!$A$2:$A$1001,B77)&gt;0,"Valid","Invalid")</f>
        <v>Valid</v>
      </c>
      <c r="I77" t="str">
        <f t="shared" si="1"/>
        <v>Valid</v>
      </c>
      <c r="K77" t="str">
        <f>VLOOKUP(B77,Customers!A:G,7,FALSE)</f>
        <v>Individual</v>
      </c>
    </row>
    <row r="78" spans="1:11" x14ac:dyDescent="0.25">
      <c r="A78" t="s">
        <v>1127</v>
      </c>
      <c r="B78" t="s">
        <v>113</v>
      </c>
      <c r="C78" t="s">
        <v>1045</v>
      </c>
      <c r="D78" t="s">
        <v>1046</v>
      </c>
      <c r="E78">
        <v>4874.3900000000003</v>
      </c>
      <c r="F78" s="8">
        <v>45143</v>
      </c>
      <c r="H78" t="str">
        <f>IF(COUNTIF(Customers!$A$2:$A$1001,B78)&gt;0,"Valid","Invalid")</f>
        <v>Valid</v>
      </c>
      <c r="I78" t="str">
        <f t="shared" si="1"/>
        <v>Valid</v>
      </c>
      <c r="K78" t="str">
        <f>VLOOKUP(B78,Customers!A:G,7,FALSE)</f>
        <v>Individual</v>
      </c>
    </row>
    <row r="79" spans="1:11" x14ac:dyDescent="0.25">
      <c r="A79" t="s">
        <v>1128</v>
      </c>
      <c r="B79" t="s">
        <v>114</v>
      </c>
      <c r="C79" t="s">
        <v>1045</v>
      </c>
      <c r="D79" t="s">
        <v>1050</v>
      </c>
      <c r="E79">
        <v>2162.61</v>
      </c>
      <c r="F79" s="8">
        <v>44957</v>
      </c>
      <c r="H79" t="str">
        <f>IF(COUNTIF(Customers!$A$2:$A$1001,B79)&gt;0,"Valid","Invalid")</f>
        <v>Valid</v>
      </c>
      <c r="I79" t="str">
        <f t="shared" si="1"/>
        <v>Valid</v>
      </c>
      <c r="K79" t="str">
        <f>VLOOKUP(B79,Customers!A:G,7,FALSE)</f>
        <v>Individual</v>
      </c>
    </row>
    <row r="80" spans="1:11" x14ac:dyDescent="0.25">
      <c r="A80" t="s">
        <v>1129</v>
      </c>
      <c r="B80" t="s">
        <v>115</v>
      </c>
      <c r="C80" t="s">
        <v>1049</v>
      </c>
      <c r="D80" t="s">
        <v>1050</v>
      </c>
      <c r="E80">
        <v>2331.87</v>
      </c>
      <c r="F80" s="8">
        <v>46009</v>
      </c>
      <c r="H80" t="str">
        <f>IF(COUNTIF(Customers!$A$2:$A$1001,B80)&gt;0,"Valid","Invalid")</f>
        <v>Valid</v>
      </c>
      <c r="I80" t="str">
        <f t="shared" si="1"/>
        <v>Valid</v>
      </c>
      <c r="K80" t="str">
        <f>VLOOKUP(B80,Customers!A:G,7,FALSE)</f>
        <v>SME</v>
      </c>
    </row>
    <row r="81" spans="1:11" x14ac:dyDescent="0.25">
      <c r="A81" t="s">
        <v>1130</v>
      </c>
      <c r="B81" t="s">
        <v>116</v>
      </c>
      <c r="C81" t="s">
        <v>1045</v>
      </c>
      <c r="D81" t="s">
        <v>1050</v>
      </c>
      <c r="E81">
        <v>970.91</v>
      </c>
      <c r="F81" s="8">
        <v>45824</v>
      </c>
      <c r="H81" t="str">
        <f>IF(COUNTIF(Customers!$A$2:$A$1001,B81)&gt;0,"Valid","Invalid")</f>
        <v>Valid</v>
      </c>
      <c r="I81" t="str">
        <f t="shared" si="1"/>
        <v>Valid</v>
      </c>
      <c r="K81" t="str">
        <f>VLOOKUP(B81,Customers!A:G,7,FALSE)</f>
        <v>Individual</v>
      </c>
    </row>
    <row r="82" spans="1:11" x14ac:dyDescent="0.25">
      <c r="A82" t="s">
        <v>1131</v>
      </c>
      <c r="B82" t="s">
        <v>117</v>
      </c>
      <c r="C82" t="s">
        <v>1056</v>
      </c>
      <c r="D82" t="s">
        <v>1050</v>
      </c>
      <c r="E82">
        <v>810.86</v>
      </c>
      <c r="F82" s="8">
        <v>45861</v>
      </c>
      <c r="H82" t="str">
        <f>IF(COUNTIF(Customers!$A$2:$A$1001,B82)&gt;0,"Valid","Invalid")</f>
        <v>Valid</v>
      </c>
      <c r="I82" t="str">
        <f t="shared" si="1"/>
        <v>Valid</v>
      </c>
      <c r="K82" t="str">
        <f>VLOOKUP(B82,Customers!A:G,7,FALSE)</f>
        <v>Student</v>
      </c>
    </row>
    <row r="83" spans="1:11" x14ac:dyDescent="0.25">
      <c r="A83" t="s">
        <v>1132</v>
      </c>
      <c r="B83" t="s">
        <v>118</v>
      </c>
      <c r="C83" t="s">
        <v>1056</v>
      </c>
      <c r="D83" t="s">
        <v>1050</v>
      </c>
      <c r="E83">
        <v>155.25</v>
      </c>
      <c r="F83" s="8">
        <v>45371</v>
      </c>
      <c r="H83" t="str">
        <f>IF(COUNTIF(Customers!$A$2:$A$1001,B83)&gt;0,"Valid","Invalid")</f>
        <v>Valid</v>
      </c>
      <c r="I83" t="str">
        <f t="shared" si="1"/>
        <v>Valid</v>
      </c>
      <c r="K83" t="str">
        <f>VLOOKUP(B83,Customers!A:G,7,FALSE)</f>
        <v>Corporate</v>
      </c>
    </row>
    <row r="84" spans="1:11" x14ac:dyDescent="0.25">
      <c r="A84" t="s">
        <v>1133</v>
      </c>
      <c r="B84" t="s">
        <v>119</v>
      </c>
      <c r="C84" t="s">
        <v>1049</v>
      </c>
      <c r="D84" t="s">
        <v>1050</v>
      </c>
      <c r="E84">
        <v>1439.39</v>
      </c>
      <c r="F84" s="8">
        <v>46185</v>
      </c>
      <c r="H84" t="str">
        <f>IF(COUNTIF(Customers!$A$2:$A$1001,B84)&gt;0,"Valid","Invalid")</f>
        <v>Valid</v>
      </c>
      <c r="I84" t="str">
        <f t="shared" si="1"/>
        <v>Valid</v>
      </c>
      <c r="K84" t="str">
        <f>VLOOKUP(B84,Customers!A:G,7,FALSE)</f>
        <v>Corporate</v>
      </c>
    </row>
    <row r="85" spans="1:11" x14ac:dyDescent="0.25">
      <c r="A85" t="s">
        <v>1134</v>
      </c>
      <c r="B85" t="s">
        <v>120</v>
      </c>
      <c r="C85" t="s">
        <v>17</v>
      </c>
      <c r="D85" t="s">
        <v>1050</v>
      </c>
      <c r="E85">
        <v>7622.25</v>
      </c>
      <c r="F85" s="8">
        <v>46057</v>
      </c>
      <c r="H85" t="str">
        <f>IF(COUNTIF(Customers!$A$2:$A$1001,B85)&gt;0,"Valid","Invalid")</f>
        <v>Valid</v>
      </c>
      <c r="I85" t="str">
        <f t="shared" si="1"/>
        <v>Valid</v>
      </c>
      <c r="K85" t="str">
        <f>VLOOKUP(B85,Customers!A:G,7,FALSE)</f>
        <v>SME</v>
      </c>
    </row>
    <row r="86" spans="1:11" x14ac:dyDescent="0.25">
      <c r="A86" t="s">
        <v>1135</v>
      </c>
      <c r="B86" t="s">
        <v>121</v>
      </c>
      <c r="C86" t="s">
        <v>1045</v>
      </c>
      <c r="D86" t="s">
        <v>1050</v>
      </c>
      <c r="E86">
        <v>742.29</v>
      </c>
      <c r="F86" s="8">
        <v>46141</v>
      </c>
      <c r="H86" t="str">
        <f>IF(COUNTIF(Customers!$A$2:$A$1001,B86)&gt;0,"Valid","Invalid")</f>
        <v>Valid</v>
      </c>
      <c r="I86" t="str">
        <f t="shared" si="1"/>
        <v>Valid</v>
      </c>
      <c r="K86" t="str">
        <f>VLOOKUP(B86,Customers!A:G,7,FALSE)</f>
        <v>Corporate</v>
      </c>
    </row>
    <row r="87" spans="1:11" x14ac:dyDescent="0.25">
      <c r="A87" t="s">
        <v>1136</v>
      </c>
      <c r="B87" t="s">
        <v>122</v>
      </c>
      <c r="C87" t="s">
        <v>1045</v>
      </c>
      <c r="D87" t="s">
        <v>1068</v>
      </c>
      <c r="E87">
        <v>394.49</v>
      </c>
      <c r="F87" s="8">
        <v>45456</v>
      </c>
      <c r="H87" t="str">
        <f>IF(COUNTIF(Customers!$A$2:$A$1001,B87)&gt;0,"Valid","Invalid")</f>
        <v>Valid</v>
      </c>
      <c r="I87" t="str">
        <f t="shared" si="1"/>
        <v>Valid</v>
      </c>
      <c r="K87" t="str">
        <f>VLOOKUP(B87,Customers!A:G,7,FALSE)</f>
        <v>Individual</v>
      </c>
    </row>
    <row r="88" spans="1:11" x14ac:dyDescent="0.25">
      <c r="A88" t="s">
        <v>1137</v>
      </c>
      <c r="B88" t="s">
        <v>123</v>
      </c>
      <c r="C88" t="s">
        <v>1049</v>
      </c>
      <c r="D88" t="s">
        <v>1050</v>
      </c>
      <c r="E88">
        <v>2795.22</v>
      </c>
      <c r="F88" s="8">
        <v>45664</v>
      </c>
      <c r="H88" t="str">
        <f>IF(COUNTIF(Customers!$A$2:$A$1001,B88)&gt;0,"Valid","Invalid")</f>
        <v>Valid</v>
      </c>
      <c r="I88" t="str">
        <f t="shared" si="1"/>
        <v>Valid</v>
      </c>
      <c r="K88" t="str">
        <f>VLOOKUP(B88,Customers!A:G,7,FALSE)</f>
        <v>Corporate</v>
      </c>
    </row>
    <row r="89" spans="1:11" x14ac:dyDescent="0.25">
      <c r="A89" t="s">
        <v>1138</v>
      </c>
      <c r="B89" t="s">
        <v>124</v>
      </c>
      <c r="C89" t="s">
        <v>1045</v>
      </c>
      <c r="D89" t="s">
        <v>1046</v>
      </c>
      <c r="E89">
        <v>3361.29</v>
      </c>
      <c r="F89" s="8">
        <v>45800</v>
      </c>
      <c r="H89" t="str">
        <f>IF(COUNTIF(Customers!$A$2:$A$1001,B89)&gt;0,"Valid","Invalid")</f>
        <v>Valid</v>
      </c>
      <c r="I89" t="str">
        <f t="shared" si="1"/>
        <v>Valid</v>
      </c>
      <c r="K89" t="str">
        <f>VLOOKUP(B89,Customers!A:G,7,FALSE)</f>
        <v>Student</v>
      </c>
    </row>
    <row r="90" spans="1:11" x14ac:dyDescent="0.25">
      <c r="A90" t="s">
        <v>1139</v>
      </c>
      <c r="B90" t="s">
        <v>125</v>
      </c>
      <c r="C90" t="s">
        <v>1056</v>
      </c>
      <c r="D90" t="s">
        <v>1046</v>
      </c>
      <c r="E90">
        <v>1006.36</v>
      </c>
      <c r="F90" s="8">
        <v>45492</v>
      </c>
      <c r="H90" t="str">
        <f>IF(COUNTIF(Customers!$A$2:$A$1001,B90)&gt;0,"Valid","Invalid")</f>
        <v>Valid</v>
      </c>
      <c r="I90" t="str">
        <f t="shared" si="1"/>
        <v>Valid</v>
      </c>
      <c r="K90" t="str">
        <f>VLOOKUP(B90,Customers!A:G,7,FALSE)</f>
        <v>Individual</v>
      </c>
    </row>
    <row r="91" spans="1:11" x14ac:dyDescent="0.25">
      <c r="A91" t="s">
        <v>1140</v>
      </c>
      <c r="B91" t="s">
        <v>126</v>
      </c>
      <c r="C91" t="s">
        <v>1056</v>
      </c>
      <c r="D91" t="s">
        <v>1050</v>
      </c>
      <c r="E91">
        <v>1275.68</v>
      </c>
      <c r="F91" s="8">
        <v>46195</v>
      </c>
      <c r="H91" t="str">
        <f>IF(COUNTIF(Customers!$A$2:$A$1001,B91)&gt;0,"Valid","Invalid")</f>
        <v>Valid</v>
      </c>
      <c r="I91" t="str">
        <f t="shared" si="1"/>
        <v>Valid</v>
      </c>
      <c r="K91" t="str">
        <f>VLOOKUP(B91,Customers!A:G,7,FALSE)</f>
        <v>Individual</v>
      </c>
    </row>
    <row r="92" spans="1:11" x14ac:dyDescent="0.25">
      <c r="A92" t="s">
        <v>1141</v>
      </c>
      <c r="B92" t="s">
        <v>127</v>
      </c>
      <c r="C92" t="s">
        <v>1056</v>
      </c>
      <c r="D92" t="s">
        <v>1046</v>
      </c>
      <c r="E92">
        <v>2354.0700000000002</v>
      </c>
      <c r="F92" s="8">
        <v>45002</v>
      </c>
      <c r="H92" t="str">
        <f>IF(COUNTIF(Customers!$A$2:$A$1001,B92)&gt;0,"Valid","Invalid")</f>
        <v>Valid</v>
      </c>
      <c r="I92" t="str">
        <f t="shared" si="1"/>
        <v>Valid</v>
      </c>
      <c r="K92" t="str">
        <f>VLOOKUP(B92,Customers!A:G,7,FALSE)</f>
        <v>Individual</v>
      </c>
    </row>
    <row r="93" spans="1:11" x14ac:dyDescent="0.25">
      <c r="A93" t="s">
        <v>1142</v>
      </c>
      <c r="B93" t="s">
        <v>128</v>
      </c>
      <c r="C93" t="s">
        <v>17</v>
      </c>
      <c r="D93" t="s">
        <v>1050</v>
      </c>
      <c r="E93">
        <v>1547.58</v>
      </c>
      <c r="F93" s="8">
        <v>45473</v>
      </c>
      <c r="H93" t="str">
        <f>IF(COUNTIF(Customers!$A$2:$A$1001,B93)&gt;0,"Valid","Invalid")</f>
        <v>Valid</v>
      </c>
      <c r="I93" t="str">
        <f t="shared" si="1"/>
        <v>Valid</v>
      </c>
      <c r="K93" t="str">
        <f>VLOOKUP(B93,Customers!A:G,7,FALSE)</f>
        <v>Individual</v>
      </c>
    </row>
    <row r="94" spans="1:11" x14ac:dyDescent="0.25">
      <c r="A94" t="s">
        <v>1143</v>
      </c>
      <c r="B94" t="s">
        <v>129</v>
      </c>
      <c r="C94" t="s">
        <v>17</v>
      </c>
      <c r="D94" t="s">
        <v>1050</v>
      </c>
      <c r="E94">
        <v>4915.3999999999996</v>
      </c>
      <c r="F94" s="8">
        <v>45193</v>
      </c>
      <c r="H94" t="str">
        <f>IF(COUNTIF(Customers!$A$2:$A$1001,B94)&gt;0,"Valid","Invalid")</f>
        <v>Valid</v>
      </c>
      <c r="I94" t="str">
        <f t="shared" si="1"/>
        <v>Valid</v>
      </c>
      <c r="K94" t="str">
        <f>VLOOKUP(B94,Customers!A:G,7,FALSE)</f>
        <v>Individual</v>
      </c>
    </row>
    <row r="95" spans="1:11" x14ac:dyDescent="0.25">
      <c r="A95" t="s">
        <v>1144</v>
      </c>
      <c r="B95" t="s">
        <v>130</v>
      </c>
      <c r="C95" t="s">
        <v>1049</v>
      </c>
      <c r="D95" t="s">
        <v>1050</v>
      </c>
      <c r="E95">
        <v>20686.62</v>
      </c>
      <c r="F95" s="8">
        <v>45243</v>
      </c>
      <c r="H95" t="str">
        <f>IF(COUNTIF(Customers!$A$2:$A$1001,B95)&gt;0,"Valid","Invalid")</f>
        <v>Valid</v>
      </c>
      <c r="I95" t="str">
        <f t="shared" si="1"/>
        <v>Valid</v>
      </c>
      <c r="K95" t="str">
        <f>VLOOKUP(B95,Customers!A:G,7,FALSE)</f>
        <v>SME</v>
      </c>
    </row>
    <row r="96" spans="1:11" x14ac:dyDescent="0.25">
      <c r="A96" t="s">
        <v>1145</v>
      </c>
      <c r="B96" t="s">
        <v>131</v>
      </c>
      <c r="C96" t="s">
        <v>1045</v>
      </c>
      <c r="D96" t="s">
        <v>1068</v>
      </c>
      <c r="E96">
        <v>327.29000000000002</v>
      </c>
      <c r="F96" s="8">
        <v>46071</v>
      </c>
      <c r="H96" t="str">
        <f>IF(COUNTIF(Customers!$A$2:$A$1001,B96)&gt;0,"Valid","Invalid")</f>
        <v>Valid</v>
      </c>
      <c r="I96" t="str">
        <f t="shared" si="1"/>
        <v>Valid</v>
      </c>
      <c r="K96" t="str">
        <f>VLOOKUP(B96,Customers!A:G,7,FALSE)</f>
        <v>Individual</v>
      </c>
    </row>
    <row r="97" spans="1:11" x14ac:dyDescent="0.25">
      <c r="A97" t="s">
        <v>1146</v>
      </c>
      <c r="B97" t="s">
        <v>132</v>
      </c>
      <c r="C97" t="s">
        <v>1049</v>
      </c>
      <c r="D97" t="s">
        <v>1050</v>
      </c>
      <c r="E97">
        <v>6184.21</v>
      </c>
      <c r="F97" s="8">
        <v>44951</v>
      </c>
      <c r="H97" t="str">
        <f>IF(COUNTIF(Customers!$A$2:$A$1001,B97)&gt;0,"Valid","Invalid")</f>
        <v>Valid</v>
      </c>
      <c r="I97" t="str">
        <f t="shared" si="1"/>
        <v>Valid</v>
      </c>
      <c r="K97" t="str">
        <f>VLOOKUP(B97,Customers!A:G,7,FALSE)</f>
        <v>Individual</v>
      </c>
    </row>
    <row r="98" spans="1:11" x14ac:dyDescent="0.25">
      <c r="A98" t="s">
        <v>1147</v>
      </c>
      <c r="B98" t="s">
        <v>133</v>
      </c>
      <c r="C98" t="s">
        <v>1045</v>
      </c>
      <c r="D98" t="s">
        <v>1050</v>
      </c>
      <c r="E98">
        <v>2008.73</v>
      </c>
      <c r="F98" s="8">
        <v>45086</v>
      </c>
      <c r="H98" t="str">
        <f>IF(COUNTIF(Customers!$A$2:$A$1001,B98)&gt;0,"Valid","Invalid")</f>
        <v>Valid</v>
      </c>
      <c r="I98" t="str">
        <f t="shared" si="1"/>
        <v>Valid</v>
      </c>
      <c r="K98" t="str">
        <f>VLOOKUP(B98,Customers!A:G,7,FALSE)</f>
        <v>SME</v>
      </c>
    </row>
    <row r="99" spans="1:11" x14ac:dyDescent="0.25">
      <c r="A99" t="s">
        <v>1148</v>
      </c>
      <c r="B99" t="s">
        <v>134</v>
      </c>
      <c r="C99" t="s">
        <v>1045</v>
      </c>
      <c r="D99" t="s">
        <v>1073</v>
      </c>
      <c r="E99">
        <v>7245.97</v>
      </c>
      <c r="F99" s="8">
        <v>45522</v>
      </c>
      <c r="H99" t="str">
        <f>IF(COUNTIF(Customers!$A$2:$A$1001,B99)&gt;0,"Valid","Invalid")</f>
        <v>Valid</v>
      </c>
      <c r="I99" t="str">
        <f t="shared" si="1"/>
        <v>Valid</v>
      </c>
      <c r="K99" t="str">
        <f>VLOOKUP(B99,Customers!A:G,7,FALSE)</f>
        <v>Individual</v>
      </c>
    </row>
    <row r="100" spans="1:11" x14ac:dyDescent="0.25">
      <c r="A100" t="s">
        <v>1149</v>
      </c>
      <c r="B100" t="s">
        <v>135</v>
      </c>
      <c r="C100" t="s">
        <v>1049</v>
      </c>
      <c r="D100" t="s">
        <v>1050</v>
      </c>
      <c r="E100">
        <v>3730.71</v>
      </c>
      <c r="F100" s="8">
        <v>46064</v>
      </c>
      <c r="H100" t="str">
        <f>IF(COUNTIF(Customers!$A$2:$A$1001,B100)&gt;0,"Valid","Invalid")</f>
        <v>Valid</v>
      </c>
      <c r="I100" t="str">
        <f t="shared" si="1"/>
        <v>Valid</v>
      </c>
      <c r="K100" t="str">
        <f>VLOOKUP(B100,Customers!A:G,7,FALSE)</f>
        <v>Individual</v>
      </c>
    </row>
    <row r="101" spans="1:11" x14ac:dyDescent="0.25">
      <c r="A101" t="s">
        <v>1150</v>
      </c>
      <c r="B101" t="s">
        <v>136</v>
      </c>
      <c r="C101" t="s">
        <v>1045</v>
      </c>
      <c r="D101" t="s">
        <v>1050</v>
      </c>
      <c r="E101">
        <v>1922.07</v>
      </c>
      <c r="F101" s="8">
        <v>45826</v>
      </c>
      <c r="H101" t="str">
        <f>IF(COUNTIF(Customers!$A$2:$A$1001,B101)&gt;0,"Valid","Invalid")</f>
        <v>Valid</v>
      </c>
      <c r="I101" t="str">
        <f t="shared" si="1"/>
        <v>Valid</v>
      </c>
      <c r="K101" t="str">
        <f>VLOOKUP(B101,Customers!A:G,7,FALSE)</f>
        <v>Individual</v>
      </c>
    </row>
    <row r="102" spans="1:11" x14ac:dyDescent="0.25">
      <c r="A102" t="s">
        <v>1151</v>
      </c>
      <c r="B102" t="s">
        <v>137</v>
      </c>
      <c r="C102" t="s">
        <v>1045</v>
      </c>
      <c r="D102" t="s">
        <v>1046</v>
      </c>
      <c r="E102">
        <v>3866.18</v>
      </c>
      <c r="F102" s="8">
        <v>45428</v>
      </c>
      <c r="H102" t="str">
        <f>IF(COUNTIF(Customers!$A$2:$A$1001,B102)&gt;0,"Valid","Invalid")</f>
        <v>Valid</v>
      </c>
      <c r="I102" t="str">
        <f t="shared" si="1"/>
        <v>Valid</v>
      </c>
      <c r="K102" t="str">
        <f>VLOOKUP(B102,Customers!A:G,7,FALSE)</f>
        <v>Individual</v>
      </c>
    </row>
    <row r="103" spans="1:11" x14ac:dyDescent="0.25">
      <c r="A103" t="s">
        <v>1152</v>
      </c>
      <c r="B103" t="s">
        <v>138</v>
      </c>
      <c r="C103" t="s">
        <v>1045</v>
      </c>
      <c r="D103" t="s">
        <v>1046</v>
      </c>
      <c r="E103">
        <v>1219.07</v>
      </c>
      <c r="F103" s="8">
        <v>46116</v>
      </c>
      <c r="H103" t="str">
        <f>IF(COUNTIF(Customers!$A$2:$A$1001,B103)&gt;0,"Valid","Invalid")</f>
        <v>Valid</v>
      </c>
      <c r="I103" t="str">
        <f t="shared" si="1"/>
        <v>Valid</v>
      </c>
      <c r="K103" t="str">
        <f>VLOOKUP(B103,Customers!A:G,7,FALSE)</f>
        <v>Individual</v>
      </c>
    </row>
    <row r="104" spans="1:11" x14ac:dyDescent="0.25">
      <c r="A104" t="s">
        <v>1153</v>
      </c>
      <c r="B104" t="s">
        <v>139</v>
      </c>
      <c r="C104" t="s">
        <v>1049</v>
      </c>
      <c r="D104" t="s">
        <v>1068</v>
      </c>
      <c r="E104">
        <v>833.55</v>
      </c>
      <c r="F104" s="8">
        <v>45939</v>
      </c>
      <c r="H104" t="str">
        <f>IF(COUNTIF(Customers!$A$2:$A$1001,B104)&gt;0,"Valid","Invalid")</f>
        <v>Valid</v>
      </c>
      <c r="I104" t="str">
        <f t="shared" si="1"/>
        <v>Valid</v>
      </c>
      <c r="K104" t="str">
        <f>VLOOKUP(B104,Customers!A:G,7,FALSE)</f>
        <v>SME</v>
      </c>
    </row>
    <row r="105" spans="1:11" x14ac:dyDescent="0.25">
      <c r="A105" t="s">
        <v>1154</v>
      </c>
      <c r="B105" t="s">
        <v>140</v>
      </c>
      <c r="C105" t="s">
        <v>1045</v>
      </c>
      <c r="D105" t="s">
        <v>1068</v>
      </c>
      <c r="E105">
        <v>4067.82</v>
      </c>
      <c r="F105" s="8">
        <v>45629</v>
      </c>
      <c r="H105" t="str">
        <f>IF(COUNTIF(Customers!$A$2:$A$1001,B105)&gt;0,"Valid","Invalid")</f>
        <v>Valid</v>
      </c>
      <c r="I105" t="str">
        <f t="shared" si="1"/>
        <v>Valid</v>
      </c>
      <c r="K105" t="str">
        <f>VLOOKUP(B105,Customers!A:G,7,FALSE)</f>
        <v>Individual</v>
      </c>
    </row>
    <row r="106" spans="1:11" x14ac:dyDescent="0.25">
      <c r="A106" t="s">
        <v>1155</v>
      </c>
      <c r="B106" t="s">
        <v>141</v>
      </c>
      <c r="C106" t="s">
        <v>1056</v>
      </c>
      <c r="D106" t="s">
        <v>1050</v>
      </c>
      <c r="E106">
        <v>777.18</v>
      </c>
      <c r="F106" s="8">
        <v>46125</v>
      </c>
      <c r="H106" t="str">
        <f>IF(COUNTIF(Customers!$A$2:$A$1001,B106)&gt;0,"Valid","Invalid")</f>
        <v>Valid</v>
      </c>
      <c r="I106" t="str">
        <f t="shared" si="1"/>
        <v>Valid</v>
      </c>
      <c r="K106" t="str">
        <f>VLOOKUP(B106,Customers!A:G,7,FALSE)</f>
        <v>Individual</v>
      </c>
    </row>
    <row r="107" spans="1:11" x14ac:dyDescent="0.25">
      <c r="A107" t="s">
        <v>1156</v>
      </c>
      <c r="B107" t="s">
        <v>142</v>
      </c>
      <c r="C107" t="s">
        <v>1045</v>
      </c>
      <c r="D107" t="s">
        <v>1046</v>
      </c>
      <c r="E107">
        <v>3437.06</v>
      </c>
      <c r="F107" s="8">
        <v>44927</v>
      </c>
      <c r="H107" t="str">
        <f>IF(COUNTIF(Customers!$A$2:$A$1001,B107)&gt;0,"Valid","Invalid")</f>
        <v>Valid</v>
      </c>
      <c r="I107" t="str">
        <f t="shared" si="1"/>
        <v>Valid</v>
      </c>
      <c r="K107" t="str">
        <f>VLOOKUP(B107,Customers!A:G,7,FALSE)</f>
        <v>SME</v>
      </c>
    </row>
    <row r="108" spans="1:11" x14ac:dyDescent="0.25">
      <c r="A108" t="s">
        <v>1157</v>
      </c>
      <c r="B108" t="s">
        <v>143</v>
      </c>
      <c r="C108" t="s">
        <v>1049</v>
      </c>
      <c r="D108" t="s">
        <v>1050</v>
      </c>
      <c r="E108">
        <v>1864.5</v>
      </c>
      <c r="F108" s="8">
        <v>45667</v>
      </c>
      <c r="H108" t="str">
        <f>IF(COUNTIF(Customers!$A$2:$A$1001,B108)&gt;0,"Valid","Invalid")</f>
        <v>Valid</v>
      </c>
      <c r="I108" t="str">
        <f t="shared" si="1"/>
        <v>Valid</v>
      </c>
      <c r="K108" t="str">
        <f>VLOOKUP(B108,Customers!A:G,7,FALSE)</f>
        <v>SME</v>
      </c>
    </row>
    <row r="109" spans="1:11" x14ac:dyDescent="0.25">
      <c r="A109" t="s">
        <v>1158</v>
      </c>
      <c r="B109" t="s">
        <v>144</v>
      </c>
      <c r="C109" t="s">
        <v>1049</v>
      </c>
      <c r="D109" t="s">
        <v>1050</v>
      </c>
      <c r="E109">
        <v>176.01</v>
      </c>
      <c r="F109" s="8">
        <v>46036</v>
      </c>
      <c r="H109" t="str">
        <f>IF(COUNTIF(Customers!$A$2:$A$1001,B109)&gt;0,"Valid","Invalid")</f>
        <v>Valid</v>
      </c>
      <c r="I109" t="str">
        <f t="shared" si="1"/>
        <v>Valid</v>
      </c>
      <c r="K109" t="str">
        <f>VLOOKUP(B109,Customers!A:G,7,FALSE)</f>
        <v>Student</v>
      </c>
    </row>
    <row r="110" spans="1:11" x14ac:dyDescent="0.25">
      <c r="A110" t="s">
        <v>1159</v>
      </c>
      <c r="B110" t="s">
        <v>145</v>
      </c>
      <c r="C110" t="s">
        <v>1045</v>
      </c>
      <c r="D110" t="s">
        <v>1050</v>
      </c>
      <c r="E110">
        <v>1018.02</v>
      </c>
      <c r="F110" s="8">
        <v>45246</v>
      </c>
      <c r="H110" t="str">
        <f>IF(COUNTIF(Customers!$A$2:$A$1001,B110)&gt;0,"Valid","Invalid")</f>
        <v>Valid</v>
      </c>
      <c r="I110" t="str">
        <f t="shared" si="1"/>
        <v>Valid</v>
      </c>
      <c r="K110" t="str">
        <f>VLOOKUP(B110,Customers!A:G,7,FALSE)</f>
        <v>Individual</v>
      </c>
    </row>
    <row r="111" spans="1:11" x14ac:dyDescent="0.25">
      <c r="A111" t="s">
        <v>1160</v>
      </c>
      <c r="B111" t="s">
        <v>146</v>
      </c>
      <c r="C111" t="s">
        <v>1045</v>
      </c>
      <c r="D111" t="s">
        <v>1050</v>
      </c>
      <c r="E111">
        <v>2527.13</v>
      </c>
      <c r="F111" s="8">
        <v>45308</v>
      </c>
      <c r="H111" t="str">
        <f>IF(COUNTIF(Customers!$A$2:$A$1001,B111)&gt;0,"Valid","Invalid")</f>
        <v>Valid</v>
      </c>
      <c r="I111" t="str">
        <f t="shared" si="1"/>
        <v>Valid</v>
      </c>
      <c r="K111" t="str">
        <f>VLOOKUP(B111,Customers!A:G,7,FALSE)</f>
        <v>Student</v>
      </c>
    </row>
    <row r="112" spans="1:11" x14ac:dyDescent="0.25">
      <c r="A112" t="s">
        <v>1161</v>
      </c>
      <c r="B112" t="s">
        <v>147</v>
      </c>
      <c r="C112" t="s">
        <v>1045</v>
      </c>
      <c r="D112" t="s">
        <v>1068</v>
      </c>
      <c r="E112">
        <v>1204.72</v>
      </c>
      <c r="F112" s="8">
        <v>46200</v>
      </c>
      <c r="H112" t="str">
        <f>IF(COUNTIF(Customers!$A$2:$A$1001,B112)&gt;0,"Valid","Invalid")</f>
        <v>Valid</v>
      </c>
      <c r="I112" t="str">
        <f t="shared" si="1"/>
        <v>Valid</v>
      </c>
      <c r="K112" t="str">
        <f>VLOOKUP(B112,Customers!A:G,7,FALSE)</f>
        <v>Individual</v>
      </c>
    </row>
    <row r="113" spans="1:11" x14ac:dyDescent="0.25">
      <c r="A113" t="s">
        <v>1162</v>
      </c>
      <c r="B113" t="s">
        <v>148</v>
      </c>
      <c r="C113" t="s">
        <v>17</v>
      </c>
      <c r="D113" t="s">
        <v>1073</v>
      </c>
      <c r="E113">
        <v>141.63999999999999</v>
      </c>
      <c r="F113" s="8">
        <v>45824</v>
      </c>
      <c r="H113" t="str">
        <f>IF(COUNTIF(Customers!$A$2:$A$1001,B113)&gt;0,"Valid","Invalid")</f>
        <v>Valid</v>
      </c>
      <c r="I113" t="str">
        <f t="shared" si="1"/>
        <v>Valid</v>
      </c>
      <c r="K113" t="str">
        <f>VLOOKUP(B113,Customers!A:G,7,FALSE)</f>
        <v>Individual</v>
      </c>
    </row>
    <row r="114" spans="1:11" x14ac:dyDescent="0.25">
      <c r="A114" t="s">
        <v>1163</v>
      </c>
      <c r="B114" t="s">
        <v>149</v>
      </c>
      <c r="C114" t="s">
        <v>1056</v>
      </c>
      <c r="D114" t="s">
        <v>1050</v>
      </c>
      <c r="E114">
        <v>6773.34</v>
      </c>
      <c r="F114" s="8">
        <v>45643</v>
      </c>
      <c r="H114" t="str">
        <f>IF(COUNTIF(Customers!$A$2:$A$1001,B114)&gt;0,"Valid","Invalid")</f>
        <v>Valid</v>
      </c>
      <c r="I114" t="str">
        <f t="shared" si="1"/>
        <v>Valid</v>
      </c>
      <c r="K114" t="str">
        <f>VLOOKUP(B114,Customers!A:G,7,FALSE)</f>
        <v>Individual</v>
      </c>
    </row>
    <row r="115" spans="1:11" x14ac:dyDescent="0.25">
      <c r="A115" t="s">
        <v>1164</v>
      </c>
      <c r="B115" t="s">
        <v>150</v>
      </c>
      <c r="C115" t="s">
        <v>17</v>
      </c>
      <c r="D115" t="s">
        <v>1050</v>
      </c>
      <c r="E115">
        <v>2141.7399999999998</v>
      </c>
      <c r="F115" s="8">
        <v>45233</v>
      </c>
      <c r="H115" t="str">
        <f>IF(COUNTIF(Customers!$A$2:$A$1001,B115)&gt;0,"Valid","Invalid")</f>
        <v>Valid</v>
      </c>
      <c r="I115" t="str">
        <f t="shared" si="1"/>
        <v>Valid</v>
      </c>
      <c r="K115" t="str">
        <f>VLOOKUP(B115,Customers!A:G,7,FALSE)</f>
        <v>Corporate</v>
      </c>
    </row>
    <row r="116" spans="1:11" x14ac:dyDescent="0.25">
      <c r="A116" t="s">
        <v>1165</v>
      </c>
      <c r="B116" t="s">
        <v>151</v>
      </c>
      <c r="C116" t="s">
        <v>1045</v>
      </c>
      <c r="D116" t="s">
        <v>1050</v>
      </c>
      <c r="E116">
        <v>2817.88</v>
      </c>
      <c r="F116" s="8">
        <v>46094</v>
      </c>
      <c r="H116" t="str">
        <f>IF(COUNTIF(Customers!$A$2:$A$1001,B116)&gt;0,"Valid","Invalid")</f>
        <v>Valid</v>
      </c>
      <c r="I116" t="str">
        <f t="shared" si="1"/>
        <v>Valid</v>
      </c>
      <c r="K116" t="str">
        <f>VLOOKUP(B116,Customers!A:G,7,FALSE)</f>
        <v>Individual</v>
      </c>
    </row>
    <row r="117" spans="1:11" x14ac:dyDescent="0.25">
      <c r="A117" t="s">
        <v>1166</v>
      </c>
      <c r="B117" t="s">
        <v>152</v>
      </c>
      <c r="C117" t="s">
        <v>1049</v>
      </c>
      <c r="D117" t="s">
        <v>1046</v>
      </c>
      <c r="E117">
        <v>1126.33</v>
      </c>
      <c r="F117" s="8">
        <v>45317</v>
      </c>
      <c r="H117" t="str">
        <f>IF(COUNTIF(Customers!$A$2:$A$1001,B117)&gt;0,"Valid","Invalid")</f>
        <v>Valid</v>
      </c>
      <c r="I117" t="str">
        <f t="shared" si="1"/>
        <v>Valid</v>
      </c>
      <c r="K117" t="str">
        <f>VLOOKUP(B117,Customers!A:G,7,FALSE)</f>
        <v>Individual</v>
      </c>
    </row>
    <row r="118" spans="1:11" x14ac:dyDescent="0.25">
      <c r="A118" t="s">
        <v>1167</v>
      </c>
      <c r="B118" t="s">
        <v>153</v>
      </c>
      <c r="C118" t="s">
        <v>1049</v>
      </c>
      <c r="D118" t="s">
        <v>1046</v>
      </c>
      <c r="E118">
        <v>3076.32</v>
      </c>
      <c r="F118" s="8">
        <v>46119</v>
      </c>
      <c r="H118" t="str">
        <f>IF(COUNTIF(Customers!$A$2:$A$1001,B118)&gt;0,"Valid","Invalid")</f>
        <v>Valid</v>
      </c>
      <c r="I118" t="str">
        <f t="shared" si="1"/>
        <v>Valid</v>
      </c>
      <c r="K118" t="str">
        <f>VLOOKUP(B118,Customers!A:G,7,FALSE)</f>
        <v>Individual</v>
      </c>
    </row>
    <row r="119" spans="1:11" x14ac:dyDescent="0.25">
      <c r="A119" t="s">
        <v>1168</v>
      </c>
      <c r="B119" t="s">
        <v>154</v>
      </c>
      <c r="C119" t="s">
        <v>1056</v>
      </c>
      <c r="D119" t="s">
        <v>1050</v>
      </c>
      <c r="E119">
        <v>11325.59</v>
      </c>
      <c r="F119" s="8">
        <v>45916</v>
      </c>
      <c r="H119" t="str">
        <f>IF(COUNTIF(Customers!$A$2:$A$1001,B119)&gt;0,"Valid","Invalid")</f>
        <v>Valid</v>
      </c>
      <c r="I119" t="str">
        <f t="shared" si="1"/>
        <v>Valid</v>
      </c>
      <c r="K119" t="str">
        <f>VLOOKUP(B119,Customers!A:G,7,FALSE)</f>
        <v>Individual</v>
      </c>
    </row>
    <row r="120" spans="1:11" x14ac:dyDescent="0.25">
      <c r="A120" t="s">
        <v>1169</v>
      </c>
      <c r="B120" t="s">
        <v>155</v>
      </c>
      <c r="C120" t="s">
        <v>17</v>
      </c>
      <c r="D120" t="s">
        <v>1050</v>
      </c>
      <c r="E120">
        <v>866.9</v>
      </c>
      <c r="F120" s="8">
        <v>45224</v>
      </c>
      <c r="H120" t="str">
        <f>IF(COUNTIF(Customers!$A$2:$A$1001,B120)&gt;0,"Valid","Invalid")</f>
        <v>Valid</v>
      </c>
      <c r="I120" t="str">
        <f t="shared" si="1"/>
        <v>Valid</v>
      </c>
      <c r="K120" t="str">
        <f>VLOOKUP(B120,Customers!A:G,7,FALSE)</f>
        <v>Student</v>
      </c>
    </row>
    <row r="121" spans="1:11" x14ac:dyDescent="0.25">
      <c r="A121" t="s">
        <v>1170</v>
      </c>
      <c r="B121" t="s">
        <v>156</v>
      </c>
      <c r="C121" t="s">
        <v>1045</v>
      </c>
      <c r="D121" t="s">
        <v>1050</v>
      </c>
      <c r="E121">
        <v>9575.98</v>
      </c>
      <c r="F121" s="8">
        <v>45159</v>
      </c>
      <c r="H121" t="str">
        <f>IF(COUNTIF(Customers!$A$2:$A$1001,B121)&gt;0,"Valid","Invalid")</f>
        <v>Valid</v>
      </c>
      <c r="I121" t="str">
        <f t="shared" si="1"/>
        <v>Valid</v>
      </c>
      <c r="K121" t="str">
        <f>VLOOKUP(B121,Customers!A:G,7,FALSE)</f>
        <v>Individual</v>
      </c>
    </row>
    <row r="122" spans="1:11" x14ac:dyDescent="0.25">
      <c r="A122" t="s">
        <v>1171</v>
      </c>
      <c r="B122" t="s">
        <v>157</v>
      </c>
      <c r="C122" t="s">
        <v>1045</v>
      </c>
      <c r="D122" t="s">
        <v>1050</v>
      </c>
      <c r="E122">
        <v>2693.41</v>
      </c>
      <c r="F122" s="8">
        <v>45197</v>
      </c>
      <c r="H122" t="str">
        <f>IF(COUNTIF(Customers!$A$2:$A$1001,B122)&gt;0,"Valid","Invalid")</f>
        <v>Valid</v>
      </c>
      <c r="I122" t="str">
        <f t="shared" si="1"/>
        <v>Valid</v>
      </c>
      <c r="K122" t="str">
        <f>VLOOKUP(B122,Customers!A:G,7,FALSE)</f>
        <v>SME</v>
      </c>
    </row>
    <row r="123" spans="1:11" x14ac:dyDescent="0.25">
      <c r="A123" t="s">
        <v>1172</v>
      </c>
      <c r="B123" t="s">
        <v>158</v>
      </c>
      <c r="C123" t="s">
        <v>1056</v>
      </c>
      <c r="D123" t="s">
        <v>1073</v>
      </c>
      <c r="E123">
        <v>757.91</v>
      </c>
      <c r="F123" s="8">
        <v>46010</v>
      </c>
      <c r="H123" t="str">
        <f>IF(COUNTIF(Customers!$A$2:$A$1001,B123)&gt;0,"Valid","Invalid")</f>
        <v>Valid</v>
      </c>
      <c r="I123" t="str">
        <f t="shared" si="1"/>
        <v>Valid</v>
      </c>
      <c r="K123" t="str">
        <f>VLOOKUP(B123,Customers!A:G,7,FALSE)</f>
        <v>Individual</v>
      </c>
    </row>
    <row r="124" spans="1:11" x14ac:dyDescent="0.25">
      <c r="A124" t="s">
        <v>1173</v>
      </c>
      <c r="B124" t="s">
        <v>159</v>
      </c>
      <c r="C124" t="s">
        <v>1049</v>
      </c>
      <c r="D124" t="s">
        <v>1050</v>
      </c>
      <c r="E124">
        <v>16521.05</v>
      </c>
      <c r="F124" s="8">
        <v>46185</v>
      </c>
      <c r="H124" t="str">
        <f>IF(COUNTIF(Customers!$A$2:$A$1001,B124)&gt;0,"Valid","Invalid")</f>
        <v>Valid</v>
      </c>
      <c r="I124" t="str">
        <f t="shared" si="1"/>
        <v>Valid</v>
      </c>
      <c r="K124" t="str">
        <f>VLOOKUP(B124,Customers!A:G,7,FALSE)</f>
        <v>Individual</v>
      </c>
    </row>
    <row r="125" spans="1:11" x14ac:dyDescent="0.25">
      <c r="A125" t="s">
        <v>1174</v>
      </c>
      <c r="B125" t="s">
        <v>160</v>
      </c>
      <c r="C125" t="s">
        <v>1056</v>
      </c>
      <c r="D125" t="s">
        <v>1050</v>
      </c>
      <c r="E125">
        <v>2674.83</v>
      </c>
      <c r="F125" s="8">
        <v>45603</v>
      </c>
      <c r="H125" t="str">
        <f>IF(COUNTIF(Customers!$A$2:$A$1001,B125)&gt;0,"Valid","Invalid")</f>
        <v>Valid</v>
      </c>
      <c r="I125" t="str">
        <f t="shared" si="1"/>
        <v>Valid</v>
      </c>
      <c r="K125" t="str">
        <f>VLOOKUP(B125,Customers!A:G,7,FALSE)</f>
        <v>Individual</v>
      </c>
    </row>
    <row r="126" spans="1:11" x14ac:dyDescent="0.25">
      <c r="A126" t="s">
        <v>1175</v>
      </c>
      <c r="B126" t="s">
        <v>161</v>
      </c>
      <c r="C126" t="s">
        <v>1045</v>
      </c>
      <c r="D126" t="s">
        <v>1050</v>
      </c>
      <c r="E126">
        <v>3556.31</v>
      </c>
      <c r="F126" s="8">
        <v>45632</v>
      </c>
      <c r="H126" t="str">
        <f>IF(COUNTIF(Customers!$A$2:$A$1001,B126)&gt;0,"Valid","Invalid")</f>
        <v>Valid</v>
      </c>
      <c r="I126" t="str">
        <f t="shared" si="1"/>
        <v>Valid</v>
      </c>
      <c r="K126" t="str">
        <f>VLOOKUP(B126,Customers!A:G,7,FALSE)</f>
        <v>Student</v>
      </c>
    </row>
    <row r="127" spans="1:11" x14ac:dyDescent="0.25">
      <c r="A127" t="s">
        <v>1176</v>
      </c>
      <c r="B127" t="s">
        <v>162</v>
      </c>
      <c r="C127" t="s">
        <v>1045</v>
      </c>
      <c r="D127" t="s">
        <v>1050</v>
      </c>
      <c r="E127">
        <v>1381.12</v>
      </c>
      <c r="F127" s="8">
        <v>45160</v>
      </c>
      <c r="H127" t="str">
        <f>IF(COUNTIF(Customers!$A$2:$A$1001,B127)&gt;0,"Valid","Invalid")</f>
        <v>Valid</v>
      </c>
      <c r="I127" t="str">
        <f t="shared" si="1"/>
        <v>Valid</v>
      </c>
      <c r="K127" t="str">
        <f>VLOOKUP(B127,Customers!A:G,7,FALSE)</f>
        <v>Individual</v>
      </c>
    </row>
    <row r="128" spans="1:11" x14ac:dyDescent="0.25">
      <c r="A128" t="s">
        <v>1177</v>
      </c>
      <c r="B128" t="s">
        <v>163</v>
      </c>
      <c r="C128" t="s">
        <v>1045</v>
      </c>
      <c r="D128" t="s">
        <v>1068</v>
      </c>
      <c r="E128">
        <v>815.4</v>
      </c>
      <c r="F128" s="8">
        <v>45771</v>
      </c>
      <c r="H128" t="str">
        <f>IF(COUNTIF(Customers!$A$2:$A$1001,B128)&gt;0,"Valid","Invalid")</f>
        <v>Valid</v>
      </c>
      <c r="I128" t="str">
        <f t="shared" si="1"/>
        <v>Valid</v>
      </c>
      <c r="K128" t="str">
        <f>VLOOKUP(B128,Customers!A:G,7,FALSE)</f>
        <v>Individual</v>
      </c>
    </row>
    <row r="129" spans="1:11" x14ac:dyDescent="0.25">
      <c r="A129" t="s">
        <v>1178</v>
      </c>
      <c r="B129" t="s">
        <v>164</v>
      </c>
      <c r="C129" t="s">
        <v>1045</v>
      </c>
      <c r="D129" t="s">
        <v>1050</v>
      </c>
      <c r="E129">
        <v>2138.4</v>
      </c>
      <c r="F129" s="8">
        <v>46182</v>
      </c>
      <c r="H129" t="str">
        <f>IF(COUNTIF(Customers!$A$2:$A$1001,B129)&gt;0,"Valid","Invalid")</f>
        <v>Valid</v>
      </c>
      <c r="I129" t="str">
        <f t="shared" si="1"/>
        <v>Valid</v>
      </c>
      <c r="K129" t="str">
        <f>VLOOKUP(B129,Customers!A:G,7,FALSE)</f>
        <v>Individual</v>
      </c>
    </row>
    <row r="130" spans="1:11" x14ac:dyDescent="0.25">
      <c r="A130" t="s">
        <v>1179</v>
      </c>
      <c r="B130" t="s">
        <v>165</v>
      </c>
      <c r="C130" t="s">
        <v>1056</v>
      </c>
      <c r="D130" t="s">
        <v>1050</v>
      </c>
      <c r="E130">
        <v>8790.82</v>
      </c>
      <c r="F130" s="8">
        <v>45417</v>
      </c>
      <c r="H130" t="str">
        <f>IF(COUNTIF(Customers!$A$2:$A$1001,B130)&gt;0,"Valid","Invalid")</f>
        <v>Valid</v>
      </c>
      <c r="I130" t="str">
        <f t="shared" si="1"/>
        <v>Valid</v>
      </c>
      <c r="K130" t="str">
        <f>VLOOKUP(B130,Customers!A:G,7,FALSE)</f>
        <v>Student</v>
      </c>
    </row>
    <row r="131" spans="1:11" x14ac:dyDescent="0.25">
      <c r="A131" t="s">
        <v>1180</v>
      </c>
      <c r="B131" t="s">
        <v>166</v>
      </c>
      <c r="C131" t="s">
        <v>1049</v>
      </c>
      <c r="D131" t="s">
        <v>1050</v>
      </c>
      <c r="E131">
        <v>1326.55</v>
      </c>
      <c r="F131" s="8">
        <v>45429</v>
      </c>
      <c r="H131" t="str">
        <f>IF(COUNTIF(Customers!$A$2:$A$1001,B131)&gt;0,"Valid","Invalid")</f>
        <v>Valid</v>
      </c>
      <c r="I131" t="str">
        <f t="shared" ref="I131:I194" si="2">IF(OR(C131="Savings",C131="Current",C131="Business",C131="Student"),"Valid","Check")</f>
        <v>Valid</v>
      </c>
      <c r="K131" t="str">
        <f>VLOOKUP(B131,Customers!A:G,7,FALSE)</f>
        <v>SME</v>
      </c>
    </row>
    <row r="132" spans="1:11" x14ac:dyDescent="0.25">
      <c r="A132" t="s">
        <v>1181</v>
      </c>
      <c r="B132" t="s">
        <v>167</v>
      </c>
      <c r="C132" t="s">
        <v>1045</v>
      </c>
      <c r="D132" t="s">
        <v>1050</v>
      </c>
      <c r="E132">
        <v>1760.32</v>
      </c>
      <c r="F132" s="8">
        <v>45816</v>
      </c>
      <c r="H132" t="str">
        <f>IF(COUNTIF(Customers!$A$2:$A$1001,B132)&gt;0,"Valid","Invalid")</f>
        <v>Valid</v>
      </c>
      <c r="I132" t="str">
        <f t="shared" si="2"/>
        <v>Valid</v>
      </c>
      <c r="K132" t="str">
        <f>VLOOKUP(B132,Customers!A:G,7,FALSE)</f>
        <v>Corporate</v>
      </c>
    </row>
    <row r="133" spans="1:11" x14ac:dyDescent="0.25">
      <c r="A133" t="s">
        <v>1182</v>
      </c>
      <c r="B133" t="s">
        <v>168</v>
      </c>
      <c r="C133" t="s">
        <v>1045</v>
      </c>
      <c r="D133" t="s">
        <v>1050</v>
      </c>
      <c r="E133">
        <v>7756.83</v>
      </c>
      <c r="F133" s="8">
        <v>45518</v>
      </c>
      <c r="H133" t="str">
        <f>IF(COUNTIF(Customers!$A$2:$A$1001,B133)&gt;0,"Valid","Invalid")</f>
        <v>Valid</v>
      </c>
      <c r="I133" t="str">
        <f t="shared" si="2"/>
        <v>Valid</v>
      </c>
      <c r="K133" t="str">
        <f>VLOOKUP(B133,Customers!A:G,7,FALSE)</f>
        <v>SME</v>
      </c>
    </row>
    <row r="134" spans="1:11" x14ac:dyDescent="0.25">
      <c r="A134" t="s">
        <v>1183</v>
      </c>
      <c r="B134" t="s">
        <v>169</v>
      </c>
      <c r="C134" t="s">
        <v>1045</v>
      </c>
      <c r="D134" t="s">
        <v>1046</v>
      </c>
      <c r="E134">
        <v>1338.99</v>
      </c>
      <c r="F134" s="8">
        <v>45672</v>
      </c>
      <c r="H134" t="str">
        <f>IF(COUNTIF(Customers!$A$2:$A$1001,B134)&gt;0,"Valid","Invalid")</f>
        <v>Valid</v>
      </c>
      <c r="I134" t="str">
        <f t="shared" si="2"/>
        <v>Valid</v>
      </c>
      <c r="K134" t="str">
        <f>VLOOKUP(B134,Customers!A:G,7,FALSE)</f>
        <v>SME</v>
      </c>
    </row>
    <row r="135" spans="1:11" x14ac:dyDescent="0.25">
      <c r="A135" t="s">
        <v>1184</v>
      </c>
      <c r="B135" t="s">
        <v>170</v>
      </c>
      <c r="C135" t="s">
        <v>1045</v>
      </c>
      <c r="D135" t="s">
        <v>1050</v>
      </c>
      <c r="E135">
        <v>3011.75</v>
      </c>
      <c r="F135" s="8">
        <v>45354</v>
      </c>
      <c r="H135" t="str">
        <f>IF(COUNTIF(Customers!$A$2:$A$1001,B135)&gt;0,"Valid","Invalid")</f>
        <v>Valid</v>
      </c>
      <c r="I135" t="str">
        <f t="shared" si="2"/>
        <v>Valid</v>
      </c>
      <c r="K135" t="str">
        <f>VLOOKUP(B135,Customers!A:G,7,FALSE)</f>
        <v>Individual</v>
      </c>
    </row>
    <row r="136" spans="1:11" x14ac:dyDescent="0.25">
      <c r="A136" t="s">
        <v>1185</v>
      </c>
      <c r="B136" t="s">
        <v>171</v>
      </c>
      <c r="C136" t="s">
        <v>1049</v>
      </c>
      <c r="D136" t="s">
        <v>1050</v>
      </c>
      <c r="E136">
        <v>4347.4799999999996</v>
      </c>
      <c r="F136" s="8">
        <v>45623</v>
      </c>
      <c r="H136" t="str">
        <f>IF(COUNTIF(Customers!$A$2:$A$1001,B136)&gt;0,"Valid","Invalid")</f>
        <v>Valid</v>
      </c>
      <c r="I136" t="str">
        <f t="shared" si="2"/>
        <v>Valid</v>
      </c>
      <c r="K136" t="str">
        <f>VLOOKUP(B136,Customers!A:G,7,FALSE)</f>
        <v>Corporate</v>
      </c>
    </row>
    <row r="137" spans="1:11" x14ac:dyDescent="0.25">
      <c r="A137" t="s">
        <v>1186</v>
      </c>
      <c r="B137" t="s">
        <v>172</v>
      </c>
      <c r="C137" t="s">
        <v>1049</v>
      </c>
      <c r="D137" t="s">
        <v>1050</v>
      </c>
      <c r="E137">
        <v>1485.07</v>
      </c>
      <c r="F137" s="8">
        <v>45572</v>
      </c>
      <c r="H137" t="str">
        <f>IF(COUNTIF(Customers!$A$2:$A$1001,B137)&gt;0,"Valid","Invalid")</f>
        <v>Valid</v>
      </c>
      <c r="I137" t="str">
        <f t="shared" si="2"/>
        <v>Valid</v>
      </c>
      <c r="K137" t="str">
        <f>VLOOKUP(B137,Customers!A:G,7,FALSE)</f>
        <v>Individual</v>
      </c>
    </row>
    <row r="138" spans="1:11" x14ac:dyDescent="0.25">
      <c r="A138" t="s">
        <v>1187</v>
      </c>
      <c r="B138" t="s">
        <v>173</v>
      </c>
      <c r="C138" t="s">
        <v>1045</v>
      </c>
      <c r="D138" t="s">
        <v>1050</v>
      </c>
      <c r="E138">
        <v>2464.73</v>
      </c>
      <c r="F138" s="8">
        <v>45658</v>
      </c>
      <c r="H138" t="str">
        <f>IF(COUNTIF(Customers!$A$2:$A$1001,B138)&gt;0,"Valid","Invalid")</f>
        <v>Valid</v>
      </c>
      <c r="I138" t="str">
        <f t="shared" si="2"/>
        <v>Valid</v>
      </c>
      <c r="K138" t="str">
        <f>VLOOKUP(B138,Customers!A:G,7,FALSE)</f>
        <v>Corporate</v>
      </c>
    </row>
    <row r="139" spans="1:11" x14ac:dyDescent="0.25">
      <c r="A139" t="s">
        <v>1188</v>
      </c>
      <c r="B139" t="s">
        <v>174</v>
      </c>
      <c r="C139" t="s">
        <v>1049</v>
      </c>
      <c r="D139" t="s">
        <v>1050</v>
      </c>
      <c r="E139">
        <v>3502.05</v>
      </c>
      <c r="F139" s="8">
        <v>45726</v>
      </c>
      <c r="H139" t="str">
        <f>IF(COUNTIF(Customers!$A$2:$A$1001,B139)&gt;0,"Valid","Invalid")</f>
        <v>Valid</v>
      </c>
      <c r="I139" t="str">
        <f t="shared" si="2"/>
        <v>Valid</v>
      </c>
      <c r="K139" t="str">
        <f>VLOOKUP(B139,Customers!A:G,7,FALSE)</f>
        <v>Corporate</v>
      </c>
    </row>
    <row r="140" spans="1:11" x14ac:dyDescent="0.25">
      <c r="A140" t="s">
        <v>1189</v>
      </c>
      <c r="B140" t="s">
        <v>175</v>
      </c>
      <c r="C140" t="s">
        <v>1049</v>
      </c>
      <c r="D140" t="s">
        <v>1050</v>
      </c>
      <c r="E140">
        <v>1210.8599999999999</v>
      </c>
      <c r="F140" s="8">
        <v>45290</v>
      </c>
      <c r="H140" t="str">
        <f>IF(COUNTIF(Customers!$A$2:$A$1001,B140)&gt;0,"Valid","Invalid")</f>
        <v>Valid</v>
      </c>
      <c r="I140" t="str">
        <f t="shared" si="2"/>
        <v>Valid</v>
      </c>
      <c r="K140" t="str">
        <f>VLOOKUP(B140,Customers!A:G,7,FALSE)</f>
        <v>SME</v>
      </c>
    </row>
    <row r="141" spans="1:11" x14ac:dyDescent="0.25">
      <c r="A141" t="s">
        <v>1190</v>
      </c>
      <c r="B141" t="s">
        <v>176</v>
      </c>
      <c r="C141" t="s">
        <v>1049</v>
      </c>
      <c r="D141" t="s">
        <v>1073</v>
      </c>
      <c r="E141">
        <v>4087.81</v>
      </c>
      <c r="F141" s="8">
        <v>45128</v>
      </c>
      <c r="H141" t="str">
        <f>IF(COUNTIF(Customers!$A$2:$A$1001,B141)&gt;0,"Valid","Invalid")</f>
        <v>Valid</v>
      </c>
      <c r="I141" t="str">
        <f t="shared" si="2"/>
        <v>Valid</v>
      </c>
      <c r="K141" t="str">
        <f>VLOOKUP(B141,Customers!A:G,7,FALSE)</f>
        <v>Corporate</v>
      </c>
    </row>
    <row r="142" spans="1:11" x14ac:dyDescent="0.25">
      <c r="A142" t="s">
        <v>1191</v>
      </c>
      <c r="B142" t="s">
        <v>177</v>
      </c>
      <c r="C142" t="s">
        <v>1045</v>
      </c>
      <c r="D142" t="s">
        <v>1073</v>
      </c>
      <c r="E142">
        <v>1046.3</v>
      </c>
      <c r="F142" s="8">
        <v>45808</v>
      </c>
      <c r="H142" t="str">
        <f>IF(COUNTIF(Customers!$A$2:$A$1001,B142)&gt;0,"Valid","Invalid")</f>
        <v>Valid</v>
      </c>
      <c r="I142" t="str">
        <f t="shared" si="2"/>
        <v>Valid</v>
      </c>
      <c r="K142" t="str">
        <f>VLOOKUP(B142,Customers!A:G,7,FALSE)</f>
        <v>Individual</v>
      </c>
    </row>
    <row r="143" spans="1:11" x14ac:dyDescent="0.25">
      <c r="A143" t="s">
        <v>1192</v>
      </c>
      <c r="B143" t="s">
        <v>178</v>
      </c>
      <c r="C143" t="s">
        <v>17</v>
      </c>
      <c r="D143" t="s">
        <v>1050</v>
      </c>
      <c r="E143">
        <v>920.5</v>
      </c>
      <c r="F143" s="8">
        <v>45072</v>
      </c>
      <c r="H143" t="str">
        <f>IF(COUNTIF(Customers!$A$2:$A$1001,B143)&gt;0,"Valid","Invalid")</f>
        <v>Valid</v>
      </c>
      <c r="I143" t="str">
        <f t="shared" si="2"/>
        <v>Valid</v>
      </c>
      <c r="K143" t="str">
        <f>VLOOKUP(B143,Customers!A:G,7,FALSE)</f>
        <v>Individual</v>
      </c>
    </row>
    <row r="144" spans="1:11" x14ac:dyDescent="0.25">
      <c r="A144" t="s">
        <v>1193</v>
      </c>
      <c r="B144" t="s">
        <v>179</v>
      </c>
      <c r="C144" t="s">
        <v>1045</v>
      </c>
      <c r="D144" t="s">
        <v>1050</v>
      </c>
      <c r="E144">
        <v>392.67</v>
      </c>
      <c r="F144" s="8">
        <v>45762</v>
      </c>
      <c r="H144" t="str">
        <f>IF(COUNTIF(Customers!$A$2:$A$1001,B144)&gt;0,"Valid","Invalid")</f>
        <v>Valid</v>
      </c>
      <c r="I144" t="str">
        <f t="shared" si="2"/>
        <v>Valid</v>
      </c>
      <c r="K144" t="str">
        <f>VLOOKUP(B144,Customers!A:G,7,FALSE)</f>
        <v>Individual</v>
      </c>
    </row>
    <row r="145" spans="1:11" x14ac:dyDescent="0.25">
      <c r="A145" t="s">
        <v>1194</v>
      </c>
      <c r="B145" t="s">
        <v>180</v>
      </c>
      <c r="C145" t="s">
        <v>1045</v>
      </c>
      <c r="D145" t="s">
        <v>1050</v>
      </c>
      <c r="E145">
        <v>1092.8399999999999</v>
      </c>
      <c r="F145" s="8">
        <v>45565</v>
      </c>
      <c r="H145" t="str">
        <f>IF(COUNTIF(Customers!$A$2:$A$1001,B145)&gt;0,"Valid","Invalid")</f>
        <v>Valid</v>
      </c>
      <c r="I145" t="str">
        <f t="shared" si="2"/>
        <v>Valid</v>
      </c>
      <c r="K145" t="str">
        <f>VLOOKUP(B145,Customers!A:G,7,FALSE)</f>
        <v>Individual</v>
      </c>
    </row>
    <row r="146" spans="1:11" x14ac:dyDescent="0.25">
      <c r="A146" t="s">
        <v>1195</v>
      </c>
      <c r="B146" t="s">
        <v>181</v>
      </c>
      <c r="C146" t="s">
        <v>1045</v>
      </c>
      <c r="D146" t="s">
        <v>1050</v>
      </c>
      <c r="E146">
        <v>799.91</v>
      </c>
      <c r="F146" s="8">
        <v>45061</v>
      </c>
      <c r="H146" t="str">
        <f>IF(COUNTIF(Customers!$A$2:$A$1001,B146)&gt;0,"Valid","Invalid")</f>
        <v>Valid</v>
      </c>
      <c r="I146" t="str">
        <f t="shared" si="2"/>
        <v>Valid</v>
      </c>
      <c r="K146" t="str">
        <f>VLOOKUP(B146,Customers!A:G,7,FALSE)</f>
        <v>Student</v>
      </c>
    </row>
    <row r="147" spans="1:11" x14ac:dyDescent="0.25">
      <c r="A147" t="s">
        <v>1196</v>
      </c>
      <c r="B147" t="s">
        <v>182</v>
      </c>
      <c r="C147" t="s">
        <v>1045</v>
      </c>
      <c r="D147" t="s">
        <v>1046</v>
      </c>
      <c r="E147">
        <v>1210.9100000000001</v>
      </c>
      <c r="F147" s="8">
        <v>45552</v>
      </c>
      <c r="H147" t="str">
        <f>IF(COUNTIF(Customers!$A$2:$A$1001,B147)&gt;0,"Valid","Invalid")</f>
        <v>Valid</v>
      </c>
      <c r="I147" t="str">
        <f t="shared" si="2"/>
        <v>Valid</v>
      </c>
      <c r="K147" t="str">
        <f>VLOOKUP(B147,Customers!A:G,7,FALSE)</f>
        <v>Individual</v>
      </c>
    </row>
    <row r="148" spans="1:11" x14ac:dyDescent="0.25">
      <c r="A148" t="s">
        <v>1197</v>
      </c>
      <c r="B148" t="s">
        <v>183</v>
      </c>
      <c r="C148" t="s">
        <v>1045</v>
      </c>
      <c r="D148" t="s">
        <v>1050</v>
      </c>
      <c r="E148">
        <v>3334.22</v>
      </c>
      <c r="F148" s="8">
        <v>44990</v>
      </c>
      <c r="H148" t="str">
        <f>IF(COUNTIF(Customers!$A$2:$A$1001,B148)&gt;0,"Valid","Invalid")</f>
        <v>Valid</v>
      </c>
      <c r="I148" t="str">
        <f t="shared" si="2"/>
        <v>Valid</v>
      </c>
      <c r="K148" t="str">
        <f>VLOOKUP(B148,Customers!A:G,7,FALSE)</f>
        <v>Corporate</v>
      </c>
    </row>
    <row r="149" spans="1:11" x14ac:dyDescent="0.25">
      <c r="A149" t="s">
        <v>1198</v>
      </c>
      <c r="B149" t="s">
        <v>184</v>
      </c>
      <c r="C149" t="s">
        <v>1045</v>
      </c>
      <c r="D149" t="s">
        <v>1050</v>
      </c>
      <c r="E149">
        <v>321.93</v>
      </c>
      <c r="F149" s="8">
        <v>45417</v>
      </c>
      <c r="H149" t="str">
        <f>IF(COUNTIF(Customers!$A$2:$A$1001,B149)&gt;0,"Valid","Invalid")</f>
        <v>Valid</v>
      </c>
      <c r="I149" t="str">
        <f t="shared" si="2"/>
        <v>Valid</v>
      </c>
      <c r="K149" t="str">
        <f>VLOOKUP(B149,Customers!A:G,7,FALSE)</f>
        <v>Individual</v>
      </c>
    </row>
    <row r="150" spans="1:11" x14ac:dyDescent="0.25">
      <c r="A150" t="s">
        <v>1199</v>
      </c>
      <c r="B150" t="s">
        <v>185</v>
      </c>
      <c r="C150" t="s">
        <v>1045</v>
      </c>
      <c r="D150" t="s">
        <v>1046</v>
      </c>
      <c r="E150">
        <v>250.97</v>
      </c>
      <c r="F150" s="8">
        <v>44967</v>
      </c>
      <c r="H150" t="str">
        <f>IF(COUNTIF(Customers!$A$2:$A$1001,B150)&gt;0,"Valid","Invalid")</f>
        <v>Valid</v>
      </c>
      <c r="I150" t="str">
        <f t="shared" si="2"/>
        <v>Valid</v>
      </c>
      <c r="K150" t="str">
        <f>VLOOKUP(B150,Customers!A:G,7,FALSE)</f>
        <v>SME</v>
      </c>
    </row>
    <row r="151" spans="1:11" x14ac:dyDescent="0.25">
      <c r="A151" t="s">
        <v>1200</v>
      </c>
      <c r="B151" t="s">
        <v>186</v>
      </c>
      <c r="C151" t="s">
        <v>1049</v>
      </c>
      <c r="D151" t="s">
        <v>1073</v>
      </c>
      <c r="E151">
        <v>854.85</v>
      </c>
      <c r="F151" s="8">
        <v>45953</v>
      </c>
      <c r="H151" t="str">
        <f>IF(COUNTIF(Customers!$A$2:$A$1001,B151)&gt;0,"Valid","Invalid")</f>
        <v>Valid</v>
      </c>
      <c r="I151" t="str">
        <f t="shared" si="2"/>
        <v>Valid</v>
      </c>
      <c r="K151" t="str">
        <f>VLOOKUP(B151,Customers!A:G,7,FALSE)</f>
        <v>SME</v>
      </c>
    </row>
    <row r="152" spans="1:11" x14ac:dyDescent="0.25">
      <c r="A152" t="s">
        <v>1201</v>
      </c>
      <c r="B152" t="s">
        <v>187</v>
      </c>
      <c r="C152" t="s">
        <v>1049</v>
      </c>
      <c r="D152" t="s">
        <v>1050</v>
      </c>
      <c r="E152">
        <v>2867.6</v>
      </c>
      <c r="F152" s="8">
        <v>45839</v>
      </c>
      <c r="H152" t="str">
        <f>IF(COUNTIF(Customers!$A$2:$A$1001,B152)&gt;0,"Valid","Invalid")</f>
        <v>Valid</v>
      </c>
      <c r="I152" t="str">
        <f t="shared" si="2"/>
        <v>Valid</v>
      </c>
      <c r="K152" t="str">
        <f>VLOOKUP(B152,Customers!A:G,7,FALSE)</f>
        <v>Corporate</v>
      </c>
    </row>
    <row r="153" spans="1:11" x14ac:dyDescent="0.25">
      <c r="A153" t="s">
        <v>1202</v>
      </c>
      <c r="B153" t="s">
        <v>188</v>
      </c>
      <c r="C153" t="s">
        <v>1045</v>
      </c>
      <c r="D153" t="s">
        <v>1050</v>
      </c>
      <c r="E153">
        <v>2413.58</v>
      </c>
      <c r="F153" s="8">
        <v>45901</v>
      </c>
      <c r="H153" t="str">
        <f>IF(COUNTIF(Customers!$A$2:$A$1001,B153)&gt;0,"Valid","Invalid")</f>
        <v>Valid</v>
      </c>
      <c r="I153" t="str">
        <f t="shared" si="2"/>
        <v>Valid</v>
      </c>
      <c r="K153" t="str">
        <f>VLOOKUP(B153,Customers!A:G,7,FALSE)</f>
        <v>Corporate</v>
      </c>
    </row>
    <row r="154" spans="1:11" x14ac:dyDescent="0.25">
      <c r="A154" t="s">
        <v>1203</v>
      </c>
      <c r="B154" t="s">
        <v>189</v>
      </c>
      <c r="C154" t="s">
        <v>1049</v>
      </c>
      <c r="D154" t="s">
        <v>1050</v>
      </c>
      <c r="E154">
        <v>841.29</v>
      </c>
      <c r="F154" s="8">
        <v>46060</v>
      </c>
      <c r="H154" t="str">
        <f>IF(COUNTIF(Customers!$A$2:$A$1001,B154)&gt;0,"Valid","Invalid")</f>
        <v>Valid</v>
      </c>
      <c r="I154" t="str">
        <f t="shared" si="2"/>
        <v>Valid</v>
      </c>
      <c r="K154" t="str">
        <f>VLOOKUP(B154,Customers!A:G,7,FALSE)</f>
        <v>Individual</v>
      </c>
    </row>
    <row r="155" spans="1:11" x14ac:dyDescent="0.25">
      <c r="A155" t="s">
        <v>1204</v>
      </c>
      <c r="B155" t="s">
        <v>190</v>
      </c>
      <c r="C155" t="s">
        <v>1049</v>
      </c>
      <c r="D155" t="s">
        <v>1050</v>
      </c>
      <c r="E155">
        <v>5822.05</v>
      </c>
      <c r="F155" s="8">
        <v>46171</v>
      </c>
      <c r="H155" t="str">
        <f>IF(COUNTIF(Customers!$A$2:$A$1001,B155)&gt;0,"Valid","Invalid")</f>
        <v>Valid</v>
      </c>
      <c r="I155" t="str">
        <f t="shared" si="2"/>
        <v>Valid</v>
      </c>
      <c r="K155" t="str">
        <f>VLOOKUP(B155,Customers!A:G,7,FALSE)</f>
        <v>Corporate</v>
      </c>
    </row>
    <row r="156" spans="1:11" x14ac:dyDescent="0.25">
      <c r="A156" t="s">
        <v>1205</v>
      </c>
      <c r="B156" t="s">
        <v>191</v>
      </c>
      <c r="C156" t="s">
        <v>1049</v>
      </c>
      <c r="D156" t="s">
        <v>1073</v>
      </c>
      <c r="E156">
        <v>935.98</v>
      </c>
      <c r="F156" s="8">
        <v>45294</v>
      </c>
      <c r="H156" t="str">
        <f>IF(COUNTIF(Customers!$A$2:$A$1001,B156)&gt;0,"Valid","Invalid")</f>
        <v>Valid</v>
      </c>
      <c r="I156" t="str">
        <f t="shared" si="2"/>
        <v>Valid</v>
      </c>
      <c r="K156" t="str">
        <f>VLOOKUP(B156,Customers!A:G,7,FALSE)</f>
        <v>SME</v>
      </c>
    </row>
    <row r="157" spans="1:11" x14ac:dyDescent="0.25">
      <c r="A157" t="s">
        <v>1206</v>
      </c>
      <c r="B157" t="s">
        <v>192</v>
      </c>
      <c r="C157" t="s">
        <v>1045</v>
      </c>
      <c r="D157" t="s">
        <v>1046</v>
      </c>
      <c r="E157">
        <v>2871.11</v>
      </c>
      <c r="F157" s="8">
        <v>45844</v>
      </c>
      <c r="H157" t="str">
        <f>IF(COUNTIF(Customers!$A$2:$A$1001,B157)&gt;0,"Valid","Invalid")</f>
        <v>Valid</v>
      </c>
      <c r="I157" t="str">
        <f t="shared" si="2"/>
        <v>Valid</v>
      </c>
      <c r="K157" t="str">
        <f>VLOOKUP(B157,Customers!A:G,7,FALSE)</f>
        <v>Individual</v>
      </c>
    </row>
    <row r="158" spans="1:11" x14ac:dyDescent="0.25">
      <c r="A158" t="s">
        <v>1207</v>
      </c>
      <c r="B158" t="s">
        <v>193</v>
      </c>
      <c r="C158" t="s">
        <v>1056</v>
      </c>
      <c r="D158" t="s">
        <v>1046</v>
      </c>
      <c r="E158">
        <v>1257.92</v>
      </c>
      <c r="F158" s="8">
        <v>45954</v>
      </c>
      <c r="H158" t="str">
        <f>IF(COUNTIF(Customers!$A$2:$A$1001,B158)&gt;0,"Valid","Invalid")</f>
        <v>Valid</v>
      </c>
      <c r="I158" t="str">
        <f t="shared" si="2"/>
        <v>Valid</v>
      </c>
      <c r="K158" t="str">
        <f>VLOOKUP(B158,Customers!A:G,7,FALSE)</f>
        <v>Individual</v>
      </c>
    </row>
    <row r="159" spans="1:11" x14ac:dyDescent="0.25">
      <c r="A159" t="s">
        <v>1208</v>
      </c>
      <c r="B159" t="s">
        <v>194</v>
      </c>
      <c r="C159" t="s">
        <v>17</v>
      </c>
      <c r="D159" t="s">
        <v>1050</v>
      </c>
      <c r="E159">
        <v>758.41</v>
      </c>
      <c r="F159" s="8">
        <v>45170</v>
      </c>
      <c r="H159" t="str">
        <f>IF(COUNTIF(Customers!$A$2:$A$1001,B159)&gt;0,"Valid","Invalid")</f>
        <v>Valid</v>
      </c>
      <c r="I159" t="str">
        <f t="shared" si="2"/>
        <v>Valid</v>
      </c>
      <c r="K159" t="str">
        <f>VLOOKUP(B159,Customers!A:G,7,FALSE)</f>
        <v>SME</v>
      </c>
    </row>
    <row r="160" spans="1:11" x14ac:dyDescent="0.25">
      <c r="A160" t="s">
        <v>1209</v>
      </c>
      <c r="B160" t="s">
        <v>195</v>
      </c>
      <c r="C160" t="s">
        <v>1056</v>
      </c>
      <c r="D160" t="s">
        <v>1046</v>
      </c>
      <c r="E160">
        <v>987.26</v>
      </c>
      <c r="F160" s="8">
        <v>45828</v>
      </c>
      <c r="H160" t="str">
        <f>IF(COUNTIF(Customers!$A$2:$A$1001,B160)&gt;0,"Valid","Invalid")</f>
        <v>Valid</v>
      </c>
      <c r="I160" t="str">
        <f t="shared" si="2"/>
        <v>Valid</v>
      </c>
      <c r="K160" t="str">
        <f>VLOOKUP(B160,Customers!A:G,7,FALSE)</f>
        <v>Individual</v>
      </c>
    </row>
    <row r="161" spans="1:11" x14ac:dyDescent="0.25">
      <c r="A161" t="s">
        <v>1210</v>
      </c>
      <c r="B161" t="s">
        <v>196</v>
      </c>
      <c r="C161" t="s">
        <v>1045</v>
      </c>
      <c r="D161" t="s">
        <v>1050</v>
      </c>
      <c r="E161">
        <v>3766.87</v>
      </c>
      <c r="F161" s="8">
        <v>45092</v>
      </c>
      <c r="H161" t="str">
        <f>IF(COUNTIF(Customers!$A$2:$A$1001,B161)&gt;0,"Valid","Invalid")</f>
        <v>Valid</v>
      </c>
      <c r="I161" t="str">
        <f t="shared" si="2"/>
        <v>Valid</v>
      </c>
      <c r="K161" t="str">
        <f>VLOOKUP(B161,Customers!A:G,7,FALSE)</f>
        <v>Individual</v>
      </c>
    </row>
    <row r="162" spans="1:11" x14ac:dyDescent="0.25">
      <c r="A162" t="s">
        <v>1211</v>
      </c>
      <c r="B162" t="s">
        <v>197</v>
      </c>
      <c r="C162" t="s">
        <v>1045</v>
      </c>
      <c r="D162" t="s">
        <v>1050</v>
      </c>
      <c r="E162">
        <v>2594.1799999999998</v>
      </c>
      <c r="F162" s="8">
        <v>45976</v>
      </c>
      <c r="H162" t="str">
        <f>IF(COUNTIF(Customers!$A$2:$A$1001,B162)&gt;0,"Valid","Invalid")</f>
        <v>Valid</v>
      </c>
      <c r="I162" t="str">
        <f t="shared" si="2"/>
        <v>Valid</v>
      </c>
      <c r="K162" t="str">
        <f>VLOOKUP(B162,Customers!A:G,7,FALSE)</f>
        <v>Individual</v>
      </c>
    </row>
    <row r="163" spans="1:11" x14ac:dyDescent="0.25">
      <c r="A163" t="s">
        <v>1212</v>
      </c>
      <c r="B163" t="s">
        <v>198</v>
      </c>
      <c r="C163" t="s">
        <v>1056</v>
      </c>
      <c r="D163" t="s">
        <v>1050</v>
      </c>
      <c r="E163">
        <v>4760.47</v>
      </c>
      <c r="F163" s="8">
        <v>45967</v>
      </c>
      <c r="H163" t="str">
        <f>IF(COUNTIF(Customers!$A$2:$A$1001,B163)&gt;0,"Valid","Invalid")</f>
        <v>Valid</v>
      </c>
      <c r="I163" t="str">
        <f t="shared" si="2"/>
        <v>Valid</v>
      </c>
      <c r="K163" t="str">
        <f>VLOOKUP(B163,Customers!A:G,7,FALSE)</f>
        <v>Individual</v>
      </c>
    </row>
    <row r="164" spans="1:11" x14ac:dyDescent="0.25">
      <c r="A164" t="s">
        <v>1213</v>
      </c>
      <c r="B164" t="s">
        <v>199</v>
      </c>
      <c r="C164" t="s">
        <v>1045</v>
      </c>
      <c r="D164" t="s">
        <v>1050</v>
      </c>
      <c r="E164">
        <v>2594.08</v>
      </c>
      <c r="F164" s="8">
        <v>45654</v>
      </c>
      <c r="H164" t="str">
        <f>IF(COUNTIF(Customers!$A$2:$A$1001,B164)&gt;0,"Valid","Invalid")</f>
        <v>Valid</v>
      </c>
      <c r="I164" t="str">
        <f t="shared" si="2"/>
        <v>Valid</v>
      </c>
      <c r="K164" t="str">
        <f>VLOOKUP(B164,Customers!A:G,7,FALSE)</f>
        <v>Individual</v>
      </c>
    </row>
    <row r="165" spans="1:11" x14ac:dyDescent="0.25">
      <c r="A165" t="s">
        <v>1214</v>
      </c>
      <c r="B165" t="s">
        <v>200</v>
      </c>
      <c r="C165" t="s">
        <v>1045</v>
      </c>
      <c r="D165" t="s">
        <v>1046</v>
      </c>
      <c r="E165">
        <v>360.98</v>
      </c>
      <c r="F165" s="8">
        <v>46042</v>
      </c>
      <c r="H165" t="str">
        <f>IF(COUNTIF(Customers!$A$2:$A$1001,B165)&gt;0,"Valid","Invalid")</f>
        <v>Valid</v>
      </c>
      <c r="I165" t="str">
        <f t="shared" si="2"/>
        <v>Valid</v>
      </c>
      <c r="K165" t="str">
        <f>VLOOKUP(B165,Customers!A:G,7,FALSE)</f>
        <v>SME</v>
      </c>
    </row>
    <row r="166" spans="1:11" x14ac:dyDescent="0.25">
      <c r="A166" t="s">
        <v>1215</v>
      </c>
      <c r="B166" t="s">
        <v>201</v>
      </c>
      <c r="C166" t="s">
        <v>1045</v>
      </c>
      <c r="D166" t="s">
        <v>1050</v>
      </c>
      <c r="E166">
        <v>14979.15</v>
      </c>
      <c r="F166" s="8">
        <v>45409</v>
      </c>
      <c r="H166" t="str">
        <f>IF(COUNTIF(Customers!$A$2:$A$1001,B166)&gt;0,"Valid","Invalid")</f>
        <v>Valid</v>
      </c>
      <c r="I166" t="str">
        <f t="shared" si="2"/>
        <v>Valid</v>
      </c>
      <c r="K166" t="str">
        <f>VLOOKUP(B166,Customers!A:G,7,FALSE)</f>
        <v>Individual</v>
      </c>
    </row>
    <row r="167" spans="1:11" x14ac:dyDescent="0.25">
      <c r="A167" t="s">
        <v>1216</v>
      </c>
      <c r="B167" t="s">
        <v>202</v>
      </c>
      <c r="C167" t="s">
        <v>1049</v>
      </c>
      <c r="D167" t="s">
        <v>1050</v>
      </c>
      <c r="E167">
        <v>2631.13</v>
      </c>
      <c r="F167" s="8">
        <v>45469</v>
      </c>
      <c r="H167" t="str">
        <f>IF(COUNTIF(Customers!$A$2:$A$1001,B167)&gt;0,"Valid","Invalid")</f>
        <v>Valid</v>
      </c>
      <c r="I167" t="str">
        <f t="shared" si="2"/>
        <v>Valid</v>
      </c>
      <c r="K167" t="str">
        <f>VLOOKUP(B167,Customers!A:G,7,FALSE)</f>
        <v>Student</v>
      </c>
    </row>
    <row r="168" spans="1:11" x14ac:dyDescent="0.25">
      <c r="A168" t="s">
        <v>1217</v>
      </c>
      <c r="B168" t="s">
        <v>203</v>
      </c>
      <c r="C168" t="s">
        <v>1049</v>
      </c>
      <c r="D168" t="s">
        <v>1050</v>
      </c>
      <c r="E168">
        <v>3025.02</v>
      </c>
      <c r="F168" s="8">
        <v>46155</v>
      </c>
      <c r="H168" t="str">
        <f>IF(COUNTIF(Customers!$A$2:$A$1001,B168)&gt;0,"Valid","Invalid")</f>
        <v>Valid</v>
      </c>
      <c r="I168" t="str">
        <f t="shared" si="2"/>
        <v>Valid</v>
      </c>
      <c r="K168" t="str">
        <f>VLOOKUP(B168,Customers!A:G,7,FALSE)</f>
        <v>Student</v>
      </c>
    </row>
    <row r="169" spans="1:11" x14ac:dyDescent="0.25">
      <c r="A169" t="s">
        <v>1218</v>
      </c>
      <c r="B169" t="s">
        <v>204</v>
      </c>
      <c r="C169" t="s">
        <v>1045</v>
      </c>
      <c r="D169" t="s">
        <v>1050</v>
      </c>
      <c r="E169">
        <v>1240.3699999999999</v>
      </c>
      <c r="F169" s="8">
        <v>45857</v>
      </c>
      <c r="H169" t="str">
        <f>IF(COUNTIF(Customers!$A$2:$A$1001,B169)&gt;0,"Valid","Invalid")</f>
        <v>Valid</v>
      </c>
      <c r="I169" t="str">
        <f t="shared" si="2"/>
        <v>Valid</v>
      </c>
      <c r="K169" t="str">
        <f>VLOOKUP(B169,Customers!A:G,7,FALSE)</f>
        <v>Individual</v>
      </c>
    </row>
    <row r="170" spans="1:11" x14ac:dyDescent="0.25">
      <c r="A170" t="s">
        <v>1219</v>
      </c>
      <c r="B170" t="s">
        <v>205</v>
      </c>
      <c r="C170" t="s">
        <v>17</v>
      </c>
      <c r="D170" t="s">
        <v>1050</v>
      </c>
      <c r="E170">
        <v>5503.71</v>
      </c>
      <c r="F170" s="8">
        <v>45326</v>
      </c>
      <c r="H170" t="str">
        <f>IF(COUNTIF(Customers!$A$2:$A$1001,B170)&gt;0,"Valid","Invalid")</f>
        <v>Valid</v>
      </c>
      <c r="I170" t="str">
        <f t="shared" si="2"/>
        <v>Valid</v>
      </c>
      <c r="K170" t="str">
        <f>VLOOKUP(B170,Customers!A:G,7,FALSE)</f>
        <v>SME</v>
      </c>
    </row>
    <row r="171" spans="1:11" x14ac:dyDescent="0.25">
      <c r="A171" t="s">
        <v>1220</v>
      </c>
      <c r="B171" t="s">
        <v>206</v>
      </c>
      <c r="C171" t="s">
        <v>1045</v>
      </c>
      <c r="D171" t="s">
        <v>1050</v>
      </c>
      <c r="E171">
        <v>606.01</v>
      </c>
      <c r="F171" s="8">
        <v>46157</v>
      </c>
      <c r="H171" t="str">
        <f>IF(COUNTIF(Customers!$A$2:$A$1001,B171)&gt;0,"Valid","Invalid")</f>
        <v>Valid</v>
      </c>
      <c r="I171" t="str">
        <f t="shared" si="2"/>
        <v>Valid</v>
      </c>
      <c r="K171" t="str">
        <f>VLOOKUP(B171,Customers!A:G,7,FALSE)</f>
        <v>Individual</v>
      </c>
    </row>
    <row r="172" spans="1:11" x14ac:dyDescent="0.25">
      <c r="A172" t="s">
        <v>1221</v>
      </c>
      <c r="B172" t="s">
        <v>207</v>
      </c>
      <c r="C172" t="s">
        <v>1056</v>
      </c>
      <c r="D172" t="s">
        <v>1046</v>
      </c>
      <c r="E172">
        <v>3327.01</v>
      </c>
      <c r="F172" s="8">
        <v>45545</v>
      </c>
      <c r="H172" t="str">
        <f>IF(COUNTIF(Customers!$A$2:$A$1001,B172)&gt;0,"Valid","Invalid")</f>
        <v>Valid</v>
      </c>
      <c r="I172" t="str">
        <f t="shared" si="2"/>
        <v>Valid</v>
      </c>
      <c r="K172" t="str">
        <f>VLOOKUP(B172,Customers!A:G,7,FALSE)</f>
        <v>Individual</v>
      </c>
    </row>
    <row r="173" spans="1:11" x14ac:dyDescent="0.25">
      <c r="A173" t="s">
        <v>1222</v>
      </c>
      <c r="B173" t="s">
        <v>208</v>
      </c>
      <c r="C173" t="s">
        <v>1049</v>
      </c>
      <c r="D173" t="s">
        <v>1050</v>
      </c>
      <c r="E173">
        <v>225.96</v>
      </c>
      <c r="F173" s="8">
        <v>46096</v>
      </c>
      <c r="H173" t="str">
        <f>IF(COUNTIF(Customers!$A$2:$A$1001,B173)&gt;0,"Valid","Invalid")</f>
        <v>Valid</v>
      </c>
      <c r="I173" t="str">
        <f t="shared" si="2"/>
        <v>Valid</v>
      </c>
      <c r="K173" t="str">
        <f>VLOOKUP(B173,Customers!A:G,7,FALSE)</f>
        <v>Individual</v>
      </c>
    </row>
    <row r="174" spans="1:11" x14ac:dyDescent="0.25">
      <c r="A174" t="s">
        <v>1223</v>
      </c>
      <c r="B174" t="s">
        <v>209</v>
      </c>
      <c r="C174" t="s">
        <v>1049</v>
      </c>
      <c r="D174" t="s">
        <v>1050</v>
      </c>
      <c r="E174">
        <v>3558.91</v>
      </c>
      <c r="F174" s="8">
        <v>45805</v>
      </c>
      <c r="H174" t="str">
        <f>IF(COUNTIF(Customers!$A$2:$A$1001,B174)&gt;0,"Valid","Invalid")</f>
        <v>Valid</v>
      </c>
      <c r="I174" t="str">
        <f t="shared" si="2"/>
        <v>Valid</v>
      </c>
      <c r="K174" t="str">
        <f>VLOOKUP(B174,Customers!A:G,7,FALSE)</f>
        <v>Individual</v>
      </c>
    </row>
    <row r="175" spans="1:11" x14ac:dyDescent="0.25">
      <c r="A175" t="s">
        <v>1224</v>
      </c>
      <c r="B175" t="s">
        <v>210</v>
      </c>
      <c r="C175" t="s">
        <v>17</v>
      </c>
      <c r="D175" t="s">
        <v>1050</v>
      </c>
      <c r="E175">
        <v>614.28</v>
      </c>
      <c r="F175" s="8">
        <v>45027</v>
      </c>
      <c r="H175" t="str">
        <f>IF(COUNTIF(Customers!$A$2:$A$1001,B175)&gt;0,"Valid","Invalid")</f>
        <v>Valid</v>
      </c>
      <c r="I175" t="str">
        <f t="shared" si="2"/>
        <v>Valid</v>
      </c>
      <c r="K175" t="str">
        <f>VLOOKUP(B175,Customers!A:G,7,FALSE)</f>
        <v>SME</v>
      </c>
    </row>
    <row r="176" spans="1:11" x14ac:dyDescent="0.25">
      <c r="A176" t="s">
        <v>1225</v>
      </c>
      <c r="B176" t="s">
        <v>211</v>
      </c>
      <c r="C176" t="s">
        <v>1045</v>
      </c>
      <c r="D176" t="s">
        <v>1046</v>
      </c>
      <c r="E176">
        <v>2385.1</v>
      </c>
      <c r="F176" s="8">
        <v>45806</v>
      </c>
      <c r="H176" t="str">
        <f>IF(COUNTIF(Customers!$A$2:$A$1001,B176)&gt;0,"Valid","Invalid")</f>
        <v>Valid</v>
      </c>
      <c r="I176" t="str">
        <f t="shared" si="2"/>
        <v>Valid</v>
      </c>
      <c r="K176" t="str">
        <f>VLOOKUP(B176,Customers!A:G,7,FALSE)</f>
        <v>SME</v>
      </c>
    </row>
    <row r="177" spans="1:11" x14ac:dyDescent="0.25">
      <c r="A177" t="s">
        <v>1226</v>
      </c>
      <c r="B177" t="s">
        <v>212</v>
      </c>
      <c r="C177" t="s">
        <v>1049</v>
      </c>
      <c r="D177" t="s">
        <v>1050</v>
      </c>
      <c r="E177">
        <v>7025.77</v>
      </c>
      <c r="F177" s="8">
        <v>45756</v>
      </c>
      <c r="H177" t="str">
        <f>IF(COUNTIF(Customers!$A$2:$A$1001,B177)&gt;0,"Valid","Invalid")</f>
        <v>Valid</v>
      </c>
      <c r="I177" t="str">
        <f t="shared" si="2"/>
        <v>Valid</v>
      </c>
      <c r="K177" t="str">
        <f>VLOOKUP(B177,Customers!A:G,7,FALSE)</f>
        <v>Student</v>
      </c>
    </row>
    <row r="178" spans="1:11" x14ac:dyDescent="0.25">
      <c r="A178" t="s">
        <v>1227</v>
      </c>
      <c r="B178" t="s">
        <v>213</v>
      </c>
      <c r="C178" t="s">
        <v>1045</v>
      </c>
      <c r="D178" t="s">
        <v>1050</v>
      </c>
      <c r="E178">
        <v>4116.33</v>
      </c>
      <c r="F178" s="8">
        <v>46191</v>
      </c>
      <c r="H178" t="str">
        <f>IF(COUNTIF(Customers!$A$2:$A$1001,B178)&gt;0,"Valid","Invalid")</f>
        <v>Valid</v>
      </c>
      <c r="I178" t="str">
        <f t="shared" si="2"/>
        <v>Valid</v>
      </c>
      <c r="K178" t="str">
        <f>VLOOKUP(B178,Customers!A:G,7,FALSE)</f>
        <v>Individual</v>
      </c>
    </row>
    <row r="179" spans="1:11" x14ac:dyDescent="0.25">
      <c r="A179" t="s">
        <v>1228</v>
      </c>
      <c r="B179" t="s">
        <v>214</v>
      </c>
      <c r="C179" t="s">
        <v>1056</v>
      </c>
      <c r="D179" t="s">
        <v>1050</v>
      </c>
      <c r="E179">
        <v>6151.07</v>
      </c>
      <c r="F179" s="8">
        <v>45685</v>
      </c>
      <c r="H179" t="str">
        <f>IF(COUNTIF(Customers!$A$2:$A$1001,B179)&gt;0,"Valid","Invalid")</f>
        <v>Valid</v>
      </c>
      <c r="I179" t="str">
        <f t="shared" si="2"/>
        <v>Valid</v>
      </c>
      <c r="K179" t="str">
        <f>VLOOKUP(B179,Customers!A:G,7,FALSE)</f>
        <v>Student</v>
      </c>
    </row>
    <row r="180" spans="1:11" x14ac:dyDescent="0.25">
      <c r="A180" t="s">
        <v>1229</v>
      </c>
      <c r="B180" t="s">
        <v>215</v>
      </c>
      <c r="C180" t="s">
        <v>1049</v>
      </c>
      <c r="D180" t="s">
        <v>1050</v>
      </c>
      <c r="E180">
        <v>5546.09</v>
      </c>
      <c r="F180" s="8">
        <v>45089</v>
      </c>
      <c r="H180" t="str">
        <f>IF(COUNTIF(Customers!$A$2:$A$1001,B180)&gt;0,"Valid","Invalid")</f>
        <v>Valid</v>
      </c>
      <c r="I180" t="str">
        <f t="shared" si="2"/>
        <v>Valid</v>
      </c>
      <c r="K180" t="str">
        <f>VLOOKUP(B180,Customers!A:G,7,FALSE)</f>
        <v>Individual</v>
      </c>
    </row>
    <row r="181" spans="1:11" x14ac:dyDescent="0.25">
      <c r="A181" t="s">
        <v>1230</v>
      </c>
      <c r="B181" t="s">
        <v>217</v>
      </c>
      <c r="C181" t="s">
        <v>1056</v>
      </c>
      <c r="D181" t="s">
        <v>1050</v>
      </c>
      <c r="E181">
        <v>1070.32</v>
      </c>
      <c r="F181" s="8">
        <v>46123</v>
      </c>
      <c r="H181" t="str">
        <f>IF(COUNTIF(Customers!$A$2:$A$1001,B181)&gt;0,"Valid","Invalid")</f>
        <v>Valid</v>
      </c>
      <c r="I181" t="str">
        <f t="shared" si="2"/>
        <v>Valid</v>
      </c>
      <c r="K181" t="str">
        <f>VLOOKUP(B181,Customers!A:G,7,FALSE)</f>
        <v>Individual</v>
      </c>
    </row>
    <row r="182" spans="1:11" x14ac:dyDescent="0.25">
      <c r="A182" t="s">
        <v>1231</v>
      </c>
      <c r="B182" t="s">
        <v>218</v>
      </c>
      <c r="C182" t="s">
        <v>1045</v>
      </c>
      <c r="D182" t="s">
        <v>1046</v>
      </c>
      <c r="E182">
        <v>3288.97</v>
      </c>
      <c r="F182" s="8">
        <v>45428</v>
      </c>
      <c r="H182" t="str">
        <f>IF(COUNTIF(Customers!$A$2:$A$1001,B182)&gt;0,"Valid","Invalid")</f>
        <v>Valid</v>
      </c>
      <c r="I182" t="str">
        <f t="shared" si="2"/>
        <v>Valid</v>
      </c>
      <c r="K182" t="str">
        <f>VLOOKUP(B182,Customers!A:G,7,FALSE)</f>
        <v>Student</v>
      </c>
    </row>
    <row r="183" spans="1:11" x14ac:dyDescent="0.25">
      <c r="A183" t="s">
        <v>1232</v>
      </c>
      <c r="B183" t="s">
        <v>219</v>
      </c>
      <c r="C183" t="s">
        <v>1049</v>
      </c>
      <c r="D183" t="s">
        <v>1050</v>
      </c>
      <c r="E183">
        <v>322.17</v>
      </c>
      <c r="F183" s="8">
        <v>45473</v>
      </c>
      <c r="H183" t="str">
        <f>IF(COUNTIF(Customers!$A$2:$A$1001,B183)&gt;0,"Valid","Invalid")</f>
        <v>Valid</v>
      </c>
      <c r="I183" t="str">
        <f t="shared" si="2"/>
        <v>Valid</v>
      </c>
      <c r="K183" t="str">
        <f>VLOOKUP(B183,Customers!A:G,7,FALSE)</f>
        <v>Individual</v>
      </c>
    </row>
    <row r="184" spans="1:11" x14ac:dyDescent="0.25">
      <c r="A184" t="s">
        <v>1233</v>
      </c>
      <c r="B184" t="s">
        <v>220</v>
      </c>
      <c r="C184" t="s">
        <v>1045</v>
      </c>
      <c r="D184" t="s">
        <v>1050</v>
      </c>
      <c r="E184">
        <v>909.65</v>
      </c>
      <c r="F184" s="8">
        <v>45307</v>
      </c>
      <c r="H184" t="str">
        <f>IF(COUNTIF(Customers!$A$2:$A$1001,B184)&gt;0,"Valid","Invalid")</f>
        <v>Valid</v>
      </c>
      <c r="I184" t="str">
        <f t="shared" si="2"/>
        <v>Valid</v>
      </c>
      <c r="K184" t="str">
        <f>VLOOKUP(B184,Customers!A:G,7,FALSE)</f>
        <v>Individual</v>
      </c>
    </row>
    <row r="185" spans="1:11" x14ac:dyDescent="0.25">
      <c r="A185" t="s">
        <v>1234</v>
      </c>
      <c r="B185" t="s">
        <v>221</v>
      </c>
      <c r="C185" t="s">
        <v>1045</v>
      </c>
      <c r="D185" t="s">
        <v>1046</v>
      </c>
      <c r="E185">
        <v>7278.32</v>
      </c>
      <c r="F185" s="8">
        <v>45796</v>
      </c>
      <c r="H185" t="str">
        <f>IF(COUNTIF(Customers!$A$2:$A$1001,B185)&gt;0,"Valid","Invalid")</f>
        <v>Valid</v>
      </c>
      <c r="I185" t="str">
        <f t="shared" si="2"/>
        <v>Valid</v>
      </c>
      <c r="K185" t="str">
        <f>VLOOKUP(B185,Customers!A:G,7,FALSE)</f>
        <v>SME</v>
      </c>
    </row>
    <row r="186" spans="1:11" x14ac:dyDescent="0.25">
      <c r="A186" t="s">
        <v>1235</v>
      </c>
      <c r="B186" t="s">
        <v>222</v>
      </c>
      <c r="C186" t="s">
        <v>1056</v>
      </c>
      <c r="D186" t="s">
        <v>1050</v>
      </c>
      <c r="E186">
        <v>1230.24</v>
      </c>
      <c r="F186" s="8">
        <v>45831</v>
      </c>
      <c r="H186" t="str">
        <f>IF(COUNTIF(Customers!$A$2:$A$1001,B186)&gt;0,"Valid","Invalid")</f>
        <v>Valid</v>
      </c>
      <c r="I186" t="str">
        <f t="shared" si="2"/>
        <v>Valid</v>
      </c>
      <c r="K186" t="str">
        <f>VLOOKUP(B186,Customers!A:G,7,FALSE)</f>
        <v>Corporate</v>
      </c>
    </row>
    <row r="187" spans="1:11" x14ac:dyDescent="0.25">
      <c r="A187" t="s">
        <v>1236</v>
      </c>
      <c r="B187" t="s">
        <v>223</v>
      </c>
      <c r="C187" t="s">
        <v>1045</v>
      </c>
      <c r="D187" t="s">
        <v>1050</v>
      </c>
      <c r="E187">
        <v>279.22000000000003</v>
      </c>
      <c r="F187" s="8">
        <v>46113</v>
      </c>
      <c r="H187" t="str">
        <f>IF(COUNTIF(Customers!$A$2:$A$1001,B187)&gt;0,"Valid","Invalid")</f>
        <v>Valid</v>
      </c>
      <c r="I187" t="str">
        <f t="shared" si="2"/>
        <v>Valid</v>
      </c>
      <c r="K187" t="str">
        <f>VLOOKUP(B187,Customers!A:G,7,FALSE)</f>
        <v>Student</v>
      </c>
    </row>
    <row r="188" spans="1:11" x14ac:dyDescent="0.25">
      <c r="A188" t="s">
        <v>1237</v>
      </c>
      <c r="B188" t="s">
        <v>224</v>
      </c>
      <c r="C188" t="s">
        <v>1049</v>
      </c>
      <c r="D188" t="s">
        <v>1050</v>
      </c>
      <c r="E188">
        <v>13544</v>
      </c>
      <c r="F188" s="8">
        <v>45928</v>
      </c>
      <c r="H188" t="str">
        <f>IF(COUNTIF(Customers!$A$2:$A$1001,B188)&gt;0,"Valid","Invalid")</f>
        <v>Valid</v>
      </c>
      <c r="I188" t="str">
        <f t="shared" si="2"/>
        <v>Valid</v>
      </c>
      <c r="K188" t="str">
        <f>VLOOKUP(B188,Customers!A:G,7,FALSE)</f>
        <v>SME</v>
      </c>
    </row>
    <row r="189" spans="1:11" x14ac:dyDescent="0.25">
      <c r="A189" t="s">
        <v>1238</v>
      </c>
      <c r="B189" t="s">
        <v>225</v>
      </c>
      <c r="C189" t="s">
        <v>1045</v>
      </c>
      <c r="D189" t="s">
        <v>1050</v>
      </c>
      <c r="E189">
        <v>3172.42</v>
      </c>
      <c r="F189" s="8">
        <v>45535</v>
      </c>
      <c r="H189" t="str">
        <f>IF(COUNTIF(Customers!$A$2:$A$1001,B189)&gt;0,"Valid","Invalid")</f>
        <v>Valid</v>
      </c>
      <c r="I189" t="str">
        <f t="shared" si="2"/>
        <v>Valid</v>
      </c>
      <c r="K189" t="str">
        <f>VLOOKUP(B189,Customers!A:G,7,FALSE)</f>
        <v>Individual</v>
      </c>
    </row>
    <row r="190" spans="1:11" x14ac:dyDescent="0.25">
      <c r="A190" t="s">
        <v>1239</v>
      </c>
      <c r="B190" t="s">
        <v>226</v>
      </c>
      <c r="C190" t="s">
        <v>1045</v>
      </c>
      <c r="D190" t="s">
        <v>1050</v>
      </c>
      <c r="E190">
        <v>3883.45</v>
      </c>
      <c r="F190" s="8">
        <v>45233</v>
      </c>
      <c r="H190" t="str">
        <f>IF(COUNTIF(Customers!$A$2:$A$1001,B190)&gt;0,"Valid","Invalid")</f>
        <v>Valid</v>
      </c>
      <c r="I190" t="str">
        <f t="shared" si="2"/>
        <v>Valid</v>
      </c>
      <c r="K190" t="str">
        <f>VLOOKUP(B190,Customers!A:G,7,FALSE)</f>
        <v>Individual</v>
      </c>
    </row>
    <row r="191" spans="1:11" x14ac:dyDescent="0.25">
      <c r="A191" t="s">
        <v>1240</v>
      </c>
      <c r="B191" t="s">
        <v>227</v>
      </c>
      <c r="C191" t="s">
        <v>1049</v>
      </c>
      <c r="D191" t="s">
        <v>1050</v>
      </c>
      <c r="E191">
        <v>678.26</v>
      </c>
      <c r="F191" s="8">
        <v>44981</v>
      </c>
      <c r="H191" t="str">
        <f>IF(COUNTIF(Customers!$A$2:$A$1001,B191)&gt;0,"Valid","Invalid")</f>
        <v>Valid</v>
      </c>
      <c r="I191" t="str">
        <f t="shared" si="2"/>
        <v>Valid</v>
      </c>
      <c r="K191" t="str">
        <f>VLOOKUP(B191,Customers!A:G,7,FALSE)</f>
        <v>SME</v>
      </c>
    </row>
    <row r="192" spans="1:11" x14ac:dyDescent="0.25">
      <c r="A192" t="s">
        <v>1241</v>
      </c>
      <c r="B192" t="s">
        <v>228</v>
      </c>
      <c r="C192" t="s">
        <v>1056</v>
      </c>
      <c r="D192" t="s">
        <v>1046</v>
      </c>
      <c r="E192">
        <v>2402</v>
      </c>
      <c r="F192" s="8">
        <v>45909</v>
      </c>
      <c r="H192" t="str">
        <f>IF(COUNTIF(Customers!$A$2:$A$1001,B192)&gt;0,"Valid","Invalid")</f>
        <v>Valid</v>
      </c>
      <c r="I192" t="str">
        <f t="shared" si="2"/>
        <v>Valid</v>
      </c>
      <c r="K192" t="str">
        <f>VLOOKUP(B192,Customers!A:G,7,FALSE)</f>
        <v>SME</v>
      </c>
    </row>
    <row r="193" spans="1:11" x14ac:dyDescent="0.25">
      <c r="A193" t="s">
        <v>1242</v>
      </c>
      <c r="B193" t="s">
        <v>229</v>
      </c>
      <c r="C193" t="s">
        <v>1045</v>
      </c>
      <c r="D193" t="s">
        <v>1068</v>
      </c>
      <c r="E193">
        <v>2339.23</v>
      </c>
      <c r="F193" s="8">
        <v>45259</v>
      </c>
      <c r="H193" t="str">
        <f>IF(COUNTIF(Customers!$A$2:$A$1001,B193)&gt;0,"Valid","Invalid")</f>
        <v>Valid</v>
      </c>
      <c r="I193" t="str">
        <f t="shared" si="2"/>
        <v>Valid</v>
      </c>
      <c r="K193" t="str">
        <f>VLOOKUP(B193,Customers!A:G,7,FALSE)</f>
        <v>Corporate</v>
      </c>
    </row>
    <row r="194" spans="1:11" x14ac:dyDescent="0.25">
      <c r="A194" t="s">
        <v>1243</v>
      </c>
      <c r="B194" t="s">
        <v>230</v>
      </c>
      <c r="C194" t="s">
        <v>1049</v>
      </c>
      <c r="D194" t="s">
        <v>1050</v>
      </c>
      <c r="E194">
        <v>795.14</v>
      </c>
      <c r="F194" s="8">
        <v>45053</v>
      </c>
      <c r="H194" t="str">
        <f>IF(COUNTIF(Customers!$A$2:$A$1001,B194)&gt;0,"Valid","Invalid")</f>
        <v>Valid</v>
      </c>
      <c r="I194" t="str">
        <f t="shared" si="2"/>
        <v>Valid</v>
      </c>
      <c r="K194" t="str">
        <f>VLOOKUP(B194,Customers!A:G,7,FALSE)</f>
        <v>Individual</v>
      </c>
    </row>
    <row r="195" spans="1:11" x14ac:dyDescent="0.25">
      <c r="A195" t="s">
        <v>1244</v>
      </c>
      <c r="B195" t="s">
        <v>231</v>
      </c>
      <c r="C195" t="s">
        <v>1045</v>
      </c>
      <c r="D195" t="s">
        <v>1050</v>
      </c>
      <c r="E195">
        <v>1525.66</v>
      </c>
      <c r="F195" s="8">
        <v>45631</v>
      </c>
      <c r="H195" t="str">
        <f>IF(COUNTIF(Customers!$A$2:$A$1001,B195)&gt;0,"Valid","Invalid")</f>
        <v>Valid</v>
      </c>
      <c r="I195" t="str">
        <f t="shared" ref="I195:I258" si="3">IF(OR(C195="Savings",C195="Current",C195="Business",C195="Student"),"Valid","Check")</f>
        <v>Valid</v>
      </c>
      <c r="K195" t="str">
        <f>VLOOKUP(B195,Customers!A:G,7,FALSE)</f>
        <v>Individual</v>
      </c>
    </row>
    <row r="196" spans="1:11" x14ac:dyDescent="0.25">
      <c r="A196" t="s">
        <v>1245</v>
      </c>
      <c r="B196" t="s">
        <v>232</v>
      </c>
      <c r="C196" t="s">
        <v>1056</v>
      </c>
      <c r="D196" t="s">
        <v>1050</v>
      </c>
      <c r="E196">
        <v>403.24</v>
      </c>
      <c r="F196" s="8">
        <v>45169</v>
      </c>
      <c r="H196" t="str">
        <f>IF(COUNTIF(Customers!$A$2:$A$1001,B196)&gt;0,"Valid","Invalid")</f>
        <v>Valid</v>
      </c>
      <c r="I196" t="str">
        <f t="shared" si="3"/>
        <v>Valid</v>
      </c>
      <c r="K196" t="str">
        <f>VLOOKUP(B196,Customers!A:G,7,FALSE)</f>
        <v>SME</v>
      </c>
    </row>
    <row r="197" spans="1:11" x14ac:dyDescent="0.25">
      <c r="A197" t="s">
        <v>1246</v>
      </c>
      <c r="B197" t="s">
        <v>233</v>
      </c>
      <c r="C197" t="s">
        <v>1045</v>
      </c>
      <c r="D197" t="s">
        <v>1046</v>
      </c>
      <c r="E197">
        <v>1278.31</v>
      </c>
      <c r="F197" s="8">
        <v>45526</v>
      </c>
      <c r="H197" t="str">
        <f>IF(COUNTIF(Customers!$A$2:$A$1001,B197)&gt;0,"Valid","Invalid")</f>
        <v>Valid</v>
      </c>
      <c r="I197" t="str">
        <f t="shared" si="3"/>
        <v>Valid</v>
      </c>
      <c r="K197" t="str">
        <f>VLOOKUP(B197,Customers!A:G,7,FALSE)</f>
        <v>Individual</v>
      </c>
    </row>
    <row r="198" spans="1:11" x14ac:dyDescent="0.25">
      <c r="A198" t="s">
        <v>1247</v>
      </c>
      <c r="B198" t="s">
        <v>234</v>
      </c>
      <c r="C198" t="s">
        <v>1049</v>
      </c>
      <c r="D198" t="s">
        <v>1050</v>
      </c>
      <c r="E198">
        <v>4787.8999999999996</v>
      </c>
      <c r="F198" s="8">
        <v>45429</v>
      </c>
      <c r="H198" t="str">
        <f>IF(COUNTIF(Customers!$A$2:$A$1001,B198)&gt;0,"Valid","Invalid")</f>
        <v>Valid</v>
      </c>
      <c r="I198" t="str">
        <f t="shared" si="3"/>
        <v>Valid</v>
      </c>
      <c r="K198" t="str">
        <f>VLOOKUP(B198,Customers!A:G,7,FALSE)</f>
        <v>Individual</v>
      </c>
    </row>
    <row r="199" spans="1:11" x14ac:dyDescent="0.25">
      <c r="A199" t="s">
        <v>1248</v>
      </c>
      <c r="B199" t="s">
        <v>235</v>
      </c>
      <c r="C199" t="s">
        <v>1049</v>
      </c>
      <c r="D199" t="s">
        <v>1050</v>
      </c>
      <c r="E199">
        <v>856.75</v>
      </c>
      <c r="F199" s="8">
        <v>45530</v>
      </c>
      <c r="H199" t="str">
        <f>IF(COUNTIF(Customers!$A$2:$A$1001,B199)&gt;0,"Valid","Invalid")</f>
        <v>Valid</v>
      </c>
      <c r="I199" t="str">
        <f t="shared" si="3"/>
        <v>Valid</v>
      </c>
      <c r="K199" t="str">
        <f>VLOOKUP(B199,Customers!A:G,7,FALSE)</f>
        <v>Individual</v>
      </c>
    </row>
    <row r="200" spans="1:11" x14ac:dyDescent="0.25">
      <c r="A200" t="s">
        <v>1249</v>
      </c>
      <c r="B200" t="s">
        <v>236</v>
      </c>
      <c r="C200" t="s">
        <v>1056</v>
      </c>
      <c r="D200" t="s">
        <v>1046</v>
      </c>
      <c r="E200">
        <v>12176.92</v>
      </c>
      <c r="F200" s="8">
        <v>45229</v>
      </c>
      <c r="H200" t="str">
        <f>IF(COUNTIF(Customers!$A$2:$A$1001,B200)&gt;0,"Valid","Invalid")</f>
        <v>Valid</v>
      </c>
      <c r="I200" t="str">
        <f t="shared" si="3"/>
        <v>Valid</v>
      </c>
      <c r="K200" t="str">
        <f>VLOOKUP(B200,Customers!A:G,7,FALSE)</f>
        <v>Individual</v>
      </c>
    </row>
    <row r="201" spans="1:11" x14ac:dyDescent="0.25">
      <c r="A201" t="s">
        <v>1250</v>
      </c>
      <c r="B201" t="s">
        <v>237</v>
      </c>
      <c r="C201" t="s">
        <v>1045</v>
      </c>
      <c r="D201" t="s">
        <v>1046</v>
      </c>
      <c r="E201">
        <v>430.05</v>
      </c>
      <c r="F201" s="8">
        <v>45161</v>
      </c>
      <c r="H201" t="str">
        <f>IF(COUNTIF(Customers!$A$2:$A$1001,B201)&gt;0,"Valid","Invalid")</f>
        <v>Valid</v>
      </c>
      <c r="I201" t="str">
        <f t="shared" si="3"/>
        <v>Valid</v>
      </c>
      <c r="K201" t="str">
        <f>VLOOKUP(B201,Customers!A:G,7,FALSE)</f>
        <v>Individual</v>
      </c>
    </row>
    <row r="202" spans="1:11" x14ac:dyDescent="0.25">
      <c r="A202" t="s">
        <v>1251</v>
      </c>
      <c r="B202" t="s">
        <v>238</v>
      </c>
      <c r="C202" t="s">
        <v>1049</v>
      </c>
      <c r="D202" t="s">
        <v>1046</v>
      </c>
      <c r="E202">
        <v>1393.85</v>
      </c>
      <c r="F202" s="8">
        <v>45988</v>
      </c>
      <c r="H202" t="str">
        <f>IF(COUNTIF(Customers!$A$2:$A$1001,B202)&gt;0,"Valid","Invalid")</f>
        <v>Valid</v>
      </c>
      <c r="I202" t="str">
        <f t="shared" si="3"/>
        <v>Valid</v>
      </c>
      <c r="K202" t="str">
        <f>VLOOKUP(B202,Customers!A:G,7,FALSE)</f>
        <v>Individual</v>
      </c>
    </row>
    <row r="203" spans="1:11" x14ac:dyDescent="0.25">
      <c r="A203" t="s">
        <v>1252</v>
      </c>
      <c r="B203" t="s">
        <v>239</v>
      </c>
      <c r="C203" t="s">
        <v>1056</v>
      </c>
      <c r="D203" t="s">
        <v>1050</v>
      </c>
      <c r="E203">
        <v>937.83</v>
      </c>
      <c r="F203" s="8">
        <v>45065</v>
      </c>
      <c r="H203" t="str">
        <f>IF(COUNTIF(Customers!$A$2:$A$1001,B203)&gt;0,"Valid","Invalid")</f>
        <v>Valid</v>
      </c>
      <c r="I203" t="str">
        <f t="shared" si="3"/>
        <v>Valid</v>
      </c>
      <c r="K203" t="str">
        <f>VLOOKUP(B203,Customers!A:G,7,FALSE)</f>
        <v>SME</v>
      </c>
    </row>
    <row r="204" spans="1:11" x14ac:dyDescent="0.25">
      <c r="A204" t="s">
        <v>1253</v>
      </c>
      <c r="B204" t="s">
        <v>240</v>
      </c>
      <c r="C204" t="s">
        <v>1056</v>
      </c>
      <c r="D204" t="s">
        <v>1046</v>
      </c>
      <c r="E204">
        <v>1509.93</v>
      </c>
      <c r="F204" s="8">
        <v>45121</v>
      </c>
      <c r="H204" t="str">
        <f>IF(COUNTIF(Customers!$A$2:$A$1001,B204)&gt;0,"Valid","Invalid")</f>
        <v>Valid</v>
      </c>
      <c r="I204" t="str">
        <f t="shared" si="3"/>
        <v>Valid</v>
      </c>
      <c r="K204" t="str">
        <f>VLOOKUP(B204,Customers!A:G,7,FALSE)</f>
        <v>Student</v>
      </c>
    </row>
    <row r="205" spans="1:11" x14ac:dyDescent="0.25">
      <c r="A205" t="s">
        <v>1254</v>
      </c>
      <c r="B205" t="s">
        <v>241</v>
      </c>
      <c r="C205" t="s">
        <v>1045</v>
      </c>
      <c r="D205" t="s">
        <v>1046</v>
      </c>
      <c r="E205">
        <v>7125.78</v>
      </c>
      <c r="F205" s="8">
        <v>45573</v>
      </c>
      <c r="H205" t="str">
        <f>IF(COUNTIF(Customers!$A$2:$A$1001,B205)&gt;0,"Valid","Invalid")</f>
        <v>Valid</v>
      </c>
      <c r="I205" t="str">
        <f t="shared" si="3"/>
        <v>Valid</v>
      </c>
      <c r="K205" t="str">
        <f>VLOOKUP(B205,Customers!A:G,7,FALSE)</f>
        <v>Individual</v>
      </c>
    </row>
    <row r="206" spans="1:11" x14ac:dyDescent="0.25">
      <c r="A206" t="s">
        <v>1255</v>
      </c>
      <c r="B206" t="s">
        <v>242</v>
      </c>
      <c r="C206" t="s">
        <v>1049</v>
      </c>
      <c r="D206" t="s">
        <v>1050</v>
      </c>
      <c r="E206">
        <v>675.56</v>
      </c>
      <c r="F206" s="8">
        <v>44927</v>
      </c>
      <c r="H206" t="str">
        <f>IF(COUNTIF(Customers!$A$2:$A$1001,B206)&gt;0,"Valid","Invalid")</f>
        <v>Valid</v>
      </c>
      <c r="I206" t="str">
        <f t="shared" si="3"/>
        <v>Valid</v>
      </c>
      <c r="K206" t="str">
        <f>VLOOKUP(B206,Customers!A:G,7,FALSE)</f>
        <v>Individual</v>
      </c>
    </row>
    <row r="207" spans="1:11" x14ac:dyDescent="0.25">
      <c r="A207" t="s">
        <v>1256</v>
      </c>
      <c r="B207" t="s">
        <v>243</v>
      </c>
      <c r="C207" t="s">
        <v>1049</v>
      </c>
      <c r="D207" t="s">
        <v>1050</v>
      </c>
      <c r="E207">
        <v>1151.3900000000001</v>
      </c>
      <c r="F207" s="8">
        <v>45487</v>
      </c>
      <c r="H207" t="str">
        <f>IF(COUNTIF(Customers!$A$2:$A$1001,B207)&gt;0,"Valid","Invalid")</f>
        <v>Valid</v>
      </c>
      <c r="I207" t="str">
        <f t="shared" si="3"/>
        <v>Valid</v>
      </c>
      <c r="K207" t="str">
        <f>VLOOKUP(B207,Customers!A:G,7,FALSE)</f>
        <v>Student</v>
      </c>
    </row>
    <row r="208" spans="1:11" x14ac:dyDescent="0.25">
      <c r="A208" t="s">
        <v>1257</v>
      </c>
      <c r="B208" t="s">
        <v>244</v>
      </c>
      <c r="C208" t="s">
        <v>1045</v>
      </c>
      <c r="D208" t="s">
        <v>1050</v>
      </c>
      <c r="E208">
        <v>3479.02</v>
      </c>
      <c r="F208" s="8">
        <v>46046</v>
      </c>
      <c r="H208" t="str">
        <f>IF(COUNTIF(Customers!$A$2:$A$1001,B208)&gt;0,"Valid","Invalid")</f>
        <v>Valid</v>
      </c>
      <c r="I208" t="str">
        <f t="shared" si="3"/>
        <v>Valid</v>
      </c>
      <c r="K208" t="str">
        <f>VLOOKUP(B208,Customers!A:G,7,FALSE)</f>
        <v>Student</v>
      </c>
    </row>
    <row r="209" spans="1:11" x14ac:dyDescent="0.25">
      <c r="A209" t="s">
        <v>1258</v>
      </c>
      <c r="B209" t="s">
        <v>245</v>
      </c>
      <c r="C209" t="s">
        <v>1045</v>
      </c>
      <c r="D209" t="s">
        <v>1068</v>
      </c>
      <c r="E209">
        <v>1984.57</v>
      </c>
      <c r="F209" s="8">
        <v>45639</v>
      </c>
      <c r="H209" t="str">
        <f>IF(COUNTIF(Customers!$A$2:$A$1001,B209)&gt;0,"Valid","Invalid")</f>
        <v>Valid</v>
      </c>
      <c r="I209" t="str">
        <f t="shared" si="3"/>
        <v>Valid</v>
      </c>
      <c r="K209" t="str">
        <f>VLOOKUP(B209,Customers!A:G,7,FALSE)</f>
        <v>Individual</v>
      </c>
    </row>
    <row r="210" spans="1:11" x14ac:dyDescent="0.25">
      <c r="A210" t="s">
        <v>1259</v>
      </c>
      <c r="B210" t="s">
        <v>246</v>
      </c>
      <c r="C210" t="s">
        <v>1049</v>
      </c>
      <c r="D210" t="s">
        <v>1050</v>
      </c>
      <c r="E210">
        <v>2154.1999999999998</v>
      </c>
      <c r="F210" s="8">
        <v>45339</v>
      </c>
      <c r="H210" t="str">
        <f>IF(COUNTIF(Customers!$A$2:$A$1001,B210)&gt;0,"Valid","Invalid")</f>
        <v>Valid</v>
      </c>
      <c r="I210" t="str">
        <f t="shared" si="3"/>
        <v>Valid</v>
      </c>
      <c r="K210" t="str">
        <f>VLOOKUP(B210,Customers!A:G,7,FALSE)</f>
        <v>SME</v>
      </c>
    </row>
    <row r="211" spans="1:11" x14ac:dyDescent="0.25">
      <c r="A211" t="s">
        <v>1260</v>
      </c>
      <c r="B211" t="s">
        <v>247</v>
      </c>
      <c r="C211" t="s">
        <v>1045</v>
      </c>
      <c r="D211" t="s">
        <v>1050</v>
      </c>
      <c r="E211">
        <v>688.64</v>
      </c>
      <c r="F211" s="8">
        <v>45464</v>
      </c>
      <c r="H211" t="str">
        <f>IF(COUNTIF(Customers!$A$2:$A$1001,B211)&gt;0,"Valid","Invalid")</f>
        <v>Valid</v>
      </c>
      <c r="I211" t="str">
        <f t="shared" si="3"/>
        <v>Valid</v>
      </c>
      <c r="K211" t="str">
        <f>VLOOKUP(B211,Customers!A:G,7,FALSE)</f>
        <v>Individual</v>
      </c>
    </row>
    <row r="212" spans="1:11" x14ac:dyDescent="0.25">
      <c r="A212" t="s">
        <v>1261</v>
      </c>
      <c r="B212" t="s">
        <v>248</v>
      </c>
      <c r="C212" t="s">
        <v>17</v>
      </c>
      <c r="D212" t="s">
        <v>1050</v>
      </c>
      <c r="E212">
        <v>1683.14</v>
      </c>
      <c r="F212" s="8">
        <v>45355</v>
      </c>
      <c r="H212" t="str">
        <f>IF(COUNTIF(Customers!$A$2:$A$1001,B212)&gt;0,"Valid","Invalid")</f>
        <v>Valid</v>
      </c>
      <c r="I212" t="str">
        <f t="shared" si="3"/>
        <v>Valid</v>
      </c>
      <c r="K212" t="str">
        <f>VLOOKUP(B212,Customers!A:G,7,FALSE)</f>
        <v>Corporate</v>
      </c>
    </row>
    <row r="213" spans="1:11" x14ac:dyDescent="0.25">
      <c r="A213" t="s">
        <v>1262</v>
      </c>
      <c r="B213" t="s">
        <v>249</v>
      </c>
      <c r="C213" t="s">
        <v>1056</v>
      </c>
      <c r="D213" t="s">
        <v>1046</v>
      </c>
      <c r="E213">
        <v>5605.92</v>
      </c>
      <c r="F213" s="8">
        <v>45161</v>
      </c>
      <c r="H213" t="str">
        <f>IF(COUNTIF(Customers!$A$2:$A$1001,B213)&gt;0,"Valid","Invalid")</f>
        <v>Valid</v>
      </c>
      <c r="I213" t="str">
        <f t="shared" si="3"/>
        <v>Valid</v>
      </c>
      <c r="K213" t="str">
        <f>VLOOKUP(B213,Customers!A:G,7,FALSE)</f>
        <v>Individual</v>
      </c>
    </row>
    <row r="214" spans="1:11" x14ac:dyDescent="0.25">
      <c r="A214" t="s">
        <v>1263</v>
      </c>
      <c r="B214" t="s">
        <v>250</v>
      </c>
      <c r="C214" t="s">
        <v>1056</v>
      </c>
      <c r="D214" t="s">
        <v>1050</v>
      </c>
      <c r="E214">
        <v>361.58</v>
      </c>
      <c r="F214" s="8">
        <v>45275</v>
      </c>
      <c r="H214" t="str">
        <f>IF(COUNTIF(Customers!$A$2:$A$1001,B214)&gt;0,"Valid","Invalid")</f>
        <v>Valid</v>
      </c>
      <c r="I214" t="str">
        <f t="shared" si="3"/>
        <v>Valid</v>
      </c>
      <c r="K214" t="str">
        <f>VLOOKUP(B214,Customers!A:G,7,FALSE)</f>
        <v>Individual</v>
      </c>
    </row>
    <row r="215" spans="1:11" x14ac:dyDescent="0.25">
      <c r="A215" t="s">
        <v>1264</v>
      </c>
      <c r="B215" t="s">
        <v>251</v>
      </c>
      <c r="C215" t="s">
        <v>1045</v>
      </c>
      <c r="D215" t="s">
        <v>1050</v>
      </c>
      <c r="E215">
        <v>900.27</v>
      </c>
      <c r="F215" s="8">
        <v>45322</v>
      </c>
      <c r="H215" t="str">
        <f>IF(COUNTIF(Customers!$A$2:$A$1001,B215)&gt;0,"Valid","Invalid")</f>
        <v>Valid</v>
      </c>
      <c r="I215" t="str">
        <f t="shared" si="3"/>
        <v>Valid</v>
      </c>
      <c r="K215" t="str">
        <f>VLOOKUP(B215,Customers!A:G,7,FALSE)</f>
        <v>Individual</v>
      </c>
    </row>
    <row r="216" spans="1:11" x14ac:dyDescent="0.25">
      <c r="A216" t="s">
        <v>1265</v>
      </c>
      <c r="B216" t="s">
        <v>252</v>
      </c>
      <c r="C216" t="s">
        <v>1045</v>
      </c>
      <c r="D216" t="s">
        <v>1050</v>
      </c>
      <c r="E216">
        <v>294.26</v>
      </c>
      <c r="F216" s="8">
        <v>45342</v>
      </c>
      <c r="H216" t="str">
        <f>IF(COUNTIF(Customers!$A$2:$A$1001,B216)&gt;0,"Valid","Invalid")</f>
        <v>Valid</v>
      </c>
      <c r="I216" t="str">
        <f t="shared" si="3"/>
        <v>Valid</v>
      </c>
      <c r="K216" t="str">
        <f>VLOOKUP(B216,Customers!A:G,7,FALSE)</f>
        <v>Individual</v>
      </c>
    </row>
    <row r="217" spans="1:11" x14ac:dyDescent="0.25">
      <c r="A217" t="s">
        <v>1266</v>
      </c>
      <c r="B217" t="s">
        <v>253</v>
      </c>
      <c r="C217" t="s">
        <v>17</v>
      </c>
      <c r="D217" t="s">
        <v>1073</v>
      </c>
      <c r="E217">
        <v>3093.24</v>
      </c>
      <c r="F217" s="8">
        <v>45842</v>
      </c>
      <c r="H217" t="str">
        <f>IF(COUNTIF(Customers!$A$2:$A$1001,B217)&gt;0,"Valid","Invalid")</f>
        <v>Valid</v>
      </c>
      <c r="I217" t="str">
        <f t="shared" si="3"/>
        <v>Valid</v>
      </c>
      <c r="K217" t="str">
        <f>VLOOKUP(B217,Customers!A:G,7,FALSE)</f>
        <v>SME</v>
      </c>
    </row>
    <row r="218" spans="1:11" x14ac:dyDescent="0.25">
      <c r="A218" t="s">
        <v>1267</v>
      </c>
      <c r="B218" t="s">
        <v>254</v>
      </c>
      <c r="C218" t="s">
        <v>1045</v>
      </c>
      <c r="D218" t="s">
        <v>1050</v>
      </c>
      <c r="E218">
        <v>6157.77</v>
      </c>
      <c r="F218" s="8">
        <v>46001</v>
      </c>
      <c r="H218" t="str">
        <f>IF(COUNTIF(Customers!$A$2:$A$1001,B218)&gt;0,"Valid","Invalid")</f>
        <v>Valid</v>
      </c>
      <c r="I218" t="str">
        <f t="shared" si="3"/>
        <v>Valid</v>
      </c>
      <c r="K218" t="str">
        <f>VLOOKUP(B218,Customers!A:G,7,FALSE)</f>
        <v>Individual</v>
      </c>
    </row>
    <row r="219" spans="1:11" x14ac:dyDescent="0.25">
      <c r="A219" t="s">
        <v>1268</v>
      </c>
      <c r="B219" t="s">
        <v>255</v>
      </c>
      <c r="C219" t="s">
        <v>1049</v>
      </c>
      <c r="D219" t="s">
        <v>1050</v>
      </c>
      <c r="E219">
        <v>1505.06</v>
      </c>
      <c r="F219" s="8">
        <v>45007</v>
      </c>
      <c r="H219" t="str">
        <f>IF(COUNTIF(Customers!$A$2:$A$1001,B219)&gt;0,"Valid","Invalid")</f>
        <v>Valid</v>
      </c>
      <c r="I219" t="str">
        <f t="shared" si="3"/>
        <v>Valid</v>
      </c>
      <c r="K219" t="str">
        <f>VLOOKUP(B219,Customers!A:G,7,FALSE)</f>
        <v>Individual</v>
      </c>
    </row>
    <row r="220" spans="1:11" x14ac:dyDescent="0.25">
      <c r="A220" t="s">
        <v>1269</v>
      </c>
      <c r="B220" t="s">
        <v>256</v>
      </c>
      <c r="C220" t="s">
        <v>1045</v>
      </c>
      <c r="D220" t="s">
        <v>1046</v>
      </c>
      <c r="E220">
        <v>661.48</v>
      </c>
      <c r="F220" s="8">
        <v>44962</v>
      </c>
      <c r="H220" t="str">
        <f>IF(COUNTIF(Customers!$A$2:$A$1001,B220)&gt;0,"Valid","Invalid")</f>
        <v>Valid</v>
      </c>
      <c r="I220" t="str">
        <f t="shared" si="3"/>
        <v>Valid</v>
      </c>
      <c r="K220" t="str">
        <f>VLOOKUP(B220,Customers!A:G,7,FALSE)</f>
        <v>SME</v>
      </c>
    </row>
    <row r="221" spans="1:11" x14ac:dyDescent="0.25">
      <c r="A221" t="s">
        <v>1270</v>
      </c>
      <c r="B221" t="s">
        <v>257</v>
      </c>
      <c r="C221" t="s">
        <v>1045</v>
      </c>
      <c r="D221" t="s">
        <v>1050</v>
      </c>
      <c r="E221">
        <v>681.13</v>
      </c>
      <c r="F221" s="8">
        <v>46017</v>
      </c>
      <c r="H221" t="str">
        <f>IF(COUNTIF(Customers!$A$2:$A$1001,B221)&gt;0,"Valid","Invalid")</f>
        <v>Valid</v>
      </c>
      <c r="I221" t="str">
        <f t="shared" si="3"/>
        <v>Valid</v>
      </c>
      <c r="K221" t="str">
        <f>VLOOKUP(B221,Customers!A:G,7,FALSE)</f>
        <v>Corporate</v>
      </c>
    </row>
    <row r="222" spans="1:11" x14ac:dyDescent="0.25">
      <c r="A222" t="s">
        <v>1271</v>
      </c>
      <c r="B222" t="s">
        <v>258</v>
      </c>
      <c r="C222" t="s">
        <v>1045</v>
      </c>
      <c r="D222" t="s">
        <v>1073</v>
      </c>
      <c r="E222">
        <v>1343.38</v>
      </c>
      <c r="F222" s="8">
        <v>45567</v>
      </c>
      <c r="H222" t="str">
        <f>IF(COUNTIF(Customers!$A$2:$A$1001,B222)&gt;0,"Valid","Invalid")</f>
        <v>Valid</v>
      </c>
      <c r="I222" t="str">
        <f t="shared" si="3"/>
        <v>Valid</v>
      </c>
      <c r="K222" t="str">
        <f>VLOOKUP(B222,Customers!A:G,7,FALSE)</f>
        <v>SME</v>
      </c>
    </row>
    <row r="223" spans="1:11" x14ac:dyDescent="0.25">
      <c r="A223" t="s">
        <v>1272</v>
      </c>
      <c r="B223" t="s">
        <v>259</v>
      </c>
      <c r="C223" t="s">
        <v>1056</v>
      </c>
      <c r="D223" t="s">
        <v>1050</v>
      </c>
      <c r="E223">
        <v>1338.26</v>
      </c>
      <c r="F223" s="8">
        <v>45808</v>
      </c>
      <c r="H223" t="str">
        <f>IF(COUNTIF(Customers!$A$2:$A$1001,B223)&gt;0,"Valid","Invalid")</f>
        <v>Valid</v>
      </c>
      <c r="I223" t="str">
        <f t="shared" si="3"/>
        <v>Valid</v>
      </c>
      <c r="K223" t="str">
        <f>VLOOKUP(B223,Customers!A:G,7,FALSE)</f>
        <v>Individual</v>
      </c>
    </row>
    <row r="224" spans="1:11" x14ac:dyDescent="0.25">
      <c r="A224" t="s">
        <v>1273</v>
      </c>
      <c r="B224" t="s">
        <v>260</v>
      </c>
      <c r="C224" t="s">
        <v>17</v>
      </c>
      <c r="D224" t="s">
        <v>1050</v>
      </c>
      <c r="E224">
        <v>4500</v>
      </c>
      <c r="F224" s="8">
        <v>45683</v>
      </c>
      <c r="H224" t="str">
        <f>IF(COUNTIF(Customers!$A$2:$A$1001,B224)&gt;0,"Valid","Invalid")</f>
        <v>Valid</v>
      </c>
      <c r="I224" t="str">
        <f t="shared" si="3"/>
        <v>Valid</v>
      </c>
      <c r="K224" t="str">
        <f>VLOOKUP(B224,Customers!A:G,7,FALSE)</f>
        <v>SME</v>
      </c>
    </row>
    <row r="225" spans="1:11" x14ac:dyDescent="0.25">
      <c r="A225" t="s">
        <v>1274</v>
      </c>
      <c r="B225" t="s">
        <v>261</v>
      </c>
      <c r="C225" t="s">
        <v>1045</v>
      </c>
      <c r="D225" t="s">
        <v>1050</v>
      </c>
      <c r="E225">
        <v>926.23</v>
      </c>
      <c r="F225" s="8">
        <v>45549</v>
      </c>
      <c r="H225" t="str">
        <f>IF(COUNTIF(Customers!$A$2:$A$1001,B225)&gt;0,"Valid","Invalid")</f>
        <v>Valid</v>
      </c>
      <c r="I225" t="str">
        <f t="shared" si="3"/>
        <v>Valid</v>
      </c>
      <c r="K225" t="str">
        <f>VLOOKUP(B225,Customers!A:G,7,FALSE)</f>
        <v>Individual</v>
      </c>
    </row>
    <row r="226" spans="1:11" x14ac:dyDescent="0.25">
      <c r="A226" t="s">
        <v>1275</v>
      </c>
      <c r="B226" t="s">
        <v>262</v>
      </c>
      <c r="C226" t="s">
        <v>1045</v>
      </c>
      <c r="D226" t="s">
        <v>1050</v>
      </c>
      <c r="E226">
        <v>2793.58</v>
      </c>
      <c r="F226" s="8">
        <v>45394</v>
      </c>
      <c r="H226" t="str">
        <f>IF(COUNTIF(Customers!$A$2:$A$1001,B226)&gt;0,"Valid","Invalid")</f>
        <v>Valid</v>
      </c>
      <c r="I226" t="str">
        <f t="shared" si="3"/>
        <v>Valid</v>
      </c>
      <c r="K226" t="str">
        <f>VLOOKUP(B226,Customers!A:G,7,FALSE)</f>
        <v>Individual</v>
      </c>
    </row>
    <row r="227" spans="1:11" x14ac:dyDescent="0.25">
      <c r="A227" t="s">
        <v>1276</v>
      </c>
      <c r="B227" t="s">
        <v>263</v>
      </c>
      <c r="C227" t="s">
        <v>1045</v>
      </c>
      <c r="D227" t="s">
        <v>1050</v>
      </c>
      <c r="E227">
        <v>1332.12</v>
      </c>
      <c r="F227" s="8">
        <v>46092</v>
      </c>
      <c r="H227" t="str">
        <f>IF(COUNTIF(Customers!$A$2:$A$1001,B227)&gt;0,"Valid","Invalid")</f>
        <v>Valid</v>
      </c>
      <c r="I227" t="str">
        <f t="shared" si="3"/>
        <v>Valid</v>
      </c>
      <c r="K227" t="str">
        <f>VLOOKUP(B227,Customers!A:G,7,FALSE)</f>
        <v>Individual</v>
      </c>
    </row>
    <row r="228" spans="1:11" x14ac:dyDescent="0.25">
      <c r="A228" t="s">
        <v>1277</v>
      </c>
      <c r="B228" t="s">
        <v>264</v>
      </c>
      <c r="C228" t="s">
        <v>1056</v>
      </c>
      <c r="D228" t="s">
        <v>1050</v>
      </c>
      <c r="E228">
        <v>858.55</v>
      </c>
      <c r="F228" s="8">
        <v>45282</v>
      </c>
      <c r="H228" t="str">
        <f>IF(COUNTIF(Customers!$A$2:$A$1001,B228)&gt;0,"Valid","Invalid")</f>
        <v>Valid</v>
      </c>
      <c r="I228" t="str">
        <f t="shared" si="3"/>
        <v>Valid</v>
      </c>
      <c r="K228" t="str">
        <f>VLOOKUP(B228,Customers!A:G,7,FALSE)</f>
        <v>Individual</v>
      </c>
    </row>
    <row r="229" spans="1:11" x14ac:dyDescent="0.25">
      <c r="A229" t="s">
        <v>1278</v>
      </c>
      <c r="B229" t="s">
        <v>265</v>
      </c>
      <c r="C229" t="s">
        <v>1045</v>
      </c>
      <c r="D229" t="s">
        <v>1046</v>
      </c>
      <c r="E229">
        <v>1299.3599999999999</v>
      </c>
      <c r="F229" s="8">
        <v>45635</v>
      </c>
      <c r="H229" t="str">
        <f>IF(COUNTIF(Customers!$A$2:$A$1001,B229)&gt;0,"Valid","Invalid")</f>
        <v>Valid</v>
      </c>
      <c r="I229" t="str">
        <f t="shared" si="3"/>
        <v>Valid</v>
      </c>
      <c r="K229" t="str">
        <f>VLOOKUP(B229,Customers!A:G,7,FALSE)</f>
        <v>Individual</v>
      </c>
    </row>
    <row r="230" spans="1:11" x14ac:dyDescent="0.25">
      <c r="A230" t="s">
        <v>1279</v>
      </c>
      <c r="B230" t="s">
        <v>266</v>
      </c>
      <c r="C230" t="s">
        <v>1049</v>
      </c>
      <c r="D230" t="s">
        <v>1050</v>
      </c>
      <c r="E230">
        <v>2531.4299999999998</v>
      </c>
      <c r="F230" s="8">
        <v>45946</v>
      </c>
      <c r="H230" t="str">
        <f>IF(COUNTIF(Customers!$A$2:$A$1001,B230)&gt;0,"Valid","Invalid")</f>
        <v>Valid</v>
      </c>
      <c r="I230" t="str">
        <f t="shared" si="3"/>
        <v>Valid</v>
      </c>
      <c r="K230" t="str">
        <f>VLOOKUP(B230,Customers!A:G,7,FALSE)</f>
        <v>Individual</v>
      </c>
    </row>
    <row r="231" spans="1:11" x14ac:dyDescent="0.25">
      <c r="A231" t="s">
        <v>1280</v>
      </c>
      <c r="B231" t="s">
        <v>267</v>
      </c>
      <c r="C231" t="s">
        <v>1045</v>
      </c>
      <c r="D231" t="s">
        <v>1050</v>
      </c>
      <c r="E231">
        <v>4513.97</v>
      </c>
      <c r="F231" s="8">
        <v>45828</v>
      </c>
      <c r="H231" t="str">
        <f>IF(COUNTIF(Customers!$A$2:$A$1001,B231)&gt;0,"Valid","Invalid")</f>
        <v>Valid</v>
      </c>
      <c r="I231" t="str">
        <f t="shared" si="3"/>
        <v>Valid</v>
      </c>
      <c r="K231" t="str">
        <f>VLOOKUP(B231,Customers!A:G,7,FALSE)</f>
        <v>SME</v>
      </c>
    </row>
    <row r="232" spans="1:11" x14ac:dyDescent="0.25">
      <c r="A232" t="s">
        <v>1281</v>
      </c>
      <c r="B232" t="s">
        <v>268</v>
      </c>
      <c r="C232" t="s">
        <v>1045</v>
      </c>
      <c r="D232" t="s">
        <v>1050</v>
      </c>
      <c r="E232">
        <v>1405.33</v>
      </c>
      <c r="F232" s="8">
        <v>45599</v>
      </c>
      <c r="H232" t="str">
        <f>IF(COUNTIF(Customers!$A$2:$A$1001,B232)&gt;0,"Valid","Invalid")</f>
        <v>Valid</v>
      </c>
      <c r="I232" t="str">
        <f t="shared" si="3"/>
        <v>Valid</v>
      </c>
      <c r="K232" t="str">
        <f>VLOOKUP(B232,Customers!A:G,7,FALSE)</f>
        <v>Individual</v>
      </c>
    </row>
    <row r="233" spans="1:11" x14ac:dyDescent="0.25">
      <c r="A233" t="s">
        <v>1282</v>
      </c>
      <c r="B233" t="s">
        <v>270</v>
      </c>
      <c r="C233" t="s">
        <v>1045</v>
      </c>
      <c r="D233" t="s">
        <v>1068</v>
      </c>
      <c r="E233">
        <v>542.42999999999995</v>
      </c>
      <c r="F233" s="8">
        <v>45365</v>
      </c>
      <c r="H233" t="str">
        <f>IF(COUNTIF(Customers!$A$2:$A$1001,B233)&gt;0,"Valid","Invalid")</f>
        <v>Valid</v>
      </c>
      <c r="I233" t="str">
        <f t="shared" si="3"/>
        <v>Valid</v>
      </c>
      <c r="K233" t="str">
        <f>VLOOKUP(B233,Customers!A:G,7,FALSE)</f>
        <v>Student</v>
      </c>
    </row>
    <row r="234" spans="1:11" x14ac:dyDescent="0.25">
      <c r="A234" t="s">
        <v>1283</v>
      </c>
      <c r="B234" t="s">
        <v>271</v>
      </c>
      <c r="C234" t="s">
        <v>17</v>
      </c>
      <c r="D234" t="s">
        <v>1050</v>
      </c>
      <c r="E234">
        <v>4913.37</v>
      </c>
      <c r="F234" s="8">
        <v>45457</v>
      </c>
      <c r="H234" t="str">
        <f>IF(COUNTIF(Customers!$A$2:$A$1001,B234)&gt;0,"Valid","Invalid")</f>
        <v>Valid</v>
      </c>
      <c r="I234" t="str">
        <f t="shared" si="3"/>
        <v>Valid</v>
      </c>
      <c r="K234" t="str">
        <f>VLOOKUP(B234,Customers!A:G,7,FALSE)</f>
        <v>Student</v>
      </c>
    </row>
    <row r="235" spans="1:11" x14ac:dyDescent="0.25">
      <c r="A235" t="s">
        <v>1284</v>
      </c>
      <c r="B235" t="s">
        <v>272</v>
      </c>
      <c r="C235" t="s">
        <v>1045</v>
      </c>
      <c r="D235" t="s">
        <v>1050</v>
      </c>
      <c r="E235">
        <v>736.44</v>
      </c>
      <c r="F235" s="8">
        <v>45053</v>
      </c>
      <c r="H235" t="str">
        <f>IF(COUNTIF(Customers!$A$2:$A$1001,B235)&gt;0,"Valid","Invalid")</f>
        <v>Valid</v>
      </c>
      <c r="I235" t="str">
        <f t="shared" si="3"/>
        <v>Valid</v>
      </c>
      <c r="K235" t="str">
        <f>VLOOKUP(B235,Customers!A:G,7,FALSE)</f>
        <v>Corporate</v>
      </c>
    </row>
    <row r="236" spans="1:11" x14ac:dyDescent="0.25">
      <c r="A236" t="s">
        <v>1285</v>
      </c>
      <c r="B236" t="s">
        <v>273</v>
      </c>
      <c r="C236" t="s">
        <v>1045</v>
      </c>
      <c r="D236" t="s">
        <v>1050</v>
      </c>
      <c r="E236">
        <v>2346.84</v>
      </c>
      <c r="F236" s="8">
        <v>45131</v>
      </c>
      <c r="H236" t="str">
        <f>IF(COUNTIF(Customers!$A$2:$A$1001,B236)&gt;0,"Valid","Invalid")</f>
        <v>Valid</v>
      </c>
      <c r="I236" t="str">
        <f t="shared" si="3"/>
        <v>Valid</v>
      </c>
      <c r="K236" t="str">
        <f>VLOOKUP(B236,Customers!A:G,7,FALSE)</f>
        <v>Individual</v>
      </c>
    </row>
    <row r="237" spans="1:11" x14ac:dyDescent="0.25">
      <c r="A237" t="s">
        <v>1286</v>
      </c>
      <c r="B237" t="s">
        <v>274</v>
      </c>
      <c r="C237" t="s">
        <v>1056</v>
      </c>
      <c r="D237" t="s">
        <v>1050</v>
      </c>
      <c r="E237">
        <v>1763.7</v>
      </c>
      <c r="F237" s="8">
        <v>44955</v>
      </c>
      <c r="H237" t="str">
        <f>IF(COUNTIF(Customers!$A$2:$A$1001,B237)&gt;0,"Valid","Invalid")</f>
        <v>Valid</v>
      </c>
      <c r="I237" t="str">
        <f t="shared" si="3"/>
        <v>Valid</v>
      </c>
      <c r="K237" t="str">
        <f>VLOOKUP(B237,Customers!A:G,7,FALSE)</f>
        <v>Individual</v>
      </c>
    </row>
    <row r="238" spans="1:11" x14ac:dyDescent="0.25">
      <c r="A238" t="s">
        <v>1287</v>
      </c>
      <c r="B238" t="s">
        <v>275</v>
      </c>
      <c r="C238" t="s">
        <v>1056</v>
      </c>
      <c r="D238" t="s">
        <v>1050</v>
      </c>
      <c r="E238">
        <v>1542.92</v>
      </c>
      <c r="F238" s="8">
        <v>45371</v>
      </c>
      <c r="H238" t="str">
        <f>IF(COUNTIF(Customers!$A$2:$A$1001,B238)&gt;0,"Valid","Invalid")</f>
        <v>Valid</v>
      </c>
      <c r="I238" t="str">
        <f t="shared" si="3"/>
        <v>Valid</v>
      </c>
      <c r="K238" t="str">
        <f>VLOOKUP(B238,Customers!A:G,7,FALSE)</f>
        <v>SME</v>
      </c>
    </row>
    <row r="239" spans="1:11" x14ac:dyDescent="0.25">
      <c r="A239" t="s">
        <v>1288</v>
      </c>
      <c r="B239" t="s">
        <v>276</v>
      </c>
      <c r="C239" t="s">
        <v>1045</v>
      </c>
      <c r="D239" t="s">
        <v>1073</v>
      </c>
      <c r="E239">
        <v>1111.01</v>
      </c>
      <c r="F239" s="8">
        <v>45892</v>
      </c>
      <c r="H239" t="str">
        <f>IF(COUNTIF(Customers!$A$2:$A$1001,B239)&gt;0,"Valid","Invalid")</f>
        <v>Valid</v>
      </c>
      <c r="I239" t="str">
        <f t="shared" si="3"/>
        <v>Valid</v>
      </c>
      <c r="K239" t="str">
        <f>VLOOKUP(B239,Customers!A:G,7,FALSE)</f>
        <v>SME</v>
      </c>
    </row>
    <row r="240" spans="1:11" x14ac:dyDescent="0.25">
      <c r="A240" t="s">
        <v>1289</v>
      </c>
      <c r="B240" t="s">
        <v>277</v>
      </c>
      <c r="C240" t="s">
        <v>1045</v>
      </c>
      <c r="D240" t="s">
        <v>1050</v>
      </c>
      <c r="E240">
        <v>3361.52</v>
      </c>
      <c r="F240" s="8">
        <v>45390</v>
      </c>
      <c r="H240" t="str">
        <f>IF(COUNTIF(Customers!$A$2:$A$1001,B240)&gt;0,"Valid","Invalid")</f>
        <v>Valid</v>
      </c>
      <c r="I240" t="str">
        <f t="shared" si="3"/>
        <v>Valid</v>
      </c>
      <c r="K240" t="str">
        <f>VLOOKUP(B240,Customers!A:G,7,FALSE)</f>
        <v>Individual</v>
      </c>
    </row>
    <row r="241" spans="1:11" x14ac:dyDescent="0.25">
      <c r="A241" t="s">
        <v>1290</v>
      </c>
      <c r="B241" t="s">
        <v>278</v>
      </c>
      <c r="C241" t="s">
        <v>1049</v>
      </c>
      <c r="D241" t="s">
        <v>1073</v>
      </c>
      <c r="E241">
        <v>50.3</v>
      </c>
      <c r="F241" s="8">
        <v>45077</v>
      </c>
      <c r="H241" t="str">
        <f>IF(COUNTIF(Customers!$A$2:$A$1001,B241)&gt;0,"Valid","Invalid")</f>
        <v>Valid</v>
      </c>
      <c r="I241" t="str">
        <f t="shared" si="3"/>
        <v>Valid</v>
      </c>
      <c r="K241" t="str">
        <f>VLOOKUP(B241,Customers!A:G,7,FALSE)</f>
        <v>Individual</v>
      </c>
    </row>
    <row r="242" spans="1:11" x14ac:dyDescent="0.25">
      <c r="A242" t="s">
        <v>1291</v>
      </c>
      <c r="B242" t="s">
        <v>279</v>
      </c>
      <c r="C242" t="s">
        <v>1045</v>
      </c>
      <c r="D242" t="s">
        <v>1050</v>
      </c>
      <c r="E242">
        <v>5633.41</v>
      </c>
      <c r="F242" s="8">
        <v>45166</v>
      </c>
      <c r="H242" t="str">
        <f>IF(COUNTIF(Customers!$A$2:$A$1001,B242)&gt;0,"Valid","Invalid")</f>
        <v>Valid</v>
      </c>
      <c r="I242" t="str">
        <f t="shared" si="3"/>
        <v>Valid</v>
      </c>
      <c r="K242" t="str">
        <f>VLOOKUP(B242,Customers!A:G,7,FALSE)</f>
        <v>SME</v>
      </c>
    </row>
    <row r="243" spans="1:11" x14ac:dyDescent="0.25">
      <c r="A243" t="s">
        <v>1292</v>
      </c>
      <c r="B243" t="s">
        <v>280</v>
      </c>
      <c r="C243" t="s">
        <v>1049</v>
      </c>
      <c r="D243" t="s">
        <v>1050</v>
      </c>
      <c r="E243">
        <v>725.96</v>
      </c>
      <c r="F243" s="8">
        <v>45192</v>
      </c>
      <c r="H243" t="str">
        <f>IF(COUNTIF(Customers!$A$2:$A$1001,B243)&gt;0,"Valid","Invalid")</f>
        <v>Valid</v>
      </c>
      <c r="I243" t="str">
        <f t="shared" si="3"/>
        <v>Valid</v>
      </c>
      <c r="K243" t="str">
        <f>VLOOKUP(B243,Customers!A:G,7,FALSE)</f>
        <v>Individual</v>
      </c>
    </row>
    <row r="244" spans="1:11" x14ac:dyDescent="0.25">
      <c r="A244" t="s">
        <v>1293</v>
      </c>
      <c r="B244" t="s">
        <v>281</v>
      </c>
      <c r="C244" t="s">
        <v>1056</v>
      </c>
      <c r="D244" t="s">
        <v>1073</v>
      </c>
      <c r="E244">
        <v>2718.83</v>
      </c>
      <c r="F244" s="8">
        <v>46055</v>
      </c>
      <c r="H244" t="str">
        <f>IF(COUNTIF(Customers!$A$2:$A$1001,B244)&gt;0,"Valid","Invalid")</f>
        <v>Valid</v>
      </c>
      <c r="I244" t="str">
        <f t="shared" si="3"/>
        <v>Valid</v>
      </c>
      <c r="K244" t="str">
        <f>VLOOKUP(B244,Customers!A:G,7,FALSE)</f>
        <v>Individual</v>
      </c>
    </row>
    <row r="245" spans="1:11" x14ac:dyDescent="0.25">
      <c r="A245" t="s">
        <v>1294</v>
      </c>
      <c r="B245" t="s">
        <v>282</v>
      </c>
      <c r="C245" t="s">
        <v>1045</v>
      </c>
      <c r="D245" t="s">
        <v>1050</v>
      </c>
      <c r="E245">
        <v>2578.66</v>
      </c>
      <c r="F245" s="8">
        <v>45839</v>
      </c>
      <c r="H245" t="str">
        <f>IF(COUNTIF(Customers!$A$2:$A$1001,B245)&gt;0,"Valid","Invalid")</f>
        <v>Valid</v>
      </c>
      <c r="I245" t="str">
        <f t="shared" si="3"/>
        <v>Valid</v>
      </c>
      <c r="K245" t="str">
        <f>VLOOKUP(B245,Customers!A:G,7,FALSE)</f>
        <v>SME</v>
      </c>
    </row>
    <row r="246" spans="1:11" x14ac:dyDescent="0.25">
      <c r="A246" t="s">
        <v>1295</v>
      </c>
      <c r="B246" t="s">
        <v>283</v>
      </c>
      <c r="C246" t="s">
        <v>1045</v>
      </c>
      <c r="D246" t="s">
        <v>1068</v>
      </c>
      <c r="E246">
        <v>6470.3</v>
      </c>
      <c r="F246" s="8">
        <v>45423</v>
      </c>
      <c r="H246" t="str">
        <f>IF(COUNTIF(Customers!$A$2:$A$1001,B246)&gt;0,"Valid","Invalid")</f>
        <v>Valid</v>
      </c>
      <c r="I246" t="str">
        <f t="shared" si="3"/>
        <v>Valid</v>
      </c>
      <c r="K246" t="str">
        <f>VLOOKUP(B246,Customers!A:G,7,FALSE)</f>
        <v>Individual</v>
      </c>
    </row>
    <row r="247" spans="1:11" x14ac:dyDescent="0.25">
      <c r="A247" t="s">
        <v>1296</v>
      </c>
      <c r="B247" t="s">
        <v>284</v>
      </c>
      <c r="C247" t="s">
        <v>1045</v>
      </c>
      <c r="D247" t="s">
        <v>1050</v>
      </c>
      <c r="E247">
        <v>2203.38</v>
      </c>
      <c r="F247" s="8">
        <v>45611</v>
      </c>
      <c r="H247" t="str">
        <f>IF(COUNTIF(Customers!$A$2:$A$1001,B247)&gt;0,"Valid","Invalid")</f>
        <v>Valid</v>
      </c>
      <c r="I247" t="str">
        <f t="shared" si="3"/>
        <v>Valid</v>
      </c>
      <c r="K247" t="str">
        <f>VLOOKUP(B247,Customers!A:G,7,FALSE)</f>
        <v>Individual</v>
      </c>
    </row>
    <row r="248" spans="1:11" x14ac:dyDescent="0.25">
      <c r="A248" t="s">
        <v>1297</v>
      </c>
      <c r="B248" t="s">
        <v>285</v>
      </c>
      <c r="C248" t="s">
        <v>1049</v>
      </c>
      <c r="D248" t="s">
        <v>1068</v>
      </c>
      <c r="E248">
        <v>789.1</v>
      </c>
      <c r="F248" s="8">
        <v>45084</v>
      </c>
      <c r="H248" t="str">
        <f>IF(COUNTIF(Customers!$A$2:$A$1001,B248)&gt;0,"Valid","Invalid")</f>
        <v>Valid</v>
      </c>
      <c r="I248" t="str">
        <f t="shared" si="3"/>
        <v>Valid</v>
      </c>
      <c r="K248" t="str">
        <f>VLOOKUP(B248,Customers!A:G,7,FALSE)</f>
        <v>Individual</v>
      </c>
    </row>
    <row r="249" spans="1:11" x14ac:dyDescent="0.25">
      <c r="A249" t="s">
        <v>1298</v>
      </c>
      <c r="B249" t="s">
        <v>286</v>
      </c>
      <c r="C249" t="s">
        <v>1045</v>
      </c>
      <c r="D249" t="s">
        <v>1050</v>
      </c>
      <c r="E249">
        <v>363.31</v>
      </c>
      <c r="F249" s="8">
        <v>45098</v>
      </c>
      <c r="H249" t="str">
        <f>IF(COUNTIF(Customers!$A$2:$A$1001,B249)&gt;0,"Valid","Invalid")</f>
        <v>Valid</v>
      </c>
      <c r="I249" t="str">
        <f t="shared" si="3"/>
        <v>Valid</v>
      </c>
      <c r="K249" t="str">
        <f>VLOOKUP(B249,Customers!A:G,7,FALSE)</f>
        <v>Student</v>
      </c>
    </row>
    <row r="250" spans="1:11" x14ac:dyDescent="0.25">
      <c r="A250" t="s">
        <v>1299</v>
      </c>
      <c r="B250" t="s">
        <v>287</v>
      </c>
      <c r="C250" t="s">
        <v>1045</v>
      </c>
      <c r="D250" t="s">
        <v>1050</v>
      </c>
      <c r="E250">
        <v>1275.6300000000001</v>
      </c>
      <c r="F250" s="8">
        <v>45420</v>
      </c>
      <c r="H250" t="str">
        <f>IF(COUNTIF(Customers!$A$2:$A$1001,B250)&gt;0,"Valid","Invalid")</f>
        <v>Valid</v>
      </c>
      <c r="I250" t="str">
        <f t="shared" si="3"/>
        <v>Valid</v>
      </c>
      <c r="K250" t="str">
        <f>VLOOKUP(B250,Customers!A:G,7,FALSE)</f>
        <v>Individual</v>
      </c>
    </row>
    <row r="251" spans="1:11" x14ac:dyDescent="0.25">
      <c r="A251" t="s">
        <v>1300</v>
      </c>
      <c r="B251" t="s">
        <v>288</v>
      </c>
      <c r="C251" t="s">
        <v>1056</v>
      </c>
      <c r="D251" t="s">
        <v>1050</v>
      </c>
      <c r="E251">
        <v>255.14</v>
      </c>
      <c r="F251" s="8">
        <v>45896</v>
      </c>
      <c r="H251" t="str">
        <f>IF(COUNTIF(Customers!$A$2:$A$1001,B251)&gt;0,"Valid","Invalid")</f>
        <v>Valid</v>
      </c>
      <c r="I251" t="str">
        <f t="shared" si="3"/>
        <v>Valid</v>
      </c>
      <c r="K251" t="str">
        <f>VLOOKUP(B251,Customers!A:G,7,FALSE)</f>
        <v>SME</v>
      </c>
    </row>
    <row r="252" spans="1:11" x14ac:dyDescent="0.25">
      <c r="A252" t="s">
        <v>1301</v>
      </c>
      <c r="B252" t="s">
        <v>289</v>
      </c>
      <c r="C252" t="s">
        <v>17</v>
      </c>
      <c r="D252" t="s">
        <v>1050</v>
      </c>
      <c r="E252">
        <v>964.41</v>
      </c>
      <c r="F252" s="8">
        <v>45602</v>
      </c>
      <c r="H252" t="str">
        <f>IF(COUNTIF(Customers!$A$2:$A$1001,B252)&gt;0,"Valid","Invalid")</f>
        <v>Valid</v>
      </c>
      <c r="I252" t="str">
        <f t="shared" si="3"/>
        <v>Valid</v>
      </c>
      <c r="K252" t="str">
        <f>VLOOKUP(B252,Customers!A:G,7,FALSE)</f>
        <v>Student</v>
      </c>
    </row>
    <row r="253" spans="1:11" x14ac:dyDescent="0.25">
      <c r="A253" t="s">
        <v>1302</v>
      </c>
      <c r="B253" t="s">
        <v>290</v>
      </c>
      <c r="C253" t="s">
        <v>1045</v>
      </c>
      <c r="D253" t="s">
        <v>1050</v>
      </c>
      <c r="E253">
        <v>1349.34</v>
      </c>
      <c r="F253" s="8">
        <v>45585</v>
      </c>
      <c r="H253" t="str">
        <f>IF(COUNTIF(Customers!$A$2:$A$1001,B253)&gt;0,"Valid","Invalid")</f>
        <v>Valid</v>
      </c>
      <c r="I253" t="str">
        <f t="shared" si="3"/>
        <v>Valid</v>
      </c>
      <c r="K253" t="str">
        <f>VLOOKUP(B253,Customers!A:G,7,FALSE)</f>
        <v>Individual</v>
      </c>
    </row>
    <row r="254" spans="1:11" x14ac:dyDescent="0.25">
      <c r="A254" t="s">
        <v>1303</v>
      </c>
      <c r="B254" t="s">
        <v>291</v>
      </c>
      <c r="C254" t="s">
        <v>17</v>
      </c>
      <c r="D254" t="s">
        <v>1050</v>
      </c>
      <c r="E254">
        <v>906.95</v>
      </c>
      <c r="F254" s="8">
        <v>45829</v>
      </c>
      <c r="H254" t="str">
        <f>IF(COUNTIF(Customers!$A$2:$A$1001,B254)&gt;0,"Valid","Invalid")</f>
        <v>Valid</v>
      </c>
      <c r="I254" t="str">
        <f t="shared" si="3"/>
        <v>Valid</v>
      </c>
      <c r="K254" t="str">
        <f>VLOOKUP(B254,Customers!A:G,7,FALSE)</f>
        <v>Individual</v>
      </c>
    </row>
    <row r="255" spans="1:11" x14ac:dyDescent="0.25">
      <c r="A255" t="s">
        <v>1304</v>
      </c>
      <c r="B255" t="s">
        <v>292</v>
      </c>
      <c r="C255" t="s">
        <v>1045</v>
      </c>
      <c r="D255" t="s">
        <v>1050</v>
      </c>
      <c r="E255">
        <v>1885.17</v>
      </c>
      <c r="F255" s="8">
        <v>45592</v>
      </c>
      <c r="H255" t="str">
        <f>IF(COUNTIF(Customers!$A$2:$A$1001,B255)&gt;0,"Valid","Invalid")</f>
        <v>Valid</v>
      </c>
      <c r="I255" t="str">
        <f t="shared" si="3"/>
        <v>Valid</v>
      </c>
      <c r="K255" t="str">
        <f>VLOOKUP(B255,Customers!A:G,7,FALSE)</f>
        <v>Student</v>
      </c>
    </row>
    <row r="256" spans="1:11" x14ac:dyDescent="0.25">
      <c r="A256" t="s">
        <v>1305</v>
      </c>
      <c r="B256" t="s">
        <v>293</v>
      </c>
      <c r="C256" t="s">
        <v>1045</v>
      </c>
      <c r="D256" t="s">
        <v>1050</v>
      </c>
      <c r="E256">
        <v>1427.81</v>
      </c>
      <c r="F256" s="8">
        <v>45293</v>
      </c>
      <c r="H256" t="str">
        <f>IF(COUNTIF(Customers!$A$2:$A$1001,B256)&gt;0,"Valid","Invalid")</f>
        <v>Valid</v>
      </c>
      <c r="I256" t="str">
        <f t="shared" si="3"/>
        <v>Valid</v>
      </c>
      <c r="K256" t="str">
        <f>VLOOKUP(B256,Customers!A:G,7,FALSE)</f>
        <v>Corporate</v>
      </c>
    </row>
    <row r="257" spans="1:11" x14ac:dyDescent="0.25">
      <c r="A257" t="s">
        <v>1306</v>
      </c>
      <c r="B257" t="s">
        <v>294</v>
      </c>
      <c r="C257" t="s">
        <v>1045</v>
      </c>
      <c r="D257" t="s">
        <v>1046</v>
      </c>
      <c r="E257">
        <v>1302.8599999999999</v>
      </c>
      <c r="F257" s="8">
        <v>45476</v>
      </c>
      <c r="H257" t="str">
        <f>IF(COUNTIF(Customers!$A$2:$A$1001,B257)&gt;0,"Valid","Invalid")</f>
        <v>Valid</v>
      </c>
      <c r="I257" t="str">
        <f t="shared" si="3"/>
        <v>Valid</v>
      </c>
      <c r="K257" t="str">
        <f>VLOOKUP(B257,Customers!A:G,7,FALSE)</f>
        <v>Individual</v>
      </c>
    </row>
    <row r="258" spans="1:11" x14ac:dyDescent="0.25">
      <c r="A258" t="s">
        <v>1307</v>
      </c>
      <c r="B258" t="s">
        <v>295</v>
      </c>
      <c r="C258" t="s">
        <v>1045</v>
      </c>
      <c r="D258" t="s">
        <v>1050</v>
      </c>
      <c r="E258">
        <v>160.11000000000001</v>
      </c>
      <c r="F258" s="8">
        <v>45569</v>
      </c>
      <c r="H258" t="str">
        <f>IF(COUNTIF(Customers!$A$2:$A$1001,B258)&gt;0,"Valid","Invalid")</f>
        <v>Valid</v>
      </c>
      <c r="I258" t="str">
        <f t="shared" si="3"/>
        <v>Valid</v>
      </c>
      <c r="K258" t="str">
        <f>VLOOKUP(B258,Customers!A:G,7,FALSE)</f>
        <v>Individual</v>
      </c>
    </row>
    <row r="259" spans="1:11" x14ac:dyDescent="0.25">
      <c r="A259" t="s">
        <v>1308</v>
      </c>
      <c r="B259" t="s">
        <v>296</v>
      </c>
      <c r="C259" t="s">
        <v>1045</v>
      </c>
      <c r="D259" t="s">
        <v>1050</v>
      </c>
      <c r="E259">
        <v>495.36</v>
      </c>
      <c r="F259" s="8">
        <v>45181</v>
      </c>
      <c r="H259" t="str">
        <f>IF(COUNTIF(Customers!$A$2:$A$1001,B259)&gt;0,"Valid","Invalid")</f>
        <v>Valid</v>
      </c>
      <c r="I259" t="str">
        <f t="shared" ref="I259:I322" si="4">IF(OR(C259="Savings",C259="Current",C259="Business",C259="Student"),"Valid","Check")</f>
        <v>Valid</v>
      </c>
      <c r="K259" t="str">
        <f>VLOOKUP(B259,Customers!A:G,7,FALSE)</f>
        <v>Individual</v>
      </c>
    </row>
    <row r="260" spans="1:11" x14ac:dyDescent="0.25">
      <c r="A260" t="s">
        <v>1309</v>
      </c>
      <c r="B260" t="s">
        <v>297</v>
      </c>
      <c r="C260" t="s">
        <v>1045</v>
      </c>
      <c r="D260" t="s">
        <v>1050</v>
      </c>
      <c r="E260">
        <v>3438.04</v>
      </c>
      <c r="F260" s="8">
        <v>45134</v>
      </c>
      <c r="H260" t="str">
        <f>IF(COUNTIF(Customers!$A$2:$A$1001,B260)&gt;0,"Valid","Invalid")</f>
        <v>Valid</v>
      </c>
      <c r="I260" t="str">
        <f t="shared" si="4"/>
        <v>Valid</v>
      </c>
      <c r="K260" t="str">
        <f>VLOOKUP(B260,Customers!A:G,7,FALSE)</f>
        <v>Individual</v>
      </c>
    </row>
    <row r="261" spans="1:11" x14ac:dyDescent="0.25">
      <c r="A261" t="s">
        <v>1310</v>
      </c>
      <c r="B261" t="s">
        <v>298</v>
      </c>
      <c r="C261" t="s">
        <v>1049</v>
      </c>
      <c r="D261" t="s">
        <v>1050</v>
      </c>
      <c r="E261">
        <v>4041.04</v>
      </c>
      <c r="F261" s="8">
        <v>45376</v>
      </c>
      <c r="H261" t="str">
        <f>IF(COUNTIF(Customers!$A$2:$A$1001,B261)&gt;0,"Valid","Invalid")</f>
        <v>Valid</v>
      </c>
      <c r="I261" t="str">
        <f t="shared" si="4"/>
        <v>Valid</v>
      </c>
      <c r="K261" t="str">
        <f>VLOOKUP(B261,Customers!A:G,7,FALSE)</f>
        <v>Student</v>
      </c>
    </row>
    <row r="262" spans="1:11" x14ac:dyDescent="0.25">
      <c r="A262" t="s">
        <v>1311</v>
      </c>
      <c r="B262" t="s">
        <v>299</v>
      </c>
      <c r="C262" t="s">
        <v>1049</v>
      </c>
      <c r="D262" t="s">
        <v>1050</v>
      </c>
      <c r="E262">
        <v>287.5</v>
      </c>
      <c r="F262" s="8">
        <v>45021</v>
      </c>
      <c r="H262" t="str">
        <f>IF(COUNTIF(Customers!$A$2:$A$1001,B262)&gt;0,"Valid","Invalid")</f>
        <v>Valid</v>
      </c>
      <c r="I262" t="str">
        <f t="shared" si="4"/>
        <v>Valid</v>
      </c>
      <c r="K262" t="str">
        <f>VLOOKUP(B262,Customers!A:G,7,FALSE)</f>
        <v>SME</v>
      </c>
    </row>
    <row r="263" spans="1:11" x14ac:dyDescent="0.25">
      <c r="A263" t="s">
        <v>1312</v>
      </c>
      <c r="B263" t="s">
        <v>300</v>
      </c>
      <c r="C263" t="s">
        <v>1049</v>
      </c>
      <c r="D263" t="s">
        <v>1050</v>
      </c>
      <c r="E263">
        <v>800.54</v>
      </c>
      <c r="F263" s="8">
        <v>45765</v>
      </c>
      <c r="H263" t="str">
        <f>IF(COUNTIF(Customers!$A$2:$A$1001,B263)&gt;0,"Valid","Invalid")</f>
        <v>Valid</v>
      </c>
      <c r="I263" t="str">
        <f t="shared" si="4"/>
        <v>Valid</v>
      </c>
      <c r="K263" t="str">
        <f>VLOOKUP(B263,Customers!A:G,7,FALSE)</f>
        <v>Corporate</v>
      </c>
    </row>
    <row r="264" spans="1:11" x14ac:dyDescent="0.25">
      <c r="A264" t="s">
        <v>1313</v>
      </c>
      <c r="B264" t="s">
        <v>301</v>
      </c>
      <c r="C264" t="s">
        <v>1045</v>
      </c>
      <c r="D264" t="s">
        <v>1073</v>
      </c>
      <c r="E264">
        <v>5281.5</v>
      </c>
      <c r="F264" s="8">
        <v>45404</v>
      </c>
      <c r="H264" t="str">
        <f>IF(COUNTIF(Customers!$A$2:$A$1001,B264)&gt;0,"Valid","Invalid")</f>
        <v>Valid</v>
      </c>
      <c r="I264" t="str">
        <f t="shared" si="4"/>
        <v>Valid</v>
      </c>
      <c r="K264" t="str">
        <f>VLOOKUP(B264,Customers!A:G,7,FALSE)</f>
        <v>Individual</v>
      </c>
    </row>
    <row r="265" spans="1:11" x14ac:dyDescent="0.25">
      <c r="A265" t="s">
        <v>1314</v>
      </c>
      <c r="B265" t="s">
        <v>302</v>
      </c>
      <c r="C265" t="s">
        <v>1045</v>
      </c>
      <c r="D265" t="s">
        <v>1046</v>
      </c>
      <c r="E265">
        <v>881.8</v>
      </c>
      <c r="F265" s="8">
        <v>45609</v>
      </c>
      <c r="H265" t="str">
        <f>IF(COUNTIF(Customers!$A$2:$A$1001,B265)&gt;0,"Valid","Invalid")</f>
        <v>Valid</v>
      </c>
      <c r="I265" t="str">
        <f t="shared" si="4"/>
        <v>Valid</v>
      </c>
      <c r="K265" t="str">
        <f>VLOOKUP(B265,Customers!A:G,7,FALSE)</f>
        <v>Individual</v>
      </c>
    </row>
    <row r="266" spans="1:11" x14ac:dyDescent="0.25">
      <c r="A266" t="s">
        <v>1315</v>
      </c>
      <c r="B266" t="s">
        <v>303</v>
      </c>
      <c r="C266" t="s">
        <v>1045</v>
      </c>
      <c r="D266" t="s">
        <v>1050</v>
      </c>
      <c r="E266">
        <v>1617.29</v>
      </c>
      <c r="F266" s="8">
        <v>45688</v>
      </c>
      <c r="H266" t="str">
        <f>IF(COUNTIF(Customers!$A$2:$A$1001,B266)&gt;0,"Valid","Invalid")</f>
        <v>Valid</v>
      </c>
      <c r="I266" t="str">
        <f t="shared" si="4"/>
        <v>Valid</v>
      </c>
      <c r="K266" t="str">
        <f>VLOOKUP(B266,Customers!A:G,7,FALSE)</f>
        <v>SME</v>
      </c>
    </row>
    <row r="267" spans="1:11" x14ac:dyDescent="0.25">
      <c r="A267" t="s">
        <v>1316</v>
      </c>
      <c r="B267" t="s">
        <v>304</v>
      </c>
      <c r="C267" t="s">
        <v>1049</v>
      </c>
      <c r="D267" t="s">
        <v>1050</v>
      </c>
      <c r="E267">
        <v>7644.99</v>
      </c>
      <c r="F267" s="8">
        <v>45116</v>
      </c>
      <c r="H267" t="str">
        <f>IF(COUNTIF(Customers!$A$2:$A$1001,B267)&gt;0,"Valid","Invalid")</f>
        <v>Valid</v>
      </c>
      <c r="I267" t="str">
        <f t="shared" si="4"/>
        <v>Valid</v>
      </c>
      <c r="K267" t="str">
        <f>VLOOKUP(B267,Customers!A:G,7,FALSE)</f>
        <v>SME</v>
      </c>
    </row>
    <row r="268" spans="1:11" x14ac:dyDescent="0.25">
      <c r="A268" t="s">
        <v>1317</v>
      </c>
      <c r="B268" t="s">
        <v>305</v>
      </c>
      <c r="C268" t="s">
        <v>17</v>
      </c>
      <c r="D268" t="s">
        <v>1050</v>
      </c>
      <c r="E268">
        <v>1259.44</v>
      </c>
      <c r="F268" s="8">
        <v>45637</v>
      </c>
      <c r="H268" t="str">
        <f>IF(COUNTIF(Customers!$A$2:$A$1001,B268)&gt;0,"Valid","Invalid")</f>
        <v>Valid</v>
      </c>
      <c r="I268" t="str">
        <f t="shared" si="4"/>
        <v>Valid</v>
      </c>
      <c r="K268" t="str">
        <f>VLOOKUP(B268,Customers!A:G,7,FALSE)</f>
        <v>Individual</v>
      </c>
    </row>
    <row r="269" spans="1:11" x14ac:dyDescent="0.25">
      <c r="A269" t="s">
        <v>1318</v>
      </c>
      <c r="B269" t="s">
        <v>306</v>
      </c>
      <c r="C269" t="s">
        <v>1045</v>
      </c>
      <c r="D269" t="s">
        <v>1050</v>
      </c>
      <c r="E269">
        <v>1091.47</v>
      </c>
      <c r="F269" s="8">
        <v>45682</v>
      </c>
      <c r="H269" t="str">
        <f>IF(COUNTIF(Customers!$A$2:$A$1001,B269)&gt;0,"Valid","Invalid")</f>
        <v>Valid</v>
      </c>
      <c r="I269" t="str">
        <f t="shared" si="4"/>
        <v>Valid</v>
      </c>
      <c r="K269" t="str">
        <f>VLOOKUP(B269,Customers!A:G,7,FALSE)</f>
        <v>Individual</v>
      </c>
    </row>
    <row r="270" spans="1:11" x14ac:dyDescent="0.25">
      <c r="A270" t="s">
        <v>1319</v>
      </c>
      <c r="B270" t="s">
        <v>307</v>
      </c>
      <c r="C270" t="s">
        <v>1045</v>
      </c>
      <c r="D270" t="s">
        <v>1050</v>
      </c>
      <c r="E270">
        <v>1545.28</v>
      </c>
      <c r="F270" s="8">
        <v>45762</v>
      </c>
      <c r="H270" t="str">
        <f>IF(COUNTIF(Customers!$A$2:$A$1001,B270)&gt;0,"Valid","Invalid")</f>
        <v>Valid</v>
      </c>
      <c r="I270" t="str">
        <f t="shared" si="4"/>
        <v>Valid</v>
      </c>
      <c r="K270" t="str">
        <f>VLOOKUP(B270,Customers!A:G,7,FALSE)</f>
        <v>Individual</v>
      </c>
    </row>
    <row r="271" spans="1:11" x14ac:dyDescent="0.25">
      <c r="A271" t="s">
        <v>1320</v>
      </c>
      <c r="B271" t="s">
        <v>308</v>
      </c>
      <c r="C271" t="s">
        <v>1045</v>
      </c>
      <c r="D271" t="s">
        <v>1050</v>
      </c>
      <c r="E271">
        <v>11538.11</v>
      </c>
      <c r="F271" s="8">
        <v>45059</v>
      </c>
      <c r="H271" t="str">
        <f>IF(COUNTIF(Customers!$A$2:$A$1001,B271)&gt;0,"Valid","Invalid")</f>
        <v>Valid</v>
      </c>
      <c r="I271" t="str">
        <f t="shared" si="4"/>
        <v>Valid</v>
      </c>
      <c r="K271" t="str">
        <f>VLOOKUP(B271,Customers!A:G,7,FALSE)</f>
        <v>SME</v>
      </c>
    </row>
    <row r="272" spans="1:11" x14ac:dyDescent="0.25">
      <c r="A272" t="s">
        <v>1321</v>
      </c>
      <c r="B272" t="s">
        <v>309</v>
      </c>
      <c r="C272" t="s">
        <v>1045</v>
      </c>
      <c r="D272" t="s">
        <v>1050</v>
      </c>
      <c r="E272">
        <v>2824.83</v>
      </c>
      <c r="F272" s="8">
        <v>44981</v>
      </c>
      <c r="H272" t="str">
        <f>IF(COUNTIF(Customers!$A$2:$A$1001,B272)&gt;0,"Valid","Invalid")</f>
        <v>Valid</v>
      </c>
      <c r="I272" t="str">
        <f t="shared" si="4"/>
        <v>Valid</v>
      </c>
      <c r="K272" t="str">
        <f>VLOOKUP(B272,Customers!A:G,7,FALSE)</f>
        <v>SME</v>
      </c>
    </row>
    <row r="273" spans="1:11" x14ac:dyDescent="0.25">
      <c r="A273" t="s">
        <v>1322</v>
      </c>
      <c r="B273" t="s">
        <v>310</v>
      </c>
      <c r="C273" t="s">
        <v>1045</v>
      </c>
      <c r="D273" t="s">
        <v>1050</v>
      </c>
      <c r="E273">
        <v>1842.87</v>
      </c>
      <c r="F273" s="8">
        <v>45436</v>
      </c>
      <c r="H273" t="str">
        <f>IF(COUNTIF(Customers!$A$2:$A$1001,B273)&gt;0,"Valid","Invalid")</f>
        <v>Valid</v>
      </c>
      <c r="I273" t="str">
        <f t="shared" si="4"/>
        <v>Valid</v>
      </c>
      <c r="K273" t="str">
        <f>VLOOKUP(B273,Customers!A:G,7,FALSE)</f>
        <v>Individual</v>
      </c>
    </row>
    <row r="274" spans="1:11" x14ac:dyDescent="0.25">
      <c r="A274" t="s">
        <v>1323</v>
      </c>
      <c r="B274" t="s">
        <v>311</v>
      </c>
      <c r="C274" t="s">
        <v>1056</v>
      </c>
      <c r="D274" t="s">
        <v>1050</v>
      </c>
      <c r="E274">
        <v>1070.24</v>
      </c>
      <c r="F274" s="8">
        <v>45596</v>
      </c>
      <c r="H274" t="str">
        <f>IF(COUNTIF(Customers!$A$2:$A$1001,B274)&gt;0,"Valid","Invalid")</f>
        <v>Valid</v>
      </c>
      <c r="I274" t="str">
        <f t="shared" si="4"/>
        <v>Valid</v>
      </c>
      <c r="K274" t="str">
        <f>VLOOKUP(B274,Customers!A:G,7,FALSE)</f>
        <v>Individual</v>
      </c>
    </row>
    <row r="275" spans="1:11" x14ac:dyDescent="0.25">
      <c r="A275" t="s">
        <v>1324</v>
      </c>
      <c r="B275" t="s">
        <v>312</v>
      </c>
      <c r="C275" t="s">
        <v>1056</v>
      </c>
      <c r="D275" t="s">
        <v>1073</v>
      </c>
      <c r="E275">
        <v>3098.94</v>
      </c>
      <c r="F275" s="8">
        <v>45336</v>
      </c>
      <c r="H275" t="str">
        <f>IF(COUNTIF(Customers!$A$2:$A$1001,B275)&gt;0,"Valid","Invalid")</f>
        <v>Valid</v>
      </c>
      <c r="I275" t="str">
        <f t="shared" si="4"/>
        <v>Valid</v>
      </c>
      <c r="K275" t="str">
        <f>VLOOKUP(B275,Customers!A:G,7,FALSE)</f>
        <v>SME</v>
      </c>
    </row>
    <row r="276" spans="1:11" x14ac:dyDescent="0.25">
      <c r="A276" t="s">
        <v>1325</v>
      </c>
      <c r="B276" t="s">
        <v>313</v>
      </c>
      <c r="C276" t="s">
        <v>1045</v>
      </c>
      <c r="D276" t="s">
        <v>1050</v>
      </c>
      <c r="E276">
        <v>3497.14</v>
      </c>
      <c r="F276" s="8">
        <v>46161</v>
      </c>
      <c r="H276" t="str">
        <f>IF(COUNTIF(Customers!$A$2:$A$1001,B276)&gt;0,"Valid","Invalid")</f>
        <v>Valid</v>
      </c>
      <c r="I276" t="str">
        <f t="shared" si="4"/>
        <v>Valid</v>
      </c>
      <c r="K276" t="str">
        <f>VLOOKUP(B276,Customers!A:G,7,FALSE)</f>
        <v>SME</v>
      </c>
    </row>
    <row r="277" spans="1:11" x14ac:dyDescent="0.25">
      <c r="A277" t="s">
        <v>1326</v>
      </c>
      <c r="B277" t="s">
        <v>314</v>
      </c>
      <c r="C277" t="s">
        <v>1045</v>
      </c>
      <c r="D277" t="s">
        <v>1046</v>
      </c>
      <c r="E277">
        <v>618.21</v>
      </c>
      <c r="F277" s="8">
        <v>45913</v>
      </c>
      <c r="H277" t="str">
        <f>IF(COUNTIF(Customers!$A$2:$A$1001,B277)&gt;0,"Valid","Invalid")</f>
        <v>Valid</v>
      </c>
      <c r="I277" t="str">
        <f t="shared" si="4"/>
        <v>Valid</v>
      </c>
      <c r="K277" t="str">
        <f>VLOOKUP(B277,Customers!A:G,7,FALSE)</f>
        <v>Corporate</v>
      </c>
    </row>
    <row r="278" spans="1:11" x14ac:dyDescent="0.25">
      <c r="A278" t="s">
        <v>1327</v>
      </c>
      <c r="B278" t="s">
        <v>315</v>
      </c>
      <c r="C278" t="s">
        <v>17</v>
      </c>
      <c r="D278" t="s">
        <v>1068</v>
      </c>
      <c r="E278">
        <v>3592.59</v>
      </c>
      <c r="F278" s="8">
        <v>45660</v>
      </c>
      <c r="H278" t="str">
        <f>IF(COUNTIF(Customers!$A$2:$A$1001,B278)&gt;0,"Valid","Invalid")</f>
        <v>Valid</v>
      </c>
      <c r="I278" t="str">
        <f t="shared" si="4"/>
        <v>Valid</v>
      </c>
      <c r="K278" t="str">
        <f>VLOOKUP(B278,Customers!A:G,7,FALSE)</f>
        <v>SME</v>
      </c>
    </row>
    <row r="279" spans="1:11" x14ac:dyDescent="0.25">
      <c r="A279" t="s">
        <v>1328</v>
      </c>
      <c r="B279" t="s">
        <v>316</v>
      </c>
      <c r="C279" t="s">
        <v>1045</v>
      </c>
      <c r="D279" t="s">
        <v>1050</v>
      </c>
      <c r="E279">
        <v>1554.4</v>
      </c>
      <c r="F279" s="8">
        <v>46065</v>
      </c>
      <c r="H279" t="str">
        <f>IF(COUNTIF(Customers!$A$2:$A$1001,B279)&gt;0,"Valid","Invalid")</f>
        <v>Valid</v>
      </c>
      <c r="I279" t="str">
        <f t="shared" si="4"/>
        <v>Valid</v>
      </c>
      <c r="K279" t="str">
        <f>VLOOKUP(B279,Customers!A:G,7,FALSE)</f>
        <v>Individual</v>
      </c>
    </row>
    <row r="280" spans="1:11" x14ac:dyDescent="0.25">
      <c r="A280" t="s">
        <v>1329</v>
      </c>
      <c r="B280" t="s">
        <v>317</v>
      </c>
      <c r="C280" t="s">
        <v>1045</v>
      </c>
      <c r="D280" t="s">
        <v>1050</v>
      </c>
      <c r="E280">
        <v>1853.44</v>
      </c>
      <c r="F280" s="8">
        <v>45185</v>
      </c>
      <c r="H280" t="str">
        <f>IF(COUNTIF(Customers!$A$2:$A$1001,B280)&gt;0,"Valid","Invalid")</f>
        <v>Valid</v>
      </c>
      <c r="I280" t="str">
        <f t="shared" si="4"/>
        <v>Valid</v>
      </c>
      <c r="K280" t="str">
        <f>VLOOKUP(B280,Customers!A:G,7,FALSE)</f>
        <v>Individual</v>
      </c>
    </row>
    <row r="281" spans="1:11" x14ac:dyDescent="0.25">
      <c r="A281" t="s">
        <v>1330</v>
      </c>
      <c r="B281" t="s">
        <v>318</v>
      </c>
      <c r="C281" t="s">
        <v>1045</v>
      </c>
      <c r="D281" t="s">
        <v>1050</v>
      </c>
      <c r="E281">
        <v>746.74</v>
      </c>
      <c r="F281" s="8">
        <v>46072</v>
      </c>
      <c r="H281" t="str">
        <f>IF(COUNTIF(Customers!$A$2:$A$1001,B281)&gt;0,"Valid","Invalid")</f>
        <v>Valid</v>
      </c>
      <c r="I281" t="str">
        <f t="shared" si="4"/>
        <v>Valid</v>
      </c>
      <c r="K281" t="str">
        <f>VLOOKUP(B281,Customers!A:G,7,FALSE)</f>
        <v>Individual</v>
      </c>
    </row>
    <row r="282" spans="1:11" x14ac:dyDescent="0.25">
      <c r="A282" t="s">
        <v>1331</v>
      </c>
      <c r="B282" t="s">
        <v>319</v>
      </c>
      <c r="C282" t="s">
        <v>1045</v>
      </c>
      <c r="D282" t="s">
        <v>1068</v>
      </c>
      <c r="E282">
        <v>1211.99</v>
      </c>
      <c r="F282" s="8">
        <v>45225</v>
      </c>
      <c r="H282" t="str">
        <f>IF(COUNTIF(Customers!$A$2:$A$1001,B282)&gt;0,"Valid","Invalid")</f>
        <v>Valid</v>
      </c>
      <c r="I282" t="str">
        <f t="shared" si="4"/>
        <v>Valid</v>
      </c>
      <c r="K282" t="str">
        <f>VLOOKUP(B282,Customers!A:G,7,FALSE)</f>
        <v>Student</v>
      </c>
    </row>
    <row r="283" spans="1:11" x14ac:dyDescent="0.25">
      <c r="A283" t="s">
        <v>1332</v>
      </c>
      <c r="B283" t="s">
        <v>320</v>
      </c>
      <c r="C283" t="s">
        <v>1045</v>
      </c>
      <c r="D283" t="s">
        <v>1068</v>
      </c>
      <c r="E283">
        <v>645.39</v>
      </c>
      <c r="F283" s="8">
        <v>45487</v>
      </c>
      <c r="H283" t="str">
        <f>IF(COUNTIF(Customers!$A$2:$A$1001,B283)&gt;0,"Valid","Invalid")</f>
        <v>Valid</v>
      </c>
      <c r="I283" t="str">
        <f t="shared" si="4"/>
        <v>Valid</v>
      </c>
      <c r="K283" t="str">
        <f>VLOOKUP(B283,Customers!A:G,7,FALSE)</f>
        <v>Individual</v>
      </c>
    </row>
    <row r="284" spans="1:11" x14ac:dyDescent="0.25">
      <c r="A284" t="s">
        <v>1333</v>
      </c>
      <c r="B284" t="s">
        <v>321</v>
      </c>
      <c r="C284" t="s">
        <v>1049</v>
      </c>
      <c r="D284" t="s">
        <v>1050</v>
      </c>
      <c r="E284">
        <v>615.1</v>
      </c>
      <c r="F284" s="8">
        <v>45223</v>
      </c>
      <c r="H284" t="str">
        <f>IF(COUNTIF(Customers!$A$2:$A$1001,B284)&gt;0,"Valid","Invalid")</f>
        <v>Valid</v>
      </c>
      <c r="I284" t="str">
        <f t="shared" si="4"/>
        <v>Valid</v>
      </c>
      <c r="K284" t="str">
        <f>VLOOKUP(B284,Customers!A:G,7,FALSE)</f>
        <v>SME</v>
      </c>
    </row>
    <row r="285" spans="1:11" x14ac:dyDescent="0.25">
      <c r="A285" t="s">
        <v>1334</v>
      </c>
      <c r="B285" t="s">
        <v>322</v>
      </c>
      <c r="C285" t="s">
        <v>1045</v>
      </c>
      <c r="D285" t="s">
        <v>1050</v>
      </c>
      <c r="E285">
        <v>2636.19</v>
      </c>
      <c r="F285" s="8">
        <v>45288</v>
      </c>
      <c r="H285" t="str">
        <f>IF(COUNTIF(Customers!$A$2:$A$1001,B285)&gt;0,"Valid","Invalid")</f>
        <v>Valid</v>
      </c>
      <c r="I285" t="str">
        <f t="shared" si="4"/>
        <v>Valid</v>
      </c>
      <c r="K285" t="str">
        <f>VLOOKUP(B285,Customers!A:G,7,FALSE)</f>
        <v>Individual</v>
      </c>
    </row>
    <row r="286" spans="1:11" x14ac:dyDescent="0.25">
      <c r="A286" t="s">
        <v>1335</v>
      </c>
      <c r="B286" t="s">
        <v>323</v>
      </c>
      <c r="C286" t="s">
        <v>1045</v>
      </c>
      <c r="D286" t="s">
        <v>1046</v>
      </c>
      <c r="E286">
        <v>1267.5999999999999</v>
      </c>
      <c r="F286" s="8">
        <v>45515</v>
      </c>
      <c r="H286" t="str">
        <f>IF(COUNTIF(Customers!$A$2:$A$1001,B286)&gt;0,"Valid","Invalid")</f>
        <v>Valid</v>
      </c>
      <c r="I286" t="str">
        <f t="shared" si="4"/>
        <v>Valid</v>
      </c>
      <c r="K286" t="str">
        <f>VLOOKUP(B286,Customers!A:G,7,FALSE)</f>
        <v>SME</v>
      </c>
    </row>
    <row r="287" spans="1:11" x14ac:dyDescent="0.25">
      <c r="A287" t="s">
        <v>1336</v>
      </c>
      <c r="B287" t="s">
        <v>324</v>
      </c>
      <c r="C287" t="s">
        <v>1056</v>
      </c>
      <c r="D287" t="s">
        <v>1050</v>
      </c>
      <c r="E287">
        <v>492.93</v>
      </c>
      <c r="F287" s="8">
        <v>45053</v>
      </c>
      <c r="H287" t="str">
        <f>IF(COUNTIF(Customers!$A$2:$A$1001,B287)&gt;0,"Valid","Invalid")</f>
        <v>Valid</v>
      </c>
      <c r="I287" t="str">
        <f t="shared" si="4"/>
        <v>Valid</v>
      </c>
      <c r="K287" t="str">
        <f>VLOOKUP(B287,Customers!A:G,7,FALSE)</f>
        <v>Individual</v>
      </c>
    </row>
    <row r="288" spans="1:11" x14ac:dyDescent="0.25">
      <c r="A288" t="s">
        <v>1337</v>
      </c>
      <c r="B288" t="s">
        <v>325</v>
      </c>
      <c r="C288" t="s">
        <v>1045</v>
      </c>
      <c r="D288" t="s">
        <v>1046</v>
      </c>
      <c r="E288">
        <v>15947.42</v>
      </c>
      <c r="F288" s="8">
        <v>45123</v>
      </c>
      <c r="H288" t="str">
        <f>IF(COUNTIF(Customers!$A$2:$A$1001,B288)&gt;0,"Valid","Invalid")</f>
        <v>Valid</v>
      </c>
      <c r="I288" t="str">
        <f t="shared" si="4"/>
        <v>Valid</v>
      </c>
      <c r="K288" t="str">
        <f>VLOOKUP(B288,Customers!A:G,7,FALSE)</f>
        <v>Corporate</v>
      </c>
    </row>
    <row r="289" spans="1:11" x14ac:dyDescent="0.25">
      <c r="A289" t="s">
        <v>1338</v>
      </c>
      <c r="B289" t="s">
        <v>326</v>
      </c>
      <c r="C289" t="s">
        <v>1049</v>
      </c>
      <c r="D289" t="s">
        <v>1073</v>
      </c>
      <c r="E289">
        <v>587.19000000000005</v>
      </c>
      <c r="F289" s="8">
        <v>45147</v>
      </c>
      <c r="H289" t="str">
        <f>IF(COUNTIF(Customers!$A$2:$A$1001,B289)&gt;0,"Valid","Invalid")</f>
        <v>Valid</v>
      </c>
      <c r="I289" t="str">
        <f t="shared" si="4"/>
        <v>Valid</v>
      </c>
      <c r="K289" t="str">
        <f>VLOOKUP(B289,Customers!A:G,7,FALSE)</f>
        <v>Student</v>
      </c>
    </row>
    <row r="290" spans="1:11" x14ac:dyDescent="0.25">
      <c r="A290" t="s">
        <v>1339</v>
      </c>
      <c r="B290" t="s">
        <v>327</v>
      </c>
      <c r="C290" t="s">
        <v>1049</v>
      </c>
      <c r="D290" t="s">
        <v>1050</v>
      </c>
      <c r="E290">
        <v>5388.93</v>
      </c>
      <c r="F290" s="8">
        <v>45921</v>
      </c>
      <c r="H290" t="str">
        <f>IF(COUNTIF(Customers!$A$2:$A$1001,B290)&gt;0,"Valid","Invalid")</f>
        <v>Valid</v>
      </c>
      <c r="I290" t="str">
        <f t="shared" si="4"/>
        <v>Valid</v>
      </c>
      <c r="K290" t="str">
        <f>VLOOKUP(B290,Customers!A:G,7,FALSE)</f>
        <v>Individual</v>
      </c>
    </row>
    <row r="291" spans="1:11" x14ac:dyDescent="0.25">
      <c r="A291" t="s">
        <v>1340</v>
      </c>
      <c r="B291" t="s">
        <v>328</v>
      </c>
      <c r="C291" t="s">
        <v>1045</v>
      </c>
      <c r="D291" t="s">
        <v>1050</v>
      </c>
      <c r="E291">
        <v>413.04</v>
      </c>
      <c r="F291" s="8">
        <v>45017</v>
      </c>
      <c r="H291" t="str">
        <f>IF(COUNTIF(Customers!$A$2:$A$1001,B291)&gt;0,"Valid","Invalid")</f>
        <v>Valid</v>
      </c>
      <c r="I291" t="str">
        <f t="shared" si="4"/>
        <v>Valid</v>
      </c>
      <c r="K291" t="str">
        <f>VLOOKUP(B291,Customers!A:G,7,FALSE)</f>
        <v>Individual</v>
      </c>
    </row>
    <row r="292" spans="1:11" x14ac:dyDescent="0.25">
      <c r="A292" t="s">
        <v>1341</v>
      </c>
      <c r="B292" t="s">
        <v>329</v>
      </c>
      <c r="C292" t="s">
        <v>1049</v>
      </c>
      <c r="D292" t="s">
        <v>1050</v>
      </c>
      <c r="E292">
        <v>2854.07</v>
      </c>
      <c r="F292" s="8">
        <v>45337</v>
      </c>
      <c r="H292" t="str">
        <f>IF(COUNTIF(Customers!$A$2:$A$1001,B292)&gt;0,"Valid","Invalid")</f>
        <v>Valid</v>
      </c>
      <c r="I292" t="str">
        <f t="shared" si="4"/>
        <v>Valid</v>
      </c>
      <c r="K292" t="str">
        <f>VLOOKUP(B292,Customers!A:G,7,FALSE)</f>
        <v>Individual</v>
      </c>
    </row>
    <row r="293" spans="1:11" x14ac:dyDescent="0.25">
      <c r="A293" t="s">
        <v>1342</v>
      </c>
      <c r="B293" t="s">
        <v>330</v>
      </c>
      <c r="C293" t="s">
        <v>1045</v>
      </c>
      <c r="D293" t="s">
        <v>1050</v>
      </c>
      <c r="E293">
        <v>1407.32</v>
      </c>
      <c r="F293" s="8">
        <v>44934</v>
      </c>
      <c r="H293" t="str">
        <f>IF(COUNTIF(Customers!$A$2:$A$1001,B293)&gt;0,"Valid","Invalid")</f>
        <v>Valid</v>
      </c>
      <c r="I293" t="str">
        <f t="shared" si="4"/>
        <v>Valid</v>
      </c>
      <c r="K293" t="str">
        <f>VLOOKUP(B293,Customers!A:G,7,FALSE)</f>
        <v>SME</v>
      </c>
    </row>
    <row r="294" spans="1:11" x14ac:dyDescent="0.25">
      <c r="A294" t="s">
        <v>1343</v>
      </c>
      <c r="B294" t="s">
        <v>331</v>
      </c>
      <c r="C294" t="s">
        <v>17</v>
      </c>
      <c r="D294" t="s">
        <v>1050</v>
      </c>
      <c r="E294">
        <v>963.86</v>
      </c>
      <c r="F294" s="8">
        <v>45470</v>
      </c>
      <c r="H294" t="str">
        <f>IF(COUNTIF(Customers!$A$2:$A$1001,B294)&gt;0,"Valid","Invalid")</f>
        <v>Valid</v>
      </c>
      <c r="I294" t="str">
        <f t="shared" si="4"/>
        <v>Valid</v>
      </c>
      <c r="K294" t="str">
        <f>VLOOKUP(B294,Customers!A:G,7,FALSE)</f>
        <v>SME</v>
      </c>
    </row>
    <row r="295" spans="1:11" x14ac:dyDescent="0.25">
      <c r="A295" t="s">
        <v>1344</v>
      </c>
      <c r="B295" t="s">
        <v>332</v>
      </c>
      <c r="C295" t="s">
        <v>1045</v>
      </c>
      <c r="D295" t="s">
        <v>1046</v>
      </c>
      <c r="E295">
        <v>2201.17</v>
      </c>
      <c r="F295" s="8">
        <v>45394</v>
      </c>
      <c r="H295" t="str">
        <f>IF(COUNTIF(Customers!$A$2:$A$1001,B295)&gt;0,"Valid","Invalid")</f>
        <v>Valid</v>
      </c>
      <c r="I295" t="str">
        <f t="shared" si="4"/>
        <v>Valid</v>
      </c>
      <c r="K295" t="str">
        <f>VLOOKUP(B295,Customers!A:G,7,FALSE)</f>
        <v>Student</v>
      </c>
    </row>
    <row r="296" spans="1:11" x14ac:dyDescent="0.25">
      <c r="A296" t="s">
        <v>1345</v>
      </c>
      <c r="B296" t="s">
        <v>333</v>
      </c>
      <c r="C296" t="s">
        <v>17</v>
      </c>
      <c r="D296" t="s">
        <v>1073</v>
      </c>
      <c r="E296">
        <v>1924.19</v>
      </c>
      <c r="F296" s="8">
        <v>45246</v>
      </c>
      <c r="H296" t="str">
        <f>IF(COUNTIF(Customers!$A$2:$A$1001,B296)&gt;0,"Valid","Invalid")</f>
        <v>Valid</v>
      </c>
      <c r="I296" t="str">
        <f t="shared" si="4"/>
        <v>Valid</v>
      </c>
      <c r="K296" t="str">
        <f>VLOOKUP(B296,Customers!A:G,7,FALSE)</f>
        <v>Individual</v>
      </c>
    </row>
    <row r="297" spans="1:11" x14ac:dyDescent="0.25">
      <c r="A297" t="s">
        <v>1346</v>
      </c>
      <c r="B297" t="s">
        <v>334</v>
      </c>
      <c r="C297" t="s">
        <v>1049</v>
      </c>
      <c r="D297" t="s">
        <v>1068</v>
      </c>
      <c r="E297">
        <v>802.34</v>
      </c>
      <c r="F297" s="8">
        <v>45195</v>
      </c>
      <c r="H297" t="str">
        <f>IF(COUNTIF(Customers!$A$2:$A$1001,B297)&gt;0,"Valid","Invalid")</f>
        <v>Valid</v>
      </c>
      <c r="I297" t="str">
        <f t="shared" si="4"/>
        <v>Valid</v>
      </c>
      <c r="K297" t="str">
        <f>VLOOKUP(B297,Customers!A:G,7,FALSE)</f>
        <v>Individual</v>
      </c>
    </row>
    <row r="298" spans="1:11" x14ac:dyDescent="0.25">
      <c r="A298" t="s">
        <v>1347</v>
      </c>
      <c r="B298" t="s">
        <v>335</v>
      </c>
      <c r="C298" t="s">
        <v>1045</v>
      </c>
      <c r="D298" t="s">
        <v>1050</v>
      </c>
      <c r="E298">
        <v>766.83</v>
      </c>
      <c r="F298" s="8">
        <v>46141</v>
      </c>
      <c r="H298" t="str">
        <f>IF(COUNTIF(Customers!$A$2:$A$1001,B298)&gt;0,"Valid","Invalid")</f>
        <v>Valid</v>
      </c>
      <c r="I298" t="str">
        <f t="shared" si="4"/>
        <v>Valid</v>
      </c>
      <c r="K298" t="str">
        <f>VLOOKUP(B298,Customers!A:G,7,FALSE)</f>
        <v>Individual</v>
      </c>
    </row>
    <row r="299" spans="1:11" x14ac:dyDescent="0.25">
      <c r="A299" t="s">
        <v>1348</v>
      </c>
      <c r="B299" t="s">
        <v>336</v>
      </c>
      <c r="C299" t="s">
        <v>1056</v>
      </c>
      <c r="D299" t="s">
        <v>1073</v>
      </c>
      <c r="E299">
        <v>374.69</v>
      </c>
      <c r="F299" s="8">
        <v>44987</v>
      </c>
      <c r="H299" t="str">
        <f>IF(COUNTIF(Customers!$A$2:$A$1001,B299)&gt;0,"Valid","Invalid")</f>
        <v>Valid</v>
      </c>
      <c r="I299" t="str">
        <f t="shared" si="4"/>
        <v>Valid</v>
      </c>
      <c r="K299" t="str">
        <f>VLOOKUP(B299,Customers!A:G,7,FALSE)</f>
        <v>SME</v>
      </c>
    </row>
    <row r="300" spans="1:11" x14ac:dyDescent="0.25">
      <c r="A300" t="s">
        <v>1349</v>
      </c>
      <c r="B300" t="s">
        <v>337</v>
      </c>
      <c r="C300" t="s">
        <v>17</v>
      </c>
      <c r="D300" t="s">
        <v>1046</v>
      </c>
      <c r="E300">
        <v>2454.2199999999998</v>
      </c>
      <c r="F300" s="8">
        <v>45723</v>
      </c>
      <c r="H300" t="str">
        <f>IF(COUNTIF(Customers!$A$2:$A$1001,B300)&gt;0,"Valid","Invalid")</f>
        <v>Valid</v>
      </c>
      <c r="I300" t="str">
        <f t="shared" si="4"/>
        <v>Valid</v>
      </c>
      <c r="K300" t="str">
        <f>VLOOKUP(B300,Customers!A:G,7,FALSE)</f>
        <v>SME</v>
      </c>
    </row>
    <row r="301" spans="1:11" x14ac:dyDescent="0.25">
      <c r="A301" t="s">
        <v>1350</v>
      </c>
      <c r="B301" t="s">
        <v>338</v>
      </c>
      <c r="C301" t="s">
        <v>1049</v>
      </c>
      <c r="D301" t="s">
        <v>1050</v>
      </c>
      <c r="E301">
        <v>516.04999999999995</v>
      </c>
      <c r="F301" s="8">
        <v>46045</v>
      </c>
      <c r="H301" t="str">
        <f>IF(COUNTIF(Customers!$A$2:$A$1001,B301)&gt;0,"Valid","Invalid")</f>
        <v>Valid</v>
      </c>
      <c r="I301" t="str">
        <f t="shared" si="4"/>
        <v>Valid</v>
      </c>
      <c r="K301" t="str">
        <f>VLOOKUP(B301,Customers!A:G,7,FALSE)</f>
        <v>Individual</v>
      </c>
    </row>
    <row r="302" spans="1:11" x14ac:dyDescent="0.25">
      <c r="A302" t="s">
        <v>1351</v>
      </c>
      <c r="B302" t="s">
        <v>339</v>
      </c>
      <c r="C302" t="s">
        <v>1045</v>
      </c>
      <c r="D302" t="s">
        <v>1050</v>
      </c>
      <c r="E302">
        <v>1815.24</v>
      </c>
      <c r="F302" s="8">
        <v>45479</v>
      </c>
      <c r="H302" t="str">
        <f>IF(COUNTIF(Customers!$A$2:$A$1001,B302)&gt;0,"Valid","Invalid")</f>
        <v>Valid</v>
      </c>
      <c r="I302" t="str">
        <f t="shared" si="4"/>
        <v>Valid</v>
      </c>
      <c r="K302" t="str">
        <f>VLOOKUP(B302,Customers!A:G,7,FALSE)</f>
        <v>SME</v>
      </c>
    </row>
    <row r="303" spans="1:11" x14ac:dyDescent="0.25">
      <c r="A303" t="s">
        <v>1352</v>
      </c>
      <c r="B303" t="s">
        <v>340</v>
      </c>
      <c r="C303" t="s">
        <v>1056</v>
      </c>
      <c r="D303" t="s">
        <v>1050</v>
      </c>
      <c r="E303">
        <v>3269.78</v>
      </c>
      <c r="F303" s="8">
        <v>45852</v>
      </c>
      <c r="H303" t="str">
        <f>IF(COUNTIF(Customers!$A$2:$A$1001,B303)&gt;0,"Valid","Invalid")</f>
        <v>Valid</v>
      </c>
      <c r="I303" t="str">
        <f t="shared" si="4"/>
        <v>Valid</v>
      </c>
      <c r="K303" t="str">
        <f>VLOOKUP(B303,Customers!A:G,7,FALSE)</f>
        <v>Individual</v>
      </c>
    </row>
    <row r="304" spans="1:11" x14ac:dyDescent="0.25">
      <c r="A304" t="s">
        <v>1353</v>
      </c>
      <c r="B304" t="s">
        <v>341</v>
      </c>
      <c r="C304" t="s">
        <v>1045</v>
      </c>
      <c r="D304" t="s">
        <v>1073</v>
      </c>
      <c r="E304">
        <v>2226.21</v>
      </c>
      <c r="F304" s="8">
        <v>45587</v>
      </c>
      <c r="H304" t="str">
        <f>IF(COUNTIF(Customers!$A$2:$A$1001,B304)&gt;0,"Valid","Invalid")</f>
        <v>Valid</v>
      </c>
      <c r="I304" t="str">
        <f t="shared" si="4"/>
        <v>Valid</v>
      </c>
      <c r="K304" t="str">
        <f>VLOOKUP(B304,Customers!A:G,7,FALSE)</f>
        <v>SME</v>
      </c>
    </row>
    <row r="305" spans="1:11" x14ac:dyDescent="0.25">
      <c r="A305" t="s">
        <v>1354</v>
      </c>
      <c r="B305" t="s">
        <v>342</v>
      </c>
      <c r="C305" t="s">
        <v>1045</v>
      </c>
      <c r="D305" t="s">
        <v>1050</v>
      </c>
      <c r="E305">
        <v>877.32</v>
      </c>
      <c r="F305" s="8">
        <v>45642</v>
      </c>
      <c r="H305" t="str">
        <f>IF(COUNTIF(Customers!$A$2:$A$1001,B305)&gt;0,"Valid","Invalid")</f>
        <v>Valid</v>
      </c>
      <c r="I305" t="str">
        <f t="shared" si="4"/>
        <v>Valid</v>
      </c>
      <c r="K305" t="str">
        <f>VLOOKUP(B305,Customers!A:G,7,FALSE)</f>
        <v>Individual</v>
      </c>
    </row>
    <row r="306" spans="1:11" x14ac:dyDescent="0.25">
      <c r="A306" t="s">
        <v>1355</v>
      </c>
      <c r="B306" t="s">
        <v>343</v>
      </c>
      <c r="C306" t="s">
        <v>1045</v>
      </c>
      <c r="D306" t="s">
        <v>1046</v>
      </c>
      <c r="E306">
        <v>4486.43</v>
      </c>
      <c r="F306" s="8">
        <v>45705</v>
      </c>
      <c r="H306" t="str">
        <f>IF(COUNTIF(Customers!$A$2:$A$1001,B306)&gt;0,"Valid","Invalid")</f>
        <v>Valid</v>
      </c>
      <c r="I306" t="str">
        <f t="shared" si="4"/>
        <v>Valid</v>
      </c>
      <c r="K306" t="str">
        <f>VLOOKUP(B306,Customers!A:G,7,FALSE)</f>
        <v>SME</v>
      </c>
    </row>
    <row r="307" spans="1:11" x14ac:dyDescent="0.25">
      <c r="A307" t="s">
        <v>1356</v>
      </c>
      <c r="B307" t="s">
        <v>344</v>
      </c>
      <c r="C307" t="s">
        <v>1045</v>
      </c>
      <c r="D307" t="s">
        <v>1050</v>
      </c>
      <c r="E307">
        <v>1202.3399999999999</v>
      </c>
      <c r="F307" s="8">
        <v>45120</v>
      </c>
      <c r="H307" t="str">
        <f>IF(COUNTIF(Customers!$A$2:$A$1001,B307)&gt;0,"Valid","Invalid")</f>
        <v>Valid</v>
      </c>
      <c r="I307" t="str">
        <f t="shared" si="4"/>
        <v>Valid</v>
      </c>
      <c r="K307" t="str">
        <f>VLOOKUP(B307,Customers!A:G,7,FALSE)</f>
        <v>SME</v>
      </c>
    </row>
    <row r="308" spans="1:11" x14ac:dyDescent="0.25">
      <c r="A308" t="s">
        <v>1357</v>
      </c>
      <c r="B308" t="s">
        <v>345</v>
      </c>
      <c r="C308" t="s">
        <v>1049</v>
      </c>
      <c r="D308" t="s">
        <v>1046</v>
      </c>
      <c r="E308">
        <v>476.2</v>
      </c>
      <c r="F308" s="8">
        <v>45408</v>
      </c>
      <c r="H308" t="str">
        <f>IF(COUNTIF(Customers!$A$2:$A$1001,B308)&gt;0,"Valid","Invalid")</f>
        <v>Valid</v>
      </c>
      <c r="I308" t="str">
        <f t="shared" si="4"/>
        <v>Valid</v>
      </c>
      <c r="K308" t="str">
        <f>VLOOKUP(B308,Customers!A:G,7,FALSE)</f>
        <v>Individual</v>
      </c>
    </row>
    <row r="309" spans="1:11" x14ac:dyDescent="0.25">
      <c r="A309" t="s">
        <v>1358</v>
      </c>
      <c r="B309" t="s">
        <v>346</v>
      </c>
      <c r="C309" t="s">
        <v>1045</v>
      </c>
      <c r="D309" t="s">
        <v>1050</v>
      </c>
      <c r="E309">
        <v>1361.4</v>
      </c>
      <c r="F309" s="8">
        <v>46146</v>
      </c>
      <c r="H309" t="str">
        <f>IF(COUNTIF(Customers!$A$2:$A$1001,B309)&gt;0,"Valid","Invalid")</f>
        <v>Valid</v>
      </c>
      <c r="I309" t="str">
        <f t="shared" si="4"/>
        <v>Valid</v>
      </c>
      <c r="K309" t="str">
        <f>VLOOKUP(B309,Customers!A:G,7,FALSE)</f>
        <v>SME</v>
      </c>
    </row>
    <row r="310" spans="1:11" x14ac:dyDescent="0.25">
      <c r="A310" t="s">
        <v>1359</v>
      </c>
      <c r="B310" t="s">
        <v>347</v>
      </c>
      <c r="C310" t="s">
        <v>1049</v>
      </c>
      <c r="D310" t="s">
        <v>1050</v>
      </c>
      <c r="E310">
        <v>3251.26</v>
      </c>
      <c r="F310" s="8">
        <v>45781</v>
      </c>
      <c r="H310" t="str">
        <f>IF(COUNTIF(Customers!$A$2:$A$1001,B310)&gt;0,"Valid","Invalid")</f>
        <v>Valid</v>
      </c>
      <c r="I310" t="str">
        <f t="shared" si="4"/>
        <v>Valid</v>
      </c>
      <c r="K310" t="str">
        <f>VLOOKUP(B310,Customers!A:G,7,FALSE)</f>
        <v>Individual</v>
      </c>
    </row>
    <row r="311" spans="1:11" x14ac:dyDescent="0.25">
      <c r="A311" t="s">
        <v>1360</v>
      </c>
      <c r="B311" t="s">
        <v>348</v>
      </c>
      <c r="C311" t="s">
        <v>1045</v>
      </c>
      <c r="D311" t="s">
        <v>1050</v>
      </c>
      <c r="E311">
        <v>921.12</v>
      </c>
      <c r="F311" s="8">
        <v>46199</v>
      </c>
      <c r="H311" t="str">
        <f>IF(COUNTIF(Customers!$A$2:$A$1001,B311)&gt;0,"Valid","Invalid")</f>
        <v>Valid</v>
      </c>
      <c r="I311" t="str">
        <f t="shared" si="4"/>
        <v>Valid</v>
      </c>
      <c r="K311" t="str">
        <f>VLOOKUP(B311,Customers!A:G,7,FALSE)</f>
        <v>Individual</v>
      </c>
    </row>
    <row r="312" spans="1:11" x14ac:dyDescent="0.25">
      <c r="A312" t="s">
        <v>1361</v>
      </c>
      <c r="B312" t="s">
        <v>349</v>
      </c>
      <c r="C312" t="s">
        <v>1045</v>
      </c>
      <c r="D312" t="s">
        <v>1050</v>
      </c>
      <c r="E312">
        <v>4351.09</v>
      </c>
      <c r="F312" s="8">
        <v>45424</v>
      </c>
      <c r="H312" t="str">
        <f>IF(COUNTIF(Customers!$A$2:$A$1001,B312)&gt;0,"Valid","Invalid")</f>
        <v>Valid</v>
      </c>
      <c r="I312" t="str">
        <f t="shared" si="4"/>
        <v>Valid</v>
      </c>
      <c r="K312" t="str">
        <f>VLOOKUP(B312,Customers!A:G,7,FALSE)</f>
        <v>Individual</v>
      </c>
    </row>
    <row r="313" spans="1:11" x14ac:dyDescent="0.25">
      <c r="A313" t="s">
        <v>1362</v>
      </c>
      <c r="B313" t="s">
        <v>350</v>
      </c>
      <c r="C313" t="s">
        <v>1045</v>
      </c>
      <c r="D313" t="s">
        <v>1046</v>
      </c>
      <c r="E313">
        <v>836.87</v>
      </c>
      <c r="F313" s="8">
        <v>45138</v>
      </c>
      <c r="H313" t="str">
        <f>IF(COUNTIF(Customers!$A$2:$A$1001,B313)&gt;0,"Valid","Invalid")</f>
        <v>Valid</v>
      </c>
      <c r="I313" t="str">
        <f t="shared" si="4"/>
        <v>Valid</v>
      </c>
      <c r="K313" t="str">
        <f>VLOOKUP(B313,Customers!A:G,7,FALSE)</f>
        <v>Corporate</v>
      </c>
    </row>
    <row r="314" spans="1:11" x14ac:dyDescent="0.25">
      <c r="A314" t="s">
        <v>1363</v>
      </c>
      <c r="B314" t="s">
        <v>351</v>
      </c>
      <c r="C314" t="s">
        <v>1045</v>
      </c>
      <c r="D314" t="s">
        <v>1050</v>
      </c>
      <c r="E314">
        <v>958.9</v>
      </c>
      <c r="F314" s="8">
        <v>45591</v>
      </c>
      <c r="H314" t="str">
        <f>IF(COUNTIF(Customers!$A$2:$A$1001,B314)&gt;0,"Valid","Invalid")</f>
        <v>Valid</v>
      </c>
      <c r="I314" t="str">
        <f t="shared" si="4"/>
        <v>Valid</v>
      </c>
      <c r="K314" t="str">
        <f>VLOOKUP(B314,Customers!A:G,7,FALSE)</f>
        <v>SME</v>
      </c>
    </row>
    <row r="315" spans="1:11" x14ac:dyDescent="0.25">
      <c r="A315" t="s">
        <v>1364</v>
      </c>
      <c r="B315" t="s">
        <v>352</v>
      </c>
      <c r="C315" t="s">
        <v>1045</v>
      </c>
      <c r="D315" t="s">
        <v>1050</v>
      </c>
      <c r="E315">
        <v>635.19000000000005</v>
      </c>
      <c r="F315" s="8">
        <v>45596</v>
      </c>
      <c r="H315" t="str">
        <f>IF(COUNTIF(Customers!$A$2:$A$1001,B315)&gt;0,"Valid","Invalid")</f>
        <v>Valid</v>
      </c>
      <c r="I315" t="str">
        <f t="shared" si="4"/>
        <v>Valid</v>
      </c>
      <c r="K315" t="str">
        <f>VLOOKUP(B315,Customers!A:G,7,FALSE)</f>
        <v>SME</v>
      </c>
    </row>
    <row r="316" spans="1:11" x14ac:dyDescent="0.25">
      <c r="A316" t="s">
        <v>1365</v>
      </c>
      <c r="B316" t="s">
        <v>353</v>
      </c>
      <c r="C316" t="s">
        <v>1045</v>
      </c>
      <c r="D316" t="s">
        <v>1050</v>
      </c>
      <c r="E316">
        <v>3582.12</v>
      </c>
      <c r="F316" s="8">
        <v>45147</v>
      </c>
      <c r="H316" t="str">
        <f>IF(COUNTIF(Customers!$A$2:$A$1001,B316)&gt;0,"Valid","Invalid")</f>
        <v>Valid</v>
      </c>
      <c r="I316" t="str">
        <f t="shared" si="4"/>
        <v>Valid</v>
      </c>
      <c r="K316" t="str">
        <f>VLOOKUP(B316,Customers!A:G,7,FALSE)</f>
        <v>SME</v>
      </c>
    </row>
    <row r="317" spans="1:11" x14ac:dyDescent="0.25">
      <c r="A317" t="s">
        <v>1366</v>
      </c>
      <c r="B317" t="s">
        <v>354</v>
      </c>
      <c r="C317" t="s">
        <v>1056</v>
      </c>
      <c r="D317" t="s">
        <v>1050</v>
      </c>
      <c r="E317">
        <v>1714.3</v>
      </c>
      <c r="F317" s="8">
        <v>45199</v>
      </c>
      <c r="H317" t="str">
        <f>IF(COUNTIF(Customers!$A$2:$A$1001,B317)&gt;0,"Valid","Invalid")</f>
        <v>Valid</v>
      </c>
      <c r="I317" t="str">
        <f t="shared" si="4"/>
        <v>Valid</v>
      </c>
      <c r="K317" t="str">
        <f>VLOOKUP(B317,Customers!A:G,7,FALSE)</f>
        <v>Individual</v>
      </c>
    </row>
    <row r="318" spans="1:11" x14ac:dyDescent="0.25">
      <c r="A318" t="s">
        <v>1367</v>
      </c>
      <c r="B318" t="s">
        <v>355</v>
      </c>
      <c r="C318" t="s">
        <v>1045</v>
      </c>
      <c r="D318" t="s">
        <v>1050</v>
      </c>
      <c r="E318">
        <v>678.74</v>
      </c>
      <c r="F318" s="8">
        <v>46104</v>
      </c>
      <c r="H318" t="str">
        <f>IF(COUNTIF(Customers!$A$2:$A$1001,B318)&gt;0,"Valid","Invalid")</f>
        <v>Valid</v>
      </c>
      <c r="I318" t="str">
        <f t="shared" si="4"/>
        <v>Valid</v>
      </c>
      <c r="K318" t="str">
        <f>VLOOKUP(B318,Customers!A:G,7,FALSE)</f>
        <v>Corporate</v>
      </c>
    </row>
    <row r="319" spans="1:11" x14ac:dyDescent="0.25">
      <c r="A319" t="s">
        <v>1368</v>
      </c>
      <c r="B319" t="s">
        <v>356</v>
      </c>
      <c r="C319" t="s">
        <v>1045</v>
      </c>
      <c r="D319" t="s">
        <v>1050</v>
      </c>
      <c r="E319">
        <v>1216.57</v>
      </c>
      <c r="F319" s="8">
        <v>46199</v>
      </c>
      <c r="H319" t="str">
        <f>IF(COUNTIF(Customers!$A$2:$A$1001,B319)&gt;0,"Valid","Invalid")</f>
        <v>Valid</v>
      </c>
      <c r="I319" t="str">
        <f t="shared" si="4"/>
        <v>Valid</v>
      </c>
      <c r="K319" t="str">
        <f>VLOOKUP(B319,Customers!A:G,7,FALSE)</f>
        <v>Individual</v>
      </c>
    </row>
    <row r="320" spans="1:11" x14ac:dyDescent="0.25">
      <c r="A320" t="s">
        <v>1369</v>
      </c>
      <c r="B320" t="s">
        <v>357</v>
      </c>
      <c r="C320" t="s">
        <v>1045</v>
      </c>
      <c r="D320" t="s">
        <v>1073</v>
      </c>
      <c r="E320">
        <v>83.83</v>
      </c>
      <c r="F320" s="8">
        <v>45205</v>
      </c>
      <c r="H320" t="str">
        <f>IF(COUNTIF(Customers!$A$2:$A$1001,B320)&gt;0,"Valid","Invalid")</f>
        <v>Valid</v>
      </c>
      <c r="I320" t="str">
        <f t="shared" si="4"/>
        <v>Valid</v>
      </c>
      <c r="K320" t="str">
        <f>VLOOKUP(B320,Customers!A:G,7,FALSE)</f>
        <v>Individual</v>
      </c>
    </row>
    <row r="321" spans="1:11" x14ac:dyDescent="0.25">
      <c r="A321" t="s">
        <v>1370</v>
      </c>
      <c r="B321" t="s">
        <v>358</v>
      </c>
      <c r="C321" t="s">
        <v>1049</v>
      </c>
      <c r="D321" t="s">
        <v>1050</v>
      </c>
      <c r="E321">
        <v>3936.21</v>
      </c>
      <c r="F321" s="8">
        <v>45742</v>
      </c>
      <c r="H321" t="str">
        <f>IF(COUNTIF(Customers!$A$2:$A$1001,B321)&gt;0,"Valid","Invalid")</f>
        <v>Valid</v>
      </c>
      <c r="I321" t="str">
        <f t="shared" si="4"/>
        <v>Valid</v>
      </c>
      <c r="K321" t="str">
        <f>VLOOKUP(B321,Customers!A:G,7,FALSE)</f>
        <v>Individual</v>
      </c>
    </row>
    <row r="322" spans="1:11" x14ac:dyDescent="0.25">
      <c r="A322" t="s">
        <v>1371</v>
      </c>
      <c r="B322" t="s">
        <v>359</v>
      </c>
      <c r="C322" t="s">
        <v>1049</v>
      </c>
      <c r="D322" t="s">
        <v>1046</v>
      </c>
      <c r="E322">
        <v>1524.24</v>
      </c>
      <c r="F322" s="8">
        <v>45202</v>
      </c>
      <c r="H322" t="str">
        <f>IF(COUNTIF(Customers!$A$2:$A$1001,B322)&gt;0,"Valid","Invalid")</f>
        <v>Valid</v>
      </c>
      <c r="I322" t="str">
        <f t="shared" si="4"/>
        <v>Valid</v>
      </c>
      <c r="K322" t="str">
        <f>VLOOKUP(B322,Customers!A:G,7,FALSE)</f>
        <v>SME</v>
      </c>
    </row>
    <row r="323" spans="1:11" x14ac:dyDescent="0.25">
      <c r="A323" t="s">
        <v>1372</v>
      </c>
      <c r="B323" t="s">
        <v>360</v>
      </c>
      <c r="C323" t="s">
        <v>1045</v>
      </c>
      <c r="D323" t="s">
        <v>1068</v>
      </c>
      <c r="E323">
        <v>163</v>
      </c>
      <c r="F323" s="8">
        <v>45931</v>
      </c>
      <c r="H323" t="str">
        <f>IF(COUNTIF(Customers!$A$2:$A$1001,B323)&gt;0,"Valid","Invalid")</f>
        <v>Valid</v>
      </c>
      <c r="I323" t="str">
        <f t="shared" ref="I323:I386" si="5">IF(OR(C323="Savings",C323="Current",C323="Business",C323="Student"),"Valid","Check")</f>
        <v>Valid</v>
      </c>
      <c r="K323" t="str">
        <f>VLOOKUP(B323,Customers!A:G,7,FALSE)</f>
        <v>SME</v>
      </c>
    </row>
    <row r="324" spans="1:11" x14ac:dyDescent="0.25">
      <c r="A324" t="s">
        <v>1373</v>
      </c>
      <c r="B324" t="s">
        <v>361</v>
      </c>
      <c r="C324" t="s">
        <v>1045</v>
      </c>
      <c r="D324" t="s">
        <v>1050</v>
      </c>
      <c r="E324">
        <v>421.29</v>
      </c>
      <c r="F324" s="8">
        <v>45440</v>
      </c>
      <c r="H324" t="str">
        <f>IF(COUNTIF(Customers!$A$2:$A$1001,B324)&gt;0,"Valid","Invalid")</f>
        <v>Valid</v>
      </c>
      <c r="I324" t="str">
        <f t="shared" si="5"/>
        <v>Valid</v>
      </c>
      <c r="K324" t="str">
        <f>VLOOKUP(B324,Customers!A:G,7,FALSE)</f>
        <v>Individual</v>
      </c>
    </row>
    <row r="325" spans="1:11" x14ac:dyDescent="0.25">
      <c r="A325" t="s">
        <v>1374</v>
      </c>
      <c r="B325" t="s">
        <v>362</v>
      </c>
      <c r="C325" t="s">
        <v>1045</v>
      </c>
      <c r="D325" t="s">
        <v>1050</v>
      </c>
      <c r="E325">
        <v>1186.08</v>
      </c>
      <c r="F325" s="8">
        <v>46038</v>
      </c>
      <c r="H325" t="str">
        <f>IF(COUNTIF(Customers!$A$2:$A$1001,B325)&gt;0,"Valid","Invalid")</f>
        <v>Valid</v>
      </c>
      <c r="I325" t="str">
        <f t="shared" si="5"/>
        <v>Valid</v>
      </c>
      <c r="K325" t="str">
        <f>VLOOKUP(B325,Customers!A:G,7,FALSE)</f>
        <v>Student</v>
      </c>
    </row>
    <row r="326" spans="1:11" x14ac:dyDescent="0.25">
      <c r="A326" t="s">
        <v>1375</v>
      </c>
      <c r="B326" t="s">
        <v>363</v>
      </c>
      <c r="C326" t="s">
        <v>17</v>
      </c>
      <c r="D326" t="s">
        <v>1050</v>
      </c>
      <c r="E326">
        <v>485.82</v>
      </c>
      <c r="F326" s="8">
        <v>45849</v>
      </c>
      <c r="H326" t="str">
        <f>IF(COUNTIF(Customers!$A$2:$A$1001,B326)&gt;0,"Valid","Invalid")</f>
        <v>Valid</v>
      </c>
      <c r="I326" t="str">
        <f t="shared" si="5"/>
        <v>Valid</v>
      </c>
      <c r="K326" t="str">
        <f>VLOOKUP(B326,Customers!A:G,7,FALSE)</f>
        <v>SME</v>
      </c>
    </row>
    <row r="327" spans="1:11" x14ac:dyDescent="0.25">
      <c r="A327" t="s">
        <v>1376</v>
      </c>
      <c r="B327" t="s">
        <v>364</v>
      </c>
      <c r="C327" t="s">
        <v>1045</v>
      </c>
      <c r="D327" t="s">
        <v>1068</v>
      </c>
      <c r="E327">
        <v>3997.2</v>
      </c>
      <c r="F327" s="8">
        <v>45568</v>
      </c>
      <c r="H327" t="str">
        <f>IF(COUNTIF(Customers!$A$2:$A$1001,B327)&gt;0,"Valid","Invalid")</f>
        <v>Valid</v>
      </c>
      <c r="I327" t="str">
        <f t="shared" si="5"/>
        <v>Valid</v>
      </c>
      <c r="K327" t="str">
        <f>VLOOKUP(B327,Customers!A:G,7,FALSE)</f>
        <v>Student</v>
      </c>
    </row>
    <row r="328" spans="1:11" x14ac:dyDescent="0.25">
      <c r="A328" t="s">
        <v>1377</v>
      </c>
      <c r="B328" t="s">
        <v>365</v>
      </c>
      <c r="C328" t="s">
        <v>1045</v>
      </c>
      <c r="D328" t="s">
        <v>1073</v>
      </c>
      <c r="E328">
        <v>2747.85</v>
      </c>
      <c r="F328" s="8">
        <v>45431</v>
      </c>
      <c r="H328" t="str">
        <f>IF(COUNTIF(Customers!$A$2:$A$1001,B328)&gt;0,"Valid","Invalid")</f>
        <v>Valid</v>
      </c>
      <c r="I328" t="str">
        <f t="shared" si="5"/>
        <v>Valid</v>
      </c>
      <c r="K328" t="str">
        <f>VLOOKUP(B328,Customers!A:G,7,FALSE)</f>
        <v>SME</v>
      </c>
    </row>
    <row r="329" spans="1:11" x14ac:dyDescent="0.25">
      <c r="A329" t="s">
        <v>1378</v>
      </c>
      <c r="B329" t="s">
        <v>366</v>
      </c>
      <c r="C329" t="s">
        <v>1045</v>
      </c>
      <c r="D329" t="s">
        <v>1050</v>
      </c>
      <c r="E329">
        <v>2590.3200000000002</v>
      </c>
      <c r="F329" s="8">
        <v>45516</v>
      </c>
      <c r="H329" t="str">
        <f>IF(COUNTIF(Customers!$A$2:$A$1001,B329)&gt;0,"Valid","Invalid")</f>
        <v>Valid</v>
      </c>
      <c r="I329" t="str">
        <f t="shared" si="5"/>
        <v>Valid</v>
      </c>
      <c r="K329" t="str">
        <f>VLOOKUP(B329,Customers!A:G,7,FALSE)</f>
        <v>Corporate</v>
      </c>
    </row>
    <row r="330" spans="1:11" x14ac:dyDescent="0.25">
      <c r="A330" t="s">
        <v>1379</v>
      </c>
      <c r="B330" t="s">
        <v>367</v>
      </c>
      <c r="C330" t="s">
        <v>1045</v>
      </c>
      <c r="D330" t="s">
        <v>1046</v>
      </c>
      <c r="E330">
        <v>133.71</v>
      </c>
      <c r="F330" s="8">
        <v>45698</v>
      </c>
      <c r="H330" t="str">
        <f>IF(COUNTIF(Customers!$A$2:$A$1001,B330)&gt;0,"Valid","Invalid")</f>
        <v>Valid</v>
      </c>
      <c r="I330" t="str">
        <f t="shared" si="5"/>
        <v>Valid</v>
      </c>
      <c r="K330" t="str">
        <f>VLOOKUP(B330,Customers!A:G,7,FALSE)</f>
        <v>Individual</v>
      </c>
    </row>
    <row r="331" spans="1:11" x14ac:dyDescent="0.25">
      <c r="A331" t="s">
        <v>1380</v>
      </c>
      <c r="B331" t="s">
        <v>368</v>
      </c>
      <c r="C331" t="s">
        <v>1045</v>
      </c>
      <c r="D331" t="s">
        <v>1050</v>
      </c>
      <c r="E331">
        <v>1069.07</v>
      </c>
      <c r="F331" s="8">
        <v>46191</v>
      </c>
      <c r="H331" t="str">
        <f>IF(COUNTIF(Customers!$A$2:$A$1001,B331)&gt;0,"Valid","Invalid")</f>
        <v>Valid</v>
      </c>
      <c r="I331" t="str">
        <f t="shared" si="5"/>
        <v>Valid</v>
      </c>
      <c r="K331" t="str">
        <f>VLOOKUP(B331,Customers!A:G,7,FALSE)</f>
        <v>Individual</v>
      </c>
    </row>
    <row r="332" spans="1:11" x14ac:dyDescent="0.25">
      <c r="A332" t="s">
        <v>1381</v>
      </c>
      <c r="B332" t="s">
        <v>369</v>
      </c>
      <c r="C332" t="s">
        <v>1049</v>
      </c>
      <c r="D332" t="s">
        <v>1068</v>
      </c>
      <c r="E332">
        <v>899.99</v>
      </c>
      <c r="F332" s="8">
        <v>45666</v>
      </c>
      <c r="H332" t="str">
        <f>IF(COUNTIF(Customers!$A$2:$A$1001,B332)&gt;0,"Valid","Invalid")</f>
        <v>Valid</v>
      </c>
      <c r="I332" t="str">
        <f t="shared" si="5"/>
        <v>Valid</v>
      </c>
      <c r="K332" t="str">
        <f>VLOOKUP(B332,Customers!A:G,7,FALSE)</f>
        <v>SME</v>
      </c>
    </row>
    <row r="333" spans="1:11" x14ac:dyDescent="0.25">
      <c r="A333" t="s">
        <v>1382</v>
      </c>
      <c r="B333" t="s">
        <v>370</v>
      </c>
      <c r="C333" t="s">
        <v>1045</v>
      </c>
      <c r="D333" t="s">
        <v>1068</v>
      </c>
      <c r="E333">
        <v>696.41</v>
      </c>
      <c r="F333" s="8">
        <v>45601</v>
      </c>
      <c r="H333" t="str">
        <f>IF(COUNTIF(Customers!$A$2:$A$1001,B333)&gt;0,"Valid","Invalid")</f>
        <v>Valid</v>
      </c>
      <c r="I333" t="str">
        <f t="shared" si="5"/>
        <v>Valid</v>
      </c>
      <c r="K333" t="str">
        <f>VLOOKUP(B333,Customers!A:G,7,FALSE)</f>
        <v>SME</v>
      </c>
    </row>
    <row r="334" spans="1:11" x14ac:dyDescent="0.25">
      <c r="A334" t="s">
        <v>1383</v>
      </c>
      <c r="B334" t="s">
        <v>371</v>
      </c>
      <c r="C334" t="s">
        <v>1056</v>
      </c>
      <c r="D334" t="s">
        <v>1050</v>
      </c>
      <c r="E334">
        <v>1193.71</v>
      </c>
      <c r="F334" s="8">
        <v>46186</v>
      </c>
      <c r="H334" t="str">
        <f>IF(COUNTIF(Customers!$A$2:$A$1001,B334)&gt;0,"Valid","Invalid")</f>
        <v>Valid</v>
      </c>
      <c r="I334" t="str">
        <f t="shared" si="5"/>
        <v>Valid</v>
      </c>
      <c r="K334" t="str">
        <f>VLOOKUP(B334,Customers!A:G,7,FALSE)</f>
        <v>Individual</v>
      </c>
    </row>
    <row r="335" spans="1:11" x14ac:dyDescent="0.25">
      <c r="A335" t="s">
        <v>1384</v>
      </c>
      <c r="B335" t="s">
        <v>372</v>
      </c>
      <c r="C335" t="s">
        <v>1045</v>
      </c>
      <c r="D335" t="s">
        <v>1050</v>
      </c>
      <c r="E335">
        <v>586.26</v>
      </c>
      <c r="F335" s="8">
        <v>45940</v>
      </c>
      <c r="H335" t="str">
        <f>IF(COUNTIF(Customers!$A$2:$A$1001,B335)&gt;0,"Valid","Invalid")</f>
        <v>Valid</v>
      </c>
      <c r="I335" t="str">
        <f t="shared" si="5"/>
        <v>Valid</v>
      </c>
      <c r="K335" t="str">
        <f>VLOOKUP(B335,Customers!A:G,7,FALSE)</f>
        <v>Corporate</v>
      </c>
    </row>
    <row r="336" spans="1:11" x14ac:dyDescent="0.25">
      <c r="A336" t="s">
        <v>1385</v>
      </c>
      <c r="B336" t="s">
        <v>373</v>
      </c>
      <c r="C336" t="s">
        <v>1045</v>
      </c>
      <c r="D336" t="s">
        <v>1050</v>
      </c>
      <c r="E336">
        <v>2242.2199999999998</v>
      </c>
      <c r="F336" s="8">
        <v>45054</v>
      </c>
      <c r="H336" t="str">
        <f>IF(COUNTIF(Customers!$A$2:$A$1001,B336)&gt;0,"Valid","Invalid")</f>
        <v>Valid</v>
      </c>
      <c r="I336" t="str">
        <f t="shared" si="5"/>
        <v>Valid</v>
      </c>
      <c r="K336" t="str">
        <f>VLOOKUP(B336,Customers!A:G,7,FALSE)</f>
        <v>Student</v>
      </c>
    </row>
    <row r="337" spans="1:11" x14ac:dyDescent="0.25">
      <c r="A337" t="s">
        <v>1386</v>
      </c>
      <c r="B337" t="s">
        <v>374</v>
      </c>
      <c r="C337" t="s">
        <v>1049</v>
      </c>
      <c r="D337" t="s">
        <v>1050</v>
      </c>
      <c r="E337">
        <v>3891.51</v>
      </c>
      <c r="F337" s="8">
        <v>45429</v>
      </c>
      <c r="H337" t="str">
        <f>IF(COUNTIF(Customers!$A$2:$A$1001,B337)&gt;0,"Valid","Invalid")</f>
        <v>Valid</v>
      </c>
      <c r="I337" t="str">
        <f t="shared" si="5"/>
        <v>Valid</v>
      </c>
      <c r="K337" t="str">
        <f>VLOOKUP(B337,Customers!A:G,7,FALSE)</f>
        <v>Individual</v>
      </c>
    </row>
    <row r="338" spans="1:11" x14ac:dyDescent="0.25">
      <c r="A338" t="s">
        <v>1387</v>
      </c>
      <c r="B338" t="s">
        <v>375</v>
      </c>
      <c r="C338" t="s">
        <v>1045</v>
      </c>
      <c r="D338" t="s">
        <v>1046</v>
      </c>
      <c r="E338">
        <v>3570.22</v>
      </c>
      <c r="F338" s="8">
        <v>46150</v>
      </c>
      <c r="H338" t="str">
        <f>IF(COUNTIF(Customers!$A$2:$A$1001,B338)&gt;0,"Valid","Invalid")</f>
        <v>Valid</v>
      </c>
      <c r="I338" t="str">
        <f t="shared" si="5"/>
        <v>Valid</v>
      </c>
      <c r="K338" t="str">
        <f>VLOOKUP(B338,Customers!A:G,7,FALSE)</f>
        <v>SME</v>
      </c>
    </row>
    <row r="339" spans="1:11" x14ac:dyDescent="0.25">
      <c r="A339" t="s">
        <v>1388</v>
      </c>
      <c r="B339" t="s">
        <v>376</v>
      </c>
      <c r="C339" t="s">
        <v>1049</v>
      </c>
      <c r="D339" t="s">
        <v>1050</v>
      </c>
      <c r="E339">
        <v>1575.12</v>
      </c>
      <c r="F339" s="8">
        <v>45828</v>
      </c>
      <c r="H339" t="str">
        <f>IF(COUNTIF(Customers!$A$2:$A$1001,B339)&gt;0,"Valid","Invalid")</f>
        <v>Valid</v>
      </c>
      <c r="I339" t="str">
        <f t="shared" si="5"/>
        <v>Valid</v>
      </c>
      <c r="K339" t="str">
        <f>VLOOKUP(B339,Customers!A:G,7,FALSE)</f>
        <v>SME</v>
      </c>
    </row>
    <row r="340" spans="1:11" x14ac:dyDescent="0.25">
      <c r="A340" t="s">
        <v>1389</v>
      </c>
      <c r="B340" t="s">
        <v>377</v>
      </c>
      <c r="C340" t="s">
        <v>1056</v>
      </c>
      <c r="D340" t="s">
        <v>1050</v>
      </c>
      <c r="E340">
        <v>13349.57</v>
      </c>
      <c r="F340" s="8">
        <v>45469</v>
      </c>
      <c r="H340" t="str">
        <f>IF(COUNTIF(Customers!$A$2:$A$1001,B340)&gt;0,"Valid","Invalid")</f>
        <v>Valid</v>
      </c>
      <c r="I340" t="str">
        <f t="shared" si="5"/>
        <v>Valid</v>
      </c>
      <c r="K340" t="str">
        <f>VLOOKUP(B340,Customers!A:G,7,FALSE)</f>
        <v>Individual</v>
      </c>
    </row>
    <row r="341" spans="1:11" x14ac:dyDescent="0.25">
      <c r="A341" t="s">
        <v>1390</v>
      </c>
      <c r="B341" t="s">
        <v>378</v>
      </c>
      <c r="C341" t="s">
        <v>1045</v>
      </c>
      <c r="D341" t="s">
        <v>1050</v>
      </c>
      <c r="E341">
        <v>5653.19</v>
      </c>
      <c r="F341" s="8">
        <v>45418</v>
      </c>
      <c r="H341" t="str">
        <f>IF(COUNTIF(Customers!$A$2:$A$1001,B341)&gt;0,"Valid","Invalid")</f>
        <v>Valid</v>
      </c>
      <c r="I341" t="str">
        <f t="shared" si="5"/>
        <v>Valid</v>
      </c>
      <c r="K341" t="str">
        <f>VLOOKUP(B341,Customers!A:G,7,FALSE)</f>
        <v>SME</v>
      </c>
    </row>
    <row r="342" spans="1:11" x14ac:dyDescent="0.25">
      <c r="A342" t="s">
        <v>1391</v>
      </c>
      <c r="B342" t="s">
        <v>379</v>
      </c>
      <c r="C342" t="s">
        <v>17</v>
      </c>
      <c r="D342" t="s">
        <v>1068</v>
      </c>
      <c r="E342">
        <v>1633.44</v>
      </c>
      <c r="F342" s="8">
        <v>45971</v>
      </c>
      <c r="H342" t="str">
        <f>IF(COUNTIF(Customers!$A$2:$A$1001,B342)&gt;0,"Valid","Invalid")</f>
        <v>Valid</v>
      </c>
      <c r="I342" t="str">
        <f t="shared" si="5"/>
        <v>Valid</v>
      </c>
      <c r="K342" t="str">
        <f>VLOOKUP(B342,Customers!A:G,7,FALSE)</f>
        <v>Individual</v>
      </c>
    </row>
    <row r="343" spans="1:11" x14ac:dyDescent="0.25">
      <c r="A343" t="s">
        <v>1392</v>
      </c>
      <c r="B343" t="s">
        <v>380</v>
      </c>
      <c r="C343" t="s">
        <v>1045</v>
      </c>
      <c r="D343" t="s">
        <v>1050</v>
      </c>
      <c r="E343">
        <v>1116.25</v>
      </c>
      <c r="F343" s="8">
        <v>46184</v>
      </c>
      <c r="H343" t="str">
        <f>IF(COUNTIF(Customers!$A$2:$A$1001,B343)&gt;0,"Valid","Invalid")</f>
        <v>Valid</v>
      </c>
      <c r="I343" t="str">
        <f t="shared" si="5"/>
        <v>Valid</v>
      </c>
      <c r="K343" t="str">
        <f>VLOOKUP(B343,Customers!A:G,7,FALSE)</f>
        <v>Individual</v>
      </c>
    </row>
    <row r="344" spans="1:11" x14ac:dyDescent="0.25">
      <c r="A344" t="s">
        <v>1393</v>
      </c>
      <c r="B344" t="s">
        <v>381</v>
      </c>
      <c r="C344" t="s">
        <v>1049</v>
      </c>
      <c r="D344" t="s">
        <v>1050</v>
      </c>
      <c r="E344">
        <v>6891.38</v>
      </c>
      <c r="F344" s="8">
        <v>45640</v>
      </c>
      <c r="H344" t="str">
        <f>IF(COUNTIF(Customers!$A$2:$A$1001,B344)&gt;0,"Valid","Invalid")</f>
        <v>Valid</v>
      </c>
      <c r="I344" t="str">
        <f t="shared" si="5"/>
        <v>Valid</v>
      </c>
      <c r="K344" t="str">
        <f>VLOOKUP(B344,Customers!A:G,7,FALSE)</f>
        <v>Individual</v>
      </c>
    </row>
    <row r="345" spans="1:11" x14ac:dyDescent="0.25">
      <c r="A345" t="s">
        <v>1394</v>
      </c>
      <c r="B345" t="s">
        <v>382</v>
      </c>
      <c r="C345" t="s">
        <v>1045</v>
      </c>
      <c r="D345" t="s">
        <v>1050</v>
      </c>
      <c r="E345">
        <v>4952.17</v>
      </c>
      <c r="F345" s="8">
        <v>45717</v>
      </c>
      <c r="H345" t="str">
        <f>IF(COUNTIF(Customers!$A$2:$A$1001,B345)&gt;0,"Valid","Invalid")</f>
        <v>Valid</v>
      </c>
      <c r="I345" t="str">
        <f t="shared" si="5"/>
        <v>Valid</v>
      </c>
      <c r="K345" t="str">
        <f>VLOOKUP(B345,Customers!A:G,7,FALSE)</f>
        <v>SME</v>
      </c>
    </row>
    <row r="346" spans="1:11" x14ac:dyDescent="0.25">
      <c r="A346" t="s">
        <v>1395</v>
      </c>
      <c r="B346" t="s">
        <v>383</v>
      </c>
      <c r="C346" t="s">
        <v>1049</v>
      </c>
      <c r="D346" t="s">
        <v>1068</v>
      </c>
      <c r="E346">
        <v>441.23</v>
      </c>
      <c r="F346" s="8">
        <v>45342</v>
      </c>
      <c r="H346" t="str">
        <f>IF(COUNTIF(Customers!$A$2:$A$1001,B346)&gt;0,"Valid","Invalid")</f>
        <v>Valid</v>
      </c>
      <c r="I346" t="str">
        <f t="shared" si="5"/>
        <v>Valid</v>
      </c>
      <c r="K346" t="str">
        <f>VLOOKUP(B346,Customers!A:G,7,FALSE)</f>
        <v>Individual</v>
      </c>
    </row>
    <row r="347" spans="1:11" x14ac:dyDescent="0.25">
      <c r="A347" t="s">
        <v>1396</v>
      </c>
      <c r="B347" t="s">
        <v>384</v>
      </c>
      <c r="C347" t="s">
        <v>1045</v>
      </c>
      <c r="D347" t="s">
        <v>1046</v>
      </c>
      <c r="E347">
        <v>5355.19</v>
      </c>
      <c r="F347" s="8">
        <v>45074</v>
      </c>
      <c r="H347" t="str">
        <f>IF(COUNTIF(Customers!$A$2:$A$1001,B347)&gt;0,"Valid","Invalid")</f>
        <v>Valid</v>
      </c>
      <c r="I347" t="str">
        <f t="shared" si="5"/>
        <v>Valid</v>
      </c>
      <c r="K347" t="str">
        <f>VLOOKUP(B347,Customers!A:G,7,FALSE)</f>
        <v>Individual</v>
      </c>
    </row>
    <row r="348" spans="1:11" x14ac:dyDescent="0.25">
      <c r="A348" t="s">
        <v>1397</v>
      </c>
      <c r="B348" t="s">
        <v>385</v>
      </c>
      <c r="C348" t="s">
        <v>1045</v>
      </c>
      <c r="D348" t="s">
        <v>1050</v>
      </c>
      <c r="E348">
        <v>1549.41</v>
      </c>
      <c r="F348" s="8">
        <v>45896</v>
      </c>
      <c r="H348" t="str">
        <f>IF(COUNTIF(Customers!$A$2:$A$1001,B348)&gt;0,"Valid","Invalid")</f>
        <v>Valid</v>
      </c>
      <c r="I348" t="str">
        <f t="shared" si="5"/>
        <v>Valid</v>
      </c>
      <c r="K348" t="str">
        <f>VLOOKUP(B348,Customers!A:G,7,FALSE)</f>
        <v>Individual</v>
      </c>
    </row>
    <row r="349" spans="1:11" x14ac:dyDescent="0.25">
      <c r="A349" t="s">
        <v>1398</v>
      </c>
      <c r="B349" t="s">
        <v>386</v>
      </c>
      <c r="C349" t="s">
        <v>1049</v>
      </c>
      <c r="D349" t="s">
        <v>1050</v>
      </c>
      <c r="E349">
        <v>764.4</v>
      </c>
      <c r="F349" s="8">
        <v>44955</v>
      </c>
      <c r="H349" t="str">
        <f>IF(COUNTIF(Customers!$A$2:$A$1001,B349)&gt;0,"Valid","Invalid")</f>
        <v>Valid</v>
      </c>
      <c r="I349" t="str">
        <f t="shared" si="5"/>
        <v>Valid</v>
      </c>
      <c r="K349" t="str">
        <f>VLOOKUP(B349,Customers!A:G,7,FALSE)</f>
        <v>SME</v>
      </c>
    </row>
    <row r="350" spans="1:11" x14ac:dyDescent="0.25">
      <c r="A350" t="s">
        <v>1399</v>
      </c>
      <c r="B350" t="s">
        <v>387</v>
      </c>
      <c r="C350" t="s">
        <v>17</v>
      </c>
      <c r="D350" t="s">
        <v>1050</v>
      </c>
      <c r="E350">
        <v>249.83</v>
      </c>
      <c r="F350" s="8">
        <v>45234</v>
      </c>
      <c r="H350" t="str">
        <f>IF(COUNTIF(Customers!$A$2:$A$1001,B350)&gt;0,"Valid","Invalid")</f>
        <v>Valid</v>
      </c>
      <c r="I350" t="str">
        <f t="shared" si="5"/>
        <v>Valid</v>
      </c>
      <c r="K350" t="str">
        <f>VLOOKUP(B350,Customers!A:G,7,FALSE)</f>
        <v>Individual</v>
      </c>
    </row>
    <row r="351" spans="1:11" x14ac:dyDescent="0.25">
      <c r="A351" t="s">
        <v>1400</v>
      </c>
      <c r="B351" t="s">
        <v>388</v>
      </c>
      <c r="C351" t="s">
        <v>1049</v>
      </c>
      <c r="D351" t="s">
        <v>1050</v>
      </c>
      <c r="E351">
        <v>1381.72</v>
      </c>
      <c r="F351" s="8">
        <v>45088</v>
      </c>
      <c r="H351" t="str">
        <f>IF(COUNTIF(Customers!$A$2:$A$1001,B351)&gt;0,"Valid","Invalid")</f>
        <v>Valid</v>
      </c>
      <c r="I351" t="str">
        <f t="shared" si="5"/>
        <v>Valid</v>
      </c>
      <c r="K351" t="str">
        <f>VLOOKUP(B351,Customers!A:G,7,FALSE)</f>
        <v>SME</v>
      </c>
    </row>
    <row r="352" spans="1:11" x14ac:dyDescent="0.25">
      <c r="A352" t="s">
        <v>1401</v>
      </c>
      <c r="B352" t="s">
        <v>389</v>
      </c>
      <c r="C352" t="s">
        <v>1049</v>
      </c>
      <c r="D352" t="s">
        <v>1050</v>
      </c>
      <c r="E352">
        <v>1786.07</v>
      </c>
      <c r="F352" s="8">
        <v>45795</v>
      </c>
      <c r="H352" t="str">
        <f>IF(COUNTIF(Customers!$A$2:$A$1001,B352)&gt;0,"Valid","Invalid")</f>
        <v>Valid</v>
      </c>
      <c r="I352" t="str">
        <f t="shared" si="5"/>
        <v>Valid</v>
      </c>
      <c r="K352" t="str">
        <f>VLOOKUP(B352,Customers!A:G,7,FALSE)</f>
        <v>Individual</v>
      </c>
    </row>
    <row r="353" spans="1:11" x14ac:dyDescent="0.25">
      <c r="A353" t="s">
        <v>1402</v>
      </c>
      <c r="B353" t="s">
        <v>390</v>
      </c>
      <c r="C353" t="s">
        <v>1049</v>
      </c>
      <c r="D353" t="s">
        <v>1073</v>
      </c>
      <c r="E353">
        <v>8842.52</v>
      </c>
      <c r="F353" s="8">
        <v>45778</v>
      </c>
      <c r="H353" t="str">
        <f>IF(COUNTIF(Customers!$A$2:$A$1001,B353)&gt;0,"Valid","Invalid")</f>
        <v>Valid</v>
      </c>
      <c r="I353" t="str">
        <f t="shared" si="5"/>
        <v>Valid</v>
      </c>
      <c r="K353" t="str">
        <f>VLOOKUP(B353,Customers!A:G,7,FALSE)</f>
        <v>Individual</v>
      </c>
    </row>
    <row r="354" spans="1:11" x14ac:dyDescent="0.25">
      <c r="A354" t="s">
        <v>1403</v>
      </c>
      <c r="B354" t="s">
        <v>391</v>
      </c>
      <c r="C354" t="s">
        <v>1045</v>
      </c>
      <c r="D354" t="s">
        <v>1050</v>
      </c>
      <c r="E354">
        <v>4709.01</v>
      </c>
      <c r="F354" s="8">
        <v>44987</v>
      </c>
      <c r="H354" t="str">
        <f>IF(COUNTIF(Customers!$A$2:$A$1001,B354)&gt;0,"Valid","Invalid")</f>
        <v>Valid</v>
      </c>
      <c r="I354" t="str">
        <f t="shared" si="5"/>
        <v>Valid</v>
      </c>
      <c r="K354" t="str">
        <f>VLOOKUP(B354,Customers!A:G,7,FALSE)</f>
        <v>Individual</v>
      </c>
    </row>
    <row r="355" spans="1:11" x14ac:dyDescent="0.25">
      <c r="A355" t="s">
        <v>1404</v>
      </c>
      <c r="B355" t="s">
        <v>392</v>
      </c>
      <c r="C355" t="s">
        <v>1045</v>
      </c>
      <c r="D355" t="s">
        <v>1046</v>
      </c>
      <c r="E355">
        <v>1009.4</v>
      </c>
      <c r="F355" s="8">
        <v>45051</v>
      </c>
      <c r="H355" t="str">
        <f>IF(COUNTIF(Customers!$A$2:$A$1001,B355)&gt;0,"Valid","Invalid")</f>
        <v>Valid</v>
      </c>
      <c r="I355" t="str">
        <f t="shared" si="5"/>
        <v>Valid</v>
      </c>
      <c r="K355" t="str">
        <f>VLOOKUP(B355,Customers!A:G,7,FALSE)</f>
        <v>SME</v>
      </c>
    </row>
    <row r="356" spans="1:11" x14ac:dyDescent="0.25">
      <c r="A356" t="s">
        <v>1405</v>
      </c>
      <c r="B356" t="s">
        <v>393</v>
      </c>
      <c r="C356" t="s">
        <v>1045</v>
      </c>
      <c r="D356" t="s">
        <v>1050</v>
      </c>
      <c r="E356">
        <v>2668.69</v>
      </c>
      <c r="F356" s="8">
        <v>46021</v>
      </c>
      <c r="H356" t="str">
        <f>IF(COUNTIF(Customers!$A$2:$A$1001,B356)&gt;0,"Valid","Invalid")</f>
        <v>Valid</v>
      </c>
      <c r="I356" t="str">
        <f t="shared" si="5"/>
        <v>Valid</v>
      </c>
      <c r="K356" t="str">
        <f>VLOOKUP(B356,Customers!A:G,7,FALSE)</f>
        <v>SME</v>
      </c>
    </row>
    <row r="357" spans="1:11" x14ac:dyDescent="0.25">
      <c r="A357" t="s">
        <v>1406</v>
      </c>
      <c r="B357" t="s">
        <v>394</v>
      </c>
      <c r="C357" t="s">
        <v>1045</v>
      </c>
      <c r="D357" t="s">
        <v>1046</v>
      </c>
      <c r="E357">
        <v>4130.8999999999996</v>
      </c>
      <c r="F357" s="8">
        <v>45764</v>
      </c>
      <c r="H357" t="str">
        <f>IF(COUNTIF(Customers!$A$2:$A$1001,B357)&gt;0,"Valid","Invalid")</f>
        <v>Valid</v>
      </c>
      <c r="I357" t="str">
        <f t="shared" si="5"/>
        <v>Valid</v>
      </c>
      <c r="K357" t="str">
        <f>VLOOKUP(B357,Customers!A:G,7,FALSE)</f>
        <v>Student</v>
      </c>
    </row>
    <row r="358" spans="1:11" x14ac:dyDescent="0.25">
      <c r="A358" t="s">
        <v>1407</v>
      </c>
      <c r="B358" t="s">
        <v>395</v>
      </c>
      <c r="C358" t="s">
        <v>1045</v>
      </c>
      <c r="D358" t="s">
        <v>1046</v>
      </c>
      <c r="E358">
        <v>1970.33</v>
      </c>
      <c r="F358" s="8">
        <v>45392</v>
      </c>
      <c r="H358" t="str">
        <f>IF(COUNTIF(Customers!$A$2:$A$1001,B358)&gt;0,"Valid","Invalid")</f>
        <v>Valid</v>
      </c>
      <c r="I358" t="str">
        <f t="shared" si="5"/>
        <v>Valid</v>
      </c>
      <c r="K358" t="str">
        <f>VLOOKUP(B358,Customers!A:G,7,FALSE)</f>
        <v>Individual</v>
      </c>
    </row>
    <row r="359" spans="1:11" x14ac:dyDescent="0.25">
      <c r="A359" t="s">
        <v>1408</v>
      </c>
      <c r="B359" t="s">
        <v>396</v>
      </c>
      <c r="C359" t="s">
        <v>1056</v>
      </c>
      <c r="D359" t="s">
        <v>1050</v>
      </c>
      <c r="E359">
        <v>1005.1</v>
      </c>
      <c r="F359" s="8">
        <v>45169</v>
      </c>
      <c r="H359" t="str">
        <f>IF(COUNTIF(Customers!$A$2:$A$1001,B359)&gt;0,"Valid","Invalid")</f>
        <v>Valid</v>
      </c>
      <c r="I359" t="str">
        <f t="shared" si="5"/>
        <v>Valid</v>
      </c>
      <c r="K359" t="str">
        <f>VLOOKUP(B359,Customers!A:G,7,FALSE)</f>
        <v>Student</v>
      </c>
    </row>
    <row r="360" spans="1:11" x14ac:dyDescent="0.25">
      <c r="A360" t="s">
        <v>1409</v>
      </c>
      <c r="B360" t="s">
        <v>397</v>
      </c>
      <c r="C360" t="s">
        <v>1045</v>
      </c>
      <c r="D360" t="s">
        <v>1050</v>
      </c>
      <c r="E360">
        <v>1061.9100000000001</v>
      </c>
      <c r="F360" s="8">
        <v>46171</v>
      </c>
      <c r="H360" t="str">
        <f>IF(COUNTIF(Customers!$A$2:$A$1001,B360)&gt;0,"Valid","Invalid")</f>
        <v>Valid</v>
      </c>
      <c r="I360" t="str">
        <f t="shared" si="5"/>
        <v>Valid</v>
      </c>
      <c r="K360" t="str">
        <f>VLOOKUP(B360,Customers!A:G,7,FALSE)</f>
        <v>Individual</v>
      </c>
    </row>
    <row r="361" spans="1:11" x14ac:dyDescent="0.25">
      <c r="A361" t="s">
        <v>1410</v>
      </c>
      <c r="B361" t="s">
        <v>398</v>
      </c>
      <c r="C361" t="s">
        <v>1056</v>
      </c>
      <c r="D361" t="s">
        <v>1050</v>
      </c>
      <c r="E361">
        <v>2658.38</v>
      </c>
      <c r="F361" s="8">
        <v>45399</v>
      </c>
      <c r="H361" t="str">
        <f>IF(COUNTIF(Customers!$A$2:$A$1001,B361)&gt;0,"Valid","Invalid")</f>
        <v>Valid</v>
      </c>
      <c r="I361" t="str">
        <f t="shared" si="5"/>
        <v>Valid</v>
      </c>
      <c r="K361" t="str">
        <f>VLOOKUP(B361,Customers!A:G,7,FALSE)</f>
        <v>Individual</v>
      </c>
    </row>
    <row r="362" spans="1:11" x14ac:dyDescent="0.25">
      <c r="A362" t="s">
        <v>1411</v>
      </c>
      <c r="B362" t="s">
        <v>399</v>
      </c>
      <c r="C362" t="s">
        <v>1045</v>
      </c>
      <c r="D362" t="s">
        <v>1050</v>
      </c>
      <c r="E362">
        <v>2732.52</v>
      </c>
      <c r="F362" s="8">
        <v>45885</v>
      </c>
      <c r="H362" t="str">
        <f>IF(COUNTIF(Customers!$A$2:$A$1001,B362)&gt;0,"Valid","Invalid")</f>
        <v>Valid</v>
      </c>
      <c r="I362" t="str">
        <f t="shared" si="5"/>
        <v>Valid</v>
      </c>
      <c r="K362" t="str">
        <f>VLOOKUP(B362,Customers!A:G,7,FALSE)</f>
        <v>Individual</v>
      </c>
    </row>
    <row r="363" spans="1:11" x14ac:dyDescent="0.25">
      <c r="A363" t="s">
        <v>1412</v>
      </c>
      <c r="B363" t="s">
        <v>400</v>
      </c>
      <c r="C363" t="s">
        <v>1045</v>
      </c>
      <c r="D363" t="s">
        <v>1050</v>
      </c>
      <c r="E363">
        <v>1348.9</v>
      </c>
      <c r="F363" s="8">
        <v>45459</v>
      </c>
      <c r="H363" t="str">
        <f>IF(COUNTIF(Customers!$A$2:$A$1001,B363)&gt;0,"Valid","Invalid")</f>
        <v>Valid</v>
      </c>
      <c r="I363" t="str">
        <f t="shared" si="5"/>
        <v>Valid</v>
      </c>
      <c r="K363" t="str">
        <f>VLOOKUP(B363,Customers!A:G,7,FALSE)</f>
        <v>Individual</v>
      </c>
    </row>
    <row r="364" spans="1:11" x14ac:dyDescent="0.25">
      <c r="A364" t="s">
        <v>1413</v>
      </c>
      <c r="B364" t="s">
        <v>401</v>
      </c>
      <c r="C364" t="s">
        <v>1045</v>
      </c>
      <c r="D364" t="s">
        <v>1050</v>
      </c>
      <c r="E364">
        <v>131.74</v>
      </c>
      <c r="F364" s="8">
        <v>45420</v>
      </c>
      <c r="H364" t="str">
        <f>IF(COUNTIF(Customers!$A$2:$A$1001,B364)&gt;0,"Valid","Invalid")</f>
        <v>Valid</v>
      </c>
      <c r="I364" t="str">
        <f t="shared" si="5"/>
        <v>Valid</v>
      </c>
      <c r="K364" t="str">
        <f>VLOOKUP(B364,Customers!A:G,7,FALSE)</f>
        <v>Individual</v>
      </c>
    </row>
    <row r="365" spans="1:11" x14ac:dyDescent="0.25">
      <c r="A365" t="s">
        <v>1414</v>
      </c>
      <c r="B365" t="s">
        <v>402</v>
      </c>
      <c r="C365" t="s">
        <v>1049</v>
      </c>
      <c r="D365" t="s">
        <v>1068</v>
      </c>
      <c r="E365">
        <v>497.44</v>
      </c>
      <c r="F365" s="8">
        <v>45825</v>
      </c>
      <c r="H365" t="str">
        <f>IF(COUNTIF(Customers!$A$2:$A$1001,B365)&gt;0,"Valid","Invalid")</f>
        <v>Valid</v>
      </c>
      <c r="I365" t="str">
        <f t="shared" si="5"/>
        <v>Valid</v>
      </c>
      <c r="K365" t="str">
        <f>VLOOKUP(B365,Customers!A:G,7,FALSE)</f>
        <v>Individual</v>
      </c>
    </row>
    <row r="366" spans="1:11" x14ac:dyDescent="0.25">
      <c r="A366" t="s">
        <v>1415</v>
      </c>
      <c r="B366" t="s">
        <v>403</v>
      </c>
      <c r="C366" t="s">
        <v>1049</v>
      </c>
      <c r="D366" t="s">
        <v>1050</v>
      </c>
      <c r="E366">
        <v>3359.98</v>
      </c>
      <c r="F366" s="8">
        <v>45008</v>
      </c>
      <c r="H366" t="str">
        <f>IF(COUNTIF(Customers!$A$2:$A$1001,B366)&gt;0,"Valid","Invalid")</f>
        <v>Valid</v>
      </c>
      <c r="I366" t="str">
        <f t="shared" si="5"/>
        <v>Valid</v>
      </c>
      <c r="K366" t="str">
        <f>VLOOKUP(B366,Customers!A:G,7,FALSE)</f>
        <v>SME</v>
      </c>
    </row>
    <row r="367" spans="1:11" x14ac:dyDescent="0.25">
      <c r="A367" t="s">
        <v>1416</v>
      </c>
      <c r="B367" t="s">
        <v>404</v>
      </c>
      <c r="C367" t="s">
        <v>1056</v>
      </c>
      <c r="D367" t="s">
        <v>1046</v>
      </c>
      <c r="E367">
        <v>214.68</v>
      </c>
      <c r="F367" s="8">
        <v>45782</v>
      </c>
      <c r="H367" t="str">
        <f>IF(COUNTIF(Customers!$A$2:$A$1001,B367)&gt;0,"Valid","Invalid")</f>
        <v>Valid</v>
      </c>
      <c r="I367" t="str">
        <f t="shared" si="5"/>
        <v>Valid</v>
      </c>
      <c r="K367" t="str">
        <f>VLOOKUP(B367,Customers!A:G,7,FALSE)</f>
        <v>Individual</v>
      </c>
    </row>
    <row r="368" spans="1:11" x14ac:dyDescent="0.25">
      <c r="A368" t="s">
        <v>1417</v>
      </c>
      <c r="B368" t="s">
        <v>405</v>
      </c>
      <c r="C368" t="s">
        <v>1045</v>
      </c>
      <c r="D368" t="s">
        <v>1050</v>
      </c>
      <c r="E368">
        <v>5908.7</v>
      </c>
      <c r="F368" s="8">
        <v>45805</v>
      </c>
      <c r="H368" t="str">
        <f>IF(COUNTIF(Customers!$A$2:$A$1001,B368)&gt;0,"Valid","Invalid")</f>
        <v>Valid</v>
      </c>
      <c r="I368" t="str">
        <f t="shared" si="5"/>
        <v>Valid</v>
      </c>
      <c r="K368" t="str">
        <f>VLOOKUP(B368,Customers!A:G,7,FALSE)</f>
        <v>Student</v>
      </c>
    </row>
    <row r="369" spans="1:11" x14ac:dyDescent="0.25">
      <c r="A369" t="s">
        <v>1418</v>
      </c>
      <c r="B369" t="s">
        <v>406</v>
      </c>
      <c r="C369" t="s">
        <v>1056</v>
      </c>
      <c r="D369" t="s">
        <v>1046</v>
      </c>
      <c r="E369">
        <v>5095.7299999999996</v>
      </c>
      <c r="F369" s="8">
        <v>45849</v>
      </c>
      <c r="H369" t="str">
        <f>IF(COUNTIF(Customers!$A$2:$A$1001,B369)&gt;0,"Valid","Invalid")</f>
        <v>Valid</v>
      </c>
      <c r="I369" t="str">
        <f t="shared" si="5"/>
        <v>Valid</v>
      </c>
      <c r="K369" t="str">
        <f>VLOOKUP(B369,Customers!A:G,7,FALSE)</f>
        <v>SME</v>
      </c>
    </row>
    <row r="370" spans="1:11" x14ac:dyDescent="0.25">
      <c r="A370" t="s">
        <v>1419</v>
      </c>
      <c r="B370" t="s">
        <v>407</v>
      </c>
      <c r="C370" t="s">
        <v>1045</v>
      </c>
      <c r="D370" t="s">
        <v>1050</v>
      </c>
      <c r="E370">
        <v>1883.89</v>
      </c>
      <c r="F370" s="8">
        <v>44938</v>
      </c>
      <c r="H370" t="str">
        <f>IF(COUNTIF(Customers!$A$2:$A$1001,B370)&gt;0,"Valid","Invalid")</f>
        <v>Valid</v>
      </c>
      <c r="I370" t="str">
        <f t="shared" si="5"/>
        <v>Valid</v>
      </c>
      <c r="K370" t="str">
        <f>VLOOKUP(B370,Customers!A:G,7,FALSE)</f>
        <v>Individual</v>
      </c>
    </row>
    <row r="371" spans="1:11" x14ac:dyDescent="0.25">
      <c r="A371" t="s">
        <v>1420</v>
      </c>
      <c r="B371" t="s">
        <v>408</v>
      </c>
      <c r="C371" t="s">
        <v>1045</v>
      </c>
      <c r="D371" t="s">
        <v>1073</v>
      </c>
      <c r="E371">
        <v>3287.66</v>
      </c>
      <c r="F371" s="8">
        <v>45375</v>
      </c>
      <c r="H371" t="str">
        <f>IF(COUNTIF(Customers!$A$2:$A$1001,B371)&gt;0,"Valid","Invalid")</f>
        <v>Valid</v>
      </c>
      <c r="I371" t="str">
        <f t="shared" si="5"/>
        <v>Valid</v>
      </c>
      <c r="K371" t="str">
        <f>VLOOKUP(B371,Customers!A:G,7,FALSE)</f>
        <v>Individual</v>
      </c>
    </row>
    <row r="372" spans="1:11" x14ac:dyDescent="0.25">
      <c r="A372" t="s">
        <v>1421</v>
      </c>
      <c r="B372" t="s">
        <v>409</v>
      </c>
      <c r="C372" t="s">
        <v>1045</v>
      </c>
      <c r="D372" t="s">
        <v>1050</v>
      </c>
      <c r="E372">
        <v>3067.98</v>
      </c>
      <c r="F372" s="8">
        <v>46142</v>
      </c>
      <c r="H372" t="str">
        <f>IF(COUNTIF(Customers!$A$2:$A$1001,B372)&gt;0,"Valid","Invalid")</f>
        <v>Valid</v>
      </c>
      <c r="I372" t="str">
        <f t="shared" si="5"/>
        <v>Valid</v>
      </c>
      <c r="K372" t="str">
        <f>VLOOKUP(B372,Customers!A:G,7,FALSE)</f>
        <v>Individual</v>
      </c>
    </row>
    <row r="373" spans="1:11" x14ac:dyDescent="0.25">
      <c r="A373" t="s">
        <v>1422</v>
      </c>
      <c r="B373" t="s">
        <v>410</v>
      </c>
      <c r="C373" t="s">
        <v>1045</v>
      </c>
      <c r="D373" t="s">
        <v>1050</v>
      </c>
      <c r="E373">
        <v>1608.61</v>
      </c>
      <c r="F373" s="8">
        <v>45688</v>
      </c>
      <c r="H373" t="str">
        <f>IF(COUNTIF(Customers!$A$2:$A$1001,B373)&gt;0,"Valid","Invalid")</f>
        <v>Valid</v>
      </c>
      <c r="I373" t="str">
        <f t="shared" si="5"/>
        <v>Valid</v>
      </c>
      <c r="K373" t="str">
        <f>VLOOKUP(B373,Customers!A:G,7,FALSE)</f>
        <v>Individual</v>
      </c>
    </row>
    <row r="374" spans="1:11" x14ac:dyDescent="0.25">
      <c r="A374" t="s">
        <v>1423</v>
      </c>
      <c r="B374" t="s">
        <v>411</v>
      </c>
      <c r="C374" t="s">
        <v>1045</v>
      </c>
      <c r="D374" t="s">
        <v>1050</v>
      </c>
      <c r="E374">
        <v>457.65</v>
      </c>
      <c r="F374" s="8">
        <v>46064</v>
      </c>
      <c r="H374" t="str">
        <f>IF(COUNTIF(Customers!$A$2:$A$1001,B374)&gt;0,"Valid","Invalid")</f>
        <v>Valid</v>
      </c>
      <c r="I374" t="str">
        <f t="shared" si="5"/>
        <v>Valid</v>
      </c>
      <c r="K374" t="str">
        <f>VLOOKUP(B374,Customers!A:G,7,FALSE)</f>
        <v>Student</v>
      </c>
    </row>
    <row r="375" spans="1:11" x14ac:dyDescent="0.25">
      <c r="A375" t="s">
        <v>1424</v>
      </c>
      <c r="B375" t="s">
        <v>412</v>
      </c>
      <c r="C375" t="s">
        <v>17</v>
      </c>
      <c r="D375" t="s">
        <v>1050</v>
      </c>
      <c r="E375">
        <v>4756.53</v>
      </c>
      <c r="F375" s="8">
        <v>44952</v>
      </c>
      <c r="H375" t="str">
        <f>IF(COUNTIF(Customers!$A$2:$A$1001,B375)&gt;0,"Valid","Invalid")</f>
        <v>Valid</v>
      </c>
      <c r="I375" t="str">
        <f t="shared" si="5"/>
        <v>Valid</v>
      </c>
      <c r="K375" t="str">
        <f>VLOOKUP(B375,Customers!A:G,7,FALSE)</f>
        <v>Individual</v>
      </c>
    </row>
    <row r="376" spans="1:11" x14ac:dyDescent="0.25">
      <c r="A376" t="s">
        <v>1425</v>
      </c>
      <c r="B376" t="s">
        <v>413</v>
      </c>
      <c r="C376" t="s">
        <v>17</v>
      </c>
      <c r="D376" t="s">
        <v>1050</v>
      </c>
      <c r="E376">
        <v>7385.18</v>
      </c>
      <c r="F376" s="8">
        <v>45434</v>
      </c>
      <c r="H376" t="str">
        <f>IF(COUNTIF(Customers!$A$2:$A$1001,B376)&gt;0,"Valid","Invalid")</f>
        <v>Valid</v>
      </c>
      <c r="I376" t="str">
        <f t="shared" si="5"/>
        <v>Valid</v>
      </c>
      <c r="K376" t="str">
        <f>VLOOKUP(B376,Customers!A:G,7,FALSE)</f>
        <v>Corporate</v>
      </c>
    </row>
    <row r="377" spans="1:11" x14ac:dyDescent="0.25">
      <c r="A377" t="s">
        <v>1426</v>
      </c>
      <c r="B377" t="s">
        <v>414</v>
      </c>
      <c r="C377" t="s">
        <v>1045</v>
      </c>
      <c r="D377" t="s">
        <v>1050</v>
      </c>
      <c r="E377">
        <v>539.91</v>
      </c>
      <c r="F377" s="8">
        <v>44988</v>
      </c>
      <c r="H377" t="str">
        <f>IF(COUNTIF(Customers!$A$2:$A$1001,B377)&gt;0,"Valid","Invalid")</f>
        <v>Valid</v>
      </c>
      <c r="I377" t="str">
        <f t="shared" si="5"/>
        <v>Valid</v>
      </c>
      <c r="K377" t="str">
        <f>VLOOKUP(B377,Customers!A:G,7,FALSE)</f>
        <v>Individual</v>
      </c>
    </row>
    <row r="378" spans="1:11" x14ac:dyDescent="0.25">
      <c r="A378" t="s">
        <v>1427</v>
      </c>
      <c r="B378" t="s">
        <v>415</v>
      </c>
      <c r="C378" t="s">
        <v>1045</v>
      </c>
      <c r="D378" t="s">
        <v>1050</v>
      </c>
      <c r="E378">
        <v>440.87</v>
      </c>
      <c r="F378" s="8">
        <v>45155</v>
      </c>
      <c r="H378" t="str">
        <f>IF(COUNTIF(Customers!$A$2:$A$1001,B378)&gt;0,"Valid","Invalid")</f>
        <v>Valid</v>
      </c>
      <c r="I378" t="str">
        <f t="shared" si="5"/>
        <v>Valid</v>
      </c>
      <c r="K378" t="str">
        <f>VLOOKUP(B378,Customers!A:G,7,FALSE)</f>
        <v>Individual</v>
      </c>
    </row>
    <row r="379" spans="1:11" x14ac:dyDescent="0.25">
      <c r="A379" t="s">
        <v>1428</v>
      </c>
      <c r="B379" t="s">
        <v>416</v>
      </c>
      <c r="C379" t="s">
        <v>1045</v>
      </c>
      <c r="D379" t="s">
        <v>1073</v>
      </c>
      <c r="E379">
        <v>1576.88</v>
      </c>
      <c r="F379" s="8">
        <v>45533</v>
      </c>
      <c r="H379" t="str">
        <f>IF(COUNTIF(Customers!$A$2:$A$1001,B379)&gt;0,"Valid","Invalid")</f>
        <v>Valid</v>
      </c>
      <c r="I379" t="str">
        <f t="shared" si="5"/>
        <v>Valid</v>
      </c>
      <c r="K379" t="str">
        <f>VLOOKUP(B379,Customers!A:G,7,FALSE)</f>
        <v>Individual</v>
      </c>
    </row>
    <row r="380" spans="1:11" x14ac:dyDescent="0.25">
      <c r="A380" t="s">
        <v>1429</v>
      </c>
      <c r="B380" t="s">
        <v>417</v>
      </c>
      <c r="C380" t="s">
        <v>1045</v>
      </c>
      <c r="D380" t="s">
        <v>1050</v>
      </c>
      <c r="E380">
        <v>966.59</v>
      </c>
      <c r="F380" s="8">
        <v>45985</v>
      </c>
      <c r="H380" t="str">
        <f>IF(COUNTIF(Customers!$A$2:$A$1001,B380)&gt;0,"Valid","Invalid")</f>
        <v>Valid</v>
      </c>
      <c r="I380" t="str">
        <f t="shared" si="5"/>
        <v>Valid</v>
      </c>
      <c r="K380" t="str">
        <f>VLOOKUP(B380,Customers!A:G,7,FALSE)</f>
        <v>Individual</v>
      </c>
    </row>
    <row r="381" spans="1:11" x14ac:dyDescent="0.25">
      <c r="A381" t="s">
        <v>1430</v>
      </c>
      <c r="B381" t="s">
        <v>418</v>
      </c>
      <c r="C381" t="s">
        <v>17</v>
      </c>
      <c r="D381" t="s">
        <v>1050</v>
      </c>
      <c r="E381">
        <v>2090.06</v>
      </c>
      <c r="F381" s="8">
        <v>45817</v>
      </c>
      <c r="H381" t="str">
        <f>IF(COUNTIF(Customers!$A$2:$A$1001,B381)&gt;0,"Valid","Invalid")</f>
        <v>Valid</v>
      </c>
      <c r="I381" t="str">
        <f t="shared" si="5"/>
        <v>Valid</v>
      </c>
      <c r="K381" t="str">
        <f>VLOOKUP(B381,Customers!A:G,7,FALSE)</f>
        <v>Individual</v>
      </c>
    </row>
    <row r="382" spans="1:11" x14ac:dyDescent="0.25">
      <c r="A382" t="s">
        <v>1431</v>
      </c>
      <c r="B382" t="s">
        <v>419</v>
      </c>
      <c r="C382" t="s">
        <v>1045</v>
      </c>
      <c r="D382" t="s">
        <v>1046</v>
      </c>
      <c r="E382">
        <v>6051.09</v>
      </c>
      <c r="F382" s="8">
        <v>45687</v>
      </c>
      <c r="H382" t="str">
        <f>IF(COUNTIF(Customers!$A$2:$A$1001,B382)&gt;0,"Valid","Invalid")</f>
        <v>Valid</v>
      </c>
      <c r="I382" t="str">
        <f t="shared" si="5"/>
        <v>Valid</v>
      </c>
      <c r="K382" t="str">
        <f>VLOOKUP(B382,Customers!A:G,7,FALSE)</f>
        <v>SME</v>
      </c>
    </row>
    <row r="383" spans="1:11" x14ac:dyDescent="0.25">
      <c r="A383" t="s">
        <v>1432</v>
      </c>
      <c r="B383" t="s">
        <v>420</v>
      </c>
      <c r="C383" t="s">
        <v>1049</v>
      </c>
      <c r="D383" t="s">
        <v>1050</v>
      </c>
      <c r="E383">
        <v>191.39</v>
      </c>
      <c r="F383" s="8">
        <v>45521</v>
      </c>
      <c r="H383" t="str">
        <f>IF(COUNTIF(Customers!$A$2:$A$1001,B383)&gt;0,"Valid","Invalid")</f>
        <v>Valid</v>
      </c>
      <c r="I383" t="str">
        <f t="shared" si="5"/>
        <v>Valid</v>
      </c>
      <c r="K383" t="str">
        <f>VLOOKUP(B383,Customers!A:G,7,FALSE)</f>
        <v>Student</v>
      </c>
    </row>
    <row r="384" spans="1:11" x14ac:dyDescent="0.25">
      <c r="A384" t="s">
        <v>1433</v>
      </c>
      <c r="B384" t="s">
        <v>421</v>
      </c>
      <c r="C384" t="s">
        <v>1045</v>
      </c>
      <c r="D384" t="s">
        <v>1050</v>
      </c>
      <c r="E384">
        <v>8789.14</v>
      </c>
      <c r="F384" s="8">
        <v>45975</v>
      </c>
      <c r="H384" t="str">
        <f>IF(COUNTIF(Customers!$A$2:$A$1001,B384)&gt;0,"Valid","Invalid")</f>
        <v>Valid</v>
      </c>
      <c r="I384" t="str">
        <f t="shared" si="5"/>
        <v>Valid</v>
      </c>
      <c r="K384" t="str">
        <f>VLOOKUP(B384,Customers!A:G,7,FALSE)</f>
        <v>Individual</v>
      </c>
    </row>
    <row r="385" spans="1:11" x14ac:dyDescent="0.25">
      <c r="A385" t="s">
        <v>1434</v>
      </c>
      <c r="B385" t="s">
        <v>422</v>
      </c>
      <c r="C385" t="s">
        <v>17</v>
      </c>
      <c r="D385" t="s">
        <v>1050</v>
      </c>
      <c r="E385">
        <v>1203.9100000000001</v>
      </c>
      <c r="F385" s="8">
        <v>45982</v>
      </c>
      <c r="H385" t="str">
        <f>IF(COUNTIF(Customers!$A$2:$A$1001,B385)&gt;0,"Valid","Invalid")</f>
        <v>Valid</v>
      </c>
      <c r="I385" t="str">
        <f t="shared" si="5"/>
        <v>Valid</v>
      </c>
      <c r="K385" t="str">
        <f>VLOOKUP(B385,Customers!A:G,7,FALSE)</f>
        <v>Individual</v>
      </c>
    </row>
    <row r="386" spans="1:11" x14ac:dyDescent="0.25">
      <c r="A386" t="s">
        <v>1435</v>
      </c>
      <c r="B386" t="s">
        <v>423</v>
      </c>
      <c r="C386" t="s">
        <v>1045</v>
      </c>
      <c r="D386" t="s">
        <v>1068</v>
      </c>
      <c r="E386">
        <v>3016.28</v>
      </c>
      <c r="F386" s="8">
        <v>45962</v>
      </c>
      <c r="H386" t="str">
        <f>IF(COUNTIF(Customers!$A$2:$A$1001,B386)&gt;0,"Valid","Invalid")</f>
        <v>Valid</v>
      </c>
      <c r="I386" t="str">
        <f t="shared" si="5"/>
        <v>Valid</v>
      </c>
      <c r="K386" t="str">
        <f>VLOOKUP(B386,Customers!A:G,7,FALSE)</f>
        <v>Individual</v>
      </c>
    </row>
    <row r="387" spans="1:11" x14ac:dyDescent="0.25">
      <c r="A387" t="s">
        <v>1436</v>
      </c>
      <c r="B387" t="s">
        <v>424</v>
      </c>
      <c r="C387" t="s">
        <v>1049</v>
      </c>
      <c r="D387" t="s">
        <v>1046</v>
      </c>
      <c r="E387">
        <v>3356.74</v>
      </c>
      <c r="F387" s="8">
        <v>44927</v>
      </c>
      <c r="H387" t="str">
        <f>IF(COUNTIF(Customers!$A$2:$A$1001,B387)&gt;0,"Valid","Invalid")</f>
        <v>Valid</v>
      </c>
      <c r="I387" t="str">
        <f t="shared" ref="I387:I450" si="6">IF(OR(C387="Savings",C387="Current",C387="Business",C387="Student"),"Valid","Check")</f>
        <v>Valid</v>
      </c>
      <c r="K387" t="str">
        <f>VLOOKUP(B387,Customers!A:G,7,FALSE)</f>
        <v>Corporate</v>
      </c>
    </row>
    <row r="388" spans="1:11" x14ac:dyDescent="0.25">
      <c r="A388" t="s">
        <v>1437</v>
      </c>
      <c r="B388" t="s">
        <v>425</v>
      </c>
      <c r="C388" t="s">
        <v>1045</v>
      </c>
      <c r="D388" t="s">
        <v>1073</v>
      </c>
      <c r="E388">
        <v>3771.93</v>
      </c>
      <c r="F388" s="8">
        <v>46086</v>
      </c>
      <c r="H388" t="str">
        <f>IF(COUNTIF(Customers!$A$2:$A$1001,B388)&gt;0,"Valid","Invalid")</f>
        <v>Valid</v>
      </c>
      <c r="I388" t="str">
        <f t="shared" si="6"/>
        <v>Valid</v>
      </c>
      <c r="K388" t="str">
        <f>VLOOKUP(B388,Customers!A:G,7,FALSE)</f>
        <v>Student</v>
      </c>
    </row>
    <row r="389" spans="1:11" x14ac:dyDescent="0.25">
      <c r="A389" t="s">
        <v>1438</v>
      </c>
      <c r="B389" t="s">
        <v>426</v>
      </c>
      <c r="C389" t="s">
        <v>1056</v>
      </c>
      <c r="D389" t="s">
        <v>1050</v>
      </c>
      <c r="E389">
        <v>1923.51</v>
      </c>
      <c r="F389" s="8">
        <v>46146</v>
      </c>
      <c r="H389" t="str">
        <f>IF(COUNTIF(Customers!$A$2:$A$1001,B389)&gt;0,"Valid","Invalid")</f>
        <v>Valid</v>
      </c>
      <c r="I389" t="str">
        <f t="shared" si="6"/>
        <v>Valid</v>
      </c>
      <c r="K389" t="str">
        <f>VLOOKUP(B389,Customers!A:G,7,FALSE)</f>
        <v>Individual</v>
      </c>
    </row>
    <row r="390" spans="1:11" x14ac:dyDescent="0.25">
      <c r="A390" t="s">
        <v>1439</v>
      </c>
      <c r="B390" t="s">
        <v>427</v>
      </c>
      <c r="C390" t="s">
        <v>1045</v>
      </c>
      <c r="D390" t="s">
        <v>1046</v>
      </c>
      <c r="E390">
        <v>2429.79</v>
      </c>
      <c r="F390" s="8">
        <v>45059</v>
      </c>
      <c r="H390" t="str">
        <f>IF(COUNTIF(Customers!$A$2:$A$1001,B390)&gt;0,"Valid","Invalid")</f>
        <v>Valid</v>
      </c>
      <c r="I390" t="str">
        <f t="shared" si="6"/>
        <v>Valid</v>
      </c>
      <c r="K390" t="str">
        <f>VLOOKUP(B390,Customers!A:G,7,FALSE)</f>
        <v>Individual</v>
      </c>
    </row>
    <row r="391" spans="1:11" x14ac:dyDescent="0.25">
      <c r="A391" t="s">
        <v>1440</v>
      </c>
      <c r="B391" t="s">
        <v>428</v>
      </c>
      <c r="C391" t="s">
        <v>1045</v>
      </c>
      <c r="D391" t="s">
        <v>1050</v>
      </c>
      <c r="E391">
        <v>2413.96</v>
      </c>
      <c r="F391" s="8">
        <v>45012</v>
      </c>
      <c r="H391" t="str">
        <f>IF(COUNTIF(Customers!$A$2:$A$1001,B391)&gt;0,"Valid","Invalid")</f>
        <v>Valid</v>
      </c>
      <c r="I391" t="str">
        <f t="shared" si="6"/>
        <v>Valid</v>
      </c>
      <c r="K391" t="str">
        <f>VLOOKUP(B391,Customers!A:G,7,FALSE)</f>
        <v>Corporate</v>
      </c>
    </row>
    <row r="392" spans="1:11" x14ac:dyDescent="0.25">
      <c r="A392" t="s">
        <v>1441</v>
      </c>
      <c r="B392" t="s">
        <v>429</v>
      </c>
      <c r="C392" t="s">
        <v>17</v>
      </c>
      <c r="D392" t="s">
        <v>1050</v>
      </c>
      <c r="E392">
        <v>962.68</v>
      </c>
      <c r="F392" s="8">
        <v>46130</v>
      </c>
      <c r="H392" t="str">
        <f>IF(COUNTIF(Customers!$A$2:$A$1001,B392)&gt;0,"Valid","Invalid")</f>
        <v>Valid</v>
      </c>
      <c r="I392" t="str">
        <f t="shared" si="6"/>
        <v>Valid</v>
      </c>
      <c r="K392" t="str">
        <f>VLOOKUP(B392,Customers!A:G,7,FALSE)</f>
        <v>Student</v>
      </c>
    </row>
    <row r="393" spans="1:11" x14ac:dyDescent="0.25">
      <c r="A393" t="s">
        <v>1442</v>
      </c>
      <c r="B393" t="s">
        <v>430</v>
      </c>
      <c r="C393" t="s">
        <v>1049</v>
      </c>
      <c r="D393" t="s">
        <v>1050</v>
      </c>
      <c r="E393">
        <v>311.67</v>
      </c>
      <c r="F393" s="8">
        <v>45442</v>
      </c>
      <c r="H393" t="str">
        <f>IF(COUNTIF(Customers!$A$2:$A$1001,B393)&gt;0,"Valid","Invalid")</f>
        <v>Valid</v>
      </c>
      <c r="I393" t="str">
        <f t="shared" si="6"/>
        <v>Valid</v>
      </c>
      <c r="K393" t="str">
        <f>VLOOKUP(B393,Customers!A:G,7,FALSE)</f>
        <v>Individual</v>
      </c>
    </row>
    <row r="394" spans="1:11" x14ac:dyDescent="0.25">
      <c r="A394" t="s">
        <v>1443</v>
      </c>
      <c r="B394" t="s">
        <v>431</v>
      </c>
      <c r="C394" t="s">
        <v>1049</v>
      </c>
      <c r="D394" t="s">
        <v>1050</v>
      </c>
      <c r="E394">
        <v>534.22</v>
      </c>
      <c r="F394" s="8">
        <v>45101</v>
      </c>
      <c r="H394" t="str">
        <f>IF(COUNTIF(Customers!$A$2:$A$1001,B394)&gt;0,"Valid","Invalid")</f>
        <v>Valid</v>
      </c>
      <c r="I394" t="str">
        <f t="shared" si="6"/>
        <v>Valid</v>
      </c>
      <c r="K394" t="str">
        <f>VLOOKUP(B394,Customers!A:G,7,FALSE)</f>
        <v>SME</v>
      </c>
    </row>
    <row r="395" spans="1:11" x14ac:dyDescent="0.25">
      <c r="A395" t="s">
        <v>1444</v>
      </c>
      <c r="B395" t="s">
        <v>432</v>
      </c>
      <c r="C395" t="s">
        <v>1056</v>
      </c>
      <c r="D395" t="s">
        <v>1050</v>
      </c>
      <c r="E395">
        <v>1629.07</v>
      </c>
      <c r="F395" s="8">
        <v>45689</v>
      </c>
      <c r="H395" t="str">
        <f>IF(COUNTIF(Customers!$A$2:$A$1001,B395)&gt;0,"Valid","Invalid")</f>
        <v>Valid</v>
      </c>
      <c r="I395" t="str">
        <f t="shared" si="6"/>
        <v>Valid</v>
      </c>
      <c r="K395" t="str">
        <f>VLOOKUP(B395,Customers!A:G,7,FALSE)</f>
        <v>SME</v>
      </c>
    </row>
    <row r="396" spans="1:11" x14ac:dyDescent="0.25">
      <c r="A396" t="s">
        <v>1445</v>
      </c>
      <c r="B396" t="s">
        <v>433</v>
      </c>
      <c r="C396" t="s">
        <v>1049</v>
      </c>
      <c r="D396" t="s">
        <v>1050</v>
      </c>
      <c r="E396">
        <v>823.2</v>
      </c>
      <c r="F396" s="8">
        <v>45971</v>
      </c>
      <c r="H396" t="str">
        <f>IF(COUNTIF(Customers!$A$2:$A$1001,B396)&gt;0,"Valid","Invalid")</f>
        <v>Valid</v>
      </c>
      <c r="I396" t="str">
        <f t="shared" si="6"/>
        <v>Valid</v>
      </c>
      <c r="K396" t="str">
        <f>VLOOKUP(B396,Customers!A:G,7,FALSE)</f>
        <v>Individual</v>
      </c>
    </row>
    <row r="397" spans="1:11" x14ac:dyDescent="0.25">
      <c r="A397" t="s">
        <v>1446</v>
      </c>
      <c r="B397" t="s">
        <v>434</v>
      </c>
      <c r="C397" t="s">
        <v>1045</v>
      </c>
      <c r="D397" t="s">
        <v>1050</v>
      </c>
      <c r="E397">
        <v>825.1</v>
      </c>
      <c r="F397" s="8">
        <v>45923</v>
      </c>
      <c r="H397" t="str">
        <f>IF(COUNTIF(Customers!$A$2:$A$1001,B397)&gt;0,"Valid","Invalid")</f>
        <v>Valid</v>
      </c>
      <c r="I397" t="str">
        <f t="shared" si="6"/>
        <v>Valid</v>
      </c>
      <c r="K397" t="str">
        <f>VLOOKUP(B397,Customers!A:G,7,FALSE)</f>
        <v>Individual</v>
      </c>
    </row>
    <row r="398" spans="1:11" x14ac:dyDescent="0.25">
      <c r="A398" t="s">
        <v>1447</v>
      </c>
      <c r="B398" t="s">
        <v>435</v>
      </c>
      <c r="C398" t="s">
        <v>1045</v>
      </c>
      <c r="D398" t="s">
        <v>1050</v>
      </c>
      <c r="E398">
        <v>10929.83</v>
      </c>
      <c r="F398" s="8">
        <v>46055</v>
      </c>
      <c r="H398" t="str">
        <f>IF(COUNTIF(Customers!$A$2:$A$1001,B398)&gt;0,"Valid","Invalid")</f>
        <v>Valid</v>
      </c>
      <c r="I398" t="str">
        <f t="shared" si="6"/>
        <v>Valid</v>
      </c>
      <c r="K398" t="str">
        <f>VLOOKUP(B398,Customers!A:G,7,FALSE)</f>
        <v>Individual</v>
      </c>
    </row>
    <row r="399" spans="1:11" x14ac:dyDescent="0.25">
      <c r="A399" t="s">
        <v>1448</v>
      </c>
      <c r="B399" t="s">
        <v>436</v>
      </c>
      <c r="C399" t="s">
        <v>1045</v>
      </c>
      <c r="D399" t="s">
        <v>1046</v>
      </c>
      <c r="E399">
        <v>4267.9799999999996</v>
      </c>
      <c r="F399" s="8">
        <v>45504</v>
      </c>
      <c r="H399" t="str">
        <f>IF(COUNTIF(Customers!$A$2:$A$1001,B399)&gt;0,"Valid","Invalid")</f>
        <v>Valid</v>
      </c>
      <c r="I399" t="str">
        <f t="shared" si="6"/>
        <v>Valid</v>
      </c>
      <c r="K399" t="str">
        <f>VLOOKUP(B399,Customers!A:G,7,FALSE)</f>
        <v>Individual</v>
      </c>
    </row>
    <row r="400" spans="1:11" x14ac:dyDescent="0.25">
      <c r="A400" t="s">
        <v>1449</v>
      </c>
      <c r="B400" t="s">
        <v>437</v>
      </c>
      <c r="C400" t="s">
        <v>1056</v>
      </c>
      <c r="D400" t="s">
        <v>1050</v>
      </c>
      <c r="E400">
        <v>1405.18</v>
      </c>
      <c r="F400" s="8">
        <v>44975</v>
      </c>
      <c r="H400" t="str">
        <f>IF(COUNTIF(Customers!$A$2:$A$1001,B400)&gt;0,"Valid","Invalid")</f>
        <v>Valid</v>
      </c>
      <c r="I400" t="str">
        <f t="shared" si="6"/>
        <v>Valid</v>
      </c>
      <c r="K400" t="str">
        <f>VLOOKUP(B400,Customers!A:G,7,FALSE)</f>
        <v>Individual</v>
      </c>
    </row>
    <row r="401" spans="1:11" x14ac:dyDescent="0.25">
      <c r="A401" t="s">
        <v>1450</v>
      </c>
      <c r="B401" t="s">
        <v>438</v>
      </c>
      <c r="C401" t="s">
        <v>1045</v>
      </c>
      <c r="D401" t="s">
        <v>1046</v>
      </c>
      <c r="E401">
        <v>3540.54</v>
      </c>
      <c r="F401" s="8">
        <v>45454</v>
      </c>
      <c r="H401" t="str">
        <f>IF(COUNTIF(Customers!$A$2:$A$1001,B401)&gt;0,"Valid","Invalid")</f>
        <v>Valid</v>
      </c>
      <c r="I401" t="str">
        <f t="shared" si="6"/>
        <v>Valid</v>
      </c>
      <c r="K401" t="str">
        <f>VLOOKUP(B401,Customers!A:G,7,FALSE)</f>
        <v>Individual</v>
      </c>
    </row>
    <row r="402" spans="1:11" x14ac:dyDescent="0.25">
      <c r="A402" t="s">
        <v>1451</v>
      </c>
      <c r="B402" t="s">
        <v>439</v>
      </c>
      <c r="C402" t="s">
        <v>1045</v>
      </c>
      <c r="D402" t="s">
        <v>1050</v>
      </c>
      <c r="E402">
        <v>1187.6500000000001</v>
      </c>
      <c r="F402" s="8">
        <v>45071</v>
      </c>
      <c r="H402" t="str">
        <f>IF(COUNTIF(Customers!$A$2:$A$1001,B402)&gt;0,"Valid","Invalid")</f>
        <v>Valid</v>
      </c>
      <c r="I402" t="str">
        <f t="shared" si="6"/>
        <v>Valid</v>
      </c>
      <c r="K402" t="str">
        <f>VLOOKUP(B402,Customers!A:G,7,FALSE)</f>
        <v>Individual</v>
      </c>
    </row>
    <row r="403" spans="1:11" x14ac:dyDescent="0.25">
      <c r="A403" t="s">
        <v>1452</v>
      </c>
      <c r="B403" t="s">
        <v>440</v>
      </c>
      <c r="C403" t="s">
        <v>1056</v>
      </c>
      <c r="D403" t="s">
        <v>1046</v>
      </c>
      <c r="E403">
        <v>2019.74</v>
      </c>
      <c r="F403" s="8">
        <v>45688</v>
      </c>
      <c r="H403" t="str">
        <f>IF(COUNTIF(Customers!$A$2:$A$1001,B403)&gt;0,"Valid","Invalid")</f>
        <v>Valid</v>
      </c>
      <c r="I403" t="str">
        <f t="shared" si="6"/>
        <v>Valid</v>
      </c>
      <c r="K403" t="str">
        <f>VLOOKUP(B403,Customers!A:G,7,FALSE)</f>
        <v>Individual</v>
      </c>
    </row>
    <row r="404" spans="1:11" x14ac:dyDescent="0.25">
      <c r="A404" t="s">
        <v>1453</v>
      </c>
      <c r="B404" t="s">
        <v>441</v>
      </c>
      <c r="C404" t="s">
        <v>1049</v>
      </c>
      <c r="D404" t="s">
        <v>1050</v>
      </c>
      <c r="E404">
        <v>2811.94</v>
      </c>
      <c r="F404" s="8">
        <v>46025</v>
      </c>
      <c r="H404" t="str">
        <f>IF(COUNTIF(Customers!$A$2:$A$1001,B404)&gt;0,"Valid","Invalid")</f>
        <v>Valid</v>
      </c>
      <c r="I404" t="str">
        <f t="shared" si="6"/>
        <v>Valid</v>
      </c>
      <c r="K404" t="str">
        <f>VLOOKUP(B404,Customers!A:G,7,FALSE)</f>
        <v>Individual</v>
      </c>
    </row>
    <row r="405" spans="1:11" x14ac:dyDescent="0.25">
      <c r="A405" t="s">
        <v>1454</v>
      </c>
      <c r="B405" t="s">
        <v>442</v>
      </c>
      <c r="C405" t="s">
        <v>1045</v>
      </c>
      <c r="D405" t="s">
        <v>1050</v>
      </c>
      <c r="E405">
        <v>1190.82</v>
      </c>
      <c r="F405" s="8">
        <v>45855</v>
      </c>
      <c r="H405" t="str">
        <f>IF(COUNTIF(Customers!$A$2:$A$1001,B405)&gt;0,"Valid","Invalid")</f>
        <v>Valid</v>
      </c>
      <c r="I405" t="str">
        <f t="shared" si="6"/>
        <v>Valid</v>
      </c>
      <c r="K405" t="str">
        <f>VLOOKUP(B405,Customers!A:G,7,FALSE)</f>
        <v>Corporate</v>
      </c>
    </row>
    <row r="406" spans="1:11" x14ac:dyDescent="0.25">
      <c r="A406" t="s">
        <v>1455</v>
      </c>
      <c r="B406" t="s">
        <v>443</v>
      </c>
      <c r="C406" t="s">
        <v>1045</v>
      </c>
      <c r="D406" t="s">
        <v>1050</v>
      </c>
      <c r="E406">
        <v>911.19</v>
      </c>
      <c r="F406" s="8">
        <v>45720</v>
      </c>
      <c r="H406" t="str">
        <f>IF(COUNTIF(Customers!$A$2:$A$1001,B406)&gt;0,"Valid","Invalid")</f>
        <v>Valid</v>
      </c>
      <c r="I406" t="str">
        <f t="shared" si="6"/>
        <v>Valid</v>
      </c>
      <c r="K406" t="str">
        <f>VLOOKUP(B406,Customers!A:G,7,FALSE)</f>
        <v>Individual</v>
      </c>
    </row>
    <row r="407" spans="1:11" x14ac:dyDescent="0.25">
      <c r="A407" t="s">
        <v>1456</v>
      </c>
      <c r="B407" t="s">
        <v>444</v>
      </c>
      <c r="C407" t="s">
        <v>1045</v>
      </c>
      <c r="D407" t="s">
        <v>1050</v>
      </c>
      <c r="E407">
        <v>6148.31</v>
      </c>
      <c r="F407" s="8">
        <v>45245</v>
      </c>
      <c r="H407" t="str">
        <f>IF(COUNTIF(Customers!$A$2:$A$1001,B407)&gt;0,"Valid","Invalid")</f>
        <v>Valid</v>
      </c>
      <c r="I407" t="str">
        <f t="shared" si="6"/>
        <v>Valid</v>
      </c>
      <c r="K407" t="str">
        <f>VLOOKUP(B407,Customers!A:G,7,FALSE)</f>
        <v>Student</v>
      </c>
    </row>
    <row r="408" spans="1:11" x14ac:dyDescent="0.25">
      <c r="A408" t="s">
        <v>1457</v>
      </c>
      <c r="B408" t="s">
        <v>445</v>
      </c>
      <c r="C408" t="s">
        <v>1045</v>
      </c>
      <c r="D408" t="s">
        <v>1046</v>
      </c>
      <c r="E408">
        <v>3341.29</v>
      </c>
      <c r="F408" s="8">
        <v>46037</v>
      </c>
      <c r="H408" t="str">
        <f>IF(COUNTIF(Customers!$A$2:$A$1001,B408)&gt;0,"Valid","Invalid")</f>
        <v>Valid</v>
      </c>
      <c r="I408" t="str">
        <f t="shared" si="6"/>
        <v>Valid</v>
      </c>
      <c r="K408" t="str">
        <f>VLOOKUP(B408,Customers!A:G,7,FALSE)</f>
        <v>Student</v>
      </c>
    </row>
    <row r="409" spans="1:11" x14ac:dyDescent="0.25">
      <c r="A409" t="s">
        <v>1458</v>
      </c>
      <c r="B409" t="s">
        <v>446</v>
      </c>
      <c r="C409" t="s">
        <v>1045</v>
      </c>
      <c r="D409" t="s">
        <v>1050</v>
      </c>
      <c r="E409">
        <v>189.69</v>
      </c>
      <c r="F409" s="8">
        <v>45624</v>
      </c>
      <c r="H409" t="str">
        <f>IF(COUNTIF(Customers!$A$2:$A$1001,B409)&gt;0,"Valid","Invalid")</f>
        <v>Valid</v>
      </c>
      <c r="I409" t="str">
        <f t="shared" si="6"/>
        <v>Valid</v>
      </c>
      <c r="K409" t="str">
        <f>VLOOKUP(B409,Customers!A:G,7,FALSE)</f>
        <v>Corporate</v>
      </c>
    </row>
    <row r="410" spans="1:11" x14ac:dyDescent="0.25">
      <c r="A410" t="s">
        <v>1459</v>
      </c>
      <c r="B410" t="s">
        <v>447</v>
      </c>
      <c r="C410" t="s">
        <v>1056</v>
      </c>
      <c r="D410" t="s">
        <v>1050</v>
      </c>
      <c r="E410">
        <v>926.92</v>
      </c>
      <c r="F410" s="8">
        <v>45773</v>
      </c>
      <c r="H410" t="str">
        <f>IF(COUNTIF(Customers!$A$2:$A$1001,B410)&gt;0,"Valid","Invalid")</f>
        <v>Valid</v>
      </c>
      <c r="I410" t="str">
        <f t="shared" si="6"/>
        <v>Valid</v>
      </c>
      <c r="K410" t="str">
        <f>VLOOKUP(B410,Customers!A:G,7,FALSE)</f>
        <v>Individual</v>
      </c>
    </row>
    <row r="411" spans="1:11" x14ac:dyDescent="0.25">
      <c r="A411" t="s">
        <v>1460</v>
      </c>
      <c r="B411" t="s">
        <v>448</v>
      </c>
      <c r="C411" t="s">
        <v>1056</v>
      </c>
      <c r="D411" t="s">
        <v>1073</v>
      </c>
      <c r="E411">
        <v>827.76</v>
      </c>
      <c r="F411" s="8">
        <v>45709</v>
      </c>
      <c r="H411" t="str">
        <f>IF(COUNTIF(Customers!$A$2:$A$1001,B411)&gt;0,"Valid","Invalid")</f>
        <v>Valid</v>
      </c>
      <c r="I411" t="str">
        <f t="shared" si="6"/>
        <v>Valid</v>
      </c>
      <c r="K411" t="str">
        <f>VLOOKUP(B411,Customers!A:G,7,FALSE)</f>
        <v>Student</v>
      </c>
    </row>
    <row r="412" spans="1:11" x14ac:dyDescent="0.25">
      <c r="A412" t="s">
        <v>1461</v>
      </c>
      <c r="B412" t="s">
        <v>449</v>
      </c>
      <c r="C412" t="s">
        <v>1056</v>
      </c>
      <c r="D412" t="s">
        <v>1050</v>
      </c>
      <c r="E412">
        <v>971.52</v>
      </c>
      <c r="F412" s="8">
        <v>44968</v>
      </c>
      <c r="H412" t="str">
        <f>IF(COUNTIF(Customers!$A$2:$A$1001,B412)&gt;0,"Valid","Invalid")</f>
        <v>Valid</v>
      </c>
      <c r="I412" t="str">
        <f t="shared" si="6"/>
        <v>Valid</v>
      </c>
      <c r="K412" t="str">
        <f>VLOOKUP(B412,Customers!A:G,7,FALSE)</f>
        <v>Individual</v>
      </c>
    </row>
    <row r="413" spans="1:11" x14ac:dyDescent="0.25">
      <c r="A413" t="s">
        <v>1462</v>
      </c>
      <c r="B413" t="s">
        <v>450</v>
      </c>
      <c r="C413" t="s">
        <v>1045</v>
      </c>
      <c r="D413" t="s">
        <v>1050</v>
      </c>
      <c r="E413">
        <v>4282.97</v>
      </c>
      <c r="F413" s="8">
        <v>46043</v>
      </c>
      <c r="H413" t="str">
        <f>IF(COUNTIF(Customers!$A$2:$A$1001,B413)&gt;0,"Valid","Invalid")</f>
        <v>Valid</v>
      </c>
      <c r="I413" t="str">
        <f t="shared" si="6"/>
        <v>Valid</v>
      </c>
      <c r="K413" t="str">
        <f>VLOOKUP(B413,Customers!A:G,7,FALSE)</f>
        <v>Individual</v>
      </c>
    </row>
    <row r="414" spans="1:11" x14ac:dyDescent="0.25">
      <c r="A414" t="s">
        <v>1463</v>
      </c>
      <c r="B414" t="s">
        <v>451</v>
      </c>
      <c r="C414" t="s">
        <v>1049</v>
      </c>
      <c r="D414" t="s">
        <v>1050</v>
      </c>
      <c r="E414">
        <v>1843.1</v>
      </c>
      <c r="F414" s="8">
        <v>45455</v>
      </c>
      <c r="H414" t="str">
        <f>IF(COUNTIF(Customers!$A$2:$A$1001,B414)&gt;0,"Valid","Invalid")</f>
        <v>Valid</v>
      </c>
      <c r="I414" t="str">
        <f t="shared" si="6"/>
        <v>Valid</v>
      </c>
      <c r="K414" t="str">
        <f>VLOOKUP(B414,Customers!A:G,7,FALSE)</f>
        <v>Individual</v>
      </c>
    </row>
    <row r="415" spans="1:11" x14ac:dyDescent="0.25">
      <c r="A415" t="s">
        <v>1464</v>
      </c>
      <c r="B415" t="s">
        <v>452</v>
      </c>
      <c r="C415" t="s">
        <v>1045</v>
      </c>
      <c r="D415" t="s">
        <v>1050</v>
      </c>
      <c r="E415">
        <v>450.51</v>
      </c>
      <c r="F415" s="8">
        <v>45218</v>
      </c>
      <c r="H415" t="str">
        <f>IF(COUNTIF(Customers!$A$2:$A$1001,B415)&gt;0,"Valid","Invalid")</f>
        <v>Valid</v>
      </c>
      <c r="I415" t="str">
        <f t="shared" si="6"/>
        <v>Valid</v>
      </c>
      <c r="K415" t="str">
        <f>VLOOKUP(B415,Customers!A:G,7,FALSE)</f>
        <v>Individual</v>
      </c>
    </row>
    <row r="416" spans="1:11" x14ac:dyDescent="0.25">
      <c r="A416" t="s">
        <v>1465</v>
      </c>
      <c r="B416" t="s">
        <v>453</v>
      </c>
      <c r="C416" t="s">
        <v>1045</v>
      </c>
      <c r="D416" t="s">
        <v>1050</v>
      </c>
      <c r="E416">
        <v>1232.48</v>
      </c>
      <c r="F416" s="8">
        <v>45895</v>
      </c>
      <c r="H416" t="str">
        <f>IF(COUNTIF(Customers!$A$2:$A$1001,B416)&gt;0,"Valid","Invalid")</f>
        <v>Valid</v>
      </c>
      <c r="I416" t="str">
        <f t="shared" si="6"/>
        <v>Valid</v>
      </c>
      <c r="K416" t="str">
        <f>VLOOKUP(B416,Customers!A:G,7,FALSE)</f>
        <v>Student</v>
      </c>
    </row>
    <row r="417" spans="1:11" x14ac:dyDescent="0.25">
      <c r="A417" t="s">
        <v>1466</v>
      </c>
      <c r="B417" t="s">
        <v>454</v>
      </c>
      <c r="C417" t="s">
        <v>1049</v>
      </c>
      <c r="D417" t="s">
        <v>1050</v>
      </c>
      <c r="E417">
        <v>3108.01</v>
      </c>
      <c r="F417" s="8">
        <v>45023</v>
      </c>
      <c r="H417" t="str">
        <f>IF(COUNTIF(Customers!$A$2:$A$1001,B417)&gt;0,"Valid","Invalid")</f>
        <v>Valid</v>
      </c>
      <c r="I417" t="str">
        <f t="shared" si="6"/>
        <v>Valid</v>
      </c>
      <c r="K417" t="str">
        <f>VLOOKUP(B417,Customers!A:G,7,FALSE)</f>
        <v>Corporate</v>
      </c>
    </row>
    <row r="418" spans="1:11" x14ac:dyDescent="0.25">
      <c r="A418" t="s">
        <v>1467</v>
      </c>
      <c r="B418" t="s">
        <v>455</v>
      </c>
      <c r="C418" t="s">
        <v>1045</v>
      </c>
      <c r="D418" t="s">
        <v>1068</v>
      </c>
      <c r="E418">
        <v>1451.5</v>
      </c>
      <c r="F418" s="8">
        <v>46045</v>
      </c>
      <c r="H418" t="str">
        <f>IF(COUNTIF(Customers!$A$2:$A$1001,B418)&gt;0,"Valid","Invalid")</f>
        <v>Valid</v>
      </c>
      <c r="I418" t="str">
        <f t="shared" si="6"/>
        <v>Valid</v>
      </c>
      <c r="K418" t="str">
        <f>VLOOKUP(B418,Customers!A:G,7,FALSE)</f>
        <v>Individual</v>
      </c>
    </row>
    <row r="419" spans="1:11" x14ac:dyDescent="0.25">
      <c r="A419" t="s">
        <v>1468</v>
      </c>
      <c r="B419" t="s">
        <v>456</v>
      </c>
      <c r="C419" t="s">
        <v>1045</v>
      </c>
      <c r="D419" t="s">
        <v>1050</v>
      </c>
      <c r="E419">
        <v>948.92</v>
      </c>
      <c r="F419" s="8">
        <v>45000</v>
      </c>
      <c r="H419" t="str">
        <f>IF(COUNTIF(Customers!$A$2:$A$1001,B419)&gt;0,"Valid","Invalid")</f>
        <v>Valid</v>
      </c>
      <c r="I419" t="str">
        <f t="shared" si="6"/>
        <v>Valid</v>
      </c>
      <c r="K419" t="str">
        <f>VLOOKUP(B419,Customers!A:G,7,FALSE)</f>
        <v>Individual</v>
      </c>
    </row>
    <row r="420" spans="1:11" x14ac:dyDescent="0.25">
      <c r="A420" t="s">
        <v>1469</v>
      </c>
      <c r="B420" t="s">
        <v>457</v>
      </c>
      <c r="C420" t="s">
        <v>1049</v>
      </c>
      <c r="D420" t="s">
        <v>1050</v>
      </c>
      <c r="E420">
        <v>2518</v>
      </c>
      <c r="F420" s="8">
        <v>46018</v>
      </c>
      <c r="H420" t="str">
        <f>IF(COUNTIF(Customers!$A$2:$A$1001,B420)&gt;0,"Valid","Invalid")</f>
        <v>Valid</v>
      </c>
      <c r="I420" t="str">
        <f t="shared" si="6"/>
        <v>Valid</v>
      </c>
      <c r="K420" t="str">
        <f>VLOOKUP(B420,Customers!A:G,7,FALSE)</f>
        <v>SME</v>
      </c>
    </row>
    <row r="421" spans="1:11" x14ac:dyDescent="0.25">
      <c r="A421" t="s">
        <v>1470</v>
      </c>
      <c r="B421" t="s">
        <v>458</v>
      </c>
      <c r="C421" t="s">
        <v>1045</v>
      </c>
      <c r="D421" t="s">
        <v>1050</v>
      </c>
      <c r="E421">
        <v>9119.7000000000007</v>
      </c>
      <c r="F421" s="8">
        <v>45684</v>
      </c>
      <c r="H421" t="str">
        <f>IF(COUNTIF(Customers!$A$2:$A$1001,B421)&gt;0,"Valid","Invalid")</f>
        <v>Valid</v>
      </c>
      <c r="I421" t="str">
        <f t="shared" si="6"/>
        <v>Valid</v>
      </c>
      <c r="K421" t="str">
        <f>VLOOKUP(B421,Customers!A:G,7,FALSE)</f>
        <v>Individual</v>
      </c>
    </row>
    <row r="422" spans="1:11" x14ac:dyDescent="0.25">
      <c r="A422" t="s">
        <v>1471</v>
      </c>
      <c r="B422" t="s">
        <v>459</v>
      </c>
      <c r="C422" t="s">
        <v>1056</v>
      </c>
      <c r="D422" t="s">
        <v>1073</v>
      </c>
      <c r="E422">
        <v>2868.16</v>
      </c>
      <c r="F422" s="8">
        <v>46027</v>
      </c>
      <c r="H422" t="str">
        <f>IF(COUNTIF(Customers!$A$2:$A$1001,B422)&gt;0,"Valid","Invalid")</f>
        <v>Valid</v>
      </c>
      <c r="I422" t="str">
        <f t="shared" si="6"/>
        <v>Valid</v>
      </c>
      <c r="K422" t="str">
        <f>VLOOKUP(B422,Customers!A:G,7,FALSE)</f>
        <v>Individual</v>
      </c>
    </row>
    <row r="423" spans="1:11" x14ac:dyDescent="0.25">
      <c r="A423" t="s">
        <v>1472</v>
      </c>
      <c r="B423" t="s">
        <v>460</v>
      </c>
      <c r="C423" t="s">
        <v>1045</v>
      </c>
      <c r="D423" t="s">
        <v>1046</v>
      </c>
      <c r="E423">
        <v>6640.49</v>
      </c>
      <c r="F423" s="8">
        <v>45134</v>
      </c>
      <c r="H423" t="str">
        <f>IF(COUNTIF(Customers!$A$2:$A$1001,B423)&gt;0,"Valid","Invalid")</f>
        <v>Valid</v>
      </c>
      <c r="I423" t="str">
        <f t="shared" si="6"/>
        <v>Valid</v>
      </c>
      <c r="K423" t="str">
        <f>VLOOKUP(B423,Customers!A:G,7,FALSE)</f>
        <v>Individual</v>
      </c>
    </row>
    <row r="424" spans="1:11" x14ac:dyDescent="0.25">
      <c r="A424" t="s">
        <v>1473</v>
      </c>
      <c r="B424" t="s">
        <v>461</v>
      </c>
      <c r="C424" t="s">
        <v>1056</v>
      </c>
      <c r="D424" t="s">
        <v>1050</v>
      </c>
      <c r="E424">
        <v>1014.74</v>
      </c>
      <c r="F424" s="8">
        <v>46171</v>
      </c>
      <c r="H424" t="str">
        <f>IF(COUNTIF(Customers!$A$2:$A$1001,B424)&gt;0,"Valid","Invalid")</f>
        <v>Valid</v>
      </c>
      <c r="I424" t="str">
        <f t="shared" si="6"/>
        <v>Valid</v>
      </c>
      <c r="K424" t="str">
        <f>VLOOKUP(B424,Customers!A:G,7,FALSE)</f>
        <v>Individual</v>
      </c>
    </row>
    <row r="425" spans="1:11" x14ac:dyDescent="0.25">
      <c r="A425" t="s">
        <v>1474</v>
      </c>
      <c r="B425" t="s">
        <v>462</v>
      </c>
      <c r="C425" t="s">
        <v>1045</v>
      </c>
      <c r="D425" t="s">
        <v>1046</v>
      </c>
      <c r="E425">
        <v>1792.99</v>
      </c>
      <c r="F425" s="8">
        <v>45336</v>
      </c>
      <c r="H425" t="str">
        <f>IF(COUNTIF(Customers!$A$2:$A$1001,B425)&gt;0,"Valid","Invalid")</f>
        <v>Valid</v>
      </c>
      <c r="I425" t="str">
        <f t="shared" si="6"/>
        <v>Valid</v>
      </c>
      <c r="K425" t="str">
        <f>VLOOKUP(B425,Customers!A:G,7,FALSE)</f>
        <v>SME</v>
      </c>
    </row>
    <row r="426" spans="1:11" x14ac:dyDescent="0.25">
      <c r="A426" t="s">
        <v>1475</v>
      </c>
      <c r="B426" t="s">
        <v>463</v>
      </c>
      <c r="C426" t="s">
        <v>1045</v>
      </c>
      <c r="D426" t="s">
        <v>1050</v>
      </c>
      <c r="E426">
        <v>1757.15</v>
      </c>
      <c r="F426" s="8">
        <v>45257</v>
      </c>
      <c r="H426" t="str">
        <f>IF(COUNTIF(Customers!$A$2:$A$1001,B426)&gt;0,"Valid","Invalid")</f>
        <v>Valid</v>
      </c>
      <c r="I426" t="str">
        <f t="shared" si="6"/>
        <v>Valid</v>
      </c>
      <c r="K426" t="str">
        <f>VLOOKUP(B426,Customers!A:G,7,FALSE)</f>
        <v>Corporate</v>
      </c>
    </row>
    <row r="427" spans="1:11" x14ac:dyDescent="0.25">
      <c r="A427" t="s">
        <v>1476</v>
      </c>
      <c r="B427" t="s">
        <v>464</v>
      </c>
      <c r="C427" t="s">
        <v>1056</v>
      </c>
      <c r="D427" t="s">
        <v>1050</v>
      </c>
      <c r="E427">
        <v>2035.87</v>
      </c>
      <c r="F427" s="8">
        <v>45270</v>
      </c>
      <c r="H427" t="str">
        <f>IF(COUNTIF(Customers!$A$2:$A$1001,B427)&gt;0,"Valid","Invalid")</f>
        <v>Valid</v>
      </c>
      <c r="I427" t="str">
        <f t="shared" si="6"/>
        <v>Valid</v>
      </c>
      <c r="K427" t="str">
        <f>VLOOKUP(B427,Customers!A:G,7,FALSE)</f>
        <v>Student</v>
      </c>
    </row>
    <row r="428" spans="1:11" x14ac:dyDescent="0.25">
      <c r="A428" t="s">
        <v>1477</v>
      </c>
      <c r="B428" t="s">
        <v>465</v>
      </c>
      <c r="C428" t="s">
        <v>1045</v>
      </c>
      <c r="D428" t="s">
        <v>1050</v>
      </c>
      <c r="E428">
        <v>2808.82</v>
      </c>
      <c r="F428" s="8">
        <v>45915</v>
      </c>
      <c r="H428" t="str">
        <f>IF(COUNTIF(Customers!$A$2:$A$1001,B428)&gt;0,"Valid","Invalid")</f>
        <v>Valid</v>
      </c>
      <c r="I428" t="str">
        <f t="shared" si="6"/>
        <v>Valid</v>
      </c>
      <c r="K428" t="str">
        <f>VLOOKUP(B428,Customers!A:G,7,FALSE)</f>
        <v>Individual</v>
      </c>
    </row>
    <row r="429" spans="1:11" x14ac:dyDescent="0.25">
      <c r="A429" t="s">
        <v>1478</v>
      </c>
      <c r="B429" t="s">
        <v>466</v>
      </c>
      <c r="C429" t="s">
        <v>1045</v>
      </c>
      <c r="D429" t="s">
        <v>1050</v>
      </c>
      <c r="E429">
        <v>721.28</v>
      </c>
      <c r="F429" s="8">
        <v>45697</v>
      </c>
      <c r="H429" t="str">
        <f>IF(COUNTIF(Customers!$A$2:$A$1001,B429)&gt;0,"Valid","Invalid")</f>
        <v>Valid</v>
      </c>
      <c r="I429" t="str">
        <f t="shared" si="6"/>
        <v>Valid</v>
      </c>
      <c r="K429" t="str">
        <f>VLOOKUP(B429,Customers!A:G,7,FALSE)</f>
        <v>Corporate</v>
      </c>
    </row>
    <row r="430" spans="1:11" x14ac:dyDescent="0.25">
      <c r="A430" t="s">
        <v>1479</v>
      </c>
      <c r="B430" t="s">
        <v>467</v>
      </c>
      <c r="C430" t="s">
        <v>1045</v>
      </c>
      <c r="D430" t="s">
        <v>1050</v>
      </c>
      <c r="E430">
        <v>3454.15</v>
      </c>
      <c r="F430" s="8">
        <v>45000</v>
      </c>
      <c r="H430" t="str">
        <f>IF(COUNTIF(Customers!$A$2:$A$1001,B430)&gt;0,"Valid","Invalid")</f>
        <v>Valid</v>
      </c>
      <c r="I430" t="str">
        <f t="shared" si="6"/>
        <v>Valid</v>
      </c>
      <c r="K430" t="str">
        <f>VLOOKUP(B430,Customers!A:G,7,FALSE)</f>
        <v>SME</v>
      </c>
    </row>
    <row r="431" spans="1:11" x14ac:dyDescent="0.25">
      <c r="A431" t="s">
        <v>1480</v>
      </c>
      <c r="B431" t="s">
        <v>468</v>
      </c>
      <c r="C431" t="s">
        <v>1045</v>
      </c>
      <c r="D431" t="s">
        <v>1073</v>
      </c>
      <c r="E431">
        <v>355</v>
      </c>
      <c r="F431" s="8">
        <v>45180</v>
      </c>
      <c r="H431" t="str">
        <f>IF(COUNTIF(Customers!$A$2:$A$1001,B431)&gt;0,"Valid","Invalid")</f>
        <v>Valid</v>
      </c>
      <c r="I431" t="str">
        <f t="shared" si="6"/>
        <v>Valid</v>
      </c>
      <c r="K431" t="str">
        <f>VLOOKUP(B431,Customers!A:G,7,FALSE)</f>
        <v>SME</v>
      </c>
    </row>
    <row r="432" spans="1:11" x14ac:dyDescent="0.25">
      <c r="A432" t="s">
        <v>1481</v>
      </c>
      <c r="B432" t="s">
        <v>469</v>
      </c>
      <c r="C432" t="s">
        <v>1045</v>
      </c>
      <c r="D432" t="s">
        <v>1050</v>
      </c>
      <c r="E432">
        <v>475.44</v>
      </c>
      <c r="F432" s="8">
        <v>45885</v>
      </c>
      <c r="H432" t="str">
        <f>IF(COUNTIF(Customers!$A$2:$A$1001,B432)&gt;0,"Valid","Invalid")</f>
        <v>Valid</v>
      </c>
      <c r="I432" t="str">
        <f t="shared" si="6"/>
        <v>Valid</v>
      </c>
      <c r="K432" t="str">
        <f>VLOOKUP(B432,Customers!A:G,7,FALSE)</f>
        <v>Individual</v>
      </c>
    </row>
    <row r="433" spans="1:11" x14ac:dyDescent="0.25">
      <c r="A433" t="s">
        <v>1482</v>
      </c>
      <c r="B433" t="s">
        <v>470</v>
      </c>
      <c r="C433" t="s">
        <v>1045</v>
      </c>
      <c r="D433" t="s">
        <v>1068</v>
      </c>
      <c r="E433">
        <v>15300.28</v>
      </c>
      <c r="F433" s="8">
        <v>45746</v>
      </c>
      <c r="H433" t="str">
        <f>IF(COUNTIF(Customers!$A$2:$A$1001,B433)&gt;0,"Valid","Invalid")</f>
        <v>Valid</v>
      </c>
      <c r="I433" t="str">
        <f t="shared" si="6"/>
        <v>Valid</v>
      </c>
      <c r="K433" t="str">
        <f>VLOOKUP(B433,Customers!A:G,7,FALSE)</f>
        <v>Individual</v>
      </c>
    </row>
    <row r="434" spans="1:11" x14ac:dyDescent="0.25">
      <c r="A434" t="s">
        <v>1483</v>
      </c>
      <c r="B434" t="s">
        <v>471</v>
      </c>
      <c r="C434" t="s">
        <v>1049</v>
      </c>
      <c r="D434" t="s">
        <v>1050</v>
      </c>
      <c r="E434">
        <v>1085.5899999999999</v>
      </c>
      <c r="F434" s="8">
        <v>45912</v>
      </c>
      <c r="H434" t="str">
        <f>IF(COUNTIF(Customers!$A$2:$A$1001,B434)&gt;0,"Valid","Invalid")</f>
        <v>Valid</v>
      </c>
      <c r="I434" t="str">
        <f t="shared" si="6"/>
        <v>Valid</v>
      </c>
      <c r="K434" t="str">
        <f>VLOOKUP(B434,Customers!A:G,7,FALSE)</f>
        <v>SME</v>
      </c>
    </row>
    <row r="435" spans="1:11" x14ac:dyDescent="0.25">
      <c r="A435" t="s">
        <v>1484</v>
      </c>
      <c r="B435" t="s">
        <v>472</v>
      </c>
      <c r="C435" t="s">
        <v>1045</v>
      </c>
      <c r="D435" t="s">
        <v>1050</v>
      </c>
      <c r="E435">
        <v>3750.03</v>
      </c>
      <c r="F435" s="8">
        <v>45258</v>
      </c>
      <c r="H435" t="str">
        <f>IF(COUNTIF(Customers!$A$2:$A$1001,B435)&gt;0,"Valid","Invalid")</f>
        <v>Valid</v>
      </c>
      <c r="I435" t="str">
        <f t="shared" si="6"/>
        <v>Valid</v>
      </c>
      <c r="K435" t="str">
        <f>VLOOKUP(B435,Customers!A:G,7,FALSE)</f>
        <v>Individual</v>
      </c>
    </row>
    <row r="436" spans="1:11" x14ac:dyDescent="0.25">
      <c r="A436" t="s">
        <v>1485</v>
      </c>
      <c r="B436" t="s">
        <v>473</v>
      </c>
      <c r="C436" t="s">
        <v>1045</v>
      </c>
      <c r="D436" t="s">
        <v>1050</v>
      </c>
      <c r="E436">
        <v>9880.2199999999993</v>
      </c>
      <c r="F436" s="8">
        <v>45673</v>
      </c>
      <c r="H436" t="str">
        <f>IF(COUNTIF(Customers!$A$2:$A$1001,B436)&gt;0,"Valid","Invalid")</f>
        <v>Valid</v>
      </c>
      <c r="I436" t="str">
        <f t="shared" si="6"/>
        <v>Valid</v>
      </c>
      <c r="K436" t="str">
        <f>VLOOKUP(B436,Customers!A:G,7,FALSE)</f>
        <v>Individual</v>
      </c>
    </row>
    <row r="437" spans="1:11" x14ac:dyDescent="0.25">
      <c r="A437" t="s">
        <v>1486</v>
      </c>
      <c r="B437" t="s">
        <v>474</v>
      </c>
      <c r="C437" t="s">
        <v>1045</v>
      </c>
      <c r="D437" t="s">
        <v>1050</v>
      </c>
      <c r="E437">
        <v>178.67</v>
      </c>
      <c r="F437" s="8">
        <v>45762</v>
      </c>
      <c r="H437" t="str">
        <f>IF(COUNTIF(Customers!$A$2:$A$1001,B437)&gt;0,"Valid","Invalid")</f>
        <v>Valid</v>
      </c>
      <c r="I437" t="str">
        <f t="shared" si="6"/>
        <v>Valid</v>
      </c>
      <c r="K437" t="str">
        <f>VLOOKUP(B437,Customers!A:G,7,FALSE)</f>
        <v>Student</v>
      </c>
    </row>
    <row r="438" spans="1:11" x14ac:dyDescent="0.25">
      <c r="A438" t="s">
        <v>1487</v>
      </c>
      <c r="B438" t="s">
        <v>475</v>
      </c>
      <c r="C438" t="s">
        <v>1045</v>
      </c>
      <c r="D438" t="s">
        <v>1050</v>
      </c>
      <c r="E438">
        <v>5576.11</v>
      </c>
      <c r="F438" s="8">
        <v>45381</v>
      </c>
      <c r="H438" t="str">
        <f>IF(COUNTIF(Customers!$A$2:$A$1001,B438)&gt;0,"Valid","Invalid")</f>
        <v>Valid</v>
      </c>
      <c r="I438" t="str">
        <f t="shared" si="6"/>
        <v>Valid</v>
      </c>
      <c r="K438" t="str">
        <f>VLOOKUP(B438,Customers!A:G,7,FALSE)</f>
        <v>Individual</v>
      </c>
    </row>
    <row r="439" spans="1:11" x14ac:dyDescent="0.25">
      <c r="A439" t="s">
        <v>1488</v>
      </c>
      <c r="B439" t="s">
        <v>476</v>
      </c>
      <c r="C439" t="s">
        <v>17</v>
      </c>
      <c r="D439" t="s">
        <v>1050</v>
      </c>
      <c r="E439">
        <v>3459.72</v>
      </c>
      <c r="F439" s="8">
        <v>46065</v>
      </c>
      <c r="H439" t="str">
        <f>IF(COUNTIF(Customers!$A$2:$A$1001,B439)&gt;0,"Valid","Invalid")</f>
        <v>Valid</v>
      </c>
      <c r="I439" t="str">
        <f t="shared" si="6"/>
        <v>Valid</v>
      </c>
      <c r="K439" t="str">
        <f>VLOOKUP(B439,Customers!A:G,7,FALSE)</f>
        <v>Individual</v>
      </c>
    </row>
    <row r="440" spans="1:11" x14ac:dyDescent="0.25">
      <c r="A440" t="s">
        <v>1489</v>
      </c>
      <c r="B440" t="s">
        <v>477</v>
      </c>
      <c r="C440" t="s">
        <v>1045</v>
      </c>
      <c r="D440" t="s">
        <v>1050</v>
      </c>
      <c r="E440">
        <v>9324.4699999999993</v>
      </c>
      <c r="F440" s="8">
        <v>45239</v>
      </c>
      <c r="H440" t="str">
        <f>IF(COUNTIF(Customers!$A$2:$A$1001,B440)&gt;0,"Valid","Invalid")</f>
        <v>Valid</v>
      </c>
      <c r="I440" t="str">
        <f t="shared" si="6"/>
        <v>Valid</v>
      </c>
      <c r="K440" t="str">
        <f>VLOOKUP(B440,Customers!A:G,7,FALSE)</f>
        <v>Individual</v>
      </c>
    </row>
    <row r="441" spans="1:11" x14ac:dyDescent="0.25">
      <c r="A441" t="s">
        <v>1490</v>
      </c>
      <c r="B441" t="s">
        <v>478</v>
      </c>
      <c r="C441" t="s">
        <v>17</v>
      </c>
      <c r="D441" t="s">
        <v>1050</v>
      </c>
      <c r="E441">
        <v>554.73</v>
      </c>
      <c r="F441" s="8">
        <v>45944</v>
      </c>
      <c r="H441" t="str">
        <f>IF(COUNTIF(Customers!$A$2:$A$1001,B441)&gt;0,"Valid","Invalid")</f>
        <v>Valid</v>
      </c>
      <c r="I441" t="str">
        <f t="shared" si="6"/>
        <v>Valid</v>
      </c>
      <c r="K441" t="str">
        <f>VLOOKUP(B441,Customers!A:G,7,FALSE)</f>
        <v>Corporate</v>
      </c>
    </row>
    <row r="442" spans="1:11" x14ac:dyDescent="0.25">
      <c r="A442" t="s">
        <v>1491</v>
      </c>
      <c r="B442" t="s">
        <v>479</v>
      </c>
      <c r="C442" t="s">
        <v>1045</v>
      </c>
      <c r="D442" t="s">
        <v>1046</v>
      </c>
      <c r="E442">
        <v>7717.57</v>
      </c>
      <c r="F442" s="8">
        <v>45154</v>
      </c>
      <c r="H442" t="str">
        <f>IF(COUNTIF(Customers!$A$2:$A$1001,B442)&gt;0,"Valid","Invalid")</f>
        <v>Valid</v>
      </c>
      <c r="I442" t="str">
        <f t="shared" si="6"/>
        <v>Valid</v>
      </c>
      <c r="K442" t="str">
        <f>VLOOKUP(B442,Customers!A:G,7,FALSE)</f>
        <v>Individual</v>
      </c>
    </row>
    <row r="443" spans="1:11" x14ac:dyDescent="0.25">
      <c r="A443" t="s">
        <v>1492</v>
      </c>
      <c r="B443" t="s">
        <v>480</v>
      </c>
      <c r="C443" t="s">
        <v>1049</v>
      </c>
      <c r="D443" t="s">
        <v>1050</v>
      </c>
      <c r="E443">
        <v>863.15</v>
      </c>
      <c r="F443" s="8">
        <v>45760</v>
      </c>
      <c r="H443" t="str">
        <f>IF(COUNTIF(Customers!$A$2:$A$1001,B443)&gt;0,"Valid","Invalid")</f>
        <v>Valid</v>
      </c>
      <c r="I443" t="str">
        <f t="shared" si="6"/>
        <v>Valid</v>
      </c>
      <c r="K443" t="str">
        <f>VLOOKUP(B443,Customers!A:G,7,FALSE)</f>
        <v>SME</v>
      </c>
    </row>
    <row r="444" spans="1:11" x14ac:dyDescent="0.25">
      <c r="A444" t="s">
        <v>1493</v>
      </c>
      <c r="B444" t="s">
        <v>481</v>
      </c>
      <c r="C444" t="s">
        <v>1056</v>
      </c>
      <c r="D444" t="s">
        <v>1050</v>
      </c>
      <c r="E444">
        <v>5191.5</v>
      </c>
      <c r="F444" s="8">
        <v>45784</v>
      </c>
      <c r="H444" t="str">
        <f>IF(COUNTIF(Customers!$A$2:$A$1001,B444)&gt;0,"Valid","Invalid")</f>
        <v>Valid</v>
      </c>
      <c r="I444" t="str">
        <f t="shared" si="6"/>
        <v>Valid</v>
      </c>
      <c r="K444" t="str">
        <f>VLOOKUP(B444,Customers!A:G,7,FALSE)</f>
        <v>Individual</v>
      </c>
    </row>
    <row r="445" spans="1:11" x14ac:dyDescent="0.25">
      <c r="A445" t="s">
        <v>1494</v>
      </c>
      <c r="B445" t="s">
        <v>482</v>
      </c>
      <c r="C445" t="s">
        <v>1049</v>
      </c>
      <c r="D445" t="s">
        <v>1050</v>
      </c>
      <c r="E445">
        <v>1744.07</v>
      </c>
      <c r="F445" s="8">
        <v>46195</v>
      </c>
      <c r="H445" t="str">
        <f>IF(COUNTIF(Customers!$A$2:$A$1001,B445)&gt;0,"Valid","Invalid")</f>
        <v>Valid</v>
      </c>
      <c r="I445" t="str">
        <f t="shared" si="6"/>
        <v>Valid</v>
      </c>
      <c r="K445" t="str">
        <f>VLOOKUP(B445,Customers!A:G,7,FALSE)</f>
        <v>Individual</v>
      </c>
    </row>
    <row r="446" spans="1:11" x14ac:dyDescent="0.25">
      <c r="A446" t="s">
        <v>1495</v>
      </c>
      <c r="B446" t="s">
        <v>483</v>
      </c>
      <c r="C446" t="s">
        <v>1056</v>
      </c>
      <c r="D446" t="s">
        <v>1073</v>
      </c>
      <c r="E446">
        <v>3907.95</v>
      </c>
      <c r="F446" s="8">
        <v>45744</v>
      </c>
      <c r="H446" t="str">
        <f>IF(COUNTIF(Customers!$A$2:$A$1001,B446)&gt;0,"Valid","Invalid")</f>
        <v>Valid</v>
      </c>
      <c r="I446" t="str">
        <f t="shared" si="6"/>
        <v>Valid</v>
      </c>
      <c r="K446" t="str">
        <f>VLOOKUP(B446,Customers!A:G,7,FALSE)</f>
        <v>Corporate</v>
      </c>
    </row>
    <row r="447" spans="1:11" x14ac:dyDescent="0.25">
      <c r="A447" t="s">
        <v>1496</v>
      </c>
      <c r="B447" t="s">
        <v>484</v>
      </c>
      <c r="C447" t="s">
        <v>1056</v>
      </c>
      <c r="D447" t="s">
        <v>1046</v>
      </c>
      <c r="E447">
        <v>1898.59</v>
      </c>
      <c r="F447" s="8">
        <v>45944</v>
      </c>
      <c r="H447" t="str">
        <f>IF(COUNTIF(Customers!$A$2:$A$1001,B447)&gt;0,"Valid","Invalid")</f>
        <v>Valid</v>
      </c>
      <c r="I447" t="str">
        <f t="shared" si="6"/>
        <v>Valid</v>
      </c>
      <c r="K447" t="str">
        <f>VLOOKUP(B447,Customers!A:G,7,FALSE)</f>
        <v>Student</v>
      </c>
    </row>
    <row r="448" spans="1:11" x14ac:dyDescent="0.25">
      <c r="A448" t="s">
        <v>1497</v>
      </c>
      <c r="B448" t="s">
        <v>485</v>
      </c>
      <c r="C448" t="s">
        <v>1045</v>
      </c>
      <c r="D448" t="s">
        <v>1050</v>
      </c>
      <c r="E448">
        <v>287.32</v>
      </c>
      <c r="F448" s="8">
        <v>45454</v>
      </c>
      <c r="H448" t="str">
        <f>IF(COUNTIF(Customers!$A$2:$A$1001,B448)&gt;0,"Valid","Invalid")</f>
        <v>Valid</v>
      </c>
      <c r="I448" t="str">
        <f t="shared" si="6"/>
        <v>Valid</v>
      </c>
      <c r="K448" t="str">
        <f>VLOOKUP(B448,Customers!A:G,7,FALSE)</f>
        <v>Student</v>
      </c>
    </row>
    <row r="449" spans="1:11" x14ac:dyDescent="0.25">
      <c r="A449" t="s">
        <v>1498</v>
      </c>
      <c r="B449" t="s">
        <v>486</v>
      </c>
      <c r="C449" t="s">
        <v>1045</v>
      </c>
      <c r="D449" t="s">
        <v>1050</v>
      </c>
      <c r="E449">
        <v>79.790000000000006</v>
      </c>
      <c r="F449" s="8">
        <v>45876</v>
      </c>
      <c r="H449" t="str">
        <f>IF(COUNTIF(Customers!$A$2:$A$1001,B449)&gt;0,"Valid","Invalid")</f>
        <v>Valid</v>
      </c>
      <c r="I449" t="str">
        <f t="shared" si="6"/>
        <v>Valid</v>
      </c>
      <c r="K449" t="str">
        <f>VLOOKUP(B449,Customers!A:G,7,FALSE)</f>
        <v>Individual</v>
      </c>
    </row>
    <row r="450" spans="1:11" x14ac:dyDescent="0.25">
      <c r="A450" t="s">
        <v>1499</v>
      </c>
      <c r="B450" t="s">
        <v>487</v>
      </c>
      <c r="C450" t="s">
        <v>1049</v>
      </c>
      <c r="D450" t="s">
        <v>1050</v>
      </c>
      <c r="E450">
        <v>2230.35</v>
      </c>
      <c r="F450" s="8">
        <v>45353</v>
      </c>
      <c r="H450" t="str">
        <f>IF(COUNTIF(Customers!$A$2:$A$1001,B450)&gt;0,"Valid","Invalid")</f>
        <v>Valid</v>
      </c>
      <c r="I450" t="str">
        <f t="shared" si="6"/>
        <v>Valid</v>
      </c>
      <c r="K450" t="str">
        <f>VLOOKUP(B450,Customers!A:G,7,FALSE)</f>
        <v>Student</v>
      </c>
    </row>
    <row r="451" spans="1:11" x14ac:dyDescent="0.25">
      <c r="A451" t="s">
        <v>1500</v>
      </c>
      <c r="B451" t="s">
        <v>488</v>
      </c>
      <c r="C451" t="s">
        <v>1045</v>
      </c>
      <c r="D451" t="s">
        <v>1068</v>
      </c>
      <c r="E451">
        <v>1388.9</v>
      </c>
      <c r="F451" s="8">
        <v>44968</v>
      </c>
      <c r="H451" t="str">
        <f>IF(COUNTIF(Customers!$A$2:$A$1001,B451)&gt;0,"Valid","Invalid")</f>
        <v>Valid</v>
      </c>
      <c r="I451" t="str">
        <f t="shared" ref="I451:I514" si="7">IF(OR(C451="Savings",C451="Current",C451="Business",C451="Student"),"Valid","Check")</f>
        <v>Valid</v>
      </c>
      <c r="K451" t="str">
        <f>VLOOKUP(B451,Customers!A:G,7,FALSE)</f>
        <v>SME</v>
      </c>
    </row>
    <row r="452" spans="1:11" x14ac:dyDescent="0.25">
      <c r="A452" t="s">
        <v>1501</v>
      </c>
      <c r="B452" t="s">
        <v>489</v>
      </c>
      <c r="C452" t="s">
        <v>1045</v>
      </c>
      <c r="D452" t="s">
        <v>1050</v>
      </c>
      <c r="E452">
        <v>2692.49</v>
      </c>
      <c r="F452" s="8">
        <v>45391</v>
      </c>
      <c r="H452" t="str">
        <f>IF(COUNTIF(Customers!$A$2:$A$1001,B452)&gt;0,"Valid","Invalid")</f>
        <v>Valid</v>
      </c>
      <c r="I452" t="str">
        <f t="shared" si="7"/>
        <v>Valid</v>
      </c>
      <c r="K452" t="str">
        <f>VLOOKUP(B452,Customers!A:G,7,FALSE)</f>
        <v>SME</v>
      </c>
    </row>
    <row r="453" spans="1:11" x14ac:dyDescent="0.25">
      <c r="A453" t="s">
        <v>1502</v>
      </c>
      <c r="B453" t="s">
        <v>490</v>
      </c>
      <c r="C453" t="s">
        <v>1049</v>
      </c>
      <c r="D453" t="s">
        <v>1050</v>
      </c>
      <c r="E453">
        <v>1405.08</v>
      </c>
      <c r="F453" s="8">
        <v>45204</v>
      </c>
      <c r="H453" t="str">
        <f>IF(COUNTIF(Customers!$A$2:$A$1001,B453)&gt;0,"Valid","Invalid")</f>
        <v>Valid</v>
      </c>
      <c r="I453" t="str">
        <f t="shared" si="7"/>
        <v>Valid</v>
      </c>
      <c r="K453" t="str">
        <f>VLOOKUP(B453,Customers!A:G,7,FALSE)</f>
        <v>Individual</v>
      </c>
    </row>
    <row r="454" spans="1:11" x14ac:dyDescent="0.25">
      <c r="A454" t="s">
        <v>1503</v>
      </c>
      <c r="B454" t="s">
        <v>491</v>
      </c>
      <c r="C454" t="s">
        <v>1045</v>
      </c>
      <c r="D454" t="s">
        <v>1050</v>
      </c>
      <c r="E454">
        <v>13603.43</v>
      </c>
      <c r="F454" s="8">
        <v>45762</v>
      </c>
      <c r="H454" t="str">
        <f>IF(COUNTIF(Customers!$A$2:$A$1001,B454)&gt;0,"Valid","Invalid")</f>
        <v>Valid</v>
      </c>
      <c r="I454" t="str">
        <f t="shared" si="7"/>
        <v>Valid</v>
      </c>
      <c r="K454" t="str">
        <f>VLOOKUP(B454,Customers!A:G,7,FALSE)</f>
        <v>Individual</v>
      </c>
    </row>
    <row r="455" spans="1:11" x14ac:dyDescent="0.25">
      <c r="A455" t="s">
        <v>1504</v>
      </c>
      <c r="B455" t="s">
        <v>492</v>
      </c>
      <c r="C455" t="s">
        <v>17</v>
      </c>
      <c r="D455" t="s">
        <v>1050</v>
      </c>
      <c r="E455">
        <v>2276.8200000000002</v>
      </c>
      <c r="F455" s="8">
        <v>44945</v>
      </c>
      <c r="H455" t="str">
        <f>IF(COUNTIF(Customers!$A$2:$A$1001,B455)&gt;0,"Valid","Invalid")</f>
        <v>Valid</v>
      </c>
      <c r="I455" t="str">
        <f t="shared" si="7"/>
        <v>Valid</v>
      </c>
      <c r="K455" t="str">
        <f>VLOOKUP(B455,Customers!A:G,7,FALSE)</f>
        <v>Individual</v>
      </c>
    </row>
    <row r="456" spans="1:11" x14ac:dyDescent="0.25">
      <c r="A456" t="s">
        <v>1505</v>
      </c>
      <c r="B456" t="s">
        <v>493</v>
      </c>
      <c r="C456" t="s">
        <v>1049</v>
      </c>
      <c r="D456" t="s">
        <v>1068</v>
      </c>
      <c r="E456">
        <v>1156.3800000000001</v>
      </c>
      <c r="F456" s="8">
        <v>44992</v>
      </c>
      <c r="H456" t="str">
        <f>IF(COUNTIF(Customers!$A$2:$A$1001,B456)&gt;0,"Valid","Invalid")</f>
        <v>Valid</v>
      </c>
      <c r="I456" t="str">
        <f t="shared" si="7"/>
        <v>Valid</v>
      </c>
      <c r="K456" t="str">
        <f>VLOOKUP(B456,Customers!A:G,7,FALSE)</f>
        <v>SME</v>
      </c>
    </row>
    <row r="457" spans="1:11" x14ac:dyDescent="0.25">
      <c r="A457" t="s">
        <v>1506</v>
      </c>
      <c r="B457" t="s">
        <v>494</v>
      </c>
      <c r="C457" t="s">
        <v>1056</v>
      </c>
      <c r="D457" t="s">
        <v>1050</v>
      </c>
      <c r="E457">
        <v>2533.52</v>
      </c>
      <c r="F457" s="8">
        <v>45093</v>
      </c>
      <c r="H457" t="str">
        <f>IF(COUNTIF(Customers!$A$2:$A$1001,B457)&gt;0,"Valid","Invalid")</f>
        <v>Valid</v>
      </c>
      <c r="I457" t="str">
        <f t="shared" si="7"/>
        <v>Valid</v>
      </c>
      <c r="K457" t="str">
        <f>VLOOKUP(B457,Customers!A:G,7,FALSE)</f>
        <v>Student</v>
      </c>
    </row>
    <row r="458" spans="1:11" x14ac:dyDescent="0.25">
      <c r="A458" t="s">
        <v>1507</v>
      </c>
      <c r="B458" t="s">
        <v>495</v>
      </c>
      <c r="C458" t="s">
        <v>1049</v>
      </c>
      <c r="D458" t="s">
        <v>1050</v>
      </c>
      <c r="E458">
        <v>1177.71</v>
      </c>
      <c r="F458" s="8">
        <v>45946</v>
      </c>
      <c r="H458" t="str">
        <f>IF(COUNTIF(Customers!$A$2:$A$1001,B458)&gt;0,"Valid","Invalid")</f>
        <v>Valid</v>
      </c>
      <c r="I458" t="str">
        <f t="shared" si="7"/>
        <v>Valid</v>
      </c>
      <c r="K458" t="str">
        <f>VLOOKUP(B458,Customers!A:G,7,FALSE)</f>
        <v>Individual</v>
      </c>
    </row>
    <row r="459" spans="1:11" x14ac:dyDescent="0.25">
      <c r="A459" t="s">
        <v>1508</v>
      </c>
      <c r="B459" t="s">
        <v>496</v>
      </c>
      <c r="C459" t="s">
        <v>1045</v>
      </c>
      <c r="D459" t="s">
        <v>1050</v>
      </c>
      <c r="E459">
        <v>1984.12</v>
      </c>
      <c r="F459" s="8">
        <v>45329</v>
      </c>
      <c r="H459" t="str">
        <f>IF(COUNTIF(Customers!$A$2:$A$1001,B459)&gt;0,"Valid","Invalid")</f>
        <v>Valid</v>
      </c>
      <c r="I459" t="str">
        <f t="shared" si="7"/>
        <v>Valid</v>
      </c>
      <c r="K459" t="str">
        <f>VLOOKUP(B459,Customers!A:G,7,FALSE)</f>
        <v>Individual</v>
      </c>
    </row>
    <row r="460" spans="1:11" x14ac:dyDescent="0.25">
      <c r="A460" t="s">
        <v>1509</v>
      </c>
      <c r="B460" t="s">
        <v>497</v>
      </c>
      <c r="C460" t="s">
        <v>1045</v>
      </c>
      <c r="D460" t="s">
        <v>1046</v>
      </c>
      <c r="E460">
        <v>535.14</v>
      </c>
      <c r="F460" s="8">
        <v>45335</v>
      </c>
      <c r="H460" t="str">
        <f>IF(COUNTIF(Customers!$A$2:$A$1001,B460)&gt;0,"Valid","Invalid")</f>
        <v>Valid</v>
      </c>
      <c r="I460" t="str">
        <f t="shared" si="7"/>
        <v>Valid</v>
      </c>
      <c r="K460" t="str">
        <f>VLOOKUP(B460,Customers!A:G,7,FALSE)</f>
        <v>Individual</v>
      </c>
    </row>
    <row r="461" spans="1:11" x14ac:dyDescent="0.25">
      <c r="A461" t="s">
        <v>1510</v>
      </c>
      <c r="B461" t="s">
        <v>498</v>
      </c>
      <c r="C461" t="s">
        <v>1045</v>
      </c>
      <c r="D461" t="s">
        <v>1046</v>
      </c>
      <c r="E461">
        <v>1792.59</v>
      </c>
      <c r="F461" s="8">
        <v>45038</v>
      </c>
      <c r="H461" t="str">
        <f>IF(COUNTIF(Customers!$A$2:$A$1001,B461)&gt;0,"Valid","Invalid")</f>
        <v>Valid</v>
      </c>
      <c r="I461" t="str">
        <f t="shared" si="7"/>
        <v>Valid</v>
      </c>
      <c r="K461" t="str">
        <f>VLOOKUP(B461,Customers!A:G,7,FALSE)</f>
        <v>Individual</v>
      </c>
    </row>
    <row r="462" spans="1:11" x14ac:dyDescent="0.25">
      <c r="A462" t="s">
        <v>1511</v>
      </c>
      <c r="B462" t="s">
        <v>499</v>
      </c>
      <c r="C462" t="s">
        <v>1045</v>
      </c>
      <c r="D462" t="s">
        <v>1050</v>
      </c>
      <c r="E462">
        <v>1121.19</v>
      </c>
      <c r="F462" s="8">
        <v>45523</v>
      </c>
      <c r="H462" t="str">
        <f>IF(COUNTIF(Customers!$A$2:$A$1001,B462)&gt;0,"Valid","Invalid")</f>
        <v>Valid</v>
      </c>
      <c r="I462" t="str">
        <f t="shared" si="7"/>
        <v>Valid</v>
      </c>
      <c r="K462" t="str">
        <f>VLOOKUP(B462,Customers!A:G,7,FALSE)</f>
        <v>SME</v>
      </c>
    </row>
    <row r="463" spans="1:11" x14ac:dyDescent="0.25">
      <c r="A463" t="s">
        <v>1512</v>
      </c>
      <c r="B463" t="s">
        <v>500</v>
      </c>
      <c r="C463" t="s">
        <v>1049</v>
      </c>
      <c r="D463" t="s">
        <v>1050</v>
      </c>
      <c r="E463">
        <v>588.32000000000005</v>
      </c>
      <c r="F463" s="8">
        <v>45577</v>
      </c>
      <c r="H463" t="str">
        <f>IF(COUNTIF(Customers!$A$2:$A$1001,B463)&gt;0,"Valid","Invalid")</f>
        <v>Valid</v>
      </c>
      <c r="I463" t="str">
        <f t="shared" si="7"/>
        <v>Valid</v>
      </c>
      <c r="K463" t="str">
        <f>VLOOKUP(B463,Customers!A:G,7,FALSE)</f>
        <v>Student</v>
      </c>
    </row>
    <row r="464" spans="1:11" x14ac:dyDescent="0.25">
      <c r="A464" t="s">
        <v>1513</v>
      </c>
      <c r="B464" t="s">
        <v>501</v>
      </c>
      <c r="C464" t="s">
        <v>1049</v>
      </c>
      <c r="D464" t="s">
        <v>1073</v>
      </c>
      <c r="E464">
        <v>13039.47</v>
      </c>
      <c r="F464" s="8">
        <v>45989</v>
      </c>
      <c r="H464" t="str">
        <f>IF(COUNTIF(Customers!$A$2:$A$1001,B464)&gt;0,"Valid","Invalid")</f>
        <v>Valid</v>
      </c>
      <c r="I464" t="str">
        <f t="shared" si="7"/>
        <v>Valid</v>
      </c>
      <c r="K464" t="str">
        <f>VLOOKUP(B464,Customers!A:G,7,FALSE)</f>
        <v>Individual</v>
      </c>
    </row>
    <row r="465" spans="1:11" x14ac:dyDescent="0.25">
      <c r="A465" t="s">
        <v>1514</v>
      </c>
      <c r="B465" t="s">
        <v>502</v>
      </c>
      <c r="C465" t="s">
        <v>1045</v>
      </c>
      <c r="D465" t="s">
        <v>1050</v>
      </c>
      <c r="E465">
        <v>611.71</v>
      </c>
      <c r="F465" s="8">
        <v>45031</v>
      </c>
      <c r="H465" t="str">
        <f>IF(COUNTIF(Customers!$A$2:$A$1001,B465)&gt;0,"Valid","Invalid")</f>
        <v>Valid</v>
      </c>
      <c r="I465" t="str">
        <f t="shared" si="7"/>
        <v>Valid</v>
      </c>
      <c r="K465" t="str">
        <f>VLOOKUP(B465,Customers!A:G,7,FALSE)</f>
        <v>SME</v>
      </c>
    </row>
    <row r="466" spans="1:11" x14ac:dyDescent="0.25">
      <c r="A466" t="s">
        <v>1515</v>
      </c>
      <c r="B466" t="s">
        <v>503</v>
      </c>
      <c r="C466" t="s">
        <v>1045</v>
      </c>
      <c r="D466" t="s">
        <v>1050</v>
      </c>
      <c r="E466">
        <v>1820.68</v>
      </c>
      <c r="F466" s="8">
        <v>45250</v>
      </c>
      <c r="H466" t="str">
        <f>IF(COUNTIF(Customers!$A$2:$A$1001,B466)&gt;0,"Valid","Invalid")</f>
        <v>Valid</v>
      </c>
      <c r="I466" t="str">
        <f t="shared" si="7"/>
        <v>Valid</v>
      </c>
      <c r="K466" t="str">
        <f>VLOOKUP(B466,Customers!A:G,7,FALSE)</f>
        <v>SME</v>
      </c>
    </row>
    <row r="467" spans="1:11" x14ac:dyDescent="0.25">
      <c r="A467" t="s">
        <v>1516</v>
      </c>
      <c r="B467" t="s">
        <v>504</v>
      </c>
      <c r="C467" t="s">
        <v>17</v>
      </c>
      <c r="D467" t="s">
        <v>1050</v>
      </c>
      <c r="E467">
        <v>810.13</v>
      </c>
      <c r="F467" s="8">
        <v>45918</v>
      </c>
      <c r="H467" t="str">
        <f>IF(COUNTIF(Customers!$A$2:$A$1001,B467)&gt;0,"Valid","Invalid")</f>
        <v>Valid</v>
      </c>
      <c r="I467" t="str">
        <f t="shared" si="7"/>
        <v>Valid</v>
      </c>
      <c r="K467" t="str">
        <f>VLOOKUP(B467,Customers!A:G,7,FALSE)</f>
        <v>Student</v>
      </c>
    </row>
    <row r="468" spans="1:11" x14ac:dyDescent="0.25">
      <c r="A468" t="s">
        <v>1517</v>
      </c>
      <c r="B468" t="s">
        <v>505</v>
      </c>
      <c r="C468" t="s">
        <v>1045</v>
      </c>
      <c r="D468" t="s">
        <v>1068</v>
      </c>
      <c r="E468">
        <v>2433.39</v>
      </c>
      <c r="F468" s="8">
        <v>45355</v>
      </c>
      <c r="H468" t="str">
        <f>IF(COUNTIF(Customers!$A$2:$A$1001,B468)&gt;0,"Valid","Invalid")</f>
        <v>Valid</v>
      </c>
      <c r="I468" t="str">
        <f t="shared" si="7"/>
        <v>Valid</v>
      </c>
      <c r="K468" t="str">
        <f>VLOOKUP(B468,Customers!A:G,7,FALSE)</f>
        <v>Individual</v>
      </c>
    </row>
    <row r="469" spans="1:11" x14ac:dyDescent="0.25">
      <c r="A469" t="s">
        <v>1518</v>
      </c>
      <c r="B469" t="s">
        <v>506</v>
      </c>
      <c r="C469" t="s">
        <v>1045</v>
      </c>
      <c r="D469" t="s">
        <v>1050</v>
      </c>
      <c r="E469">
        <v>505.53</v>
      </c>
      <c r="F469" s="8">
        <v>45561</v>
      </c>
      <c r="H469" t="str">
        <f>IF(COUNTIF(Customers!$A$2:$A$1001,B469)&gt;0,"Valid","Invalid")</f>
        <v>Valid</v>
      </c>
      <c r="I469" t="str">
        <f t="shared" si="7"/>
        <v>Valid</v>
      </c>
      <c r="K469" t="str">
        <f>VLOOKUP(B469,Customers!A:G,7,FALSE)</f>
        <v>Individual</v>
      </c>
    </row>
    <row r="470" spans="1:11" x14ac:dyDescent="0.25">
      <c r="A470" t="s">
        <v>1519</v>
      </c>
      <c r="B470" t="s">
        <v>507</v>
      </c>
      <c r="C470" t="s">
        <v>1045</v>
      </c>
      <c r="D470" t="s">
        <v>1046</v>
      </c>
      <c r="E470">
        <v>4189.58</v>
      </c>
      <c r="F470" s="8">
        <v>45656</v>
      </c>
      <c r="H470" t="str">
        <f>IF(COUNTIF(Customers!$A$2:$A$1001,B470)&gt;0,"Valid","Invalid")</f>
        <v>Valid</v>
      </c>
      <c r="I470" t="str">
        <f t="shared" si="7"/>
        <v>Valid</v>
      </c>
      <c r="K470" t="str">
        <f>VLOOKUP(B470,Customers!A:G,7,FALSE)</f>
        <v>Individual</v>
      </c>
    </row>
    <row r="471" spans="1:11" x14ac:dyDescent="0.25">
      <c r="A471" t="s">
        <v>1520</v>
      </c>
      <c r="B471" t="s">
        <v>508</v>
      </c>
      <c r="C471" t="s">
        <v>1049</v>
      </c>
      <c r="D471" t="s">
        <v>1050</v>
      </c>
      <c r="E471">
        <v>13851.6</v>
      </c>
      <c r="F471" s="8">
        <v>45815</v>
      </c>
      <c r="H471" t="str">
        <f>IF(COUNTIF(Customers!$A$2:$A$1001,B471)&gt;0,"Valid","Invalid")</f>
        <v>Valid</v>
      </c>
      <c r="I471" t="str">
        <f t="shared" si="7"/>
        <v>Valid</v>
      </c>
      <c r="K471" t="str">
        <f>VLOOKUP(B471,Customers!A:G,7,FALSE)</f>
        <v>Individual</v>
      </c>
    </row>
    <row r="472" spans="1:11" x14ac:dyDescent="0.25">
      <c r="A472" t="s">
        <v>1521</v>
      </c>
      <c r="B472" t="s">
        <v>509</v>
      </c>
      <c r="C472" t="s">
        <v>1056</v>
      </c>
      <c r="D472" t="s">
        <v>1050</v>
      </c>
      <c r="E472">
        <v>780.91</v>
      </c>
      <c r="F472" s="8">
        <v>46011</v>
      </c>
      <c r="H472" t="str">
        <f>IF(COUNTIF(Customers!$A$2:$A$1001,B472)&gt;0,"Valid","Invalid")</f>
        <v>Valid</v>
      </c>
      <c r="I472" t="str">
        <f t="shared" si="7"/>
        <v>Valid</v>
      </c>
      <c r="K472" t="str">
        <f>VLOOKUP(B472,Customers!A:G,7,FALSE)</f>
        <v>Student</v>
      </c>
    </row>
    <row r="473" spans="1:11" x14ac:dyDescent="0.25">
      <c r="A473" t="s">
        <v>1522</v>
      </c>
      <c r="B473" t="s">
        <v>510</v>
      </c>
      <c r="C473" t="s">
        <v>1049</v>
      </c>
      <c r="D473" t="s">
        <v>1050</v>
      </c>
      <c r="E473">
        <v>6105.64</v>
      </c>
      <c r="F473" s="8">
        <v>45319</v>
      </c>
      <c r="H473" t="str">
        <f>IF(COUNTIF(Customers!$A$2:$A$1001,B473)&gt;0,"Valid","Invalid")</f>
        <v>Valid</v>
      </c>
      <c r="I473" t="str">
        <f t="shared" si="7"/>
        <v>Valid</v>
      </c>
      <c r="K473" t="str">
        <f>VLOOKUP(B473,Customers!A:G,7,FALSE)</f>
        <v>Individual</v>
      </c>
    </row>
    <row r="474" spans="1:11" x14ac:dyDescent="0.25">
      <c r="A474" t="s">
        <v>1523</v>
      </c>
      <c r="B474" t="s">
        <v>511</v>
      </c>
      <c r="C474" t="s">
        <v>1049</v>
      </c>
      <c r="D474" t="s">
        <v>1050</v>
      </c>
      <c r="E474">
        <v>1234.1300000000001</v>
      </c>
      <c r="F474" s="8">
        <v>45130</v>
      </c>
      <c r="H474" t="str">
        <f>IF(COUNTIF(Customers!$A$2:$A$1001,B474)&gt;0,"Valid","Invalid")</f>
        <v>Valid</v>
      </c>
      <c r="I474" t="str">
        <f t="shared" si="7"/>
        <v>Valid</v>
      </c>
      <c r="K474" t="str">
        <f>VLOOKUP(B474,Customers!A:G,7,FALSE)</f>
        <v>SME</v>
      </c>
    </row>
    <row r="475" spans="1:11" x14ac:dyDescent="0.25">
      <c r="A475" t="s">
        <v>1524</v>
      </c>
      <c r="B475" t="s">
        <v>512</v>
      </c>
      <c r="C475" t="s">
        <v>1045</v>
      </c>
      <c r="D475" t="s">
        <v>1050</v>
      </c>
      <c r="E475">
        <v>8150.15</v>
      </c>
      <c r="F475" s="8">
        <v>45184</v>
      </c>
      <c r="H475" t="str">
        <f>IF(COUNTIF(Customers!$A$2:$A$1001,B475)&gt;0,"Valid","Invalid")</f>
        <v>Valid</v>
      </c>
      <c r="I475" t="str">
        <f t="shared" si="7"/>
        <v>Valid</v>
      </c>
      <c r="K475" t="str">
        <f>VLOOKUP(B475,Customers!A:G,7,FALSE)</f>
        <v>Individual</v>
      </c>
    </row>
    <row r="476" spans="1:11" x14ac:dyDescent="0.25">
      <c r="A476" t="s">
        <v>1525</v>
      </c>
      <c r="B476" t="s">
        <v>513</v>
      </c>
      <c r="C476" t="s">
        <v>1045</v>
      </c>
      <c r="D476" t="s">
        <v>1050</v>
      </c>
      <c r="E476">
        <v>16131.01</v>
      </c>
      <c r="F476" s="8">
        <v>45412</v>
      </c>
      <c r="H476" t="str">
        <f>IF(COUNTIF(Customers!$A$2:$A$1001,B476)&gt;0,"Valid","Invalid")</f>
        <v>Valid</v>
      </c>
      <c r="I476" t="str">
        <f t="shared" si="7"/>
        <v>Valid</v>
      </c>
      <c r="K476" t="str">
        <f>VLOOKUP(B476,Customers!A:G,7,FALSE)</f>
        <v>Individual</v>
      </c>
    </row>
    <row r="477" spans="1:11" x14ac:dyDescent="0.25">
      <c r="A477" t="s">
        <v>1526</v>
      </c>
      <c r="B477" t="s">
        <v>514</v>
      </c>
      <c r="C477" t="s">
        <v>1049</v>
      </c>
      <c r="D477" t="s">
        <v>1050</v>
      </c>
      <c r="E477">
        <v>1431.24</v>
      </c>
      <c r="F477" s="8">
        <v>45372</v>
      </c>
      <c r="H477" t="str">
        <f>IF(COUNTIF(Customers!$A$2:$A$1001,B477)&gt;0,"Valid","Invalid")</f>
        <v>Valid</v>
      </c>
      <c r="I477" t="str">
        <f t="shared" si="7"/>
        <v>Valid</v>
      </c>
      <c r="K477" t="str">
        <f>VLOOKUP(B477,Customers!A:G,7,FALSE)</f>
        <v>Student</v>
      </c>
    </row>
    <row r="478" spans="1:11" x14ac:dyDescent="0.25">
      <c r="A478" t="s">
        <v>1527</v>
      </c>
      <c r="B478" t="s">
        <v>515</v>
      </c>
      <c r="C478" t="s">
        <v>1045</v>
      </c>
      <c r="D478" t="s">
        <v>1073</v>
      </c>
      <c r="E478">
        <v>395.34</v>
      </c>
      <c r="F478" s="8">
        <v>46130</v>
      </c>
      <c r="H478" t="str">
        <f>IF(COUNTIF(Customers!$A$2:$A$1001,B478)&gt;0,"Valid","Invalid")</f>
        <v>Valid</v>
      </c>
      <c r="I478" t="str">
        <f t="shared" si="7"/>
        <v>Valid</v>
      </c>
      <c r="K478" t="str">
        <f>VLOOKUP(B478,Customers!A:G,7,FALSE)</f>
        <v>Corporate</v>
      </c>
    </row>
    <row r="479" spans="1:11" x14ac:dyDescent="0.25">
      <c r="A479" t="s">
        <v>1528</v>
      </c>
      <c r="B479" t="s">
        <v>516</v>
      </c>
      <c r="C479" t="s">
        <v>1049</v>
      </c>
      <c r="D479" t="s">
        <v>1068</v>
      </c>
      <c r="E479">
        <v>4666.13</v>
      </c>
      <c r="F479" s="8">
        <v>45950</v>
      </c>
      <c r="H479" t="str">
        <f>IF(COUNTIF(Customers!$A$2:$A$1001,B479)&gt;0,"Valid","Invalid")</f>
        <v>Valid</v>
      </c>
      <c r="I479" t="str">
        <f t="shared" si="7"/>
        <v>Valid</v>
      </c>
      <c r="K479" t="str">
        <f>VLOOKUP(B479,Customers!A:G,7,FALSE)</f>
        <v>SME</v>
      </c>
    </row>
    <row r="480" spans="1:11" x14ac:dyDescent="0.25">
      <c r="A480" t="s">
        <v>1529</v>
      </c>
      <c r="B480" t="s">
        <v>517</v>
      </c>
      <c r="C480" t="s">
        <v>17</v>
      </c>
      <c r="D480" t="s">
        <v>1050</v>
      </c>
      <c r="E480">
        <v>2262.9299999999998</v>
      </c>
      <c r="F480" s="8">
        <v>45268</v>
      </c>
      <c r="H480" t="str">
        <f>IF(COUNTIF(Customers!$A$2:$A$1001,B480)&gt;0,"Valid","Invalid")</f>
        <v>Valid</v>
      </c>
      <c r="I480" t="str">
        <f t="shared" si="7"/>
        <v>Valid</v>
      </c>
      <c r="K480" t="str">
        <f>VLOOKUP(B480,Customers!A:G,7,FALSE)</f>
        <v>SME</v>
      </c>
    </row>
    <row r="481" spans="1:11" x14ac:dyDescent="0.25">
      <c r="A481" t="s">
        <v>1530</v>
      </c>
      <c r="B481" t="s">
        <v>518</v>
      </c>
      <c r="C481" t="s">
        <v>1056</v>
      </c>
      <c r="D481" t="s">
        <v>1050</v>
      </c>
      <c r="E481">
        <v>2986.3</v>
      </c>
      <c r="F481" s="8">
        <v>45059</v>
      </c>
      <c r="H481" t="str">
        <f>IF(COUNTIF(Customers!$A$2:$A$1001,B481)&gt;0,"Valid","Invalid")</f>
        <v>Valid</v>
      </c>
      <c r="I481" t="str">
        <f t="shared" si="7"/>
        <v>Valid</v>
      </c>
      <c r="K481" t="str">
        <f>VLOOKUP(B481,Customers!A:G,7,FALSE)</f>
        <v>SME</v>
      </c>
    </row>
    <row r="482" spans="1:11" x14ac:dyDescent="0.25">
      <c r="A482" t="s">
        <v>1531</v>
      </c>
      <c r="B482" t="s">
        <v>519</v>
      </c>
      <c r="C482" t="s">
        <v>1049</v>
      </c>
      <c r="D482" t="s">
        <v>1050</v>
      </c>
      <c r="E482">
        <v>1287.1099999999999</v>
      </c>
      <c r="F482" s="8">
        <v>45369</v>
      </c>
      <c r="H482" t="str">
        <f>IF(COUNTIF(Customers!$A$2:$A$1001,B482)&gt;0,"Valid","Invalid")</f>
        <v>Valid</v>
      </c>
      <c r="I482" t="str">
        <f t="shared" si="7"/>
        <v>Valid</v>
      </c>
      <c r="K482" t="str">
        <f>VLOOKUP(B482,Customers!A:G,7,FALSE)</f>
        <v>SME</v>
      </c>
    </row>
    <row r="483" spans="1:11" x14ac:dyDescent="0.25">
      <c r="A483" t="s">
        <v>1532</v>
      </c>
      <c r="B483" t="s">
        <v>520</v>
      </c>
      <c r="C483" t="s">
        <v>1049</v>
      </c>
      <c r="D483" t="s">
        <v>1050</v>
      </c>
      <c r="E483">
        <v>746.58</v>
      </c>
      <c r="F483" s="8">
        <v>45179</v>
      </c>
      <c r="H483" t="str">
        <f>IF(COUNTIF(Customers!$A$2:$A$1001,B483)&gt;0,"Valid","Invalid")</f>
        <v>Valid</v>
      </c>
      <c r="I483" t="str">
        <f t="shared" si="7"/>
        <v>Valid</v>
      </c>
      <c r="K483" t="str">
        <f>VLOOKUP(B483,Customers!A:G,7,FALSE)</f>
        <v>Individual</v>
      </c>
    </row>
    <row r="484" spans="1:11" x14ac:dyDescent="0.25">
      <c r="A484" t="s">
        <v>1533</v>
      </c>
      <c r="B484" t="s">
        <v>521</v>
      </c>
      <c r="C484" t="s">
        <v>1049</v>
      </c>
      <c r="D484" t="s">
        <v>1046</v>
      </c>
      <c r="E484">
        <v>5769.54</v>
      </c>
      <c r="F484" s="8">
        <v>45191</v>
      </c>
      <c r="H484" t="str">
        <f>IF(COUNTIF(Customers!$A$2:$A$1001,B484)&gt;0,"Valid","Invalid")</f>
        <v>Valid</v>
      </c>
      <c r="I484" t="str">
        <f t="shared" si="7"/>
        <v>Valid</v>
      </c>
      <c r="K484" t="str">
        <f>VLOOKUP(B484,Customers!A:G,7,FALSE)</f>
        <v>Individual</v>
      </c>
    </row>
    <row r="485" spans="1:11" x14ac:dyDescent="0.25">
      <c r="A485" t="s">
        <v>1534</v>
      </c>
      <c r="B485" t="s">
        <v>522</v>
      </c>
      <c r="C485" t="s">
        <v>1045</v>
      </c>
      <c r="D485" t="s">
        <v>1050</v>
      </c>
      <c r="E485">
        <v>2489.38</v>
      </c>
      <c r="F485" s="8">
        <v>45019</v>
      </c>
      <c r="H485" t="str">
        <f>IF(COUNTIF(Customers!$A$2:$A$1001,B485)&gt;0,"Valid","Invalid")</f>
        <v>Valid</v>
      </c>
      <c r="I485" t="str">
        <f t="shared" si="7"/>
        <v>Valid</v>
      </c>
      <c r="K485" t="str">
        <f>VLOOKUP(B485,Customers!A:G,7,FALSE)</f>
        <v>Individual</v>
      </c>
    </row>
    <row r="486" spans="1:11" x14ac:dyDescent="0.25">
      <c r="A486" t="s">
        <v>1535</v>
      </c>
      <c r="B486" t="s">
        <v>523</v>
      </c>
      <c r="C486" t="s">
        <v>1045</v>
      </c>
      <c r="D486" t="s">
        <v>1050</v>
      </c>
      <c r="E486">
        <v>426.85</v>
      </c>
      <c r="F486" s="8">
        <v>45064</v>
      </c>
      <c r="H486" t="str">
        <f>IF(COUNTIF(Customers!$A$2:$A$1001,B486)&gt;0,"Valid","Invalid")</f>
        <v>Valid</v>
      </c>
      <c r="I486" t="str">
        <f t="shared" si="7"/>
        <v>Valid</v>
      </c>
      <c r="K486" t="str">
        <f>VLOOKUP(B486,Customers!A:G,7,FALSE)</f>
        <v>SME</v>
      </c>
    </row>
    <row r="487" spans="1:11" x14ac:dyDescent="0.25">
      <c r="A487" t="s">
        <v>1536</v>
      </c>
      <c r="B487" t="s">
        <v>524</v>
      </c>
      <c r="C487" t="s">
        <v>1045</v>
      </c>
      <c r="D487" t="s">
        <v>1046</v>
      </c>
      <c r="E487">
        <v>3593.48</v>
      </c>
      <c r="F487" s="8">
        <v>46158</v>
      </c>
      <c r="H487" t="str">
        <f>IF(COUNTIF(Customers!$A$2:$A$1001,B487)&gt;0,"Valid","Invalid")</f>
        <v>Valid</v>
      </c>
      <c r="I487" t="str">
        <f t="shared" si="7"/>
        <v>Valid</v>
      </c>
      <c r="K487" t="str">
        <f>VLOOKUP(B487,Customers!A:G,7,FALSE)</f>
        <v>SME</v>
      </c>
    </row>
    <row r="488" spans="1:11" x14ac:dyDescent="0.25">
      <c r="A488" t="s">
        <v>1537</v>
      </c>
      <c r="B488" t="s">
        <v>525</v>
      </c>
      <c r="C488" t="s">
        <v>1056</v>
      </c>
      <c r="D488" t="s">
        <v>1050</v>
      </c>
      <c r="E488">
        <v>2940.01</v>
      </c>
      <c r="F488" s="8">
        <v>45928</v>
      </c>
      <c r="H488" t="str">
        <f>IF(COUNTIF(Customers!$A$2:$A$1001,B488)&gt;0,"Valid","Invalid")</f>
        <v>Valid</v>
      </c>
      <c r="I488" t="str">
        <f t="shared" si="7"/>
        <v>Valid</v>
      </c>
      <c r="K488" t="str">
        <f>VLOOKUP(B488,Customers!A:G,7,FALSE)</f>
        <v>Individual</v>
      </c>
    </row>
    <row r="489" spans="1:11" x14ac:dyDescent="0.25">
      <c r="A489" t="s">
        <v>1538</v>
      </c>
      <c r="B489" t="s">
        <v>526</v>
      </c>
      <c r="C489" t="s">
        <v>1045</v>
      </c>
      <c r="D489" t="s">
        <v>1050</v>
      </c>
      <c r="E489">
        <v>1305.97</v>
      </c>
      <c r="F489" s="8">
        <v>45233</v>
      </c>
      <c r="H489" t="str">
        <f>IF(COUNTIF(Customers!$A$2:$A$1001,B489)&gt;0,"Valid","Invalid")</f>
        <v>Valid</v>
      </c>
      <c r="I489" t="str">
        <f t="shared" si="7"/>
        <v>Valid</v>
      </c>
      <c r="K489" t="str">
        <f>VLOOKUP(B489,Customers!A:G,7,FALSE)</f>
        <v>Student</v>
      </c>
    </row>
    <row r="490" spans="1:11" x14ac:dyDescent="0.25">
      <c r="A490" t="s">
        <v>1539</v>
      </c>
      <c r="B490" t="s">
        <v>527</v>
      </c>
      <c r="C490" t="s">
        <v>1049</v>
      </c>
      <c r="D490" t="s">
        <v>1050</v>
      </c>
      <c r="E490">
        <v>9134.5</v>
      </c>
      <c r="F490" s="8">
        <v>45192</v>
      </c>
      <c r="H490" t="str">
        <f>IF(COUNTIF(Customers!$A$2:$A$1001,B490)&gt;0,"Valid","Invalid")</f>
        <v>Valid</v>
      </c>
      <c r="I490" t="str">
        <f t="shared" si="7"/>
        <v>Valid</v>
      </c>
      <c r="K490" t="str">
        <f>VLOOKUP(B490,Customers!A:G,7,FALSE)</f>
        <v>Individual</v>
      </c>
    </row>
    <row r="491" spans="1:11" x14ac:dyDescent="0.25">
      <c r="A491" t="s">
        <v>1540</v>
      </c>
      <c r="B491" t="s">
        <v>528</v>
      </c>
      <c r="C491" t="s">
        <v>1045</v>
      </c>
      <c r="D491" t="s">
        <v>1050</v>
      </c>
      <c r="E491">
        <v>974.4</v>
      </c>
      <c r="F491" s="8">
        <v>45572</v>
      </c>
      <c r="H491" t="str">
        <f>IF(COUNTIF(Customers!$A$2:$A$1001,B491)&gt;0,"Valid","Invalid")</f>
        <v>Valid</v>
      </c>
      <c r="I491" t="str">
        <f t="shared" si="7"/>
        <v>Valid</v>
      </c>
      <c r="K491" t="str">
        <f>VLOOKUP(B491,Customers!A:G,7,FALSE)</f>
        <v>SME</v>
      </c>
    </row>
    <row r="492" spans="1:11" x14ac:dyDescent="0.25">
      <c r="A492" t="s">
        <v>1541</v>
      </c>
      <c r="B492" t="s">
        <v>529</v>
      </c>
      <c r="C492" t="s">
        <v>1056</v>
      </c>
      <c r="D492" t="s">
        <v>1050</v>
      </c>
      <c r="E492">
        <v>1526.93</v>
      </c>
      <c r="F492" s="8">
        <v>45244</v>
      </c>
      <c r="H492" t="str">
        <f>IF(COUNTIF(Customers!$A$2:$A$1001,B492)&gt;0,"Valid","Invalid")</f>
        <v>Valid</v>
      </c>
      <c r="I492" t="str">
        <f t="shared" si="7"/>
        <v>Valid</v>
      </c>
      <c r="K492" t="str">
        <f>VLOOKUP(B492,Customers!A:G,7,FALSE)</f>
        <v>Individual</v>
      </c>
    </row>
    <row r="493" spans="1:11" x14ac:dyDescent="0.25">
      <c r="A493" t="s">
        <v>1542</v>
      </c>
      <c r="B493" t="s">
        <v>530</v>
      </c>
      <c r="C493" t="s">
        <v>1045</v>
      </c>
      <c r="D493" t="s">
        <v>1046</v>
      </c>
      <c r="E493">
        <v>3899.67</v>
      </c>
      <c r="F493" s="8">
        <v>46063</v>
      </c>
      <c r="H493" t="str">
        <f>IF(COUNTIF(Customers!$A$2:$A$1001,B493)&gt;0,"Valid","Invalid")</f>
        <v>Valid</v>
      </c>
      <c r="I493" t="str">
        <f t="shared" si="7"/>
        <v>Valid</v>
      </c>
      <c r="K493" t="str">
        <f>VLOOKUP(B493,Customers!A:G,7,FALSE)</f>
        <v>Individual</v>
      </c>
    </row>
    <row r="494" spans="1:11" x14ac:dyDescent="0.25">
      <c r="A494" t="s">
        <v>1543</v>
      </c>
      <c r="B494" t="s">
        <v>531</v>
      </c>
      <c r="C494" t="s">
        <v>1049</v>
      </c>
      <c r="D494" t="s">
        <v>1046</v>
      </c>
      <c r="E494">
        <v>1952.3</v>
      </c>
      <c r="F494" s="8">
        <v>45827</v>
      </c>
      <c r="H494" t="str">
        <f>IF(COUNTIF(Customers!$A$2:$A$1001,B494)&gt;0,"Valid","Invalid")</f>
        <v>Valid</v>
      </c>
      <c r="I494" t="str">
        <f t="shared" si="7"/>
        <v>Valid</v>
      </c>
      <c r="K494" t="str">
        <f>VLOOKUP(B494,Customers!A:G,7,FALSE)</f>
        <v>Individual</v>
      </c>
    </row>
    <row r="495" spans="1:11" x14ac:dyDescent="0.25">
      <c r="A495" t="s">
        <v>1544</v>
      </c>
      <c r="B495" t="s">
        <v>532</v>
      </c>
      <c r="C495" t="s">
        <v>1056</v>
      </c>
      <c r="D495" t="s">
        <v>1050</v>
      </c>
      <c r="E495">
        <v>452.86</v>
      </c>
      <c r="F495" s="8">
        <v>45380</v>
      </c>
      <c r="H495" t="str">
        <f>IF(COUNTIF(Customers!$A$2:$A$1001,B495)&gt;0,"Valid","Invalid")</f>
        <v>Valid</v>
      </c>
      <c r="I495" t="str">
        <f t="shared" si="7"/>
        <v>Valid</v>
      </c>
      <c r="K495" t="str">
        <f>VLOOKUP(B495,Customers!A:G,7,FALSE)</f>
        <v>Individual</v>
      </c>
    </row>
    <row r="496" spans="1:11" x14ac:dyDescent="0.25">
      <c r="A496" t="s">
        <v>1545</v>
      </c>
      <c r="B496" t="s">
        <v>533</v>
      </c>
      <c r="C496" t="s">
        <v>1045</v>
      </c>
      <c r="D496" t="s">
        <v>1068</v>
      </c>
      <c r="E496">
        <v>2172.86</v>
      </c>
      <c r="F496" s="8">
        <v>45117</v>
      </c>
      <c r="H496" t="str">
        <f>IF(COUNTIF(Customers!$A$2:$A$1001,B496)&gt;0,"Valid","Invalid")</f>
        <v>Valid</v>
      </c>
      <c r="I496" t="str">
        <f t="shared" si="7"/>
        <v>Valid</v>
      </c>
      <c r="K496" t="str">
        <f>VLOOKUP(B496,Customers!A:G,7,FALSE)</f>
        <v>SME</v>
      </c>
    </row>
    <row r="497" spans="1:11" x14ac:dyDescent="0.25">
      <c r="A497" t="s">
        <v>1546</v>
      </c>
      <c r="B497" t="s">
        <v>534</v>
      </c>
      <c r="C497" t="s">
        <v>1045</v>
      </c>
      <c r="D497" t="s">
        <v>1050</v>
      </c>
      <c r="E497">
        <v>1194.6500000000001</v>
      </c>
      <c r="F497" s="8">
        <v>46137</v>
      </c>
      <c r="H497" t="str">
        <f>IF(COUNTIF(Customers!$A$2:$A$1001,B497)&gt;0,"Valid","Invalid")</f>
        <v>Valid</v>
      </c>
      <c r="I497" t="str">
        <f t="shared" si="7"/>
        <v>Valid</v>
      </c>
      <c r="K497" t="str">
        <f>VLOOKUP(B497,Customers!A:G,7,FALSE)</f>
        <v>Individual</v>
      </c>
    </row>
    <row r="498" spans="1:11" x14ac:dyDescent="0.25">
      <c r="A498" t="s">
        <v>1547</v>
      </c>
      <c r="B498" t="s">
        <v>535</v>
      </c>
      <c r="C498" t="s">
        <v>1049</v>
      </c>
      <c r="D498" t="s">
        <v>1046</v>
      </c>
      <c r="E498">
        <v>4259.88</v>
      </c>
      <c r="F498" s="8">
        <v>45757</v>
      </c>
      <c r="H498" t="str">
        <f>IF(COUNTIF(Customers!$A$2:$A$1001,B498)&gt;0,"Valid","Invalid")</f>
        <v>Valid</v>
      </c>
      <c r="I498" t="str">
        <f t="shared" si="7"/>
        <v>Valid</v>
      </c>
      <c r="K498" t="str">
        <f>VLOOKUP(B498,Customers!A:G,7,FALSE)</f>
        <v>SME</v>
      </c>
    </row>
    <row r="499" spans="1:11" x14ac:dyDescent="0.25">
      <c r="A499" t="s">
        <v>1548</v>
      </c>
      <c r="B499" t="s">
        <v>536</v>
      </c>
      <c r="C499" t="s">
        <v>1045</v>
      </c>
      <c r="D499" t="s">
        <v>1050</v>
      </c>
      <c r="E499">
        <v>2103.21</v>
      </c>
      <c r="F499" s="8">
        <v>46039</v>
      </c>
      <c r="H499" t="str">
        <f>IF(COUNTIF(Customers!$A$2:$A$1001,B499)&gt;0,"Valid","Invalid")</f>
        <v>Valid</v>
      </c>
      <c r="I499" t="str">
        <f t="shared" si="7"/>
        <v>Valid</v>
      </c>
      <c r="K499" t="str">
        <f>VLOOKUP(B499,Customers!A:G,7,FALSE)</f>
        <v>Individual</v>
      </c>
    </row>
    <row r="500" spans="1:11" x14ac:dyDescent="0.25">
      <c r="A500" t="s">
        <v>1549</v>
      </c>
      <c r="B500" t="s">
        <v>537</v>
      </c>
      <c r="C500" t="s">
        <v>1045</v>
      </c>
      <c r="D500" t="s">
        <v>1073</v>
      </c>
      <c r="E500">
        <v>1987.25</v>
      </c>
      <c r="F500" s="8">
        <v>45113</v>
      </c>
      <c r="H500" t="str">
        <f>IF(COUNTIF(Customers!$A$2:$A$1001,B500)&gt;0,"Valid","Invalid")</f>
        <v>Valid</v>
      </c>
      <c r="I500" t="str">
        <f t="shared" si="7"/>
        <v>Valid</v>
      </c>
      <c r="K500" t="str">
        <f>VLOOKUP(B500,Customers!A:G,7,FALSE)</f>
        <v>Individual</v>
      </c>
    </row>
    <row r="501" spans="1:11" x14ac:dyDescent="0.25">
      <c r="A501" t="s">
        <v>1550</v>
      </c>
      <c r="B501" t="s">
        <v>538</v>
      </c>
      <c r="C501" t="s">
        <v>17</v>
      </c>
      <c r="D501" t="s">
        <v>1073</v>
      </c>
      <c r="E501">
        <v>633.80999999999995</v>
      </c>
      <c r="F501" s="8">
        <v>45745</v>
      </c>
      <c r="H501" t="str">
        <f>IF(COUNTIF(Customers!$A$2:$A$1001,B501)&gt;0,"Valid","Invalid")</f>
        <v>Valid</v>
      </c>
      <c r="I501" t="str">
        <f t="shared" si="7"/>
        <v>Valid</v>
      </c>
      <c r="K501" t="str">
        <f>VLOOKUP(B501,Customers!A:G,7,FALSE)</f>
        <v>Individual</v>
      </c>
    </row>
    <row r="502" spans="1:11" x14ac:dyDescent="0.25">
      <c r="A502" t="s">
        <v>1551</v>
      </c>
      <c r="B502" t="s">
        <v>539</v>
      </c>
      <c r="C502" t="s">
        <v>1056</v>
      </c>
      <c r="D502" t="s">
        <v>1050</v>
      </c>
      <c r="E502">
        <v>1436.51</v>
      </c>
      <c r="F502" s="8">
        <v>45947</v>
      </c>
      <c r="H502" t="str">
        <f>IF(COUNTIF(Customers!$A$2:$A$1001,B502)&gt;0,"Valid","Invalid")</f>
        <v>Valid</v>
      </c>
      <c r="I502" t="str">
        <f t="shared" si="7"/>
        <v>Valid</v>
      </c>
      <c r="K502" t="str">
        <f>VLOOKUP(B502,Customers!A:G,7,FALSE)</f>
        <v>SME</v>
      </c>
    </row>
    <row r="503" spans="1:11" x14ac:dyDescent="0.25">
      <c r="A503" t="s">
        <v>1552</v>
      </c>
      <c r="B503" t="s">
        <v>540</v>
      </c>
      <c r="C503" t="s">
        <v>17</v>
      </c>
      <c r="D503" t="s">
        <v>1073</v>
      </c>
      <c r="E503">
        <v>4770</v>
      </c>
      <c r="F503" s="8">
        <v>45058</v>
      </c>
      <c r="H503" t="str">
        <f>IF(COUNTIF(Customers!$A$2:$A$1001,B503)&gt;0,"Valid","Invalid")</f>
        <v>Valid</v>
      </c>
      <c r="I503" t="str">
        <f t="shared" si="7"/>
        <v>Valid</v>
      </c>
      <c r="K503" t="str">
        <f>VLOOKUP(B503,Customers!A:G,7,FALSE)</f>
        <v>Individual</v>
      </c>
    </row>
    <row r="504" spans="1:11" x14ac:dyDescent="0.25">
      <c r="A504" t="s">
        <v>1553</v>
      </c>
      <c r="B504" t="s">
        <v>541</v>
      </c>
      <c r="C504" t="s">
        <v>1045</v>
      </c>
      <c r="D504" t="s">
        <v>1046</v>
      </c>
      <c r="E504">
        <v>831.69</v>
      </c>
      <c r="F504" s="8">
        <v>45798</v>
      </c>
      <c r="H504" t="str">
        <f>IF(COUNTIF(Customers!$A$2:$A$1001,B504)&gt;0,"Valid","Invalid")</f>
        <v>Valid</v>
      </c>
      <c r="I504" t="str">
        <f t="shared" si="7"/>
        <v>Valid</v>
      </c>
      <c r="K504" t="str">
        <f>VLOOKUP(B504,Customers!A:G,7,FALSE)</f>
        <v>Individual</v>
      </c>
    </row>
    <row r="505" spans="1:11" x14ac:dyDescent="0.25">
      <c r="A505" t="s">
        <v>1554</v>
      </c>
      <c r="B505" t="s">
        <v>542</v>
      </c>
      <c r="C505" t="s">
        <v>1045</v>
      </c>
      <c r="D505" t="s">
        <v>1046</v>
      </c>
      <c r="E505">
        <v>1750.14</v>
      </c>
      <c r="F505" s="8">
        <v>45561</v>
      </c>
      <c r="H505" t="str">
        <f>IF(COUNTIF(Customers!$A$2:$A$1001,B505)&gt;0,"Valid","Invalid")</f>
        <v>Valid</v>
      </c>
      <c r="I505" t="str">
        <f t="shared" si="7"/>
        <v>Valid</v>
      </c>
      <c r="K505" t="str">
        <f>VLOOKUP(B505,Customers!A:G,7,FALSE)</f>
        <v>Individual</v>
      </c>
    </row>
    <row r="506" spans="1:11" x14ac:dyDescent="0.25">
      <c r="A506" t="s">
        <v>1555</v>
      </c>
      <c r="B506" t="s">
        <v>543</v>
      </c>
      <c r="C506" t="s">
        <v>1049</v>
      </c>
      <c r="D506" t="s">
        <v>1050</v>
      </c>
      <c r="E506">
        <v>708.79</v>
      </c>
      <c r="F506" s="8">
        <v>45617</v>
      </c>
      <c r="H506" t="str">
        <f>IF(COUNTIF(Customers!$A$2:$A$1001,B506)&gt;0,"Valid","Invalid")</f>
        <v>Valid</v>
      </c>
      <c r="I506" t="str">
        <f t="shared" si="7"/>
        <v>Valid</v>
      </c>
      <c r="K506" t="str">
        <f>VLOOKUP(B506,Customers!A:G,7,FALSE)</f>
        <v>SME</v>
      </c>
    </row>
    <row r="507" spans="1:11" x14ac:dyDescent="0.25">
      <c r="A507" t="s">
        <v>1556</v>
      </c>
      <c r="B507" t="s">
        <v>544</v>
      </c>
      <c r="C507" t="s">
        <v>1056</v>
      </c>
      <c r="D507" t="s">
        <v>1046</v>
      </c>
      <c r="E507">
        <v>553.44000000000005</v>
      </c>
      <c r="F507" s="8">
        <v>45618</v>
      </c>
      <c r="H507" t="str">
        <f>IF(COUNTIF(Customers!$A$2:$A$1001,B507)&gt;0,"Valid","Invalid")</f>
        <v>Valid</v>
      </c>
      <c r="I507" t="str">
        <f t="shared" si="7"/>
        <v>Valid</v>
      </c>
      <c r="K507" t="str">
        <f>VLOOKUP(B507,Customers!A:G,7,FALSE)</f>
        <v>Student</v>
      </c>
    </row>
    <row r="508" spans="1:11" x14ac:dyDescent="0.25">
      <c r="A508" t="s">
        <v>1557</v>
      </c>
      <c r="B508" t="s">
        <v>545</v>
      </c>
      <c r="C508" t="s">
        <v>1056</v>
      </c>
      <c r="D508" t="s">
        <v>1046</v>
      </c>
      <c r="E508">
        <v>1660.94</v>
      </c>
      <c r="F508" s="8">
        <v>46049</v>
      </c>
      <c r="H508" t="str">
        <f>IF(COUNTIF(Customers!$A$2:$A$1001,B508)&gt;0,"Valid","Invalid")</f>
        <v>Valid</v>
      </c>
      <c r="I508" t="str">
        <f t="shared" si="7"/>
        <v>Valid</v>
      </c>
      <c r="K508" t="str">
        <f>VLOOKUP(B508,Customers!A:G,7,FALSE)</f>
        <v>SME</v>
      </c>
    </row>
    <row r="509" spans="1:11" x14ac:dyDescent="0.25">
      <c r="A509" t="s">
        <v>1558</v>
      </c>
      <c r="B509" t="s">
        <v>546</v>
      </c>
      <c r="C509" t="s">
        <v>1045</v>
      </c>
      <c r="D509" t="s">
        <v>1050</v>
      </c>
      <c r="E509">
        <v>2151.2399999999998</v>
      </c>
      <c r="F509" s="8">
        <v>45984</v>
      </c>
      <c r="H509" t="str">
        <f>IF(COUNTIF(Customers!$A$2:$A$1001,B509)&gt;0,"Valid","Invalid")</f>
        <v>Valid</v>
      </c>
      <c r="I509" t="str">
        <f t="shared" si="7"/>
        <v>Valid</v>
      </c>
      <c r="K509" t="str">
        <f>VLOOKUP(B509,Customers!A:G,7,FALSE)</f>
        <v>Individual</v>
      </c>
    </row>
    <row r="510" spans="1:11" x14ac:dyDescent="0.25">
      <c r="A510" t="s">
        <v>1559</v>
      </c>
      <c r="B510" t="s">
        <v>547</v>
      </c>
      <c r="C510" t="s">
        <v>1045</v>
      </c>
      <c r="D510" t="s">
        <v>1068</v>
      </c>
      <c r="E510">
        <v>13277.99</v>
      </c>
      <c r="F510" s="8">
        <v>45508</v>
      </c>
      <c r="H510" t="str">
        <f>IF(COUNTIF(Customers!$A$2:$A$1001,B510)&gt;0,"Valid","Invalid")</f>
        <v>Valid</v>
      </c>
      <c r="I510" t="str">
        <f t="shared" si="7"/>
        <v>Valid</v>
      </c>
      <c r="K510" t="str">
        <f>VLOOKUP(B510,Customers!A:G,7,FALSE)</f>
        <v>Individual</v>
      </c>
    </row>
    <row r="511" spans="1:11" x14ac:dyDescent="0.25">
      <c r="A511" t="s">
        <v>1560</v>
      </c>
      <c r="B511" t="s">
        <v>548</v>
      </c>
      <c r="C511" t="s">
        <v>1045</v>
      </c>
      <c r="D511" t="s">
        <v>1050</v>
      </c>
      <c r="E511">
        <v>1146.58</v>
      </c>
      <c r="F511" s="8">
        <v>45097</v>
      </c>
      <c r="H511" t="str">
        <f>IF(COUNTIF(Customers!$A$2:$A$1001,B511)&gt;0,"Valid","Invalid")</f>
        <v>Valid</v>
      </c>
      <c r="I511" t="str">
        <f t="shared" si="7"/>
        <v>Valid</v>
      </c>
      <c r="K511" t="str">
        <f>VLOOKUP(B511,Customers!A:G,7,FALSE)</f>
        <v>Student</v>
      </c>
    </row>
    <row r="512" spans="1:11" x14ac:dyDescent="0.25">
      <c r="A512" t="s">
        <v>1561</v>
      </c>
      <c r="B512" t="s">
        <v>549</v>
      </c>
      <c r="C512" t="s">
        <v>1045</v>
      </c>
      <c r="D512" t="s">
        <v>1050</v>
      </c>
      <c r="E512">
        <v>1719.57</v>
      </c>
      <c r="F512" s="8">
        <v>45710</v>
      </c>
      <c r="H512" t="str">
        <f>IF(COUNTIF(Customers!$A$2:$A$1001,B512)&gt;0,"Valid","Invalid")</f>
        <v>Valid</v>
      </c>
      <c r="I512" t="str">
        <f t="shared" si="7"/>
        <v>Valid</v>
      </c>
      <c r="K512" t="str">
        <f>VLOOKUP(B512,Customers!A:G,7,FALSE)</f>
        <v>Individual</v>
      </c>
    </row>
    <row r="513" spans="1:11" x14ac:dyDescent="0.25">
      <c r="A513" t="s">
        <v>1562</v>
      </c>
      <c r="B513" t="s">
        <v>550</v>
      </c>
      <c r="C513" t="s">
        <v>1045</v>
      </c>
      <c r="D513" t="s">
        <v>1050</v>
      </c>
      <c r="E513">
        <v>517.97</v>
      </c>
      <c r="F513" s="8">
        <v>46009</v>
      </c>
      <c r="H513" t="str">
        <f>IF(COUNTIF(Customers!$A$2:$A$1001,B513)&gt;0,"Valid","Invalid")</f>
        <v>Valid</v>
      </c>
      <c r="I513" t="str">
        <f t="shared" si="7"/>
        <v>Valid</v>
      </c>
      <c r="K513" t="str">
        <f>VLOOKUP(B513,Customers!A:G,7,FALSE)</f>
        <v>Individual</v>
      </c>
    </row>
    <row r="514" spans="1:11" x14ac:dyDescent="0.25">
      <c r="A514" t="s">
        <v>1563</v>
      </c>
      <c r="B514" t="s">
        <v>551</v>
      </c>
      <c r="C514" t="s">
        <v>1045</v>
      </c>
      <c r="D514" t="s">
        <v>1050</v>
      </c>
      <c r="E514">
        <v>3335.04</v>
      </c>
      <c r="F514" s="8">
        <v>45107</v>
      </c>
      <c r="H514" t="str">
        <f>IF(COUNTIF(Customers!$A$2:$A$1001,B514)&gt;0,"Valid","Invalid")</f>
        <v>Valid</v>
      </c>
      <c r="I514" t="str">
        <f t="shared" si="7"/>
        <v>Valid</v>
      </c>
      <c r="K514" t="str">
        <f>VLOOKUP(B514,Customers!A:G,7,FALSE)</f>
        <v>Student</v>
      </c>
    </row>
    <row r="515" spans="1:11" x14ac:dyDescent="0.25">
      <c r="A515" t="s">
        <v>1564</v>
      </c>
      <c r="B515" t="s">
        <v>552</v>
      </c>
      <c r="C515" t="s">
        <v>17</v>
      </c>
      <c r="D515" t="s">
        <v>1050</v>
      </c>
      <c r="E515">
        <v>2692.15</v>
      </c>
      <c r="F515" s="8">
        <v>44945</v>
      </c>
      <c r="H515" t="str">
        <f>IF(COUNTIF(Customers!$A$2:$A$1001,B515)&gt;0,"Valid","Invalid")</f>
        <v>Valid</v>
      </c>
      <c r="I515" t="str">
        <f t="shared" ref="I515:I578" si="8">IF(OR(C515="Savings",C515="Current",C515="Business",C515="Student"),"Valid","Check")</f>
        <v>Valid</v>
      </c>
      <c r="K515" t="str">
        <f>VLOOKUP(B515,Customers!A:G,7,FALSE)</f>
        <v>Individual</v>
      </c>
    </row>
    <row r="516" spans="1:11" x14ac:dyDescent="0.25">
      <c r="A516" t="s">
        <v>1565</v>
      </c>
      <c r="B516" t="s">
        <v>553</v>
      </c>
      <c r="C516" t="s">
        <v>1045</v>
      </c>
      <c r="D516" t="s">
        <v>1050</v>
      </c>
      <c r="E516">
        <v>8009.59</v>
      </c>
      <c r="F516" s="8">
        <v>46176</v>
      </c>
      <c r="H516" t="str">
        <f>IF(COUNTIF(Customers!$A$2:$A$1001,B516)&gt;0,"Valid","Invalid")</f>
        <v>Valid</v>
      </c>
      <c r="I516" t="str">
        <f t="shared" si="8"/>
        <v>Valid</v>
      </c>
      <c r="K516" t="str">
        <f>VLOOKUP(B516,Customers!A:G,7,FALSE)</f>
        <v>SME</v>
      </c>
    </row>
    <row r="517" spans="1:11" x14ac:dyDescent="0.25">
      <c r="A517" t="s">
        <v>1566</v>
      </c>
      <c r="B517" t="s">
        <v>554</v>
      </c>
      <c r="C517" t="s">
        <v>1056</v>
      </c>
      <c r="D517" t="s">
        <v>1068</v>
      </c>
      <c r="E517">
        <v>5495.16</v>
      </c>
      <c r="F517" s="8">
        <v>46045</v>
      </c>
      <c r="H517" t="str">
        <f>IF(COUNTIF(Customers!$A$2:$A$1001,B517)&gt;0,"Valid","Invalid")</f>
        <v>Valid</v>
      </c>
      <c r="I517" t="str">
        <f t="shared" si="8"/>
        <v>Valid</v>
      </c>
      <c r="K517" t="str">
        <f>VLOOKUP(B517,Customers!A:G,7,FALSE)</f>
        <v>Student</v>
      </c>
    </row>
    <row r="518" spans="1:11" x14ac:dyDescent="0.25">
      <c r="A518" t="s">
        <v>1567</v>
      </c>
      <c r="B518" t="s">
        <v>555</v>
      </c>
      <c r="C518" t="s">
        <v>1049</v>
      </c>
      <c r="D518" t="s">
        <v>1050</v>
      </c>
      <c r="E518">
        <v>2569.35</v>
      </c>
      <c r="F518" s="8">
        <v>45807</v>
      </c>
      <c r="H518" t="str">
        <f>IF(COUNTIF(Customers!$A$2:$A$1001,B518)&gt;0,"Valid","Invalid")</f>
        <v>Valid</v>
      </c>
      <c r="I518" t="str">
        <f t="shared" si="8"/>
        <v>Valid</v>
      </c>
      <c r="K518" t="str">
        <f>VLOOKUP(B518,Customers!A:G,7,FALSE)</f>
        <v>SME</v>
      </c>
    </row>
    <row r="519" spans="1:11" x14ac:dyDescent="0.25">
      <c r="A519" t="s">
        <v>1568</v>
      </c>
      <c r="B519" t="s">
        <v>556</v>
      </c>
      <c r="C519" t="s">
        <v>1056</v>
      </c>
      <c r="D519" t="s">
        <v>1050</v>
      </c>
      <c r="E519">
        <v>1129.95</v>
      </c>
      <c r="F519" s="8">
        <v>45101</v>
      </c>
      <c r="H519" t="str">
        <f>IF(COUNTIF(Customers!$A$2:$A$1001,B519)&gt;0,"Valid","Invalid")</f>
        <v>Valid</v>
      </c>
      <c r="I519" t="str">
        <f t="shared" si="8"/>
        <v>Valid</v>
      </c>
      <c r="K519" t="str">
        <f>VLOOKUP(B519,Customers!A:G,7,FALSE)</f>
        <v>Individual</v>
      </c>
    </row>
    <row r="520" spans="1:11" x14ac:dyDescent="0.25">
      <c r="A520" t="s">
        <v>1569</v>
      </c>
      <c r="B520" t="s">
        <v>557</v>
      </c>
      <c r="C520" t="s">
        <v>1045</v>
      </c>
      <c r="D520" t="s">
        <v>1050</v>
      </c>
      <c r="E520">
        <v>2218.6799999999998</v>
      </c>
      <c r="F520" s="8">
        <v>46172</v>
      </c>
      <c r="H520" t="str">
        <f>IF(COUNTIF(Customers!$A$2:$A$1001,B520)&gt;0,"Valid","Invalid")</f>
        <v>Valid</v>
      </c>
      <c r="I520" t="str">
        <f t="shared" si="8"/>
        <v>Valid</v>
      </c>
      <c r="K520" t="str">
        <f>VLOOKUP(B520,Customers!A:G,7,FALSE)</f>
        <v>Individual</v>
      </c>
    </row>
    <row r="521" spans="1:11" x14ac:dyDescent="0.25">
      <c r="A521" t="s">
        <v>1570</v>
      </c>
      <c r="B521" t="s">
        <v>558</v>
      </c>
      <c r="C521" t="s">
        <v>1049</v>
      </c>
      <c r="D521" t="s">
        <v>1050</v>
      </c>
      <c r="E521">
        <v>1618.07</v>
      </c>
      <c r="F521" s="8">
        <v>44980</v>
      </c>
      <c r="H521" t="str">
        <f>IF(COUNTIF(Customers!$A$2:$A$1001,B521)&gt;0,"Valid","Invalid")</f>
        <v>Valid</v>
      </c>
      <c r="I521" t="str">
        <f t="shared" si="8"/>
        <v>Valid</v>
      </c>
      <c r="K521" t="str">
        <f>VLOOKUP(B521,Customers!A:G,7,FALSE)</f>
        <v>Individual</v>
      </c>
    </row>
    <row r="522" spans="1:11" x14ac:dyDescent="0.25">
      <c r="A522" t="s">
        <v>1571</v>
      </c>
      <c r="B522" t="s">
        <v>559</v>
      </c>
      <c r="C522" t="s">
        <v>1056</v>
      </c>
      <c r="D522" t="s">
        <v>1073</v>
      </c>
      <c r="E522">
        <v>4690.9799999999996</v>
      </c>
      <c r="F522" s="8">
        <v>45621</v>
      </c>
      <c r="H522" t="str">
        <f>IF(COUNTIF(Customers!$A$2:$A$1001,B522)&gt;0,"Valid","Invalid")</f>
        <v>Valid</v>
      </c>
      <c r="I522" t="str">
        <f t="shared" si="8"/>
        <v>Valid</v>
      </c>
      <c r="K522" t="str">
        <f>VLOOKUP(B522,Customers!A:G,7,FALSE)</f>
        <v>Individual</v>
      </c>
    </row>
    <row r="523" spans="1:11" x14ac:dyDescent="0.25">
      <c r="A523" t="s">
        <v>1572</v>
      </c>
      <c r="B523" t="s">
        <v>560</v>
      </c>
      <c r="C523" t="s">
        <v>1049</v>
      </c>
      <c r="D523" t="s">
        <v>1050</v>
      </c>
      <c r="E523">
        <v>4130.82</v>
      </c>
      <c r="F523" s="8">
        <v>45789</v>
      </c>
      <c r="H523" t="str">
        <f>IF(COUNTIF(Customers!$A$2:$A$1001,B523)&gt;0,"Valid","Invalid")</f>
        <v>Valid</v>
      </c>
      <c r="I523" t="str">
        <f t="shared" si="8"/>
        <v>Valid</v>
      </c>
      <c r="K523" t="str">
        <f>VLOOKUP(B523,Customers!A:G,7,FALSE)</f>
        <v>Individual</v>
      </c>
    </row>
    <row r="524" spans="1:11" x14ac:dyDescent="0.25">
      <c r="A524" t="s">
        <v>1573</v>
      </c>
      <c r="B524" t="s">
        <v>561</v>
      </c>
      <c r="C524" t="s">
        <v>1049</v>
      </c>
      <c r="D524" t="s">
        <v>1046</v>
      </c>
      <c r="E524">
        <v>1344.24</v>
      </c>
      <c r="F524" s="8">
        <v>45275</v>
      </c>
      <c r="H524" t="str">
        <f>IF(COUNTIF(Customers!$A$2:$A$1001,B524)&gt;0,"Valid","Invalid")</f>
        <v>Valid</v>
      </c>
      <c r="I524" t="str">
        <f t="shared" si="8"/>
        <v>Valid</v>
      </c>
      <c r="K524" t="str">
        <f>VLOOKUP(B524,Customers!A:G,7,FALSE)</f>
        <v>Student</v>
      </c>
    </row>
    <row r="525" spans="1:11" x14ac:dyDescent="0.25">
      <c r="A525" t="s">
        <v>1574</v>
      </c>
      <c r="B525" t="s">
        <v>562</v>
      </c>
      <c r="C525" t="s">
        <v>17</v>
      </c>
      <c r="D525" t="s">
        <v>1050</v>
      </c>
      <c r="E525">
        <v>419.06</v>
      </c>
      <c r="F525" s="8">
        <v>45369</v>
      </c>
      <c r="H525" t="str">
        <f>IF(COUNTIF(Customers!$A$2:$A$1001,B525)&gt;0,"Valid","Invalid")</f>
        <v>Valid</v>
      </c>
      <c r="I525" t="str">
        <f t="shared" si="8"/>
        <v>Valid</v>
      </c>
      <c r="K525" t="str">
        <f>VLOOKUP(B525,Customers!A:G,7,FALSE)</f>
        <v>Individual</v>
      </c>
    </row>
    <row r="526" spans="1:11" x14ac:dyDescent="0.25">
      <c r="A526" t="s">
        <v>1575</v>
      </c>
      <c r="B526" t="s">
        <v>563</v>
      </c>
      <c r="C526" t="s">
        <v>1056</v>
      </c>
      <c r="D526" t="s">
        <v>1050</v>
      </c>
      <c r="E526">
        <v>6859.48</v>
      </c>
      <c r="F526" s="8">
        <v>45759</v>
      </c>
      <c r="H526" t="str">
        <f>IF(COUNTIF(Customers!$A$2:$A$1001,B526)&gt;0,"Valid","Invalid")</f>
        <v>Valid</v>
      </c>
      <c r="I526" t="str">
        <f t="shared" si="8"/>
        <v>Valid</v>
      </c>
      <c r="K526" t="str">
        <f>VLOOKUP(B526,Customers!A:G,7,FALSE)</f>
        <v>Individual</v>
      </c>
    </row>
    <row r="527" spans="1:11" x14ac:dyDescent="0.25">
      <c r="A527" t="s">
        <v>1576</v>
      </c>
      <c r="B527" t="s">
        <v>564</v>
      </c>
      <c r="C527" t="s">
        <v>1045</v>
      </c>
      <c r="D527" t="s">
        <v>1050</v>
      </c>
      <c r="E527">
        <v>3235.29</v>
      </c>
      <c r="F527" s="8">
        <v>45506</v>
      </c>
      <c r="H527" t="str">
        <f>IF(COUNTIF(Customers!$A$2:$A$1001,B527)&gt;0,"Valid","Invalid")</f>
        <v>Valid</v>
      </c>
      <c r="I527" t="str">
        <f t="shared" si="8"/>
        <v>Valid</v>
      </c>
      <c r="K527" t="str">
        <f>VLOOKUP(B527,Customers!A:G,7,FALSE)</f>
        <v>SME</v>
      </c>
    </row>
    <row r="528" spans="1:11" x14ac:dyDescent="0.25">
      <c r="A528" t="s">
        <v>1577</v>
      </c>
      <c r="B528" t="s">
        <v>565</v>
      </c>
      <c r="C528" t="s">
        <v>1056</v>
      </c>
      <c r="D528" t="s">
        <v>1050</v>
      </c>
      <c r="E528">
        <v>1313.58</v>
      </c>
      <c r="F528" s="8">
        <v>45208</v>
      </c>
      <c r="H528" t="str">
        <f>IF(COUNTIF(Customers!$A$2:$A$1001,B528)&gt;0,"Valid","Invalid")</f>
        <v>Valid</v>
      </c>
      <c r="I528" t="str">
        <f t="shared" si="8"/>
        <v>Valid</v>
      </c>
      <c r="K528" t="str">
        <f>VLOOKUP(B528,Customers!A:G,7,FALSE)</f>
        <v>SME</v>
      </c>
    </row>
    <row r="529" spans="1:11" x14ac:dyDescent="0.25">
      <c r="A529" t="s">
        <v>1578</v>
      </c>
      <c r="B529" t="s">
        <v>566</v>
      </c>
      <c r="C529" t="s">
        <v>1045</v>
      </c>
      <c r="D529" t="s">
        <v>1050</v>
      </c>
      <c r="E529">
        <v>3111.54</v>
      </c>
      <c r="F529" s="8">
        <v>45286</v>
      </c>
      <c r="H529" t="str">
        <f>IF(COUNTIF(Customers!$A$2:$A$1001,B529)&gt;0,"Valid","Invalid")</f>
        <v>Valid</v>
      </c>
      <c r="I529" t="str">
        <f t="shared" si="8"/>
        <v>Valid</v>
      </c>
      <c r="K529" t="str">
        <f>VLOOKUP(B529,Customers!A:G,7,FALSE)</f>
        <v>Individual</v>
      </c>
    </row>
    <row r="530" spans="1:11" x14ac:dyDescent="0.25">
      <c r="A530" t="s">
        <v>1579</v>
      </c>
      <c r="B530" t="s">
        <v>567</v>
      </c>
      <c r="C530" t="s">
        <v>1049</v>
      </c>
      <c r="D530" t="s">
        <v>1050</v>
      </c>
      <c r="E530">
        <v>1948.59</v>
      </c>
      <c r="F530" s="8">
        <v>45841</v>
      </c>
      <c r="H530" t="str">
        <f>IF(COUNTIF(Customers!$A$2:$A$1001,B530)&gt;0,"Valid","Invalid")</f>
        <v>Valid</v>
      </c>
      <c r="I530" t="str">
        <f t="shared" si="8"/>
        <v>Valid</v>
      </c>
      <c r="K530" t="str">
        <f>VLOOKUP(B530,Customers!A:G,7,FALSE)</f>
        <v>Student</v>
      </c>
    </row>
    <row r="531" spans="1:11" x14ac:dyDescent="0.25">
      <c r="A531" t="s">
        <v>1580</v>
      </c>
      <c r="B531" t="s">
        <v>568</v>
      </c>
      <c r="C531" t="s">
        <v>1045</v>
      </c>
      <c r="D531" t="s">
        <v>1050</v>
      </c>
      <c r="E531">
        <v>6758.92</v>
      </c>
      <c r="F531" s="8">
        <v>45749</v>
      </c>
      <c r="H531" t="str">
        <f>IF(COUNTIF(Customers!$A$2:$A$1001,B531)&gt;0,"Valid","Invalid")</f>
        <v>Valid</v>
      </c>
      <c r="I531" t="str">
        <f t="shared" si="8"/>
        <v>Valid</v>
      </c>
      <c r="K531" t="str">
        <f>VLOOKUP(B531,Customers!A:G,7,FALSE)</f>
        <v>Individual</v>
      </c>
    </row>
    <row r="532" spans="1:11" x14ac:dyDescent="0.25">
      <c r="A532" t="s">
        <v>1581</v>
      </c>
      <c r="B532" t="s">
        <v>569</v>
      </c>
      <c r="C532" t="s">
        <v>1045</v>
      </c>
      <c r="D532" t="s">
        <v>1046</v>
      </c>
      <c r="E532">
        <v>262.49</v>
      </c>
      <c r="F532" s="8">
        <v>45818</v>
      </c>
      <c r="H532" t="str">
        <f>IF(COUNTIF(Customers!$A$2:$A$1001,B532)&gt;0,"Valid","Invalid")</f>
        <v>Valid</v>
      </c>
      <c r="I532" t="str">
        <f t="shared" si="8"/>
        <v>Valid</v>
      </c>
      <c r="K532" t="str">
        <f>VLOOKUP(B532,Customers!A:G,7,FALSE)</f>
        <v>Individual</v>
      </c>
    </row>
    <row r="533" spans="1:11" x14ac:dyDescent="0.25">
      <c r="A533" t="s">
        <v>1582</v>
      </c>
      <c r="B533" t="s">
        <v>570</v>
      </c>
      <c r="C533" t="s">
        <v>1049</v>
      </c>
      <c r="D533" t="s">
        <v>1050</v>
      </c>
      <c r="E533">
        <v>1215.3800000000001</v>
      </c>
      <c r="F533" s="8">
        <v>45879</v>
      </c>
      <c r="H533" t="str">
        <f>IF(COUNTIF(Customers!$A$2:$A$1001,B533)&gt;0,"Valid","Invalid")</f>
        <v>Valid</v>
      </c>
      <c r="I533" t="str">
        <f t="shared" si="8"/>
        <v>Valid</v>
      </c>
      <c r="K533" t="str">
        <f>VLOOKUP(B533,Customers!A:G,7,FALSE)</f>
        <v>Individual</v>
      </c>
    </row>
    <row r="534" spans="1:11" x14ac:dyDescent="0.25">
      <c r="A534" t="s">
        <v>1583</v>
      </c>
      <c r="B534" t="s">
        <v>571</v>
      </c>
      <c r="C534" t="s">
        <v>1056</v>
      </c>
      <c r="D534" t="s">
        <v>1050</v>
      </c>
      <c r="E534">
        <v>8946.83</v>
      </c>
      <c r="F534" s="8">
        <v>45567</v>
      </c>
      <c r="H534" t="str">
        <f>IF(COUNTIF(Customers!$A$2:$A$1001,B534)&gt;0,"Valid","Invalid")</f>
        <v>Valid</v>
      </c>
      <c r="I534" t="str">
        <f t="shared" si="8"/>
        <v>Valid</v>
      </c>
      <c r="K534" t="str">
        <f>VLOOKUP(B534,Customers!A:G,7,FALSE)</f>
        <v>Individual</v>
      </c>
    </row>
    <row r="535" spans="1:11" x14ac:dyDescent="0.25">
      <c r="A535" t="s">
        <v>1584</v>
      </c>
      <c r="B535" t="s">
        <v>572</v>
      </c>
      <c r="C535" t="s">
        <v>1045</v>
      </c>
      <c r="D535" t="s">
        <v>1050</v>
      </c>
      <c r="E535">
        <v>3175.43</v>
      </c>
      <c r="F535" s="8">
        <v>45958</v>
      </c>
      <c r="H535" t="str">
        <f>IF(COUNTIF(Customers!$A$2:$A$1001,B535)&gt;0,"Valid","Invalid")</f>
        <v>Valid</v>
      </c>
      <c r="I535" t="str">
        <f t="shared" si="8"/>
        <v>Valid</v>
      </c>
      <c r="K535" t="str">
        <f>VLOOKUP(B535,Customers!A:G,7,FALSE)</f>
        <v>Individual</v>
      </c>
    </row>
    <row r="536" spans="1:11" x14ac:dyDescent="0.25">
      <c r="A536" t="s">
        <v>1585</v>
      </c>
      <c r="B536" t="s">
        <v>573</v>
      </c>
      <c r="C536" t="s">
        <v>1045</v>
      </c>
      <c r="D536" t="s">
        <v>1050</v>
      </c>
      <c r="E536">
        <v>10642.46</v>
      </c>
      <c r="F536" s="8">
        <v>45489</v>
      </c>
      <c r="H536" t="str">
        <f>IF(COUNTIF(Customers!$A$2:$A$1001,B536)&gt;0,"Valid","Invalid")</f>
        <v>Valid</v>
      </c>
      <c r="I536" t="str">
        <f t="shared" si="8"/>
        <v>Valid</v>
      </c>
      <c r="K536" t="str">
        <f>VLOOKUP(B536,Customers!A:G,7,FALSE)</f>
        <v>Individual</v>
      </c>
    </row>
    <row r="537" spans="1:11" x14ac:dyDescent="0.25">
      <c r="A537" t="s">
        <v>1586</v>
      </c>
      <c r="B537" t="s">
        <v>574</v>
      </c>
      <c r="C537" t="s">
        <v>1049</v>
      </c>
      <c r="D537" t="s">
        <v>1073</v>
      </c>
      <c r="E537">
        <v>532.82000000000005</v>
      </c>
      <c r="F537" s="8">
        <v>45417</v>
      </c>
      <c r="H537" t="str">
        <f>IF(COUNTIF(Customers!$A$2:$A$1001,B537)&gt;0,"Valid","Invalid")</f>
        <v>Valid</v>
      </c>
      <c r="I537" t="str">
        <f t="shared" si="8"/>
        <v>Valid</v>
      </c>
      <c r="K537" t="str">
        <f>VLOOKUP(B537,Customers!A:G,7,FALSE)</f>
        <v>Individual</v>
      </c>
    </row>
    <row r="538" spans="1:11" x14ac:dyDescent="0.25">
      <c r="A538" t="s">
        <v>1587</v>
      </c>
      <c r="B538" t="s">
        <v>575</v>
      </c>
      <c r="C538" t="s">
        <v>1045</v>
      </c>
      <c r="D538" t="s">
        <v>1050</v>
      </c>
      <c r="E538">
        <v>5282.72</v>
      </c>
      <c r="F538" s="8">
        <v>45267</v>
      </c>
      <c r="H538" t="str">
        <f>IF(COUNTIF(Customers!$A$2:$A$1001,B538)&gt;0,"Valid","Invalid")</f>
        <v>Valid</v>
      </c>
      <c r="I538" t="str">
        <f t="shared" si="8"/>
        <v>Valid</v>
      </c>
      <c r="K538" t="str">
        <f>VLOOKUP(B538,Customers!A:G,7,FALSE)</f>
        <v>SME</v>
      </c>
    </row>
    <row r="539" spans="1:11" x14ac:dyDescent="0.25">
      <c r="A539" t="s">
        <v>1588</v>
      </c>
      <c r="B539" t="s">
        <v>576</v>
      </c>
      <c r="C539" t="s">
        <v>1049</v>
      </c>
      <c r="D539" t="s">
        <v>1050</v>
      </c>
      <c r="E539">
        <v>4975.22</v>
      </c>
      <c r="F539" s="8">
        <v>45398</v>
      </c>
      <c r="H539" t="str">
        <f>IF(COUNTIF(Customers!$A$2:$A$1001,B539)&gt;0,"Valid","Invalid")</f>
        <v>Valid</v>
      </c>
      <c r="I539" t="str">
        <f t="shared" si="8"/>
        <v>Valid</v>
      </c>
      <c r="K539" t="str">
        <f>VLOOKUP(B539,Customers!A:G,7,FALSE)</f>
        <v>SME</v>
      </c>
    </row>
    <row r="540" spans="1:11" x14ac:dyDescent="0.25">
      <c r="A540" t="s">
        <v>1589</v>
      </c>
      <c r="B540" t="s">
        <v>577</v>
      </c>
      <c r="C540" t="s">
        <v>1045</v>
      </c>
      <c r="D540" t="s">
        <v>1068</v>
      </c>
      <c r="E540">
        <v>336.39</v>
      </c>
      <c r="F540" s="8">
        <v>45175</v>
      </c>
      <c r="H540" t="str">
        <f>IF(COUNTIF(Customers!$A$2:$A$1001,B540)&gt;0,"Valid","Invalid")</f>
        <v>Valid</v>
      </c>
      <c r="I540" t="str">
        <f t="shared" si="8"/>
        <v>Valid</v>
      </c>
      <c r="K540" t="str">
        <f>VLOOKUP(B540,Customers!A:G,7,FALSE)</f>
        <v>Individual</v>
      </c>
    </row>
    <row r="541" spans="1:11" x14ac:dyDescent="0.25">
      <c r="A541" t="s">
        <v>1590</v>
      </c>
      <c r="B541" t="s">
        <v>578</v>
      </c>
      <c r="C541" t="s">
        <v>1049</v>
      </c>
      <c r="D541" t="s">
        <v>1050</v>
      </c>
      <c r="E541">
        <v>1345.47</v>
      </c>
      <c r="F541" s="8">
        <v>45161</v>
      </c>
      <c r="H541" t="str">
        <f>IF(COUNTIF(Customers!$A$2:$A$1001,B541)&gt;0,"Valid","Invalid")</f>
        <v>Valid</v>
      </c>
      <c r="I541" t="str">
        <f t="shared" si="8"/>
        <v>Valid</v>
      </c>
      <c r="K541" t="str">
        <f>VLOOKUP(B541,Customers!A:G,7,FALSE)</f>
        <v>SME</v>
      </c>
    </row>
    <row r="542" spans="1:11" x14ac:dyDescent="0.25">
      <c r="A542" t="s">
        <v>1591</v>
      </c>
      <c r="B542" t="s">
        <v>579</v>
      </c>
      <c r="C542" t="s">
        <v>1049</v>
      </c>
      <c r="D542" t="s">
        <v>1050</v>
      </c>
      <c r="E542">
        <v>1625.34</v>
      </c>
      <c r="F542" s="8">
        <v>46033</v>
      </c>
      <c r="H542" t="str">
        <f>IF(COUNTIF(Customers!$A$2:$A$1001,B542)&gt;0,"Valid","Invalid")</f>
        <v>Valid</v>
      </c>
      <c r="I542" t="str">
        <f t="shared" si="8"/>
        <v>Valid</v>
      </c>
      <c r="K542" t="str">
        <f>VLOOKUP(B542,Customers!A:G,7,FALSE)</f>
        <v>Corporate</v>
      </c>
    </row>
    <row r="543" spans="1:11" x14ac:dyDescent="0.25">
      <c r="A543" t="s">
        <v>1592</v>
      </c>
      <c r="B543" t="s">
        <v>580</v>
      </c>
      <c r="C543" t="s">
        <v>1045</v>
      </c>
      <c r="D543" t="s">
        <v>1050</v>
      </c>
      <c r="E543">
        <v>357.97</v>
      </c>
      <c r="F543" s="8">
        <v>46043</v>
      </c>
      <c r="H543" t="str">
        <f>IF(COUNTIF(Customers!$A$2:$A$1001,B543)&gt;0,"Valid","Invalid")</f>
        <v>Valid</v>
      </c>
      <c r="I543" t="str">
        <f t="shared" si="8"/>
        <v>Valid</v>
      </c>
      <c r="K543" t="str">
        <f>VLOOKUP(B543,Customers!A:G,7,FALSE)</f>
        <v>Individual</v>
      </c>
    </row>
    <row r="544" spans="1:11" x14ac:dyDescent="0.25">
      <c r="A544" t="s">
        <v>1593</v>
      </c>
      <c r="B544" t="s">
        <v>581</v>
      </c>
      <c r="C544" t="s">
        <v>1045</v>
      </c>
      <c r="D544" t="s">
        <v>1050</v>
      </c>
      <c r="E544">
        <v>1373.88</v>
      </c>
      <c r="F544" s="8">
        <v>45750</v>
      </c>
      <c r="H544" t="str">
        <f>IF(COUNTIF(Customers!$A$2:$A$1001,B544)&gt;0,"Valid","Invalid")</f>
        <v>Valid</v>
      </c>
      <c r="I544" t="str">
        <f t="shared" si="8"/>
        <v>Valid</v>
      </c>
      <c r="K544" t="str">
        <f>VLOOKUP(B544,Customers!A:G,7,FALSE)</f>
        <v>Individual</v>
      </c>
    </row>
    <row r="545" spans="1:11" x14ac:dyDescent="0.25">
      <c r="A545" t="s">
        <v>1594</v>
      </c>
      <c r="B545" t="s">
        <v>582</v>
      </c>
      <c r="C545" t="s">
        <v>1045</v>
      </c>
      <c r="D545" t="s">
        <v>1046</v>
      </c>
      <c r="E545">
        <v>4329.3999999999996</v>
      </c>
      <c r="F545" s="8">
        <v>45558</v>
      </c>
      <c r="H545" t="str">
        <f>IF(COUNTIF(Customers!$A$2:$A$1001,B545)&gt;0,"Valid","Invalid")</f>
        <v>Valid</v>
      </c>
      <c r="I545" t="str">
        <f t="shared" si="8"/>
        <v>Valid</v>
      </c>
      <c r="K545" t="str">
        <f>VLOOKUP(B545,Customers!A:G,7,FALSE)</f>
        <v>Individual</v>
      </c>
    </row>
    <row r="546" spans="1:11" x14ac:dyDescent="0.25">
      <c r="A546" t="s">
        <v>1595</v>
      </c>
      <c r="B546" t="s">
        <v>583</v>
      </c>
      <c r="C546" t="s">
        <v>1056</v>
      </c>
      <c r="D546" t="s">
        <v>1046</v>
      </c>
      <c r="E546">
        <v>1223.02</v>
      </c>
      <c r="F546" s="8">
        <v>45455</v>
      </c>
      <c r="H546" t="str">
        <f>IF(COUNTIF(Customers!$A$2:$A$1001,B546)&gt;0,"Valid","Invalid")</f>
        <v>Valid</v>
      </c>
      <c r="I546" t="str">
        <f t="shared" si="8"/>
        <v>Valid</v>
      </c>
      <c r="K546" t="str">
        <f>VLOOKUP(B546,Customers!A:G,7,FALSE)</f>
        <v>Corporate</v>
      </c>
    </row>
    <row r="547" spans="1:11" x14ac:dyDescent="0.25">
      <c r="A547" t="s">
        <v>1596</v>
      </c>
      <c r="B547" t="s">
        <v>584</v>
      </c>
      <c r="C547" t="s">
        <v>1056</v>
      </c>
      <c r="D547" t="s">
        <v>1068</v>
      </c>
      <c r="E547">
        <v>2303.38</v>
      </c>
      <c r="F547" s="8">
        <v>46203</v>
      </c>
      <c r="H547" t="str">
        <f>IF(COUNTIF(Customers!$A$2:$A$1001,B547)&gt;0,"Valid","Invalid")</f>
        <v>Valid</v>
      </c>
      <c r="I547" t="str">
        <f t="shared" si="8"/>
        <v>Valid</v>
      </c>
      <c r="K547" t="str">
        <f>VLOOKUP(B547,Customers!A:G,7,FALSE)</f>
        <v>SME</v>
      </c>
    </row>
    <row r="548" spans="1:11" x14ac:dyDescent="0.25">
      <c r="A548" t="s">
        <v>1597</v>
      </c>
      <c r="B548" t="s">
        <v>585</v>
      </c>
      <c r="C548" t="s">
        <v>1056</v>
      </c>
      <c r="D548" t="s">
        <v>1050</v>
      </c>
      <c r="E548">
        <v>2320.11</v>
      </c>
      <c r="F548" s="8">
        <v>45048</v>
      </c>
      <c r="H548" t="str">
        <f>IF(COUNTIF(Customers!$A$2:$A$1001,B548)&gt;0,"Valid","Invalid")</f>
        <v>Valid</v>
      </c>
      <c r="I548" t="str">
        <f t="shared" si="8"/>
        <v>Valid</v>
      </c>
      <c r="K548" t="str">
        <f>VLOOKUP(B548,Customers!A:G,7,FALSE)</f>
        <v>Student</v>
      </c>
    </row>
    <row r="549" spans="1:11" x14ac:dyDescent="0.25">
      <c r="A549" t="s">
        <v>1598</v>
      </c>
      <c r="B549" t="s">
        <v>586</v>
      </c>
      <c r="C549" t="s">
        <v>1045</v>
      </c>
      <c r="D549" t="s">
        <v>1050</v>
      </c>
      <c r="E549">
        <v>1786.22</v>
      </c>
      <c r="F549" s="8">
        <v>45818</v>
      </c>
      <c r="H549" t="str">
        <f>IF(COUNTIF(Customers!$A$2:$A$1001,B549)&gt;0,"Valid","Invalid")</f>
        <v>Valid</v>
      </c>
      <c r="I549" t="str">
        <f t="shared" si="8"/>
        <v>Valid</v>
      </c>
      <c r="K549" t="str">
        <f>VLOOKUP(B549,Customers!A:G,7,FALSE)</f>
        <v>Individual</v>
      </c>
    </row>
    <row r="550" spans="1:11" x14ac:dyDescent="0.25">
      <c r="A550" t="s">
        <v>1599</v>
      </c>
      <c r="B550" t="s">
        <v>587</v>
      </c>
      <c r="C550" t="s">
        <v>1045</v>
      </c>
      <c r="D550" t="s">
        <v>1046</v>
      </c>
      <c r="E550">
        <v>893.21</v>
      </c>
      <c r="F550" s="8">
        <v>44936</v>
      </c>
      <c r="H550" t="str">
        <f>IF(COUNTIF(Customers!$A$2:$A$1001,B550)&gt;0,"Valid","Invalid")</f>
        <v>Valid</v>
      </c>
      <c r="I550" t="str">
        <f t="shared" si="8"/>
        <v>Valid</v>
      </c>
      <c r="K550" t="str">
        <f>VLOOKUP(B550,Customers!A:G,7,FALSE)</f>
        <v>Individual</v>
      </c>
    </row>
    <row r="551" spans="1:11" x14ac:dyDescent="0.25">
      <c r="A551" t="s">
        <v>1600</v>
      </c>
      <c r="B551" t="s">
        <v>588</v>
      </c>
      <c r="C551" t="s">
        <v>1045</v>
      </c>
      <c r="D551" t="s">
        <v>1050</v>
      </c>
      <c r="E551">
        <v>3494.04</v>
      </c>
      <c r="F551" s="8">
        <v>45764</v>
      </c>
      <c r="H551" t="str">
        <f>IF(COUNTIF(Customers!$A$2:$A$1001,B551)&gt;0,"Valid","Invalid")</f>
        <v>Valid</v>
      </c>
      <c r="I551" t="str">
        <f t="shared" si="8"/>
        <v>Valid</v>
      </c>
      <c r="K551" t="str">
        <f>VLOOKUP(B551,Customers!A:G,7,FALSE)</f>
        <v>Individual</v>
      </c>
    </row>
    <row r="552" spans="1:11" x14ac:dyDescent="0.25">
      <c r="A552" t="s">
        <v>1601</v>
      </c>
      <c r="B552" t="s">
        <v>589</v>
      </c>
      <c r="C552" t="s">
        <v>1045</v>
      </c>
      <c r="D552" t="s">
        <v>1050</v>
      </c>
      <c r="E552">
        <v>369.8</v>
      </c>
      <c r="F552" s="8">
        <v>46160</v>
      </c>
      <c r="H552" t="str">
        <f>IF(COUNTIF(Customers!$A$2:$A$1001,B552)&gt;0,"Valid","Invalid")</f>
        <v>Valid</v>
      </c>
      <c r="I552" t="str">
        <f t="shared" si="8"/>
        <v>Valid</v>
      </c>
      <c r="K552" t="str">
        <f>VLOOKUP(B552,Customers!A:G,7,FALSE)</f>
        <v>Individual</v>
      </c>
    </row>
    <row r="553" spans="1:11" x14ac:dyDescent="0.25">
      <c r="A553" t="s">
        <v>1602</v>
      </c>
      <c r="B553" t="s">
        <v>590</v>
      </c>
      <c r="C553" t="s">
        <v>1056</v>
      </c>
      <c r="D553" t="s">
        <v>1050</v>
      </c>
      <c r="E553">
        <v>1823.64</v>
      </c>
      <c r="F553" s="8">
        <v>45679</v>
      </c>
      <c r="H553" t="str">
        <f>IF(COUNTIF(Customers!$A$2:$A$1001,B553)&gt;0,"Valid","Invalid")</f>
        <v>Valid</v>
      </c>
      <c r="I553" t="str">
        <f t="shared" si="8"/>
        <v>Valid</v>
      </c>
      <c r="K553" t="str">
        <f>VLOOKUP(B553,Customers!A:G,7,FALSE)</f>
        <v>SME</v>
      </c>
    </row>
    <row r="554" spans="1:11" x14ac:dyDescent="0.25">
      <c r="A554" t="s">
        <v>1603</v>
      </c>
      <c r="B554" t="s">
        <v>591</v>
      </c>
      <c r="C554" t="s">
        <v>1049</v>
      </c>
      <c r="D554" t="s">
        <v>1050</v>
      </c>
      <c r="E554">
        <v>7226.33</v>
      </c>
      <c r="F554" s="8">
        <v>45812</v>
      </c>
      <c r="H554" t="str">
        <f>IF(COUNTIF(Customers!$A$2:$A$1001,B554)&gt;0,"Valid","Invalid")</f>
        <v>Valid</v>
      </c>
      <c r="I554" t="str">
        <f t="shared" si="8"/>
        <v>Valid</v>
      </c>
      <c r="K554" t="str">
        <f>VLOOKUP(B554,Customers!A:G,7,FALSE)</f>
        <v>Individual</v>
      </c>
    </row>
    <row r="555" spans="1:11" x14ac:dyDescent="0.25">
      <c r="A555" t="s">
        <v>1604</v>
      </c>
      <c r="B555" t="s">
        <v>592</v>
      </c>
      <c r="C555" t="s">
        <v>1056</v>
      </c>
      <c r="D555" t="s">
        <v>1050</v>
      </c>
      <c r="E555">
        <v>1155.8900000000001</v>
      </c>
      <c r="F555" s="8">
        <v>45390</v>
      </c>
      <c r="H555" t="str">
        <f>IF(COUNTIF(Customers!$A$2:$A$1001,B555)&gt;0,"Valid","Invalid")</f>
        <v>Valid</v>
      </c>
      <c r="I555" t="str">
        <f t="shared" si="8"/>
        <v>Valid</v>
      </c>
      <c r="K555" t="str">
        <f>VLOOKUP(B555,Customers!A:G,7,FALSE)</f>
        <v>SME</v>
      </c>
    </row>
    <row r="556" spans="1:11" x14ac:dyDescent="0.25">
      <c r="A556" t="s">
        <v>1605</v>
      </c>
      <c r="B556" t="s">
        <v>593</v>
      </c>
      <c r="C556" t="s">
        <v>1045</v>
      </c>
      <c r="D556" t="s">
        <v>1046</v>
      </c>
      <c r="E556">
        <v>873.65</v>
      </c>
      <c r="F556" s="8">
        <v>45638</v>
      </c>
      <c r="H556" t="str">
        <f>IF(COUNTIF(Customers!$A$2:$A$1001,B556)&gt;0,"Valid","Invalid")</f>
        <v>Valid</v>
      </c>
      <c r="I556" t="str">
        <f t="shared" si="8"/>
        <v>Valid</v>
      </c>
      <c r="K556" t="str">
        <f>VLOOKUP(B556,Customers!A:G,7,FALSE)</f>
        <v>SME</v>
      </c>
    </row>
    <row r="557" spans="1:11" x14ac:dyDescent="0.25">
      <c r="A557" t="s">
        <v>1606</v>
      </c>
      <c r="B557" t="s">
        <v>594</v>
      </c>
      <c r="C557" t="s">
        <v>17</v>
      </c>
      <c r="D557" t="s">
        <v>1046</v>
      </c>
      <c r="E557">
        <v>3735.05</v>
      </c>
      <c r="F557" s="8">
        <v>45654</v>
      </c>
      <c r="H557" t="str">
        <f>IF(COUNTIF(Customers!$A$2:$A$1001,B557)&gt;0,"Valid","Invalid")</f>
        <v>Valid</v>
      </c>
      <c r="I557" t="str">
        <f t="shared" si="8"/>
        <v>Valid</v>
      </c>
      <c r="K557" t="str">
        <f>VLOOKUP(B557,Customers!A:G,7,FALSE)</f>
        <v>SME</v>
      </c>
    </row>
    <row r="558" spans="1:11" x14ac:dyDescent="0.25">
      <c r="A558" t="s">
        <v>1607</v>
      </c>
      <c r="B558" t="s">
        <v>595</v>
      </c>
      <c r="C558" t="s">
        <v>1056</v>
      </c>
      <c r="D558" t="s">
        <v>1050</v>
      </c>
      <c r="E558">
        <v>2129.0500000000002</v>
      </c>
      <c r="F558" s="8">
        <v>45643</v>
      </c>
      <c r="H558" t="str">
        <f>IF(COUNTIF(Customers!$A$2:$A$1001,B558)&gt;0,"Valid","Invalid")</f>
        <v>Valid</v>
      </c>
      <c r="I558" t="str">
        <f t="shared" si="8"/>
        <v>Valid</v>
      </c>
      <c r="K558" t="str">
        <f>VLOOKUP(B558,Customers!A:G,7,FALSE)</f>
        <v>Individual</v>
      </c>
    </row>
    <row r="559" spans="1:11" x14ac:dyDescent="0.25">
      <c r="A559" t="s">
        <v>1608</v>
      </c>
      <c r="B559" t="s">
        <v>596</v>
      </c>
      <c r="C559" t="s">
        <v>17</v>
      </c>
      <c r="D559" t="s">
        <v>1050</v>
      </c>
      <c r="E559">
        <v>3810.24</v>
      </c>
      <c r="F559" s="8">
        <v>46166</v>
      </c>
      <c r="H559" t="str">
        <f>IF(COUNTIF(Customers!$A$2:$A$1001,B559)&gt;0,"Valid","Invalid")</f>
        <v>Valid</v>
      </c>
      <c r="I559" t="str">
        <f t="shared" si="8"/>
        <v>Valid</v>
      </c>
      <c r="K559" t="str">
        <f>VLOOKUP(B559,Customers!A:G,7,FALSE)</f>
        <v>Individual</v>
      </c>
    </row>
    <row r="560" spans="1:11" x14ac:dyDescent="0.25">
      <c r="A560" t="s">
        <v>1609</v>
      </c>
      <c r="B560" t="s">
        <v>597</v>
      </c>
      <c r="C560" t="s">
        <v>1056</v>
      </c>
      <c r="D560" t="s">
        <v>1050</v>
      </c>
      <c r="E560">
        <v>1879.01</v>
      </c>
      <c r="F560" s="8">
        <v>45006</v>
      </c>
      <c r="H560" t="str">
        <f>IF(COUNTIF(Customers!$A$2:$A$1001,B560)&gt;0,"Valid","Invalid")</f>
        <v>Valid</v>
      </c>
      <c r="I560" t="str">
        <f t="shared" si="8"/>
        <v>Valid</v>
      </c>
      <c r="K560" t="str">
        <f>VLOOKUP(B560,Customers!A:G,7,FALSE)</f>
        <v>Individual</v>
      </c>
    </row>
    <row r="561" spans="1:11" x14ac:dyDescent="0.25">
      <c r="A561" t="s">
        <v>1610</v>
      </c>
      <c r="B561" t="s">
        <v>598</v>
      </c>
      <c r="C561" t="s">
        <v>1045</v>
      </c>
      <c r="D561" t="s">
        <v>1073</v>
      </c>
      <c r="E561">
        <v>165.95</v>
      </c>
      <c r="F561" s="8">
        <v>45406</v>
      </c>
      <c r="H561" t="str">
        <f>IF(COUNTIF(Customers!$A$2:$A$1001,B561)&gt;0,"Valid","Invalid")</f>
        <v>Valid</v>
      </c>
      <c r="I561" t="str">
        <f t="shared" si="8"/>
        <v>Valid</v>
      </c>
      <c r="K561" t="str">
        <f>VLOOKUP(B561,Customers!A:G,7,FALSE)</f>
        <v>Individual</v>
      </c>
    </row>
    <row r="562" spans="1:11" x14ac:dyDescent="0.25">
      <c r="A562" t="s">
        <v>1611</v>
      </c>
      <c r="B562" t="s">
        <v>599</v>
      </c>
      <c r="C562" t="s">
        <v>1045</v>
      </c>
      <c r="D562" t="s">
        <v>1050</v>
      </c>
      <c r="E562">
        <v>5883.54</v>
      </c>
      <c r="F562" s="8">
        <v>45828</v>
      </c>
      <c r="H562" t="str">
        <f>IF(COUNTIF(Customers!$A$2:$A$1001,B562)&gt;0,"Valid","Invalid")</f>
        <v>Valid</v>
      </c>
      <c r="I562" t="str">
        <f t="shared" si="8"/>
        <v>Valid</v>
      </c>
      <c r="K562" t="str">
        <f>VLOOKUP(B562,Customers!A:G,7,FALSE)</f>
        <v>Individual</v>
      </c>
    </row>
    <row r="563" spans="1:11" x14ac:dyDescent="0.25">
      <c r="A563" t="s">
        <v>1612</v>
      </c>
      <c r="B563" t="s">
        <v>600</v>
      </c>
      <c r="C563" t="s">
        <v>1049</v>
      </c>
      <c r="D563" t="s">
        <v>1046</v>
      </c>
      <c r="E563">
        <v>14328.79</v>
      </c>
      <c r="F563" s="8">
        <v>45817</v>
      </c>
      <c r="H563" t="str">
        <f>IF(COUNTIF(Customers!$A$2:$A$1001,B563)&gt;0,"Valid","Invalid")</f>
        <v>Valid</v>
      </c>
      <c r="I563" t="str">
        <f t="shared" si="8"/>
        <v>Valid</v>
      </c>
      <c r="K563" t="str">
        <f>VLOOKUP(B563,Customers!A:G,7,FALSE)</f>
        <v>Individual</v>
      </c>
    </row>
    <row r="564" spans="1:11" x14ac:dyDescent="0.25">
      <c r="A564" t="s">
        <v>1613</v>
      </c>
      <c r="B564" t="s">
        <v>601</v>
      </c>
      <c r="C564" t="s">
        <v>1045</v>
      </c>
      <c r="D564" t="s">
        <v>1050</v>
      </c>
      <c r="E564">
        <v>6529.21</v>
      </c>
      <c r="F564" s="8">
        <v>44944</v>
      </c>
      <c r="H564" t="str">
        <f>IF(COUNTIF(Customers!$A$2:$A$1001,B564)&gt;0,"Valid","Invalid")</f>
        <v>Valid</v>
      </c>
      <c r="I564" t="str">
        <f t="shared" si="8"/>
        <v>Valid</v>
      </c>
      <c r="K564" t="str">
        <f>VLOOKUP(B564,Customers!A:G,7,FALSE)</f>
        <v>Individual</v>
      </c>
    </row>
    <row r="565" spans="1:11" x14ac:dyDescent="0.25">
      <c r="A565" t="s">
        <v>1614</v>
      </c>
      <c r="B565" t="s">
        <v>602</v>
      </c>
      <c r="C565" t="s">
        <v>1045</v>
      </c>
      <c r="D565" t="s">
        <v>1050</v>
      </c>
      <c r="E565">
        <v>52.52</v>
      </c>
      <c r="F565" s="8">
        <v>46115</v>
      </c>
      <c r="H565" t="str">
        <f>IF(COUNTIF(Customers!$A$2:$A$1001,B565)&gt;0,"Valid","Invalid")</f>
        <v>Valid</v>
      </c>
      <c r="I565" t="str">
        <f t="shared" si="8"/>
        <v>Valid</v>
      </c>
      <c r="K565" t="str">
        <f>VLOOKUP(B565,Customers!A:G,7,FALSE)</f>
        <v>Student</v>
      </c>
    </row>
    <row r="566" spans="1:11" x14ac:dyDescent="0.25">
      <c r="A566" t="s">
        <v>1615</v>
      </c>
      <c r="B566" t="s">
        <v>603</v>
      </c>
      <c r="C566" t="s">
        <v>1056</v>
      </c>
      <c r="D566" t="s">
        <v>1050</v>
      </c>
      <c r="E566">
        <v>2838.66</v>
      </c>
      <c r="F566" s="8">
        <v>45128</v>
      </c>
      <c r="H566" t="str">
        <f>IF(COUNTIF(Customers!$A$2:$A$1001,B566)&gt;0,"Valid","Invalid")</f>
        <v>Valid</v>
      </c>
      <c r="I566" t="str">
        <f t="shared" si="8"/>
        <v>Valid</v>
      </c>
      <c r="K566" t="str">
        <f>VLOOKUP(B566,Customers!A:G,7,FALSE)</f>
        <v>Individual</v>
      </c>
    </row>
    <row r="567" spans="1:11" x14ac:dyDescent="0.25">
      <c r="A567" t="s">
        <v>1616</v>
      </c>
      <c r="B567" t="s">
        <v>604</v>
      </c>
      <c r="C567" t="s">
        <v>1056</v>
      </c>
      <c r="D567" t="s">
        <v>1046</v>
      </c>
      <c r="E567">
        <v>1133.71</v>
      </c>
      <c r="F567" s="8">
        <v>45667</v>
      </c>
      <c r="H567" t="str">
        <f>IF(COUNTIF(Customers!$A$2:$A$1001,B567)&gt;0,"Valid","Invalid")</f>
        <v>Valid</v>
      </c>
      <c r="I567" t="str">
        <f t="shared" si="8"/>
        <v>Valid</v>
      </c>
      <c r="K567" t="str">
        <f>VLOOKUP(B567,Customers!A:G,7,FALSE)</f>
        <v>Student</v>
      </c>
    </row>
    <row r="568" spans="1:11" x14ac:dyDescent="0.25">
      <c r="A568" t="s">
        <v>1617</v>
      </c>
      <c r="B568" t="s">
        <v>605</v>
      </c>
      <c r="C568" t="s">
        <v>1056</v>
      </c>
      <c r="D568" t="s">
        <v>1050</v>
      </c>
      <c r="E568">
        <v>611.4</v>
      </c>
      <c r="F568" s="8">
        <v>45245</v>
      </c>
      <c r="H568" t="str">
        <f>IF(COUNTIF(Customers!$A$2:$A$1001,B568)&gt;0,"Valid","Invalid")</f>
        <v>Valid</v>
      </c>
      <c r="I568" t="str">
        <f t="shared" si="8"/>
        <v>Valid</v>
      </c>
      <c r="K568" t="str">
        <f>VLOOKUP(B568,Customers!A:G,7,FALSE)</f>
        <v>SME</v>
      </c>
    </row>
    <row r="569" spans="1:11" x14ac:dyDescent="0.25">
      <c r="A569" t="s">
        <v>1618</v>
      </c>
      <c r="B569" t="s">
        <v>606</v>
      </c>
      <c r="C569" t="s">
        <v>1045</v>
      </c>
      <c r="D569" t="s">
        <v>1050</v>
      </c>
      <c r="E569">
        <v>2044.14</v>
      </c>
      <c r="F569" s="8">
        <v>45143</v>
      </c>
      <c r="H569" t="str">
        <f>IF(COUNTIF(Customers!$A$2:$A$1001,B569)&gt;0,"Valid","Invalid")</f>
        <v>Valid</v>
      </c>
      <c r="I569" t="str">
        <f t="shared" si="8"/>
        <v>Valid</v>
      </c>
      <c r="K569" t="str">
        <f>VLOOKUP(B569,Customers!A:G,7,FALSE)</f>
        <v>SME</v>
      </c>
    </row>
    <row r="570" spans="1:11" x14ac:dyDescent="0.25">
      <c r="A570" t="s">
        <v>1619</v>
      </c>
      <c r="B570" t="s">
        <v>607</v>
      </c>
      <c r="C570" t="s">
        <v>1045</v>
      </c>
      <c r="D570" t="s">
        <v>1050</v>
      </c>
      <c r="E570">
        <v>1557.84</v>
      </c>
      <c r="F570" s="8">
        <v>45984</v>
      </c>
      <c r="H570" t="str">
        <f>IF(COUNTIF(Customers!$A$2:$A$1001,B570)&gt;0,"Valid","Invalid")</f>
        <v>Valid</v>
      </c>
      <c r="I570" t="str">
        <f t="shared" si="8"/>
        <v>Valid</v>
      </c>
      <c r="K570" t="str">
        <f>VLOOKUP(B570,Customers!A:G,7,FALSE)</f>
        <v>Individual</v>
      </c>
    </row>
    <row r="571" spans="1:11" x14ac:dyDescent="0.25">
      <c r="A571" t="s">
        <v>1620</v>
      </c>
      <c r="B571" t="s">
        <v>608</v>
      </c>
      <c r="C571" t="s">
        <v>1056</v>
      </c>
      <c r="D571" t="s">
        <v>1046</v>
      </c>
      <c r="E571">
        <v>3006.88</v>
      </c>
      <c r="F571" s="8">
        <v>45192</v>
      </c>
      <c r="H571" t="str">
        <f>IF(COUNTIF(Customers!$A$2:$A$1001,B571)&gt;0,"Valid","Invalid")</f>
        <v>Valid</v>
      </c>
      <c r="I571" t="str">
        <f t="shared" si="8"/>
        <v>Valid</v>
      </c>
      <c r="K571" t="str">
        <f>VLOOKUP(B571,Customers!A:G,7,FALSE)</f>
        <v>Individual</v>
      </c>
    </row>
    <row r="572" spans="1:11" x14ac:dyDescent="0.25">
      <c r="A572" t="s">
        <v>1621</v>
      </c>
      <c r="B572" t="s">
        <v>609</v>
      </c>
      <c r="C572" t="s">
        <v>17</v>
      </c>
      <c r="D572" t="s">
        <v>1073</v>
      </c>
      <c r="E572">
        <v>1913.29</v>
      </c>
      <c r="F572" s="8">
        <v>45650</v>
      </c>
      <c r="H572" t="str">
        <f>IF(COUNTIF(Customers!$A$2:$A$1001,B572)&gt;0,"Valid","Invalid")</f>
        <v>Valid</v>
      </c>
      <c r="I572" t="str">
        <f t="shared" si="8"/>
        <v>Valid</v>
      </c>
      <c r="K572" t="str">
        <f>VLOOKUP(B572,Customers!A:G,7,FALSE)</f>
        <v>Student</v>
      </c>
    </row>
    <row r="573" spans="1:11" x14ac:dyDescent="0.25">
      <c r="A573" t="s">
        <v>1622</v>
      </c>
      <c r="B573" t="s">
        <v>610</v>
      </c>
      <c r="C573" t="s">
        <v>1049</v>
      </c>
      <c r="D573" t="s">
        <v>1050</v>
      </c>
      <c r="E573">
        <v>589.45000000000005</v>
      </c>
      <c r="F573" s="8">
        <v>45701</v>
      </c>
      <c r="H573" t="str">
        <f>IF(COUNTIF(Customers!$A$2:$A$1001,B573)&gt;0,"Valid","Invalid")</f>
        <v>Valid</v>
      </c>
      <c r="I573" t="str">
        <f t="shared" si="8"/>
        <v>Valid</v>
      </c>
      <c r="K573" t="str">
        <f>VLOOKUP(B573,Customers!A:G,7,FALSE)</f>
        <v>Student</v>
      </c>
    </row>
    <row r="574" spans="1:11" x14ac:dyDescent="0.25">
      <c r="A574" t="s">
        <v>1623</v>
      </c>
      <c r="B574" t="s">
        <v>611</v>
      </c>
      <c r="C574" t="s">
        <v>17</v>
      </c>
      <c r="D574" t="s">
        <v>1073</v>
      </c>
      <c r="E574">
        <v>1015.77</v>
      </c>
      <c r="F574" s="8">
        <v>46030</v>
      </c>
      <c r="H574" t="str">
        <f>IF(COUNTIF(Customers!$A$2:$A$1001,B574)&gt;0,"Valid","Invalid")</f>
        <v>Valid</v>
      </c>
      <c r="I574" t="str">
        <f t="shared" si="8"/>
        <v>Valid</v>
      </c>
      <c r="K574" t="str">
        <f>VLOOKUP(B574,Customers!A:G,7,FALSE)</f>
        <v>Individual</v>
      </c>
    </row>
    <row r="575" spans="1:11" x14ac:dyDescent="0.25">
      <c r="A575" t="s">
        <v>1624</v>
      </c>
      <c r="B575" t="s">
        <v>612</v>
      </c>
      <c r="C575" t="s">
        <v>1049</v>
      </c>
      <c r="D575" t="s">
        <v>1050</v>
      </c>
      <c r="E575">
        <v>864.41</v>
      </c>
      <c r="F575" s="8">
        <v>45339</v>
      </c>
      <c r="H575" t="str">
        <f>IF(COUNTIF(Customers!$A$2:$A$1001,B575)&gt;0,"Valid","Invalid")</f>
        <v>Valid</v>
      </c>
      <c r="I575" t="str">
        <f t="shared" si="8"/>
        <v>Valid</v>
      </c>
      <c r="K575" t="str">
        <f>VLOOKUP(B575,Customers!A:G,7,FALSE)</f>
        <v>SME</v>
      </c>
    </row>
    <row r="576" spans="1:11" x14ac:dyDescent="0.25">
      <c r="A576" t="s">
        <v>1625</v>
      </c>
      <c r="B576" t="s">
        <v>613</v>
      </c>
      <c r="C576" t="s">
        <v>1056</v>
      </c>
      <c r="D576" t="s">
        <v>1050</v>
      </c>
      <c r="E576">
        <v>324.89999999999998</v>
      </c>
      <c r="F576" s="8">
        <v>46202</v>
      </c>
      <c r="H576" t="str">
        <f>IF(COUNTIF(Customers!$A$2:$A$1001,B576)&gt;0,"Valid","Invalid")</f>
        <v>Valid</v>
      </c>
      <c r="I576" t="str">
        <f t="shared" si="8"/>
        <v>Valid</v>
      </c>
      <c r="K576" t="str">
        <f>VLOOKUP(B576,Customers!A:G,7,FALSE)</f>
        <v>Individual</v>
      </c>
    </row>
    <row r="577" spans="1:11" x14ac:dyDescent="0.25">
      <c r="A577" t="s">
        <v>1626</v>
      </c>
      <c r="B577" t="s">
        <v>614</v>
      </c>
      <c r="C577" t="s">
        <v>1045</v>
      </c>
      <c r="D577" t="s">
        <v>1050</v>
      </c>
      <c r="E577">
        <v>458.68</v>
      </c>
      <c r="F577" s="8">
        <v>45962</v>
      </c>
      <c r="H577" t="str">
        <f>IF(COUNTIF(Customers!$A$2:$A$1001,B577)&gt;0,"Valid","Invalid")</f>
        <v>Valid</v>
      </c>
      <c r="I577" t="str">
        <f t="shared" si="8"/>
        <v>Valid</v>
      </c>
      <c r="K577" t="str">
        <f>VLOOKUP(B577,Customers!A:G,7,FALSE)</f>
        <v>Individual</v>
      </c>
    </row>
    <row r="578" spans="1:11" x14ac:dyDescent="0.25">
      <c r="A578" t="s">
        <v>1627</v>
      </c>
      <c r="B578" t="s">
        <v>615</v>
      </c>
      <c r="C578" t="s">
        <v>1056</v>
      </c>
      <c r="D578" t="s">
        <v>1050</v>
      </c>
      <c r="E578">
        <v>1464.01</v>
      </c>
      <c r="F578" s="8">
        <v>45327</v>
      </c>
      <c r="H578" t="str">
        <f>IF(COUNTIF(Customers!$A$2:$A$1001,B578)&gt;0,"Valid","Invalid")</f>
        <v>Valid</v>
      </c>
      <c r="I578" t="str">
        <f t="shared" si="8"/>
        <v>Valid</v>
      </c>
      <c r="K578" t="str">
        <f>VLOOKUP(B578,Customers!A:G,7,FALSE)</f>
        <v>Student</v>
      </c>
    </row>
    <row r="579" spans="1:11" x14ac:dyDescent="0.25">
      <c r="A579" t="s">
        <v>1628</v>
      </c>
      <c r="B579" t="s">
        <v>616</v>
      </c>
      <c r="C579" t="s">
        <v>1056</v>
      </c>
      <c r="D579" t="s">
        <v>1046</v>
      </c>
      <c r="E579">
        <v>7508.22</v>
      </c>
      <c r="F579" s="8">
        <v>45650</v>
      </c>
      <c r="H579" t="str">
        <f>IF(COUNTIF(Customers!$A$2:$A$1001,B579)&gt;0,"Valid","Invalid")</f>
        <v>Valid</v>
      </c>
      <c r="I579" t="str">
        <f t="shared" ref="I579:I642" si="9">IF(OR(C579="Savings",C579="Current",C579="Business",C579="Student"),"Valid","Check")</f>
        <v>Valid</v>
      </c>
      <c r="K579" t="str">
        <f>VLOOKUP(B579,Customers!A:G,7,FALSE)</f>
        <v>Individual</v>
      </c>
    </row>
    <row r="580" spans="1:11" x14ac:dyDescent="0.25">
      <c r="A580" t="s">
        <v>1629</v>
      </c>
      <c r="B580" t="s">
        <v>617</v>
      </c>
      <c r="C580" t="s">
        <v>1056</v>
      </c>
      <c r="D580" t="s">
        <v>1046</v>
      </c>
      <c r="E580">
        <v>1058.33</v>
      </c>
      <c r="F580" s="8">
        <v>45208</v>
      </c>
      <c r="H580" t="str">
        <f>IF(COUNTIF(Customers!$A$2:$A$1001,B580)&gt;0,"Valid","Invalid")</f>
        <v>Valid</v>
      </c>
      <c r="I580" t="str">
        <f t="shared" si="9"/>
        <v>Valid</v>
      </c>
      <c r="K580" t="str">
        <f>VLOOKUP(B580,Customers!A:G,7,FALSE)</f>
        <v>Individual</v>
      </c>
    </row>
    <row r="581" spans="1:11" x14ac:dyDescent="0.25">
      <c r="A581" t="s">
        <v>1630</v>
      </c>
      <c r="B581" t="s">
        <v>618</v>
      </c>
      <c r="C581" t="s">
        <v>1045</v>
      </c>
      <c r="D581" t="s">
        <v>1050</v>
      </c>
      <c r="E581">
        <v>847.74</v>
      </c>
      <c r="F581" s="8">
        <v>46062</v>
      </c>
      <c r="H581" t="str">
        <f>IF(COUNTIF(Customers!$A$2:$A$1001,B581)&gt;0,"Valid","Invalid")</f>
        <v>Valid</v>
      </c>
      <c r="I581" t="str">
        <f t="shared" si="9"/>
        <v>Valid</v>
      </c>
      <c r="K581" t="str">
        <f>VLOOKUP(B581,Customers!A:G,7,FALSE)</f>
        <v>Individual</v>
      </c>
    </row>
    <row r="582" spans="1:11" x14ac:dyDescent="0.25">
      <c r="A582" t="s">
        <v>1631</v>
      </c>
      <c r="B582" t="s">
        <v>619</v>
      </c>
      <c r="C582" t="s">
        <v>1056</v>
      </c>
      <c r="D582" t="s">
        <v>1050</v>
      </c>
      <c r="E582">
        <v>554.86</v>
      </c>
      <c r="F582" s="8">
        <v>45649</v>
      </c>
      <c r="H582" t="str">
        <f>IF(COUNTIF(Customers!$A$2:$A$1001,B582)&gt;0,"Valid","Invalid")</f>
        <v>Valid</v>
      </c>
      <c r="I582" t="str">
        <f t="shared" si="9"/>
        <v>Valid</v>
      </c>
      <c r="K582" t="str">
        <f>VLOOKUP(B582,Customers!A:G,7,FALSE)</f>
        <v>Individual</v>
      </c>
    </row>
    <row r="583" spans="1:11" x14ac:dyDescent="0.25">
      <c r="A583" t="s">
        <v>1632</v>
      </c>
      <c r="B583" t="s">
        <v>620</v>
      </c>
      <c r="C583" t="s">
        <v>1045</v>
      </c>
      <c r="D583" t="s">
        <v>1046</v>
      </c>
      <c r="E583">
        <v>1864.11</v>
      </c>
      <c r="F583" s="8">
        <v>45677</v>
      </c>
      <c r="H583" t="str">
        <f>IF(COUNTIF(Customers!$A$2:$A$1001,B583)&gt;0,"Valid","Invalid")</f>
        <v>Valid</v>
      </c>
      <c r="I583" t="str">
        <f t="shared" si="9"/>
        <v>Valid</v>
      </c>
      <c r="K583" t="str">
        <f>VLOOKUP(B583,Customers!A:G,7,FALSE)</f>
        <v>Student</v>
      </c>
    </row>
    <row r="584" spans="1:11" x14ac:dyDescent="0.25">
      <c r="A584" t="s">
        <v>1633</v>
      </c>
      <c r="B584" t="s">
        <v>621</v>
      </c>
      <c r="C584" t="s">
        <v>1045</v>
      </c>
      <c r="D584" t="s">
        <v>1073</v>
      </c>
      <c r="E584">
        <v>5879.69</v>
      </c>
      <c r="F584" s="8">
        <v>45194</v>
      </c>
      <c r="H584" t="str">
        <f>IF(COUNTIF(Customers!$A$2:$A$1001,B584)&gt;0,"Valid","Invalid")</f>
        <v>Valid</v>
      </c>
      <c r="I584" t="str">
        <f t="shared" si="9"/>
        <v>Valid</v>
      </c>
      <c r="K584" t="str">
        <f>VLOOKUP(B584,Customers!A:G,7,FALSE)</f>
        <v>Individual</v>
      </c>
    </row>
    <row r="585" spans="1:11" x14ac:dyDescent="0.25">
      <c r="A585" t="s">
        <v>1634</v>
      </c>
      <c r="B585" t="s">
        <v>622</v>
      </c>
      <c r="C585" t="s">
        <v>1045</v>
      </c>
      <c r="D585" t="s">
        <v>1050</v>
      </c>
      <c r="E585">
        <v>13395.62</v>
      </c>
      <c r="F585" s="8">
        <v>45224</v>
      </c>
      <c r="H585" t="str">
        <f>IF(COUNTIF(Customers!$A$2:$A$1001,B585)&gt;0,"Valid","Invalid")</f>
        <v>Valid</v>
      </c>
      <c r="I585" t="str">
        <f t="shared" si="9"/>
        <v>Valid</v>
      </c>
      <c r="K585" t="str">
        <f>VLOOKUP(B585,Customers!A:G,7,FALSE)</f>
        <v>Individual</v>
      </c>
    </row>
    <row r="586" spans="1:11" x14ac:dyDescent="0.25">
      <c r="A586" t="s">
        <v>1635</v>
      </c>
      <c r="B586" t="s">
        <v>623</v>
      </c>
      <c r="C586" t="s">
        <v>1049</v>
      </c>
      <c r="D586" t="s">
        <v>1068</v>
      </c>
      <c r="E586">
        <v>2405.23</v>
      </c>
      <c r="F586" s="8">
        <v>45496</v>
      </c>
      <c r="H586" t="str">
        <f>IF(COUNTIF(Customers!$A$2:$A$1001,B586)&gt;0,"Valid","Invalid")</f>
        <v>Valid</v>
      </c>
      <c r="I586" t="str">
        <f t="shared" si="9"/>
        <v>Valid</v>
      </c>
      <c r="K586" t="str">
        <f>VLOOKUP(B586,Customers!A:G,7,FALSE)</f>
        <v>Individual</v>
      </c>
    </row>
    <row r="587" spans="1:11" x14ac:dyDescent="0.25">
      <c r="A587" t="s">
        <v>1636</v>
      </c>
      <c r="B587" t="s">
        <v>624</v>
      </c>
      <c r="C587" t="s">
        <v>1045</v>
      </c>
      <c r="D587" t="s">
        <v>1050</v>
      </c>
      <c r="E587">
        <v>2079.73</v>
      </c>
      <c r="F587" s="8">
        <v>45435</v>
      </c>
      <c r="H587" t="str">
        <f>IF(COUNTIF(Customers!$A$2:$A$1001,B587)&gt;0,"Valid","Invalid")</f>
        <v>Valid</v>
      </c>
      <c r="I587" t="str">
        <f t="shared" si="9"/>
        <v>Valid</v>
      </c>
      <c r="K587" t="str">
        <f>VLOOKUP(B587,Customers!A:G,7,FALSE)</f>
        <v>Corporate</v>
      </c>
    </row>
    <row r="588" spans="1:11" x14ac:dyDescent="0.25">
      <c r="A588" t="s">
        <v>1637</v>
      </c>
      <c r="B588" t="s">
        <v>625</v>
      </c>
      <c r="C588" t="s">
        <v>1045</v>
      </c>
      <c r="D588" t="s">
        <v>1050</v>
      </c>
      <c r="E588">
        <v>1049.98</v>
      </c>
      <c r="F588" s="8">
        <v>45472</v>
      </c>
      <c r="H588" t="str">
        <f>IF(COUNTIF(Customers!$A$2:$A$1001,B588)&gt;0,"Valid","Invalid")</f>
        <v>Valid</v>
      </c>
      <c r="I588" t="str">
        <f t="shared" si="9"/>
        <v>Valid</v>
      </c>
      <c r="K588" t="str">
        <f>VLOOKUP(B588,Customers!A:G,7,FALSE)</f>
        <v>Individual</v>
      </c>
    </row>
    <row r="589" spans="1:11" x14ac:dyDescent="0.25">
      <c r="A589" t="s">
        <v>1638</v>
      </c>
      <c r="B589" t="s">
        <v>626</v>
      </c>
      <c r="C589" t="s">
        <v>1045</v>
      </c>
      <c r="D589" t="s">
        <v>1046</v>
      </c>
      <c r="E589">
        <v>1240.7</v>
      </c>
      <c r="F589" s="8">
        <v>45701</v>
      </c>
      <c r="H589" t="str">
        <f>IF(COUNTIF(Customers!$A$2:$A$1001,B589)&gt;0,"Valid","Invalid")</f>
        <v>Valid</v>
      </c>
      <c r="I589" t="str">
        <f t="shared" si="9"/>
        <v>Valid</v>
      </c>
      <c r="K589" t="str">
        <f>VLOOKUP(B589,Customers!A:G,7,FALSE)</f>
        <v>Individual</v>
      </c>
    </row>
    <row r="590" spans="1:11" x14ac:dyDescent="0.25">
      <c r="A590" t="s">
        <v>1639</v>
      </c>
      <c r="B590" t="s">
        <v>627</v>
      </c>
      <c r="C590" t="s">
        <v>1056</v>
      </c>
      <c r="D590" t="s">
        <v>1050</v>
      </c>
      <c r="E590">
        <v>3392</v>
      </c>
      <c r="F590" s="8">
        <v>45291</v>
      </c>
      <c r="H590" t="str">
        <f>IF(COUNTIF(Customers!$A$2:$A$1001,B590)&gt;0,"Valid","Invalid")</f>
        <v>Valid</v>
      </c>
      <c r="I590" t="str">
        <f t="shared" si="9"/>
        <v>Valid</v>
      </c>
      <c r="K590" t="str">
        <f>VLOOKUP(B590,Customers!A:G,7,FALSE)</f>
        <v>Individual</v>
      </c>
    </row>
    <row r="591" spans="1:11" x14ac:dyDescent="0.25">
      <c r="A591" t="s">
        <v>1640</v>
      </c>
      <c r="B591" t="s">
        <v>628</v>
      </c>
      <c r="C591" t="s">
        <v>1045</v>
      </c>
      <c r="D591" t="s">
        <v>1050</v>
      </c>
      <c r="E591">
        <v>1319.65</v>
      </c>
      <c r="F591" s="8">
        <v>45473</v>
      </c>
      <c r="H591" t="str">
        <f>IF(COUNTIF(Customers!$A$2:$A$1001,B591)&gt;0,"Valid","Invalid")</f>
        <v>Valid</v>
      </c>
      <c r="I591" t="str">
        <f t="shared" si="9"/>
        <v>Valid</v>
      </c>
      <c r="K591" t="str">
        <f>VLOOKUP(B591,Customers!A:G,7,FALSE)</f>
        <v>Individual</v>
      </c>
    </row>
    <row r="592" spans="1:11" x14ac:dyDescent="0.25">
      <c r="A592" t="s">
        <v>1641</v>
      </c>
      <c r="B592" t="s">
        <v>629</v>
      </c>
      <c r="C592" t="s">
        <v>1045</v>
      </c>
      <c r="D592" t="s">
        <v>1050</v>
      </c>
      <c r="E592">
        <v>1537.2</v>
      </c>
      <c r="F592" s="8">
        <v>45197</v>
      </c>
      <c r="H592" t="str">
        <f>IF(COUNTIF(Customers!$A$2:$A$1001,B592)&gt;0,"Valid","Invalid")</f>
        <v>Valid</v>
      </c>
      <c r="I592" t="str">
        <f t="shared" si="9"/>
        <v>Valid</v>
      </c>
      <c r="K592" t="str">
        <f>VLOOKUP(B592,Customers!A:G,7,FALSE)</f>
        <v>Individual</v>
      </c>
    </row>
    <row r="593" spans="1:11" x14ac:dyDescent="0.25">
      <c r="A593" t="s">
        <v>1642</v>
      </c>
      <c r="B593" t="s">
        <v>630</v>
      </c>
      <c r="C593" t="s">
        <v>1056</v>
      </c>
      <c r="D593" t="s">
        <v>1046</v>
      </c>
      <c r="E593">
        <v>1762.79</v>
      </c>
      <c r="F593" s="8">
        <v>45665</v>
      </c>
      <c r="H593" t="str">
        <f>IF(COUNTIF(Customers!$A$2:$A$1001,B593)&gt;0,"Valid","Invalid")</f>
        <v>Valid</v>
      </c>
      <c r="I593" t="str">
        <f t="shared" si="9"/>
        <v>Valid</v>
      </c>
      <c r="K593" t="str">
        <f>VLOOKUP(B593,Customers!A:G,7,FALSE)</f>
        <v>Individual</v>
      </c>
    </row>
    <row r="594" spans="1:11" x14ac:dyDescent="0.25">
      <c r="A594" t="s">
        <v>1643</v>
      </c>
      <c r="B594" t="s">
        <v>631</v>
      </c>
      <c r="C594" t="s">
        <v>1045</v>
      </c>
      <c r="D594" t="s">
        <v>1046</v>
      </c>
      <c r="E594">
        <v>1001.42</v>
      </c>
      <c r="F594" s="8">
        <v>45463</v>
      </c>
      <c r="H594" t="str">
        <f>IF(COUNTIF(Customers!$A$2:$A$1001,B594)&gt;0,"Valid","Invalid")</f>
        <v>Valid</v>
      </c>
      <c r="I594" t="str">
        <f t="shared" si="9"/>
        <v>Valid</v>
      </c>
      <c r="K594" t="str">
        <f>VLOOKUP(B594,Customers!A:G,7,FALSE)</f>
        <v>SME</v>
      </c>
    </row>
    <row r="595" spans="1:11" x14ac:dyDescent="0.25">
      <c r="A595" t="s">
        <v>1644</v>
      </c>
      <c r="B595" t="s">
        <v>632</v>
      </c>
      <c r="C595" t="s">
        <v>17</v>
      </c>
      <c r="D595" t="s">
        <v>1050</v>
      </c>
      <c r="E595">
        <v>1677.43</v>
      </c>
      <c r="F595" s="8">
        <v>46184</v>
      </c>
      <c r="H595" t="str">
        <f>IF(COUNTIF(Customers!$A$2:$A$1001,B595)&gt;0,"Valid","Invalid")</f>
        <v>Valid</v>
      </c>
      <c r="I595" t="str">
        <f t="shared" si="9"/>
        <v>Valid</v>
      </c>
      <c r="K595" t="str">
        <f>VLOOKUP(B595,Customers!A:G,7,FALSE)</f>
        <v>Individual</v>
      </c>
    </row>
    <row r="596" spans="1:11" x14ac:dyDescent="0.25">
      <c r="A596" t="s">
        <v>1645</v>
      </c>
      <c r="B596" t="s">
        <v>633</v>
      </c>
      <c r="C596" t="s">
        <v>17</v>
      </c>
      <c r="D596" t="s">
        <v>1050</v>
      </c>
      <c r="E596">
        <v>239.99</v>
      </c>
      <c r="F596" s="8">
        <v>44985</v>
      </c>
      <c r="H596" t="str">
        <f>IF(COUNTIF(Customers!$A$2:$A$1001,B596)&gt;0,"Valid","Invalid")</f>
        <v>Valid</v>
      </c>
      <c r="I596" t="str">
        <f t="shared" si="9"/>
        <v>Valid</v>
      </c>
      <c r="K596" t="str">
        <f>VLOOKUP(B596,Customers!A:G,7,FALSE)</f>
        <v>Individual</v>
      </c>
    </row>
    <row r="597" spans="1:11" x14ac:dyDescent="0.25">
      <c r="A597" t="s">
        <v>1646</v>
      </c>
      <c r="B597" t="s">
        <v>634</v>
      </c>
      <c r="C597" t="s">
        <v>1045</v>
      </c>
      <c r="D597" t="s">
        <v>1050</v>
      </c>
      <c r="E597">
        <v>3130.15</v>
      </c>
      <c r="F597" s="8">
        <v>46201</v>
      </c>
      <c r="H597" t="str">
        <f>IF(COUNTIF(Customers!$A$2:$A$1001,B597)&gt;0,"Valid","Invalid")</f>
        <v>Valid</v>
      </c>
      <c r="I597" t="str">
        <f t="shared" si="9"/>
        <v>Valid</v>
      </c>
      <c r="K597" t="str">
        <f>VLOOKUP(B597,Customers!A:G,7,FALSE)</f>
        <v>Individual</v>
      </c>
    </row>
    <row r="598" spans="1:11" x14ac:dyDescent="0.25">
      <c r="A598" t="s">
        <v>1647</v>
      </c>
      <c r="B598" t="s">
        <v>635</v>
      </c>
      <c r="C598" t="s">
        <v>1045</v>
      </c>
      <c r="D598" t="s">
        <v>1050</v>
      </c>
      <c r="E598">
        <v>18991.98</v>
      </c>
      <c r="F598" s="8">
        <v>45012</v>
      </c>
      <c r="H598" t="str">
        <f>IF(COUNTIF(Customers!$A$2:$A$1001,B598)&gt;0,"Valid","Invalid")</f>
        <v>Valid</v>
      </c>
      <c r="I598" t="str">
        <f t="shared" si="9"/>
        <v>Valid</v>
      </c>
      <c r="K598" t="str">
        <f>VLOOKUP(B598,Customers!A:G,7,FALSE)</f>
        <v>SME</v>
      </c>
    </row>
    <row r="599" spans="1:11" x14ac:dyDescent="0.25">
      <c r="A599" t="s">
        <v>1648</v>
      </c>
      <c r="B599" t="s">
        <v>636</v>
      </c>
      <c r="C599" t="s">
        <v>1049</v>
      </c>
      <c r="D599" t="s">
        <v>1050</v>
      </c>
      <c r="E599">
        <v>1041.02</v>
      </c>
      <c r="F599" s="8">
        <v>45689</v>
      </c>
      <c r="H599" t="str">
        <f>IF(COUNTIF(Customers!$A$2:$A$1001,B599)&gt;0,"Valid","Invalid")</f>
        <v>Valid</v>
      </c>
      <c r="I599" t="str">
        <f t="shared" si="9"/>
        <v>Valid</v>
      </c>
      <c r="K599" t="str">
        <f>VLOOKUP(B599,Customers!A:G,7,FALSE)</f>
        <v>Individual</v>
      </c>
    </row>
    <row r="600" spans="1:11" x14ac:dyDescent="0.25">
      <c r="A600" t="s">
        <v>1649</v>
      </c>
      <c r="B600" t="s">
        <v>637</v>
      </c>
      <c r="C600" t="s">
        <v>1045</v>
      </c>
      <c r="D600" t="s">
        <v>1046</v>
      </c>
      <c r="E600">
        <v>2627.63</v>
      </c>
      <c r="F600" s="8">
        <v>45316</v>
      </c>
      <c r="H600" t="str">
        <f>IF(COUNTIF(Customers!$A$2:$A$1001,B600)&gt;0,"Valid","Invalid")</f>
        <v>Valid</v>
      </c>
      <c r="I600" t="str">
        <f t="shared" si="9"/>
        <v>Valid</v>
      </c>
      <c r="K600" t="str">
        <f>VLOOKUP(B600,Customers!A:G,7,FALSE)</f>
        <v>Individual</v>
      </c>
    </row>
    <row r="601" spans="1:11" x14ac:dyDescent="0.25">
      <c r="A601" t="s">
        <v>1650</v>
      </c>
      <c r="B601" t="s">
        <v>638</v>
      </c>
      <c r="C601" t="s">
        <v>1045</v>
      </c>
      <c r="D601" t="s">
        <v>1050</v>
      </c>
      <c r="E601">
        <v>4236.8500000000004</v>
      </c>
      <c r="F601" s="8">
        <v>46130</v>
      </c>
      <c r="H601" t="str">
        <f>IF(COUNTIF(Customers!$A$2:$A$1001,B601)&gt;0,"Valid","Invalid")</f>
        <v>Valid</v>
      </c>
      <c r="I601" t="str">
        <f t="shared" si="9"/>
        <v>Valid</v>
      </c>
      <c r="K601" t="str">
        <f>VLOOKUP(B601,Customers!A:G,7,FALSE)</f>
        <v>Student</v>
      </c>
    </row>
    <row r="602" spans="1:11" x14ac:dyDescent="0.25">
      <c r="A602" t="s">
        <v>1651</v>
      </c>
      <c r="B602" t="s">
        <v>639</v>
      </c>
      <c r="C602" t="s">
        <v>1045</v>
      </c>
      <c r="D602" t="s">
        <v>1050</v>
      </c>
      <c r="E602">
        <v>6504.28</v>
      </c>
      <c r="F602" s="8">
        <v>45645</v>
      </c>
      <c r="H602" t="str">
        <f>IF(COUNTIF(Customers!$A$2:$A$1001,B602)&gt;0,"Valid","Invalid")</f>
        <v>Valid</v>
      </c>
      <c r="I602" t="str">
        <f t="shared" si="9"/>
        <v>Valid</v>
      </c>
      <c r="K602" t="str">
        <f>VLOOKUP(B602,Customers!A:G,7,FALSE)</f>
        <v>Individual</v>
      </c>
    </row>
    <row r="603" spans="1:11" x14ac:dyDescent="0.25">
      <c r="A603" t="s">
        <v>1652</v>
      </c>
      <c r="B603" t="s">
        <v>640</v>
      </c>
      <c r="C603" t="s">
        <v>17</v>
      </c>
      <c r="D603" t="s">
        <v>1050</v>
      </c>
      <c r="E603">
        <v>1388.08</v>
      </c>
      <c r="F603" s="8">
        <v>45782</v>
      </c>
      <c r="H603" t="str">
        <f>IF(COUNTIF(Customers!$A$2:$A$1001,B603)&gt;0,"Valid","Invalid")</f>
        <v>Valid</v>
      </c>
      <c r="I603" t="str">
        <f t="shared" si="9"/>
        <v>Valid</v>
      </c>
      <c r="K603" t="str">
        <f>VLOOKUP(B603,Customers!A:G,7,FALSE)</f>
        <v>Student</v>
      </c>
    </row>
    <row r="604" spans="1:11" x14ac:dyDescent="0.25">
      <c r="A604" t="s">
        <v>1653</v>
      </c>
      <c r="B604" t="s">
        <v>641</v>
      </c>
      <c r="C604" t="s">
        <v>1045</v>
      </c>
      <c r="D604" t="s">
        <v>1050</v>
      </c>
      <c r="E604">
        <v>297.88</v>
      </c>
      <c r="F604" s="8">
        <v>45075</v>
      </c>
      <c r="H604" t="str">
        <f>IF(COUNTIF(Customers!$A$2:$A$1001,B604)&gt;0,"Valid","Invalid")</f>
        <v>Valid</v>
      </c>
      <c r="I604" t="str">
        <f t="shared" si="9"/>
        <v>Valid</v>
      </c>
      <c r="K604" t="str">
        <f>VLOOKUP(B604,Customers!A:G,7,FALSE)</f>
        <v>Individual</v>
      </c>
    </row>
    <row r="605" spans="1:11" x14ac:dyDescent="0.25">
      <c r="A605" t="s">
        <v>1654</v>
      </c>
      <c r="B605" t="s">
        <v>642</v>
      </c>
      <c r="C605" t="s">
        <v>1056</v>
      </c>
      <c r="D605" t="s">
        <v>1068</v>
      </c>
      <c r="E605">
        <v>2361.92</v>
      </c>
      <c r="F605" s="8">
        <v>45509</v>
      </c>
      <c r="H605" t="str">
        <f>IF(COUNTIF(Customers!$A$2:$A$1001,B605)&gt;0,"Valid","Invalid")</f>
        <v>Valid</v>
      </c>
      <c r="I605" t="str">
        <f t="shared" si="9"/>
        <v>Valid</v>
      </c>
      <c r="K605" t="str">
        <f>VLOOKUP(B605,Customers!A:G,7,FALSE)</f>
        <v>Individual</v>
      </c>
    </row>
    <row r="606" spans="1:11" x14ac:dyDescent="0.25">
      <c r="A606" t="s">
        <v>1655</v>
      </c>
      <c r="B606" t="s">
        <v>643</v>
      </c>
      <c r="C606" t="s">
        <v>1049</v>
      </c>
      <c r="D606" t="s">
        <v>1050</v>
      </c>
      <c r="E606">
        <v>2056.23</v>
      </c>
      <c r="F606" s="8">
        <v>45047</v>
      </c>
      <c r="H606" t="str">
        <f>IF(COUNTIF(Customers!$A$2:$A$1001,B606)&gt;0,"Valid","Invalid")</f>
        <v>Valid</v>
      </c>
      <c r="I606" t="str">
        <f t="shared" si="9"/>
        <v>Valid</v>
      </c>
      <c r="K606" t="str">
        <f>VLOOKUP(B606,Customers!A:G,7,FALSE)</f>
        <v>Individual</v>
      </c>
    </row>
    <row r="607" spans="1:11" x14ac:dyDescent="0.25">
      <c r="A607" t="s">
        <v>1656</v>
      </c>
      <c r="B607" t="s">
        <v>644</v>
      </c>
      <c r="C607" t="s">
        <v>1045</v>
      </c>
      <c r="D607" t="s">
        <v>1050</v>
      </c>
      <c r="E607">
        <v>1279.6400000000001</v>
      </c>
      <c r="F607" s="8">
        <v>45691</v>
      </c>
      <c r="H607" t="str">
        <f>IF(COUNTIF(Customers!$A$2:$A$1001,B607)&gt;0,"Valid","Invalid")</f>
        <v>Valid</v>
      </c>
      <c r="I607" t="str">
        <f t="shared" si="9"/>
        <v>Valid</v>
      </c>
      <c r="K607" t="str">
        <f>VLOOKUP(B607,Customers!A:G,7,FALSE)</f>
        <v>Individual</v>
      </c>
    </row>
    <row r="608" spans="1:11" x14ac:dyDescent="0.25">
      <c r="A608" t="s">
        <v>1657</v>
      </c>
      <c r="B608" t="s">
        <v>645</v>
      </c>
      <c r="C608" t="s">
        <v>1045</v>
      </c>
      <c r="D608" t="s">
        <v>1050</v>
      </c>
      <c r="E608">
        <v>1582.07</v>
      </c>
      <c r="F608" s="8">
        <v>45531</v>
      </c>
      <c r="H608" t="str">
        <f>IF(COUNTIF(Customers!$A$2:$A$1001,B608)&gt;0,"Valid","Invalid")</f>
        <v>Valid</v>
      </c>
      <c r="I608" t="str">
        <f t="shared" si="9"/>
        <v>Valid</v>
      </c>
      <c r="K608" t="str">
        <f>VLOOKUP(B608,Customers!A:G,7,FALSE)</f>
        <v>Individual</v>
      </c>
    </row>
    <row r="609" spans="1:11" x14ac:dyDescent="0.25">
      <c r="A609" t="s">
        <v>1658</v>
      </c>
      <c r="B609" t="s">
        <v>646</v>
      </c>
      <c r="C609" t="s">
        <v>17</v>
      </c>
      <c r="D609" t="s">
        <v>1050</v>
      </c>
      <c r="E609">
        <v>2087.41</v>
      </c>
      <c r="F609" s="8">
        <v>45182</v>
      </c>
      <c r="H609" t="str">
        <f>IF(COUNTIF(Customers!$A$2:$A$1001,B609)&gt;0,"Valid","Invalid")</f>
        <v>Valid</v>
      </c>
      <c r="I609" t="str">
        <f t="shared" si="9"/>
        <v>Valid</v>
      </c>
      <c r="K609" t="str">
        <f>VLOOKUP(B609,Customers!A:G,7,FALSE)</f>
        <v>SME</v>
      </c>
    </row>
    <row r="610" spans="1:11" x14ac:dyDescent="0.25">
      <c r="A610" t="s">
        <v>1659</v>
      </c>
      <c r="B610" t="s">
        <v>647</v>
      </c>
      <c r="C610" t="s">
        <v>1045</v>
      </c>
      <c r="D610" t="s">
        <v>1050</v>
      </c>
      <c r="E610">
        <v>2596.09</v>
      </c>
      <c r="F610" s="8">
        <v>45692</v>
      </c>
      <c r="H610" t="str">
        <f>IF(COUNTIF(Customers!$A$2:$A$1001,B610)&gt;0,"Valid","Invalid")</f>
        <v>Valid</v>
      </c>
      <c r="I610" t="str">
        <f t="shared" si="9"/>
        <v>Valid</v>
      </c>
      <c r="K610" t="str">
        <f>VLOOKUP(B610,Customers!A:G,7,FALSE)</f>
        <v>Individual</v>
      </c>
    </row>
    <row r="611" spans="1:11" x14ac:dyDescent="0.25">
      <c r="A611" t="s">
        <v>1660</v>
      </c>
      <c r="B611" t="s">
        <v>648</v>
      </c>
      <c r="C611" t="s">
        <v>1056</v>
      </c>
      <c r="D611" t="s">
        <v>1050</v>
      </c>
      <c r="E611">
        <v>2489.4299999999998</v>
      </c>
      <c r="F611" s="8">
        <v>45790</v>
      </c>
      <c r="H611" t="str">
        <f>IF(COUNTIF(Customers!$A$2:$A$1001,B611)&gt;0,"Valid","Invalid")</f>
        <v>Valid</v>
      </c>
      <c r="I611" t="str">
        <f t="shared" si="9"/>
        <v>Valid</v>
      </c>
      <c r="K611" t="str">
        <f>VLOOKUP(B611,Customers!A:G,7,FALSE)</f>
        <v>Individual</v>
      </c>
    </row>
    <row r="612" spans="1:11" x14ac:dyDescent="0.25">
      <c r="A612" t="s">
        <v>1661</v>
      </c>
      <c r="B612" t="s">
        <v>649</v>
      </c>
      <c r="C612" t="s">
        <v>1045</v>
      </c>
      <c r="D612" t="s">
        <v>1050</v>
      </c>
      <c r="E612">
        <v>1454.35</v>
      </c>
      <c r="F612" s="8">
        <v>45726</v>
      </c>
      <c r="H612" t="str">
        <f>IF(COUNTIF(Customers!$A$2:$A$1001,B612)&gt;0,"Valid","Invalid")</f>
        <v>Valid</v>
      </c>
      <c r="I612" t="str">
        <f t="shared" si="9"/>
        <v>Valid</v>
      </c>
      <c r="K612" t="str">
        <f>VLOOKUP(B612,Customers!A:G,7,FALSE)</f>
        <v>Individual</v>
      </c>
    </row>
    <row r="613" spans="1:11" x14ac:dyDescent="0.25">
      <c r="A613" t="s">
        <v>1662</v>
      </c>
      <c r="B613" t="s">
        <v>650</v>
      </c>
      <c r="C613" t="s">
        <v>1045</v>
      </c>
      <c r="D613" t="s">
        <v>1050</v>
      </c>
      <c r="E613">
        <v>2655.21</v>
      </c>
      <c r="F613" s="8">
        <v>44985</v>
      </c>
      <c r="H613" t="str">
        <f>IF(COUNTIF(Customers!$A$2:$A$1001,B613)&gt;0,"Valid","Invalid")</f>
        <v>Valid</v>
      </c>
      <c r="I613" t="str">
        <f t="shared" si="9"/>
        <v>Valid</v>
      </c>
      <c r="K613" t="str">
        <f>VLOOKUP(B613,Customers!A:G,7,FALSE)</f>
        <v>Student</v>
      </c>
    </row>
    <row r="614" spans="1:11" x14ac:dyDescent="0.25">
      <c r="A614" t="s">
        <v>1663</v>
      </c>
      <c r="B614" t="s">
        <v>651</v>
      </c>
      <c r="C614" t="s">
        <v>1045</v>
      </c>
      <c r="D614" t="s">
        <v>1050</v>
      </c>
      <c r="E614">
        <v>1359.63</v>
      </c>
      <c r="F614" s="8">
        <v>45948</v>
      </c>
      <c r="H614" t="str">
        <f>IF(COUNTIF(Customers!$A$2:$A$1001,B614)&gt;0,"Valid","Invalid")</f>
        <v>Valid</v>
      </c>
      <c r="I614" t="str">
        <f t="shared" si="9"/>
        <v>Valid</v>
      </c>
      <c r="K614" t="str">
        <f>VLOOKUP(B614,Customers!A:G,7,FALSE)</f>
        <v>SME</v>
      </c>
    </row>
    <row r="615" spans="1:11" x14ac:dyDescent="0.25">
      <c r="A615" t="s">
        <v>1664</v>
      </c>
      <c r="B615" t="s">
        <v>652</v>
      </c>
      <c r="C615" t="s">
        <v>1045</v>
      </c>
      <c r="D615" t="s">
        <v>1050</v>
      </c>
      <c r="E615">
        <v>3435.87</v>
      </c>
      <c r="F615" s="8">
        <v>46019</v>
      </c>
      <c r="H615" t="str">
        <f>IF(COUNTIF(Customers!$A$2:$A$1001,B615)&gt;0,"Valid","Invalid")</f>
        <v>Valid</v>
      </c>
      <c r="I615" t="str">
        <f t="shared" si="9"/>
        <v>Valid</v>
      </c>
      <c r="K615" t="str">
        <f>VLOOKUP(B615,Customers!A:G,7,FALSE)</f>
        <v>Student</v>
      </c>
    </row>
    <row r="616" spans="1:11" x14ac:dyDescent="0.25">
      <c r="A616" t="s">
        <v>1665</v>
      </c>
      <c r="B616" t="s">
        <v>653</v>
      </c>
      <c r="C616" t="s">
        <v>1045</v>
      </c>
      <c r="D616" t="s">
        <v>1068</v>
      </c>
      <c r="E616">
        <v>965.41</v>
      </c>
      <c r="F616" s="8">
        <v>45314</v>
      </c>
      <c r="H616" t="str">
        <f>IF(COUNTIF(Customers!$A$2:$A$1001,B616)&gt;0,"Valid","Invalid")</f>
        <v>Valid</v>
      </c>
      <c r="I616" t="str">
        <f t="shared" si="9"/>
        <v>Valid</v>
      </c>
      <c r="K616" t="str">
        <f>VLOOKUP(B616,Customers!A:G,7,FALSE)</f>
        <v>Individual</v>
      </c>
    </row>
    <row r="617" spans="1:11" x14ac:dyDescent="0.25">
      <c r="A617" t="s">
        <v>1666</v>
      </c>
      <c r="B617" t="s">
        <v>654</v>
      </c>
      <c r="C617" t="s">
        <v>1049</v>
      </c>
      <c r="D617" t="s">
        <v>1050</v>
      </c>
      <c r="E617">
        <v>1945.08</v>
      </c>
      <c r="F617" s="8">
        <v>46036</v>
      </c>
      <c r="H617" t="str">
        <f>IF(COUNTIF(Customers!$A$2:$A$1001,B617)&gt;0,"Valid","Invalid")</f>
        <v>Valid</v>
      </c>
      <c r="I617" t="str">
        <f t="shared" si="9"/>
        <v>Valid</v>
      </c>
      <c r="K617" t="str">
        <f>VLOOKUP(B617,Customers!A:G,7,FALSE)</f>
        <v>Individual</v>
      </c>
    </row>
    <row r="618" spans="1:11" x14ac:dyDescent="0.25">
      <c r="A618" t="s">
        <v>1667</v>
      </c>
      <c r="B618" t="s">
        <v>655</v>
      </c>
      <c r="C618" t="s">
        <v>1045</v>
      </c>
      <c r="D618" t="s">
        <v>1050</v>
      </c>
      <c r="E618">
        <v>356.47</v>
      </c>
      <c r="F618" s="8">
        <v>45712</v>
      </c>
      <c r="H618" t="str">
        <f>IF(COUNTIF(Customers!$A$2:$A$1001,B618)&gt;0,"Valid","Invalid")</f>
        <v>Valid</v>
      </c>
      <c r="I618" t="str">
        <f t="shared" si="9"/>
        <v>Valid</v>
      </c>
      <c r="K618" t="str">
        <f>VLOOKUP(B618,Customers!A:G,7,FALSE)</f>
        <v>Individual</v>
      </c>
    </row>
    <row r="619" spans="1:11" x14ac:dyDescent="0.25">
      <c r="A619" t="s">
        <v>1668</v>
      </c>
      <c r="B619" t="s">
        <v>656</v>
      </c>
      <c r="C619" t="s">
        <v>1045</v>
      </c>
      <c r="D619" t="s">
        <v>1050</v>
      </c>
      <c r="E619">
        <v>1248.99</v>
      </c>
      <c r="F619" s="8">
        <v>46177</v>
      </c>
      <c r="H619" t="str">
        <f>IF(COUNTIF(Customers!$A$2:$A$1001,B619)&gt;0,"Valid","Invalid")</f>
        <v>Valid</v>
      </c>
      <c r="I619" t="str">
        <f t="shared" si="9"/>
        <v>Valid</v>
      </c>
      <c r="K619" t="str">
        <f>VLOOKUP(B619,Customers!A:G,7,FALSE)</f>
        <v>Individual</v>
      </c>
    </row>
    <row r="620" spans="1:11" x14ac:dyDescent="0.25">
      <c r="A620" t="s">
        <v>1669</v>
      </c>
      <c r="B620" t="s">
        <v>657</v>
      </c>
      <c r="C620" t="s">
        <v>1045</v>
      </c>
      <c r="D620" t="s">
        <v>1050</v>
      </c>
      <c r="E620">
        <v>3189.08</v>
      </c>
      <c r="F620" s="8">
        <v>45519</v>
      </c>
      <c r="H620" t="str">
        <f>IF(COUNTIF(Customers!$A$2:$A$1001,B620)&gt;0,"Valid","Invalid")</f>
        <v>Valid</v>
      </c>
      <c r="I620" t="str">
        <f t="shared" si="9"/>
        <v>Valid</v>
      </c>
      <c r="K620" t="str">
        <f>VLOOKUP(B620,Customers!A:G,7,FALSE)</f>
        <v>Individual</v>
      </c>
    </row>
    <row r="621" spans="1:11" x14ac:dyDescent="0.25">
      <c r="A621" t="s">
        <v>1670</v>
      </c>
      <c r="B621" t="s">
        <v>658</v>
      </c>
      <c r="C621" t="s">
        <v>1049</v>
      </c>
      <c r="D621" t="s">
        <v>1046</v>
      </c>
      <c r="E621">
        <v>643.08000000000004</v>
      </c>
      <c r="F621" s="8">
        <v>46134</v>
      </c>
      <c r="H621" t="str">
        <f>IF(COUNTIF(Customers!$A$2:$A$1001,B621)&gt;0,"Valid","Invalid")</f>
        <v>Valid</v>
      </c>
      <c r="I621" t="str">
        <f t="shared" si="9"/>
        <v>Valid</v>
      </c>
      <c r="K621" t="str">
        <f>VLOOKUP(B621,Customers!A:G,7,FALSE)</f>
        <v>Student</v>
      </c>
    </row>
    <row r="622" spans="1:11" x14ac:dyDescent="0.25">
      <c r="A622" t="s">
        <v>1671</v>
      </c>
      <c r="B622" t="s">
        <v>659</v>
      </c>
      <c r="C622" t="s">
        <v>1045</v>
      </c>
      <c r="D622" t="s">
        <v>1050</v>
      </c>
      <c r="E622">
        <v>1312.78</v>
      </c>
      <c r="F622" s="8">
        <v>45835</v>
      </c>
      <c r="H622" t="str">
        <f>IF(COUNTIF(Customers!$A$2:$A$1001,B622)&gt;0,"Valid","Invalid")</f>
        <v>Valid</v>
      </c>
      <c r="I622" t="str">
        <f t="shared" si="9"/>
        <v>Valid</v>
      </c>
      <c r="K622" t="str">
        <f>VLOOKUP(B622,Customers!A:G,7,FALSE)</f>
        <v>SME</v>
      </c>
    </row>
    <row r="623" spans="1:11" x14ac:dyDescent="0.25">
      <c r="A623" t="s">
        <v>1672</v>
      </c>
      <c r="B623" t="s">
        <v>660</v>
      </c>
      <c r="C623" t="s">
        <v>1056</v>
      </c>
      <c r="D623" t="s">
        <v>1046</v>
      </c>
      <c r="E623">
        <v>163.19</v>
      </c>
      <c r="F623" s="8">
        <v>45492</v>
      </c>
      <c r="H623" t="str">
        <f>IF(COUNTIF(Customers!$A$2:$A$1001,B623)&gt;0,"Valid","Invalid")</f>
        <v>Valid</v>
      </c>
      <c r="I623" t="str">
        <f t="shared" si="9"/>
        <v>Valid</v>
      </c>
      <c r="K623" t="str">
        <f>VLOOKUP(B623,Customers!A:G,7,FALSE)</f>
        <v>Individual</v>
      </c>
    </row>
    <row r="624" spans="1:11" x14ac:dyDescent="0.25">
      <c r="A624" t="s">
        <v>1673</v>
      </c>
      <c r="B624" t="s">
        <v>661</v>
      </c>
      <c r="C624" t="s">
        <v>1045</v>
      </c>
      <c r="D624" t="s">
        <v>1050</v>
      </c>
      <c r="E624">
        <v>460.32</v>
      </c>
      <c r="F624" s="8">
        <v>45325</v>
      </c>
      <c r="H624" t="str">
        <f>IF(COUNTIF(Customers!$A$2:$A$1001,B624)&gt;0,"Valid","Invalid")</f>
        <v>Valid</v>
      </c>
      <c r="I624" t="str">
        <f t="shared" si="9"/>
        <v>Valid</v>
      </c>
      <c r="K624" t="str">
        <f>VLOOKUP(B624,Customers!A:G,7,FALSE)</f>
        <v>SME</v>
      </c>
    </row>
    <row r="625" spans="1:11" x14ac:dyDescent="0.25">
      <c r="A625" t="s">
        <v>1674</v>
      </c>
      <c r="B625" t="s">
        <v>662</v>
      </c>
      <c r="C625" t="s">
        <v>1045</v>
      </c>
      <c r="D625" t="s">
        <v>1050</v>
      </c>
      <c r="E625">
        <v>597.96</v>
      </c>
      <c r="F625" s="8">
        <v>45825</v>
      </c>
      <c r="H625" t="str">
        <f>IF(COUNTIF(Customers!$A$2:$A$1001,B625)&gt;0,"Valid","Invalid")</f>
        <v>Valid</v>
      </c>
      <c r="I625" t="str">
        <f t="shared" si="9"/>
        <v>Valid</v>
      </c>
      <c r="K625" t="str">
        <f>VLOOKUP(B625,Customers!A:G,7,FALSE)</f>
        <v>SME</v>
      </c>
    </row>
    <row r="626" spans="1:11" x14ac:dyDescent="0.25">
      <c r="A626" t="s">
        <v>1675</v>
      </c>
      <c r="B626" t="s">
        <v>663</v>
      </c>
      <c r="C626" t="s">
        <v>1045</v>
      </c>
      <c r="D626" t="s">
        <v>1046</v>
      </c>
      <c r="E626">
        <v>2001.7</v>
      </c>
      <c r="F626" s="8">
        <v>45219</v>
      </c>
      <c r="H626" t="str">
        <f>IF(COUNTIF(Customers!$A$2:$A$1001,B626)&gt;0,"Valid","Invalid")</f>
        <v>Valid</v>
      </c>
      <c r="I626" t="str">
        <f t="shared" si="9"/>
        <v>Valid</v>
      </c>
      <c r="K626" t="str">
        <f>VLOOKUP(B626,Customers!A:G,7,FALSE)</f>
        <v>SME</v>
      </c>
    </row>
    <row r="627" spans="1:11" x14ac:dyDescent="0.25">
      <c r="A627" t="s">
        <v>1676</v>
      </c>
      <c r="B627" t="s">
        <v>664</v>
      </c>
      <c r="C627" t="s">
        <v>1049</v>
      </c>
      <c r="D627" t="s">
        <v>1050</v>
      </c>
      <c r="E627">
        <v>2523.52</v>
      </c>
      <c r="F627" s="8">
        <v>45411</v>
      </c>
      <c r="H627" t="str">
        <f>IF(COUNTIF(Customers!$A$2:$A$1001,B627)&gt;0,"Valid","Invalid")</f>
        <v>Valid</v>
      </c>
      <c r="I627" t="str">
        <f t="shared" si="9"/>
        <v>Valid</v>
      </c>
      <c r="K627" t="str">
        <f>VLOOKUP(B627,Customers!A:G,7,FALSE)</f>
        <v>Individual</v>
      </c>
    </row>
    <row r="628" spans="1:11" x14ac:dyDescent="0.25">
      <c r="A628" t="s">
        <v>1677</v>
      </c>
      <c r="B628" t="s">
        <v>665</v>
      </c>
      <c r="C628" t="s">
        <v>1045</v>
      </c>
      <c r="D628" t="s">
        <v>1050</v>
      </c>
      <c r="E628">
        <v>1709.48</v>
      </c>
      <c r="F628" s="8">
        <v>45729</v>
      </c>
      <c r="H628" t="str">
        <f>IF(COUNTIF(Customers!$A$2:$A$1001,B628)&gt;0,"Valid","Invalid")</f>
        <v>Valid</v>
      </c>
      <c r="I628" t="str">
        <f t="shared" si="9"/>
        <v>Valid</v>
      </c>
      <c r="K628" t="str">
        <f>VLOOKUP(B628,Customers!A:G,7,FALSE)</f>
        <v>Individual</v>
      </c>
    </row>
    <row r="629" spans="1:11" x14ac:dyDescent="0.25">
      <c r="A629" t="s">
        <v>1678</v>
      </c>
      <c r="B629" t="s">
        <v>666</v>
      </c>
      <c r="C629" t="s">
        <v>1045</v>
      </c>
      <c r="D629" t="s">
        <v>1050</v>
      </c>
      <c r="E629">
        <v>1233.25</v>
      </c>
      <c r="F629" s="8">
        <v>45816</v>
      </c>
      <c r="H629" t="str">
        <f>IF(COUNTIF(Customers!$A$2:$A$1001,B629)&gt;0,"Valid","Invalid")</f>
        <v>Valid</v>
      </c>
      <c r="I629" t="str">
        <f t="shared" si="9"/>
        <v>Valid</v>
      </c>
      <c r="K629" t="str">
        <f>VLOOKUP(B629,Customers!A:G,7,FALSE)</f>
        <v>SME</v>
      </c>
    </row>
    <row r="630" spans="1:11" x14ac:dyDescent="0.25">
      <c r="A630" t="s">
        <v>1679</v>
      </c>
      <c r="B630" t="s">
        <v>667</v>
      </c>
      <c r="C630" t="s">
        <v>1045</v>
      </c>
      <c r="D630" t="s">
        <v>1046</v>
      </c>
      <c r="E630">
        <v>1237.56</v>
      </c>
      <c r="F630" s="8">
        <v>45170</v>
      </c>
      <c r="H630" t="str">
        <f>IF(COUNTIF(Customers!$A$2:$A$1001,B630)&gt;0,"Valid","Invalid")</f>
        <v>Valid</v>
      </c>
      <c r="I630" t="str">
        <f t="shared" si="9"/>
        <v>Valid</v>
      </c>
      <c r="K630" t="str">
        <f>VLOOKUP(B630,Customers!A:G,7,FALSE)</f>
        <v>Individual</v>
      </c>
    </row>
    <row r="631" spans="1:11" x14ac:dyDescent="0.25">
      <c r="A631" t="s">
        <v>1680</v>
      </c>
      <c r="B631" t="s">
        <v>668</v>
      </c>
      <c r="C631" t="s">
        <v>1049</v>
      </c>
      <c r="D631" t="s">
        <v>1050</v>
      </c>
      <c r="E631">
        <v>3699.84</v>
      </c>
      <c r="F631" s="8">
        <v>45886</v>
      </c>
      <c r="H631" t="str">
        <f>IF(COUNTIF(Customers!$A$2:$A$1001,B631)&gt;0,"Valid","Invalid")</f>
        <v>Valid</v>
      </c>
      <c r="I631" t="str">
        <f t="shared" si="9"/>
        <v>Valid</v>
      </c>
      <c r="K631" t="str">
        <f>VLOOKUP(B631,Customers!A:G,7,FALSE)</f>
        <v>Individual</v>
      </c>
    </row>
    <row r="632" spans="1:11" x14ac:dyDescent="0.25">
      <c r="A632" t="s">
        <v>1681</v>
      </c>
      <c r="B632" t="s">
        <v>669</v>
      </c>
      <c r="C632" t="s">
        <v>1045</v>
      </c>
      <c r="D632" t="s">
        <v>1046</v>
      </c>
      <c r="E632">
        <v>2236.84</v>
      </c>
      <c r="F632" s="8">
        <v>46104</v>
      </c>
      <c r="H632" t="str">
        <f>IF(COUNTIF(Customers!$A$2:$A$1001,B632)&gt;0,"Valid","Invalid")</f>
        <v>Valid</v>
      </c>
      <c r="I632" t="str">
        <f t="shared" si="9"/>
        <v>Valid</v>
      </c>
      <c r="K632" t="str">
        <f>VLOOKUP(B632,Customers!A:G,7,FALSE)</f>
        <v>SME</v>
      </c>
    </row>
    <row r="633" spans="1:11" x14ac:dyDescent="0.25">
      <c r="A633" t="s">
        <v>1682</v>
      </c>
      <c r="B633" t="s">
        <v>670</v>
      </c>
      <c r="C633" t="s">
        <v>1045</v>
      </c>
      <c r="D633" t="s">
        <v>1050</v>
      </c>
      <c r="E633">
        <v>1294.73</v>
      </c>
      <c r="F633" s="8">
        <v>45742</v>
      </c>
      <c r="H633" t="str">
        <f>IF(COUNTIF(Customers!$A$2:$A$1001,B633)&gt;0,"Valid","Invalid")</f>
        <v>Valid</v>
      </c>
      <c r="I633" t="str">
        <f t="shared" si="9"/>
        <v>Valid</v>
      </c>
      <c r="K633" t="str">
        <f>VLOOKUP(B633,Customers!A:G,7,FALSE)</f>
        <v>SME</v>
      </c>
    </row>
    <row r="634" spans="1:11" x14ac:dyDescent="0.25">
      <c r="A634" t="s">
        <v>1683</v>
      </c>
      <c r="B634" t="s">
        <v>671</v>
      </c>
      <c r="C634" t="s">
        <v>1045</v>
      </c>
      <c r="D634" t="s">
        <v>1073</v>
      </c>
      <c r="E634">
        <v>6589.94</v>
      </c>
      <c r="F634" s="8">
        <v>45199</v>
      </c>
      <c r="H634" t="str">
        <f>IF(COUNTIF(Customers!$A$2:$A$1001,B634)&gt;0,"Valid","Invalid")</f>
        <v>Valid</v>
      </c>
      <c r="I634" t="str">
        <f t="shared" si="9"/>
        <v>Valid</v>
      </c>
      <c r="K634" t="str">
        <f>VLOOKUP(B634,Customers!A:G,7,FALSE)</f>
        <v>Individual</v>
      </c>
    </row>
    <row r="635" spans="1:11" x14ac:dyDescent="0.25">
      <c r="A635" t="s">
        <v>1684</v>
      </c>
      <c r="B635" t="s">
        <v>672</v>
      </c>
      <c r="C635" t="s">
        <v>1045</v>
      </c>
      <c r="D635" t="s">
        <v>1050</v>
      </c>
      <c r="E635">
        <v>12707.85</v>
      </c>
      <c r="F635" s="8">
        <v>45446</v>
      </c>
      <c r="H635" t="str">
        <f>IF(COUNTIF(Customers!$A$2:$A$1001,B635)&gt;0,"Valid","Invalid")</f>
        <v>Valid</v>
      </c>
      <c r="I635" t="str">
        <f t="shared" si="9"/>
        <v>Valid</v>
      </c>
      <c r="K635" t="str">
        <f>VLOOKUP(B635,Customers!A:G,7,FALSE)</f>
        <v>Student</v>
      </c>
    </row>
    <row r="636" spans="1:11" x14ac:dyDescent="0.25">
      <c r="A636" t="s">
        <v>1685</v>
      </c>
      <c r="B636" t="s">
        <v>673</v>
      </c>
      <c r="C636" t="s">
        <v>1056</v>
      </c>
      <c r="D636" t="s">
        <v>1046</v>
      </c>
      <c r="E636">
        <v>520.22</v>
      </c>
      <c r="F636" s="8">
        <v>46078</v>
      </c>
      <c r="H636" t="str">
        <f>IF(COUNTIF(Customers!$A$2:$A$1001,B636)&gt;0,"Valid","Invalid")</f>
        <v>Valid</v>
      </c>
      <c r="I636" t="str">
        <f t="shared" si="9"/>
        <v>Valid</v>
      </c>
      <c r="K636" t="str">
        <f>VLOOKUP(B636,Customers!A:G,7,FALSE)</f>
        <v>Individual</v>
      </c>
    </row>
    <row r="637" spans="1:11" x14ac:dyDescent="0.25">
      <c r="A637" t="s">
        <v>1686</v>
      </c>
      <c r="B637" t="s">
        <v>674</v>
      </c>
      <c r="C637" t="s">
        <v>1056</v>
      </c>
      <c r="D637" t="s">
        <v>1050</v>
      </c>
      <c r="E637">
        <v>3048.82</v>
      </c>
      <c r="F637" s="8">
        <v>45494</v>
      </c>
      <c r="H637" t="str">
        <f>IF(COUNTIF(Customers!$A$2:$A$1001,B637)&gt;0,"Valid","Invalid")</f>
        <v>Valid</v>
      </c>
      <c r="I637" t="str">
        <f t="shared" si="9"/>
        <v>Valid</v>
      </c>
      <c r="K637" t="str">
        <f>VLOOKUP(B637,Customers!A:G,7,FALSE)</f>
        <v>SME</v>
      </c>
    </row>
    <row r="638" spans="1:11" x14ac:dyDescent="0.25">
      <c r="A638" t="s">
        <v>1687</v>
      </c>
      <c r="B638" t="s">
        <v>675</v>
      </c>
      <c r="C638" t="s">
        <v>1045</v>
      </c>
      <c r="D638" t="s">
        <v>1073</v>
      </c>
      <c r="E638">
        <v>39731.1</v>
      </c>
      <c r="F638" s="8">
        <v>45564</v>
      </c>
      <c r="H638" t="str">
        <f>IF(COUNTIF(Customers!$A$2:$A$1001,B638)&gt;0,"Valid","Invalid")</f>
        <v>Valid</v>
      </c>
      <c r="I638" t="str">
        <f t="shared" si="9"/>
        <v>Valid</v>
      </c>
      <c r="K638" t="str">
        <f>VLOOKUP(B638,Customers!A:G,7,FALSE)</f>
        <v>SME</v>
      </c>
    </row>
    <row r="639" spans="1:11" x14ac:dyDescent="0.25">
      <c r="A639" t="s">
        <v>1688</v>
      </c>
      <c r="B639" t="s">
        <v>676</v>
      </c>
      <c r="C639" t="s">
        <v>1045</v>
      </c>
      <c r="D639" t="s">
        <v>1050</v>
      </c>
      <c r="E639">
        <v>2392.77</v>
      </c>
      <c r="F639" s="8">
        <v>45085</v>
      </c>
      <c r="H639" t="str">
        <f>IF(COUNTIF(Customers!$A$2:$A$1001,B639)&gt;0,"Valid","Invalid")</f>
        <v>Valid</v>
      </c>
      <c r="I639" t="str">
        <f t="shared" si="9"/>
        <v>Valid</v>
      </c>
      <c r="K639" t="str">
        <f>VLOOKUP(B639,Customers!A:G,7,FALSE)</f>
        <v>Individual</v>
      </c>
    </row>
    <row r="640" spans="1:11" x14ac:dyDescent="0.25">
      <c r="A640" t="s">
        <v>1689</v>
      </c>
      <c r="B640" t="s">
        <v>677</v>
      </c>
      <c r="C640" t="s">
        <v>1045</v>
      </c>
      <c r="D640" t="s">
        <v>1050</v>
      </c>
      <c r="E640">
        <v>2029.29</v>
      </c>
      <c r="F640" s="8">
        <v>45578</v>
      </c>
      <c r="H640" t="str">
        <f>IF(COUNTIF(Customers!$A$2:$A$1001,B640)&gt;0,"Valid","Invalid")</f>
        <v>Valid</v>
      </c>
      <c r="I640" t="str">
        <f t="shared" si="9"/>
        <v>Valid</v>
      </c>
      <c r="K640" t="str">
        <f>VLOOKUP(B640,Customers!A:G,7,FALSE)</f>
        <v>Student</v>
      </c>
    </row>
    <row r="641" spans="1:11" x14ac:dyDescent="0.25">
      <c r="A641" t="s">
        <v>1690</v>
      </c>
      <c r="B641" t="s">
        <v>678</v>
      </c>
      <c r="C641" t="s">
        <v>1045</v>
      </c>
      <c r="D641" t="s">
        <v>1050</v>
      </c>
      <c r="E641">
        <v>1710.03</v>
      </c>
      <c r="F641" s="8">
        <v>45102</v>
      </c>
      <c r="H641" t="str">
        <f>IF(COUNTIF(Customers!$A$2:$A$1001,B641)&gt;0,"Valid","Invalid")</f>
        <v>Valid</v>
      </c>
      <c r="I641" t="str">
        <f t="shared" si="9"/>
        <v>Valid</v>
      </c>
      <c r="K641" t="str">
        <f>VLOOKUP(B641,Customers!A:G,7,FALSE)</f>
        <v>SME</v>
      </c>
    </row>
    <row r="642" spans="1:11" x14ac:dyDescent="0.25">
      <c r="A642" t="s">
        <v>1691</v>
      </c>
      <c r="B642" t="s">
        <v>679</v>
      </c>
      <c r="C642" t="s">
        <v>1045</v>
      </c>
      <c r="D642" t="s">
        <v>1050</v>
      </c>
      <c r="E642">
        <v>2951.83</v>
      </c>
      <c r="F642" s="8">
        <v>45546</v>
      </c>
      <c r="H642" t="str">
        <f>IF(COUNTIF(Customers!$A$2:$A$1001,B642)&gt;0,"Valid","Invalid")</f>
        <v>Valid</v>
      </c>
      <c r="I642" t="str">
        <f t="shared" si="9"/>
        <v>Valid</v>
      </c>
      <c r="K642" t="str">
        <f>VLOOKUP(B642,Customers!A:G,7,FALSE)</f>
        <v>Individual</v>
      </c>
    </row>
    <row r="643" spans="1:11" x14ac:dyDescent="0.25">
      <c r="A643" t="s">
        <v>1692</v>
      </c>
      <c r="B643" t="s">
        <v>680</v>
      </c>
      <c r="C643" t="s">
        <v>1049</v>
      </c>
      <c r="D643" t="s">
        <v>1050</v>
      </c>
      <c r="E643">
        <v>3846.42</v>
      </c>
      <c r="F643" s="8">
        <v>45137</v>
      </c>
      <c r="H643" t="str">
        <f>IF(COUNTIF(Customers!$A$2:$A$1001,B643)&gt;0,"Valid","Invalid")</f>
        <v>Valid</v>
      </c>
      <c r="I643" t="str">
        <f t="shared" ref="I643:I706" si="10">IF(OR(C643="Savings",C643="Current",C643="Business",C643="Student"),"Valid","Check")</f>
        <v>Valid</v>
      </c>
      <c r="K643" t="str">
        <f>VLOOKUP(B643,Customers!A:G,7,FALSE)</f>
        <v>Individual</v>
      </c>
    </row>
    <row r="644" spans="1:11" x14ac:dyDescent="0.25">
      <c r="A644" t="s">
        <v>1693</v>
      </c>
      <c r="B644" t="s">
        <v>681</v>
      </c>
      <c r="C644" t="s">
        <v>17</v>
      </c>
      <c r="D644" t="s">
        <v>1068</v>
      </c>
      <c r="E644">
        <v>520.73</v>
      </c>
      <c r="F644" s="8">
        <v>45373</v>
      </c>
      <c r="H644" t="str">
        <f>IF(COUNTIF(Customers!$A$2:$A$1001,B644)&gt;0,"Valid","Invalid")</f>
        <v>Valid</v>
      </c>
      <c r="I644" t="str">
        <f t="shared" si="10"/>
        <v>Valid</v>
      </c>
      <c r="K644" t="str">
        <f>VLOOKUP(B644,Customers!A:G,7,FALSE)</f>
        <v>Corporate</v>
      </c>
    </row>
    <row r="645" spans="1:11" x14ac:dyDescent="0.25">
      <c r="A645" t="s">
        <v>1694</v>
      </c>
      <c r="B645" t="s">
        <v>682</v>
      </c>
      <c r="C645" t="s">
        <v>17</v>
      </c>
      <c r="D645" t="s">
        <v>1068</v>
      </c>
      <c r="E645">
        <v>1760.79</v>
      </c>
      <c r="F645" s="8">
        <v>45512</v>
      </c>
      <c r="H645" t="str">
        <f>IF(COUNTIF(Customers!$A$2:$A$1001,B645)&gt;0,"Valid","Invalid")</f>
        <v>Valid</v>
      </c>
      <c r="I645" t="str">
        <f t="shared" si="10"/>
        <v>Valid</v>
      </c>
      <c r="K645" t="str">
        <f>VLOOKUP(B645,Customers!A:G,7,FALSE)</f>
        <v>Student</v>
      </c>
    </row>
    <row r="646" spans="1:11" x14ac:dyDescent="0.25">
      <c r="A646" t="s">
        <v>1695</v>
      </c>
      <c r="B646" t="s">
        <v>683</v>
      </c>
      <c r="C646" t="s">
        <v>1049</v>
      </c>
      <c r="D646" t="s">
        <v>1050</v>
      </c>
      <c r="E646">
        <v>186.89</v>
      </c>
      <c r="F646" s="8">
        <v>45093</v>
      </c>
      <c r="H646" t="str">
        <f>IF(COUNTIF(Customers!$A$2:$A$1001,B646)&gt;0,"Valid","Invalid")</f>
        <v>Valid</v>
      </c>
      <c r="I646" t="str">
        <f t="shared" si="10"/>
        <v>Valid</v>
      </c>
      <c r="K646" t="str">
        <f>VLOOKUP(B646,Customers!A:G,7,FALSE)</f>
        <v>Individual</v>
      </c>
    </row>
    <row r="647" spans="1:11" x14ac:dyDescent="0.25">
      <c r="A647" t="s">
        <v>1696</v>
      </c>
      <c r="B647" t="s">
        <v>684</v>
      </c>
      <c r="C647" t="s">
        <v>1056</v>
      </c>
      <c r="D647" t="s">
        <v>1073</v>
      </c>
      <c r="E647">
        <v>1466.57</v>
      </c>
      <c r="F647" s="8">
        <v>45386</v>
      </c>
      <c r="H647" t="str">
        <f>IF(COUNTIF(Customers!$A$2:$A$1001,B647)&gt;0,"Valid","Invalid")</f>
        <v>Valid</v>
      </c>
      <c r="I647" t="str">
        <f t="shared" si="10"/>
        <v>Valid</v>
      </c>
      <c r="K647" t="str">
        <f>VLOOKUP(B647,Customers!A:G,7,FALSE)</f>
        <v>Student</v>
      </c>
    </row>
    <row r="648" spans="1:11" x14ac:dyDescent="0.25">
      <c r="A648" t="s">
        <v>1697</v>
      </c>
      <c r="B648" t="s">
        <v>685</v>
      </c>
      <c r="C648" t="s">
        <v>1056</v>
      </c>
      <c r="D648" t="s">
        <v>1050</v>
      </c>
      <c r="E648">
        <v>733.12</v>
      </c>
      <c r="F648" s="8">
        <v>45842</v>
      </c>
      <c r="H648" t="str">
        <f>IF(COUNTIF(Customers!$A$2:$A$1001,B648)&gt;0,"Valid","Invalid")</f>
        <v>Valid</v>
      </c>
      <c r="I648" t="str">
        <f t="shared" si="10"/>
        <v>Valid</v>
      </c>
      <c r="K648" t="str">
        <f>VLOOKUP(B648,Customers!A:G,7,FALSE)</f>
        <v>Individual</v>
      </c>
    </row>
    <row r="649" spans="1:11" x14ac:dyDescent="0.25">
      <c r="A649" t="s">
        <v>1698</v>
      </c>
      <c r="B649" t="s">
        <v>686</v>
      </c>
      <c r="C649" t="s">
        <v>1045</v>
      </c>
      <c r="D649" t="s">
        <v>1050</v>
      </c>
      <c r="E649">
        <v>2538.12</v>
      </c>
      <c r="F649" s="8">
        <v>46183</v>
      </c>
      <c r="H649" t="str">
        <f>IF(COUNTIF(Customers!$A$2:$A$1001,B649)&gt;0,"Valid","Invalid")</f>
        <v>Valid</v>
      </c>
      <c r="I649" t="str">
        <f t="shared" si="10"/>
        <v>Valid</v>
      </c>
      <c r="K649" t="str">
        <f>VLOOKUP(B649,Customers!A:G,7,FALSE)</f>
        <v>SME</v>
      </c>
    </row>
    <row r="650" spans="1:11" x14ac:dyDescent="0.25">
      <c r="A650" t="s">
        <v>1699</v>
      </c>
      <c r="B650" t="s">
        <v>687</v>
      </c>
      <c r="C650" t="s">
        <v>1056</v>
      </c>
      <c r="D650" t="s">
        <v>1046</v>
      </c>
      <c r="E650">
        <v>345.03</v>
      </c>
      <c r="F650" s="8">
        <v>46132</v>
      </c>
      <c r="H650" t="str">
        <f>IF(COUNTIF(Customers!$A$2:$A$1001,B650)&gt;0,"Valid","Invalid")</f>
        <v>Valid</v>
      </c>
      <c r="I650" t="str">
        <f t="shared" si="10"/>
        <v>Valid</v>
      </c>
      <c r="K650" t="str">
        <f>VLOOKUP(B650,Customers!A:G,7,FALSE)</f>
        <v>Individual</v>
      </c>
    </row>
    <row r="651" spans="1:11" x14ac:dyDescent="0.25">
      <c r="A651" t="s">
        <v>1700</v>
      </c>
      <c r="B651" t="s">
        <v>688</v>
      </c>
      <c r="C651" t="s">
        <v>1045</v>
      </c>
      <c r="D651" t="s">
        <v>1050</v>
      </c>
      <c r="E651">
        <v>1083.21</v>
      </c>
      <c r="F651" s="8">
        <v>45979</v>
      </c>
      <c r="H651" t="str">
        <f>IF(COUNTIF(Customers!$A$2:$A$1001,B651)&gt;0,"Valid","Invalid")</f>
        <v>Valid</v>
      </c>
      <c r="I651" t="str">
        <f t="shared" si="10"/>
        <v>Valid</v>
      </c>
      <c r="K651" t="str">
        <f>VLOOKUP(B651,Customers!A:G,7,FALSE)</f>
        <v>Corporate</v>
      </c>
    </row>
    <row r="652" spans="1:11" x14ac:dyDescent="0.25">
      <c r="A652" t="s">
        <v>1701</v>
      </c>
      <c r="B652" t="s">
        <v>689</v>
      </c>
      <c r="C652" t="s">
        <v>1045</v>
      </c>
      <c r="D652" t="s">
        <v>1068</v>
      </c>
      <c r="E652">
        <v>4753.0600000000004</v>
      </c>
      <c r="F652" s="8">
        <v>45640</v>
      </c>
      <c r="H652" t="str">
        <f>IF(COUNTIF(Customers!$A$2:$A$1001,B652)&gt;0,"Valid","Invalid")</f>
        <v>Valid</v>
      </c>
      <c r="I652" t="str">
        <f t="shared" si="10"/>
        <v>Valid</v>
      </c>
      <c r="K652" t="str">
        <f>VLOOKUP(B652,Customers!A:G,7,FALSE)</f>
        <v>Individual</v>
      </c>
    </row>
    <row r="653" spans="1:11" x14ac:dyDescent="0.25">
      <c r="A653" t="s">
        <v>1702</v>
      </c>
      <c r="B653" t="s">
        <v>690</v>
      </c>
      <c r="C653" t="s">
        <v>1049</v>
      </c>
      <c r="D653" t="s">
        <v>1050</v>
      </c>
      <c r="E653">
        <v>919.35</v>
      </c>
      <c r="F653" s="8">
        <v>46043</v>
      </c>
      <c r="H653" t="str">
        <f>IF(COUNTIF(Customers!$A$2:$A$1001,B653)&gt;0,"Valid","Invalid")</f>
        <v>Valid</v>
      </c>
      <c r="I653" t="str">
        <f t="shared" si="10"/>
        <v>Valid</v>
      </c>
      <c r="K653" t="str">
        <f>VLOOKUP(B653,Customers!A:G,7,FALSE)</f>
        <v>Individual</v>
      </c>
    </row>
    <row r="654" spans="1:11" x14ac:dyDescent="0.25">
      <c r="A654" t="s">
        <v>1703</v>
      </c>
      <c r="B654" t="s">
        <v>691</v>
      </c>
      <c r="C654" t="s">
        <v>1045</v>
      </c>
      <c r="D654" t="s">
        <v>1050</v>
      </c>
      <c r="E654">
        <v>269.08999999999997</v>
      </c>
      <c r="F654" s="8">
        <v>45767</v>
      </c>
      <c r="H654" t="str">
        <f>IF(COUNTIF(Customers!$A$2:$A$1001,B654)&gt;0,"Valid","Invalid")</f>
        <v>Valid</v>
      </c>
      <c r="I654" t="str">
        <f t="shared" si="10"/>
        <v>Valid</v>
      </c>
      <c r="K654" t="str">
        <f>VLOOKUP(B654,Customers!A:G,7,FALSE)</f>
        <v>Individual</v>
      </c>
    </row>
    <row r="655" spans="1:11" x14ac:dyDescent="0.25">
      <c r="A655" t="s">
        <v>1704</v>
      </c>
      <c r="B655" t="s">
        <v>692</v>
      </c>
      <c r="C655" t="s">
        <v>1045</v>
      </c>
      <c r="D655" t="s">
        <v>1050</v>
      </c>
      <c r="E655">
        <v>2339.13</v>
      </c>
      <c r="F655" s="8">
        <v>45794</v>
      </c>
      <c r="H655" t="str">
        <f>IF(COUNTIF(Customers!$A$2:$A$1001,B655)&gt;0,"Valid","Invalid")</f>
        <v>Valid</v>
      </c>
      <c r="I655" t="str">
        <f t="shared" si="10"/>
        <v>Valid</v>
      </c>
      <c r="K655" t="str">
        <f>VLOOKUP(B655,Customers!A:G,7,FALSE)</f>
        <v>Individual</v>
      </c>
    </row>
    <row r="656" spans="1:11" x14ac:dyDescent="0.25">
      <c r="A656" t="s">
        <v>1705</v>
      </c>
      <c r="B656" t="s">
        <v>693</v>
      </c>
      <c r="C656" t="s">
        <v>17</v>
      </c>
      <c r="D656" t="s">
        <v>1050</v>
      </c>
      <c r="E656">
        <v>1005.73</v>
      </c>
      <c r="F656" s="8">
        <v>45614</v>
      </c>
      <c r="H656" t="str">
        <f>IF(COUNTIF(Customers!$A$2:$A$1001,B656)&gt;0,"Valid","Invalid")</f>
        <v>Valid</v>
      </c>
      <c r="I656" t="str">
        <f t="shared" si="10"/>
        <v>Valid</v>
      </c>
      <c r="K656" t="str">
        <f>VLOOKUP(B656,Customers!A:G,7,FALSE)</f>
        <v>Individual</v>
      </c>
    </row>
    <row r="657" spans="1:11" x14ac:dyDescent="0.25">
      <c r="A657" t="s">
        <v>1706</v>
      </c>
      <c r="B657" t="s">
        <v>694</v>
      </c>
      <c r="C657" t="s">
        <v>1045</v>
      </c>
      <c r="D657" t="s">
        <v>1050</v>
      </c>
      <c r="E657">
        <v>1501.34</v>
      </c>
      <c r="F657" s="8">
        <v>45256</v>
      </c>
      <c r="H657" t="str">
        <f>IF(COUNTIF(Customers!$A$2:$A$1001,B657)&gt;0,"Valid","Invalid")</f>
        <v>Valid</v>
      </c>
      <c r="I657" t="str">
        <f t="shared" si="10"/>
        <v>Valid</v>
      </c>
      <c r="K657" t="str">
        <f>VLOOKUP(B657,Customers!A:G,7,FALSE)</f>
        <v>Student</v>
      </c>
    </row>
    <row r="658" spans="1:11" x14ac:dyDescent="0.25">
      <c r="A658" t="s">
        <v>1707</v>
      </c>
      <c r="B658" t="s">
        <v>695</v>
      </c>
      <c r="C658" t="s">
        <v>1045</v>
      </c>
      <c r="D658" t="s">
        <v>1068</v>
      </c>
      <c r="E658">
        <v>871.43</v>
      </c>
      <c r="F658" s="8">
        <v>46134</v>
      </c>
      <c r="H658" t="str">
        <f>IF(COUNTIF(Customers!$A$2:$A$1001,B658)&gt;0,"Valid","Invalid")</f>
        <v>Valid</v>
      </c>
      <c r="I658" t="str">
        <f t="shared" si="10"/>
        <v>Valid</v>
      </c>
      <c r="K658" t="str">
        <f>VLOOKUP(B658,Customers!A:G,7,FALSE)</f>
        <v>Individual</v>
      </c>
    </row>
    <row r="659" spans="1:11" x14ac:dyDescent="0.25">
      <c r="A659" t="s">
        <v>1708</v>
      </c>
      <c r="B659" t="s">
        <v>696</v>
      </c>
      <c r="C659" t="s">
        <v>1049</v>
      </c>
      <c r="D659" t="s">
        <v>1046</v>
      </c>
      <c r="E659">
        <v>13022.02</v>
      </c>
      <c r="F659" s="8">
        <v>45021</v>
      </c>
      <c r="H659" t="str">
        <f>IF(COUNTIF(Customers!$A$2:$A$1001,B659)&gt;0,"Valid","Invalid")</f>
        <v>Valid</v>
      </c>
      <c r="I659" t="str">
        <f t="shared" si="10"/>
        <v>Valid</v>
      </c>
      <c r="K659" t="str">
        <f>VLOOKUP(B659,Customers!A:G,7,FALSE)</f>
        <v>Individual</v>
      </c>
    </row>
    <row r="660" spans="1:11" x14ac:dyDescent="0.25">
      <c r="A660" t="s">
        <v>1709</v>
      </c>
      <c r="B660" t="s">
        <v>697</v>
      </c>
      <c r="C660" t="s">
        <v>1056</v>
      </c>
      <c r="D660" t="s">
        <v>1046</v>
      </c>
      <c r="E660">
        <v>380.67</v>
      </c>
      <c r="F660" s="8">
        <v>45711</v>
      </c>
      <c r="H660" t="str">
        <f>IF(COUNTIF(Customers!$A$2:$A$1001,B660)&gt;0,"Valid","Invalid")</f>
        <v>Valid</v>
      </c>
      <c r="I660" t="str">
        <f t="shared" si="10"/>
        <v>Valid</v>
      </c>
      <c r="K660" t="str">
        <f>VLOOKUP(B660,Customers!A:G,7,FALSE)</f>
        <v>SME</v>
      </c>
    </row>
    <row r="661" spans="1:11" x14ac:dyDescent="0.25">
      <c r="A661" t="s">
        <v>1710</v>
      </c>
      <c r="B661" t="s">
        <v>698</v>
      </c>
      <c r="C661" t="s">
        <v>1056</v>
      </c>
      <c r="D661" t="s">
        <v>1050</v>
      </c>
      <c r="E661">
        <v>30745.4</v>
      </c>
      <c r="F661" s="8">
        <v>45575</v>
      </c>
      <c r="H661" t="str">
        <f>IF(COUNTIF(Customers!$A$2:$A$1001,B661)&gt;0,"Valid","Invalid")</f>
        <v>Valid</v>
      </c>
      <c r="I661" t="str">
        <f t="shared" si="10"/>
        <v>Valid</v>
      </c>
      <c r="K661" t="str">
        <f>VLOOKUP(B661,Customers!A:G,7,FALSE)</f>
        <v>Individual</v>
      </c>
    </row>
    <row r="662" spans="1:11" x14ac:dyDescent="0.25">
      <c r="A662" t="s">
        <v>1711</v>
      </c>
      <c r="B662" t="s">
        <v>699</v>
      </c>
      <c r="C662" t="s">
        <v>1045</v>
      </c>
      <c r="D662" t="s">
        <v>1050</v>
      </c>
      <c r="E662">
        <v>1223.3699999999999</v>
      </c>
      <c r="F662" s="8">
        <v>45279</v>
      </c>
      <c r="H662" t="str">
        <f>IF(COUNTIF(Customers!$A$2:$A$1001,B662)&gt;0,"Valid","Invalid")</f>
        <v>Valid</v>
      </c>
      <c r="I662" t="str">
        <f t="shared" si="10"/>
        <v>Valid</v>
      </c>
      <c r="K662" t="str">
        <f>VLOOKUP(B662,Customers!A:G,7,FALSE)</f>
        <v>SME</v>
      </c>
    </row>
    <row r="663" spans="1:11" x14ac:dyDescent="0.25">
      <c r="A663" t="s">
        <v>1712</v>
      </c>
      <c r="B663" t="s">
        <v>700</v>
      </c>
      <c r="C663" t="s">
        <v>1045</v>
      </c>
      <c r="D663" t="s">
        <v>1050</v>
      </c>
      <c r="E663">
        <v>2172.09</v>
      </c>
      <c r="F663" s="8">
        <v>45856</v>
      </c>
      <c r="H663" t="str">
        <f>IF(COUNTIF(Customers!$A$2:$A$1001,B663)&gt;0,"Valid","Invalid")</f>
        <v>Valid</v>
      </c>
      <c r="I663" t="str">
        <f t="shared" si="10"/>
        <v>Valid</v>
      </c>
      <c r="K663" t="str">
        <f>VLOOKUP(B663,Customers!A:G,7,FALSE)</f>
        <v>Student</v>
      </c>
    </row>
    <row r="664" spans="1:11" x14ac:dyDescent="0.25">
      <c r="A664" t="s">
        <v>1713</v>
      </c>
      <c r="B664" t="s">
        <v>701</v>
      </c>
      <c r="C664" t="s">
        <v>1049</v>
      </c>
      <c r="D664" t="s">
        <v>1050</v>
      </c>
      <c r="E664">
        <v>1017.6</v>
      </c>
      <c r="F664" s="8">
        <v>45867</v>
      </c>
      <c r="H664" t="str">
        <f>IF(COUNTIF(Customers!$A$2:$A$1001,B664)&gt;0,"Valid","Invalid")</f>
        <v>Valid</v>
      </c>
      <c r="I664" t="str">
        <f t="shared" si="10"/>
        <v>Valid</v>
      </c>
      <c r="K664" t="str">
        <f>VLOOKUP(B664,Customers!A:G,7,FALSE)</f>
        <v>Individual</v>
      </c>
    </row>
    <row r="665" spans="1:11" x14ac:dyDescent="0.25">
      <c r="A665" t="s">
        <v>1714</v>
      </c>
      <c r="B665" t="s">
        <v>702</v>
      </c>
      <c r="C665" t="s">
        <v>1056</v>
      </c>
      <c r="D665" t="s">
        <v>1050</v>
      </c>
      <c r="E665">
        <v>975.91</v>
      </c>
      <c r="F665" s="8">
        <v>45910</v>
      </c>
      <c r="H665" t="str">
        <f>IF(COUNTIF(Customers!$A$2:$A$1001,B665)&gt;0,"Valid","Invalid")</f>
        <v>Valid</v>
      </c>
      <c r="I665" t="str">
        <f t="shared" si="10"/>
        <v>Valid</v>
      </c>
      <c r="K665" t="str">
        <f>VLOOKUP(B665,Customers!A:G,7,FALSE)</f>
        <v>Individual</v>
      </c>
    </row>
    <row r="666" spans="1:11" x14ac:dyDescent="0.25">
      <c r="A666" t="s">
        <v>1715</v>
      </c>
      <c r="B666" t="s">
        <v>703</v>
      </c>
      <c r="C666" t="s">
        <v>1045</v>
      </c>
      <c r="D666" t="s">
        <v>1046</v>
      </c>
      <c r="E666">
        <v>824.82</v>
      </c>
      <c r="F666" s="8">
        <v>45969</v>
      </c>
      <c r="H666" t="str">
        <f>IF(COUNTIF(Customers!$A$2:$A$1001,B666)&gt;0,"Valid","Invalid")</f>
        <v>Valid</v>
      </c>
      <c r="I666" t="str">
        <f t="shared" si="10"/>
        <v>Valid</v>
      </c>
      <c r="K666" t="str">
        <f>VLOOKUP(B666,Customers!A:G,7,FALSE)</f>
        <v>Individual</v>
      </c>
    </row>
    <row r="667" spans="1:11" x14ac:dyDescent="0.25">
      <c r="A667" t="s">
        <v>1716</v>
      </c>
      <c r="B667" t="s">
        <v>704</v>
      </c>
      <c r="C667" t="s">
        <v>1045</v>
      </c>
      <c r="D667" t="s">
        <v>1050</v>
      </c>
      <c r="E667">
        <v>3298.61</v>
      </c>
      <c r="F667" s="8">
        <v>45572</v>
      </c>
      <c r="H667" t="str">
        <f>IF(COUNTIF(Customers!$A$2:$A$1001,B667)&gt;0,"Valid","Invalid")</f>
        <v>Valid</v>
      </c>
      <c r="I667" t="str">
        <f t="shared" si="10"/>
        <v>Valid</v>
      </c>
      <c r="K667" t="str">
        <f>VLOOKUP(B667,Customers!A:G,7,FALSE)</f>
        <v>Student</v>
      </c>
    </row>
    <row r="668" spans="1:11" x14ac:dyDescent="0.25">
      <c r="A668" t="s">
        <v>1717</v>
      </c>
      <c r="B668" t="s">
        <v>705</v>
      </c>
      <c r="C668" t="s">
        <v>1045</v>
      </c>
      <c r="D668" t="s">
        <v>1050</v>
      </c>
      <c r="E668">
        <v>441.07</v>
      </c>
      <c r="F668" s="8">
        <v>45552</v>
      </c>
      <c r="H668" t="str">
        <f>IF(COUNTIF(Customers!$A$2:$A$1001,B668)&gt;0,"Valid","Invalid")</f>
        <v>Valid</v>
      </c>
      <c r="I668" t="str">
        <f t="shared" si="10"/>
        <v>Valid</v>
      </c>
      <c r="K668" t="str">
        <f>VLOOKUP(B668,Customers!A:G,7,FALSE)</f>
        <v>SME</v>
      </c>
    </row>
    <row r="669" spans="1:11" x14ac:dyDescent="0.25">
      <c r="A669" t="s">
        <v>1718</v>
      </c>
      <c r="B669" t="s">
        <v>706</v>
      </c>
      <c r="C669" t="s">
        <v>17</v>
      </c>
      <c r="D669" t="s">
        <v>1050</v>
      </c>
      <c r="E669">
        <v>2602.19</v>
      </c>
      <c r="F669" s="8">
        <v>45065</v>
      </c>
      <c r="H669" t="str">
        <f>IF(COUNTIF(Customers!$A$2:$A$1001,B669)&gt;0,"Valid","Invalid")</f>
        <v>Valid</v>
      </c>
      <c r="I669" t="str">
        <f t="shared" si="10"/>
        <v>Valid</v>
      </c>
      <c r="K669" t="str">
        <f>VLOOKUP(B669,Customers!A:G,7,FALSE)</f>
        <v>SME</v>
      </c>
    </row>
    <row r="670" spans="1:11" x14ac:dyDescent="0.25">
      <c r="A670" t="s">
        <v>1719</v>
      </c>
      <c r="B670" t="s">
        <v>707</v>
      </c>
      <c r="C670" t="s">
        <v>1045</v>
      </c>
      <c r="D670" t="s">
        <v>1050</v>
      </c>
      <c r="E670">
        <v>203.47</v>
      </c>
      <c r="F670" s="8">
        <v>45642</v>
      </c>
      <c r="H670" t="str">
        <f>IF(COUNTIF(Customers!$A$2:$A$1001,B670)&gt;0,"Valid","Invalid")</f>
        <v>Valid</v>
      </c>
      <c r="I670" t="str">
        <f t="shared" si="10"/>
        <v>Valid</v>
      </c>
      <c r="K670" t="str">
        <f>VLOOKUP(B670,Customers!A:G,7,FALSE)</f>
        <v>Individual</v>
      </c>
    </row>
    <row r="671" spans="1:11" x14ac:dyDescent="0.25">
      <c r="A671" t="s">
        <v>1720</v>
      </c>
      <c r="B671" t="s">
        <v>708</v>
      </c>
      <c r="C671" t="s">
        <v>1056</v>
      </c>
      <c r="D671" t="s">
        <v>1050</v>
      </c>
      <c r="E671">
        <v>2376.84</v>
      </c>
      <c r="F671" s="8">
        <v>45688</v>
      </c>
      <c r="H671" t="str">
        <f>IF(COUNTIF(Customers!$A$2:$A$1001,B671)&gt;0,"Valid","Invalid")</f>
        <v>Valid</v>
      </c>
      <c r="I671" t="str">
        <f t="shared" si="10"/>
        <v>Valid</v>
      </c>
      <c r="K671" t="str">
        <f>VLOOKUP(B671,Customers!A:G,7,FALSE)</f>
        <v>Student</v>
      </c>
    </row>
    <row r="672" spans="1:11" x14ac:dyDescent="0.25">
      <c r="A672" t="s">
        <v>1721</v>
      </c>
      <c r="B672" t="s">
        <v>709</v>
      </c>
      <c r="C672" t="s">
        <v>1045</v>
      </c>
      <c r="D672" t="s">
        <v>1073</v>
      </c>
      <c r="E672">
        <v>4226.5600000000004</v>
      </c>
      <c r="F672" s="8">
        <v>45181</v>
      </c>
      <c r="H672" t="str">
        <f>IF(COUNTIF(Customers!$A$2:$A$1001,B672)&gt;0,"Valid","Invalid")</f>
        <v>Valid</v>
      </c>
      <c r="I672" t="str">
        <f t="shared" si="10"/>
        <v>Valid</v>
      </c>
      <c r="K672" t="str">
        <f>VLOOKUP(B672,Customers!A:G,7,FALSE)</f>
        <v>SME</v>
      </c>
    </row>
    <row r="673" spans="1:11" x14ac:dyDescent="0.25">
      <c r="A673" t="s">
        <v>1722</v>
      </c>
      <c r="B673" t="s">
        <v>710</v>
      </c>
      <c r="C673" t="s">
        <v>1056</v>
      </c>
      <c r="D673" t="s">
        <v>1050</v>
      </c>
      <c r="E673">
        <v>505.47</v>
      </c>
      <c r="F673" s="8">
        <v>46035</v>
      </c>
      <c r="H673" t="str">
        <f>IF(COUNTIF(Customers!$A$2:$A$1001,B673)&gt;0,"Valid","Invalid")</f>
        <v>Valid</v>
      </c>
      <c r="I673" t="str">
        <f t="shared" si="10"/>
        <v>Valid</v>
      </c>
      <c r="K673" t="str">
        <f>VLOOKUP(B673,Customers!A:G,7,FALSE)</f>
        <v>Individual</v>
      </c>
    </row>
    <row r="674" spans="1:11" x14ac:dyDescent="0.25">
      <c r="A674" t="s">
        <v>1723</v>
      </c>
      <c r="B674" t="s">
        <v>711</v>
      </c>
      <c r="C674" t="s">
        <v>17</v>
      </c>
      <c r="D674" t="s">
        <v>1046</v>
      </c>
      <c r="E674">
        <v>3564.37</v>
      </c>
      <c r="F674" s="8">
        <v>45602</v>
      </c>
      <c r="H674" t="str">
        <f>IF(COUNTIF(Customers!$A$2:$A$1001,B674)&gt;0,"Valid","Invalid")</f>
        <v>Valid</v>
      </c>
      <c r="I674" t="str">
        <f t="shared" si="10"/>
        <v>Valid</v>
      </c>
      <c r="K674" t="str">
        <f>VLOOKUP(B674,Customers!A:G,7,FALSE)</f>
        <v>SME</v>
      </c>
    </row>
    <row r="675" spans="1:11" x14ac:dyDescent="0.25">
      <c r="A675" t="s">
        <v>1724</v>
      </c>
      <c r="B675" t="s">
        <v>712</v>
      </c>
      <c r="C675" t="s">
        <v>1056</v>
      </c>
      <c r="D675" t="s">
        <v>1050</v>
      </c>
      <c r="E675">
        <v>1903.38</v>
      </c>
      <c r="F675" s="8">
        <v>45018</v>
      </c>
      <c r="H675" t="str">
        <f>IF(COUNTIF(Customers!$A$2:$A$1001,B675)&gt;0,"Valid","Invalid")</f>
        <v>Valid</v>
      </c>
      <c r="I675" t="str">
        <f t="shared" si="10"/>
        <v>Valid</v>
      </c>
      <c r="K675" t="str">
        <f>VLOOKUP(B675,Customers!A:G,7,FALSE)</f>
        <v>SME</v>
      </c>
    </row>
    <row r="676" spans="1:11" x14ac:dyDescent="0.25">
      <c r="A676" t="s">
        <v>1725</v>
      </c>
      <c r="B676" t="s">
        <v>713</v>
      </c>
      <c r="C676" t="s">
        <v>1045</v>
      </c>
      <c r="D676" t="s">
        <v>1050</v>
      </c>
      <c r="E676">
        <v>8941.2099999999991</v>
      </c>
      <c r="F676" s="8">
        <v>46019</v>
      </c>
      <c r="H676" t="str">
        <f>IF(COUNTIF(Customers!$A$2:$A$1001,B676)&gt;0,"Valid","Invalid")</f>
        <v>Valid</v>
      </c>
      <c r="I676" t="str">
        <f t="shared" si="10"/>
        <v>Valid</v>
      </c>
      <c r="K676" t="str">
        <f>VLOOKUP(B676,Customers!A:G,7,FALSE)</f>
        <v>SME</v>
      </c>
    </row>
    <row r="677" spans="1:11" x14ac:dyDescent="0.25">
      <c r="A677" t="s">
        <v>1726</v>
      </c>
      <c r="B677" t="s">
        <v>714</v>
      </c>
      <c r="C677" t="s">
        <v>1056</v>
      </c>
      <c r="D677" t="s">
        <v>1050</v>
      </c>
      <c r="E677">
        <v>768.77</v>
      </c>
      <c r="F677" s="8">
        <v>44963</v>
      </c>
      <c r="H677" t="str">
        <f>IF(COUNTIF(Customers!$A$2:$A$1001,B677)&gt;0,"Valid","Invalid")</f>
        <v>Valid</v>
      </c>
      <c r="I677" t="str">
        <f t="shared" si="10"/>
        <v>Valid</v>
      </c>
      <c r="K677" t="str">
        <f>VLOOKUP(B677,Customers!A:G,7,FALSE)</f>
        <v>Individual</v>
      </c>
    </row>
    <row r="678" spans="1:11" x14ac:dyDescent="0.25">
      <c r="A678" t="s">
        <v>1727</v>
      </c>
      <c r="B678" t="s">
        <v>715</v>
      </c>
      <c r="C678" t="s">
        <v>1049</v>
      </c>
      <c r="D678" t="s">
        <v>1073</v>
      </c>
      <c r="E678">
        <v>30211.74</v>
      </c>
      <c r="F678" s="8">
        <v>45066</v>
      </c>
      <c r="H678" t="str">
        <f>IF(COUNTIF(Customers!$A$2:$A$1001,B678)&gt;0,"Valid","Invalid")</f>
        <v>Valid</v>
      </c>
      <c r="I678" t="str">
        <f t="shared" si="10"/>
        <v>Valid</v>
      </c>
      <c r="K678" t="str">
        <f>VLOOKUP(B678,Customers!A:G,7,FALSE)</f>
        <v>Individual</v>
      </c>
    </row>
    <row r="679" spans="1:11" x14ac:dyDescent="0.25">
      <c r="A679" t="s">
        <v>1728</v>
      </c>
      <c r="B679" t="s">
        <v>716</v>
      </c>
      <c r="C679" t="s">
        <v>1045</v>
      </c>
      <c r="D679" t="s">
        <v>1046</v>
      </c>
      <c r="E679">
        <v>165.54</v>
      </c>
      <c r="F679" s="8">
        <v>45793</v>
      </c>
      <c r="H679" t="str">
        <f>IF(COUNTIF(Customers!$A$2:$A$1001,B679)&gt;0,"Valid","Invalid")</f>
        <v>Valid</v>
      </c>
      <c r="I679" t="str">
        <f t="shared" si="10"/>
        <v>Valid</v>
      </c>
      <c r="K679" t="str">
        <f>VLOOKUP(B679,Customers!A:G,7,FALSE)</f>
        <v>Individual</v>
      </c>
    </row>
    <row r="680" spans="1:11" x14ac:dyDescent="0.25">
      <c r="A680" t="s">
        <v>1729</v>
      </c>
      <c r="B680" t="s">
        <v>717</v>
      </c>
      <c r="C680" t="s">
        <v>1049</v>
      </c>
      <c r="D680" t="s">
        <v>1050</v>
      </c>
      <c r="E680">
        <v>1300.49</v>
      </c>
      <c r="F680" s="8">
        <v>45606</v>
      </c>
      <c r="H680" t="str">
        <f>IF(COUNTIF(Customers!$A$2:$A$1001,B680)&gt;0,"Valid","Invalid")</f>
        <v>Valid</v>
      </c>
      <c r="I680" t="str">
        <f t="shared" si="10"/>
        <v>Valid</v>
      </c>
      <c r="K680" t="str">
        <f>VLOOKUP(B680,Customers!A:G,7,FALSE)</f>
        <v>Individual</v>
      </c>
    </row>
    <row r="681" spans="1:11" x14ac:dyDescent="0.25">
      <c r="A681" t="s">
        <v>1730</v>
      </c>
      <c r="B681" t="s">
        <v>718</v>
      </c>
      <c r="C681" t="s">
        <v>1056</v>
      </c>
      <c r="D681" t="s">
        <v>1050</v>
      </c>
      <c r="E681">
        <v>330.77</v>
      </c>
      <c r="F681" s="8">
        <v>46128</v>
      </c>
      <c r="H681" t="str">
        <f>IF(COUNTIF(Customers!$A$2:$A$1001,B681)&gt;0,"Valid","Invalid")</f>
        <v>Valid</v>
      </c>
      <c r="I681" t="str">
        <f t="shared" si="10"/>
        <v>Valid</v>
      </c>
      <c r="K681" t="str">
        <f>VLOOKUP(B681,Customers!A:G,7,FALSE)</f>
        <v>SME</v>
      </c>
    </row>
    <row r="682" spans="1:11" x14ac:dyDescent="0.25">
      <c r="A682" t="s">
        <v>1731</v>
      </c>
      <c r="B682" t="s">
        <v>719</v>
      </c>
      <c r="C682" t="s">
        <v>1049</v>
      </c>
      <c r="D682" t="s">
        <v>1050</v>
      </c>
      <c r="E682">
        <v>11510.95</v>
      </c>
      <c r="F682" s="8">
        <v>45063</v>
      </c>
      <c r="H682" t="str">
        <f>IF(COUNTIF(Customers!$A$2:$A$1001,B682)&gt;0,"Valid","Invalid")</f>
        <v>Valid</v>
      </c>
      <c r="I682" t="str">
        <f t="shared" si="10"/>
        <v>Valid</v>
      </c>
      <c r="K682" t="str">
        <f>VLOOKUP(B682,Customers!A:G,7,FALSE)</f>
        <v>Individual</v>
      </c>
    </row>
    <row r="683" spans="1:11" x14ac:dyDescent="0.25">
      <c r="A683" t="s">
        <v>1732</v>
      </c>
      <c r="B683" t="s">
        <v>720</v>
      </c>
      <c r="C683" t="s">
        <v>1056</v>
      </c>
      <c r="D683" t="s">
        <v>1050</v>
      </c>
      <c r="E683">
        <v>1391.72</v>
      </c>
      <c r="F683" s="8">
        <v>45116</v>
      </c>
      <c r="H683" t="str">
        <f>IF(COUNTIF(Customers!$A$2:$A$1001,B683)&gt;0,"Valid","Invalid")</f>
        <v>Valid</v>
      </c>
      <c r="I683" t="str">
        <f t="shared" si="10"/>
        <v>Valid</v>
      </c>
      <c r="K683" t="str">
        <f>VLOOKUP(B683,Customers!A:G,7,FALSE)</f>
        <v>Individual</v>
      </c>
    </row>
    <row r="684" spans="1:11" x14ac:dyDescent="0.25">
      <c r="A684" t="s">
        <v>1733</v>
      </c>
      <c r="B684" t="s">
        <v>721</v>
      </c>
      <c r="C684" t="s">
        <v>1045</v>
      </c>
      <c r="D684" t="s">
        <v>1068</v>
      </c>
      <c r="E684">
        <v>1522.81</v>
      </c>
      <c r="F684" s="8">
        <v>45268</v>
      </c>
      <c r="H684" t="str">
        <f>IF(COUNTIF(Customers!$A$2:$A$1001,B684)&gt;0,"Valid","Invalid")</f>
        <v>Valid</v>
      </c>
      <c r="I684" t="str">
        <f t="shared" si="10"/>
        <v>Valid</v>
      </c>
      <c r="K684" t="str">
        <f>VLOOKUP(B684,Customers!A:G,7,FALSE)</f>
        <v>SME</v>
      </c>
    </row>
    <row r="685" spans="1:11" x14ac:dyDescent="0.25">
      <c r="A685" t="s">
        <v>1734</v>
      </c>
      <c r="B685" t="s">
        <v>722</v>
      </c>
      <c r="C685" t="s">
        <v>1045</v>
      </c>
      <c r="D685" t="s">
        <v>1050</v>
      </c>
      <c r="E685">
        <v>2816.47</v>
      </c>
      <c r="F685" s="8">
        <v>45955</v>
      </c>
      <c r="H685" t="str">
        <f>IF(COUNTIF(Customers!$A$2:$A$1001,B685)&gt;0,"Valid","Invalid")</f>
        <v>Valid</v>
      </c>
      <c r="I685" t="str">
        <f t="shared" si="10"/>
        <v>Valid</v>
      </c>
      <c r="K685" t="str">
        <f>VLOOKUP(B685,Customers!A:G,7,FALSE)</f>
        <v>SME</v>
      </c>
    </row>
    <row r="686" spans="1:11" x14ac:dyDescent="0.25">
      <c r="A686" t="s">
        <v>1735</v>
      </c>
      <c r="B686" t="s">
        <v>723</v>
      </c>
      <c r="C686" t="s">
        <v>1045</v>
      </c>
      <c r="D686" t="s">
        <v>1050</v>
      </c>
      <c r="E686">
        <v>1799.38</v>
      </c>
      <c r="F686" s="8">
        <v>45898</v>
      </c>
      <c r="H686" t="str">
        <f>IF(COUNTIF(Customers!$A$2:$A$1001,B686)&gt;0,"Valid","Invalid")</f>
        <v>Valid</v>
      </c>
      <c r="I686" t="str">
        <f t="shared" si="10"/>
        <v>Valid</v>
      </c>
      <c r="K686" t="str">
        <f>VLOOKUP(B686,Customers!A:G,7,FALSE)</f>
        <v>SME</v>
      </c>
    </row>
    <row r="687" spans="1:11" x14ac:dyDescent="0.25">
      <c r="A687" t="s">
        <v>1736</v>
      </c>
      <c r="B687" t="s">
        <v>724</v>
      </c>
      <c r="C687" t="s">
        <v>1049</v>
      </c>
      <c r="D687" t="s">
        <v>1050</v>
      </c>
      <c r="E687">
        <v>998.48</v>
      </c>
      <c r="F687" s="8">
        <v>45588</v>
      </c>
      <c r="H687" t="str">
        <f>IF(COUNTIF(Customers!$A$2:$A$1001,B687)&gt;0,"Valid","Invalid")</f>
        <v>Valid</v>
      </c>
      <c r="I687" t="str">
        <f t="shared" si="10"/>
        <v>Valid</v>
      </c>
      <c r="K687" t="str">
        <f>VLOOKUP(B687,Customers!A:G,7,FALSE)</f>
        <v>SME</v>
      </c>
    </row>
    <row r="688" spans="1:11" x14ac:dyDescent="0.25">
      <c r="A688" t="s">
        <v>1737</v>
      </c>
      <c r="B688" t="s">
        <v>725</v>
      </c>
      <c r="C688" t="s">
        <v>1049</v>
      </c>
      <c r="D688" t="s">
        <v>1050</v>
      </c>
      <c r="E688">
        <v>514.58000000000004</v>
      </c>
      <c r="F688" s="8">
        <v>45169</v>
      </c>
      <c r="H688" t="str">
        <f>IF(COUNTIF(Customers!$A$2:$A$1001,B688)&gt;0,"Valid","Invalid")</f>
        <v>Valid</v>
      </c>
      <c r="I688" t="str">
        <f t="shared" si="10"/>
        <v>Valid</v>
      </c>
      <c r="K688" t="str">
        <f>VLOOKUP(B688,Customers!A:G,7,FALSE)</f>
        <v>Individual</v>
      </c>
    </row>
    <row r="689" spans="1:11" x14ac:dyDescent="0.25">
      <c r="A689" t="s">
        <v>1738</v>
      </c>
      <c r="B689" t="s">
        <v>726</v>
      </c>
      <c r="C689" t="s">
        <v>1056</v>
      </c>
      <c r="D689" t="s">
        <v>1050</v>
      </c>
      <c r="E689">
        <v>2139.9</v>
      </c>
      <c r="F689" s="8">
        <v>45341</v>
      </c>
      <c r="H689" t="str">
        <f>IF(COUNTIF(Customers!$A$2:$A$1001,B689)&gt;0,"Valid","Invalid")</f>
        <v>Valid</v>
      </c>
      <c r="I689" t="str">
        <f t="shared" si="10"/>
        <v>Valid</v>
      </c>
      <c r="K689" t="str">
        <f>VLOOKUP(B689,Customers!A:G,7,FALSE)</f>
        <v>Individual</v>
      </c>
    </row>
    <row r="690" spans="1:11" x14ac:dyDescent="0.25">
      <c r="A690" t="s">
        <v>1739</v>
      </c>
      <c r="B690" t="s">
        <v>727</v>
      </c>
      <c r="C690" t="s">
        <v>1045</v>
      </c>
      <c r="D690" t="s">
        <v>1050</v>
      </c>
      <c r="E690">
        <v>2640.79</v>
      </c>
      <c r="F690" s="8">
        <v>45633</v>
      </c>
      <c r="H690" t="str">
        <f>IF(COUNTIF(Customers!$A$2:$A$1001,B690)&gt;0,"Valid","Invalid")</f>
        <v>Valid</v>
      </c>
      <c r="I690" t="str">
        <f t="shared" si="10"/>
        <v>Valid</v>
      </c>
      <c r="K690" t="str">
        <f>VLOOKUP(B690,Customers!A:G,7,FALSE)</f>
        <v>SME</v>
      </c>
    </row>
    <row r="691" spans="1:11" x14ac:dyDescent="0.25">
      <c r="A691" t="s">
        <v>1740</v>
      </c>
      <c r="B691" t="s">
        <v>728</v>
      </c>
      <c r="C691" t="s">
        <v>1045</v>
      </c>
      <c r="D691" t="s">
        <v>1046</v>
      </c>
      <c r="E691">
        <v>3624.16</v>
      </c>
      <c r="F691" s="8">
        <v>45269</v>
      </c>
      <c r="H691" t="str">
        <f>IF(COUNTIF(Customers!$A$2:$A$1001,B691)&gt;0,"Valid","Invalid")</f>
        <v>Valid</v>
      </c>
      <c r="I691" t="str">
        <f t="shared" si="10"/>
        <v>Valid</v>
      </c>
      <c r="K691" t="str">
        <f>VLOOKUP(B691,Customers!A:G,7,FALSE)</f>
        <v>Individual</v>
      </c>
    </row>
    <row r="692" spans="1:11" x14ac:dyDescent="0.25">
      <c r="A692" t="s">
        <v>1741</v>
      </c>
      <c r="B692" t="s">
        <v>729</v>
      </c>
      <c r="C692" t="s">
        <v>1049</v>
      </c>
      <c r="D692" t="s">
        <v>1046</v>
      </c>
      <c r="E692">
        <v>12243.21</v>
      </c>
      <c r="F692" s="8">
        <v>45608</v>
      </c>
      <c r="H692" t="str">
        <f>IF(COUNTIF(Customers!$A$2:$A$1001,B692)&gt;0,"Valid","Invalid")</f>
        <v>Valid</v>
      </c>
      <c r="I692" t="str">
        <f t="shared" si="10"/>
        <v>Valid</v>
      </c>
      <c r="K692" t="str">
        <f>VLOOKUP(B692,Customers!A:G,7,FALSE)</f>
        <v>Individual</v>
      </c>
    </row>
    <row r="693" spans="1:11" x14ac:dyDescent="0.25">
      <c r="A693" t="s">
        <v>1742</v>
      </c>
      <c r="B693" t="s">
        <v>730</v>
      </c>
      <c r="C693" t="s">
        <v>1045</v>
      </c>
      <c r="D693" t="s">
        <v>1050</v>
      </c>
      <c r="E693">
        <v>205.66</v>
      </c>
      <c r="F693" s="8">
        <v>45579</v>
      </c>
      <c r="H693" t="str">
        <f>IF(COUNTIF(Customers!$A$2:$A$1001,B693)&gt;0,"Valid","Invalid")</f>
        <v>Valid</v>
      </c>
      <c r="I693" t="str">
        <f t="shared" si="10"/>
        <v>Valid</v>
      </c>
      <c r="K693" t="str">
        <f>VLOOKUP(B693,Customers!A:G,7,FALSE)</f>
        <v>Individual</v>
      </c>
    </row>
    <row r="694" spans="1:11" x14ac:dyDescent="0.25">
      <c r="A694" t="s">
        <v>1743</v>
      </c>
      <c r="B694" t="s">
        <v>731</v>
      </c>
      <c r="C694" t="s">
        <v>1045</v>
      </c>
      <c r="D694" t="s">
        <v>1046</v>
      </c>
      <c r="E694">
        <v>1689.66</v>
      </c>
      <c r="F694" s="8">
        <v>45072</v>
      </c>
      <c r="H694" t="str">
        <f>IF(COUNTIF(Customers!$A$2:$A$1001,B694)&gt;0,"Valid","Invalid")</f>
        <v>Valid</v>
      </c>
      <c r="I694" t="str">
        <f t="shared" si="10"/>
        <v>Valid</v>
      </c>
      <c r="K694" t="str">
        <f>VLOOKUP(B694,Customers!A:G,7,FALSE)</f>
        <v>Individual</v>
      </c>
    </row>
    <row r="695" spans="1:11" x14ac:dyDescent="0.25">
      <c r="A695" t="s">
        <v>1744</v>
      </c>
      <c r="B695" t="s">
        <v>732</v>
      </c>
      <c r="C695" t="s">
        <v>1056</v>
      </c>
      <c r="D695" t="s">
        <v>1050</v>
      </c>
      <c r="E695">
        <v>5953.52</v>
      </c>
      <c r="F695" s="8">
        <v>45249</v>
      </c>
      <c r="H695" t="str">
        <f>IF(COUNTIF(Customers!$A$2:$A$1001,B695)&gt;0,"Valid","Invalid")</f>
        <v>Valid</v>
      </c>
      <c r="I695" t="str">
        <f t="shared" si="10"/>
        <v>Valid</v>
      </c>
      <c r="K695" t="str">
        <f>VLOOKUP(B695,Customers!A:G,7,FALSE)</f>
        <v>SME</v>
      </c>
    </row>
    <row r="696" spans="1:11" x14ac:dyDescent="0.25">
      <c r="A696" t="s">
        <v>1745</v>
      </c>
      <c r="B696" t="s">
        <v>733</v>
      </c>
      <c r="C696" t="s">
        <v>1045</v>
      </c>
      <c r="D696" t="s">
        <v>1050</v>
      </c>
      <c r="E696">
        <v>1596.35</v>
      </c>
      <c r="F696" s="8">
        <v>45048</v>
      </c>
      <c r="H696" t="str">
        <f>IF(COUNTIF(Customers!$A$2:$A$1001,B696)&gt;0,"Valid","Invalid")</f>
        <v>Valid</v>
      </c>
      <c r="I696" t="str">
        <f t="shared" si="10"/>
        <v>Valid</v>
      </c>
      <c r="K696" t="str">
        <f>VLOOKUP(B696,Customers!A:G,7,FALSE)</f>
        <v>Individual</v>
      </c>
    </row>
    <row r="697" spans="1:11" x14ac:dyDescent="0.25">
      <c r="A697" t="s">
        <v>1746</v>
      </c>
      <c r="B697" t="s">
        <v>734</v>
      </c>
      <c r="C697" t="s">
        <v>1045</v>
      </c>
      <c r="D697" t="s">
        <v>1050</v>
      </c>
      <c r="E697">
        <v>174.48</v>
      </c>
      <c r="F697" s="8">
        <v>46202</v>
      </c>
      <c r="H697" t="str">
        <f>IF(COUNTIF(Customers!$A$2:$A$1001,B697)&gt;0,"Valid","Invalid")</f>
        <v>Valid</v>
      </c>
      <c r="I697" t="str">
        <f t="shared" si="10"/>
        <v>Valid</v>
      </c>
      <c r="K697" t="str">
        <f>VLOOKUP(B697,Customers!A:G,7,FALSE)</f>
        <v>Individual</v>
      </c>
    </row>
    <row r="698" spans="1:11" x14ac:dyDescent="0.25">
      <c r="A698" t="s">
        <v>1747</v>
      </c>
      <c r="B698" t="s">
        <v>735</v>
      </c>
      <c r="C698" t="s">
        <v>1045</v>
      </c>
      <c r="D698" t="s">
        <v>1050</v>
      </c>
      <c r="E698">
        <v>497.18</v>
      </c>
      <c r="F698" s="8">
        <v>45237</v>
      </c>
      <c r="H698" t="str">
        <f>IF(COUNTIF(Customers!$A$2:$A$1001,B698)&gt;0,"Valid","Invalid")</f>
        <v>Valid</v>
      </c>
      <c r="I698" t="str">
        <f t="shared" si="10"/>
        <v>Valid</v>
      </c>
      <c r="K698" t="str">
        <f>VLOOKUP(B698,Customers!A:G,7,FALSE)</f>
        <v>Individual</v>
      </c>
    </row>
    <row r="699" spans="1:11" x14ac:dyDescent="0.25">
      <c r="A699" t="s">
        <v>1748</v>
      </c>
      <c r="B699" t="s">
        <v>736</v>
      </c>
      <c r="C699" t="s">
        <v>1045</v>
      </c>
      <c r="D699" t="s">
        <v>1050</v>
      </c>
      <c r="E699">
        <v>2511.34</v>
      </c>
      <c r="F699" s="8">
        <v>45527</v>
      </c>
      <c r="H699" t="str">
        <f>IF(COUNTIF(Customers!$A$2:$A$1001,B699)&gt;0,"Valid","Invalid")</f>
        <v>Valid</v>
      </c>
      <c r="I699" t="str">
        <f t="shared" si="10"/>
        <v>Valid</v>
      </c>
      <c r="K699" t="str">
        <f>VLOOKUP(B699,Customers!A:G,7,FALSE)</f>
        <v>Individual</v>
      </c>
    </row>
    <row r="700" spans="1:11" x14ac:dyDescent="0.25">
      <c r="A700" t="s">
        <v>1749</v>
      </c>
      <c r="B700" t="s">
        <v>737</v>
      </c>
      <c r="C700" t="s">
        <v>17</v>
      </c>
      <c r="D700" t="s">
        <v>1050</v>
      </c>
      <c r="E700">
        <v>2421.63</v>
      </c>
      <c r="F700" s="8">
        <v>45401</v>
      </c>
      <c r="H700" t="str">
        <f>IF(COUNTIF(Customers!$A$2:$A$1001,B700)&gt;0,"Valid","Invalid")</f>
        <v>Valid</v>
      </c>
      <c r="I700" t="str">
        <f t="shared" si="10"/>
        <v>Valid</v>
      </c>
      <c r="K700" t="str">
        <f>VLOOKUP(B700,Customers!A:G,7,FALSE)</f>
        <v>Individual</v>
      </c>
    </row>
    <row r="701" spans="1:11" x14ac:dyDescent="0.25">
      <c r="A701" t="s">
        <v>1750</v>
      </c>
      <c r="B701" t="s">
        <v>738</v>
      </c>
      <c r="C701" t="s">
        <v>1045</v>
      </c>
      <c r="D701" t="s">
        <v>1050</v>
      </c>
      <c r="E701">
        <v>3542.26</v>
      </c>
      <c r="F701" s="8">
        <v>45496</v>
      </c>
      <c r="H701" t="str">
        <f>IF(COUNTIF(Customers!$A$2:$A$1001,B701)&gt;0,"Valid","Invalid")</f>
        <v>Valid</v>
      </c>
      <c r="I701" t="str">
        <f t="shared" si="10"/>
        <v>Valid</v>
      </c>
      <c r="K701" t="str">
        <f>VLOOKUP(B701,Customers!A:G,7,FALSE)</f>
        <v>Individual</v>
      </c>
    </row>
    <row r="702" spans="1:11" x14ac:dyDescent="0.25">
      <c r="A702" t="s">
        <v>1751</v>
      </c>
      <c r="B702" t="s">
        <v>739</v>
      </c>
      <c r="C702" t="s">
        <v>1045</v>
      </c>
      <c r="D702" t="s">
        <v>1068</v>
      </c>
      <c r="E702">
        <v>827.98</v>
      </c>
      <c r="F702" s="8">
        <v>45501</v>
      </c>
      <c r="H702" t="str">
        <f>IF(COUNTIF(Customers!$A$2:$A$1001,B702)&gt;0,"Valid","Invalid")</f>
        <v>Valid</v>
      </c>
      <c r="I702" t="str">
        <f t="shared" si="10"/>
        <v>Valid</v>
      </c>
      <c r="K702" t="str">
        <f>VLOOKUP(B702,Customers!A:G,7,FALSE)</f>
        <v>SME</v>
      </c>
    </row>
    <row r="703" spans="1:11" x14ac:dyDescent="0.25">
      <c r="A703" t="s">
        <v>1752</v>
      </c>
      <c r="B703" t="s">
        <v>740</v>
      </c>
      <c r="C703" t="s">
        <v>1045</v>
      </c>
      <c r="D703" t="s">
        <v>1050</v>
      </c>
      <c r="E703">
        <v>2344.63</v>
      </c>
      <c r="F703" s="8">
        <v>45273</v>
      </c>
      <c r="H703" t="str">
        <f>IF(COUNTIF(Customers!$A$2:$A$1001,B703)&gt;0,"Valid","Invalid")</f>
        <v>Valid</v>
      </c>
      <c r="I703" t="str">
        <f t="shared" si="10"/>
        <v>Valid</v>
      </c>
      <c r="K703" t="str">
        <f>VLOOKUP(B703,Customers!A:G,7,FALSE)</f>
        <v>Individual</v>
      </c>
    </row>
    <row r="704" spans="1:11" x14ac:dyDescent="0.25">
      <c r="A704" t="s">
        <v>1753</v>
      </c>
      <c r="B704" t="s">
        <v>741</v>
      </c>
      <c r="C704" t="s">
        <v>1049</v>
      </c>
      <c r="D704" t="s">
        <v>1050</v>
      </c>
      <c r="E704">
        <v>702.14</v>
      </c>
      <c r="F704" s="8">
        <v>45746</v>
      </c>
      <c r="H704" t="str">
        <f>IF(COUNTIF(Customers!$A$2:$A$1001,B704)&gt;0,"Valid","Invalid")</f>
        <v>Valid</v>
      </c>
      <c r="I704" t="str">
        <f t="shared" si="10"/>
        <v>Valid</v>
      </c>
      <c r="K704" t="str">
        <f>VLOOKUP(B704,Customers!A:G,7,FALSE)</f>
        <v>Individual</v>
      </c>
    </row>
    <row r="705" spans="1:11" x14ac:dyDescent="0.25">
      <c r="A705" t="s">
        <v>1754</v>
      </c>
      <c r="B705" t="s">
        <v>742</v>
      </c>
      <c r="C705" t="s">
        <v>1045</v>
      </c>
      <c r="D705" t="s">
        <v>1050</v>
      </c>
      <c r="E705">
        <v>2344.81</v>
      </c>
      <c r="F705" s="8">
        <v>45308</v>
      </c>
      <c r="H705" t="str">
        <f>IF(COUNTIF(Customers!$A$2:$A$1001,B705)&gt;0,"Valid","Invalid")</f>
        <v>Valid</v>
      </c>
      <c r="I705" t="str">
        <f t="shared" si="10"/>
        <v>Valid</v>
      </c>
      <c r="K705" t="str">
        <f>VLOOKUP(B705,Customers!A:G,7,FALSE)</f>
        <v>Student</v>
      </c>
    </row>
    <row r="706" spans="1:11" x14ac:dyDescent="0.25">
      <c r="A706" t="s">
        <v>1755</v>
      </c>
      <c r="B706" t="s">
        <v>743</v>
      </c>
      <c r="C706" t="s">
        <v>1056</v>
      </c>
      <c r="D706" t="s">
        <v>1050</v>
      </c>
      <c r="E706">
        <v>1906.86</v>
      </c>
      <c r="F706" s="8">
        <v>44998</v>
      </c>
      <c r="H706" t="str">
        <f>IF(COUNTIF(Customers!$A$2:$A$1001,B706)&gt;0,"Valid","Invalid")</f>
        <v>Valid</v>
      </c>
      <c r="I706" t="str">
        <f t="shared" si="10"/>
        <v>Valid</v>
      </c>
      <c r="K706" t="str">
        <f>VLOOKUP(B706,Customers!A:G,7,FALSE)</f>
        <v>Individual</v>
      </c>
    </row>
    <row r="707" spans="1:11" x14ac:dyDescent="0.25">
      <c r="A707" t="s">
        <v>1756</v>
      </c>
      <c r="B707" t="s">
        <v>744</v>
      </c>
      <c r="C707" t="s">
        <v>1045</v>
      </c>
      <c r="D707" t="s">
        <v>1050</v>
      </c>
      <c r="E707">
        <v>795.63</v>
      </c>
      <c r="F707" s="8">
        <v>45447</v>
      </c>
      <c r="H707" t="str">
        <f>IF(COUNTIF(Customers!$A$2:$A$1001,B707)&gt;0,"Valid","Invalid")</f>
        <v>Valid</v>
      </c>
      <c r="I707" t="str">
        <f t="shared" ref="I707:I770" si="11">IF(OR(C707="Savings",C707="Current",C707="Business",C707="Student"),"Valid","Check")</f>
        <v>Valid</v>
      </c>
      <c r="K707" t="str">
        <f>VLOOKUP(B707,Customers!A:G,7,FALSE)</f>
        <v>Individual</v>
      </c>
    </row>
    <row r="708" spans="1:11" x14ac:dyDescent="0.25">
      <c r="A708" t="s">
        <v>1757</v>
      </c>
      <c r="B708" t="s">
        <v>745</v>
      </c>
      <c r="C708" t="s">
        <v>1045</v>
      </c>
      <c r="D708" t="s">
        <v>1046</v>
      </c>
      <c r="E708">
        <v>8588.5400000000009</v>
      </c>
      <c r="F708" s="8">
        <v>45859</v>
      </c>
      <c r="H708" t="str">
        <f>IF(COUNTIF(Customers!$A$2:$A$1001,B708)&gt;0,"Valid","Invalid")</f>
        <v>Valid</v>
      </c>
      <c r="I708" t="str">
        <f t="shared" si="11"/>
        <v>Valid</v>
      </c>
      <c r="K708" t="str">
        <f>VLOOKUP(B708,Customers!A:G,7,FALSE)</f>
        <v>SME</v>
      </c>
    </row>
    <row r="709" spans="1:11" x14ac:dyDescent="0.25">
      <c r="A709" t="s">
        <v>1758</v>
      </c>
      <c r="B709" t="s">
        <v>746</v>
      </c>
      <c r="C709" t="s">
        <v>1045</v>
      </c>
      <c r="D709" t="s">
        <v>1050</v>
      </c>
      <c r="E709">
        <v>328.44</v>
      </c>
      <c r="F709" s="8">
        <v>46044</v>
      </c>
      <c r="H709" t="str">
        <f>IF(COUNTIF(Customers!$A$2:$A$1001,B709)&gt;0,"Valid","Invalid")</f>
        <v>Valid</v>
      </c>
      <c r="I709" t="str">
        <f t="shared" si="11"/>
        <v>Valid</v>
      </c>
      <c r="K709" t="str">
        <f>VLOOKUP(B709,Customers!A:G,7,FALSE)</f>
        <v>Individual</v>
      </c>
    </row>
    <row r="710" spans="1:11" x14ac:dyDescent="0.25">
      <c r="A710" t="s">
        <v>1759</v>
      </c>
      <c r="B710" t="s">
        <v>747</v>
      </c>
      <c r="C710" t="s">
        <v>1049</v>
      </c>
      <c r="D710" t="s">
        <v>1050</v>
      </c>
      <c r="E710">
        <v>1569.29</v>
      </c>
      <c r="F710" s="8">
        <v>45265</v>
      </c>
      <c r="H710" t="str">
        <f>IF(COUNTIF(Customers!$A$2:$A$1001,B710)&gt;0,"Valid","Invalid")</f>
        <v>Valid</v>
      </c>
      <c r="I710" t="str">
        <f t="shared" si="11"/>
        <v>Valid</v>
      </c>
      <c r="K710" t="str">
        <f>VLOOKUP(B710,Customers!A:G,7,FALSE)</f>
        <v>SME</v>
      </c>
    </row>
    <row r="711" spans="1:11" x14ac:dyDescent="0.25">
      <c r="A711" t="s">
        <v>1760</v>
      </c>
      <c r="B711" t="s">
        <v>748</v>
      </c>
      <c r="C711" t="s">
        <v>1049</v>
      </c>
      <c r="D711" t="s">
        <v>1050</v>
      </c>
      <c r="E711">
        <v>778.29</v>
      </c>
      <c r="F711" s="8">
        <v>45590</v>
      </c>
      <c r="H711" t="str">
        <f>IF(COUNTIF(Customers!$A$2:$A$1001,B711)&gt;0,"Valid","Invalid")</f>
        <v>Valid</v>
      </c>
      <c r="I711" t="str">
        <f t="shared" si="11"/>
        <v>Valid</v>
      </c>
      <c r="K711" t="str">
        <f>VLOOKUP(B711,Customers!A:G,7,FALSE)</f>
        <v>Individual</v>
      </c>
    </row>
    <row r="712" spans="1:11" x14ac:dyDescent="0.25">
      <c r="A712" t="s">
        <v>1761</v>
      </c>
      <c r="B712" t="s">
        <v>749</v>
      </c>
      <c r="C712" t="s">
        <v>1045</v>
      </c>
      <c r="D712" t="s">
        <v>1050</v>
      </c>
      <c r="E712">
        <v>11318.59</v>
      </c>
      <c r="F712" s="8">
        <v>44966</v>
      </c>
      <c r="H712" t="str">
        <f>IF(COUNTIF(Customers!$A$2:$A$1001,B712)&gt;0,"Valid","Invalid")</f>
        <v>Valid</v>
      </c>
      <c r="I712" t="str">
        <f t="shared" si="11"/>
        <v>Valid</v>
      </c>
      <c r="K712" t="str">
        <f>VLOOKUP(B712,Customers!A:G,7,FALSE)</f>
        <v>Individual</v>
      </c>
    </row>
    <row r="713" spans="1:11" x14ac:dyDescent="0.25">
      <c r="A713" t="s">
        <v>1762</v>
      </c>
      <c r="B713" t="s">
        <v>750</v>
      </c>
      <c r="C713" t="s">
        <v>1056</v>
      </c>
      <c r="D713" t="s">
        <v>1050</v>
      </c>
      <c r="E713">
        <v>3289.19</v>
      </c>
      <c r="F713" s="8">
        <v>45500</v>
      </c>
      <c r="H713" t="str">
        <f>IF(COUNTIF(Customers!$A$2:$A$1001,B713)&gt;0,"Valid","Invalid")</f>
        <v>Valid</v>
      </c>
      <c r="I713" t="str">
        <f t="shared" si="11"/>
        <v>Valid</v>
      </c>
      <c r="K713" t="str">
        <f>VLOOKUP(B713,Customers!A:G,7,FALSE)</f>
        <v>Individual</v>
      </c>
    </row>
    <row r="714" spans="1:11" x14ac:dyDescent="0.25">
      <c r="A714" t="s">
        <v>1763</v>
      </c>
      <c r="B714" t="s">
        <v>751</v>
      </c>
      <c r="C714" t="s">
        <v>1049</v>
      </c>
      <c r="D714" t="s">
        <v>1050</v>
      </c>
      <c r="E714">
        <v>944.53</v>
      </c>
      <c r="F714" s="8">
        <v>45892</v>
      </c>
      <c r="H714" t="str">
        <f>IF(COUNTIF(Customers!$A$2:$A$1001,B714)&gt;0,"Valid","Invalid")</f>
        <v>Valid</v>
      </c>
      <c r="I714" t="str">
        <f t="shared" si="11"/>
        <v>Valid</v>
      </c>
      <c r="K714" t="str">
        <f>VLOOKUP(B714,Customers!A:G,7,FALSE)</f>
        <v>SME</v>
      </c>
    </row>
    <row r="715" spans="1:11" x14ac:dyDescent="0.25">
      <c r="A715" t="s">
        <v>1764</v>
      </c>
      <c r="B715" t="s">
        <v>752</v>
      </c>
      <c r="C715" t="s">
        <v>1045</v>
      </c>
      <c r="D715" t="s">
        <v>1050</v>
      </c>
      <c r="E715">
        <v>1366.88</v>
      </c>
      <c r="F715" s="8">
        <v>45507</v>
      </c>
      <c r="H715" t="str">
        <f>IF(COUNTIF(Customers!$A$2:$A$1001,B715)&gt;0,"Valid","Invalid")</f>
        <v>Valid</v>
      </c>
      <c r="I715" t="str">
        <f t="shared" si="11"/>
        <v>Valid</v>
      </c>
      <c r="K715" t="str">
        <f>VLOOKUP(B715,Customers!A:G,7,FALSE)</f>
        <v>Individual</v>
      </c>
    </row>
    <row r="716" spans="1:11" x14ac:dyDescent="0.25">
      <c r="A716" t="s">
        <v>1765</v>
      </c>
      <c r="B716" t="s">
        <v>753</v>
      </c>
      <c r="C716" t="s">
        <v>1049</v>
      </c>
      <c r="D716" t="s">
        <v>1050</v>
      </c>
      <c r="E716">
        <v>11629</v>
      </c>
      <c r="F716" s="8">
        <v>45096</v>
      </c>
      <c r="H716" t="str">
        <f>IF(COUNTIF(Customers!$A$2:$A$1001,B716)&gt;0,"Valid","Invalid")</f>
        <v>Valid</v>
      </c>
      <c r="I716" t="str">
        <f t="shared" si="11"/>
        <v>Valid</v>
      </c>
      <c r="K716" t="str">
        <f>VLOOKUP(B716,Customers!A:G,7,FALSE)</f>
        <v>Individual</v>
      </c>
    </row>
    <row r="717" spans="1:11" x14ac:dyDescent="0.25">
      <c r="A717" t="s">
        <v>1766</v>
      </c>
      <c r="B717" t="s">
        <v>754</v>
      </c>
      <c r="C717" t="s">
        <v>1045</v>
      </c>
      <c r="D717" t="s">
        <v>1050</v>
      </c>
      <c r="E717">
        <v>701.85</v>
      </c>
      <c r="F717" s="8">
        <v>45627</v>
      </c>
      <c r="H717" t="str">
        <f>IF(COUNTIF(Customers!$A$2:$A$1001,B717)&gt;0,"Valid","Invalid")</f>
        <v>Valid</v>
      </c>
      <c r="I717" t="str">
        <f t="shared" si="11"/>
        <v>Valid</v>
      </c>
      <c r="K717" t="str">
        <f>VLOOKUP(B717,Customers!A:G,7,FALSE)</f>
        <v>Individual</v>
      </c>
    </row>
    <row r="718" spans="1:11" x14ac:dyDescent="0.25">
      <c r="A718" t="s">
        <v>1767</v>
      </c>
      <c r="B718" t="s">
        <v>755</v>
      </c>
      <c r="C718" t="s">
        <v>17</v>
      </c>
      <c r="D718" t="s">
        <v>1068</v>
      </c>
      <c r="E718">
        <v>309.68</v>
      </c>
      <c r="F718" s="8">
        <v>45437</v>
      </c>
      <c r="H718" t="str">
        <f>IF(COUNTIF(Customers!$A$2:$A$1001,B718)&gt;0,"Valid","Invalid")</f>
        <v>Valid</v>
      </c>
      <c r="I718" t="str">
        <f t="shared" si="11"/>
        <v>Valid</v>
      </c>
      <c r="K718" t="str">
        <f>VLOOKUP(B718,Customers!A:G,7,FALSE)</f>
        <v>Individual</v>
      </c>
    </row>
    <row r="719" spans="1:11" x14ac:dyDescent="0.25">
      <c r="A719" t="s">
        <v>1768</v>
      </c>
      <c r="B719" t="s">
        <v>756</v>
      </c>
      <c r="C719" t="s">
        <v>1049</v>
      </c>
      <c r="D719" t="s">
        <v>1050</v>
      </c>
      <c r="E719">
        <v>2418.75</v>
      </c>
      <c r="F719" s="8">
        <v>45510</v>
      </c>
      <c r="H719" t="str">
        <f>IF(COUNTIF(Customers!$A$2:$A$1001,B719)&gt;0,"Valid","Invalid")</f>
        <v>Valid</v>
      </c>
      <c r="I719" t="str">
        <f t="shared" si="11"/>
        <v>Valid</v>
      </c>
      <c r="K719" t="str">
        <f>VLOOKUP(B719,Customers!A:G,7,FALSE)</f>
        <v>Individual</v>
      </c>
    </row>
    <row r="720" spans="1:11" x14ac:dyDescent="0.25">
      <c r="A720" t="s">
        <v>1769</v>
      </c>
      <c r="B720" t="s">
        <v>757</v>
      </c>
      <c r="C720" t="s">
        <v>17</v>
      </c>
      <c r="D720" t="s">
        <v>1046</v>
      </c>
      <c r="E720">
        <v>2474.12</v>
      </c>
      <c r="F720" s="8">
        <v>45910</v>
      </c>
      <c r="H720" t="str">
        <f>IF(COUNTIF(Customers!$A$2:$A$1001,B720)&gt;0,"Valid","Invalid")</f>
        <v>Valid</v>
      </c>
      <c r="I720" t="str">
        <f t="shared" si="11"/>
        <v>Valid</v>
      </c>
      <c r="K720" t="str">
        <f>VLOOKUP(B720,Customers!A:G,7,FALSE)</f>
        <v>Individual</v>
      </c>
    </row>
    <row r="721" spans="1:11" x14ac:dyDescent="0.25">
      <c r="A721" t="s">
        <v>1770</v>
      </c>
      <c r="B721" t="s">
        <v>758</v>
      </c>
      <c r="C721" t="s">
        <v>1056</v>
      </c>
      <c r="D721" t="s">
        <v>1046</v>
      </c>
      <c r="E721">
        <v>3519.36</v>
      </c>
      <c r="F721" s="8">
        <v>45385</v>
      </c>
      <c r="H721" t="str">
        <f>IF(COUNTIF(Customers!$A$2:$A$1001,B721)&gt;0,"Valid","Invalid")</f>
        <v>Valid</v>
      </c>
      <c r="I721" t="str">
        <f t="shared" si="11"/>
        <v>Valid</v>
      </c>
      <c r="K721" t="str">
        <f>VLOOKUP(B721,Customers!A:G,7,FALSE)</f>
        <v>Individual</v>
      </c>
    </row>
    <row r="722" spans="1:11" x14ac:dyDescent="0.25">
      <c r="A722" t="s">
        <v>1771</v>
      </c>
      <c r="B722" t="s">
        <v>759</v>
      </c>
      <c r="C722" t="s">
        <v>1045</v>
      </c>
      <c r="D722" t="s">
        <v>1050</v>
      </c>
      <c r="E722">
        <v>3542.63</v>
      </c>
      <c r="F722" s="8">
        <v>45455</v>
      </c>
      <c r="H722" t="str">
        <f>IF(COUNTIF(Customers!$A$2:$A$1001,B722)&gt;0,"Valid","Invalid")</f>
        <v>Valid</v>
      </c>
      <c r="I722" t="str">
        <f t="shared" si="11"/>
        <v>Valid</v>
      </c>
      <c r="K722" t="str">
        <f>VLOOKUP(B722,Customers!A:G,7,FALSE)</f>
        <v>Individual</v>
      </c>
    </row>
    <row r="723" spans="1:11" x14ac:dyDescent="0.25">
      <c r="A723" t="s">
        <v>1772</v>
      </c>
      <c r="B723" t="s">
        <v>760</v>
      </c>
      <c r="C723" t="s">
        <v>17</v>
      </c>
      <c r="D723" t="s">
        <v>1050</v>
      </c>
      <c r="E723">
        <v>10622.24</v>
      </c>
      <c r="F723" s="8">
        <v>45267</v>
      </c>
      <c r="H723" t="str">
        <f>IF(COUNTIF(Customers!$A$2:$A$1001,B723)&gt;0,"Valid","Invalid")</f>
        <v>Valid</v>
      </c>
      <c r="I723" t="str">
        <f t="shared" si="11"/>
        <v>Valid</v>
      </c>
      <c r="K723" t="str">
        <f>VLOOKUP(B723,Customers!A:G,7,FALSE)</f>
        <v>Individual</v>
      </c>
    </row>
    <row r="724" spans="1:11" x14ac:dyDescent="0.25">
      <c r="A724" t="s">
        <v>1773</v>
      </c>
      <c r="B724" t="s">
        <v>761</v>
      </c>
      <c r="C724" t="s">
        <v>1045</v>
      </c>
      <c r="D724" t="s">
        <v>1050</v>
      </c>
      <c r="E724">
        <v>324.36</v>
      </c>
      <c r="F724" s="8">
        <v>44983</v>
      </c>
      <c r="H724" t="str">
        <f>IF(COUNTIF(Customers!$A$2:$A$1001,B724)&gt;0,"Valid","Invalid")</f>
        <v>Valid</v>
      </c>
      <c r="I724" t="str">
        <f t="shared" si="11"/>
        <v>Valid</v>
      </c>
      <c r="K724" t="str">
        <f>VLOOKUP(B724,Customers!A:G,7,FALSE)</f>
        <v>SME</v>
      </c>
    </row>
    <row r="725" spans="1:11" x14ac:dyDescent="0.25">
      <c r="A725" t="s">
        <v>1774</v>
      </c>
      <c r="B725" t="s">
        <v>762</v>
      </c>
      <c r="C725" t="s">
        <v>1045</v>
      </c>
      <c r="D725" t="s">
        <v>1050</v>
      </c>
      <c r="E725">
        <v>543.04999999999995</v>
      </c>
      <c r="F725" s="8">
        <v>45144</v>
      </c>
      <c r="H725" t="str">
        <f>IF(COUNTIF(Customers!$A$2:$A$1001,B725)&gt;0,"Valid","Invalid")</f>
        <v>Valid</v>
      </c>
      <c r="I725" t="str">
        <f t="shared" si="11"/>
        <v>Valid</v>
      </c>
      <c r="K725" t="str">
        <f>VLOOKUP(B725,Customers!A:G,7,FALSE)</f>
        <v>SME</v>
      </c>
    </row>
    <row r="726" spans="1:11" x14ac:dyDescent="0.25">
      <c r="A726" t="s">
        <v>1775</v>
      </c>
      <c r="B726" t="s">
        <v>763</v>
      </c>
      <c r="C726" t="s">
        <v>1056</v>
      </c>
      <c r="D726" t="s">
        <v>1050</v>
      </c>
      <c r="E726">
        <v>3505.9</v>
      </c>
      <c r="F726" s="8">
        <v>45545</v>
      </c>
      <c r="H726" t="str">
        <f>IF(COUNTIF(Customers!$A$2:$A$1001,B726)&gt;0,"Valid","Invalid")</f>
        <v>Valid</v>
      </c>
      <c r="I726" t="str">
        <f t="shared" si="11"/>
        <v>Valid</v>
      </c>
      <c r="K726" t="str">
        <f>VLOOKUP(B726,Customers!A:G,7,FALSE)</f>
        <v>SME</v>
      </c>
    </row>
    <row r="727" spans="1:11" x14ac:dyDescent="0.25">
      <c r="A727" t="s">
        <v>1776</v>
      </c>
      <c r="B727" t="s">
        <v>764</v>
      </c>
      <c r="C727" t="s">
        <v>1049</v>
      </c>
      <c r="D727" t="s">
        <v>1046</v>
      </c>
      <c r="E727">
        <v>598.47</v>
      </c>
      <c r="F727" s="8">
        <v>45742</v>
      </c>
      <c r="H727" t="str">
        <f>IF(COUNTIF(Customers!$A$2:$A$1001,B727)&gt;0,"Valid","Invalid")</f>
        <v>Valid</v>
      </c>
      <c r="I727" t="str">
        <f t="shared" si="11"/>
        <v>Valid</v>
      </c>
      <c r="K727" t="str">
        <f>VLOOKUP(B727,Customers!A:G,7,FALSE)</f>
        <v>Individual</v>
      </c>
    </row>
    <row r="728" spans="1:11" x14ac:dyDescent="0.25">
      <c r="A728" t="s">
        <v>1777</v>
      </c>
      <c r="B728" t="s">
        <v>765</v>
      </c>
      <c r="C728" t="s">
        <v>17</v>
      </c>
      <c r="D728" t="s">
        <v>1073</v>
      </c>
      <c r="E728">
        <v>421.33</v>
      </c>
      <c r="F728" s="8">
        <v>45657</v>
      </c>
      <c r="H728" t="str">
        <f>IF(COUNTIF(Customers!$A$2:$A$1001,B728)&gt;0,"Valid","Invalid")</f>
        <v>Valid</v>
      </c>
      <c r="I728" t="str">
        <f t="shared" si="11"/>
        <v>Valid</v>
      </c>
      <c r="K728" t="str">
        <f>VLOOKUP(B728,Customers!A:G,7,FALSE)</f>
        <v>Student</v>
      </c>
    </row>
    <row r="729" spans="1:11" x14ac:dyDescent="0.25">
      <c r="A729" t="s">
        <v>1778</v>
      </c>
      <c r="B729" t="s">
        <v>766</v>
      </c>
      <c r="C729" t="s">
        <v>1045</v>
      </c>
      <c r="D729" t="s">
        <v>1050</v>
      </c>
      <c r="E729">
        <v>11682.47</v>
      </c>
      <c r="F729" s="8">
        <v>45390</v>
      </c>
      <c r="H729" t="str">
        <f>IF(COUNTIF(Customers!$A$2:$A$1001,B729)&gt;0,"Valid","Invalid")</f>
        <v>Valid</v>
      </c>
      <c r="I729" t="str">
        <f t="shared" si="11"/>
        <v>Valid</v>
      </c>
      <c r="K729" t="str">
        <f>VLOOKUP(B729,Customers!A:G,7,FALSE)</f>
        <v>Individual</v>
      </c>
    </row>
    <row r="730" spans="1:11" x14ac:dyDescent="0.25">
      <c r="A730" t="s">
        <v>1779</v>
      </c>
      <c r="B730" t="s">
        <v>767</v>
      </c>
      <c r="C730" t="s">
        <v>1049</v>
      </c>
      <c r="D730" t="s">
        <v>1050</v>
      </c>
      <c r="E730">
        <v>357.83</v>
      </c>
      <c r="F730" s="8">
        <v>45173</v>
      </c>
      <c r="H730" t="str">
        <f>IF(COUNTIF(Customers!$A$2:$A$1001,B730)&gt;0,"Valid","Invalid")</f>
        <v>Valid</v>
      </c>
      <c r="I730" t="str">
        <f t="shared" si="11"/>
        <v>Valid</v>
      </c>
      <c r="K730" t="str">
        <f>VLOOKUP(B730,Customers!A:G,7,FALSE)</f>
        <v>Individual</v>
      </c>
    </row>
    <row r="731" spans="1:11" x14ac:dyDescent="0.25">
      <c r="A731" t="s">
        <v>1780</v>
      </c>
      <c r="B731" t="s">
        <v>768</v>
      </c>
      <c r="C731" t="s">
        <v>1049</v>
      </c>
      <c r="D731" t="s">
        <v>1050</v>
      </c>
      <c r="E731">
        <v>1272.49</v>
      </c>
      <c r="F731" s="8">
        <v>45656</v>
      </c>
      <c r="H731" t="str">
        <f>IF(COUNTIF(Customers!$A$2:$A$1001,B731)&gt;0,"Valid","Invalid")</f>
        <v>Valid</v>
      </c>
      <c r="I731" t="str">
        <f t="shared" si="11"/>
        <v>Valid</v>
      </c>
      <c r="K731" t="str">
        <f>VLOOKUP(B731,Customers!A:G,7,FALSE)</f>
        <v>Individual</v>
      </c>
    </row>
    <row r="732" spans="1:11" x14ac:dyDescent="0.25">
      <c r="A732" t="s">
        <v>1781</v>
      </c>
      <c r="B732" t="s">
        <v>769</v>
      </c>
      <c r="C732" t="s">
        <v>1045</v>
      </c>
      <c r="D732" t="s">
        <v>1046</v>
      </c>
      <c r="E732">
        <v>1703.83</v>
      </c>
      <c r="F732" s="8">
        <v>45299</v>
      </c>
      <c r="H732" t="str">
        <f>IF(COUNTIF(Customers!$A$2:$A$1001,B732)&gt;0,"Valid","Invalid")</f>
        <v>Valid</v>
      </c>
      <c r="I732" t="str">
        <f t="shared" si="11"/>
        <v>Valid</v>
      </c>
      <c r="K732" t="str">
        <f>VLOOKUP(B732,Customers!A:G,7,FALSE)</f>
        <v>Student</v>
      </c>
    </row>
    <row r="733" spans="1:11" x14ac:dyDescent="0.25">
      <c r="A733" t="s">
        <v>1782</v>
      </c>
      <c r="B733" t="s">
        <v>770</v>
      </c>
      <c r="C733" t="s">
        <v>1045</v>
      </c>
      <c r="D733" t="s">
        <v>1050</v>
      </c>
      <c r="E733">
        <v>6695.14</v>
      </c>
      <c r="F733" s="8">
        <v>45343</v>
      </c>
      <c r="H733" t="str">
        <f>IF(COUNTIF(Customers!$A$2:$A$1001,B733)&gt;0,"Valid","Invalid")</f>
        <v>Valid</v>
      </c>
      <c r="I733" t="str">
        <f t="shared" si="11"/>
        <v>Valid</v>
      </c>
      <c r="K733" t="str">
        <f>VLOOKUP(B733,Customers!A:G,7,FALSE)</f>
        <v>Individual</v>
      </c>
    </row>
    <row r="734" spans="1:11" x14ac:dyDescent="0.25">
      <c r="A734" t="s">
        <v>1783</v>
      </c>
      <c r="B734" t="s">
        <v>771</v>
      </c>
      <c r="C734" t="s">
        <v>1045</v>
      </c>
      <c r="D734" t="s">
        <v>1050</v>
      </c>
      <c r="E734">
        <v>279</v>
      </c>
      <c r="F734" s="8">
        <v>45981</v>
      </c>
      <c r="H734" t="str">
        <f>IF(COUNTIF(Customers!$A$2:$A$1001,B734)&gt;0,"Valid","Invalid")</f>
        <v>Valid</v>
      </c>
      <c r="I734" t="str">
        <f t="shared" si="11"/>
        <v>Valid</v>
      </c>
      <c r="K734" t="str">
        <f>VLOOKUP(B734,Customers!A:G,7,FALSE)</f>
        <v>Student</v>
      </c>
    </row>
    <row r="735" spans="1:11" x14ac:dyDescent="0.25">
      <c r="A735" t="s">
        <v>1784</v>
      </c>
      <c r="B735" t="s">
        <v>772</v>
      </c>
      <c r="C735" t="s">
        <v>1045</v>
      </c>
      <c r="D735" t="s">
        <v>1046</v>
      </c>
      <c r="E735">
        <v>2739.35</v>
      </c>
      <c r="F735" s="8">
        <v>45294</v>
      </c>
      <c r="H735" t="str">
        <f>IF(COUNTIF(Customers!$A$2:$A$1001,B735)&gt;0,"Valid","Invalid")</f>
        <v>Valid</v>
      </c>
      <c r="I735" t="str">
        <f t="shared" si="11"/>
        <v>Valid</v>
      </c>
      <c r="K735" t="str">
        <f>VLOOKUP(B735,Customers!A:G,7,FALSE)</f>
        <v>SME</v>
      </c>
    </row>
    <row r="736" spans="1:11" x14ac:dyDescent="0.25">
      <c r="A736" t="s">
        <v>1785</v>
      </c>
      <c r="B736" t="s">
        <v>773</v>
      </c>
      <c r="C736" t="s">
        <v>17</v>
      </c>
      <c r="D736" t="s">
        <v>1050</v>
      </c>
      <c r="E736">
        <v>742.2</v>
      </c>
      <c r="F736" s="8">
        <v>45485</v>
      </c>
      <c r="H736" t="str">
        <f>IF(COUNTIF(Customers!$A$2:$A$1001,B736)&gt;0,"Valid","Invalid")</f>
        <v>Valid</v>
      </c>
      <c r="I736" t="str">
        <f t="shared" si="11"/>
        <v>Valid</v>
      </c>
      <c r="K736" t="str">
        <f>VLOOKUP(B736,Customers!A:G,7,FALSE)</f>
        <v>Individual</v>
      </c>
    </row>
    <row r="737" spans="1:11" x14ac:dyDescent="0.25">
      <c r="A737" t="s">
        <v>1786</v>
      </c>
      <c r="B737" t="s">
        <v>774</v>
      </c>
      <c r="C737" t="s">
        <v>1056</v>
      </c>
      <c r="D737" t="s">
        <v>1073</v>
      </c>
      <c r="E737">
        <v>3386.7</v>
      </c>
      <c r="F737" s="8">
        <v>45034</v>
      </c>
      <c r="H737" t="str">
        <f>IF(COUNTIF(Customers!$A$2:$A$1001,B737)&gt;0,"Valid","Invalid")</f>
        <v>Valid</v>
      </c>
      <c r="I737" t="str">
        <f t="shared" si="11"/>
        <v>Valid</v>
      </c>
      <c r="K737" t="str">
        <f>VLOOKUP(B737,Customers!A:G,7,FALSE)</f>
        <v>Individual</v>
      </c>
    </row>
    <row r="738" spans="1:11" x14ac:dyDescent="0.25">
      <c r="A738" t="s">
        <v>1787</v>
      </c>
      <c r="B738" t="s">
        <v>775</v>
      </c>
      <c r="C738" t="s">
        <v>1056</v>
      </c>
      <c r="D738" t="s">
        <v>1050</v>
      </c>
      <c r="E738">
        <v>730.11</v>
      </c>
      <c r="F738" s="8">
        <v>45510</v>
      </c>
      <c r="H738" t="str">
        <f>IF(COUNTIF(Customers!$A$2:$A$1001,B738)&gt;0,"Valid","Invalid")</f>
        <v>Valid</v>
      </c>
      <c r="I738" t="str">
        <f t="shared" si="11"/>
        <v>Valid</v>
      </c>
      <c r="K738" t="str">
        <f>VLOOKUP(B738,Customers!A:G,7,FALSE)</f>
        <v>Student</v>
      </c>
    </row>
    <row r="739" spans="1:11" x14ac:dyDescent="0.25">
      <c r="A739" t="s">
        <v>1788</v>
      </c>
      <c r="B739" t="s">
        <v>776</v>
      </c>
      <c r="C739" t="s">
        <v>17</v>
      </c>
      <c r="D739" t="s">
        <v>1050</v>
      </c>
      <c r="E739">
        <v>8710.69</v>
      </c>
      <c r="F739" s="8">
        <v>45765</v>
      </c>
      <c r="H739" t="str">
        <f>IF(COUNTIF(Customers!$A$2:$A$1001,B739)&gt;0,"Valid","Invalid")</f>
        <v>Valid</v>
      </c>
      <c r="I739" t="str">
        <f t="shared" si="11"/>
        <v>Valid</v>
      </c>
      <c r="K739" t="str">
        <f>VLOOKUP(B739,Customers!A:G,7,FALSE)</f>
        <v>Individual</v>
      </c>
    </row>
    <row r="740" spans="1:11" x14ac:dyDescent="0.25">
      <c r="A740" t="s">
        <v>1789</v>
      </c>
      <c r="B740" t="s">
        <v>777</v>
      </c>
      <c r="C740" t="s">
        <v>1045</v>
      </c>
      <c r="D740" t="s">
        <v>1068</v>
      </c>
      <c r="E740">
        <v>734.38</v>
      </c>
      <c r="F740" s="8">
        <v>45344</v>
      </c>
      <c r="H740" t="str">
        <f>IF(COUNTIF(Customers!$A$2:$A$1001,B740)&gt;0,"Valid","Invalid")</f>
        <v>Valid</v>
      </c>
      <c r="I740" t="str">
        <f t="shared" si="11"/>
        <v>Valid</v>
      </c>
      <c r="K740" t="str">
        <f>VLOOKUP(B740,Customers!A:G,7,FALSE)</f>
        <v>Individual</v>
      </c>
    </row>
    <row r="741" spans="1:11" x14ac:dyDescent="0.25">
      <c r="A741" t="s">
        <v>1790</v>
      </c>
      <c r="B741" t="s">
        <v>778</v>
      </c>
      <c r="C741" t="s">
        <v>1049</v>
      </c>
      <c r="D741" t="s">
        <v>1050</v>
      </c>
      <c r="E741">
        <v>154.16</v>
      </c>
      <c r="F741" s="8">
        <v>45747</v>
      </c>
      <c r="H741" t="str">
        <f>IF(COUNTIF(Customers!$A$2:$A$1001,B741)&gt;0,"Valid","Invalid")</f>
        <v>Valid</v>
      </c>
      <c r="I741" t="str">
        <f t="shared" si="11"/>
        <v>Valid</v>
      </c>
      <c r="K741" t="str">
        <f>VLOOKUP(B741,Customers!A:G,7,FALSE)</f>
        <v>SME</v>
      </c>
    </row>
    <row r="742" spans="1:11" x14ac:dyDescent="0.25">
      <c r="A742" t="s">
        <v>1791</v>
      </c>
      <c r="B742" t="s">
        <v>779</v>
      </c>
      <c r="C742" t="s">
        <v>1045</v>
      </c>
      <c r="D742" t="s">
        <v>1050</v>
      </c>
      <c r="E742">
        <v>821.52</v>
      </c>
      <c r="F742" s="8">
        <v>45609</v>
      </c>
      <c r="H742" t="str">
        <f>IF(COUNTIF(Customers!$A$2:$A$1001,B742)&gt;0,"Valid","Invalid")</f>
        <v>Valid</v>
      </c>
      <c r="I742" t="str">
        <f t="shared" si="11"/>
        <v>Valid</v>
      </c>
      <c r="K742" t="str">
        <f>VLOOKUP(B742,Customers!A:G,7,FALSE)</f>
        <v>SME</v>
      </c>
    </row>
    <row r="743" spans="1:11" x14ac:dyDescent="0.25">
      <c r="A743" t="s">
        <v>1792</v>
      </c>
      <c r="B743" t="s">
        <v>780</v>
      </c>
      <c r="C743" t="s">
        <v>1049</v>
      </c>
      <c r="D743" t="s">
        <v>1050</v>
      </c>
      <c r="E743">
        <v>1392.28</v>
      </c>
      <c r="F743" s="8">
        <v>46066</v>
      </c>
      <c r="H743" t="str">
        <f>IF(COUNTIF(Customers!$A$2:$A$1001,B743)&gt;0,"Valid","Invalid")</f>
        <v>Valid</v>
      </c>
      <c r="I743" t="str">
        <f t="shared" si="11"/>
        <v>Valid</v>
      </c>
      <c r="K743" t="str">
        <f>VLOOKUP(B743,Customers!A:G,7,FALSE)</f>
        <v>Individual</v>
      </c>
    </row>
    <row r="744" spans="1:11" x14ac:dyDescent="0.25">
      <c r="A744" t="s">
        <v>1793</v>
      </c>
      <c r="B744" t="s">
        <v>781</v>
      </c>
      <c r="C744" t="s">
        <v>1045</v>
      </c>
      <c r="D744" t="s">
        <v>1050</v>
      </c>
      <c r="E744">
        <v>5336.65</v>
      </c>
      <c r="F744" s="8">
        <v>45182</v>
      </c>
      <c r="H744" t="str">
        <f>IF(COUNTIF(Customers!$A$2:$A$1001,B744)&gt;0,"Valid","Invalid")</f>
        <v>Valid</v>
      </c>
      <c r="I744" t="str">
        <f t="shared" si="11"/>
        <v>Valid</v>
      </c>
      <c r="K744" t="str">
        <f>VLOOKUP(B744,Customers!A:G,7,FALSE)</f>
        <v>SME</v>
      </c>
    </row>
    <row r="745" spans="1:11" x14ac:dyDescent="0.25">
      <c r="A745" t="s">
        <v>1794</v>
      </c>
      <c r="B745" t="s">
        <v>782</v>
      </c>
      <c r="C745" t="s">
        <v>17</v>
      </c>
      <c r="D745" t="s">
        <v>1050</v>
      </c>
      <c r="E745">
        <v>513.66999999999996</v>
      </c>
      <c r="F745" s="8">
        <v>46031</v>
      </c>
      <c r="H745" t="str">
        <f>IF(COUNTIF(Customers!$A$2:$A$1001,B745)&gt;0,"Valid","Invalid")</f>
        <v>Valid</v>
      </c>
      <c r="I745" t="str">
        <f t="shared" si="11"/>
        <v>Valid</v>
      </c>
      <c r="K745" t="str">
        <f>VLOOKUP(B745,Customers!A:G,7,FALSE)</f>
        <v>Corporate</v>
      </c>
    </row>
    <row r="746" spans="1:11" x14ac:dyDescent="0.25">
      <c r="A746" t="s">
        <v>1795</v>
      </c>
      <c r="B746" t="s">
        <v>783</v>
      </c>
      <c r="C746" t="s">
        <v>1045</v>
      </c>
      <c r="D746" t="s">
        <v>1050</v>
      </c>
      <c r="E746">
        <v>523.92999999999995</v>
      </c>
      <c r="F746" s="8">
        <v>45706</v>
      </c>
      <c r="H746" t="str">
        <f>IF(COUNTIF(Customers!$A$2:$A$1001,B746)&gt;0,"Valid","Invalid")</f>
        <v>Valid</v>
      </c>
      <c r="I746" t="str">
        <f t="shared" si="11"/>
        <v>Valid</v>
      </c>
      <c r="K746" t="str">
        <f>VLOOKUP(B746,Customers!A:G,7,FALSE)</f>
        <v>SME</v>
      </c>
    </row>
    <row r="747" spans="1:11" x14ac:dyDescent="0.25">
      <c r="A747" t="s">
        <v>1796</v>
      </c>
      <c r="B747" t="s">
        <v>784</v>
      </c>
      <c r="C747" t="s">
        <v>1045</v>
      </c>
      <c r="D747" t="s">
        <v>1050</v>
      </c>
      <c r="E747">
        <v>4724.79</v>
      </c>
      <c r="F747" s="8">
        <v>46078</v>
      </c>
      <c r="H747" t="str">
        <f>IF(COUNTIF(Customers!$A$2:$A$1001,B747)&gt;0,"Valid","Invalid")</f>
        <v>Valid</v>
      </c>
      <c r="I747" t="str">
        <f t="shared" si="11"/>
        <v>Valid</v>
      </c>
      <c r="K747" t="str">
        <f>VLOOKUP(B747,Customers!A:G,7,FALSE)</f>
        <v>SME</v>
      </c>
    </row>
    <row r="748" spans="1:11" x14ac:dyDescent="0.25">
      <c r="A748" t="s">
        <v>1797</v>
      </c>
      <c r="B748" t="s">
        <v>785</v>
      </c>
      <c r="C748" t="s">
        <v>1049</v>
      </c>
      <c r="D748" t="s">
        <v>1050</v>
      </c>
      <c r="E748">
        <v>457.04</v>
      </c>
      <c r="F748" s="8">
        <v>45764</v>
      </c>
      <c r="H748" t="str">
        <f>IF(COUNTIF(Customers!$A$2:$A$1001,B748)&gt;0,"Valid","Invalid")</f>
        <v>Valid</v>
      </c>
      <c r="I748" t="str">
        <f t="shared" si="11"/>
        <v>Valid</v>
      </c>
      <c r="K748" t="str">
        <f>VLOOKUP(B748,Customers!A:G,7,FALSE)</f>
        <v>Individual</v>
      </c>
    </row>
    <row r="749" spans="1:11" x14ac:dyDescent="0.25">
      <c r="A749" t="s">
        <v>1798</v>
      </c>
      <c r="B749" t="s">
        <v>786</v>
      </c>
      <c r="C749" t="s">
        <v>1045</v>
      </c>
      <c r="D749" t="s">
        <v>1046</v>
      </c>
      <c r="E749">
        <v>1511.74</v>
      </c>
      <c r="F749" s="8">
        <v>45841</v>
      </c>
      <c r="H749" t="str">
        <f>IF(COUNTIF(Customers!$A$2:$A$1001,B749)&gt;0,"Valid","Invalid")</f>
        <v>Valid</v>
      </c>
      <c r="I749" t="str">
        <f t="shared" si="11"/>
        <v>Valid</v>
      </c>
      <c r="K749" t="str">
        <f>VLOOKUP(B749,Customers!A:G,7,FALSE)</f>
        <v>Individual</v>
      </c>
    </row>
    <row r="750" spans="1:11" x14ac:dyDescent="0.25">
      <c r="A750" t="s">
        <v>1799</v>
      </c>
      <c r="B750" t="s">
        <v>787</v>
      </c>
      <c r="C750" t="s">
        <v>1056</v>
      </c>
      <c r="D750" t="s">
        <v>1046</v>
      </c>
      <c r="E750">
        <v>1542.79</v>
      </c>
      <c r="F750" s="8">
        <v>45161</v>
      </c>
      <c r="H750" t="str">
        <f>IF(COUNTIF(Customers!$A$2:$A$1001,B750)&gt;0,"Valid","Invalid")</f>
        <v>Valid</v>
      </c>
      <c r="I750" t="str">
        <f t="shared" si="11"/>
        <v>Valid</v>
      </c>
      <c r="K750" t="str">
        <f>VLOOKUP(B750,Customers!A:G,7,FALSE)</f>
        <v>Student</v>
      </c>
    </row>
    <row r="751" spans="1:11" x14ac:dyDescent="0.25">
      <c r="A751" t="s">
        <v>1800</v>
      </c>
      <c r="B751" t="s">
        <v>788</v>
      </c>
      <c r="C751" t="s">
        <v>1045</v>
      </c>
      <c r="D751" t="s">
        <v>1050</v>
      </c>
      <c r="E751">
        <v>2247.5100000000002</v>
      </c>
      <c r="F751" s="8">
        <v>45479</v>
      </c>
      <c r="H751" t="str">
        <f>IF(COUNTIF(Customers!$A$2:$A$1001,B751)&gt;0,"Valid","Invalid")</f>
        <v>Valid</v>
      </c>
      <c r="I751" t="str">
        <f t="shared" si="11"/>
        <v>Valid</v>
      </c>
      <c r="K751" t="str">
        <f>VLOOKUP(B751,Customers!A:G,7,FALSE)</f>
        <v>Student</v>
      </c>
    </row>
    <row r="752" spans="1:11" x14ac:dyDescent="0.25">
      <c r="A752" t="s">
        <v>1801</v>
      </c>
      <c r="B752" t="s">
        <v>789</v>
      </c>
      <c r="C752" t="s">
        <v>1049</v>
      </c>
      <c r="D752" t="s">
        <v>1050</v>
      </c>
      <c r="E752">
        <v>854.19</v>
      </c>
      <c r="F752" s="8">
        <v>45107</v>
      </c>
      <c r="H752" t="str">
        <f>IF(COUNTIF(Customers!$A$2:$A$1001,B752)&gt;0,"Valid","Invalid")</f>
        <v>Valid</v>
      </c>
      <c r="I752" t="str">
        <f t="shared" si="11"/>
        <v>Valid</v>
      </c>
      <c r="K752" t="str">
        <f>VLOOKUP(B752,Customers!A:G,7,FALSE)</f>
        <v>Corporate</v>
      </c>
    </row>
    <row r="753" spans="1:11" x14ac:dyDescent="0.25">
      <c r="A753" t="s">
        <v>1802</v>
      </c>
      <c r="B753" t="s">
        <v>790</v>
      </c>
      <c r="C753" t="s">
        <v>1045</v>
      </c>
      <c r="D753" t="s">
        <v>1050</v>
      </c>
      <c r="E753">
        <v>715.52</v>
      </c>
      <c r="F753" s="8">
        <v>45083</v>
      </c>
      <c r="H753" t="str">
        <f>IF(COUNTIF(Customers!$A$2:$A$1001,B753)&gt;0,"Valid","Invalid")</f>
        <v>Valid</v>
      </c>
      <c r="I753" t="str">
        <f t="shared" si="11"/>
        <v>Valid</v>
      </c>
      <c r="K753" t="str">
        <f>VLOOKUP(B753,Customers!A:G,7,FALSE)</f>
        <v>Individual</v>
      </c>
    </row>
    <row r="754" spans="1:11" x14ac:dyDescent="0.25">
      <c r="A754" t="s">
        <v>1803</v>
      </c>
      <c r="B754" t="s">
        <v>791</v>
      </c>
      <c r="C754" t="s">
        <v>1045</v>
      </c>
      <c r="D754" t="s">
        <v>1050</v>
      </c>
      <c r="E754">
        <v>2527.27</v>
      </c>
      <c r="F754" s="8">
        <v>45497</v>
      </c>
      <c r="H754" t="str">
        <f>IF(COUNTIF(Customers!$A$2:$A$1001,B754)&gt;0,"Valid","Invalid")</f>
        <v>Valid</v>
      </c>
      <c r="I754" t="str">
        <f t="shared" si="11"/>
        <v>Valid</v>
      </c>
      <c r="K754" t="str">
        <f>VLOOKUP(B754,Customers!A:G,7,FALSE)</f>
        <v>SME</v>
      </c>
    </row>
    <row r="755" spans="1:11" x14ac:dyDescent="0.25">
      <c r="A755" t="s">
        <v>1804</v>
      </c>
      <c r="B755" t="s">
        <v>792</v>
      </c>
      <c r="C755" t="s">
        <v>1045</v>
      </c>
      <c r="D755" t="s">
        <v>1046</v>
      </c>
      <c r="E755">
        <v>738.04</v>
      </c>
      <c r="F755" s="8">
        <v>45783</v>
      </c>
      <c r="H755" t="str">
        <f>IF(COUNTIF(Customers!$A$2:$A$1001,B755)&gt;0,"Valid","Invalid")</f>
        <v>Valid</v>
      </c>
      <c r="I755" t="str">
        <f t="shared" si="11"/>
        <v>Valid</v>
      </c>
      <c r="K755" t="str">
        <f>VLOOKUP(B755,Customers!A:G,7,FALSE)</f>
        <v>SME</v>
      </c>
    </row>
    <row r="756" spans="1:11" x14ac:dyDescent="0.25">
      <c r="A756" t="s">
        <v>1805</v>
      </c>
      <c r="B756" t="s">
        <v>793</v>
      </c>
      <c r="C756" t="s">
        <v>1045</v>
      </c>
      <c r="D756" t="s">
        <v>1046</v>
      </c>
      <c r="E756">
        <v>464.07</v>
      </c>
      <c r="F756" s="8">
        <v>45974</v>
      </c>
      <c r="H756" t="str">
        <f>IF(COUNTIF(Customers!$A$2:$A$1001,B756)&gt;0,"Valid","Invalid")</f>
        <v>Valid</v>
      </c>
      <c r="I756" t="str">
        <f t="shared" si="11"/>
        <v>Valid</v>
      </c>
      <c r="K756" t="str">
        <f>VLOOKUP(B756,Customers!A:G,7,FALSE)</f>
        <v>SME</v>
      </c>
    </row>
    <row r="757" spans="1:11" x14ac:dyDescent="0.25">
      <c r="A757" t="s">
        <v>1806</v>
      </c>
      <c r="B757" t="s">
        <v>794</v>
      </c>
      <c r="C757" t="s">
        <v>1045</v>
      </c>
      <c r="D757" t="s">
        <v>1050</v>
      </c>
      <c r="E757">
        <v>6172.13</v>
      </c>
      <c r="F757" s="8">
        <v>45874</v>
      </c>
      <c r="H757" t="str">
        <f>IF(COUNTIF(Customers!$A$2:$A$1001,B757)&gt;0,"Valid","Invalid")</f>
        <v>Valid</v>
      </c>
      <c r="I757" t="str">
        <f t="shared" si="11"/>
        <v>Valid</v>
      </c>
      <c r="K757" t="str">
        <f>VLOOKUP(B757,Customers!A:G,7,FALSE)</f>
        <v>Corporate</v>
      </c>
    </row>
    <row r="758" spans="1:11" x14ac:dyDescent="0.25">
      <c r="A758" t="s">
        <v>1807</v>
      </c>
      <c r="B758" t="s">
        <v>795</v>
      </c>
      <c r="C758" t="s">
        <v>1045</v>
      </c>
      <c r="D758" t="s">
        <v>1050</v>
      </c>
      <c r="E758">
        <v>2945.68</v>
      </c>
      <c r="F758" s="8">
        <v>45518</v>
      </c>
      <c r="H758" t="str">
        <f>IF(COUNTIF(Customers!$A$2:$A$1001,B758)&gt;0,"Valid","Invalid")</f>
        <v>Valid</v>
      </c>
      <c r="I758" t="str">
        <f t="shared" si="11"/>
        <v>Valid</v>
      </c>
      <c r="K758" t="str">
        <f>VLOOKUP(B758,Customers!A:G,7,FALSE)</f>
        <v>Individual</v>
      </c>
    </row>
    <row r="759" spans="1:11" x14ac:dyDescent="0.25">
      <c r="A759" t="s">
        <v>1808</v>
      </c>
      <c r="B759" t="s">
        <v>796</v>
      </c>
      <c r="C759" t="s">
        <v>1045</v>
      </c>
      <c r="D759" t="s">
        <v>1050</v>
      </c>
      <c r="E759">
        <v>10588.27</v>
      </c>
      <c r="F759" s="8">
        <v>45060</v>
      </c>
      <c r="H759" t="str">
        <f>IF(COUNTIF(Customers!$A$2:$A$1001,B759)&gt;0,"Valid","Invalid")</f>
        <v>Valid</v>
      </c>
      <c r="I759" t="str">
        <f t="shared" si="11"/>
        <v>Valid</v>
      </c>
      <c r="K759" t="str">
        <f>VLOOKUP(B759,Customers!A:G,7,FALSE)</f>
        <v>Student</v>
      </c>
    </row>
    <row r="760" spans="1:11" x14ac:dyDescent="0.25">
      <c r="A760" t="s">
        <v>1809</v>
      </c>
      <c r="B760" t="s">
        <v>797</v>
      </c>
      <c r="C760" t="s">
        <v>1045</v>
      </c>
      <c r="D760" t="s">
        <v>1050</v>
      </c>
      <c r="E760">
        <v>3959.87</v>
      </c>
      <c r="F760" s="8">
        <v>45347</v>
      </c>
      <c r="H760" t="str">
        <f>IF(COUNTIF(Customers!$A$2:$A$1001,B760)&gt;0,"Valid","Invalid")</f>
        <v>Valid</v>
      </c>
      <c r="I760" t="str">
        <f t="shared" si="11"/>
        <v>Valid</v>
      </c>
      <c r="K760" t="str">
        <f>VLOOKUP(B760,Customers!A:G,7,FALSE)</f>
        <v>Individual</v>
      </c>
    </row>
    <row r="761" spans="1:11" x14ac:dyDescent="0.25">
      <c r="A761" t="s">
        <v>1810</v>
      </c>
      <c r="B761" t="s">
        <v>798</v>
      </c>
      <c r="C761" t="s">
        <v>1056</v>
      </c>
      <c r="D761" t="s">
        <v>1050</v>
      </c>
      <c r="E761">
        <v>508.7</v>
      </c>
      <c r="F761" s="8">
        <v>45139</v>
      </c>
      <c r="H761" t="str">
        <f>IF(COUNTIF(Customers!$A$2:$A$1001,B761)&gt;0,"Valid","Invalid")</f>
        <v>Valid</v>
      </c>
      <c r="I761" t="str">
        <f t="shared" si="11"/>
        <v>Valid</v>
      </c>
      <c r="K761" t="str">
        <f>VLOOKUP(B761,Customers!A:G,7,FALSE)</f>
        <v>Individual</v>
      </c>
    </row>
    <row r="762" spans="1:11" x14ac:dyDescent="0.25">
      <c r="A762" t="s">
        <v>1811</v>
      </c>
      <c r="B762" t="s">
        <v>799</v>
      </c>
      <c r="C762" t="s">
        <v>1049</v>
      </c>
      <c r="D762" t="s">
        <v>1068</v>
      </c>
      <c r="E762">
        <v>1990.95</v>
      </c>
      <c r="F762" s="8">
        <v>45826</v>
      </c>
      <c r="H762" t="str">
        <f>IF(COUNTIF(Customers!$A$2:$A$1001,B762)&gt;0,"Valid","Invalid")</f>
        <v>Valid</v>
      </c>
      <c r="I762" t="str">
        <f t="shared" si="11"/>
        <v>Valid</v>
      </c>
      <c r="K762" t="str">
        <f>VLOOKUP(B762,Customers!A:G,7,FALSE)</f>
        <v>Student</v>
      </c>
    </row>
    <row r="763" spans="1:11" x14ac:dyDescent="0.25">
      <c r="A763" t="s">
        <v>1812</v>
      </c>
      <c r="B763" t="s">
        <v>800</v>
      </c>
      <c r="C763" t="s">
        <v>1045</v>
      </c>
      <c r="D763" t="s">
        <v>1046</v>
      </c>
      <c r="E763">
        <v>654.83000000000004</v>
      </c>
      <c r="F763" s="8">
        <v>45408</v>
      </c>
      <c r="H763" t="str">
        <f>IF(COUNTIF(Customers!$A$2:$A$1001,B763)&gt;0,"Valid","Invalid")</f>
        <v>Valid</v>
      </c>
      <c r="I763" t="str">
        <f t="shared" si="11"/>
        <v>Valid</v>
      </c>
      <c r="K763" t="str">
        <f>VLOOKUP(B763,Customers!A:G,7,FALSE)</f>
        <v>Individual</v>
      </c>
    </row>
    <row r="764" spans="1:11" x14ac:dyDescent="0.25">
      <c r="A764" t="s">
        <v>1813</v>
      </c>
      <c r="B764" t="s">
        <v>801</v>
      </c>
      <c r="C764" t="s">
        <v>1056</v>
      </c>
      <c r="D764" t="s">
        <v>1050</v>
      </c>
      <c r="E764">
        <v>346.68</v>
      </c>
      <c r="F764" s="8">
        <v>45274</v>
      </c>
      <c r="H764" t="str">
        <f>IF(COUNTIF(Customers!$A$2:$A$1001,B764)&gt;0,"Valid","Invalid")</f>
        <v>Valid</v>
      </c>
      <c r="I764" t="str">
        <f t="shared" si="11"/>
        <v>Valid</v>
      </c>
      <c r="K764" t="str">
        <f>VLOOKUP(B764,Customers!A:G,7,FALSE)</f>
        <v>SME</v>
      </c>
    </row>
    <row r="765" spans="1:11" x14ac:dyDescent="0.25">
      <c r="A765" t="s">
        <v>1814</v>
      </c>
      <c r="B765" t="s">
        <v>802</v>
      </c>
      <c r="C765" t="s">
        <v>1056</v>
      </c>
      <c r="D765" t="s">
        <v>1050</v>
      </c>
      <c r="E765">
        <v>1156.0899999999999</v>
      </c>
      <c r="F765" s="8">
        <v>45092</v>
      </c>
      <c r="H765" t="str">
        <f>IF(COUNTIF(Customers!$A$2:$A$1001,B765)&gt;0,"Valid","Invalid")</f>
        <v>Valid</v>
      </c>
      <c r="I765" t="str">
        <f t="shared" si="11"/>
        <v>Valid</v>
      </c>
      <c r="K765" t="str">
        <f>VLOOKUP(B765,Customers!A:G,7,FALSE)</f>
        <v>Individual</v>
      </c>
    </row>
    <row r="766" spans="1:11" x14ac:dyDescent="0.25">
      <c r="A766" t="s">
        <v>1815</v>
      </c>
      <c r="B766" t="s">
        <v>803</v>
      </c>
      <c r="C766" t="s">
        <v>1045</v>
      </c>
      <c r="D766" t="s">
        <v>1073</v>
      </c>
      <c r="E766">
        <v>4824.84</v>
      </c>
      <c r="F766" s="8">
        <v>45863</v>
      </c>
      <c r="H766" t="str">
        <f>IF(COUNTIF(Customers!$A$2:$A$1001,B766)&gt;0,"Valid","Invalid")</f>
        <v>Valid</v>
      </c>
      <c r="I766" t="str">
        <f t="shared" si="11"/>
        <v>Valid</v>
      </c>
      <c r="K766" t="str">
        <f>VLOOKUP(B766,Customers!A:G,7,FALSE)</f>
        <v>Individual</v>
      </c>
    </row>
    <row r="767" spans="1:11" x14ac:dyDescent="0.25">
      <c r="A767" t="s">
        <v>1816</v>
      </c>
      <c r="B767" t="s">
        <v>804</v>
      </c>
      <c r="C767" t="s">
        <v>1056</v>
      </c>
      <c r="D767" t="s">
        <v>1050</v>
      </c>
      <c r="E767">
        <v>2380.14</v>
      </c>
      <c r="F767" s="8">
        <v>45274</v>
      </c>
      <c r="H767" t="str">
        <f>IF(COUNTIF(Customers!$A$2:$A$1001,B767)&gt;0,"Valid","Invalid")</f>
        <v>Valid</v>
      </c>
      <c r="I767" t="str">
        <f t="shared" si="11"/>
        <v>Valid</v>
      </c>
      <c r="K767" t="str">
        <f>VLOOKUP(B767,Customers!A:G,7,FALSE)</f>
        <v>Individual</v>
      </c>
    </row>
    <row r="768" spans="1:11" x14ac:dyDescent="0.25">
      <c r="A768" t="s">
        <v>1817</v>
      </c>
      <c r="B768" t="s">
        <v>805</v>
      </c>
      <c r="C768" t="s">
        <v>1045</v>
      </c>
      <c r="D768" t="s">
        <v>1050</v>
      </c>
      <c r="E768">
        <v>449.94</v>
      </c>
      <c r="F768" s="8">
        <v>45775</v>
      </c>
      <c r="H768" t="str">
        <f>IF(COUNTIF(Customers!$A$2:$A$1001,B768)&gt;0,"Valid","Invalid")</f>
        <v>Valid</v>
      </c>
      <c r="I768" t="str">
        <f t="shared" si="11"/>
        <v>Valid</v>
      </c>
      <c r="K768" t="str">
        <f>VLOOKUP(B768,Customers!A:G,7,FALSE)</f>
        <v>Individual</v>
      </c>
    </row>
    <row r="769" spans="1:11" x14ac:dyDescent="0.25">
      <c r="A769" t="s">
        <v>1818</v>
      </c>
      <c r="B769" t="s">
        <v>806</v>
      </c>
      <c r="C769" t="s">
        <v>1045</v>
      </c>
      <c r="D769" t="s">
        <v>1050</v>
      </c>
      <c r="E769">
        <v>1116.17</v>
      </c>
      <c r="F769" s="8">
        <v>45324</v>
      </c>
      <c r="H769" t="str">
        <f>IF(COUNTIF(Customers!$A$2:$A$1001,B769)&gt;0,"Valid","Invalid")</f>
        <v>Valid</v>
      </c>
      <c r="I769" t="str">
        <f t="shared" si="11"/>
        <v>Valid</v>
      </c>
      <c r="K769" t="str">
        <f>VLOOKUP(B769,Customers!A:G,7,FALSE)</f>
        <v>Student</v>
      </c>
    </row>
    <row r="770" spans="1:11" x14ac:dyDescent="0.25">
      <c r="A770" t="s">
        <v>1819</v>
      </c>
      <c r="B770" t="s">
        <v>807</v>
      </c>
      <c r="C770" t="s">
        <v>1045</v>
      </c>
      <c r="D770" t="s">
        <v>1046</v>
      </c>
      <c r="E770">
        <v>1567.34</v>
      </c>
      <c r="F770" s="8">
        <v>45509</v>
      </c>
      <c r="H770" t="str">
        <f>IF(COUNTIF(Customers!$A$2:$A$1001,B770)&gt;0,"Valid","Invalid")</f>
        <v>Valid</v>
      </c>
      <c r="I770" t="str">
        <f t="shared" si="11"/>
        <v>Valid</v>
      </c>
      <c r="K770" t="str">
        <f>VLOOKUP(B770,Customers!A:G,7,FALSE)</f>
        <v>SME</v>
      </c>
    </row>
    <row r="771" spans="1:11" x14ac:dyDescent="0.25">
      <c r="A771" t="s">
        <v>1820</v>
      </c>
      <c r="B771" t="s">
        <v>808</v>
      </c>
      <c r="C771" t="s">
        <v>1056</v>
      </c>
      <c r="D771" t="s">
        <v>1050</v>
      </c>
      <c r="E771">
        <v>333.92</v>
      </c>
      <c r="F771" s="8">
        <v>45652</v>
      </c>
      <c r="H771" t="str">
        <f>IF(COUNTIF(Customers!$A$2:$A$1001,B771)&gt;0,"Valid","Invalid")</f>
        <v>Valid</v>
      </c>
      <c r="I771" t="str">
        <f t="shared" ref="I771:I834" si="12">IF(OR(C771="Savings",C771="Current",C771="Business",C771="Student"),"Valid","Check")</f>
        <v>Valid</v>
      </c>
      <c r="K771" t="str">
        <f>VLOOKUP(B771,Customers!A:G,7,FALSE)</f>
        <v>Individual</v>
      </c>
    </row>
    <row r="772" spans="1:11" x14ac:dyDescent="0.25">
      <c r="A772" t="s">
        <v>1821</v>
      </c>
      <c r="B772" t="s">
        <v>809</v>
      </c>
      <c r="C772" t="s">
        <v>1056</v>
      </c>
      <c r="D772" t="s">
        <v>1050</v>
      </c>
      <c r="E772">
        <v>3689.23</v>
      </c>
      <c r="F772" s="8">
        <v>46171</v>
      </c>
      <c r="H772" t="str">
        <f>IF(COUNTIF(Customers!$A$2:$A$1001,B772)&gt;0,"Valid","Invalid")</f>
        <v>Valid</v>
      </c>
      <c r="I772" t="str">
        <f t="shared" si="12"/>
        <v>Valid</v>
      </c>
      <c r="K772" t="str">
        <f>VLOOKUP(B772,Customers!A:G,7,FALSE)</f>
        <v>SME</v>
      </c>
    </row>
    <row r="773" spans="1:11" x14ac:dyDescent="0.25">
      <c r="A773" t="s">
        <v>1822</v>
      </c>
      <c r="B773" t="s">
        <v>810</v>
      </c>
      <c r="C773" t="s">
        <v>1045</v>
      </c>
      <c r="D773" t="s">
        <v>1073</v>
      </c>
      <c r="E773">
        <v>1438.37</v>
      </c>
      <c r="F773" s="8">
        <v>45234</v>
      </c>
      <c r="H773" t="str">
        <f>IF(COUNTIF(Customers!$A$2:$A$1001,B773)&gt;0,"Valid","Invalid")</f>
        <v>Valid</v>
      </c>
      <c r="I773" t="str">
        <f t="shared" si="12"/>
        <v>Valid</v>
      </c>
      <c r="K773" t="str">
        <f>VLOOKUP(B773,Customers!A:G,7,FALSE)</f>
        <v>Student</v>
      </c>
    </row>
    <row r="774" spans="1:11" x14ac:dyDescent="0.25">
      <c r="A774" t="s">
        <v>1823</v>
      </c>
      <c r="B774" t="s">
        <v>811</v>
      </c>
      <c r="C774" t="s">
        <v>1045</v>
      </c>
      <c r="D774" t="s">
        <v>1073</v>
      </c>
      <c r="E774">
        <v>450.07</v>
      </c>
      <c r="F774" s="8">
        <v>45917</v>
      </c>
      <c r="H774" t="str">
        <f>IF(COUNTIF(Customers!$A$2:$A$1001,B774)&gt;0,"Valid","Invalid")</f>
        <v>Valid</v>
      </c>
      <c r="I774" t="str">
        <f t="shared" si="12"/>
        <v>Valid</v>
      </c>
      <c r="K774" t="str">
        <f>VLOOKUP(B774,Customers!A:G,7,FALSE)</f>
        <v>SME</v>
      </c>
    </row>
    <row r="775" spans="1:11" x14ac:dyDescent="0.25">
      <c r="A775" t="s">
        <v>1824</v>
      </c>
      <c r="B775" t="s">
        <v>812</v>
      </c>
      <c r="C775" t="s">
        <v>17</v>
      </c>
      <c r="D775" t="s">
        <v>1073</v>
      </c>
      <c r="E775">
        <v>425.31</v>
      </c>
      <c r="F775" s="8">
        <v>45724</v>
      </c>
      <c r="H775" t="str">
        <f>IF(COUNTIF(Customers!$A$2:$A$1001,B775)&gt;0,"Valid","Invalid")</f>
        <v>Valid</v>
      </c>
      <c r="I775" t="str">
        <f t="shared" si="12"/>
        <v>Valid</v>
      </c>
      <c r="K775" t="str">
        <f>VLOOKUP(B775,Customers!A:G,7,FALSE)</f>
        <v>Individual</v>
      </c>
    </row>
    <row r="776" spans="1:11" x14ac:dyDescent="0.25">
      <c r="A776" t="s">
        <v>1825</v>
      </c>
      <c r="B776" t="s">
        <v>813</v>
      </c>
      <c r="C776" t="s">
        <v>1045</v>
      </c>
      <c r="D776" t="s">
        <v>1050</v>
      </c>
      <c r="E776">
        <v>5435.27</v>
      </c>
      <c r="F776" s="8">
        <v>45645</v>
      </c>
      <c r="H776" t="str">
        <f>IF(COUNTIF(Customers!$A$2:$A$1001,B776)&gt;0,"Valid","Invalid")</f>
        <v>Valid</v>
      </c>
      <c r="I776" t="str">
        <f t="shared" si="12"/>
        <v>Valid</v>
      </c>
      <c r="K776" t="str">
        <f>VLOOKUP(B776,Customers!A:G,7,FALSE)</f>
        <v>Individual</v>
      </c>
    </row>
    <row r="777" spans="1:11" x14ac:dyDescent="0.25">
      <c r="A777" t="s">
        <v>1826</v>
      </c>
      <c r="B777" t="s">
        <v>814</v>
      </c>
      <c r="C777" t="s">
        <v>1045</v>
      </c>
      <c r="D777" t="s">
        <v>1050</v>
      </c>
      <c r="E777">
        <v>1235.45</v>
      </c>
      <c r="F777" s="8">
        <v>45392</v>
      </c>
      <c r="H777" t="str">
        <f>IF(COUNTIF(Customers!$A$2:$A$1001,B777)&gt;0,"Valid","Invalid")</f>
        <v>Valid</v>
      </c>
      <c r="I777" t="str">
        <f t="shared" si="12"/>
        <v>Valid</v>
      </c>
      <c r="K777" t="str">
        <f>VLOOKUP(B777,Customers!A:G,7,FALSE)</f>
        <v>Individual</v>
      </c>
    </row>
    <row r="778" spans="1:11" x14ac:dyDescent="0.25">
      <c r="A778" t="s">
        <v>1827</v>
      </c>
      <c r="B778" t="s">
        <v>815</v>
      </c>
      <c r="C778" t="s">
        <v>1049</v>
      </c>
      <c r="D778" t="s">
        <v>1046</v>
      </c>
      <c r="E778">
        <v>5945.27</v>
      </c>
      <c r="F778" s="8">
        <v>45025</v>
      </c>
      <c r="H778" t="str">
        <f>IF(COUNTIF(Customers!$A$2:$A$1001,B778)&gt;0,"Valid","Invalid")</f>
        <v>Valid</v>
      </c>
      <c r="I778" t="str">
        <f t="shared" si="12"/>
        <v>Valid</v>
      </c>
      <c r="K778" t="str">
        <f>VLOOKUP(B778,Customers!A:G,7,FALSE)</f>
        <v>SME</v>
      </c>
    </row>
    <row r="779" spans="1:11" x14ac:dyDescent="0.25">
      <c r="A779" t="s">
        <v>1828</v>
      </c>
      <c r="B779" t="s">
        <v>816</v>
      </c>
      <c r="C779" t="s">
        <v>1056</v>
      </c>
      <c r="D779" t="s">
        <v>1046</v>
      </c>
      <c r="E779">
        <v>8709.3799999999992</v>
      </c>
      <c r="F779" s="8">
        <v>46192</v>
      </c>
      <c r="H779" t="str">
        <f>IF(COUNTIF(Customers!$A$2:$A$1001,B779)&gt;0,"Valid","Invalid")</f>
        <v>Valid</v>
      </c>
      <c r="I779" t="str">
        <f t="shared" si="12"/>
        <v>Valid</v>
      </c>
      <c r="K779" t="str">
        <f>VLOOKUP(B779,Customers!A:G,7,FALSE)</f>
        <v>Individual</v>
      </c>
    </row>
    <row r="780" spans="1:11" x14ac:dyDescent="0.25">
      <c r="A780" t="s">
        <v>1829</v>
      </c>
      <c r="B780" t="s">
        <v>817</v>
      </c>
      <c r="C780" t="s">
        <v>1056</v>
      </c>
      <c r="D780" t="s">
        <v>1050</v>
      </c>
      <c r="E780">
        <v>5026.34</v>
      </c>
      <c r="F780" s="8">
        <v>45084</v>
      </c>
      <c r="H780" t="str">
        <f>IF(COUNTIF(Customers!$A$2:$A$1001,B780)&gt;0,"Valid","Invalid")</f>
        <v>Valid</v>
      </c>
      <c r="I780" t="str">
        <f t="shared" si="12"/>
        <v>Valid</v>
      </c>
      <c r="K780" t="str">
        <f>VLOOKUP(B780,Customers!A:G,7,FALSE)</f>
        <v>Individual</v>
      </c>
    </row>
    <row r="781" spans="1:11" x14ac:dyDescent="0.25">
      <c r="A781" t="s">
        <v>1830</v>
      </c>
      <c r="B781" t="s">
        <v>818</v>
      </c>
      <c r="C781" t="s">
        <v>1049</v>
      </c>
      <c r="D781" t="s">
        <v>1050</v>
      </c>
      <c r="E781">
        <v>1060.58</v>
      </c>
      <c r="F781" s="8">
        <v>45536</v>
      </c>
      <c r="H781" t="str">
        <f>IF(COUNTIF(Customers!$A$2:$A$1001,B781)&gt;0,"Valid","Invalid")</f>
        <v>Valid</v>
      </c>
      <c r="I781" t="str">
        <f t="shared" si="12"/>
        <v>Valid</v>
      </c>
      <c r="K781" t="str">
        <f>VLOOKUP(B781,Customers!A:G,7,FALSE)</f>
        <v>Corporate</v>
      </c>
    </row>
    <row r="782" spans="1:11" x14ac:dyDescent="0.25">
      <c r="A782" t="s">
        <v>1831</v>
      </c>
      <c r="B782" t="s">
        <v>819</v>
      </c>
      <c r="C782" t="s">
        <v>1049</v>
      </c>
      <c r="D782" t="s">
        <v>1046</v>
      </c>
      <c r="E782">
        <v>148.72999999999999</v>
      </c>
      <c r="F782" s="8">
        <v>45480</v>
      </c>
      <c r="H782" t="str">
        <f>IF(COUNTIF(Customers!$A$2:$A$1001,B782)&gt;0,"Valid","Invalid")</f>
        <v>Valid</v>
      </c>
      <c r="I782" t="str">
        <f t="shared" si="12"/>
        <v>Valid</v>
      </c>
      <c r="K782" t="str">
        <f>VLOOKUP(B782,Customers!A:G,7,FALSE)</f>
        <v>SME</v>
      </c>
    </row>
    <row r="783" spans="1:11" x14ac:dyDescent="0.25">
      <c r="A783" t="s">
        <v>1832</v>
      </c>
      <c r="B783" t="s">
        <v>820</v>
      </c>
      <c r="C783" t="s">
        <v>1045</v>
      </c>
      <c r="D783" t="s">
        <v>1046</v>
      </c>
      <c r="E783">
        <v>2472.5300000000002</v>
      </c>
      <c r="F783" s="8">
        <v>45577</v>
      </c>
      <c r="H783" t="str">
        <f>IF(COUNTIF(Customers!$A$2:$A$1001,B783)&gt;0,"Valid","Invalid")</f>
        <v>Valid</v>
      </c>
      <c r="I783" t="str">
        <f t="shared" si="12"/>
        <v>Valid</v>
      </c>
      <c r="K783" t="str">
        <f>VLOOKUP(B783,Customers!A:G,7,FALSE)</f>
        <v>Individual</v>
      </c>
    </row>
    <row r="784" spans="1:11" x14ac:dyDescent="0.25">
      <c r="A784" t="s">
        <v>1833</v>
      </c>
      <c r="B784" t="s">
        <v>821</v>
      </c>
      <c r="C784" t="s">
        <v>1045</v>
      </c>
      <c r="D784" t="s">
        <v>1050</v>
      </c>
      <c r="E784">
        <v>14640.93</v>
      </c>
      <c r="F784" s="8">
        <v>45846</v>
      </c>
      <c r="H784" t="str">
        <f>IF(COUNTIF(Customers!$A$2:$A$1001,B784)&gt;0,"Valid","Invalid")</f>
        <v>Valid</v>
      </c>
      <c r="I784" t="str">
        <f t="shared" si="12"/>
        <v>Valid</v>
      </c>
      <c r="K784" t="str">
        <f>VLOOKUP(B784,Customers!A:G,7,FALSE)</f>
        <v>SME</v>
      </c>
    </row>
    <row r="785" spans="1:11" x14ac:dyDescent="0.25">
      <c r="A785" t="s">
        <v>1834</v>
      </c>
      <c r="B785" t="s">
        <v>822</v>
      </c>
      <c r="C785" t="s">
        <v>1045</v>
      </c>
      <c r="D785" t="s">
        <v>1050</v>
      </c>
      <c r="E785">
        <v>1745.17</v>
      </c>
      <c r="F785" s="8">
        <v>45153</v>
      </c>
      <c r="H785" t="str">
        <f>IF(COUNTIF(Customers!$A$2:$A$1001,B785)&gt;0,"Valid","Invalid")</f>
        <v>Valid</v>
      </c>
      <c r="I785" t="str">
        <f t="shared" si="12"/>
        <v>Valid</v>
      </c>
      <c r="K785" t="str">
        <f>VLOOKUP(B785,Customers!A:G,7,FALSE)</f>
        <v>Individual</v>
      </c>
    </row>
    <row r="786" spans="1:11" x14ac:dyDescent="0.25">
      <c r="A786" t="s">
        <v>1835</v>
      </c>
      <c r="B786" t="s">
        <v>823</v>
      </c>
      <c r="C786" t="s">
        <v>17</v>
      </c>
      <c r="D786" t="s">
        <v>1050</v>
      </c>
      <c r="E786">
        <v>247.2</v>
      </c>
      <c r="F786" s="8">
        <v>45349</v>
      </c>
      <c r="H786" t="str">
        <f>IF(COUNTIF(Customers!$A$2:$A$1001,B786)&gt;0,"Valid","Invalid")</f>
        <v>Valid</v>
      </c>
      <c r="I786" t="str">
        <f t="shared" si="12"/>
        <v>Valid</v>
      </c>
      <c r="K786" t="str">
        <f>VLOOKUP(B786,Customers!A:G,7,FALSE)</f>
        <v>Individual</v>
      </c>
    </row>
    <row r="787" spans="1:11" x14ac:dyDescent="0.25">
      <c r="A787" t="s">
        <v>1836</v>
      </c>
      <c r="B787" t="s">
        <v>824</v>
      </c>
      <c r="C787" t="s">
        <v>1056</v>
      </c>
      <c r="D787" t="s">
        <v>1050</v>
      </c>
      <c r="E787">
        <v>920.69</v>
      </c>
      <c r="F787" s="8">
        <v>46022</v>
      </c>
      <c r="H787" t="str">
        <f>IF(COUNTIF(Customers!$A$2:$A$1001,B787)&gt;0,"Valid","Invalid")</f>
        <v>Valid</v>
      </c>
      <c r="I787" t="str">
        <f t="shared" si="12"/>
        <v>Valid</v>
      </c>
      <c r="K787" t="str">
        <f>VLOOKUP(B787,Customers!A:G,7,FALSE)</f>
        <v>Individual</v>
      </c>
    </row>
    <row r="788" spans="1:11" x14ac:dyDescent="0.25">
      <c r="A788" t="s">
        <v>1837</v>
      </c>
      <c r="B788" t="s">
        <v>825</v>
      </c>
      <c r="C788" t="s">
        <v>1045</v>
      </c>
      <c r="D788" t="s">
        <v>1050</v>
      </c>
      <c r="E788">
        <v>1504.58</v>
      </c>
      <c r="F788" s="8">
        <v>45169</v>
      </c>
      <c r="H788" t="str">
        <f>IF(COUNTIF(Customers!$A$2:$A$1001,B788)&gt;0,"Valid","Invalid")</f>
        <v>Valid</v>
      </c>
      <c r="I788" t="str">
        <f t="shared" si="12"/>
        <v>Valid</v>
      </c>
      <c r="K788" t="str">
        <f>VLOOKUP(B788,Customers!A:G,7,FALSE)</f>
        <v>SME</v>
      </c>
    </row>
    <row r="789" spans="1:11" x14ac:dyDescent="0.25">
      <c r="A789" t="s">
        <v>1838</v>
      </c>
      <c r="B789" t="s">
        <v>826</v>
      </c>
      <c r="C789" t="s">
        <v>1049</v>
      </c>
      <c r="D789" t="s">
        <v>1050</v>
      </c>
      <c r="E789">
        <v>603.05999999999995</v>
      </c>
      <c r="F789" s="8">
        <v>45456</v>
      </c>
      <c r="H789" t="str">
        <f>IF(COUNTIF(Customers!$A$2:$A$1001,B789)&gt;0,"Valid","Invalid")</f>
        <v>Valid</v>
      </c>
      <c r="I789" t="str">
        <f t="shared" si="12"/>
        <v>Valid</v>
      </c>
      <c r="K789" t="str">
        <f>VLOOKUP(B789,Customers!A:G,7,FALSE)</f>
        <v>SME</v>
      </c>
    </row>
    <row r="790" spans="1:11" x14ac:dyDescent="0.25">
      <c r="A790" t="s">
        <v>1839</v>
      </c>
      <c r="B790" t="s">
        <v>827</v>
      </c>
      <c r="C790" t="s">
        <v>1045</v>
      </c>
      <c r="D790" t="s">
        <v>1050</v>
      </c>
      <c r="E790">
        <v>139.22</v>
      </c>
      <c r="F790" s="8">
        <v>45995</v>
      </c>
      <c r="H790" t="str">
        <f>IF(COUNTIF(Customers!$A$2:$A$1001,B790)&gt;0,"Valid","Invalid")</f>
        <v>Valid</v>
      </c>
      <c r="I790" t="str">
        <f t="shared" si="12"/>
        <v>Valid</v>
      </c>
      <c r="K790" t="str">
        <f>VLOOKUP(B790,Customers!A:G,7,FALSE)</f>
        <v>Individual</v>
      </c>
    </row>
    <row r="791" spans="1:11" x14ac:dyDescent="0.25">
      <c r="A791" t="s">
        <v>1840</v>
      </c>
      <c r="B791" t="s">
        <v>828</v>
      </c>
      <c r="C791" t="s">
        <v>1045</v>
      </c>
      <c r="D791" t="s">
        <v>1050</v>
      </c>
      <c r="E791">
        <v>1639.5</v>
      </c>
      <c r="F791" s="8">
        <v>45297</v>
      </c>
      <c r="H791" t="str">
        <f>IF(COUNTIF(Customers!$A$2:$A$1001,B791)&gt;0,"Valid","Invalid")</f>
        <v>Valid</v>
      </c>
      <c r="I791" t="str">
        <f t="shared" si="12"/>
        <v>Valid</v>
      </c>
      <c r="K791" t="str">
        <f>VLOOKUP(B791,Customers!A:G,7,FALSE)</f>
        <v>Individual</v>
      </c>
    </row>
    <row r="792" spans="1:11" x14ac:dyDescent="0.25">
      <c r="A792" t="s">
        <v>1841</v>
      </c>
      <c r="B792" t="s">
        <v>829</v>
      </c>
      <c r="C792" t="s">
        <v>1056</v>
      </c>
      <c r="D792" t="s">
        <v>1050</v>
      </c>
      <c r="E792">
        <v>824.79</v>
      </c>
      <c r="F792" s="8">
        <v>45578</v>
      </c>
      <c r="H792" t="str">
        <f>IF(COUNTIF(Customers!$A$2:$A$1001,B792)&gt;0,"Valid","Invalid")</f>
        <v>Valid</v>
      </c>
      <c r="I792" t="str">
        <f t="shared" si="12"/>
        <v>Valid</v>
      </c>
      <c r="K792" t="str">
        <f>VLOOKUP(B792,Customers!A:G,7,FALSE)</f>
        <v>Individual</v>
      </c>
    </row>
    <row r="793" spans="1:11" x14ac:dyDescent="0.25">
      <c r="A793" t="s">
        <v>1842</v>
      </c>
      <c r="B793" t="s">
        <v>830</v>
      </c>
      <c r="C793" t="s">
        <v>1045</v>
      </c>
      <c r="D793" t="s">
        <v>1046</v>
      </c>
      <c r="E793">
        <v>10643.36</v>
      </c>
      <c r="F793" s="8">
        <v>45615</v>
      </c>
      <c r="H793" t="str">
        <f>IF(COUNTIF(Customers!$A$2:$A$1001,B793)&gt;0,"Valid","Invalid")</f>
        <v>Valid</v>
      </c>
      <c r="I793" t="str">
        <f t="shared" si="12"/>
        <v>Valid</v>
      </c>
      <c r="K793" t="str">
        <f>VLOOKUP(B793,Customers!A:G,7,FALSE)</f>
        <v>Corporate</v>
      </c>
    </row>
    <row r="794" spans="1:11" x14ac:dyDescent="0.25">
      <c r="A794" t="s">
        <v>1843</v>
      </c>
      <c r="B794" t="s">
        <v>831</v>
      </c>
      <c r="C794" t="s">
        <v>1049</v>
      </c>
      <c r="D794" t="s">
        <v>1050</v>
      </c>
      <c r="E794">
        <v>2000.26</v>
      </c>
      <c r="F794" s="8">
        <v>45660</v>
      </c>
      <c r="H794" t="str">
        <f>IF(COUNTIF(Customers!$A$2:$A$1001,B794)&gt;0,"Valid","Invalid")</f>
        <v>Valid</v>
      </c>
      <c r="I794" t="str">
        <f t="shared" si="12"/>
        <v>Valid</v>
      </c>
      <c r="K794" t="str">
        <f>VLOOKUP(B794,Customers!A:G,7,FALSE)</f>
        <v>Corporate</v>
      </c>
    </row>
    <row r="795" spans="1:11" x14ac:dyDescent="0.25">
      <c r="A795" t="s">
        <v>1844</v>
      </c>
      <c r="B795" t="s">
        <v>832</v>
      </c>
      <c r="C795" t="s">
        <v>1045</v>
      </c>
      <c r="D795" t="s">
        <v>1050</v>
      </c>
      <c r="E795">
        <v>2891.64</v>
      </c>
      <c r="F795" s="8">
        <v>45018</v>
      </c>
      <c r="H795" t="str">
        <f>IF(COUNTIF(Customers!$A$2:$A$1001,B795)&gt;0,"Valid","Invalid")</f>
        <v>Valid</v>
      </c>
      <c r="I795" t="str">
        <f t="shared" si="12"/>
        <v>Valid</v>
      </c>
      <c r="K795" t="str">
        <f>VLOOKUP(B795,Customers!A:G,7,FALSE)</f>
        <v>Individual</v>
      </c>
    </row>
    <row r="796" spans="1:11" x14ac:dyDescent="0.25">
      <c r="A796" t="s">
        <v>1845</v>
      </c>
      <c r="B796" t="s">
        <v>833</v>
      </c>
      <c r="C796" t="s">
        <v>1049</v>
      </c>
      <c r="D796" t="s">
        <v>1046</v>
      </c>
      <c r="E796">
        <v>1605.06</v>
      </c>
      <c r="F796" s="8">
        <v>45972</v>
      </c>
      <c r="H796" t="str">
        <f>IF(COUNTIF(Customers!$A$2:$A$1001,B796)&gt;0,"Valid","Invalid")</f>
        <v>Valid</v>
      </c>
      <c r="I796" t="str">
        <f t="shared" si="12"/>
        <v>Valid</v>
      </c>
      <c r="K796" t="str">
        <f>VLOOKUP(B796,Customers!A:G,7,FALSE)</f>
        <v>SME</v>
      </c>
    </row>
    <row r="797" spans="1:11" x14ac:dyDescent="0.25">
      <c r="A797" t="s">
        <v>1846</v>
      </c>
      <c r="B797" t="s">
        <v>834</v>
      </c>
      <c r="C797" t="s">
        <v>1056</v>
      </c>
      <c r="D797" t="s">
        <v>1050</v>
      </c>
      <c r="E797">
        <v>1985.71</v>
      </c>
      <c r="F797" s="8">
        <v>45098</v>
      </c>
      <c r="H797" t="str">
        <f>IF(COUNTIF(Customers!$A$2:$A$1001,B797)&gt;0,"Valid","Invalid")</f>
        <v>Valid</v>
      </c>
      <c r="I797" t="str">
        <f t="shared" si="12"/>
        <v>Valid</v>
      </c>
      <c r="K797" t="str">
        <f>VLOOKUP(B797,Customers!A:G,7,FALSE)</f>
        <v>SME</v>
      </c>
    </row>
    <row r="798" spans="1:11" x14ac:dyDescent="0.25">
      <c r="A798" t="s">
        <v>1847</v>
      </c>
      <c r="B798" t="s">
        <v>835</v>
      </c>
      <c r="C798" t="s">
        <v>1045</v>
      </c>
      <c r="D798" t="s">
        <v>1068</v>
      </c>
      <c r="E798">
        <v>346.44</v>
      </c>
      <c r="F798" s="8">
        <v>46142</v>
      </c>
      <c r="H798" t="str">
        <f>IF(COUNTIF(Customers!$A$2:$A$1001,B798)&gt;0,"Valid","Invalid")</f>
        <v>Valid</v>
      </c>
      <c r="I798" t="str">
        <f t="shared" si="12"/>
        <v>Valid</v>
      </c>
      <c r="K798" t="str">
        <f>VLOOKUP(B798,Customers!A:G,7,FALSE)</f>
        <v>Individual</v>
      </c>
    </row>
    <row r="799" spans="1:11" x14ac:dyDescent="0.25">
      <c r="A799" t="s">
        <v>1848</v>
      </c>
      <c r="B799" t="s">
        <v>836</v>
      </c>
      <c r="C799" t="s">
        <v>17</v>
      </c>
      <c r="D799" t="s">
        <v>1046</v>
      </c>
      <c r="E799">
        <v>638.95000000000005</v>
      </c>
      <c r="F799" s="8">
        <v>46027</v>
      </c>
      <c r="H799" t="str">
        <f>IF(COUNTIF(Customers!$A$2:$A$1001,B799)&gt;0,"Valid","Invalid")</f>
        <v>Valid</v>
      </c>
      <c r="I799" t="str">
        <f t="shared" si="12"/>
        <v>Valid</v>
      </c>
      <c r="K799" t="str">
        <f>VLOOKUP(B799,Customers!A:G,7,FALSE)</f>
        <v>Student</v>
      </c>
    </row>
    <row r="800" spans="1:11" x14ac:dyDescent="0.25">
      <c r="A800" t="s">
        <v>1849</v>
      </c>
      <c r="B800" t="s">
        <v>837</v>
      </c>
      <c r="C800" t="s">
        <v>1045</v>
      </c>
      <c r="D800" t="s">
        <v>1050</v>
      </c>
      <c r="E800">
        <v>5370.17</v>
      </c>
      <c r="F800" s="8">
        <v>45105</v>
      </c>
      <c r="H800" t="str">
        <f>IF(COUNTIF(Customers!$A$2:$A$1001,B800)&gt;0,"Valid","Invalid")</f>
        <v>Valid</v>
      </c>
      <c r="I800" t="str">
        <f t="shared" si="12"/>
        <v>Valid</v>
      </c>
      <c r="K800" t="str">
        <f>VLOOKUP(B800,Customers!A:G,7,FALSE)</f>
        <v>Individual</v>
      </c>
    </row>
    <row r="801" spans="1:11" x14ac:dyDescent="0.25">
      <c r="A801" t="s">
        <v>1850</v>
      </c>
      <c r="B801" t="s">
        <v>838</v>
      </c>
      <c r="C801" t="s">
        <v>1045</v>
      </c>
      <c r="D801" t="s">
        <v>1068</v>
      </c>
      <c r="E801">
        <v>2229.34</v>
      </c>
      <c r="F801" s="8">
        <v>45164</v>
      </c>
      <c r="H801" t="str">
        <f>IF(COUNTIF(Customers!$A$2:$A$1001,B801)&gt;0,"Valid","Invalid")</f>
        <v>Valid</v>
      </c>
      <c r="I801" t="str">
        <f t="shared" si="12"/>
        <v>Valid</v>
      </c>
      <c r="K801" t="str">
        <f>VLOOKUP(B801,Customers!A:G,7,FALSE)</f>
        <v>Individual</v>
      </c>
    </row>
    <row r="802" spans="1:11" x14ac:dyDescent="0.25">
      <c r="A802" t="s">
        <v>1851</v>
      </c>
      <c r="B802" t="s">
        <v>839</v>
      </c>
      <c r="C802" t="s">
        <v>1045</v>
      </c>
      <c r="D802" t="s">
        <v>1050</v>
      </c>
      <c r="E802">
        <v>1213.78</v>
      </c>
      <c r="F802" s="8">
        <v>46085</v>
      </c>
      <c r="H802" t="str">
        <f>IF(COUNTIF(Customers!$A$2:$A$1001,B802)&gt;0,"Valid","Invalid")</f>
        <v>Valid</v>
      </c>
      <c r="I802" t="str">
        <f t="shared" si="12"/>
        <v>Valid</v>
      </c>
      <c r="K802" t="str">
        <f>VLOOKUP(B802,Customers!A:G,7,FALSE)</f>
        <v>Individual</v>
      </c>
    </row>
    <row r="803" spans="1:11" x14ac:dyDescent="0.25">
      <c r="A803" t="s">
        <v>1852</v>
      </c>
      <c r="B803" t="s">
        <v>840</v>
      </c>
      <c r="C803" t="s">
        <v>1049</v>
      </c>
      <c r="D803" t="s">
        <v>1050</v>
      </c>
      <c r="E803">
        <v>2940.02</v>
      </c>
      <c r="F803" s="8">
        <v>45803</v>
      </c>
      <c r="H803" t="str">
        <f>IF(COUNTIF(Customers!$A$2:$A$1001,B803)&gt;0,"Valid","Invalid")</f>
        <v>Valid</v>
      </c>
      <c r="I803" t="str">
        <f t="shared" si="12"/>
        <v>Valid</v>
      </c>
      <c r="K803" t="str">
        <f>VLOOKUP(B803,Customers!A:G,7,FALSE)</f>
        <v>Individual</v>
      </c>
    </row>
    <row r="804" spans="1:11" x14ac:dyDescent="0.25">
      <c r="A804" t="s">
        <v>1853</v>
      </c>
      <c r="B804" t="s">
        <v>841</v>
      </c>
      <c r="C804" t="s">
        <v>1045</v>
      </c>
      <c r="D804" t="s">
        <v>1050</v>
      </c>
      <c r="E804">
        <v>2998.48</v>
      </c>
      <c r="F804" s="8">
        <v>45828</v>
      </c>
      <c r="H804" t="str">
        <f>IF(COUNTIF(Customers!$A$2:$A$1001,B804)&gt;0,"Valid","Invalid")</f>
        <v>Valid</v>
      </c>
      <c r="I804" t="str">
        <f t="shared" si="12"/>
        <v>Valid</v>
      </c>
      <c r="K804" t="str">
        <f>VLOOKUP(B804,Customers!A:G,7,FALSE)</f>
        <v>Corporate</v>
      </c>
    </row>
    <row r="805" spans="1:11" x14ac:dyDescent="0.25">
      <c r="A805" t="s">
        <v>1854</v>
      </c>
      <c r="B805" t="s">
        <v>842</v>
      </c>
      <c r="C805" t="s">
        <v>1045</v>
      </c>
      <c r="D805" t="s">
        <v>1050</v>
      </c>
      <c r="E805">
        <v>13238.63</v>
      </c>
      <c r="F805" s="8">
        <v>45206</v>
      </c>
      <c r="H805" t="str">
        <f>IF(COUNTIF(Customers!$A$2:$A$1001,B805)&gt;0,"Valid","Invalid")</f>
        <v>Valid</v>
      </c>
      <c r="I805" t="str">
        <f t="shared" si="12"/>
        <v>Valid</v>
      </c>
      <c r="K805" t="str">
        <f>VLOOKUP(B805,Customers!A:G,7,FALSE)</f>
        <v>Individual</v>
      </c>
    </row>
    <row r="806" spans="1:11" x14ac:dyDescent="0.25">
      <c r="A806" t="s">
        <v>1855</v>
      </c>
      <c r="B806" t="s">
        <v>843</v>
      </c>
      <c r="C806" t="s">
        <v>1045</v>
      </c>
      <c r="D806" t="s">
        <v>1073</v>
      </c>
      <c r="E806">
        <v>2128.27</v>
      </c>
      <c r="F806" s="8">
        <v>45969</v>
      </c>
      <c r="H806" t="str">
        <f>IF(COUNTIF(Customers!$A$2:$A$1001,B806)&gt;0,"Valid","Invalid")</f>
        <v>Valid</v>
      </c>
      <c r="I806" t="str">
        <f t="shared" si="12"/>
        <v>Valid</v>
      </c>
      <c r="K806" t="str">
        <f>VLOOKUP(B806,Customers!A:G,7,FALSE)</f>
        <v>Individual</v>
      </c>
    </row>
    <row r="807" spans="1:11" x14ac:dyDescent="0.25">
      <c r="A807" t="s">
        <v>1856</v>
      </c>
      <c r="B807" t="s">
        <v>844</v>
      </c>
      <c r="C807" t="s">
        <v>1045</v>
      </c>
      <c r="D807" t="s">
        <v>1050</v>
      </c>
      <c r="E807">
        <v>624.84</v>
      </c>
      <c r="F807" s="8">
        <v>45666</v>
      </c>
      <c r="H807" t="str">
        <f>IF(COUNTIF(Customers!$A$2:$A$1001,B807)&gt;0,"Valid","Invalid")</f>
        <v>Valid</v>
      </c>
      <c r="I807" t="str">
        <f t="shared" si="12"/>
        <v>Valid</v>
      </c>
      <c r="K807" t="str">
        <f>VLOOKUP(B807,Customers!A:G,7,FALSE)</f>
        <v>Individual</v>
      </c>
    </row>
    <row r="808" spans="1:11" x14ac:dyDescent="0.25">
      <c r="A808" t="s">
        <v>1857</v>
      </c>
      <c r="B808" t="s">
        <v>845</v>
      </c>
      <c r="C808" t="s">
        <v>1049</v>
      </c>
      <c r="D808" t="s">
        <v>1050</v>
      </c>
      <c r="E808">
        <v>1610.51</v>
      </c>
      <c r="F808" s="8">
        <v>45297</v>
      </c>
      <c r="H808" t="str">
        <f>IF(COUNTIF(Customers!$A$2:$A$1001,B808)&gt;0,"Valid","Invalid")</f>
        <v>Valid</v>
      </c>
      <c r="I808" t="str">
        <f t="shared" si="12"/>
        <v>Valid</v>
      </c>
      <c r="K808" t="str">
        <f>VLOOKUP(B808,Customers!A:G,7,FALSE)</f>
        <v>Individual</v>
      </c>
    </row>
    <row r="809" spans="1:11" x14ac:dyDescent="0.25">
      <c r="A809" t="s">
        <v>1858</v>
      </c>
      <c r="B809" t="s">
        <v>846</v>
      </c>
      <c r="C809" t="s">
        <v>1045</v>
      </c>
      <c r="D809" t="s">
        <v>1050</v>
      </c>
      <c r="E809">
        <v>3319.49</v>
      </c>
      <c r="F809" s="8">
        <v>46062</v>
      </c>
      <c r="H809" t="str">
        <f>IF(COUNTIF(Customers!$A$2:$A$1001,B809)&gt;0,"Valid","Invalid")</f>
        <v>Valid</v>
      </c>
      <c r="I809" t="str">
        <f t="shared" si="12"/>
        <v>Valid</v>
      </c>
      <c r="K809" t="str">
        <f>VLOOKUP(B809,Customers!A:G,7,FALSE)</f>
        <v>Individual</v>
      </c>
    </row>
    <row r="810" spans="1:11" x14ac:dyDescent="0.25">
      <c r="A810" t="s">
        <v>1859</v>
      </c>
      <c r="B810" t="s">
        <v>847</v>
      </c>
      <c r="C810" t="s">
        <v>1045</v>
      </c>
      <c r="D810" t="s">
        <v>1050</v>
      </c>
      <c r="E810">
        <v>4893.4799999999996</v>
      </c>
      <c r="F810" s="8">
        <v>45796</v>
      </c>
      <c r="H810" t="str">
        <f>IF(COUNTIF(Customers!$A$2:$A$1001,B810)&gt;0,"Valid","Invalid")</f>
        <v>Valid</v>
      </c>
      <c r="I810" t="str">
        <f t="shared" si="12"/>
        <v>Valid</v>
      </c>
      <c r="K810" t="str">
        <f>VLOOKUP(B810,Customers!A:G,7,FALSE)</f>
        <v>Individual</v>
      </c>
    </row>
    <row r="811" spans="1:11" x14ac:dyDescent="0.25">
      <c r="A811" t="s">
        <v>1860</v>
      </c>
      <c r="B811" t="s">
        <v>848</v>
      </c>
      <c r="C811" t="s">
        <v>1045</v>
      </c>
      <c r="D811" t="s">
        <v>1050</v>
      </c>
      <c r="E811">
        <v>359.59</v>
      </c>
      <c r="F811" s="8">
        <v>45945</v>
      </c>
      <c r="H811" t="str">
        <f>IF(COUNTIF(Customers!$A$2:$A$1001,B811)&gt;0,"Valid","Invalid")</f>
        <v>Valid</v>
      </c>
      <c r="I811" t="str">
        <f t="shared" si="12"/>
        <v>Valid</v>
      </c>
      <c r="K811" t="str">
        <f>VLOOKUP(B811,Customers!A:G,7,FALSE)</f>
        <v>Individual</v>
      </c>
    </row>
    <row r="812" spans="1:11" x14ac:dyDescent="0.25">
      <c r="A812" t="s">
        <v>1861</v>
      </c>
      <c r="B812" t="s">
        <v>849</v>
      </c>
      <c r="C812" t="s">
        <v>1045</v>
      </c>
      <c r="D812" t="s">
        <v>1050</v>
      </c>
      <c r="E812">
        <v>2330.19</v>
      </c>
      <c r="F812" s="8">
        <v>45147</v>
      </c>
      <c r="H812" t="str">
        <f>IF(COUNTIF(Customers!$A$2:$A$1001,B812)&gt;0,"Valid","Invalid")</f>
        <v>Valid</v>
      </c>
      <c r="I812" t="str">
        <f t="shared" si="12"/>
        <v>Valid</v>
      </c>
      <c r="K812" t="str">
        <f>VLOOKUP(B812,Customers!A:G,7,FALSE)</f>
        <v>Individual</v>
      </c>
    </row>
    <row r="813" spans="1:11" x14ac:dyDescent="0.25">
      <c r="A813" t="s">
        <v>1862</v>
      </c>
      <c r="B813" t="s">
        <v>850</v>
      </c>
      <c r="C813" t="s">
        <v>17</v>
      </c>
      <c r="D813" t="s">
        <v>1046</v>
      </c>
      <c r="E813">
        <v>737.12</v>
      </c>
      <c r="F813" s="8">
        <v>45846</v>
      </c>
      <c r="H813" t="str">
        <f>IF(COUNTIF(Customers!$A$2:$A$1001,B813)&gt;0,"Valid","Invalid")</f>
        <v>Valid</v>
      </c>
      <c r="I813" t="str">
        <f t="shared" si="12"/>
        <v>Valid</v>
      </c>
      <c r="K813" t="str">
        <f>VLOOKUP(B813,Customers!A:G,7,FALSE)</f>
        <v>Individual</v>
      </c>
    </row>
    <row r="814" spans="1:11" x14ac:dyDescent="0.25">
      <c r="A814" t="s">
        <v>1863</v>
      </c>
      <c r="B814" t="s">
        <v>851</v>
      </c>
      <c r="C814" t="s">
        <v>1045</v>
      </c>
      <c r="D814" t="s">
        <v>1050</v>
      </c>
      <c r="E814">
        <v>1025.94</v>
      </c>
      <c r="F814" s="8">
        <v>45230</v>
      </c>
      <c r="H814" t="str">
        <f>IF(COUNTIF(Customers!$A$2:$A$1001,B814)&gt;0,"Valid","Invalid")</f>
        <v>Valid</v>
      </c>
      <c r="I814" t="str">
        <f t="shared" si="12"/>
        <v>Valid</v>
      </c>
      <c r="K814" t="str">
        <f>VLOOKUP(B814,Customers!A:G,7,FALSE)</f>
        <v>Individual</v>
      </c>
    </row>
    <row r="815" spans="1:11" x14ac:dyDescent="0.25">
      <c r="A815" t="s">
        <v>1864</v>
      </c>
      <c r="B815" t="s">
        <v>852</v>
      </c>
      <c r="C815" t="s">
        <v>17</v>
      </c>
      <c r="D815" t="s">
        <v>1046</v>
      </c>
      <c r="E815">
        <v>4212.62</v>
      </c>
      <c r="F815" s="8">
        <v>45364</v>
      </c>
      <c r="H815" t="str">
        <f>IF(COUNTIF(Customers!$A$2:$A$1001,B815)&gt;0,"Valid","Invalid")</f>
        <v>Valid</v>
      </c>
      <c r="I815" t="str">
        <f t="shared" si="12"/>
        <v>Valid</v>
      </c>
      <c r="K815" t="str">
        <f>VLOOKUP(B815,Customers!A:G,7,FALSE)</f>
        <v>SME</v>
      </c>
    </row>
    <row r="816" spans="1:11" x14ac:dyDescent="0.25">
      <c r="A816" t="s">
        <v>1865</v>
      </c>
      <c r="B816" t="s">
        <v>853</v>
      </c>
      <c r="C816" t="s">
        <v>1045</v>
      </c>
      <c r="D816" t="s">
        <v>1050</v>
      </c>
      <c r="E816">
        <v>3813.29</v>
      </c>
      <c r="F816" s="8">
        <v>46120</v>
      </c>
      <c r="H816" t="str">
        <f>IF(COUNTIF(Customers!$A$2:$A$1001,B816)&gt;0,"Valid","Invalid")</f>
        <v>Valid</v>
      </c>
      <c r="I816" t="str">
        <f t="shared" si="12"/>
        <v>Valid</v>
      </c>
      <c r="K816" t="str">
        <f>VLOOKUP(B816,Customers!A:G,7,FALSE)</f>
        <v>Individual</v>
      </c>
    </row>
    <row r="817" spans="1:11" x14ac:dyDescent="0.25">
      <c r="A817" t="s">
        <v>1866</v>
      </c>
      <c r="B817" t="s">
        <v>854</v>
      </c>
      <c r="C817" t="s">
        <v>1045</v>
      </c>
      <c r="D817" t="s">
        <v>1046</v>
      </c>
      <c r="E817">
        <v>917.68</v>
      </c>
      <c r="F817" s="8">
        <v>45301</v>
      </c>
      <c r="H817" t="str">
        <f>IF(COUNTIF(Customers!$A$2:$A$1001,B817)&gt;0,"Valid","Invalid")</f>
        <v>Valid</v>
      </c>
      <c r="I817" t="str">
        <f t="shared" si="12"/>
        <v>Valid</v>
      </c>
      <c r="K817" t="str">
        <f>VLOOKUP(B817,Customers!A:G,7,FALSE)</f>
        <v>Individual</v>
      </c>
    </row>
    <row r="818" spans="1:11" x14ac:dyDescent="0.25">
      <c r="A818" t="s">
        <v>1867</v>
      </c>
      <c r="B818" t="s">
        <v>855</v>
      </c>
      <c r="C818" t="s">
        <v>1049</v>
      </c>
      <c r="D818" t="s">
        <v>1046</v>
      </c>
      <c r="E818">
        <v>1544.04</v>
      </c>
      <c r="F818" s="8">
        <v>45307</v>
      </c>
      <c r="H818" t="str">
        <f>IF(COUNTIF(Customers!$A$2:$A$1001,B818)&gt;0,"Valid","Invalid")</f>
        <v>Valid</v>
      </c>
      <c r="I818" t="str">
        <f t="shared" si="12"/>
        <v>Valid</v>
      </c>
      <c r="K818" t="str">
        <f>VLOOKUP(B818,Customers!A:G,7,FALSE)</f>
        <v>SME</v>
      </c>
    </row>
    <row r="819" spans="1:11" x14ac:dyDescent="0.25">
      <c r="A819" t="s">
        <v>1868</v>
      </c>
      <c r="B819" t="s">
        <v>856</v>
      </c>
      <c r="C819" t="s">
        <v>1045</v>
      </c>
      <c r="D819" t="s">
        <v>1050</v>
      </c>
      <c r="E819">
        <v>1057.77</v>
      </c>
      <c r="F819" s="8">
        <v>45912</v>
      </c>
      <c r="H819" t="str">
        <f>IF(COUNTIF(Customers!$A$2:$A$1001,B819)&gt;0,"Valid","Invalid")</f>
        <v>Valid</v>
      </c>
      <c r="I819" t="str">
        <f t="shared" si="12"/>
        <v>Valid</v>
      </c>
      <c r="K819" t="str">
        <f>VLOOKUP(B819,Customers!A:G,7,FALSE)</f>
        <v>Individual</v>
      </c>
    </row>
    <row r="820" spans="1:11" x14ac:dyDescent="0.25">
      <c r="A820" t="s">
        <v>1869</v>
      </c>
      <c r="B820" t="s">
        <v>857</v>
      </c>
      <c r="C820" t="s">
        <v>1056</v>
      </c>
      <c r="D820" t="s">
        <v>1050</v>
      </c>
      <c r="E820">
        <v>32588.12</v>
      </c>
      <c r="F820" s="8">
        <v>44940</v>
      </c>
      <c r="H820" t="str">
        <f>IF(COUNTIF(Customers!$A$2:$A$1001,B820)&gt;0,"Valid","Invalid")</f>
        <v>Valid</v>
      </c>
      <c r="I820" t="str">
        <f t="shared" si="12"/>
        <v>Valid</v>
      </c>
      <c r="K820" t="str">
        <f>VLOOKUP(B820,Customers!A:G,7,FALSE)</f>
        <v>Student</v>
      </c>
    </row>
    <row r="821" spans="1:11" x14ac:dyDescent="0.25">
      <c r="A821" t="s">
        <v>1870</v>
      </c>
      <c r="B821" t="s">
        <v>858</v>
      </c>
      <c r="C821" t="s">
        <v>17</v>
      </c>
      <c r="D821" t="s">
        <v>1073</v>
      </c>
      <c r="E821">
        <v>2388.35</v>
      </c>
      <c r="F821" s="8">
        <v>45669</v>
      </c>
      <c r="H821" t="str">
        <f>IF(COUNTIF(Customers!$A$2:$A$1001,B821)&gt;0,"Valid","Invalid")</f>
        <v>Valid</v>
      </c>
      <c r="I821" t="str">
        <f t="shared" si="12"/>
        <v>Valid</v>
      </c>
      <c r="K821" t="str">
        <f>VLOOKUP(B821,Customers!A:G,7,FALSE)</f>
        <v>SME</v>
      </c>
    </row>
    <row r="822" spans="1:11" x14ac:dyDescent="0.25">
      <c r="A822" t="s">
        <v>1871</v>
      </c>
      <c r="B822" t="s">
        <v>859</v>
      </c>
      <c r="C822" t="s">
        <v>1045</v>
      </c>
      <c r="D822" t="s">
        <v>1050</v>
      </c>
      <c r="E822">
        <v>780.96</v>
      </c>
      <c r="F822" s="8">
        <v>45595</v>
      </c>
      <c r="H822" t="str">
        <f>IF(COUNTIF(Customers!$A$2:$A$1001,B822)&gt;0,"Valid","Invalid")</f>
        <v>Valid</v>
      </c>
      <c r="I822" t="str">
        <f t="shared" si="12"/>
        <v>Valid</v>
      </c>
      <c r="K822" t="str">
        <f>VLOOKUP(B822,Customers!A:G,7,FALSE)</f>
        <v>Individual</v>
      </c>
    </row>
    <row r="823" spans="1:11" x14ac:dyDescent="0.25">
      <c r="A823" t="s">
        <v>1872</v>
      </c>
      <c r="B823" t="s">
        <v>860</v>
      </c>
      <c r="C823" t="s">
        <v>1045</v>
      </c>
      <c r="D823" t="s">
        <v>1068</v>
      </c>
      <c r="E823">
        <v>6782.95</v>
      </c>
      <c r="F823" s="8">
        <v>45426</v>
      </c>
      <c r="H823" t="str">
        <f>IF(COUNTIF(Customers!$A$2:$A$1001,B823)&gt;0,"Valid","Invalid")</f>
        <v>Valid</v>
      </c>
      <c r="I823" t="str">
        <f t="shared" si="12"/>
        <v>Valid</v>
      </c>
      <c r="K823" t="str">
        <f>VLOOKUP(B823,Customers!A:G,7,FALSE)</f>
        <v>Individual</v>
      </c>
    </row>
    <row r="824" spans="1:11" x14ac:dyDescent="0.25">
      <c r="A824" t="s">
        <v>1873</v>
      </c>
      <c r="B824" t="s">
        <v>861</v>
      </c>
      <c r="C824" t="s">
        <v>1049</v>
      </c>
      <c r="D824" t="s">
        <v>1050</v>
      </c>
      <c r="E824">
        <v>7026.62</v>
      </c>
      <c r="F824" s="8">
        <v>45491</v>
      </c>
      <c r="H824" t="str">
        <f>IF(COUNTIF(Customers!$A$2:$A$1001,B824)&gt;0,"Valid","Invalid")</f>
        <v>Valid</v>
      </c>
      <c r="I824" t="str">
        <f t="shared" si="12"/>
        <v>Valid</v>
      </c>
      <c r="K824" t="str">
        <f>VLOOKUP(B824,Customers!A:G,7,FALSE)</f>
        <v>SME</v>
      </c>
    </row>
    <row r="825" spans="1:11" x14ac:dyDescent="0.25">
      <c r="A825" t="s">
        <v>1874</v>
      </c>
      <c r="B825" t="s">
        <v>862</v>
      </c>
      <c r="C825" t="s">
        <v>1045</v>
      </c>
      <c r="D825" t="s">
        <v>1050</v>
      </c>
      <c r="E825">
        <v>10847.29</v>
      </c>
      <c r="F825" s="8">
        <v>45456</v>
      </c>
      <c r="H825" t="str">
        <f>IF(COUNTIF(Customers!$A$2:$A$1001,B825)&gt;0,"Valid","Invalid")</f>
        <v>Valid</v>
      </c>
      <c r="I825" t="str">
        <f t="shared" si="12"/>
        <v>Valid</v>
      </c>
      <c r="K825" t="str">
        <f>VLOOKUP(B825,Customers!A:G,7,FALSE)</f>
        <v>SME</v>
      </c>
    </row>
    <row r="826" spans="1:11" x14ac:dyDescent="0.25">
      <c r="A826" t="s">
        <v>1875</v>
      </c>
      <c r="B826" t="s">
        <v>863</v>
      </c>
      <c r="C826" t="s">
        <v>1045</v>
      </c>
      <c r="D826" t="s">
        <v>1050</v>
      </c>
      <c r="E826">
        <v>14588.57</v>
      </c>
      <c r="F826" s="8">
        <v>45418</v>
      </c>
      <c r="H826" t="str">
        <f>IF(COUNTIF(Customers!$A$2:$A$1001,B826)&gt;0,"Valid","Invalid")</f>
        <v>Valid</v>
      </c>
      <c r="I826" t="str">
        <f t="shared" si="12"/>
        <v>Valid</v>
      </c>
      <c r="K826" t="str">
        <f>VLOOKUP(B826,Customers!A:G,7,FALSE)</f>
        <v>Corporate</v>
      </c>
    </row>
    <row r="827" spans="1:11" x14ac:dyDescent="0.25">
      <c r="A827" t="s">
        <v>1876</v>
      </c>
      <c r="B827" t="s">
        <v>864</v>
      </c>
      <c r="C827" t="s">
        <v>1045</v>
      </c>
      <c r="D827" t="s">
        <v>1068</v>
      </c>
      <c r="E827">
        <v>3669.15</v>
      </c>
      <c r="F827" s="8">
        <v>46146</v>
      </c>
      <c r="H827" t="str">
        <f>IF(COUNTIF(Customers!$A$2:$A$1001,B827)&gt;0,"Valid","Invalid")</f>
        <v>Valid</v>
      </c>
      <c r="I827" t="str">
        <f t="shared" si="12"/>
        <v>Valid</v>
      </c>
      <c r="K827" t="str">
        <f>VLOOKUP(B827,Customers!A:G,7,FALSE)</f>
        <v>Individual</v>
      </c>
    </row>
    <row r="828" spans="1:11" x14ac:dyDescent="0.25">
      <c r="A828" t="s">
        <v>1877</v>
      </c>
      <c r="B828" t="s">
        <v>865</v>
      </c>
      <c r="C828" t="s">
        <v>1045</v>
      </c>
      <c r="D828" t="s">
        <v>1050</v>
      </c>
      <c r="E828">
        <v>1274.29</v>
      </c>
      <c r="F828" s="8">
        <v>45681</v>
      </c>
      <c r="H828" t="str">
        <f>IF(COUNTIF(Customers!$A$2:$A$1001,B828)&gt;0,"Valid","Invalid")</f>
        <v>Valid</v>
      </c>
      <c r="I828" t="str">
        <f t="shared" si="12"/>
        <v>Valid</v>
      </c>
      <c r="K828" t="str">
        <f>VLOOKUP(B828,Customers!A:G,7,FALSE)</f>
        <v>Individual</v>
      </c>
    </row>
    <row r="829" spans="1:11" x14ac:dyDescent="0.25">
      <c r="A829" t="s">
        <v>1878</v>
      </c>
      <c r="B829" t="s">
        <v>866</v>
      </c>
      <c r="C829" t="s">
        <v>1049</v>
      </c>
      <c r="D829" t="s">
        <v>1073</v>
      </c>
      <c r="E829">
        <v>1476.43</v>
      </c>
      <c r="F829" s="8">
        <v>45226</v>
      </c>
      <c r="H829" t="str">
        <f>IF(COUNTIF(Customers!$A$2:$A$1001,B829)&gt;0,"Valid","Invalid")</f>
        <v>Valid</v>
      </c>
      <c r="I829" t="str">
        <f t="shared" si="12"/>
        <v>Valid</v>
      </c>
      <c r="K829" t="str">
        <f>VLOOKUP(B829,Customers!A:G,7,FALSE)</f>
        <v>Individual</v>
      </c>
    </row>
    <row r="830" spans="1:11" x14ac:dyDescent="0.25">
      <c r="A830" t="s">
        <v>1879</v>
      </c>
      <c r="B830" t="s">
        <v>867</v>
      </c>
      <c r="C830" t="s">
        <v>1045</v>
      </c>
      <c r="D830" t="s">
        <v>1073</v>
      </c>
      <c r="E830">
        <v>1350.09</v>
      </c>
      <c r="F830" s="8">
        <v>45741</v>
      </c>
      <c r="H830" t="str">
        <f>IF(COUNTIF(Customers!$A$2:$A$1001,B830)&gt;0,"Valid","Invalid")</f>
        <v>Valid</v>
      </c>
      <c r="I830" t="str">
        <f t="shared" si="12"/>
        <v>Valid</v>
      </c>
      <c r="K830" t="str">
        <f>VLOOKUP(B830,Customers!A:G,7,FALSE)</f>
        <v>Individual</v>
      </c>
    </row>
    <row r="831" spans="1:11" x14ac:dyDescent="0.25">
      <c r="A831" t="s">
        <v>1880</v>
      </c>
      <c r="B831" t="s">
        <v>868</v>
      </c>
      <c r="C831" t="s">
        <v>1045</v>
      </c>
      <c r="D831" t="s">
        <v>1050</v>
      </c>
      <c r="E831">
        <v>1207.42</v>
      </c>
      <c r="F831" s="8">
        <v>45473</v>
      </c>
      <c r="H831" t="str">
        <f>IF(COUNTIF(Customers!$A$2:$A$1001,B831)&gt;0,"Valid","Invalid")</f>
        <v>Valid</v>
      </c>
      <c r="I831" t="str">
        <f t="shared" si="12"/>
        <v>Valid</v>
      </c>
      <c r="K831" t="str">
        <f>VLOOKUP(B831,Customers!A:G,7,FALSE)</f>
        <v>Individual</v>
      </c>
    </row>
    <row r="832" spans="1:11" x14ac:dyDescent="0.25">
      <c r="A832" t="s">
        <v>1881</v>
      </c>
      <c r="B832" t="s">
        <v>869</v>
      </c>
      <c r="C832" t="s">
        <v>1056</v>
      </c>
      <c r="D832" t="s">
        <v>1050</v>
      </c>
      <c r="E832">
        <v>6247.5</v>
      </c>
      <c r="F832" s="8">
        <v>45653</v>
      </c>
      <c r="H832" t="str">
        <f>IF(COUNTIF(Customers!$A$2:$A$1001,B832)&gt;0,"Valid","Invalid")</f>
        <v>Valid</v>
      </c>
      <c r="I832" t="str">
        <f t="shared" si="12"/>
        <v>Valid</v>
      </c>
      <c r="K832" t="str">
        <f>VLOOKUP(B832,Customers!A:G,7,FALSE)</f>
        <v>Individual</v>
      </c>
    </row>
    <row r="833" spans="1:11" x14ac:dyDescent="0.25">
      <c r="A833" t="s">
        <v>1882</v>
      </c>
      <c r="B833" t="s">
        <v>870</v>
      </c>
      <c r="C833" t="s">
        <v>1045</v>
      </c>
      <c r="D833" t="s">
        <v>1046</v>
      </c>
      <c r="E833">
        <v>1809.35</v>
      </c>
      <c r="F833" s="8">
        <v>45657</v>
      </c>
      <c r="H833" t="str">
        <f>IF(COUNTIF(Customers!$A$2:$A$1001,B833)&gt;0,"Valid","Invalid")</f>
        <v>Valid</v>
      </c>
      <c r="I833" t="str">
        <f t="shared" si="12"/>
        <v>Valid</v>
      </c>
      <c r="K833" t="str">
        <f>VLOOKUP(B833,Customers!A:G,7,FALSE)</f>
        <v>SME</v>
      </c>
    </row>
    <row r="834" spans="1:11" x14ac:dyDescent="0.25">
      <c r="A834" t="s">
        <v>1883</v>
      </c>
      <c r="B834" t="s">
        <v>871</v>
      </c>
      <c r="C834" t="s">
        <v>1045</v>
      </c>
      <c r="D834" t="s">
        <v>1050</v>
      </c>
      <c r="E834">
        <v>4776.3</v>
      </c>
      <c r="F834" s="8">
        <v>45754</v>
      </c>
      <c r="H834" t="str">
        <f>IF(COUNTIF(Customers!$A$2:$A$1001,B834)&gt;0,"Valid","Invalid")</f>
        <v>Valid</v>
      </c>
      <c r="I834" t="str">
        <f t="shared" si="12"/>
        <v>Valid</v>
      </c>
      <c r="K834" t="str">
        <f>VLOOKUP(B834,Customers!A:G,7,FALSE)</f>
        <v>Individual</v>
      </c>
    </row>
    <row r="835" spans="1:11" x14ac:dyDescent="0.25">
      <c r="A835" t="s">
        <v>1884</v>
      </c>
      <c r="B835" t="s">
        <v>872</v>
      </c>
      <c r="C835" t="s">
        <v>1049</v>
      </c>
      <c r="D835" t="s">
        <v>1046</v>
      </c>
      <c r="E835">
        <v>3556.44</v>
      </c>
      <c r="F835" s="8">
        <v>45528</v>
      </c>
      <c r="H835" t="str">
        <f>IF(COUNTIF(Customers!$A$2:$A$1001,B835)&gt;0,"Valid","Invalid")</f>
        <v>Valid</v>
      </c>
      <c r="I835" t="str">
        <f t="shared" ref="I835:I898" si="13">IF(OR(C835="Savings",C835="Current",C835="Business",C835="Student"),"Valid","Check")</f>
        <v>Valid</v>
      </c>
      <c r="K835" t="str">
        <f>VLOOKUP(B835,Customers!A:G,7,FALSE)</f>
        <v>Individual</v>
      </c>
    </row>
    <row r="836" spans="1:11" x14ac:dyDescent="0.25">
      <c r="A836" t="s">
        <v>1885</v>
      </c>
      <c r="B836" t="s">
        <v>873</v>
      </c>
      <c r="C836" t="s">
        <v>1045</v>
      </c>
      <c r="D836" t="s">
        <v>1050</v>
      </c>
      <c r="E836">
        <v>602.66</v>
      </c>
      <c r="F836" s="8">
        <v>46202</v>
      </c>
      <c r="H836" t="str">
        <f>IF(COUNTIF(Customers!$A$2:$A$1001,B836)&gt;0,"Valid","Invalid")</f>
        <v>Valid</v>
      </c>
      <c r="I836" t="str">
        <f t="shared" si="13"/>
        <v>Valid</v>
      </c>
      <c r="K836" t="str">
        <f>VLOOKUP(B836,Customers!A:G,7,FALSE)</f>
        <v>Individual</v>
      </c>
    </row>
    <row r="837" spans="1:11" x14ac:dyDescent="0.25">
      <c r="A837" t="s">
        <v>1886</v>
      </c>
      <c r="B837" t="s">
        <v>874</v>
      </c>
      <c r="C837" t="s">
        <v>1049</v>
      </c>
      <c r="D837" t="s">
        <v>1050</v>
      </c>
      <c r="E837">
        <v>324.67</v>
      </c>
      <c r="F837" s="8">
        <v>45958</v>
      </c>
      <c r="H837" t="str">
        <f>IF(COUNTIF(Customers!$A$2:$A$1001,B837)&gt;0,"Valid","Invalid")</f>
        <v>Valid</v>
      </c>
      <c r="I837" t="str">
        <f t="shared" si="13"/>
        <v>Valid</v>
      </c>
      <c r="K837" t="str">
        <f>VLOOKUP(B837,Customers!A:G,7,FALSE)</f>
        <v>Student</v>
      </c>
    </row>
    <row r="838" spans="1:11" x14ac:dyDescent="0.25">
      <c r="A838" t="s">
        <v>1887</v>
      </c>
      <c r="B838" t="s">
        <v>875</v>
      </c>
      <c r="C838" t="s">
        <v>1049</v>
      </c>
      <c r="D838" t="s">
        <v>1046</v>
      </c>
      <c r="E838">
        <v>524.97</v>
      </c>
      <c r="F838" s="8">
        <v>45694</v>
      </c>
      <c r="H838" t="str">
        <f>IF(COUNTIF(Customers!$A$2:$A$1001,B838)&gt;0,"Valid","Invalid")</f>
        <v>Valid</v>
      </c>
      <c r="I838" t="str">
        <f t="shared" si="13"/>
        <v>Valid</v>
      </c>
      <c r="K838" t="str">
        <f>VLOOKUP(B838,Customers!A:G,7,FALSE)</f>
        <v>Student</v>
      </c>
    </row>
    <row r="839" spans="1:11" x14ac:dyDescent="0.25">
      <c r="A839" t="s">
        <v>1888</v>
      </c>
      <c r="B839" t="s">
        <v>876</v>
      </c>
      <c r="C839" t="s">
        <v>1045</v>
      </c>
      <c r="D839" t="s">
        <v>1050</v>
      </c>
      <c r="E839">
        <v>1180.03</v>
      </c>
      <c r="F839" s="8">
        <v>45801</v>
      </c>
      <c r="H839" t="str">
        <f>IF(COUNTIF(Customers!$A$2:$A$1001,B839)&gt;0,"Valid","Invalid")</f>
        <v>Valid</v>
      </c>
      <c r="I839" t="str">
        <f t="shared" si="13"/>
        <v>Valid</v>
      </c>
      <c r="K839" t="str">
        <f>VLOOKUP(B839,Customers!A:G,7,FALSE)</f>
        <v>Individual</v>
      </c>
    </row>
    <row r="840" spans="1:11" x14ac:dyDescent="0.25">
      <c r="A840" t="s">
        <v>1889</v>
      </c>
      <c r="B840" t="s">
        <v>877</v>
      </c>
      <c r="C840" t="s">
        <v>1056</v>
      </c>
      <c r="D840" t="s">
        <v>1050</v>
      </c>
      <c r="E840">
        <v>2067.98</v>
      </c>
      <c r="F840" s="8">
        <v>46158</v>
      </c>
      <c r="H840" t="str">
        <f>IF(COUNTIF(Customers!$A$2:$A$1001,B840)&gt;0,"Valid","Invalid")</f>
        <v>Valid</v>
      </c>
      <c r="I840" t="str">
        <f t="shared" si="13"/>
        <v>Valid</v>
      </c>
      <c r="K840" t="str">
        <f>VLOOKUP(B840,Customers!A:G,7,FALSE)</f>
        <v>Student</v>
      </c>
    </row>
    <row r="841" spans="1:11" x14ac:dyDescent="0.25">
      <c r="A841" t="s">
        <v>1890</v>
      </c>
      <c r="B841" t="s">
        <v>878</v>
      </c>
      <c r="C841" t="s">
        <v>1045</v>
      </c>
      <c r="D841" t="s">
        <v>1050</v>
      </c>
      <c r="E841">
        <v>945.49</v>
      </c>
      <c r="F841" s="8">
        <v>45863</v>
      </c>
      <c r="H841" t="str">
        <f>IF(COUNTIF(Customers!$A$2:$A$1001,B841)&gt;0,"Valid","Invalid")</f>
        <v>Valid</v>
      </c>
      <c r="I841" t="str">
        <f t="shared" si="13"/>
        <v>Valid</v>
      </c>
      <c r="K841" t="str">
        <f>VLOOKUP(B841,Customers!A:G,7,FALSE)</f>
        <v>Individual</v>
      </c>
    </row>
    <row r="842" spans="1:11" x14ac:dyDescent="0.25">
      <c r="A842" t="s">
        <v>1891</v>
      </c>
      <c r="B842" t="s">
        <v>879</v>
      </c>
      <c r="C842" t="s">
        <v>1045</v>
      </c>
      <c r="D842" t="s">
        <v>1050</v>
      </c>
      <c r="E842">
        <v>3652.13</v>
      </c>
      <c r="F842" s="8">
        <v>45057</v>
      </c>
      <c r="H842" t="str">
        <f>IF(COUNTIF(Customers!$A$2:$A$1001,B842)&gt;0,"Valid","Invalid")</f>
        <v>Valid</v>
      </c>
      <c r="I842" t="str">
        <f t="shared" si="13"/>
        <v>Valid</v>
      </c>
      <c r="K842" t="str">
        <f>VLOOKUP(B842,Customers!A:G,7,FALSE)</f>
        <v>SME</v>
      </c>
    </row>
    <row r="843" spans="1:11" x14ac:dyDescent="0.25">
      <c r="A843" t="s">
        <v>1892</v>
      </c>
      <c r="B843" t="s">
        <v>880</v>
      </c>
      <c r="C843" t="s">
        <v>1049</v>
      </c>
      <c r="D843" t="s">
        <v>1050</v>
      </c>
      <c r="E843">
        <v>1066.69</v>
      </c>
      <c r="F843" s="8">
        <v>45534</v>
      </c>
      <c r="H843" t="str">
        <f>IF(COUNTIF(Customers!$A$2:$A$1001,B843)&gt;0,"Valid","Invalid")</f>
        <v>Valid</v>
      </c>
      <c r="I843" t="str">
        <f t="shared" si="13"/>
        <v>Valid</v>
      </c>
      <c r="K843" t="str">
        <f>VLOOKUP(B843,Customers!A:G,7,FALSE)</f>
        <v>SME</v>
      </c>
    </row>
    <row r="844" spans="1:11" x14ac:dyDescent="0.25">
      <c r="A844" t="s">
        <v>1893</v>
      </c>
      <c r="B844" t="s">
        <v>881</v>
      </c>
      <c r="C844" t="s">
        <v>1049</v>
      </c>
      <c r="D844" t="s">
        <v>1046</v>
      </c>
      <c r="E844">
        <v>2337.7800000000002</v>
      </c>
      <c r="F844" s="8">
        <v>44952</v>
      </c>
      <c r="H844" t="str">
        <f>IF(COUNTIF(Customers!$A$2:$A$1001,B844)&gt;0,"Valid","Invalid")</f>
        <v>Valid</v>
      </c>
      <c r="I844" t="str">
        <f t="shared" si="13"/>
        <v>Valid</v>
      </c>
      <c r="K844" t="str">
        <f>VLOOKUP(B844,Customers!A:G,7,FALSE)</f>
        <v>Individual</v>
      </c>
    </row>
    <row r="845" spans="1:11" x14ac:dyDescent="0.25">
      <c r="A845" t="s">
        <v>1894</v>
      </c>
      <c r="B845" t="s">
        <v>882</v>
      </c>
      <c r="C845" t="s">
        <v>1045</v>
      </c>
      <c r="D845" t="s">
        <v>1050</v>
      </c>
      <c r="E845">
        <v>2033.64</v>
      </c>
      <c r="F845" s="8">
        <v>45561</v>
      </c>
      <c r="H845" t="str">
        <f>IF(COUNTIF(Customers!$A$2:$A$1001,B845)&gt;0,"Valid","Invalid")</f>
        <v>Valid</v>
      </c>
      <c r="I845" t="str">
        <f t="shared" si="13"/>
        <v>Valid</v>
      </c>
      <c r="K845" t="str">
        <f>VLOOKUP(B845,Customers!A:G,7,FALSE)</f>
        <v>Individual</v>
      </c>
    </row>
    <row r="846" spans="1:11" x14ac:dyDescent="0.25">
      <c r="A846" t="s">
        <v>1895</v>
      </c>
      <c r="B846" t="s">
        <v>883</v>
      </c>
      <c r="C846" t="s">
        <v>1056</v>
      </c>
      <c r="D846" t="s">
        <v>1050</v>
      </c>
      <c r="E846">
        <v>10243.85</v>
      </c>
      <c r="F846" s="8">
        <v>46136</v>
      </c>
      <c r="H846" t="str">
        <f>IF(COUNTIF(Customers!$A$2:$A$1001,B846)&gt;0,"Valid","Invalid")</f>
        <v>Valid</v>
      </c>
      <c r="I846" t="str">
        <f t="shared" si="13"/>
        <v>Valid</v>
      </c>
      <c r="K846" t="str">
        <f>VLOOKUP(B846,Customers!A:G,7,FALSE)</f>
        <v>SME</v>
      </c>
    </row>
    <row r="847" spans="1:11" x14ac:dyDescent="0.25">
      <c r="A847" t="s">
        <v>1896</v>
      </c>
      <c r="B847" t="s">
        <v>884</v>
      </c>
      <c r="C847" t="s">
        <v>17</v>
      </c>
      <c r="D847" t="s">
        <v>1050</v>
      </c>
      <c r="E847">
        <v>681.82</v>
      </c>
      <c r="F847" s="8">
        <v>45410</v>
      </c>
      <c r="H847" t="str">
        <f>IF(COUNTIF(Customers!$A$2:$A$1001,B847)&gt;0,"Valid","Invalid")</f>
        <v>Valid</v>
      </c>
      <c r="I847" t="str">
        <f t="shared" si="13"/>
        <v>Valid</v>
      </c>
      <c r="K847" t="str">
        <f>VLOOKUP(B847,Customers!A:G,7,FALSE)</f>
        <v>SME</v>
      </c>
    </row>
    <row r="848" spans="1:11" x14ac:dyDescent="0.25">
      <c r="A848" t="s">
        <v>1897</v>
      </c>
      <c r="B848" t="s">
        <v>885</v>
      </c>
      <c r="C848" t="s">
        <v>17</v>
      </c>
      <c r="D848" t="s">
        <v>1050</v>
      </c>
      <c r="E848">
        <v>16455.57</v>
      </c>
      <c r="F848" s="8">
        <v>45606</v>
      </c>
      <c r="H848" t="str">
        <f>IF(COUNTIF(Customers!$A$2:$A$1001,B848)&gt;0,"Valid","Invalid")</f>
        <v>Valid</v>
      </c>
      <c r="I848" t="str">
        <f t="shared" si="13"/>
        <v>Valid</v>
      </c>
      <c r="K848" t="str">
        <f>VLOOKUP(B848,Customers!A:G,7,FALSE)</f>
        <v>Individual</v>
      </c>
    </row>
    <row r="849" spans="1:11" x14ac:dyDescent="0.25">
      <c r="A849" t="s">
        <v>1898</v>
      </c>
      <c r="B849" t="s">
        <v>886</v>
      </c>
      <c r="C849" t="s">
        <v>1045</v>
      </c>
      <c r="D849" t="s">
        <v>1050</v>
      </c>
      <c r="E849">
        <v>997.9</v>
      </c>
      <c r="F849" s="8">
        <v>46001</v>
      </c>
      <c r="H849" t="str">
        <f>IF(COUNTIF(Customers!$A$2:$A$1001,B849)&gt;0,"Valid","Invalid")</f>
        <v>Valid</v>
      </c>
      <c r="I849" t="str">
        <f t="shared" si="13"/>
        <v>Valid</v>
      </c>
      <c r="K849" t="str">
        <f>VLOOKUP(B849,Customers!A:G,7,FALSE)</f>
        <v>SME</v>
      </c>
    </row>
    <row r="850" spans="1:11" x14ac:dyDescent="0.25">
      <c r="A850" t="s">
        <v>1899</v>
      </c>
      <c r="B850" t="s">
        <v>887</v>
      </c>
      <c r="C850" t="s">
        <v>1045</v>
      </c>
      <c r="D850" t="s">
        <v>1073</v>
      </c>
      <c r="E850">
        <v>473.4</v>
      </c>
      <c r="F850" s="8">
        <v>44931</v>
      </c>
      <c r="H850" t="str">
        <f>IF(COUNTIF(Customers!$A$2:$A$1001,B850)&gt;0,"Valid","Invalid")</f>
        <v>Valid</v>
      </c>
      <c r="I850" t="str">
        <f t="shared" si="13"/>
        <v>Valid</v>
      </c>
      <c r="K850" t="str">
        <f>VLOOKUP(B850,Customers!A:G,7,FALSE)</f>
        <v>Individual</v>
      </c>
    </row>
    <row r="851" spans="1:11" x14ac:dyDescent="0.25">
      <c r="A851" t="s">
        <v>1900</v>
      </c>
      <c r="B851" t="s">
        <v>888</v>
      </c>
      <c r="C851" t="s">
        <v>1045</v>
      </c>
      <c r="D851" t="s">
        <v>1046</v>
      </c>
      <c r="E851">
        <v>1455.47</v>
      </c>
      <c r="F851" s="8">
        <v>45515</v>
      </c>
      <c r="H851" t="str">
        <f>IF(COUNTIF(Customers!$A$2:$A$1001,B851)&gt;0,"Valid","Invalid")</f>
        <v>Valid</v>
      </c>
      <c r="I851" t="str">
        <f t="shared" si="13"/>
        <v>Valid</v>
      </c>
      <c r="K851" t="str">
        <f>VLOOKUP(B851,Customers!A:G,7,FALSE)</f>
        <v>SME</v>
      </c>
    </row>
    <row r="852" spans="1:11" x14ac:dyDescent="0.25">
      <c r="A852" t="s">
        <v>1901</v>
      </c>
      <c r="B852" t="s">
        <v>889</v>
      </c>
      <c r="C852" t="s">
        <v>17</v>
      </c>
      <c r="D852" t="s">
        <v>1050</v>
      </c>
      <c r="E852">
        <v>46172.480000000003</v>
      </c>
      <c r="F852" s="8">
        <v>46110</v>
      </c>
      <c r="H852" t="str">
        <f>IF(COUNTIF(Customers!$A$2:$A$1001,B852)&gt;0,"Valid","Invalid")</f>
        <v>Valid</v>
      </c>
      <c r="I852" t="str">
        <f t="shared" si="13"/>
        <v>Valid</v>
      </c>
      <c r="K852" t="str">
        <f>VLOOKUP(B852,Customers!A:G,7,FALSE)</f>
        <v>Corporate</v>
      </c>
    </row>
    <row r="853" spans="1:11" x14ac:dyDescent="0.25">
      <c r="A853" t="s">
        <v>1902</v>
      </c>
      <c r="B853" t="s">
        <v>890</v>
      </c>
      <c r="C853" t="s">
        <v>1045</v>
      </c>
      <c r="D853" t="s">
        <v>1050</v>
      </c>
      <c r="E853">
        <v>4425.8</v>
      </c>
      <c r="F853" s="8">
        <v>45134</v>
      </c>
      <c r="H853" t="str">
        <f>IF(COUNTIF(Customers!$A$2:$A$1001,B853)&gt;0,"Valid","Invalid")</f>
        <v>Valid</v>
      </c>
      <c r="I853" t="str">
        <f t="shared" si="13"/>
        <v>Valid</v>
      </c>
      <c r="K853" t="str">
        <f>VLOOKUP(B853,Customers!A:G,7,FALSE)</f>
        <v>Student</v>
      </c>
    </row>
    <row r="854" spans="1:11" x14ac:dyDescent="0.25">
      <c r="A854" t="s">
        <v>1903</v>
      </c>
      <c r="B854" t="s">
        <v>891</v>
      </c>
      <c r="C854" t="s">
        <v>1056</v>
      </c>
      <c r="D854" t="s">
        <v>1050</v>
      </c>
      <c r="E854">
        <v>3304.25</v>
      </c>
      <c r="F854" s="8">
        <v>45183</v>
      </c>
      <c r="H854" t="str">
        <f>IF(COUNTIF(Customers!$A$2:$A$1001,B854)&gt;0,"Valid","Invalid")</f>
        <v>Valid</v>
      </c>
      <c r="I854" t="str">
        <f t="shared" si="13"/>
        <v>Valid</v>
      </c>
      <c r="K854" t="str">
        <f>VLOOKUP(B854,Customers!A:G,7,FALSE)</f>
        <v>SME</v>
      </c>
    </row>
    <row r="855" spans="1:11" x14ac:dyDescent="0.25">
      <c r="A855" t="s">
        <v>1904</v>
      </c>
      <c r="B855" t="s">
        <v>892</v>
      </c>
      <c r="C855" t="s">
        <v>1045</v>
      </c>
      <c r="D855" t="s">
        <v>1050</v>
      </c>
      <c r="E855">
        <v>4004.55</v>
      </c>
      <c r="F855" s="8">
        <v>46155</v>
      </c>
      <c r="H855" t="str">
        <f>IF(COUNTIF(Customers!$A$2:$A$1001,B855)&gt;0,"Valid","Invalid")</f>
        <v>Valid</v>
      </c>
      <c r="I855" t="str">
        <f t="shared" si="13"/>
        <v>Valid</v>
      </c>
      <c r="K855" t="str">
        <f>VLOOKUP(B855,Customers!A:G,7,FALSE)</f>
        <v>Individual</v>
      </c>
    </row>
    <row r="856" spans="1:11" x14ac:dyDescent="0.25">
      <c r="A856" t="s">
        <v>1905</v>
      </c>
      <c r="B856" t="s">
        <v>893</v>
      </c>
      <c r="C856" t="s">
        <v>1045</v>
      </c>
      <c r="D856" t="s">
        <v>1050</v>
      </c>
      <c r="E856">
        <v>837.49</v>
      </c>
      <c r="F856" s="8">
        <v>44937</v>
      </c>
      <c r="H856" t="str">
        <f>IF(COUNTIF(Customers!$A$2:$A$1001,B856)&gt;0,"Valid","Invalid")</f>
        <v>Valid</v>
      </c>
      <c r="I856" t="str">
        <f t="shared" si="13"/>
        <v>Valid</v>
      </c>
      <c r="K856" t="str">
        <f>VLOOKUP(B856,Customers!A:G,7,FALSE)</f>
        <v>Corporate</v>
      </c>
    </row>
    <row r="857" spans="1:11" x14ac:dyDescent="0.25">
      <c r="A857" t="s">
        <v>1906</v>
      </c>
      <c r="B857" t="s">
        <v>894</v>
      </c>
      <c r="C857" t="s">
        <v>1045</v>
      </c>
      <c r="D857" t="s">
        <v>1050</v>
      </c>
      <c r="E857">
        <v>2505</v>
      </c>
      <c r="F857" s="8">
        <v>45875</v>
      </c>
      <c r="H857" t="str">
        <f>IF(COUNTIF(Customers!$A$2:$A$1001,B857)&gt;0,"Valid","Invalid")</f>
        <v>Valid</v>
      </c>
      <c r="I857" t="str">
        <f t="shared" si="13"/>
        <v>Valid</v>
      </c>
      <c r="K857" t="str">
        <f>VLOOKUP(B857,Customers!A:G,7,FALSE)</f>
        <v>Individual</v>
      </c>
    </row>
    <row r="858" spans="1:11" x14ac:dyDescent="0.25">
      <c r="A858" t="s">
        <v>1907</v>
      </c>
      <c r="B858" t="s">
        <v>895</v>
      </c>
      <c r="C858" t="s">
        <v>17</v>
      </c>
      <c r="D858" t="s">
        <v>1050</v>
      </c>
      <c r="E858">
        <v>1812.57</v>
      </c>
      <c r="F858" s="8">
        <v>44934</v>
      </c>
      <c r="H858" t="str">
        <f>IF(COUNTIF(Customers!$A$2:$A$1001,B858)&gt;0,"Valid","Invalid")</f>
        <v>Valid</v>
      </c>
      <c r="I858" t="str">
        <f t="shared" si="13"/>
        <v>Valid</v>
      </c>
      <c r="K858" t="str">
        <f>VLOOKUP(B858,Customers!A:G,7,FALSE)</f>
        <v>SME</v>
      </c>
    </row>
    <row r="859" spans="1:11" x14ac:dyDescent="0.25">
      <c r="A859" t="s">
        <v>1908</v>
      </c>
      <c r="B859" t="s">
        <v>896</v>
      </c>
      <c r="C859" t="s">
        <v>1045</v>
      </c>
      <c r="D859" t="s">
        <v>1050</v>
      </c>
      <c r="E859">
        <v>11037.64</v>
      </c>
      <c r="F859" s="8">
        <v>45862</v>
      </c>
      <c r="H859" t="str">
        <f>IF(COUNTIF(Customers!$A$2:$A$1001,B859)&gt;0,"Valid","Invalid")</f>
        <v>Valid</v>
      </c>
      <c r="I859" t="str">
        <f t="shared" si="13"/>
        <v>Valid</v>
      </c>
      <c r="K859" t="str">
        <f>VLOOKUP(B859,Customers!A:G,7,FALSE)</f>
        <v>Student</v>
      </c>
    </row>
    <row r="860" spans="1:11" x14ac:dyDescent="0.25">
      <c r="A860" t="s">
        <v>1909</v>
      </c>
      <c r="B860" t="s">
        <v>897</v>
      </c>
      <c r="C860" t="s">
        <v>1056</v>
      </c>
      <c r="D860" t="s">
        <v>1050</v>
      </c>
      <c r="E860">
        <v>1621.83</v>
      </c>
      <c r="F860" s="8">
        <v>44958</v>
      </c>
      <c r="H860" t="str">
        <f>IF(COUNTIF(Customers!$A$2:$A$1001,B860)&gt;0,"Valid","Invalid")</f>
        <v>Valid</v>
      </c>
      <c r="I860" t="str">
        <f t="shared" si="13"/>
        <v>Valid</v>
      </c>
      <c r="K860" t="str">
        <f>VLOOKUP(B860,Customers!A:G,7,FALSE)</f>
        <v>Individual</v>
      </c>
    </row>
    <row r="861" spans="1:11" x14ac:dyDescent="0.25">
      <c r="A861" t="s">
        <v>1910</v>
      </c>
      <c r="B861" t="s">
        <v>898</v>
      </c>
      <c r="C861" t="s">
        <v>1045</v>
      </c>
      <c r="D861" t="s">
        <v>1068</v>
      </c>
      <c r="E861">
        <v>1238.58</v>
      </c>
      <c r="F861" s="8">
        <v>45466</v>
      </c>
      <c r="H861" t="str">
        <f>IF(COUNTIF(Customers!$A$2:$A$1001,B861)&gt;0,"Valid","Invalid")</f>
        <v>Valid</v>
      </c>
      <c r="I861" t="str">
        <f t="shared" si="13"/>
        <v>Valid</v>
      </c>
      <c r="K861" t="str">
        <f>VLOOKUP(B861,Customers!A:G,7,FALSE)</f>
        <v>Student</v>
      </c>
    </row>
    <row r="862" spans="1:11" x14ac:dyDescent="0.25">
      <c r="A862" t="s">
        <v>1911</v>
      </c>
      <c r="B862" t="s">
        <v>899</v>
      </c>
      <c r="C862" t="s">
        <v>1045</v>
      </c>
      <c r="D862" t="s">
        <v>1050</v>
      </c>
      <c r="E862">
        <v>564.08000000000004</v>
      </c>
      <c r="F862" s="8">
        <v>45931</v>
      </c>
      <c r="H862" t="str">
        <f>IF(COUNTIF(Customers!$A$2:$A$1001,B862)&gt;0,"Valid","Invalid")</f>
        <v>Valid</v>
      </c>
      <c r="I862" t="str">
        <f t="shared" si="13"/>
        <v>Valid</v>
      </c>
      <c r="K862" t="str">
        <f>VLOOKUP(B862,Customers!A:G,7,FALSE)</f>
        <v>Corporate</v>
      </c>
    </row>
    <row r="863" spans="1:11" x14ac:dyDescent="0.25">
      <c r="A863" t="s">
        <v>1912</v>
      </c>
      <c r="B863" t="s">
        <v>900</v>
      </c>
      <c r="C863" t="s">
        <v>1045</v>
      </c>
      <c r="D863" t="s">
        <v>1050</v>
      </c>
      <c r="E863">
        <v>2079.77</v>
      </c>
      <c r="F863" s="8">
        <v>45313</v>
      </c>
      <c r="H863" t="str">
        <f>IF(COUNTIF(Customers!$A$2:$A$1001,B863)&gt;0,"Valid","Invalid")</f>
        <v>Valid</v>
      </c>
      <c r="I863" t="str">
        <f t="shared" si="13"/>
        <v>Valid</v>
      </c>
      <c r="K863" t="str">
        <f>VLOOKUP(B863,Customers!A:G,7,FALSE)</f>
        <v>SME</v>
      </c>
    </row>
    <row r="864" spans="1:11" x14ac:dyDescent="0.25">
      <c r="A864" t="s">
        <v>1913</v>
      </c>
      <c r="B864" t="s">
        <v>901</v>
      </c>
      <c r="C864" t="s">
        <v>1045</v>
      </c>
      <c r="D864" t="s">
        <v>1050</v>
      </c>
      <c r="E864">
        <v>2423.46</v>
      </c>
      <c r="F864" s="8">
        <v>46178</v>
      </c>
      <c r="H864" t="str">
        <f>IF(COUNTIF(Customers!$A$2:$A$1001,B864)&gt;0,"Valid","Invalid")</f>
        <v>Valid</v>
      </c>
      <c r="I864" t="str">
        <f t="shared" si="13"/>
        <v>Valid</v>
      </c>
      <c r="K864" t="str">
        <f>VLOOKUP(B864,Customers!A:G,7,FALSE)</f>
        <v>SME</v>
      </c>
    </row>
    <row r="865" spans="1:11" x14ac:dyDescent="0.25">
      <c r="A865" t="s">
        <v>1914</v>
      </c>
      <c r="B865" t="s">
        <v>902</v>
      </c>
      <c r="C865" t="s">
        <v>1045</v>
      </c>
      <c r="D865" t="s">
        <v>1050</v>
      </c>
      <c r="E865">
        <v>543.71</v>
      </c>
      <c r="F865" s="8">
        <v>45566</v>
      </c>
      <c r="H865" t="str">
        <f>IF(COUNTIF(Customers!$A$2:$A$1001,B865)&gt;0,"Valid","Invalid")</f>
        <v>Valid</v>
      </c>
      <c r="I865" t="str">
        <f t="shared" si="13"/>
        <v>Valid</v>
      </c>
      <c r="K865" t="str">
        <f>VLOOKUP(B865,Customers!A:G,7,FALSE)</f>
        <v>SME</v>
      </c>
    </row>
    <row r="866" spans="1:11" x14ac:dyDescent="0.25">
      <c r="A866" t="s">
        <v>1915</v>
      </c>
      <c r="B866" t="s">
        <v>903</v>
      </c>
      <c r="C866" t="s">
        <v>1045</v>
      </c>
      <c r="D866" t="s">
        <v>1046</v>
      </c>
      <c r="E866">
        <v>2844.56</v>
      </c>
      <c r="F866" s="8">
        <v>45133</v>
      </c>
      <c r="H866" t="str">
        <f>IF(COUNTIF(Customers!$A$2:$A$1001,B866)&gt;0,"Valid","Invalid")</f>
        <v>Valid</v>
      </c>
      <c r="I866" t="str">
        <f t="shared" si="13"/>
        <v>Valid</v>
      </c>
      <c r="K866" t="str">
        <f>VLOOKUP(B866,Customers!A:G,7,FALSE)</f>
        <v>Student</v>
      </c>
    </row>
    <row r="867" spans="1:11" x14ac:dyDescent="0.25">
      <c r="A867" t="s">
        <v>1916</v>
      </c>
      <c r="B867" t="s">
        <v>904</v>
      </c>
      <c r="C867" t="s">
        <v>1045</v>
      </c>
      <c r="D867" t="s">
        <v>1050</v>
      </c>
      <c r="E867">
        <v>2282.85</v>
      </c>
      <c r="F867" s="8">
        <v>45483</v>
      </c>
      <c r="H867" t="str">
        <f>IF(COUNTIF(Customers!$A$2:$A$1001,B867)&gt;0,"Valid","Invalid")</f>
        <v>Valid</v>
      </c>
      <c r="I867" t="str">
        <f t="shared" si="13"/>
        <v>Valid</v>
      </c>
      <c r="K867" t="str">
        <f>VLOOKUP(B867,Customers!A:G,7,FALSE)</f>
        <v>Individual</v>
      </c>
    </row>
    <row r="868" spans="1:11" x14ac:dyDescent="0.25">
      <c r="A868" t="s">
        <v>1917</v>
      </c>
      <c r="B868" t="s">
        <v>905</v>
      </c>
      <c r="C868" t="s">
        <v>1045</v>
      </c>
      <c r="D868" t="s">
        <v>1050</v>
      </c>
      <c r="E868">
        <v>4981.3</v>
      </c>
      <c r="F868" s="8">
        <v>45274</v>
      </c>
      <c r="H868" t="str">
        <f>IF(COUNTIF(Customers!$A$2:$A$1001,B868)&gt;0,"Valid","Invalid")</f>
        <v>Valid</v>
      </c>
      <c r="I868" t="str">
        <f t="shared" si="13"/>
        <v>Valid</v>
      </c>
      <c r="K868" t="str">
        <f>VLOOKUP(B868,Customers!A:G,7,FALSE)</f>
        <v>Student</v>
      </c>
    </row>
    <row r="869" spans="1:11" x14ac:dyDescent="0.25">
      <c r="A869" t="s">
        <v>1918</v>
      </c>
      <c r="B869" t="s">
        <v>906</v>
      </c>
      <c r="C869" t="s">
        <v>17</v>
      </c>
      <c r="D869" t="s">
        <v>1050</v>
      </c>
      <c r="E869">
        <v>6077.62</v>
      </c>
      <c r="F869" s="8">
        <v>45719</v>
      </c>
      <c r="H869" t="str">
        <f>IF(COUNTIF(Customers!$A$2:$A$1001,B869)&gt;0,"Valid","Invalid")</f>
        <v>Valid</v>
      </c>
      <c r="I869" t="str">
        <f t="shared" si="13"/>
        <v>Valid</v>
      </c>
      <c r="K869" t="str">
        <f>VLOOKUP(B869,Customers!A:G,7,FALSE)</f>
        <v>Individual</v>
      </c>
    </row>
    <row r="870" spans="1:11" x14ac:dyDescent="0.25">
      <c r="A870" t="s">
        <v>1919</v>
      </c>
      <c r="B870" t="s">
        <v>907</v>
      </c>
      <c r="C870" t="s">
        <v>17</v>
      </c>
      <c r="D870" t="s">
        <v>1046</v>
      </c>
      <c r="E870">
        <v>1986.8</v>
      </c>
      <c r="F870" s="8">
        <v>45160</v>
      </c>
      <c r="H870" t="str">
        <f>IF(COUNTIF(Customers!$A$2:$A$1001,B870)&gt;0,"Valid","Invalid")</f>
        <v>Valid</v>
      </c>
      <c r="I870" t="str">
        <f t="shared" si="13"/>
        <v>Valid</v>
      </c>
      <c r="K870" t="str">
        <f>VLOOKUP(B870,Customers!A:G,7,FALSE)</f>
        <v>Individual</v>
      </c>
    </row>
    <row r="871" spans="1:11" x14ac:dyDescent="0.25">
      <c r="A871" t="s">
        <v>1920</v>
      </c>
      <c r="B871" t="s">
        <v>908</v>
      </c>
      <c r="C871" t="s">
        <v>1045</v>
      </c>
      <c r="D871" t="s">
        <v>1050</v>
      </c>
      <c r="E871">
        <v>641.39</v>
      </c>
      <c r="F871" s="8">
        <v>45994</v>
      </c>
      <c r="H871" t="str">
        <f>IF(COUNTIF(Customers!$A$2:$A$1001,B871)&gt;0,"Valid","Invalid")</f>
        <v>Valid</v>
      </c>
      <c r="I871" t="str">
        <f t="shared" si="13"/>
        <v>Valid</v>
      </c>
      <c r="K871" t="str">
        <f>VLOOKUP(B871,Customers!A:G,7,FALSE)</f>
        <v>Individual</v>
      </c>
    </row>
    <row r="872" spans="1:11" x14ac:dyDescent="0.25">
      <c r="A872" t="s">
        <v>1921</v>
      </c>
      <c r="B872" t="s">
        <v>909</v>
      </c>
      <c r="C872" t="s">
        <v>1056</v>
      </c>
      <c r="D872" t="s">
        <v>1050</v>
      </c>
      <c r="E872">
        <v>787.91</v>
      </c>
      <c r="F872" s="8">
        <v>45932</v>
      </c>
      <c r="H872" t="str">
        <f>IF(COUNTIF(Customers!$A$2:$A$1001,B872)&gt;0,"Valid","Invalid")</f>
        <v>Valid</v>
      </c>
      <c r="I872" t="str">
        <f t="shared" si="13"/>
        <v>Valid</v>
      </c>
      <c r="K872" t="str">
        <f>VLOOKUP(B872,Customers!A:G,7,FALSE)</f>
        <v>Individual</v>
      </c>
    </row>
    <row r="873" spans="1:11" x14ac:dyDescent="0.25">
      <c r="A873" t="s">
        <v>1922</v>
      </c>
      <c r="B873" t="s">
        <v>910</v>
      </c>
      <c r="C873" t="s">
        <v>1049</v>
      </c>
      <c r="D873" t="s">
        <v>1050</v>
      </c>
      <c r="E873">
        <v>10531.52</v>
      </c>
      <c r="F873" s="8">
        <v>45663</v>
      </c>
      <c r="H873" t="str">
        <f>IF(COUNTIF(Customers!$A$2:$A$1001,B873)&gt;0,"Valid","Invalid")</f>
        <v>Valid</v>
      </c>
      <c r="I873" t="str">
        <f t="shared" si="13"/>
        <v>Valid</v>
      </c>
      <c r="K873" t="str">
        <f>VLOOKUP(B873,Customers!A:G,7,FALSE)</f>
        <v>Student</v>
      </c>
    </row>
    <row r="874" spans="1:11" x14ac:dyDescent="0.25">
      <c r="A874" t="s">
        <v>1923</v>
      </c>
      <c r="B874" t="s">
        <v>911</v>
      </c>
      <c r="C874" t="s">
        <v>1045</v>
      </c>
      <c r="D874" t="s">
        <v>1050</v>
      </c>
      <c r="E874">
        <v>2133.44</v>
      </c>
      <c r="F874" s="8">
        <v>45868</v>
      </c>
      <c r="H874" t="str">
        <f>IF(COUNTIF(Customers!$A$2:$A$1001,B874)&gt;0,"Valid","Invalid")</f>
        <v>Valid</v>
      </c>
      <c r="I874" t="str">
        <f t="shared" si="13"/>
        <v>Valid</v>
      </c>
      <c r="K874" t="str">
        <f>VLOOKUP(B874,Customers!A:G,7,FALSE)</f>
        <v>Individual</v>
      </c>
    </row>
    <row r="875" spans="1:11" x14ac:dyDescent="0.25">
      <c r="A875" t="s">
        <v>1924</v>
      </c>
      <c r="B875" t="s">
        <v>912</v>
      </c>
      <c r="C875" t="s">
        <v>1049</v>
      </c>
      <c r="D875" t="s">
        <v>1050</v>
      </c>
      <c r="E875">
        <v>10364.620000000001</v>
      </c>
      <c r="F875" s="8">
        <v>46092</v>
      </c>
      <c r="H875" t="str">
        <f>IF(COUNTIF(Customers!$A$2:$A$1001,B875)&gt;0,"Valid","Invalid")</f>
        <v>Valid</v>
      </c>
      <c r="I875" t="str">
        <f t="shared" si="13"/>
        <v>Valid</v>
      </c>
      <c r="K875" t="str">
        <f>VLOOKUP(B875,Customers!A:G,7,FALSE)</f>
        <v>Individual</v>
      </c>
    </row>
    <row r="876" spans="1:11" x14ac:dyDescent="0.25">
      <c r="A876" t="s">
        <v>1925</v>
      </c>
      <c r="B876" t="s">
        <v>913</v>
      </c>
      <c r="C876" t="s">
        <v>17</v>
      </c>
      <c r="D876" t="s">
        <v>1050</v>
      </c>
      <c r="E876">
        <v>2976.8</v>
      </c>
      <c r="F876" s="8">
        <v>45102</v>
      </c>
      <c r="H876" t="str">
        <f>IF(COUNTIF(Customers!$A$2:$A$1001,B876)&gt;0,"Valid","Invalid")</f>
        <v>Valid</v>
      </c>
      <c r="I876" t="str">
        <f t="shared" si="13"/>
        <v>Valid</v>
      </c>
      <c r="K876" t="str">
        <f>VLOOKUP(B876,Customers!A:G,7,FALSE)</f>
        <v>Corporate</v>
      </c>
    </row>
    <row r="877" spans="1:11" x14ac:dyDescent="0.25">
      <c r="A877" t="s">
        <v>1926</v>
      </c>
      <c r="B877" t="s">
        <v>914</v>
      </c>
      <c r="C877" t="s">
        <v>1045</v>
      </c>
      <c r="D877" t="s">
        <v>1050</v>
      </c>
      <c r="E877">
        <v>3841.95</v>
      </c>
      <c r="F877" s="8">
        <v>45375</v>
      </c>
      <c r="H877" t="str">
        <f>IF(COUNTIF(Customers!$A$2:$A$1001,B877)&gt;0,"Valid","Invalid")</f>
        <v>Valid</v>
      </c>
      <c r="I877" t="str">
        <f t="shared" si="13"/>
        <v>Valid</v>
      </c>
      <c r="K877" t="str">
        <f>VLOOKUP(B877,Customers!A:G,7,FALSE)</f>
        <v>SME</v>
      </c>
    </row>
    <row r="878" spans="1:11" x14ac:dyDescent="0.25">
      <c r="A878" t="s">
        <v>1927</v>
      </c>
      <c r="B878" t="s">
        <v>915</v>
      </c>
      <c r="C878" t="s">
        <v>1045</v>
      </c>
      <c r="D878" t="s">
        <v>1046</v>
      </c>
      <c r="E878">
        <v>4622.6499999999996</v>
      </c>
      <c r="F878" s="8">
        <v>45518</v>
      </c>
      <c r="H878" t="str">
        <f>IF(COUNTIF(Customers!$A$2:$A$1001,B878)&gt;0,"Valid","Invalid")</f>
        <v>Valid</v>
      </c>
      <c r="I878" t="str">
        <f t="shared" si="13"/>
        <v>Valid</v>
      </c>
      <c r="K878" t="str">
        <f>VLOOKUP(B878,Customers!A:G,7,FALSE)</f>
        <v>Corporate</v>
      </c>
    </row>
    <row r="879" spans="1:11" x14ac:dyDescent="0.25">
      <c r="A879" t="s">
        <v>1928</v>
      </c>
      <c r="B879" t="s">
        <v>916</v>
      </c>
      <c r="C879" t="s">
        <v>17</v>
      </c>
      <c r="D879" t="s">
        <v>1050</v>
      </c>
      <c r="E879">
        <v>532.12</v>
      </c>
      <c r="F879" s="8">
        <v>45008</v>
      </c>
      <c r="H879" t="str">
        <f>IF(COUNTIF(Customers!$A$2:$A$1001,B879)&gt;0,"Valid","Invalid")</f>
        <v>Valid</v>
      </c>
      <c r="I879" t="str">
        <f t="shared" si="13"/>
        <v>Valid</v>
      </c>
      <c r="K879" t="str">
        <f>VLOOKUP(B879,Customers!A:G,7,FALSE)</f>
        <v>Individual</v>
      </c>
    </row>
    <row r="880" spans="1:11" x14ac:dyDescent="0.25">
      <c r="A880" t="s">
        <v>1929</v>
      </c>
      <c r="B880" t="s">
        <v>917</v>
      </c>
      <c r="C880" t="s">
        <v>1056</v>
      </c>
      <c r="D880" t="s">
        <v>1050</v>
      </c>
      <c r="E880">
        <v>2457.63</v>
      </c>
      <c r="F880" s="8">
        <v>45061</v>
      </c>
      <c r="H880" t="str">
        <f>IF(COUNTIF(Customers!$A$2:$A$1001,B880)&gt;0,"Valid","Invalid")</f>
        <v>Valid</v>
      </c>
      <c r="I880" t="str">
        <f t="shared" si="13"/>
        <v>Valid</v>
      </c>
      <c r="K880" t="str">
        <f>VLOOKUP(B880,Customers!A:G,7,FALSE)</f>
        <v>Individual</v>
      </c>
    </row>
    <row r="881" spans="1:11" x14ac:dyDescent="0.25">
      <c r="A881" t="s">
        <v>1930</v>
      </c>
      <c r="B881" t="s">
        <v>918</v>
      </c>
      <c r="C881" t="s">
        <v>1045</v>
      </c>
      <c r="D881" t="s">
        <v>1050</v>
      </c>
      <c r="E881">
        <v>524.79</v>
      </c>
      <c r="F881" s="8">
        <v>45782</v>
      </c>
      <c r="H881" t="str">
        <f>IF(COUNTIF(Customers!$A$2:$A$1001,B881)&gt;0,"Valid","Invalid")</f>
        <v>Valid</v>
      </c>
      <c r="I881" t="str">
        <f t="shared" si="13"/>
        <v>Valid</v>
      </c>
      <c r="K881" t="str">
        <f>VLOOKUP(B881,Customers!A:G,7,FALSE)</f>
        <v>SME</v>
      </c>
    </row>
    <row r="882" spans="1:11" x14ac:dyDescent="0.25">
      <c r="A882" t="s">
        <v>1931</v>
      </c>
      <c r="B882" t="s">
        <v>919</v>
      </c>
      <c r="C882" t="s">
        <v>1045</v>
      </c>
      <c r="D882" t="s">
        <v>1068</v>
      </c>
      <c r="E882">
        <v>1359.79</v>
      </c>
      <c r="F882" s="8">
        <v>46127</v>
      </c>
      <c r="H882" t="str">
        <f>IF(COUNTIF(Customers!$A$2:$A$1001,B882)&gt;0,"Valid","Invalid")</f>
        <v>Valid</v>
      </c>
      <c r="I882" t="str">
        <f t="shared" si="13"/>
        <v>Valid</v>
      </c>
      <c r="K882" t="str">
        <f>VLOOKUP(B882,Customers!A:G,7,FALSE)</f>
        <v>Individual</v>
      </c>
    </row>
    <row r="883" spans="1:11" x14ac:dyDescent="0.25">
      <c r="A883" t="s">
        <v>1932</v>
      </c>
      <c r="B883" t="s">
        <v>920</v>
      </c>
      <c r="C883" t="s">
        <v>1045</v>
      </c>
      <c r="D883" t="s">
        <v>1050</v>
      </c>
      <c r="E883">
        <v>3429.5</v>
      </c>
      <c r="F883" s="8">
        <v>46193</v>
      </c>
      <c r="H883" t="str">
        <f>IF(COUNTIF(Customers!$A$2:$A$1001,B883)&gt;0,"Valid","Invalid")</f>
        <v>Valid</v>
      </c>
      <c r="I883" t="str">
        <f t="shared" si="13"/>
        <v>Valid</v>
      </c>
      <c r="K883" t="str">
        <f>VLOOKUP(B883,Customers!A:G,7,FALSE)</f>
        <v>Individual</v>
      </c>
    </row>
    <row r="884" spans="1:11" x14ac:dyDescent="0.25">
      <c r="A884" t="s">
        <v>1933</v>
      </c>
      <c r="B884" t="s">
        <v>921</v>
      </c>
      <c r="C884" t="s">
        <v>1056</v>
      </c>
      <c r="D884" t="s">
        <v>1046</v>
      </c>
      <c r="E884">
        <v>648.5</v>
      </c>
      <c r="F884" s="8">
        <v>46091</v>
      </c>
      <c r="H884" t="str">
        <f>IF(COUNTIF(Customers!$A$2:$A$1001,B884)&gt;0,"Valid","Invalid")</f>
        <v>Valid</v>
      </c>
      <c r="I884" t="str">
        <f t="shared" si="13"/>
        <v>Valid</v>
      </c>
      <c r="K884" t="str">
        <f>VLOOKUP(B884,Customers!A:G,7,FALSE)</f>
        <v>Individual</v>
      </c>
    </row>
    <row r="885" spans="1:11" x14ac:dyDescent="0.25">
      <c r="A885" t="s">
        <v>1934</v>
      </c>
      <c r="B885" t="s">
        <v>922</v>
      </c>
      <c r="C885" t="s">
        <v>1049</v>
      </c>
      <c r="D885" t="s">
        <v>1050</v>
      </c>
      <c r="E885">
        <v>3163.19</v>
      </c>
      <c r="F885" s="8">
        <v>45366</v>
      </c>
      <c r="H885" t="str">
        <f>IF(COUNTIF(Customers!$A$2:$A$1001,B885)&gt;0,"Valid","Invalid")</f>
        <v>Valid</v>
      </c>
      <c r="I885" t="str">
        <f t="shared" si="13"/>
        <v>Valid</v>
      </c>
      <c r="K885" t="str">
        <f>VLOOKUP(B885,Customers!A:G,7,FALSE)</f>
        <v>Individual</v>
      </c>
    </row>
    <row r="886" spans="1:11" x14ac:dyDescent="0.25">
      <c r="A886" t="s">
        <v>1935</v>
      </c>
      <c r="B886" t="s">
        <v>923</v>
      </c>
      <c r="C886" t="s">
        <v>17</v>
      </c>
      <c r="D886" t="s">
        <v>1050</v>
      </c>
      <c r="E886">
        <v>404.09</v>
      </c>
      <c r="F886" s="8">
        <v>46006</v>
      </c>
      <c r="H886" t="str">
        <f>IF(COUNTIF(Customers!$A$2:$A$1001,B886)&gt;0,"Valid","Invalid")</f>
        <v>Valid</v>
      </c>
      <c r="I886" t="str">
        <f t="shared" si="13"/>
        <v>Valid</v>
      </c>
      <c r="K886" t="str">
        <f>VLOOKUP(B886,Customers!A:G,7,FALSE)</f>
        <v>Individual</v>
      </c>
    </row>
    <row r="887" spans="1:11" x14ac:dyDescent="0.25">
      <c r="A887" t="s">
        <v>1936</v>
      </c>
      <c r="B887" t="s">
        <v>924</v>
      </c>
      <c r="C887" t="s">
        <v>1045</v>
      </c>
      <c r="D887" t="s">
        <v>1050</v>
      </c>
      <c r="E887">
        <v>5672.13</v>
      </c>
      <c r="F887" s="8">
        <v>45623</v>
      </c>
      <c r="H887" t="str">
        <f>IF(COUNTIF(Customers!$A$2:$A$1001,B887)&gt;0,"Valid","Invalid")</f>
        <v>Valid</v>
      </c>
      <c r="I887" t="str">
        <f t="shared" si="13"/>
        <v>Valid</v>
      </c>
      <c r="K887" t="str">
        <f>VLOOKUP(B887,Customers!A:G,7,FALSE)</f>
        <v>Individual</v>
      </c>
    </row>
    <row r="888" spans="1:11" x14ac:dyDescent="0.25">
      <c r="A888" t="s">
        <v>1937</v>
      </c>
      <c r="B888" t="s">
        <v>925</v>
      </c>
      <c r="C888" t="s">
        <v>1056</v>
      </c>
      <c r="D888" t="s">
        <v>1050</v>
      </c>
      <c r="E888">
        <v>930.35</v>
      </c>
      <c r="F888" s="8">
        <v>45345</v>
      </c>
      <c r="H888" t="str">
        <f>IF(COUNTIF(Customers!$A$2:$A$1001,B888)&gt;0,"Valid","Invalid")</f>
        <v>Valid</v>
      </c>
      <c r="I888" t="str">
        <f t="shared" si="13"/>
        <v>Valid</v>
      </c>
      <c r="K888" t="str">
        <f>VLOOKUP(B888,Customers!A:G,7,FALSE)</f>
        <v>Individual</v>
      </c>
    </row>
    <row r="889" spans="1:11" x14ac:dyDescent="0.25">
      <c r="A889" t="s">
        <v>1938</v>
      </c>
      <c r="B889" t="s">
        <v>926</v>
      </c>
      <c r="C889" t="s">
        <v>1056</v>
      </c>
      <c r="D889" t="s">
        <v>1073</v>
      </c>
      <c r="E889">
        <v>647.35</v>
      </c>
      <c r="F889" s="8">
        <v>45014</v>
      </c>
      <c r="H889" t="str">
        <f>IF(COUNTIF(Customers!$A$2:$A$1001,B889)&gt;0,"Valid","Invalid")</f>
        <v>Valid</v>
      </c>
      <c r="I889" t="str">
        <f t="shared" si="13"/>
        <v>Valid</v>
      </c>
      <c r="K889" t="str">
        <f>VLOOKUP(B889,Customers!A:G,7,FALSE)</f>
        <v>Student</v>
      </c>
    </row>
    <row r="890" spans="1:11" x14ac:dyDescent="0.25">
      <c r="A890" t="s">
        <v>1939</v>
      </c>
      <c r="B890" t="s">
        <v>927</v>
      </c>
      <c r="C890" t="s">
        <v>1045</v>
      </c>
      <c r="D890" t="s">
        <v>1068</v>
      </c>
      <c r="E890">
        <v>430.37</v>
      </c>
      <c r="F890" s="8">
        <v>45582</v>
      </c>
      <c r="H890" t="str">
        <f>IF(COUNTIF(Customers!$A$2:$A$1001,B890)&gt;0,"Valid","Invalid")</f>
        <v>Valid</v>
      </c>
      <c r="I890" t="str">
        <f t="shared" si="13"/>
        <v>Valid</v>
      </c>
      <c r="K890" t="str">
        <f>VLOOKUP(B890,Customers!A:G,7,FALSE)</f>
        <v>Individual</v>
      </c>
    </row>
    <row r="891" spans="1:11" x14ac:dyDescent="0.25">
      <c r="A891" t="s">
        <v>1940</v>
      </c>
      <c r="B891" t="s">
        <v>928</v>
      </c>
      <c r="C891" t="s">
        <v>1045</v>
      </c>
      <c r="D891" t="s">
        <v>1050</v>
      </c>
      <c r="E891">
        <v>1012.97</v>
      </c>
      <c r="F891" s="8">
        <v>45958</v>
      </c>
      <c r="H891" t="str">
        <f>IF(COUNTIF(Customers!$A$2:$A$1001,B891)&gt;0,"Valid","Invalid")</f>
        <v>Valid</v>
      </c>
      <c r="I891" t="str">
        <f t="shared" si="13"/>
        <v>Valid</v>
      </c>
      <c r="K891" t="str">
        <f>VLOOKUP(B891,Customers!A:G,7,FALSE)</f>
        <v>SME</v>
      </c>
    </row>
    <row r="892" spans="1:11" x14ac:dyDescent="0.25">
      <c r="A892" t="s">
        <v>1941</v>
      </c>
      <c r="B892" t="s">
        <v>929</v>
      </c>
      <c r="C892" t="s">
        <v>17</v>
      </c>
      <c r="D892" t="s">
        <v>1050</v>
      </c>
      <c r="E892">
        <v>268.38</v>
      </c>
      <c r="F892" s="8">
        <v>45141</v>
      </c>
      <c r="H892" t="str">
        <f>IF(COUNTIF(Customers!$A$2:$A$1001,B892)&gt;0,"Valid","Invalid")</f>
        <v>Valid</v>
      </c>
      <c r="I892" t="str">
        <f t="shared" si="13"/>
        <v>Valid</v>
      </c>
      <c r="K892" t="str">
        <f>VLOOKUP(B892,Customers!A:G,7,FALSE)</f>
        <v>Individual</v>
      </c>
    </row>
    <row r="893" spans="1:11" x14ac:dyDescent="0.25">
      <c r="A893" t="s">
        <v>1942</v>
      </c>
      <c r="B893" t="s">
        <v>930</v>
      </c>
      <c r="C893" t="s">
        <v>1049</v>
      </c>
      <c r="D893" t="s">
        <v>1068</v>
      </c>
      <c r="E893">
        <v>1044.82</v>
      </c>
      <c r="F893" s="8">
        <v>45478</v>
      </c>
      <c r="H893" t="str">
        <f>IF(COUNTIF(Customers!$A$2:$A$1001,B893)&gt;0,"Valid","Invalid")</f>
        <v>Valid</v>
      </c>
      <c r="I893" t="str">
        <f t="shared" si="13"/>
        <v>Valid</v>
      </c>
      <c r="K893" t="str">
        <f>VLOOKUP(B893,Customers!A:G,7,FALSE)</f>
        <v>Individual</v>
      </c>
    </row>
    <row r="894" spans="1:11" x14ac:dyDescent="0.25">
      <c r="A894" t="s">
        <v>1943</v>
      </c>
      <c r="B894" t="s">
        <v>931</v>
      </c>
      <c r="C894" t="s">
        <v>1045</v>
      </c>
      <c r="D894" t="s">
        <v>1050</v>
      </c>
      <c r="E894">
        <v>5428.87</v>
      </c>
      <c r="F894" s="8">
        <v>45429</v>
      </c>
      <c r="H894" t="str">
        <f>IF(COUNTIF(Customers!$A$2:$A$1001,B894)&gt;0,"Valid","Invalid")</f>
        <v>Valid</v>
      </c>
      <c r="I894" t="str">
        <f t="shared" si="13"/>
        <v>Valid</v>
      </c>
      <c r="K894" t="str">
        <f>VLOOKUP(B894,Customers!A:G,7,FALSE)</f>
        <v>SME</v>
      </c>
    </row>
    <row r="895" spans="1:11" x14ac:dyDescent="0.25">
      <c r="A895" t="s">
        <v>1944</v>
      </c>
      <c r="B895" t="s">
        <v>932</v>
      </c>
      <c r="C895" t="s">
        <v>1056</v>
      </c>
      <c r="D895" t="s">
        <v>1050</v>
      </c>
      <c r="E895">
        <v>1497.1</v>
      </c>
      <c r="F895" s="8">
        <v>45625</v>
      </c>
      <c r="H895" t="str">
        <f>IF(COUNTIF(Customers!$A$2:$A$1001,B895)&gt;0,"Valid","Invalid")</f>
        <v>Valid</v>
      </c>
      <c r="I895" t="str">
        <f t="shared" si="13"/>
        <v>Valid</v>
      </c>
      <c r="K895" t="str">
        <f>VLOOKUP(B895,Customers!A:G,7,FALSE)</f>
        <v>Individual</v>
      </c>
    </row>
    <row r="896" spans="1:11" x14ac:dyDescent="0.25">
      <c r="A896" t="s">
        <v>1945</v>
      </c>
      <c r="B896" t="s">
        <v>933</v>
      </c>
      <c r="C896" t="s">
        <v>1045</v>
      </c>
      <c r="D896" t="s">
        <v>1050</v>
      </c>
      <c r="E896">
        <v>556.95000000000005</v>
      </c>
      <c r="F896" s="8">
        <v>45171</v>
      </c>
      <c r="H896" t="str">
        <f>IF(COUNTIF(Customers!$A$2:$A$1001,B896)&gt;0,"Valid","Invalid")</f>
        <v>Valid</v>
      </c>
      <c r="I896" t="str">
        <f t="shared" si="13"/>
        <v>Valid</v>
      </c>
      <c r="K896" t="str">
        <f>VLOOKUP(B896,Customers!A:G,7,FALSE)</f>
        <v>Student</v>
      </c>
    </row>
    <row r="897" spans="1:11" x14ac:dyDescent="0.25">
      <c r="A897" t="s">
        <v>1946</v>
      </c>
      <c r="B897" t="s">
        <v>934</v>
      </c>
      <c r="C897" t="s">
        <v>1056</v>
      </c>
      <c r="D897" t="s">
        <v>1050</v>
      </c>
      <c r="E897">
        <v>2267.11</v>
      </c>
      <c r="F897" s="8">
        <v>45235</v>
      </c>
      <c r="H897" t="str">
        <f>IF(COUNTIF(Customers!$A$2:$A$1001,B897)&gt;0,"Valid","Invalid")</f>
        <v>Valid</v>
      </c>
      <c r="I897" t="str">
        <f t="shared" si="13"/>
        <v>Valid</v>
      </c>
      <c r="K897" t="str">
        <f>VLOOKUP(B897,Customers!A:G,7,FALSE)</f>
        <v>Individual</v>
      </c>
    </row>
    <row r="898" spans="1:11" x14ac:dyDescent="0.25">
      <c r="A898" t="s">
        <v>1947</v>
      </c>
      <c r="B898" t="s">
        <v>935</v>
      </c>
      <c r="C898" t="s">
        <v>1056</v>
      </c>
      <c r="D898" t="s">
        <v>1050</v>
      </c>
      <c r="E898">
        <v>2075.37</v>
      </c>
      <c r="F898" s="8">
        <v>45157</v>
      </c>
      <c r="H898" t="str">
        <f>IF(COUNTIF(Customers!$A$2:$A$1001,B898)&gt;0,"Valid","Invalid")</f>
        <v>Valid</v>
      </c>
      <c r="I898" t="str">
        <f t="shared" si="13"/>
        <v>Valid</v>
      </c>
      <c r="K898" t="str">
        <f>VLOOKUP(B898,Customers!A:G,7,FALSE)</f>
        <v>Individual</v>
      </c>
    </row>
    <row r="899" spans="1:11" x14ac:dyDescent="0.25">
      <c r="A899" t="s">
        <v>1948</v>
      </c>
      <c r="B899" t="s">
        <v>936</v>
      </c>
      <c r="C899" t="s">
        <v>1045</v>
      </c>
      <c r="D899" t="s">
        <v>1050</v>
      </c>
      <c r="E899">
        <v>12792.44</v>
      </c>
      <c r="F899" s="8">
        <v>45081</v>
      </c>
      <c r="H899" t="str">
        <f>IF(COUNTIF(Customers!$A$2:$A$1001,B899)&gt;0,"Valid","Invalid")</f>
        <v>Valid</v>
      </c>
      <c r="I899" t="str">
        <f t="shared" ref="I899:I962" si="14">IF(OR(C899="Savings",C899="Current",C899="Business",C899="Student"),"Valid","Check")</f>
        <v>Valid</v>
      </c>
      <c r="K899" t="str">
        <f>VLOOKUP(B899,Customers!A:G,7,FALSE)</f>
        <v>Individual</v>
      </c>
    </row>
    <row r="900" spans="1:11" x14ac:dyDescent="0.25">
      <c r="A900" t="s">
        <v>1949</v>
      </c>
      <c r="B900" t="s">
        <v>937</v>
      </c>
      <c r="C900" t="s">
        <v>17</v>
      </c>
      <c r="D900" t="s">
        <v>1050</v>
      </c>
      <c r="E900">
        <v>3986.71</v>
      </c>
      <c r="F900" s="8">
        <v>46125</v>
      </c>
      <c r="H900" t="str">
        <f>IF(COUNTIF(Customers!$A$2:$A$1001,B900)&gt;0,"Valid","Invalid")</f>
        <v>Valid</v>
      </c>
      <c r="I900" t="str">
        <f t="shared" si="14"/>
        <v>Valid</v>
      </c>
      <c r="K900" t="str">
        <f>VLOOKUP(B900,Customers!A:G,7,FALSE)</f>
        <v>SME</v>
      </c>
    </row>
    <row r="901" spans="1:11" x14ac:dyDescent="0.25">
      <c r="A901" t="s">
        <v>1950</v>
      </c>
      <c r="B901" t="s">
        <v>938</v>
      </c>
      <c r="C901" t="s">
        <v>1056</v>
      </c>
      <c r="D901" t="s">
        <v>1050</v>
      </c>
      <c r="E901">
        <v>2454.3000000000002</v>
      </c>
      <c r="F901" s="8">
        <v>45774</v>
      </c>
      <c r="H901" t="str">
        <f>IF(COUNTIF(Customers!$A$2:$A$1001,B901)&gt;0,"Valid","Invalid")</f>
        <v>Valid</v>
      </c>
      <c r="I901" t="str">
        <f t="shared" si="14"/>
        <v>Valid</v>
      </c>
      <c r="K901" t="str">
        <f>VLOOKUP(B901,Customers!A:G,7,FALSE)</f>
        <v>Individual</v>
      </c>
    </row>
    <row r="902" spans="1:11" x14ac:dyDescent="0.25">
      <c r="A902" t="s">
        <v>1951</v>
      </c>
      <c r="B902" t="s">
        <v>939</v>
      </c>
      <c r="C902" t="s">
        <v>1045</v>
      </c>
      <c r="D902" t="s">
        <v>1050</v>
      </c>
      <c r="E902">
        <v>4469.66</v>
      </c>
      <c r="F902" s="8">
        <v>45041</v>
      </c>
      <c r="H902" t="str">
        <f>IF(COUNTIF(Customers!$A$2:$A$1001,B902)&gt;0,"Valid","Invalid")</f>
        <v>Valid</v>
      </c>
      <c r="I902" t="str">
        <f t="shared" si="14"/>
        <v>Valid</v>
      </c>
      <c r="K902" t="str">
        <f>VLOOKUP(B902,Customers!A:G,7,FALSE)</f>
        <v>Individual</v>
      </c>
    </row>
    <row r="903" spans="1:11" x14ac:dyDescent="0.25">
      <c r="A903" t="s">
        <v>1952</v>
      </c>
      <c r="B903" t="s">
        <v>940</v>
      </c>
      <c r="C903" t="s">
        <v>1049</v>
      </c>
      <c r="D903" t="s">
        <v>1050</v>
      </c>
      <c r="E903">
        <v>1580.69</v>
      </c>
      <c r="F903" s="8">
        <v>45237</v>
      </c>
      <c r="H903" t="str">
        <f>IF(COUNTIF(Customers!$A$2:$A$1001,B903)&gt;0,"Valid","Invalid")</f>
        <v>Valid</v>
      </c>
      <c r="I903" t="str">
        <f t="shared" si="14"/>
        <v>Valid</v>
      </c>
      <c r="K903" t="str">
        <f>VLOOKUP(B903,Customers!A:G,7,FALSE)</f>
        <v>Individual</v>
      </c>
    </row>
    <row r="904" spans="1:11" x14ac:dyDescent="0.25">
      <c r="A904" t="s">
        <v>1953</v>
      </c>
      <c r="B904" t="s">
        <v>941</v>
      </c>
      <c r="C904" t="s">
        <v>1045</v>
      </c>
      <c r="D904" t="s">
        <v>1046</v>
      </c>
      <c r="E904">
        <v>1676.71</v>
      </c>
      <c r="F904" s="8">
        <v>45919</v>
      </c>
      <c r="H904" t="str">
        <f>IF(COUNTIF(Customers!$A$2:$A$1001,B904)&gt;0,"Valid","Invalid")</f>
        <v>Valid</v>
      </c>
      <c r="I904" t="str">
        <f t="shared" si="14"/>
        <v>Valid</v>
      </c>
      <c r="K904" t="str">
        <f>VLOOKUP(B904,Customers!A:G,7,FALSE)</f>
        <v>Individual</v>
      </c>
    </row>
    <row r="905" spans="1:11" x14ac:dyDescent="0.25">
      <c r="A905" t="s">
        <v>1954</v>
      </c>
      <c r="B905" t="s">
        <v>942</v>
      </c>
      <c r="C905" t="s">
        <v>1045</v>
      </c>
      <c r="D905" t="s">
        <v>1050</v>
      </c>
      <c r="E905">
        <v>9498.99</v>
      </c>
      <c r="F905" s="8">
        <v>45226</v>
      </c>
      <c r="H905" t="str">
        <f>IF(COUNTIF(Customers!$A$2:$A$1001,B905)&gt;0,"Valid","Invalid")</f>
        <v>Valid</v>
      </c>
      <c r="I905" t="str">
        <f t="shared" si="14"/>
        <v>Valid</v>
      </c>
      <c r="K905" t="str">
        <f>VLOOKUP(B905,Customers!A:G,7,FALSE)</f>
        <v>Individual</v>
      </c>
    </row>
    <row r="906" spans="1:11" x14ac:dyDescent="0.25">
      <c r="A906" t="s">
        <v>1955</v>
      </c>
      <c r="B906" t="s">
        <v>943</v>
      </c>
      <c r="C906" t="s">
        <v>1045</v>
      </c>
      <c r="D906" t="s">
        <v>1050</v>
      </c>
      <c r="E906">
        <v>352.28</v>
      </c>
      <c r="F906" s="8">
        <v>45968</v>
      </c>
      <c r="H906" t="str">
        <f>IF(COUNTIF(Customers!$A$2:$A$1001,B906)&gt;0,"Valid","Invalid")</f>
        <v>Valid</v>
      </c>
      <c r="I906" t="str">
        <f t="shared" si="14"/>
        <v>Valid</v>
      </c>
      <c r="K906" t="str">
        <f>VLOOKUP(B906,Customers!A:G,7,FALSE)</f>
        <v>Individual</v>
      </c>
    </row>
    <row r="907" spans="1:11" x14ac:dyDescent="0.25">
      <c r="A907" t="s">
        <v>1956</v>
      </c>
      <c r="B907" t="s">
        <v>944</v>
      </c>
      <c r="C907" t="s">
        <v>1045</v>
      </c>
      <c r="D907" t="s">
        <v>1073</v>
      </c>
      <c r="E907">
        <v>4759.7299999999996</v>
      </c>
      <c r="F907" s="8">
        <v>45710</v>
      </c>
      <c r="H907" t="str">
        <f>IF(COUNTIF(Customers!$A$2:$A$1001,B907)&gt;0,"Valid","Invalid")</f>
        <v>Valid</v>
      </c>
      <c r="I907" t="str">
        <f t="shared" si="14"/>
        <v>Valid</v>
      </c>
      <c r="K907" t="str">
        <f>VLOOKUP(B907,Customers!A:G,7,FALSE)</f>
        <v>Individual</v>
      </c>
    </row>
    <row r="908" spans="1:11" x14ac:dyDescent="0.25">
      <c r="A908" t="s">
        <v>1957</v>
      </c>
      <c r="B908" t="s">
        <v>945</v>
      </c>
      <c r="C908" t="s">
        <v>1049</v>
      </c>
      <c r="D908" t="s">
        <v>1073</v>
      </c>
      <c r="E908">
        <v>1618.42</v>
      </c>
      <c r="F908" s="8">
        <v>44938</v>
      </c>
      <c r="H908" t="str">
        <f>IF(COUNTIF(Customers!$A$2:$A$1001,B908)&gt;0,"Valid","Invalid")</f>
        <v>Valid</v>
      </c>
      <c r="I908" t="str">
        <f t="shared" si="14"/>
        <v>Valid</v>
      </c>
      <c r="K908" t="str">
        <f>VLOOKUP(B908,Customers!A:G,7,FALSE)</f>
        <v>Student</v>
      </c>
    </row>
    <row r="909" spans="1:11" x14ac:dyDescent="0.25">
      <c r="A909" t="s">
        <v>1958</v>
      </c>
      <c r="B909" t="s">
        <v>946</v>
      </c>
      <c r="C909" t="s">
        <v>1045</v>
      </c>
      <c r="D909" t="s">
        <v>1050</v>
      </c>
      <c r="E909">
        <v>1350.88</v>
      </c>
      <c r="F909" s="8">
        <v>45158</v>
      </c>
      <c r="H909" t="str">
        <f>IF(COUNTIF(Customers!$A$2:$A$1001,B909)&gt;0,"Valid","Invalid")</f>
        <v>Valid</v>
      </c>
      <c r="I909" t="str">
        <f t="shared" si="14"/>
        <v>Valid</v>
      </c>
      <c r="K909" t="str">
        <f>VLOOKUP(B909,Customers!A:G,7,FALSE)</f>
        <v>Individual</v>
      </c>
    </row>
    <row r="910" spans="1:11" x14ac:dyDescent="0.25">
      <c r="A910" t="s">
        <v>1959</v>
      </c>
      <c r="B910" t="s">
        <v>947</v>
      </c>
      <c r="C910" t="s">
        <v>1049</v>
      </c>
      <c r="D910" t="s">
        <v>1050</v>
      </c>
      <c r="E910">
        <v>1040.1300000000001</v>
      </c>
      <c r="F910" s="8">
        <v>45881</v>
      </c>
      <c r="H910" t="str">
        <f>IF(COUNTIF(Customers!$A$2:$A$1001,B910)&gt;0,"Valid","Invalid")</f>
        <v>Valid</v>
      </c>
      <c r="I910" t="str">
        <f t="shared" si="14"/>
        <v>Valid</v>
      </c>
      <c r="K910" t="str">
        <f>VLOOKUP(B910,Customers!A:G,7,FALSE)</f>
        <v>Individual</v>
      </c>
    </row>
    <row r="911" spans="1:11" x14ac:dyDescent="0.25">
      <c r="A911" t="s">
        <v>1960</v>
      </c>
      <c r="B911" t="s">
        <v>948</v>
      </c>
      <c r="C911" t="s">
        <v>1056</v>
      </c>
      <c r="D911" t="s">
        <v>1046</v>
      </c>
      <c r="E911">
        <v>2108.38</v>
      </c>
      <c r="F911" s="8">
        <v>45656</v>
      </c>
      <c r="H911" t="str">
        <f>IF(COUNTIF(Customers!$A$2:$A$1001,B911)&gt;0,"Valid","Invalid")</f>
        <v>Valid</v>
      </c>
      <c r="I911" t="str">
        <f t="shared" si="14"/>
        <v>Valid</v>
      </c>
      <c r="K911" t="str">
        <f>VLOOKUP(B911,Customers!A:G,7,FALSE)</f>
        <v>SME</v>
      </c>
    </row>
    <row r="912" spans="1:11" x14ac:dyDescent="0.25">
      <c r="A912" t="s">
        <v>1961</v>
      </c>
      <c r="B912" t="s">
        <v>949</v>
      </c>
      <c r="C912" t="s">
        <v>1045</v>
      </c>
      <c r="D912" t="s">
        <v>1046</v>
      </c>
      <c r="E912">
        <v>1731.03</v>
      </c>
      <c r="F912" s="8">
        <v>45944</v>
      </c>
      <c r="H912" t="str">
        <f>IF(COUNTIF(Customers!$A$2:$A$1001,B912)&gt;0,"Valid","Invalid")</f>
        <v>Valid</v>
      </c>
      <c r="I912" t="str">
        <f t="shared" si="14"/>
        <v>Valid</v>
      </c>
      <c r="K912" t="str">
        <f>VLOOKUP(B912,Customers!A:G,7,FALSE)</f>
        <v>Student</v>
      </c>
    </row>
    <row r="913" spans="1:11" x14ac:dyDescent="0.25">
      <c r="A913" t="s">
        <v>1962</v>
      </c>
      <c r="B913" t="s">
        <v>950</v>
      </c>
      <c r="C913" t="s">
        <v>1049</v>
      </c>
      <c r="D913" t="s">
        <v>1068</v>
      </c>
      <c r="E913">
        <v>1194.28</v>
      </c>
      <c r="F913" s="8">
        <v>45925</v>
      </c>
      <c r="H913" t="str">
        <f>IF(COUNTIF(Customers!$A$2:$A$1001,B913)&gt;0,"Valid","Invalid")</f>
        <v>Valid</v>
      </c>
      <c r="I913" t="str">
        <f t="shared" si="14"/>
        <v>Valid</v>
      </c>
      <c r="K913" t="str">
        <f>VLOOKUP(B913,Customers!A:G,7,FALSE)</f>
        <v>Individual</v>
      </c>
    </row>
    <row r="914" spans="1:11" x14ac:dyDescent="0.25">
      <c r="A914" t="s">
        <v>1963</v>
      </c>
      <c r="B914" t="s">
        <v>951</v>
      </c>
      <c r="C914" t="s">
        <v>1045</v>
      </c>
      <c r="D914" t="s">
        <v>1073</v>
      </c>
      <c r="E914">
        <v>895.46</v>
      </c>
      <c r="F914" s="8">
        <v>45229</v>
      </c>
      <c r="H914" t="str">
        <f>IF(COUNTIF(Customers!$A$2:$A$1001,B914)&gt;0,"Valid","Invalid")</f>
        <v>Valid</v>
      </c>
      <c r="I914" t="str">
        <f t="shared" si="14"/>
        <v>Valid</v>
      </c>
      <c r="K914" t="str">
        <f>VLOOKUP(B914,Customers!A:G,7,FALSE)</f>
        <v>Individual</v>
      </c>
    </row>
    <row r="915" spans="1:11" x14ac:dyDescent="0.25">
      <c r="A915" t="s">
        <v>1964</v>
      </c>
      <c r="B915" t="s">
        <v>952</v>
      </c>
      <c r="C915" t="s">
        <v>1045</v>
      </c>
      <c r="D915" t="s">
        <v>1050</v>
      </c>
      <c r="E915">
        <v>268.99</v>
      </c>
      <c r="F915" s="8">
        <v>45467</v>
      </c>
      <c r="H915" t="str">
        <f>IF(COUNTIF(Customers!$A$2:$A$1001,B915)&gt;0,"Valid","Invalid")</f>
        <v>Valid</v>
      </c>
      <c r="I915" t="str">
        <f t="shared" si="14"/>
        <v>Valid</v>
      </c>
      <c r="K915" t="str">
        <f>VLOOKUP(B915,Customers!A:G,7,FALSE)</f>
        <v>SME</v>
      </c>
    </row>
    <row r="916" spans="1:11" x14ac:dyDescent="0.25">
      <c r="A916" t="s">
        <v>1965</v>
      </c>
      <c r="B916" t="s">
        <v>953</v>
      </c>
      <c r="C916" t="s">
        <v>1045</v>
      </c>
      <c r="D916" t="s">
        <v>1050</v>
      </c>
      <c r="E916">
        <v>876.73</v>
      </c>
      <c r="F916" s="8">
        <v>45396</v>
      </c>
      <c r="H916" t="str">
        <f>IF(COUNTIF(Customers!$A$2:$A$1001,B916)&gt;0,"Valid","Invalid")</f>
        <v>Valid</v>
      </c>
      <c r="I916" t="str">
        <f t="shared" si="14"/>
        <v>Valid</v>
      </c>
      <c r="K916" t="str">
        <f>VLOOKUP(B916,Customers!A:G,7,FALSE)</f>
        <v>Individual</v>
      </c>
    </row>
    <row r="917" spans="1:11" x14ac:dyDescent="0.25">
      <c r="A917" t="s">
        <v>1966</v>
      </c>
      <c r="B917" t="s">
        <v>954</v>
      </c>
      <c r="C917" t="s">
        <v>1045</v>
      </c>
      <c r="D917" t="s">
        <v>1050</v>
      </c>
      <c r="E917">
        <v>1083.23</v>
      </c>
      <c r="F917" s="8">
        <v>45739</v>
      </c>
      <c r="H917" t="str">
        <f>IF(COUNTIF(Customers!$A$2:$A$1001,B917)&gt;0,"Valid","Invalid")</f>
        <v>Valid</v>
      </c>
      <c r="I917" t="str">
        <f t="shared" si="14"/>
        <v>Valid</v>
      </c>
      <c r="K917" t="str">
        <f>VLOOKUP(B917,Customers!A:G,7,FALSE)</f>
        <v>Individual</v>
      </c>
    </row>
    <row r="918" spans="1:11" x14ac:dyDescent="0.25">
      <c r="A918" t="s">
        <v>1967</v>
      </c>
      <c r="B918" t="s">
        <v>955</v>
      </c>
      <c r="C918" t="s">
        <v>1045</v>
      </c>
      <c r="D918" t="s">
        <v>1050</v>
      </c>
      <c r="E918">
        <v>2103.23</v>
      </c>
      <c r="F918" s="8">
        <v>45003</v>
      </c>
      <c r="H918" t="str">
        <f>IF(COUNTIF(Customers!$A$2:$A$1001,B918)&gt;0,"Valid","Invalid")</f>
        <v>Valid</v>
      </c>
      <c r="I918" t="str">
        <f t="shared" si="14"/>
        <v>Valid</v>
      </c>
      <c r="K918" t="str">
        <f>VLOOKUP(B918,Customers!A:G,7,FALSE)</f>
        <v>SME</v>
      </c>
    </row>
    <row r="919" spans="1:11" x14ac:dyDescent="0.25">
      <c r="A919" t="s">
        <v>1968</v>
      </c>
      <c r="B919" t="s">
        <v>956</v>
      </c>
      <c r="C919" t="s">
        <v>1056</v>
      </c>
      <c r="D919" t="s">
        <v>1050</v>
      </c>
      <c r="E919">
        <v>12875.56</v>
      </c>
      <c r="F919" s="8">
        <v>45946</v>
      </c>
      <c r="H919" t="str">
        <f>IF(COUNTIF(Customers!$A$2:$A$1001,B919)&gt;0,"Valid","Invalid")</f>
        <v>Valid</v>
      </c>
      <c r="I919" t="str">
        <f t="shared" si="14"/>
        <v>Valid</v>
      </c>
      <c r="K919" t="str">
        <f>VLOOKUP(B919,Customers!A:G,7,FALSE)</f>
        <v>SME</v>
      </c>
    </row>
    <row r="920" spans="1:11" x14ac:dyDescent="0.25">
      <c r="A920" t="s">
        <v>1969</v>
      </c>
      <c r="B920" t="s">
        <v>957</v>
      </c>
      <c r="C920" t="s">
        <v>1045</v>
      </c>
      <c r="D920" t="s">
        <v>1050</v>
      </c>
      <c r="E920">
        <v>976.57</v>
      </c>
      <c r="F920" s="8">
        <v>44950</v>
      </c>
      <c r="H920" t="str">
        <f>IF(COUNTIF(Customers!$A$2:$A$1001,B920)&gt;0,"Valid","Invalid")</f>
        <v>Valid</v>
      </c>
      <c r="I920" t="str">
        <f t="shared" si="14"/>
        <v>Valid</v>
      </c>
      <c r="K920" t="str">
        <f>VLOOKUP(B920,Customers!A:G,7,FALSE)</f>
        <v>Individual</v>
      </c>
    </row>
    <row r="921" spans="1:11" x14ac:dyDescent="0.25">
      <c r="A921" t="s">
        <v>1970</v>
      </c>
      <c r="B921" t="s">
        <v>958</v>
      </c>
      <c r="C921" t="s">
        <v>1045</v>
      </c>
      <c r="D921" t="s">
        <v>1050</v>
      </c>
      <c r="E921">
        <v>649.54</v>
      </c>
      <c r="F921" s="8">
        <v>45965</v>
      </c>
      <c r="H921" t="str">
        <f>IF(COUNTIF(Customers!$A$2:$A$1001,B921)&gt;0,"Valid","Invalid")</f>
        <v>Valid</v>
      </c>
      <c r="I921" t="str">
        <f t="shared" si="14"/>
        <v>Valid</v>
      </c>
      <c r="K921" t="str">
        <f>VLOOKUP(B921,Customers!A:G,7,FALSE)</f>
        <v>Individual</v>
      </c>
    </row>
    <row r="922" spans="1:11" x14ac:dyDescent="0.25">
      <c r="A922" t="s">
        <v>1971</v>
      </c>
      <c r="B922" t="s">
        <v>959</v>
      </c>
      <c r="C922" t="s">
        <v>17</v>
      </c>
      <c r="D922" t="s">
        <v>1046</v>
      </c>
      <c r="E922">
        <v>884.93</v>
      </c>
      <c r="F922" s="8">
        <v>45602</v>
      </c>
      <c r="H922" t="str">
        <f>IF(COUNTIF(Customers!$A$2:$A$1001,B922)&gt;0,"Valid","Invalid")</f>
        <v>Valid</v>
      </c>
      <c r="I922" t="str">
        <f t="shared" si="14"/>
        <v>Valid</v>
      </c>
      <c r="K922" t="str">
        <f>VLOOKUP(B922,Customers!A:G,7,FALSE)</f>
        <v>SME</v>
      </c>
    </row>
    <row r="923" spans="1:11" x14ac:dyDescent="0.25">
      <c r="A923" t="s">
        <v>1972</v>
      </c>
      <c r="B923" t="s">
        <v>960</v>
      </c>
      <c r="C923" t="s">
        <v>1056</v>
      </c>
      <c r="D923" t="s">
        <v>1050</v>
      </c>
      <c r="E923">
        <v>2107.6799999999998</v>
      </c>
      <c r="F923" s="8">
        <v>45451</v>
      </c>
      <c r="H923" t="str">
        <f>IF(COUNTIF(Customers!$A$2:$A$1001,B923)&gt;0,"Valid","Invalid")</f>
        <v>Valid</v>
      </c>
      <c r="I923" t="str">
        <f t="shared" si="14"/>
        <v>Valid</v>
      </c>
      <c r="K923" t="str">
        <f>VLOOKUP(B923,Customers!A:G,7,FALSE)</f>
        <v>Corporate</v>
      </c>
    </row>
    <row r="924" spans="1:11" x14ac:dyDescent="0.25">
      <c r="A924" t="s">
        <v>1973</v>
      </c>
      <c r="B924" t="s">
        <v>961</v>
      </c>
      <c r="C924" t="s">
        <v>1049</v>
      </c>
      <c r="D924" t="s">
        <v>1050</v>
      </c>
      <c r="E924">
        <v>3257.24</v>
      </c>
      <c r="F924" s="8">
        <v>45273</v>
      </c>
      <c r="H924" t="str">
        <f>IF(COUNTIF(Customers!$A$2:$A$1001,B924)&gt;0,"Valid","Invalid")</f>
        <v>Valid</v>
      </c>
      <c r="I924" t="str">
        <f t="shared" si="14"/>
        <v>Valid</v>
      </c>
      <c r="K924" t="str">
        <f>VLOOKUP(B924,Customers!A:G,7,FALSE)</f>
        <v>SME</v>
      </c>
    </row>
    <row r="925" spans="1:11" x14ac:dyDescent="0.25">
      <c r="A925" t="s">
        <v>1974</v>
      </c>
      <c r="B925" t="s">
        <v>962</v>
      </c>
      <c r="C925" t="s">
        <v>1045</v>
      </c>
      <c r="D925" t="s">
        <v>1050</v>
      </c>
      <c r="E925">
        <v>3745.63</v>
      </c>
      <c r="F925" s="8">
        <v>45098</v>
      </c>
      <c r="H925" t="str">
        <f>IF(COUNTIF(Customers!$A$2:$A$1001,B925)&gt;0,"Valid","Invalid")</f>
        <v>Valid</v>
      </c>
      <c r="I925" t="str">
        <f t="shared" si="14"/>
        <v>Valid</v>
      </c>
      <c r="K925" t="str">
        <f>VLOOKUP(B925,Customers!A:G,7,FALSE)</f>
        <v>Individual</v>
      </c>
    </row>
    <row r="926" spans="1:11" x14ac:dyDescent="0.25">
      <c r="A926" t="s">
        <v>1975</v>
      </c>
      <c r="B926" t="s">
        <v>963</v>
      </c>
      <c r="C926" t="s">
        <v>1056</v>
      </c>
      <c r="D926" t="s">
        <v>1050</v>
      </c>
      <c r="E926">
        <v>4136.92</v>
      </c>
      <c r="F926" s="8">
        <v>45638</v>
      </c>
      <c r="H926" t="str">
        <f>IF(COUNTIF(Customers!$A$2:$A$1001,B926)&gt;0,"Valid","Invalid")</f>
        <v>Valid</v>
      </c>
      <c r="I926" t="str">
        <f t="shared" si="14"/>
        <v>Valid</v>
      </c>
      <c r="K926" t="str">
        <f>VLOOKUP(B926,Customers!A:G,7,FALSE)</f>
        <v>Individual</v>
      </c>
    </row>
    <row r="927" spans="1:11" x14ac:dyDescent="0.25">
      <c r="A927" t="s">
        <v>1976</v>
      </c>
      <c r="B927" t="s">
        <v>964</v>
      </c>
      <c r="C927" t="s">
        <v>1049</v>
      </c>
      <c r="D927" t="s">
        <v>1046</v>
      </c>
      <c r="E927">
        <v>4765.8500000000004</v>
      </c>
      <c r="F927" s="8">
        <v>45415</v>
      </c>
      <c r="H927" t="str">
        <f>IF(COUNTIF(Customers!$A$2:$A$1001,B927)&gt;0,"Valid","Invalid")</f>
        <v>Valid</v>
      </c>
      <c r="I927" t="str">
        <f t="shared" si="14"/>
        <v>Valid</v>
      </c>
      <c r="K927" t="str">
        <f>VLOOKUP(B927,Customers!A:G,7,FALSE)</f>
        <v>Individual</v>
      </c>
    </row>
    <row r="928" spans="1:11" x14ac:dyDescent="0.25">
      <c r="A928" t="s">
        <v>1977</v>
      </c>
      <c r="B928" t="s">
        <v>965</v>
      </c>
      <c r="C928" t="s">
        <v>1056</v>
      </c>
      <c r="D928" t="s">
        <v>1050</v>
      </c>
      <c r="E928">
        <v>1368.02</v>
      </c>
      <c r="F928" s="8">
        <v>45304</v>
      </c>
      <c r="H928" t="str">
        <f>IF(COUNTIF(Customers!$A$2:$A$1001,B928)&gt;0,"Valid","Invalid")</f>
        <v>Valid</v>
      </c>
      <c r="I928" t="str">
        <f t="shared" si="14"/>
        <v>Valid</v>
      </c>
      <c r="K928" t="str">
        <f>VLOOKUP(B928,Customers!A:G,7,FALSE)</f>
        <v>SME</v>
      </c>
    </row>
    <row r="929" spans="1:11" x14ac:dyDescent="0.25">
      <c r="A929" t="s">
        <v>1978</v>
      </c>
      <c r="B929" t="s">
        <v>966</v>
      </c>
      <c r="C929" t="s">
        <v>1056</v>
      </c>
      <c r="D929" t="s">
        <v>1068</v>
      </c>
      <c r="E929">
        <v>14088.87</v>
      </c>
      <c r="F929" s="8">
        <v>46114</v>
      </c>
      <c r="H929" t="str">
        <f>IF(COUNTIF(Customers!$A$2:$A$1001,B929)&gt;0,"Valid","Invalid")</f>
        <v>Valid</v>
      </c>
      <c r="I929" t="str">
        <f t="shared" si="14"/>
        <v>Valid</v>
      </c>
      <c r="K929" t="str">
        <f>VLOOKUP(B929,Customers!A:G,7,FALSE)</f>
        <v>Individual</v>
      </c>
    </row>
    <row r="930" spans="1:11" x14ac:dyDescent="0.25">
      <c r="A930" t="s">
        <v>1979</v>
      </c>
      <c r="B930" t="s">
        <v>967</v>
      </c>
      <c r="C930" t="s">
        <v>1045</v>
      </c>
      <c r="D930" t="s">
        <v>1050</v>
      </c>
      <c r="E930">
        <v>1268.04</v>
      </c>
      <c r="F930" s="8">
        <v>45298</v>
      </c>
      <c r="H930" t="str">
        <f>IF(COUNTIF(Customers!$A$2:$A$1001,B930)&gt;0,"Valid","Invalid")</f>
        <v>Valid</v>
      </c>
      <c r="I930" t="str">
        <f t="shared" si="14"/>
        <v>Valid</v>
      </c>
      <c r="K930" t="str">
        <f>VLOOKUP(B930,Customers!A:G,7,FALSE)</f>
        <v>Individual</v>
      </c>
    </row>
    <row r="931" spans="1:11" x14ac:dyDescent="0.25">
      <c r="A931" t="s">
        <v>1980</v>
      </c>
      <c r="B931" t="s">
        <v>968</v>
      </c>
      <c r="C931" t="s">
        <v>1045</v>
      </c>
      <c r="D931" t="s">
        <v>1050</v>
      </c>
      <c r="E931">
        <v>2016.95</v>
      </c>
      <c r="F931" s="8">
        <v>45926</v>
      </c>
      <c r="H931" t="str">
        <f>IF(COUNTIF(Customers!$A$2:$A$1001,B931)&gt;0,"Valid","Invalid")</f>
        <v>Valid</v>
      </c>
      <c r="I931" t="str">
        <f t="shared" si="14"/>
        <v>Valid</v>
      </c>
      <c r="K931" t="str">
        <f>VLOOKUP(B931,Customers!A:G,7,FALSE)</f>
        <v>SME</v>
      </c>
    </row>
    <row r="932" spans="1:11" x14ac:dyDescent="0.25">
      <c r="A932" t="s">
        <v>1981</v>
      </c>
      <c r="B932" t="s">
        <v>969</v>
      </c>
      <c r="C932" t="s">
        <v>1045</v>
      </c>
      <c r="D932" t="s">
        <v>1050</v>
      </c>
      <c r="E932">
        <v>6606.62</v>
      </c>
      <c r="F932" s="8">
        <v>45903</v>
      </c>
      <c r="H932" t="str">
        <f>IF(COUNTIF(Customers!$A$2:$A$1001,B932)&gt;0,"Valid","Invalid")</f>
        <v>Valid</v>
      </c>
      <c r="I932" t="str">
        <f t="shared" si="14"/>
        <v>Valid</v>
      </c>
      <c r="K932" t="str">
        <f>VLOOKUP(B932,Customers!A:G,7,FALSE)</f>
        <v>Individual</v>
      </c>
    </row>
    <row r="933" spans="1:11" x14ac:dyDescent="0.25">
      <c r="A933" t="s">
        <v>1982</v>
      </c>
      <c r="B933" t="s">
        <v>970</v>
      </c>
      <c r="C933" t="s">
        <v>1045</v>
      </c>
      <c r="D933" t="s">
        <v>1050</v>
      </c>
      <c r="E933">
        <v>3185.69</v>
      </c>
      <c r="F933" s="8">
        <v>45683</v>
      </c>
      <c r="H933" t="str">
        <f>IF(COUNTIF(Customers!$A$2:$A$1001,B933)&gt;0,"Valid","Invalid")</f>
        <v>Valid</v>
      </c>
      <c r="I933" t="str">
        <f t="shared" si="14"/>
        <v>Valid</v>
      </c>
      <c r="K933" t="str">
        <f>VLOOKUP(B933,Customers!A:G,7,FALSE)</f>
        <v>SME</v>
      </c>
    </row>
    <row r="934" spans="1:11" x14ac:dyDescent="0.25">
      <c r="A934" t="s">
        <v>1983</v>
      </c>
      <c r="B934" t="s">
        <v>971</v>
      </c>
      <c r="C934" t="s">
        <v>1049</v>
      </c>
      <c r="D934" t="s">
        <v>1046</v>
      </c>
      <c r="E934">
        <v>192.32</v>
      </c>
      <c r="F934" s="8">
        <v>45403</v>
      </c>
      <c r="H934" t="str">
        <f>IF(COUNTIF(Customers!$A$2:$A$1001,B934)&gt;0,"Valid","Invalid")</f>
        <v>Valid</v>
      </c>
      <c r="I934" t="str">
        <f t="shared" si="14"/>
        <v>Valid</v>
      </c>
      <c r="K934" t="str">
        <f>VLOOKUP(B934,Customers!A:G,7,FALSE)</f>
        <v>Individual</v>
      </c>
    </row>
    <row r="935" spans="1:11" x14ac:dyDescent="0.25">
      <c r="A935" t="s">
        <v>1984</v>
      </c>
      <c r="B935" t="s">
        <v>972</v>
      </c>
      <c r="C935" t="s">
        <v>1045</v>
      </c>
      <c r="D935" t="s">
        <v>1050</v>
      </c>
      <c r="E935">
        <v>1818.26</v>
      </c>
      <c r="F935" s="8">
        <v>45308</v>
      </c>
      <c r="H935" t="str">
        <f>IF(COUNTIF(Customers!$A$2:$A$1001,B935)&gt;0,"Valid","Invalid")</f>
        <v>Valid</v>
      </c>
      <c r="I935" t="str">
        <f t="shared" si="14"/>
        <v>Valid</v>
      </c>
      <c r="K935" t="str">
        <f>VLOOKUP(B935,Customers!A:G,7,FALSE)</f>
        <v>Individual</v>
      </c>
    </row>
    <row r="936" spans="1:11" x14ac:dyDescent="0.25">
      <c r="A936" t="s">
        <v>1985</v>
      </c>
      <c r="B936" t="s">
        <v>973</v>
      </c>
      <c r="C936" t="s">
        <v>17</v>
      </c>
      <c r="D936" t="s">
        <v>1073</v>
      </c>
      <c r="E936">
        <v>4281.1000000000004</v>
      </c>
      <c r="F936" s="8">
        <v>45081</v>
      </c>
      <c r="H936" t="str">
        <f>IF(COUNTIF(Customers!$A$2:$A$1001,B936)&gt;0,"Valid","Invalid")</f>
        <v>Valid</v>
      </c>
      <c r="I936" t="str">
        <f t="shared" si="14"/>
        <v>Valid</v>
      </c>
      <c r="K936" t="str">
        <f>VLOOKUP(B936,Customers!A:G,7,FALSE)</f>
        <v>Individual</v>
      </c>
    </row>
    <row r="937" spans="1:11" x14ac:dyDescent="0.25">
      <c r="A937" t="s">
        <v>1986</v>
      </c>
      <c r="B937" t="s">
        <v>974</v>
      </c>
      <c r="C937" t="s">
        <v>17</v>
      </c>
      <c r="D937" t="s">
        <v>1050</v>
      </c>
      <c r="E937">
        <v>471.79</v>
      </c>
      <c r="F937" s="8">
        <v>45183</v>
      </c>
      <c r="H937" t="str">
        <f>IF(COUNTIF(Customers!$A$2:$A$1001,B937)&gt;0,"Valid","Invalid")</f>
        <v>Valid</v>
      </c>
      <c r="I937" t="str">
        <f t="shared" si="14"/>
        <v>Valid</v>
      </c>
      <c r="K937" t="str">
        <f>VLOOKUP(B937,Customers!A:G,7,FALSE)</f>
        <v>SME</v>
      </c>
    </row>
    <row r="938" spans="1:11" x14ac:dyDescent="0.25">
      <c r="A938" t="s">
        <v>1987</v>
      </c>
      <c r="B938" t="s">
        <v>975</v>
      </c>
      <c r="C938" t="s">
        <v>1045</v>
      </c>
      <c r="D938" t="s">
        <v>1073</v>
      </c>
      <c r="E938">
        <v>3830.28</v>
      </c>
      <c r="F938" s="8">
        <v>45600</v>
      </c>
      <c r="H938" t="str">
        <f>IF(COUNTIF(Customers!$A$2:$A$1001,B938)&gt;0,"Valid","Invalid")</f>
        <v>Valid</v>
      </c>
      <c r="I938" t="str">
        <f t="shared" si="14"/>
        <v>Valid</v>
      </c>
      <c r="K938" t="str">
        <f>VLOOKUP(B938,Customers!A:G,7,FALSE)</f>
        <v>Individual</v>
      </c>
    </row>
    <row r="939" spans="1:11" x14ac:dyDescent="0.25">
      <c r="A939" t="s">
        <v>1988</v>
      </c>
      <c r="B939" t="s">
        <v>976</v>
      </c>
      <c r="C939" t="s">
        <v>1045</v>
      </c>
      <c r="D939" t="s">
        <v>1050</v>
      </c>
      <c r="E939">
        <v>2670.86</v>
      </c>
      <c r="F939" s="8">
        <v>44994</v>
      </c>
      <c r="H939" t="str">
        <f>IF(COUNTIF(Customers!$A$2:$A$1001,B939)&gt;0,"Valid","Invalid")</f>
        <v>Valid</v>
      </c>
      <c r="I939" t="str">
        <f t="shared" si="14"/>
        <v>Valid</v>
      </c>
      <c r="K939" t="str">
        <f>VLOOKUP(B939,Customers!A:G,7,FALSE)</f>
        <v>Individual</v>
      </c>
    </row>
    <row r="940" spans="1:11" x14ac:dyDescent="0.25">
      <c r="A940" t="s">
        <v>1989</v>
      </c>
      <c r="B940" t="s">
        <v>977</v>
      </c>
      <c r="C940" t="s">
        <v>1049</v>
      </c>
      <c r="D940" t="s">
        <v>1073</v>
      </c>
      <c r="E940">
        <v>5907.16</v>
      </c>
      <c r="F940" s="8">
        <v>45270</v>
      </c>
      <c r="H940" t="str">
        <f>IF(COUNTIF(Customers!$A$2:$A$1001,B940)&gt;0,"Valid","Invalid")</f>
        <v>Valid</v>
      </c>
      <c r="I940" t="str">
        <f t="shared" si="14"/>
        <v>Valid</v>
      </c>
      <c r="K940" t="str">
        <f>VLOOKUP(B940,Customers!A:G,7,FALSE)</f>
        <v>Corporate</v>
      </c>
    </row>
    <row r="941" spans="1:11" x14ac:dyDescent="0.25">
      <c r="A941" t="s">
        <v>1990</v>
      </c>
      <c r="B941" t="s">
        <v>978</v>
      </c>
      <c r="C941" t="s">
        <v>17</v>
      </c>
      <c r="D941" t="s">
        <v>1050</v>
      </c>
      <c r="E941">
        <v>905.12</v>
      </c>
      <c r="F941" s="8">
        <v>45599</v>
      </c>
      <c r="H941" t="str">
        <f>IF(COUNTIF(Customers!$A$2:$A$1001,B941)&gt;0,"Valid","Invalid")</f>
        <v>Valid</v>
      </c>
      <c r="I941" t="str">
        <f t="shared" si="14"/>
        <v>Valid</v>
      </c>
      <c r="K941" t="str">
        <f>VLOOKUP(B941,Customers!A:G,7,FALSE)</f>
        <v>Individual</v>
      </c>
    </row>
    <row r="942" spans="1:11" x14ac:dyDescent="0.25">
      <c r="A942" t="s">
        <v>1991</v>
      </c>
      <c r="B942" t="s">
        <v>979</v>
      </c>
      <c r="C942" t="s">
        <v>1045</v>
      </c>
      <c r="D942" t="s">
        <v>1050</v>
      </c>
      <c r="E942">
        <v>4894.63</v>
      </c>
      <c r="F942" s="8">
        <v>45317</v>
      </c>
      <c r="H942" t="str">
        <f>IF(COUNTIF(Customers!$A$2:$A$1001,B942)&gt;0,"Valid","Invalid")</f>
        <v>Valid</v>
      </c>
      <c r="I942" t="str">
        <f t="shared" si="14"/>
        <v>Valid</v>
      </c>
      <c r="K942" t="str">
        <f>VLOOKUP(B942,Customers!A:G,7,FALSE)</f>
        <v>Individual</v>
      </c>
    </row>
    <row r="943" spans="1:11" x14ac:dyDescent="0.25">
      <c r="A943" t="s">
        <v>1992</v>
      </c>
      <c r="B943" t="s">
        <v>980</v>
      </c>
      <c r="C943" t="s">
        <v>1045</v>
      </c>
      <c r="D943" t="s">
        <v>1050</v>
      </c>
      <c r="E943">
        <v>2120.9299999999998</v>
      </c>
      <c r="F943" s="8">
        <v>45185</v>
      </c>
      <c r="H943" t="str">
        <f>IF(COUNTIF(Customers!$A$2:$A$1001,B943)&gt;0,"Valid","Invalid")</f>
        <v>Valid</v>
      </c>
      <c r="I943" t="str">
        <f t="shared" si="14"/>
        <v>Valid</v>
      </c>
      <c r="K943" t="str">
        <f>VLOOKUP(B943,Customers!A:G,7,FALSE)</f>
        <v>Individual</v>
      </c>
    </row>
    <row r="944" spans="1:11" x14ac:dyDescent="0.25">
      <c r="A944" t="s">
        <v>1993</v>
      </c>
      <c r="B944" t="s">
        <v>981</v>
      </c>
      <c r="C944" t="s">
        <v>1056</v>
      </c>
      <c r="D944" t="s">
        <v>1068</v>
      </c>
      <c r="E944">
        <v>10572.91</v>
      </c>
      <c r="F944" s="8">
        <v>45233</v>
      </c>
      <c r="H944" t="str">
        <f>IF(COUNTIF(Customers!$A$2:$A$1001,B944)&gt;0,"Valid","Invalid")</f>
        <v>Valid</v>
      </c>
      <c r="I944" t="str">
        <f t="shared" si="14"/>
        <v>Valid</v>
      </c>
      <c r="K944" t="str">
        <f>VLOOKUP(B944,Customers!A:G,7,FALSE)</f>
        <v>Individual</v>
      </c>
    </row>
    <row r="945" spans="1:11" x14ac:dyDescent="0.25">
      <c r="A945" t="s">
        <v>1994</v>
      </c>
      <c r="B945" t="s">
        <v>982</v>
      </c>
      <c r="C945" t="s">
        <v>1056</v>
      </c>
      <c r="D945" t="s">
        <v>1050</v>
      </c>
      <c r="E945">
        <v>29320.73</v>
      </c>
      <c r="F945" s="8">
        <v>46045</v>
      </c>
      <c r="H945" t="str">
        <f>IF(COUNTIF(Customers!$A$2:$A$1001,B945)&gt;0,"Valid","Invalid")</f>
        <v>Valid</v>
      </c>
      <c r="I945" t="str">
        <f t="shared" si="14"/>
        <v>Valid</v>
      </c>
      <c r="K945" t="str">
        <f>VLOOKUP(B945,Customers!A:G,7,FALSE)</f>
        <v>Individual</v>
      </c>
    </row>
    <row r="946" spans="1:11" x14ac:dyDescent="0.25">
      <c r="A946" t="s">
        <v>1995</v>
      </c>
      <c r="B946" t="s">
        <v>983</v>
      </c>
      <c r="C946" t="s">
        <v>1045</v>
      </c>
      <c r="D946" t="s">
        <v>1050</v>
      </c>
      <c r="E946">
        <v>8419.7099999999991</v>
      </c>
      <c r="F946" s="8">
        <v>45876</v>
      </c>
      <c r="H946" t="str">
        <f>IF(COUNTIF(Customers!$A$2:$A$1001,B946)&gt;0,"Valid","Invalid")</f>
        <v>Valid</v>
      </c>
      <c r="I946" t="str">
        <f t="shared" si="14"/>
        <v>Valid</v>
      </c>
      <c r="K946" t="str">
        <f>VLOOKUP(B946,Customers!A:G,7,FALSE)</f>
        <v>Individual</v>
      </c>
    </row>
    <row r="947" spans="1:11" x14ac:dyDescent="0.25">
      <c r="A947" t="s">
        <v>1996</v>
      </c>
      <c r="B947" t="s">
        <v>984</v>
      </c>
      <c r="C947" t="s">
        <v>1049</v>
      </c>
      <c r="D947" t="s">
        <v>1046</v>
      </c>
      <c r="E947">
        <v>2923.45</v>
      </c>
      <c r="F947" s="8">
        <v>45896</v>
      </c>
      <c r="H947" t="str">
        <f>IF(COUNTIF(Customers!$A$2:$A$1001,B947)&gt;0,"Valid","Invalid")</f>
        <v>Valid</v>
      </c>
      <c r="I947" t="str">
        <f t="shared" si="14"/>
        <v>Valid</v>
      </c>
      <c r="K947" t="str">
        <f>VLOOKUP(B947,Customers!A:G,7,FALSE)</f>
        <v>Individual</v>
      </c>
    </row>
    <row r="948" spans="1:11" x14ac:dyDescent="0.25">
      <c r="A948" t="s">
        <v>1997</v>
      </c>
      <c r="B948" t="s">
        <v>985</v>
      </c>
      <c r="C948" t="s">
        <v>1045</v>
      </c>
      <c r="D948" t="s">
        <v>1050</v>
      </c>
      <c r="E948">
        <v>18416.53</v>
      </c>
      <c r="F948" s="8">
        <v>45172</v>
      </c>
      <c r="H948" t="str">
        <f>IF(COUNTIF(Customers!$A$2:$A$1001,B948)&gt;0,"Valid","Invalid")</f>
        <v>Valid</v>
      </c>
      <c r="I948" t="str">
        <f t="shared" si="14"/>
        <v>Valid</v>
      </c>
      <c r="K948" t="str">
        <f>VLOOKUP(B948,Customers!A:G,7,FALSE)</f>
        <v>Individual</v>
      </c>
    </row>
    <row r="949" spans="1:11" x14ac:dyDescent="0.25">
      <c r="A949" t="s">
        <v>1998</v>
      </c>
      <c r="B949" t="s">
        <v>986</v>
      </c>
      <c r="C949" t="s">
        <v>1045</v>
      </c>
      <c r="D949" t="s">
        <v>1050</v>
      </c>
      <c r="E949">
        <v>3305.95</v>
      </c>
      <c r="F949" s="8">
        <v>45659</v>
      </c>
      <c r="H949" t="str">
        <f>IF(COUNTIF(Customers!$A$2:$A$1001,B949)&gt;0,"Valid","Invalid")</f>
        <v>Valid</v>
      </c>
      <c r="I949" t="str">
        <f t="shared" si="14"/>
        <v>Valid</v>
      </c>
      <c r="K949" t="str">
        <f>VLOOKUP(B949,Customers!A:G,7,FALSE)</f>
        <v>Individual</v>
      </c>
    </row>
    <row r="950" spans="1:11" x14ac:dyDescent="0.25">
      <c r="A950" t="s">
        <v>1999</v>
      </c>
      <c r="B950" t="s">
        <v>987</v>
      </c>
      <c r="C950" t="s">
        <v>1045</v>
      </c>
      <c r="D950" t="s">
        <v>1050</v>
      </c>
      <c r="E950">
        <v>729.28</v>
      </c>
      <c r="F950" s="8">
        <v>45113</v>
      </c>
      <c r="H950" t="str">
        <f>IF(COUNTIF(Customers!$A$2:$A$1001,B950)&gt;0,"Valid","Invalid")</f>
        <v>Valid</v>
      </c>
      <c r="I950" t="str">
        <f t="shared" si="14"/>
        <v>Valid</v>
      </c>
      <c r="K950" t="str">
        <f>VLOOKUP(B950,Customers!A:G,7,FALSE)</f>
        <v>Individual</v>
      </c>
    </row>
    <row r="951" spans="1:11" x14ac:dyDescent="0.25">
      <c r="A951" t="s">
        <v>2000</v>
      </c>
      <c r="B951" t="s">
        <v>988</v>
      </c>
      <c r="C951" t="s">
        <v>1045</v>
      </c>
      <c r="D951" t="s">
        <v>1050</v>
      </c>
      <c r="E951">
        <v>1738.41</v>
      </c>
      <c r="F951" s="8">
        <v>45851</v>
      </c>
      <c r="H951" t="str">
        <f>IF(COUNTIF(Customers!$A$2:$A$1001,B951)&gt;0,"Valid","Invalid")</f>
        <v>Valid</v>
      </c>
      <c r="I951" t="str">
        <f t="shared" si="14"/>
        <v>Valid</v>
      </c>
      <c r="K951" t="str">
        <f>VLOOKUP(B951,Customers!A:G,7,FALSE)</f>
        <v>Individual</v>
      </c>
    </row>
    <row r="952" spans="1:11" x14ac:dyDescent="0.25">
      <c r="A952" t="s">
        <v>2001</v>
      </c>
      <c r="B952" t="s">
        <v>989</v>
      </c>
      <c r="C952" t="s">
        <v>1045</v>
      </c>
      <c r="D952" t="s">
        <v>1073</v>
      </c>
      <c r="E952">
        <v>3872.56</v>
      </c>
      <c r="F952" s="8">
        <v>45711</v>
      </c>
      <c r="H952" t="str">
        <f>IF(COUNTIF(Customers!$A$2:$A$1001,B952)&gt;0,"Valid","Invalid")</f>
        <v>Valid</v>
      </c>
      <c r="I952" t="str">
        <f t="shared" si="14"/>
        <v>Valid</v>
      </c>
      <c r="K952" t="str">
        <f>VLOOKUP(B952,Customers!A:G,7,FALSE)</f>
        <v>Individual</v>
      </c>
    </row>
    <row r="953" spans="1:11" x14ac:dyDescent="0.25">
      <c r="A953" t="s">
        <v>2002</v>
      </c>
      <c r="B953" t="s">
        <v>990</v>
      </c>
      <c r="C953" t="s">
        <v>1045</v>
      </c>
      <c r="D953" t="s">
        <v>1046</v>
      </c>
      <c r="E953">
        <v>4129.68</v>
      </c>
      <c r="F953" s="8">
        <v>45334</v>
      </c>
      <c r="H953" t="str">
        <f>IF(COUNTIF(Customers!$A$2:$A$1001,B953)&gt;0,"Valid","Invalid")</f>
        <v>Valid</v>
      </c>
      <c r="I953" t="str">
        <f t="shared" si="14"/>
        <v>Valid</v>
      </c>
      <c r="K953" t="str">
        <f>VLOOKUP(B953,Customers!A:G,7,FALSE)</f>
        <v>Individual</v>
      </c>
    </row>
    <row r="954" spans="1:11" x14ac:dyDescent="0.25">
      <c r="A954" t="s">
        <v>2003</v>
      </c>
      <c r="B954" t="s">
        <v>991</v>
      </c>
      <c r="C954" t="s">
        <v>1045</v>
      </c>
      <c r="D954" t="s">
        <v>1050</v>
      </c>
      <c r="E954">
        <v>586.83000000000004</v>
      </c>
      <c r="F954" s="8">
        <v>46075</v>
      </c>
      <c r="H954" t="str">
        <f>IF(COUNTIF(Customers!$A$2:$A$1001,B954)&gt;0,"Valid","Invalid")</f>
        <v>Valid</v>
      </c>
      <c r="I954" t="str">
        <f t="shared" si="14"/>
        <v>Valid</v>
      </c>
      <c r="K954" t="str">
        <f>VLOOKUP(B954,Customers!A:G,7,FALSE)</f>
        <v>Individual</v>
      </c>
    </row>
    <row r="955" spans="1:11" x14ac:dyDescent="0.25">
      <c r="A955" t="s">
        <v>2004</v>
      </c>
      <c r="B955" t="s">
        <v>992</v>
      </c>
      <c r="C955" t="s">
        <v>1045</v>
      </c>
      <c r="D955" t="s">
        <v>1068</v>
      </c>
      <c r="E955">
        <v>605.75</v>
      </c>
      <c r="F955" s="8">
        <v>45267</v>
      </c>
      <c r="H955" t="str">
        <f>IF(COUNTIF(Customers!$A$2:$A$1001,B955)&gt;0,"Valid","Invalid")</f>
        <v>Valid</v>
      </c>
      <c r="I955" t="str">
        <f t="shared" si="14"/>
        <v>Valid</v>
      </c>
      <c r="K955" t="str">
        <f>VLOOKUP(B955,Customers!A:G,7,FALSE)</f>
        <v>Individual</v>
      </c>
    </row>
    <row r="956" spans="1:11" x14ac:dyDescent="0.25">
      <c r="A956" t="s">
        <v>2005</v>
      </c>
      <c r="B956" t="s">
        <v>993</v>
      </c>
      <c r="C956" t="s">
        <v>1045</v>
      </c>
      <c r="D956" t="s">
        <v>1050</v>
      </c>
      <c r="E956">
        <v>1285.23</v>
      </c>
      <c r="F956" s="8">
        <v>45489</v>
      </c>
      <c r="H956" t="str">
        <f>IF(COUNTIF(Customers!$A$2:$A$1001,B956)&gt;0,"Valid","Invalid")</f>
        <v>Valid</v>
      </c>
      <c r="I956" t="str">
        <f t="shared" si="14"/>
        <v>Valid</v>
      </c>
      <c r="K956" t="str">
        <f>VLOOKUP(B956,Customers!A:G,7,FALSE)</f>
        <v>SME</v>
      </c>
    </row>
    <row r="957" spans="1:11" x14ac:dyDescent="0.25">
      <c r="A957" t="s">
        <v>2006</v>
      </c>
      <c r="B957" t="s">
        <v>994</v>
      </c>
      <c r="C957" t="s">
        <v>17</v>
      </c>
      <c r="D957" t="s">
        <v>1050</v>
      </c>
      <c r="E957">
        <v>3085.73</v>
      </c>
      <c r="F957" s="8">
        <v>46128</v>
      </c>
      <c r="H957" t="str">
        <f>IF(COUNTIF(Customers!$A$2:$A$1001,B957)&gt;0,"Valid","Invalid")</f>
        <v>Valid</v>
      </c>
      <c r="I957" t="str">
        <f t="shared" si="14"/>
        <v>Valid</v>
      </c>
      <c r="K957" t="str">
        <f>VLOOKUP(B957,Customers!A:G,7,FALSE)</f>
        <v>Individual</v>
      </c>
    </row>
    <row r="958" spans="1:11" x14ac:dyDescent="0.25">
      <c r="A958" t="s">
        <v>2007</v>
      </c>
      <c r="B958" t="s">
        <v>995</v>
      </c>
      <c r="C958" t="s">
        <v>1045</v>
      </c>
      <c r="D958" t="s">
        <v>1050</v>
      </c>
      <c r="E958">
        <v>3507.16</v>
      </c>
      <c r="F958" s="8">
        <v>45577</v>
      </c>
      <c r="H958" t="str">
        <f>IF(COUNTIF(Customers!$A$2:$A$1001,B958)&gt;0,"Valid","Invalid")</f>
        <v>Valid</v>
      </c>
      <c r="I958" t="str">
        <f t="shared" si="14"/>
        <v>Valid</v>
      </c>
      <c r="K958" t="str">
        <f>VLOOKUP(B958,Customers!A:G,7,FALSE)</f>
        <v>SME</v>
      </c>
    </row>
    <row r="959" spans="1:11" x14ac:dyDescent="0.25">
      <c r="A959" t="s">
        <v>2008</v>
      </c>
      <c r="B959" t="s">
        <v>996</v>
      </c>
      <c r="C959" t="s">
        <v>1045</v>
      </c>
      <c r="D959" t="s">
        <v>1050</v>
      </c>
      <c r="E959">
        <v>2082.46</v>
      </c>
      <c r="F959" s="8">
        <v>45878</v>
      </c>
      <c r="H959" t="str">
        <f>IF(COUNTIF(Customers!$A$2:$A$1001,B959)&gt;0,"Valid","Invalid")</f>
        <v>Valid</v>
      </c>
      <c r="I959" t="str">
        <f t="shared" si="14"/>
        <v>Valid</v>
      </c>
      <c r="K959" t="str">
        <f>VLOOKUP(B959,Customers!A:G,7,FALSE)</f>
        <v>Corporate</v>
      </c>
    </row>
    <row r="960" spans="1:11" x14ac:dyDescent="0.25">
      <c r="A960" t="s">
        <v>2009</v>
      </c>
      <c r="B960" t="s">
        <v>997</v>
      </c>
      <c r="C960" t="s">
        <v>1056</v>
      </c>
      <c r="D960" t="s">
        <v>1050</v>
      </c>
      <c r="E960">
        <v>784.91</v>
      </c>
      <c r="F960" s="8">
        <v>46120</v>
      </c>
      <c r="H960" t="str">
        <f>IF(COUNTIF(Customers!$A$2:$A$1001,B960)&gt;0,"Valid","Invalid")</f>
        <v>Valid</v>
      </c>
      <c r="I960" t="str">
        <f t="shared" si="14"/>
        <v>Valid</v>
      </c>
      <c r="K960" t="str">
        <f>VLOOKUP(B960,Customers!A:G,7,FALSE)</f>
        <v>Individual</v>
      </c>
    </row>
    <row r="961" spans="1:11" x14ac:dyDescent="0.25">
      <c r="A961" t="s">
        <v>2010</v>
      </c>
      <c r="B961" t="s">
        <v>998</v>
      </c>
      <c r="C961" t="s">
        <v>17</v>
      </c>
      <c r="D961" t="s">
        <v>1068</v>
      </c>
      <c r="E961">
        <v>10269.6</v>
      </c>
      <c r="F961" s="8">
        <v>45989</v>
      </c>
      <c r="H961" t="str">
        <f>IF(COUNTIF(Customers!$A$2:$A$1001,B961)&gt;0,"Valid","Invalid")</f>
        <v>Valid</v>
      </c>
      <c r="I961" t="str">
        <f t="shared" si="14"/>
        <v>Valid</v>
      </c>
      <c r="K961" t="str">
        <f>VLOOKUP(B961,Customers!A:G,7,FALSE)</f>
        <v>Individual</v>
      </c>
    </row>
    <row r="962" spans="1:11" x14ac:dyDescent="0.25">
      <c r="A962" t="s">
        <v>2011</v>
      </c>
      <c r="B962" t="s">
        <v>999</v>
      </c>
      <c r="C962" t="s">
        <v>1045</v>
      </c>
      <c r="D962" t="s">
        <v>1046</v>
      </c>
      <c r="E962">
        <v>618.9</v>
      </c>
      <c r="F962" s="8">
        <v>44995</v>
      </c>
      <c r="H962" t="str">
        <f>IF(COUNTIF(Customers!$A$2:$A$1001,B962)&gt;0,"Valid","Invalid")</f>
        <v>Valid</v>
      </c>
      <c r="I962" t="str">
        <f t="shared" si="14"/>
        <v>Valid</v>
      </c>
      <c r="K962" t="str">
        <f>VLOOKUP(B962,Customers!A:G,7,FALSE)</f>
        <v>Individual</v>
      </c>
    </row>
    <row r="963" spans="1:11" x14ac:dyDescent="0.25">
      <c r="A963" t="s">
        <v>2012</v>
      </c>
      <c r="B963" t="s">
        <v>1000</v>
      </c>
      <c r="C963" t="s">
        <v>1056</v>
      </c>
      <c r="D963" t="s">
        <v>1050</v>
      </c>
      <c r="E963">
        <v>6649.79</v>
      </c>
      <c r="F963" s="8">
        <v>46186</v>
      </c>
      <c r="H963" t="str">
        <f>IF(COUNTIF(Customers!$A$2:$A$1001,B963)&gt;0,"Valid","Invalid")</f>
        <v>Valid</v>
      </c>
      <c r="I963" t="str">
        <f t="shared" ref="I963:I1001" si="15">IF(OR(C963="Savings",C963="Current",C963="Business",C963="Student"),"Valid","Check")</f>
        <v>Valid</v>
      </c>
      <c r="K963" t="str">
        <f>VLOOKUP(B963,Customers!A:G,7,FALSE)</f>
        <v>SME</v>
      </c>
    </row>
    <row r="964" spans="1:11" x14ac:dyDescent="0.25">
      <c r="A964" t="s">
        <v>2013</v>
      </c>
      <c r="B964" t="s">
        <v>1001</v>
      </c>
      <c r="C964" t="s">
        <v>1056</v>
      </c>
      <c r="D964" t="s">
        <v>1050</v>
      </c>
      <c r="E964">
        <v>3785.08</v>
      </c>
      <c r="F964" s="8">
        <v>45307</v>
      </c>
      <c r="H964" t="str">
        <f>IF(COUNTIF(Customers!$A$2:$A$1001,B964)&gt;0,"Valid","Invalid")</f>
        <v>Valid</v>
      </c>
      <c r="I964" t="str">
        <f t="shared" si="15"/>
        <v>Valid</v>
      </c>
      <c r="K964" t="str">
        <f>VLOOKUP(B964,Customers!A:G,7,FALSE)</f>
        <v>Individual</v>
      </c>
    </row>
    <row r="965" spans="1:11" x14ac:dyDescent="0.25">
      <c r="A965" t="s">
        <v>2014</v>
      </c>
      <c r="B965" t="s">
        <v>1002</v>
      </c>
      <c r="C965" t="s">
        <v>1056</v>
      </c>
      <c r="D965" t="s">
        <v>1046</v>
      </c>
      <c r="E965">
        <v>6505.04</v>
      </c>
      <c r="F965" s="8">
        <v>44983</v>
      </c>
      <c r="H965" t="str">
        <f>IF(COUNTIF(Customers!$A$2:$A$1001,B965)&gt;0,"Valid","Invalid")</f>
        <v>Valid</v>
      </c>
      <c r="I965" t="str">
        <f t="shared" si="15"/>
        <v>Valid</v>
      </c>
      <c r="K965" t="str">
        <f>VLOOKUP(B965,Customers!A:G,7,FALSE)</f>
        <v>Student</v>
      </c>
    </row>
    <row r="966" spans="1:11" x14ac:dyDescent="0.25">
      <c r="A966" t="s">
        <v>2015</v>
      </c>
      <c r="B966" t="s">
        <v>1003</v>
      </c>
      <c r="C966" t="s">
        <v>1045</v>
      </c>
      <c r="D966" t="s">
        <v>1068</v>
      </c>
      <c r="E966">
        <v>1159.29</v>
      </c>
      <c r="F966" s="8">
        <v>45776</v>
      </c>
      <c r="H966" t="str">
        <f>IF(COUNTIF(Customers!$A$2:$A$1001,B966)&gt;0,"Valid","Invalid")</f>
        <v>Valid</v>
      </c>
      <c r="I966" t="str">
        <f t="shared" si="15"/>
        <v>Valid</v>
      </c>
      <c r="K966" t="str">
        <f>VLOOKUP(B966,Customers!A:G,7,FALSE)</f>
        <v>Individual</v>
      </c>
    </row>
    <row r="967" spans="1:11" x14ac:dyDescent="0.25">
      <c r="A967" t="s">
        <v>2016</v>
      </c>
      <c r="B967" t="s">
        <v>1004</v>
      </c>
      <c r="C967" t="s">
        <v>1056</v>
      </c>
      <c r="D967" t="s">
        <v>1073</v>
      </c>
      <c r="E967">
        <v>1567.67</v>
      </c>
      <c r="F967" s="8">
        <v>46049</v>
      </c>
      <c r="H967" t="str">
        <f>IF(COUNTIF(Customers!$A$2:$A$1001,B967)&gt;0,"Valid","Invalid")</f>
        <v>Valid</v>
      </c>
      <c r="I967" t="str">
        <f t="shared" si="15"/>
        <v>Valid</v>
      </c>
      <c r="K967" t="str">
        <f>VLOOKUP(B967,Customers!A:G,7,FALSE)</f>
        <v>SME</v>
      </c>
    </row>
    <row r="968" spans="1:11" x14ac:dyDescent="0.25">
      <c r="A968" t="s">
        <v>2017</v>
      </c>
      <c r="B968" t="s">
        <v>1005</v>
      </c>
      <c r="C968" t="s">
        <v>1045</v>
      </c>
      <c r="D968" t="s">
        <v>1050</v>
      </c>
      <c r="E968">
        <v>1910.35</v>
      </c>
      <c r="F968" s="8">
        <v>45842</v>
      </c>
      <c r="H968" t="str">
        <f>IF(COUNTIF(Customers!$A$2:$A$1001,B968)&gt;0,"Valid","Invalid")</f>
        <v>Valid</v>
      </c>
      <c r="I968" t="str">
        <f t="shared" si="15"/>
        <v>Valid</v>
      </c>
      <c r="K968" t="str">
        <f>VLOOKUP(B968,Customers!A:G,7,FALSE)</f>
        <v>SME</v>
      </c>
    </row>
    <row r="969" spans="1:11" x14ac:dyDescent="0.25">
      <c r="A969" t="s">
        <v>2018</v>
      </c>
      <c r="B969" t="s">
        <v>1006</v>
      </c>
      <c r="C969" t="s">
        <v>1056</v>
      </c>
      <c r="D969" t="s">
        <v>1046</v>
      </c>
      <c r="E969">
        <v>1122.82</v>
      </c>
      <c r="F969" s="8">
        <v>45251</v>
      </c>
      <c r="H969" t="str">
        <f>IF(COUNTIF(Customers!$A$2:$A$1001,B969)&gt;0,"Valid","Invalid")</f>
        <v>Valid</v>
      </c>
      <c r="I969" t="str">
        <f t="shared" si="15"/>
        <v>Valid</v>
      </c>
      <c r="K969" t="str">
        <f>VLOOKUP(B969,Customers!A:G,7,FALSE)</f>
        <v>Individual</v>
      </c>
    </row>
    <row r="970" spans="1:11" x14ac:dyDescent="0.25">
      <c r="A970" t="s">
        <v>2019</v>
      </c>
      <c r="B970" t="s">
        <v>1007</v>
      </c>
      <c r="C970" t="s">
        <v>1049</v>
      </c>
      <c r="D970" t="s">
        <v>1050</v>
      </c>
      <c r="E970">
        <v>2264.84</v>
      </c>
      <c r="F970" s="8">
        <v>45387</v>
      </c>
      <c r="H970" t="str">
        <f>IF(COUNTIF(Customers!$A$2:$A$1001,B970)&gt;0,"Valid","Invalid")</f>
        <v>Valid</v>
      </c>
      <c r="I970" t="str">
        <f t="shared" si="15"/>
        <v>Valid</v>
      </c>
      <c r="K970" t="str">
        <f>VLOOKUP(B970,Customers!A:G,7,FALSE)</f>
        <v>Individual</v>
      </c>
    </row>
    <row r="971" spans="1:11" x14ac:dyDescent="0.25">
      <c r="A971" t="s">
        <v>2020</v>
      </c>
      <c r="B971" t="s">
        <v>1008</v>
      </c>
      <c r="C971" t="s">
        <v>1045</v>
      </c>
      <c r="D971" t="s">
        <v>1050</v>
      </c>
      <c r="E971">
        <v>8769.98</v>
      </c>
      <c r="F971" s="8">
        <v>45105</v>
      </c>
      <c r="H971" t="str">
        <f>IF(COUNTIF(Customers!$A$2:$A$1001,B971)&gt;0,"Valid","Invalid")</f>
        <v>Valid</v>
      </c>
      <c r="I971" t="str">
        <f t="shared" si="15"/>
        <v>Valid</v>
      </c>
      <c r="K971" t="str">
        <f>VLOOKUP(B971,Customers!A:G,7,FALSE)</f>
        <v>Individual</v>
      </c>
    </row>
    <row r="972" spans="1:11" x14ac:dyDescent="0.25">
      <c r="A972" t="s">
        <v>2021</v>
      </c>
      <c r="B972" t="s">
        <v>1009</v>
      </c>
      <c r="C972" t="s">
        <v>1049</v>
      </c>
      <c r="D972" t="s">
        <v>1050</v>
      </c>
      <c r="E972">
        <v>494.31</v>
      </c>
      <c r="F972" s="8">
        <v>45770</v>
      </c>
      <c r="H972" t="str">
        <f>IF(COUNTIF(Customers!$A$2:$A$1001,B972)&gt;0,"Valid","Invalid")</f>
        <v>Valid</v>
      </c>
      <c r="I972" t="str">
        <f t="shared" si="15"/>
        <v>Valid</v>
      </c>
      <c r="K972" t="str">
        <f>VLOOKUP(B972,Customers!A:G,7,FALSE)</f>
        <v>Individual</v>
      </c>
    </row>
    <row r="973" spans="1:11" x14ac:dyDescent="0.25">
      <c r="A973" t="s">
        <v>2022</v>
      </c>
      <c r="B973" t="s">
        <v>1010</v>
      </c>
      <c r="C973" t="s">
        <v>1045</v>
      </c>
      <c r="D973" t="s">
        <v>1050</v>
      </c>
      <c r="E973">
        <v>937.1</v>
      </c>
      <c r="F973" s="8">
        <v>45500</v>
      </c>
      <c r="H973" t="str">
        <f>IF(COUNTIF(Customers!$A$2:$A$1001,B973)&gt;0,"Valid","Invalid")</f>
        <v>Valid</v>
      </c>
      <c r="I973" t="str">
        <f t="shared" si="15"/>
        <v>Valid</v>
      </c>
      <c r="K973" t="str">
        <f>VLOOKUP(B973,Customers!A:G,7,FALSE)</f>
        <v>SME</v>
      </c>
    </row>
    <row r="974" spans="1:11" x14ac:dyDescent="0.25">
      <c r="A974" t="s">
        <v>2023</v>
      </c>
      <c r="B974" t="s">
        <v>1011</v>
      </c>
      <c r="C974" t="s">
        <v>1049</v>
      </c>
      <c r="D974" t="s">
        <v>1050</v>
      </c>
      <c r="E974">
        <v>840.72</v>
      </c>
      <c r="F974" s="8">
        <v>45045</v>
      </c>
      <c r="H974" t="str">
        <f>IF(COUNTIF(Customers!$A$2:$A$1001,B974)&gt;0,"Valid","Invalid")</f>
        <v>Valid</v>
      </c>
      <c r="I974" t="str">
        <f t="shared" si="15"/>
        <v>Valid</v>
      </c>
      <c r="K974" t="str">
        <f>VLOOKUP(B974,Customers!A:G,7,FALSE)</f>
        <v>Individual</v>
      </c>
    </row>
    <row r="975" spans="1:11" x14ac:dyDescent="0.25">
      <c r="A975" t="s">
        <v>2024</v>
      </c>
      <c r="B975" t="s">
        <v>1012</v>
      </c>
      <c r="C975" t="s">
        <v>1045</v>
      </c>
      <c r="D975" t="s">
        <v>1050</v>
      </c>
      <c r="E975">
        <v>1645.14</v>
      </c>
      <c r="F975" s="8">
        <v>45475</v>
      </c>
      <c r="H975" t="str">
        <f>IF(COUNTIF(Customers!$A$2:$A$1001,B975)&gt;0,"Valid","Invalid")</f>
        <v>Valid</v>
      </c>
      <c r="I975" t="str">
        <f t="shared" si="15"/>
        <v>Valid</v>
      </c>
      <c r="K975" t="str">
        <f>VLOOKUP(B975,Customers!A:G,7,FALSE)</f>
        <v>Individual</v>
      </c>
    </row>
    <row r="976" spans="1:11" x14ac:dyDescent="0.25">
      <c r="A976" t="s">
        <v>2025</v>
      </c>
      <c r="B976" t="s">
        <v>1013</v>
      </c>
      <c r="C976" t="s">
        <v>1045</v>
      </c>
      <c r="D976" t="s">
        <v>1050</v>
      </c>
      <c r="E976">
        <v>1578.88</v>
      </c>
      <c r="F976" s="8">
        <v>45572</v>
      </c>
      <c r="H976" t="str">
        <f>IF(COUNTIF(Customers!$A$2:$A$1001,B976)&gt;0,"Valid","Invalid")</f>
        <v>Valid</v>
      </c>
      <c r="I976" t="str">
        <f t="shared" si="15"/>
        <v>Valid</v>
      </c>
      <c r="K976" t="str">
        <f>VLOOKUP(B976,Customers!A:G,7,FALSE)</f>
        <v>Student</v>
      </c>
    </row>
    <row r="977" spans="1:11" x14ac:dyDescent="0.25">
      <c r="A977" t="s">
        <v>2026</v>
      </c>
      <c r="B977" t="s">
        <v>1014</v>
      </c>
      <c r="C977" t="s">
        <v>1045</v>
      </c>
      <c r="D977" t="s">
        <v>1046</v>
      </c>
      <c r="E977">
        <v>3914</v>
      </c>
      <c r="F977" s="8">
        <v>44952</v>
      </c>
      <c r="H977" t="str">
        <f>IF(COUNTIF(Customers!$A$2:$A$1001,B977)&gt;0,"Valid","Invalid")</f>
        <v>Valid</v>
      </c>
      <c r="I977" t="str">
        <f t="shared" si="15"/>
        <v>Valid</v>
      </c>
      <c r="K977" t="str">
        <f>VLOOKUP(B977,Customers!A:G,7,FALSE)</f>
        <v>SME</v>
      </c>
    </row>
    <row r="978" spans="1:11" x14ac:dyDescent="0.25">
      <c r="A978" t="s">
        <v>2027</v>
      </c>
      <c r="B978" t="s">
        <v>1015</v>
      </c>
      <c r="C978" t="s">
        <v>17</v>
      </c>
      <c r="D978" t="s">
        <v>1050</v>
      </c>
      <c r="E978">
        <v>1870.05</v>
      </c>
      <c r="F978" s="8">
        <v>45958</v>
      </c>
      <c r="H978" t="str">
        <f>IF(COUNTIF(Customers!$A$2:$A$1001,B978)&gt;0,"Valid","Invalid")</f>
        <v>Valid</v>
      </c>
      <c r="I978" t="str">
        <f t="shared" si="15"/>
        <v>Valid</v>
      </c>
      <c r="K978" t="str">
        <f>VLOOKUP(B978,Customers!A:G,7,FALSE)</f>
        <v>SME</v>
      </c>
    </row>
    <row r="979" spans="1:11" x14ac:dyDescent="0.25">
      <c r="A979" t="s">
        <v>2028</v>
      </c>
      <c r="B979" t="s">
        <v>1016</v>
      </c>
      <c r="C979" t="s">
        <v>1045</v>
      </c>
      <c r="D979" t="s">
        <v>1050</v>
      </c>
      <c r="E979">
        <v>2447.65</v>
      </c>
      <c r="F979" s="8">
        <v>45895</v>
      </c>
      <c r="H979" t="str">
        <f>IF(COUNTIF(Customers!$A$2:$A$1001,B979)&gt;0,"Valid","Invalid")</f>
        <v>Valid</v>
      </c>
      <c r="I979" t="str">
        <f t="shared" si="15"/>
        <v>Valid</v>
      </c>
      <c r="K979" t="str">
        <f>VLOOKUP(B979,Customers!A:G,7,FALSE)</f>
        <v>Individual</v>
      </c>
    </row>
    <row r="980" spans="1:11" x14ac:dyDescent="0.25">
      <c r="A980" t="s">
        <v>2029</v>
      </c>
      <c r="B980" t="s">
        <v>1017</v>
      </c>
      <c r="C980" t="s">
        <v>1045</v>
      </c>
      <c r="D980" t="s">
        <v>1050</v>
      </c>
      <c r="E980">
        <v>2693.1</v>
      </c>
      <c r="F980" s="8">
        <v>45459</v>
      </c>
      <c r="H980" t="str">
        <f>IF(COUNTIF(Customers!$A$2:$A$1001,B980)&gt;0,"Valid","Invalid")</f>
        <v>Valid</v>
      </c>
      <c r="I980" t="str">
        <f t="shared" si="15"/>
        <v>Valid</v>
      </c>
      <c r="K980" t="str">
        <f>VLOOKUP(B980,Customers!A:G,7,FALSE)</f>
        <v>SME</v>
      </c>
    </row>
    <row r="981" spans="1:11" x14ac:dyDescent="0.25">
      <c r="A981" t="s">
        <v>2030</v>
      </c>
      <c r="B981" t="s">
        <v>1018</v>
      </c>
      <c r="C981" t="s">
        <v>1045</v>
      </c>
      <c r="D981" t="s">
        <v>1068</v>
      </c>
      <c r="E981">
        <v>2310.9299999999998</v>
      </c>
      <c r="F981" s="8">
        <v>45075</v>
      </c>
      <c r="H981" t="str">
        <f>IF(COUNTIF(Customers!$A$2:$A$1001,B981)&gt;0,"Valid","Invalid")</f>
        <v>Valid</v>
      </c>
      <c r="I981" t="str">
        <f t="shared" si="15"/>
        <v>Valid</v>
      </c>
      <c r="K981" t="str">
        <f>VLOOKUP(B981,Customers!A:G,7,FALSE)</f>
        <v>Individual</v>
      </c>
    </row>
    <row r="982" spans="1:11" x14ac:dyDescent="0.25">
      <c r="A982" t="s">
        <v>2031</v>
      </c>
      <c r="B982" t="s">
        <v>1019</v>
      </c>
      <c r="C982" t="s">
        <v>1056</v>
      </c>
      <c r="D982" t="s">
        <v>1050</v>
      </c>
      <c r="E982">
        <v>3653.03</v>
      </c>
      <c r="F982" s="8">
        <v>45975</v>
      </c>
      <c r="H982" t="str">
        <f>IF(COUNTIF(Customers!$A$2:$A$1001,B982)&gt;0,"Valid","Invalid")</f>
        <v>Valid</v>
      </c>
      <c r="I982" t="str">
        <f t="shared" si="15"/>
        <v>Valid</v>
      </c>
      <c r="K982" t="str">
        <f>VLOOKUP(B982,Customers!A:G,7,FALSE)</f>
        <v>Individual</v>
      </c>
    </row>
    <row r="983" spans="1:11" x14ac:dyDescent="0.25">
      <c r="A983" t="s">
        <v>2032</v>
      </c>
      <c r="B983" t="s">
        <v>1020</v>
      </c>
      <c r="C983" t="s">
        <v>1056</v>
      </c>
      <c r="D983" t="s">
        <v>1050</v>
      </c>
      <c r="E983">
        <v>1599.87</v>
      </c>
      <c r="F983" s="8">
        <v>45581</v>
      </c>
      <c r="H983" t="str">
        <f>IF(COUNTIF(Customers!$A$2:$A$1001,B983)&gt;0,"Valid","Invalid")</f>
        <v>Valid</v>
      </c>
      <c r="I983" t="str">
        <f t="shared" si="15"/>
        <v>Valid</v>
      </c>
      <c r="K983" t="str">
        <f>VLOOKUP(B983,Customers!A:G,7,FALSE)</f>
        <v>Individual</v>
      </c>
    </row>
    <row r="984" spans="1:11" x14ac:dyDescent="0.25">
      <c r="A984" t="s">
        <v>2033</v>
      </c>
      <c r="B984" t="s">
        <v>1021</v>
      </c>
      <c r="C984" t="s">
        <v>1045</v>
      </c>
      <c r="D984" t="s">
        <v>1050</v>
      </c>
      <c r="E984">
        <v>9380.31</v>
      </c>
      <c r="F984" s="8">
        <v>45871</v>
      </c>
      <c r="H984" t="str">
        <f>IF(COUNTIF(Customers!$A$2:$A$1001,B984)&gt;0,"Valid","Invalid")</f>
        <v>Valid</v>
      </c>
      <c r="I984" t="str">
        <f t="shared" si="15"/>
        <v>Valid</v>
      </c>
      <c r="K984" t="str">
        <f>VLOOKUP(B984,Customers!A:G,7,FALSE)</f>
        <v>Student</v>
      </c>
    </row>
    <row r="985" spans="1:11" x14ac:dyDescent="0.25">
      <c r="A985" t="s">
        <v>2034</v>
      </c>
      <c r="B985" t="s">
        <v>1022</v>
      </c>
      <c r="C985" t="s">
        <v>1045</v>
      </c>
      <c r="D985" t="s">
        <v>1046</v>
      </c>
      <c r="E985">
        <v>22962.55</v>
      </c>
      <c r="F985" s="8">
        <v>45481</v>
      </c>
      <c r="H985" t="str">
        <f>IF(COUNTIF(Customers!$A$2:$A$1001,B985)&gt;0,"Valid","Invalid")</f>
        <v>Valid</v>
      </c>
      <c r="I985" t="str">
        <f t="shared" si="15"/>
        <v>Valid</v>
      </c>
      <c r="K985" t="str">
        <f>VLOOKUP(B985,Customers!A:G,7,FALSE)</f>
        <v>Individual</v>
      </c>
    </row>
    <row r="986" spans="1:11" x14ac:dyDescent="0.25">
      <c r="A986" t="s">
        <v>2035</v>
      </c>
      <c r="B986" t="s">
        <v>1023</v>
      </c>
      <c r="C986" t="s">
        <v>1045</v>
      </c>
      <c r="D986" t="s">
        <v>1068</v>
      </c>
      <c r="E986">
        <v>3663.71</v>
      </c>
      <c r="F986" s="8">
        <v>45351</v>
      </c>
      <c r="H986" t="str">
        <f>IF(COUNTIF(Customers!$A$2:$A$1001,B986)&gt;0,"Valid","Invalid")</f>
        <v>Valid</v>
      </c>
      <c r="I986" t="str">
        <f t="shared" si="15"/>
        <v>Valid</v>
      </c>
      <c r="K986" t="str">
        <f>VLOOKUP(B986,Customers!A:G,7,FALSE)</f>
        <v>SME</v>
      </c>
    </row>
    <row r="987" spans="1:11" x14ac:dyDescent="0.25">
      <c r="A987" t="s">
        <v>2036</v>
      </c>
      <c r="B987" t="s">
        <v>1024</v>
      </c>
      <c r="C987" t="s">
        <v>1045</v>
      </c>
      <c r="D987" t="s">
        <v>1050</v>
      </c>
      <c r="E987">
        <v>2271.04</v>
      </c>
      <c r="F987" s="8">
        <v>45219</v>
      </c>
      <c r="H987" t="str">
        <f>IF(COUNTIF(Customers!$A$2:$A$1001,B987)&gt;0,"Valid","Invalid")</f>
        <v>Valid</v>
      </c>
      <c r="I987" t="str">
        <f t="shared" si="15"/>
        <v>Valid</v>
      </c>
      <c r="K987" t="str">
        <f>VLOOKUP(B987,Customers!A:G,7,FALSE)</f>
        <v>Student</v>
      </c>
    </row>
    <row r="988" spans="1:11" x14ac:dyDescent="0.25">
      <c r="A988" t="s">
        <v>2037</v>
      </c>
      <c r="B988" t="s">
        <v>1025</v>
      </c>
      <c r="C988" t="s">
        <v>1045</v>
      </c>
      <c r="D988" t="s">
        <v>1050</v>
      </c>
      <c r="E988">
        <v>3376.46</v>
      </c>
      <c r="F988" s="8">
        <v>46135</v>
      </c>
      <c r="H988" t="str">
        <f>IF(COUNTIF(Customers!$A$2:$A$1001,B988)&gt;0,"Valid","Invalid")</f>
        <v>Valid</v>
      </c>
      <c r="I988" t="str">
        <f t="shared" si="15"/>
        <v>Valid</v>
      </c>
      <c r="K988" t="str">
        <f>VLOOKUP(B988,Customers!A:G,7,FALSE)</f>
        <v>Individual</v>
      </c>
    </row>
    <row r="989" spans="1:11" x14ac:dyDescent="0.25">
      <c r="A989" t="s">
        <v>2038</v>
      </c>
      <c r="B989" t="s">
        <v>1026</v>
      </c>
      <c r="C989" t="s">
        <v>1056</v>
      </c>
      <c r="D989" t="s">
        <v>1073</v>
      </c>
      <c r="E989">
        <v>601.22</v>
      </c>
      <c r="F989" s="8">
        <v>45480</v>
      </c>
      <c r="H989" t="str">
        <f>IF(COUNTIF(Customers!$A$2:$A$1001,B989)&gt;0,"Valid","Invalid")</f>
        <v>Valid</v>
      </c>
      <c r="I989" t="str">
        <f t="shared" si="15"/>
        <v>Valid</v>
      </c>
      <c r="K989" t="str">
        <f>VLOOKUP(B989,Customers!A:G,7,FALSE)</f>
        <v>Individual</v>
      </c>
    </row>
    <row r="990" spans="1:11" x14ac:dyDescent="0.25">
      <c r="A990" t="s">
        <v>2039</v>
      </c>
      <c r="B990" t="s">
        <v>1027</v>
      </c>
      <c r="C990" t="s">
        <v>1045</v>
      </c>
      <c r="D990" t="s">
        <v>1050</v>
      </c>
      <c r="E990">
        <v>2164.85</v>
      </c>
      <c r="F990" s="8">
        <v>45357</v>
      </c>
      <c r="H990" t="str">
        <f>IF(COUNTIF(Customers!$A$2:$A$1001,B990)&gt;0,"Valid","Invalid")</f>
        <v>Valid</v>
      </c>
      <c r="I990" t="str">
        <f t="shared" si="15"/>
        <v>Valid</v>
      </c>
      <c r="K990" t="str">
        <f>VLOOKUP(B990,Customers!A:G,7,FALSE)</f>
        <v>Individual</v>
      </c>
    </row>
    <row r="991" spans="1:11" x14ac:dyDescent="0.25">
      <c r="A991" t="s">
        <v>2040</v>
      </c>
      <c r="B991" t="s">
        <v>1028</v>
      </c>
      <c r="C991" t="s">
        <v>1045</v>
      </c>
      <c r="D991" t="s">
        <v>1050</v>
      </c>
      <c r="E991">
        <v>870.16</v>
      </c>
      <c r="F991" s="8">
        <v>45530</v>
      </c>
      <c r="H991" t="str">
        <f>IF(COUNTIF(Customers!$A$2:$A$1001,B991)&gt;0,"Valid","Invalid")</f>
        <v>Valid</v>
      </c>
      <c r="I991" t="str">
        <f t="shared" si="15"/>
        <v>Valid</v>
      </c>
      <c r="K991" t="str">
        <f>VLOOKUP(B991,Customers!A:G,7,FALSE)</f>
        <v>SME</v>
      </c>
    </row>
    <row r="992" spans="1:11" x14ac:dyDescent="0.25">
      <c r="A992" t="s">
        <v>2041</v>
      </c>
      <c r="B992" t="s">
        <v>1029</v>
      </c>
      <c r="C992" t="s">
        <v>1045</v>
      </c>
      <c r="D992" t="s">
        <v>1050</v>
      </c>
      <c r="E992">
        <v>3010.85</v>
      </c>
      <c r="F992" s="8">
        <v>45243</v>
      </c>
      <c r="H992" t="str">
        <f>IF(COUNTIF(Customers!$A$2:$A$1001,B992)&gt;0,"Valid","Invalid")</f>
        <v>Valid</v>
      </c>
      <c r="I992" t="str">
        <f t="shared" si="15"/>
        <v>Valid</v>
      </c>
      <c r="K992" t="str">
        <f>VLOOKUP(B992,Customers!A:G,7,FALSE)</f>
        <v>Individual</v>
      </c>
    </row>
    <row r="993" spans="1:11" x14ac:dyDescent="0.25">
      <c r="A993" t="s">
        <v>2042</v>
      </c>
      <c r="B993" t="s">
        <v>1030</v>
      </c>
      <c r="C993" t="s">
        <v>17</v>
      </c>
      <c r="D993" t="s">
        <v>1050</v>
      </c>
      <c r="E993">
        <v>874.49</v>
      </c>
      <c r="F993" s="8">
        <v>45324</v>
      </c>
      <c r="H993" t="str">
        <f>IF(COUNTIF(Customers!$A$2:$A$1001,B993)&gt;0,"Valid","Invalid")</f>
        <v>Valid</v>
      </c>
      <c r="I993" t="str">
        <f t="shared" si="15"/>
        <v>Valid</v>
      </c>
      <c r="K993" t="str">
        <f>VLOOKUP(B993,Customers!A:G,7,FALSE)</f>
        <v>Individual</v>
      </c>
    </row>
    <row r="994" spans="1:11" x14ac:dyDescent="0.25">
      <c r="A994" t="s">
        <v>2043</v>
      </c>
      <c r="B994" t="s">
        <v>1031</v>
      </c>
      <c r="C994" t="s">
        <v>17</v>
      </c>
      <c r="D994" t="s">
        <v>1050</v>
      </c>
      <c r="E994">
        <v>1280.78</v>
      </c>
      <c r="F994" s="8">
        <v>45522</v>
      </c>
      <c r="H994" t="str">
        <f>IF(COUNTIF(Customers!$A$2:$A$1001,B994)&gt;0,"Valid","Invalid")</f>
        <v>Valid</v>
      </c>
      <c r="I994" t="str">
        <f t="shared" si="15"/>
        <v>Valid</v>
      </c>
      <c r="K994" t="str">
        <f>VLOOKUP(B994,Customers!A:G,7,FALSE)</f>
        <v>SME</v>
      </c>
    </row>
    <row r="995" spans="1:11" x14ac:dyDescent="0.25">
      <c r="A995" t="s">
        <v>2044</v>
      </c>
      <c r="B995" t="s">
        <v>1032</v>
      </c>
      <c r="C995" t="s">
        <v>1049</v>
      </c>
      <c r="D995" t="s">
        <v>1050</v>
      </c>
      <c r="E995">
        <v>278.11</v>
      </c>
      <c r="F995" s="8">
        <v>45472</v>
      </c>
      <c r="H995" t="str">
        <f>IF(COUNTIF(Customers!$A$2:$A$1001,B995)&gt;0,"Valid","Invalid")</f>
        <v>Valid</v>
      </c>
      <c r="I995" t="str">
        <f t="shared" si="15"/>
        <v>Valid</v>
      </c>
      <c r="K995" t="str">
        <f>VLOOKUP(B995,Customers!A:G,7,FALSE)</f>
        <v>Individual</v>
      </c>
    </row>
    <row r="996" spans="1:11" x14ac:dyDescent="0.25">
      <c r="A996" t="s">
        <v>2045</v>
      </c>
      <c r="B996" t="s">
        <v>1033</v>
      </c>
      <c r="C996" t="s">
        <v>1045</v>
      </c>
      <c r="D996" t="s">
        <v>1050</v>
      </c>
      <c r="E996">
        <v>559.34</v>
      </c>
      <c r="F996" s="8">
        <v>45002</v>
      </c>
      <c r="H996" t="str">
        <f>IF(COUNTIF(Customers!$A$2:$A$1001,B996)&gt;0,"Valid","Invalid")</f>
        <v>Valid</v>
      </c>
      <c r="I996" t="str">
        <f t="shared" si="15"/>
        <v>Valid</v>
      </c>
      <c r="K996" t="str">
        <f>VLOOKUP(B996,Customers!A:G,7,FALSE)</f>
        <v>Individual</v>
      </c>
    </row>
    <row r="997" spans="1:11" x14ac:dyDescent="0.25">
      <c r="A997" t="s">
        <v>2046</v>
      </c>
      <c r="B997" t="s">
        <v>1034</v>
      </c>
      <c r="C997" t="s">
        <v>1045</v>
      </c>
      <c r="D997" t="s">
        <v>1068</v>
      </c>
      <c r="E997">
        <v>2578.27</v>
      </c>
      <c r="F997" s="8">
        <v>45791</v>
      </c>
      <c r="H997" t="str">
        <f>IF(COUNTIF(Customers!$A$2:$A$1001,B997)&gt;0,"Valid","Invalid")</f>
        <v>Valid</v>
      </c>
      <c r="I997" t="str">
        <f t="shared" si="15"/>
        <v>Valid</v>
      </c>
      <c r="K997" t="str">
        <f>VLOOKUP(B997,Customers!A:G,7,FALSE)</f>
        <v>Individual</v>
      </c>
    </row>
    <row r="998" spans="1:11" x14ac:dyDescent="0.25">
      <c r="A998" t="s">
        <v>2047</v>
      </c>
      <c r="B998" t="s">
        <v>1035</v>
      </c>
      <c r="C998" t="s">
        <v>1045</v>
      </c>
      <c r="D998" t="s">
        <v>1050</v>
      </c>
      <c r="E998">
        <v>758.36</v>
      </c>
      <c r="F998" s="8">
        <v>45842</v>
      </c>
      <c r="H998" t="str">
        <f>IF(COUNTIF(Customers!$A$2:$A$1001,B998)&gt;0,"Valid","Invalid")</f>
        <v>Valid</v>
      </c>
      <c r="I998" t="str">
        <f t="shared" si="15"/>
        <v>Valid</v>
      </c>
      <c r="K998" t="str">
        <f>VLOOKUP(B998,Customers!A:G,7,FALSE)</f>
        <v>Individual</v>
      </c>
    </row>
    <row r="999" spans="1:11" x14ac:dyDescent="0.25">
      <c r="A999" t="s">
        <v>2048</v>
      </c>
      <c r="B999" t="s">
        <v>1036</v>
      </c>
      <c r="C999" t="s">
        <v>1045</v>
      </c>
      <c r="D999" t="s">
        <v>1046</v>
      </c>
      <c r="E999">
        <v>5238.41</v>
      </c>
      <c r="F999" s="8">
        <v>45635</v>
      </c>
      <c r="H999" t="str">
        <f>IF(COUNTIF(Customers!$A$2:$A$1001,B999)&gt;0,"Valid","Invalid")</f>
        <v>Valid</v>
      </c>
      <c r="I999" t="str">
        <f t="shared" si="15"/>
        <v>Valid</v>
      </c>
      <c r="K999" t="str">
        <f>VLOOKUP(B999,Customers!A:G,7,FALSE)</f>
        <v>Corporate</v>
      </c>
    </row>
    <row r="1000" spans="1:11" x14ac:dyDescent="0.25">
      <c r="A1000" t="s">
        <v>2049</v>
      </c>
      <c r="B1000" t="s">
        <v>1037</v>
      </c>
      <c r="C1000" t="s">
        <v>1045</v>
      </c>
      <c r="D1000" t="s">
        <v>1050</v>
      </c>
      <c r="E1000">
        <v>696.53</v>
      </c>
      <c r="F1000" s="8">
        <v>45412</v>
      </c>
      <c r="H1000" t="str">
        <f>IF(COUNTIF(Customers!$A$2:$A$1001,B1000)&gt;0,"Valid","Invalid")</f>
        <v>Valid</v>
      </c>
      <c r="I1000" t="str">
        <f t="shared" si="15"/>
        <v>Valid</v>
      </c>
      <c r="K1000" t="str">
        <f>VLOOKUP(B1000,Customers!A:G,7,FALSE)</f>
        <v>SME</v>
      </c>
    </row>
    <row r="1001" spans="1:11" x14ac:dyDescent="0.25">
      <c r="A1001" t="s">
        <v>2050</v>
      </c>
      <c r="B1001" t="s">
        <v>1038</v>
      </c>
      <c r="C1001" t="s">
        <v>1049</v>
      </c>
      <c r="D1001" t="s">
        <v>1050</v>
      </c>
      <c r="E1001">
        <v>2844.82</v>
      </c>
      <c r="F1001" s="8">
        <v>46038</v>
      </c>
      <c r="H1001" t="str">
        <f>IF(COUNTIF(Customers!$A$2:$A$1001,B1001)&gt;0,"Valid","Invalid")</f>
        <v>Valid</v>
      </c>
      <c r="I1001" t="str">
        <f t="shared" si="15"/>
        <v>Valid</v>
      </c>
      <c r="K1001" t="str">
        <f>VLOOKUP(B1001,Customers!A:G,7,FALSE)</f>
        <v>Individual</v>
      </c>
    </row>
  </sheetData>
  <autoFilter ref="I1:I1001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6"/>
  <sheetViews>
    <sheetView tabSelected="1" topLeftCell="A230" workbookViewId="0">
      <selection activeCell="D250" sqref="D250"/>
    </sheetView>
  </sheetViews>
  <sheetFormatPr defaultRowHeight="15" x14ac:dyDescent="0.25"/>
  <cols>
    <col min="1" max="1" width="18.5703125" customWidth="1"/>
    <col min="2" max="2" width="21.42578125" style="39" customWidth="1"/>
    <col min="3" max="3" width="16" style="36" customWidth="1"/>
    <col min="6" max="6" width="18.140625" style="5" customWidth="1"/>
    <col min="7" max="7" width="15.7109375" style="5" customWidth="1"/>
    <col min="8" max="8" width="14.7109375" style="24" customWidth="1"/>
    <col min="11" max="11" width="9.140625" style="5"/>
    <col min="12" max="12" width="16.28515625" style="25" customWidth="1"/>
    <col min="13" max="13" width="15.28515625" style="24" customWidth="1"/>
    <col min="16" max="16" width="14.28515625" style="5" customWidth="1"/>
    <col min="17" max="17" width="9.140625" style="5"/>
  </cols>
  <sheetData>
    <row r="1" spans="1:17" x14ac:dyDescent="0.25">
      <c r="A1" s="30" t="s">
        <v>8659</v>
      </c>
      <c r="B1" s="38" t="s">
        <v>8660</v>
      </c>
      <c r="C1" s="35" t="s">
        <v>8662</v>
      </c>
      <c r="P1" s="22" t="s">
        <v>8664</v>
      </c>
      <c r="Q1" s="22" t="s">
        <v>8665</v>
      </c>
    </row>
    <row r="2" spans="1:17" x14ac:dyDescent="0.25">
      <c r="A2" s="31" t="s">
        <v>17</v>
      </c>
      <c r="B2" s="39">
        <f>COUNTIF(Customers!G:G,A2)</f>
        <v>118</v>
      </c>
      <c r="C2" s="36">
        <f t="shared" ref="C2:C5" si="0">B2/$B$6</f>
        <v>0.11799999999999999</v>
      </c>
      <c r="P2" s="23" t="s">
        <v>8666</v>
      </c>
      <c r="Q2" s="23">
        <f>AVERAGE(Customers!B2:B1001)</f>
        <v>41.465000000000003</v>
      </c>
    </row>
    <row r="3" spans="1:17" x14ac:dyDescent="0.25">
      <c r="A3" s="31" t="s">
        <v>12</v>
      </c>
      <c r="B3" s="39">
        <f>COUNTIF(Customers!G:G,A3)</f>
        <v>582</v>
      </c>
      <c r="C3" s="36">
        <f t="shared" si="0"/>
        <v>0.58199999999999996</v>
      </c>
      <c r="P3" s="23" t="s">
        <v>8667</v>
      </c>
      <c r="Q3" s="23">
        <f>MIN(Customers!B2:B1001)</f>
        <v>18</v>
      </c>
    </row>
    <row r="4" spans="1:17" x14ac:dyDescent="0.25">
      <c r="A4" s="31" t="s">
        <v>22</v>
      </c>
      <c r="B4" s="39">
        <f>COUNTIF(Customers!G:G,A4)</f>
        <v>237</v>
      </c>
      <c r="C4" s="36">
        <f t="shared" si="0"/>
        <v>0.23699999999999999</v>
      </c>
      <c r="P4" s="23" t="s">
        <v>8668</v>
      </c>
      <c r="Q4" s="23">
        <f>MAX(Customers!B2:B1001)</f>
        <v>65</v>
      </c>
    </row>
    <row r="5" spans="1:17" x14ac:dyDescent="0.25">
      <c r="A5" s="31" t="s">
        <v>78</v>
      </c>
      <c r="B5" s="39">
        <f>COUNTIF(Customers!G:G,A5)</f>
        <v>63</v>
      </c>
      <c r="C5" s="36">
        <f t="shared" si="0"/>
        <v>6.3E-2</v>
      </c>
    </row>
    <row r="6" spans="1:17" x14ac:dyDescent="0.25">
      <c r="A6" s="18" t="s">
        <v>8661</v>
      </c>
      <c r="B6" s="38">
        <f>SUM(B2:B5)</f>
        <v>1000</v>
      </c>
      <c r="C6" s="35">
        <f>SUM(C2:C5)</f>
        <v>1</v>
      </c>
    </row>
    <row r="8" spans="1:17" s="26" customFormat="1" x14ac:dyDescent="0.25">
      <c r="B8" s="40"/>
      <c r="C8" s="37"/>
      <c r="F8" s="27"/>
      <c r="G8" s="27"/>
      <c r="H8" s="28"/>
      <c r="K8" s="27"/>
      <c r="L8" s="29"/>
      <c r="M8" s="28"/>
      <c r="P8" s="27"/>
      <c r="Q8" s="27"/>
    </row>
    <row r="9" spans="1:17" x14ac:dyDescent="0.25">
      <c r="A9" s="9" t="s">
        <v>3</v>
      </c>
      <c r="B9" s="9" t="s">
        <v>8660</v>
      </c>
      <c r="C9" s="33" t="s">
        <v>8662</v>
      </c>
    </row>
    <row r="10" spans="1:17" x14ac:dyDescent="0.25">
      <c r="A10" s="15" t="s">
        <v>10</v>
      </c>
      <c r="B10" s="15">
        <f>COUNTIF(Customers!D:D,A10)</f>
        <v>503</v>
      </c>
      <c r="C10" s="34">
        <f>B10/$B$16</f>
        <v>0.503</v>
      </c>
    </row>
    <row r="11" spans="1:17" x14ac:dyDescent="0.25">
      <c r="A11" s="15" t="s">
        <v>25</v>
      </c>
      <c r="B11" s="15">
        <f>COUNTIF(Customers!D:D,A11)</f>
        <v>219</v>
      </c>
      <c r="C11" s="34">
        <f>B11/$B$16</f>
        <v>0.219</v>
      </c>
    </row>
    <row r="12" spans="1:17" x14ac:dyDescent="0.25">
      <c r="A12" s="15" t="s">
        <v>43</v>
      </c>
      <c r="B12" s="15">
        <f>COUNTIF(Customers!D:D,A12)</f>
        <v>63</v>
      </c>
      <c r="C12" s="34">
        <f>B12/$B$16</f>
        <v>6.3E-2</v>
      </c>
    </row>
    <row r="13" spans="1:17" x14ac:dyDescent="0.25">
      <c r="A13" s="15" t="s">
        <v>19</v>
      </c>
      <c r="B13" s="15">
        <f>COUNTIF(Customers!D:D,A13)</f>
        <v>62</v>
      </c>
      <c r="C13" s="34">
        <f>B13/$B$16</f>
        <v>6.2E-2</v>
      </c>
    </row>
    <row r="14" spans="1:17" x14ac:dyDescent="0.25">
      <c r="A14" s="15" t="s">
        <v>33</v>
      </c>
      <c r="B14" s="15">
        <f>COUNTIF(Customers!D:D,A14)</f>
        <v>85</v>
      </c>
      <c r="C14" s="34">
        <f>B14/$B$16</f>
        <v>8.5000000000000006E-2</v>
      </c>
    </row>
    <row r="15" spans="1:17" x14ac:dyDescent="0.25">
      <c r="A15" s="15" t="s">
        <v>14</v>
      </c>
      <c r="B15" s="15">
        <f>COUNTIF(Customers!D:D,A15)</f>
        <v>68</v>
      </c>
      <c r="C15" s="34">
        <f>B15/$B$16</f>
        <v>6.8000000000000005E-2</v>
      </c>
    </row>
    <row r="16" spans="1:17" x14ac:dyDescent="0.25">
      <c r="A16" s="22" t="s">
        <v>8661</v>
      </c>
      <c r="B16" s="32">
        <f>SUM(B10:B15)</f>
        <v>1000</v>
      </c>
      <c r="C16" s="33">
        <f>SUM(C10:C15)</f>
        <v>1</v>
      </c>
    </row>
    <row r="18" spans="1:17" s="26" customFormat="1" x14ac:dyDescent="0.25">
      <c r="B18" s="40"/>
      <c r="C18" s="37"/>
      <c r="F18" s="27"/>
      <c r="G18" s="27"/>
      <c r="H18" s="28"/>
      <c r="K18" s="27"/>
      <c r="L18" s="29"/>
      <c r="M18" s="28"/>
      <c r="P18" s="27"/>
      <c r="Q18" s="27"/>
    </row>
    <row r="19" spans="1:17" x14ac:dyDescent="0.25">
      <c r="A19" s="9" t="s">
        <v>2</v>
      </c>
      <c r="B19" s="9" t="s">
        <v>8660</v>
      </c>
      <c r="C19" s="33" t="s">
        <v>8662</v>
      </c>
    </row>
    <row r="20" spans="1:17" x14ac:dyDescent="0.25">
      <c r="A20" s="15" t="s">
        <v>9</v>
      </c>
      <c r="B20" s="15">
        <f>COUNTIF(Customers!C:C, Customers!C2)</f>
        <v>473</v>
      </c>
      <c r="C20" s="34">
        <f>B20/$B$23</f>
        <v>0.47299999999999998</v>
      </c>
    </row>
    <row r="21" spans="1:17" x14ac:dyDescent="0.25">
      <c r="A21" s="15" t="s">
        <v>24</v>
      </c>
      <c r="B21" s="15">
        <f>COUNTIF(Customers!C:C, Customers!C5)</f>
        <v>523</v>
      </c>
      <c r="C21" s="34">
        <f>B21/$B$23</f>
        <v>0.52300000000000002</v>
      </c>
    </row>
    <row r="22" spans="1:17" x14ac:dyDescent="0.25">
      <c r="A22" s="15" t="s">
        <v>8663</v>
      </c>
      <c r="B22" s="15">
        <f>COUNTIF(Customers!C:C, Customers!C14)</f>
        <v>4</v>
      </c>
      <c r="C22" s="34">
        <f>B22/$B$23</f>
        <v>4.0000000000000001E-3</v>
      </c>
    </row>
    <row r="23" spans="1:17" x14ac:dyDescent="0.25">
      <c r="A23" s="22" t="s">
        <v>8661</v>
      </c>
      <c r="B23" s="32">
        <f>SUM(B20:B22)</f>
        <v>1000</v>
      </c>
      <c r="C23" s="33">
        <f>SUM(C20:C22)</f>
        <v>1</v>
      </c>
    </row>
    <row r="25" spans="1:17" s="26" customFormat="1" x14ac:dyDescent="0.25">
      <c r="B25" s="40"/>
      <c r="C25" s="37"/>
      <c r="F25" s="27"/>
      <c r="G25" s="27"/>
      <c r="H25" s="28"/>
      <c r="K25" s="27"/>
      <c r="L25" s="29"/>
      <c r="M25" s="28"/>
      <c r="P25" s="27"/>
      <c r="Q25" s="27"/>
    </row>
    <row r="27" spans="1:17" x14ac:dyDescent="0.25">
      <c r="A27" s="9" t="s">
        <v>8664</v>
      </c>
      <c r="B27" s="9" t="s">
        <v>8665</v>
      </c>
    </row>
    <row r="28" spans="1:17" x14ac:dyDescent="0.25">
      <c r="A28" s="10" t="s">
        <v>8666</v>
      </c>
      <c r="B28" s="15">
        <f>AVERAGE(Customers!B2:B1001)</f>
        <v>41.465000000000003</v>
      </c>
    </row>
    <row r="29" spans="1:17" x14ac:dyDescent="0.25">
      <c r="A29" s="10" t="s">
        <v>8667</v>
      </c>
      <c r="B29" s="15">
        <f>MIN(Customers!B3:B1002)</f>
        <v>18</v>
      </c>
    </row>
    <row r="30" spans="1:17" x14ac:dyDescent="0.25">
      <c r="A30" s="10" t="s">
        <v>8668</v>
      </c>
      <c r="B30" s="15">
        <f>MAX(Customers!B4:B1003)</f>
        <v>65</v>
      </c>
    </row>
    <row r="32" spans="1:17" s="26" customFormat="1" x14ac:dyDescent="0.25">
      <c r="B32" s="40"/>
      <c r="C32" s="37"/>
      <c r="F32" s="27"/>
      <c r="G32" s="27"/>
      <c r="H32" s="28"/>
      <c r="K32" s="27"/>
      <c r="L32" s="29"/>
      <c r="M32" s="28"/>
      <c r="P32" s="27"/>
      <c r="Q32" s="27"/>
    </row>
    <row r="34" spans="1:17" x14ac:dyDescent="0.25">
      <c r="A34" s="9" t="s">
        <v>8669</v>
      </c>
      <c r="B34" s="17" t="s">
        <v>8660</v>
      </c>
      <c r="C34" s="17" t="s">
        <v>8662</v>
      </c>
    </row>
    <row r="35" spans="1:17" x14ac:dyDescent="0.25">
      <c r="A35" s="15" t="s">
        <v>8670</v>
      </c>
      <c r="B35" s="15">
        <f>COUNTIFS(Customers!B:B,"&gt;=18",Customers!B:B,"&lt;=24")</f>
        <v>137</v>
      </c>
      <c r="C35" s="34">
        <f>B35/$B$40</f>
        <v>0.13700000000000001</v>
      </c>
    </row>
    <row r="36" spans="1:17" x14ac:dyDescent="0.25">
      <c r="A36" s="15" t="s">
        <v>8671</v>
      </c>
      <c r="B36" s="15">
        <f>COUNTIFS(Customers!B:B,"&gt;=25",Customers!B:B,"&lt;=34")</f>
        <v>225</v>
      </c>
      <c r="C36" s="34">
        <f t="shared" ref="C36:C39" si="1">B36/$B$40</f>
        <v>0.22500000000000001</v>
      </c>
    </row>
    <row r="37" spans="1:17" x14ac:dyDescent="0.25">
      <c r="A37" s="15" t="s">
        <v>8672</v>
      </c>
      <c r="B37" s="15">
        <f>COUNTIFS(Customers!B:B,"&gt;=35",Customers!B:B,"&lt;=44")</f>
        <v>198</v>
      </c>
      <c r="C37" s="34">
        <f t="shared" si="1"/>
        <v>0.19800000000000001</v>
      </c>
    </row>
    <row r="38" spans="1:17" x14ac:dyDescent="0.25">
      <c r="A38" s="15" t="s">
        <v>8673</v>
      </c>
      <c r="B38" s="15">
        <f>COUNTIFS(Customers!B:B,"&gt;=45",Customers!B:B,"&lt;=54")</f>
        <v>218</v>
      </c>
      <c r="C38" s="34">
        <f t="shared" si="1"/>
        <v>0.218</v>
      </c>
    </row>
    <row r="39" spans="1:17" x14ac:dyDescent="0.25">
      <c r="A39" s="15" t="s">
        <v>8674</v>
      </c>
      <c r="B39" s="15">
        <f>COUNTIFS(Customers!B:B,"&gt;=55",Customers!B:B,"&lt;=65")</f>
        <v>222</v>
      </c>
      <c r="C39" s="34">
        <f t="shared" si="1"/>
        <v>0.222</v>
      </c>
    </row>
    <row r="40" spans="1:17" x14ac:dyDescent="0.25">
      <c r="A40" s="11" t="s">
        <v>8661</v>
      </c>
      <c r="B40" s="32">
        <f>SUM(B35:B39)</f>
        <v>1000</v>
      </c>
      <c r="C40" s="42">
        <f>SUM(C35:C39)</f>
        <v>1</v>
      </c>
    </row>
    <row r="42" spans="1:17" s="26" customFormat="1" x14ac:dyDescent="0.25">
      <c r="B42" s="40"/>
      <c r="C42" s="37"/>
      <c r="F42" s="27"/>
      <c r="G42" s="27"/>
      <c r="H42" s="28"/>
      <c r="K42" s="27"/>
      <c r="L42" s="29"/>
      <c r="M42" s="28"/>
      <c r="P42" s="27"/>
      <c r="Q42" s="27"/>
    </row>
    <row r="44" spans="1:17" x14ac:dyDescent="0.25">
      <c r="A44" s="9" t="s">
        <v>8675</v>
      </c>
      <c r="B44" s="17" t="s">
        <v>8676</v>
      </c>
    </row>
    <row r="45" spans="1:17" x14ac:dyDescent="0.25">
      <c r="A45" s="10">
        <v>2023</v>
      </c>
      <c r="B45" s="16">
        <f>COUNTIFS(Customers!H:H,"&gt;="&amp;DATE(2023,1,1),Customers!H:H,"&lt;"&amp;DATE(2024,1,1))</f>
        <v>271</v>
      </c>
    </row>
    <row r="46" spans="1:17" x14ac:dyDescent="0.25">
      <c r="A46" s="10">
        <v>2024</v>
      </c>
      <c r="B46" s="16">
        <f>COUNTIFS(Customers!H:H,"&gt;="&amp;DATE(2024,1,1),Customers!H:H,"&lt;"&amp;DATE(2025,1,1))</f>
        <v>299</v>
      </c>
    </row>
    <row r="47" spans="1:17" x14ac:dyDescent="0.25">
      <c r="A47" s="10">
        <v>2025</v>
      </c>
      <c r="B47" s="16">
        <f>COUNTIFS(Customers!H:H,"&gt;="&amp;DATE(2025,1,1),Customers!H:H,"&lt;"&amp;DATE(2026,1,1))</f>
        <v>276</v>
      </c>
    </row>
    <row r="48" spans="1:17" x14ac:dyDescent="0.25">
      <c r="A48" s="10">
        <v>2026</v>
      </c>
      <c r="B48" s="16">
        <f>COUNTIFS(Customers!H:H,"&gt;="&amp;DATE(2026,1,1),Customers!H:H,"&lt;"&amp;DATE(2027,1,1))</f>
        <v>154</v>
      </c>
    </row>
    <row r="49" spans="1:17" x14ac:dyDescent="0.25">
      <c r="A49" s="11" t="s">
        <v>8661</v>
      </c>
      <c r="B49" s="16">
        <f>SUM(B45:B48)</f>
        <v>1000</v>
      </c>
    </row>
    <row r="51" spans="1:17" s="26" customFormat="1" x14ac:dyDescent="0.25">
      <c r="B51" s="40"/>
      <c r="C51" s="37"/>
      <c r="F51" s="27"/>
      <c r="G51" s="27"/>
      <c r="H51" s="28"/>
      <c r="K51" s="27"/>
      <c r="L51" s="29"/>
      <c r="M51" s="28"/>
      <c r="P51" s="27"/>
      <c r="Q51" s="27"/>
    </row>
    <row r="52" spans="1:17" ht="18.75" x14ac:dyDescent="0.3">
      <c r="A52" s="43" t="s">
        <v>8680</v>
      </c>
    </row>
    <row r="53" spans="1:17" x14ac:dyDescent="0.25">
      <c r="A53" s="9" t="s">
        <v>8647</v>
      </c>
      <c r="B53" s="17" t="s">
        <v>8677</v>
      </c>
      <c r="C53" s="17" t="s">
        <v>8678</v>
      </c>
    </row>
    <row r="54" spans="1:17" x14ac:dyDescent="0.25">
      <c r="A54" s="10" t="s">
        <v>1045</v>
      </c>
      <c r="B54" s="16">
        <f>COUNTIF(Accounts!C:C, Accounts!C2)</f>
        <v>542</v>
      </c>
      <c r="C54" s="41">
        <f>B54/$B$58</f>
        <v>0.54200000000000004</v>
      </c>
    </row>
    <row r="55" spans="1:17" x14ac:dyDescent="0.25">
      <c r="A55" s="10" t="s">
        <v>1056</v>
      </c>
      <c r="B55" s="16">
        <f>COUNTIF(Accounts!C:C, Accounts!C9)</f>
        <v>178</v>
      </c>
      <c r="C55" s="41">
        <f t="shared" ref="C55:C57" si="2">B55/$B$58</f>
        <v>0.17799999999999999</v>
      </c>
    </row>
    <row r="56" spans="1:17" x14ac:dyDescent="0.25">
      <c r="A56" s="10" t="s">
        <v>1049</v>
      </c>
      <c r="B56" s="16">
        <f>COUNTIF(Accounts!C:C, Accounts!C4)</f>
        <v>192</v>
      </c>
      <c r="C56" s="41">
        <f t="shared" si="2"/>
        <v>0.192</v>
      </c>
    </row>
    <row r="57" spans="1:17" x14ac:dyDescent="0.25">
      <c r="A57" s="10" t="s">
        <v>17</v>
      </c>
      <c r="B57" s="16">
        <f>COUNTIF(Accounts!C:C, Accounts!C3)</f>
        <v>88</v>
      </c>
      <c r="C57" s="41">
        <f t="shared" si="2"/>
        <v>8.7999999999999995E-2</v>
      </c>
    </row>
    <row r="58" spans="1:17" x14ac:dyDescent="0.25">
      <c r="A58" s="11" t="s">
        <v>8661</v>
      </c>
      <c r="B58" s="16">
        <f>SUM(B54:B57)</f>
        <v>1000</v>
      </c>
      <c r="C58" s="21">
        <v>1</v>
      </c>
    </row>
    <row r="60" spans="1:17" s="26" customFormat="1" x14ac:dyDescent="0.25">
      <c r="B60" s="40"/>
      <c r="C60" s="37"/>
      <c r="F60" s="27"/>
      <c r="G60" s="27"/>
      <c r="H60" s="28"/>
      <c r="K60" s="27"/>
      <c r="L60" s="29"/>
      <c r="M60" s="28"/>
      <c r="P60" s="27"/>
      <c r="Q60" s="27"/>
    </row>
    <row r="61" spans="1:17" ht="18.75" x14ac:dyDescent="0.3">
      <c r="A61" s="43" t="s">
        <v>8679</v>
      </c>
    </row>
    <row r="62" spans="1:17" x14ac:dyDescent="0.25">
      <c r="A62" s="9" t="s">
        <v>8651</v>
      </c>
      <c r="B62" s="17" t="s">
        <v>8677</v>
      </c>
      <c r="C62" s="17" t="s">
        <v>8678</v>
      </c>
    </row>
    <row r="63" spans="1:17" x14ac:dyDescent="0.25">
      <c r="A63" s="10" t="s">
        <v>1050</v>
      </c>
      <c r="B63" s="16">
        <f>COUNTIF(Accounts!D:D, Accounts!D4)</f>
        <v>702</v>
      </c>
      <c r="C63" s="41">
        <f>B63/$B$67</f>
        <v>0.70199999999999996</v>
      </c>
    </row>
    <row r="64" spans="1:17" x14ac:dyDescent="0.25">
      <c r="A64" s="10" t="s">
        <v>1046</v>
      </c>
      <c r="B64" s="16">
        <f>COUNTIF(Accounts!D:D, Accounts!D2)</f>
        <v>163</v>
      </c>
      <c r="C64" s="41">
        <f>B64/$B$67</f>
        <v>0.16300000000000001</v>
      </c>
    </row>
    <row r="65" spans="1:17" x14ac:dyDescent="0.25">
      <c r="A65" s="10" t="s">
        <v>1073</v>
      </c>
      <c r="B65" s="16">
        <f>COUNTIF(Accounts!D:D, Accounts!D24)</f>
        <v>71</v>
      </c>
      <c r="C65" s="41">
        <f>B65/$B$67</f>
        <v>7.0999999999999994E-2</v>
      </c>
    </row>
    <row r="66" spans="1:17" x14ac:dyDescent="0.25">
      <c r="A66" s="10" t="s">
        <v>1068</v>
      </c>
      <c r="B66" s="16">
        <f>COUNTIF(Accounts!D:D, Accounts!D20)</f>
        <v>64</v>
      </c>
      <c r="C66" s="41">
        <f>B66/$B$67</f>
        <v>6.4000000000000001E-2</v>
      </c>
    </row>
    <row r="67" spans="1:17" x14ac:dyDescent="0.25">
      <c r="A67" s="11" t="s">
        <v>8661</v>
      </c>
      <c r="B67" s="20">
        <f>SUM(B63:B66)</f>
        <v>1000</v>
      </c>
      <c r="C67" s="21">
        <f>SUM(C63:C66)</f>
        <v>1</v>
      </c>
    </row>
    <row r="69" spans="1:17" s="26" customFormat="1" x14ac:dyDescent="0.25">
      <c r="B69" s="40"/>
      <c r="C69" s="37"/>
      <c r="F69" s="27"/>
      <c r="G69" s="27"/>
      <c r="H69" s="28"/>
      <c r="K69" s="27"/>
      <c r="L69" s="29"/>
      <c r="M69" s="28"/>
      <c r="P69" s="27"/>
      <c r="Q69" s="27"/>
    </row>
    <row r="71" spans="1:17" x14ac:dyDescent="0.25">
      <c r="A71" s="9" t="s">
        <v>8664</v>
      </c>
      <c r="B71" s="17" t="s">
        <v>8665</v>
      </c>
    </row>
    <row r="72" spans="1:17" x14ac:dyDescent="0.25">
      <c r="A72" s="10" t="s">
        <v>8681</v>
      </c>
      <c r="B72" s="16">
        <f>COUNTA(Transactions!H2:H6004)</f>
        <v>6003</v>
      </c>
    </row>
    <row r="73" spans="1:17" x14ac:dyDescent="0.25">
      <c r="A73" s="10" t="s">
        <v>2060</v>
      </c>
      <c r="B73" s="16">
        <f>COUNTIF(Transactions!H:H,"Completed")</f>
        <v>5660</v>
      </c>
    </row>
    <row r="74" spans="1:17" x14ac:dyDescent="0.25">
      <c r="A74" s="10" t="s">
        <v>2115</v>
      </c>
      <c r="B74" s="16">
        <f>COUNTIF(Transactions!H:H,"Failed")</f>
        <v>228</v>
      </c>
    </row>
    <row r="75" spans="1:17" x14ac:dyDescent="0.25">
      <c r="A75" s="10" t="s">
        <v>2107</v>
      </c>
      <c r="B75" s="16">
        <f>COUNTIF(Transactions!H:H,"Reversed")</f>
        <v>115</v>
      </c>
    </row>
    <row r="77" spans="1:17" ht="30" x14ac:dyDescent="0.25">
      <c r="A77" s="9" t="s">
        <v>8657</v>
      </c>
      <c r="B77" s="17" t="s">
        <v>8682</v>
      </c>
      <c r="C77" s="17" t="s">
        <v>8678</v>
      </c>
    </row>
    <row r="78" spans="1:17" x14ac:dyDescent="0.25">
      <c r="A78" s="10" t="s">
        <v>2060</v>
      </c>
      <c r="B78" s="16">
        <f>COUNTIF(Transactions!H:H, Transactions!H3)</f>
        <v>5660</v>
      </c>
      <c r="C78" s="41">
        <f>B78/$B$81</f>
        <v>0.94286190238214229</v>
      </c>
    </row>
    <row r="79" spans="1:17" x14ac:dyDescent="0.25">
      <c r="A79" s="10" t="s">
        <v>2115</v>
      </c>
      <c r="B79" s="16">
        <f>COUNTIF(Transactions!H:H, Transactions!H47)</f>
        <v>228</v>
      </c>
      <c r="C79" s="41">
        <f t="shared" ref="C79:C80" si="3">B79/$B$81</f>
        <v>3.7981009495252377E-2</v>
      </c>
    </row>
    <row r="80" spans="1:17" x14ac:dyDescent="0.25">
      <c r="A80" s="10" t="s">
        <v>2107</v>
      </c>
      <c r="B80" s="16">
        <f>COUNTIF(Transactions!H:H, Transactions!H44)</f>
        <v>115</v>
      </c>
      <c r="C80" s="41">
        <f t="shared" si="3"/>
        <v>1.9157088122605363E-2</v>
      </c>
    </row>
    <row r="81" spans="1:17" x14ac:dyDescent="0.25">
      <c r="A81" s="11" t="s">
        <v>8661</v>
      </c>
      <c r="B81" s="16">
        <f>SUM(B78:B80)</f>
        <v>6003</v>
      </c>
      <c r="C81" s="21">
        <v>1</v>
      </c>
    </row>
    <row r="83" spans="1:17" s="26" customFormat="1" x14ac:dyDescent="0.25">
      <c r="B83" s="40"/>
      <c r="C83" s="37"/>
      <c r="F83" s="27"/>
      <c r="G83" s="27"/>
      <c r="H83" s="28"/>
      <c r="K83" s="27"/>
      <c r="L83" s="29"/>
      <c r="M83" s="28"/>
      <c r="P83" s="27"/>
      <c r="Q83" s="27"/>
    </row>
    <row r="85" spans="1:17" ht="30" x14ac:dyDescent="0.25">
      <c r="A85" s="9" t="s">
        <v>8653</v>
      </c>
      <c r="B85" s="17" t="s">
        <v>8682</v>
      </c>
      <c r="C85" s="17" t="s">
        <v>8678</v>
      </c>
    </row>
    <row r="86" spans="1:17" x14ac:dyDescent="0.25">
      <c r="A86" s="10" t="s">
        <v>2065</v>
      </c>
      <c r="B86" s="16">
        <f>COUNTIF(Transactions!D:D,Transactions!D4)</f>
        <v>1586</v>
      </c>
      <c r="C86" s="41">
        <f>B86/$B$91</f>
        <v>0.26420123271697482</v>
      </c>
    </row>
    <row r="87" spans="1:17" x14ac:dyDescent="0.25">
      <c r="A87" s="10" t="s">
        <v>2067</v>
      </c>
      <c r="B87" s="16">
        <f>COUNTIF(Transactions!D:D,Transactions!D5)</f>
        <v>1216</v>
      </c>
      <c r="C87" s="41">
        <f t="shared" ref="C87:C90" si="4">B87/$B$91</f>
        <v>0.20256538397467932</v>
      </c>
    </row>
    <row r="88" spans="1:17" x14ac:dyDescent="0.25">
      <c r="A88" s="10" t="s">
        <v>2058</v>
      </c>
      <c r="B88" s="16">
        <f>COUNTIF(Transactions!D:D,Transactions!D2)</f>
        <v>1355</v>
      </c>
      <c r="C88" s="41">
        <f t="shared" si="4"/>
        <v>0.22572047309678495</v>
      </c>
    </row>
    <row r="89" spans="1:17" x14ac:dyDescent="0.25">
      <c r="A89" s="10" t="s">
        <v>2062</v>
      </c>
      <c r="B89" s="16">
        <f>COUNTIF(Transactions!D:D,Transactions!D12)</f>
        <v>1353</v>
      </c>
      <c r="C89" s="41">
        <f t="shared" si="4"/>
        <v>0.22538730634682658</v>
      </c>
    </row>
    <row r="90" spans="1:17" x14ac:dyDescent="0.25">
      <c r="A90" s="10" t="s">
        <v>2070</v>
      </c>
      <c r="B90" s="16">
        <f>COUNTIF(Transactions!D:D,Transactions!D6)</f>
        <v>493</v>
      </c>
      <c r="C90" s="41">
        <f t="shared" si="4"/>
        <v>8.2125603864734303E-2</v>
      </c>
    </row>
    <row r="91" spans="1:17" x14ac:dyDescent="0.25">
      <c r="A91" s="11" t="s">
        <v>8661</v>
      </c>
      <c r="B91" s="20">
        <f>SUM(B86:B90)</f>
        <v>6003</v>
      </c>
      <c r="C91" s="21">
        <f>SUM(C86:C90)</f>
        <v>1</v>
      </c>
    </row>
    <row r="93" spans="1:17" s="26" customFormat="1" x14ac:dyDescent="0.25">
      <c r="B93" s="40"/>
      <c r="C93" s="37"/>
      <c r="F93" s="27"/>
      <c r="G93" s="27"/>
      <c r="H93" s="28"/>
      <c r="K93" s="27"/>
      <c r="L93" s="29"/>
      <c r="M93" s="28"/>
      <c r="P93" s="27"/>
      <c r="Q93" s="27"/>
    </row>
    <row r="95" spans="1:17" ht="30" x14ac:dyDescent="0.25">
      <c r="A95" s="9" t="s">
        <v>8656</v>
      </c>
      <c r="B95" s="22" t="s">
        <v>8682</v>
      </c>
      <c r="C95" s="17" t="s">
        <v>8678</v>
      </c>
    </row>
    <row r="96" spans="1:17" x14ac:dyDescent="0.25">
      <c r="A96" s="10" t="s">
        <v>2063</v>
      </c>
      <c r="B96" s="16">
        <f>COUNTIF(Transactions!E:E,Transactions!E3)</f>
        <v>1988</v>
      </c>
      <c r="C96" s="41">
        <f>B96/B101</f>
        <v>0.33116774945860405</v>
      </c>
    </row>
    <row r="97" spans="1:17" x14ac:dyDescent="0.25">
      <c r="A97" s="10" t="s">
        <v>2059</v>
      </c>
      <c r="B97" s="16">
        <f>COUNTIF(Transactions!E:E,Transactions!E2)</f>
        <v>1487</v>
      </c>
      <c r="C97" s="41">
        <f>B97/B101</f>
        <v>0.2477094785940363</v>
      </c>
    </row>
    <row r="98" spans="1:17" x14ac:dyDescent="0.25">
      <c r="A98" s="10" t="s">
        <v>2076</v>
      </c>
      <c r="B98" s="16">
        <f>COUNTIF(Transactions!E:E,Transactions!E10)</f>
        <v>1020</v>
      </c>
      <c r="C98" s="41">
        <f>B98/B101</f>
        <v>0.16991504247876063</v>
      </c>
    </row>
    <row r="99" spans="1:17" x14ac:dyDescent="0.25">
      <c r="A99" s="10" t="s">
        <v>2068</v>
      </c>
      <c r="B99" s="16">
        <f>COUNTIF(Transactions!E:E,Transactions!E5)</f>
        <v>882</v>
      </c>
      <c r="C99" s="41">
        <f>B99/B101</f>
        <v>0.14692653673163419</v>
      </c>
    </row>
    <row r="100" spans="1:17" x14ac:dyDescent="0.25">
      <c r="A100" s="10" t="s">
        <v>2073</v>
      </c>
      <c r="B100" s="16">
        <f>COUNTIF(Transactions!E:E,Transactions!E17)</f>
        <v>626</v>
      </c>
      <c r="C100" s="41">
        <f>B100/B101</f>
        <v>0.10428119273696485</v>
      </c>
    </row>
    <row r="101" spans="1:17" x14ac:dyDescent="0.25">
      <c r="A101" s="11" t="s">
        <v>8661</v>
      </c>
      <c r="B101" s="20">
        <f>SUM(B96:B100)</f>
        <v>6003</v>
      </c>
      <c r="C101" s="21">
        <f>SUM(C96:C100)</f>
        <v>1.0000000000000002</v>
      </c>
    </row>
    <row r="103" spans="1:17" s="26" customFormat="1" x14ac:dyDescent="0.25">
      <c r="B103" s="40"/>
      <c r="C103" s="37"/>
      <c r="F103" s="27"/>
      <c r="G103" s="27"/>
      <c r="H103" s="28"/>
      <c r="K103" s="27"/>
      <c r="L103" s="29"/>
      <c r="M103" s="28"/>
      <c r="P103" s="27"/>
      <c r="Q103" s="27"/>
    </row>
    <row r="105" spans="1:17" x14ac:dyDescent="0.25">
      <c r="A105" s="9" t="s">
        <v>8683</v>
      </c>
      <c r="B105" s="17" t="s">
        <v>8684</v>
      </c>
      <c r="C105" s="17" t="s">
        <v>8678</v>
      </c>
    </row>
    <row r="106" spans="1:17" x14ac:dyDescent="0.25">
      <c r="A106" s="10" t="s">
        <v>8084</v>
      </c>
      <c r="B106" s="16">
        <f>COUNTIF(Loans!C:C,Loans!C4)</f>
        <v>207</v>
      </c>
      <c r="C106" s="41">
        <f>B106/B110</f>
        <v>0.46</v>
      </c>
    </row>
    <row r="107" spans="1:17" x14ac:dyDescent="0.25">
      <c r="A107" s="10" t="s">
        <v>22</v>
      </c>
      <c r="B107" s="16">
        <f>COUNTIF(Loans!C:C,Loans!C13)</f>
        <v>98</v>
      </c>
      <c r="C107" s="41">
        <f>B107/B110</f>
        <v>0.21777777777777776</v>
      </c>
    </row>
    <row r="108" spans="1:17" x14ac:dyDescent="0.25">
      <c r="A108" s="10" t="s">
        <v>8081</v>
      </c>
      <c r="B108" s="16">
        <f>COUNTIF(Loans!C:C,Loans!C5)</f>
        <v>97</v>
      </c>
      <c r="C108" s="41">
        <f>B108/B110</f>
        <v>0.21555555555555556</v>
      </c>
    </row>
    <row r="109" spans="1:17" x14ac:dyDescent="0.25">
      <c r="A109" s="10" t="s">
        <v>8124</v>
      </c>
      <c r="B109" s="16">
        <f>COUNTIF(Loans!C:C,Loans!C40)</f>
        <v>48</v>
      </c>
      <c r="C109" s="41">
        <f>B109/B110</f>
        <v>0.10666666666666667</v>
      </c>
    </row>
    <row r="110" spans="1:17" x14ac:dyDescent="0.25">
      <c r="A110" s="11" t="s">
        <v>8661</v>
      </c>
      <c r="B110" s="17">
        <f>SUM(B106:B109)</f>
        <v>450</v>
      </c>
      <c r="C110" s="21">
        <f>SUM(C106:C109)</f>
        <v>1</v>
      </c>
    </row>
    <row r="112" spans="1:17" s="26" customFormat="1" x14ac:dyDescent="0.25">
      <c r="B112" s="40"/>
      <c r="C112" s="37"/>
      <c r="F112" s="27"/>
      <c r="G112" s="27"/>
      <c r="H112" s="28"/>
      <c r="K112" s="27"/>
      <c r="L112" s="29"/>
      <c r="M112" s="28"/>
      <c r="P112" s="27"/>
      <c r="Q112" s="27"/>
    </row>
    <row r="114" spans="1:17" x14ac:dyDescent="0.25">
      <c r="A114" s="9" t="s">
        <v>8685</v>
      </c>
      <c r="B114" s="17" t="s">
        <v>8684</v>
      </c>
      <c r="C114" s="17" t="s">
        <v>8678</v>
      </c>
    </row>
    <row r="115" spans="1:17" x14ac:dyDescent="0.25">
      <c r="A115" s="10" t="s">
        <v>1050</v>
      </c>
      <c r="B115" s="16">
        <f>COUNTIF(Loans!E:E,Loans!E2)</f>
        <v>256</v>
      </c>
      <c r="C115" s="41">
        <f>B115/B119</f>
        <v>0.56888888888888889</v>
      </c>
    </row>
    <row r="116" spans="1:17" x14ac:dyDescent="0.25">
      <c r="A116" s="10" t="s">
        <v>8087</v>
      </c>
      <c r="B116" s="16">
        <f>COUNTIF(Loans!E:E,Loans!E6)</f>
        <v>135</v>
      </c>
      <c r="C116" s="41">
        <f>B116/B119</f>
        <v>0.3</v>
      </c>
    </row>
    <row r="117" spans="1:17" x14ac:dyDescent="0.25">
      <c r="A117" s="10" t="s">
        <v>8105</v>
      </c>
      <c r="B117" s="16">
        <f>COUNTIF(Loans!E:E,Loans!E22)</f>
        <v>24</v>
      </c>
      <c r="C117" s="41">
        <f>B117/B119</f>
        <v>5.3333333333333337E-2</v>
      </c>
    </row>
    <row r="118" spans="1:17" x14ac:dyDescent="0.25">
      <c r="A118" s="10" t="s">
        <v>8101</v>
      </c>
      <c r="B118" s="16">
        <f>COUNTIF(Loans!E:E,Loans!E24)</f>
        <v>35</v>
      </c>
      <c r="C118" s="41">
        <f>B118/B119</f>
        <v>7.7777777777777779E-2</v>
      </c>
    </row>
    <row r="119" spans="1:17" x14ac:dyDescent="0.25">
      <c r="A119" s="11" t="s">
        <v>8661</v>
      </c>
      <c r="B119" s="17">
        <f>SUM(B115:B118)</f>
        <v>450</v>
      </c>
      <c r="C119" s="21">
        <f>SUM(C115:C118)</f>
        <v>1</v>
      </c>
    </row>
    <row r="121" spans="1:17" s="26" customFormat="1" x14ac:dyDescent="0.25">
      <c r="B121" s="40"/>
      <c r="C121" s="37"/>
      <c r="F121" s="27"/>
      <c r="G121" s="27"/>
      <c r="H121" s="28"/>
      <c r="K121" s="27"/>
      <c r="L121" s="29"/>
      <c r="M121" s="28"/>
      <c r="P121" s="27"/>
      <c r="Q121" s="27"/>
    </row>
    <row r="123" spans="1:17" x14ac:dyDescent="0.25">
      <c r="A123" s="9" t="s">
        <v>8664</v>
      </c>
      <c r="B123" s="17" t="s">
        <v>8665</v>
      </c>
    </row>
    <row r="124" spans="1:17" x14ac:dyDescent="0.25">
      <c r="A124" s="10" t="s">
        <v>8686</v>
      </c>
      <c r="B124" s="16">
        <f>SUM(Loans!D:D)</f>
        <v>10018521.75</v>
      </c>
    </row>
    <row r="125" spans="1:17" ht="30" x14ac:dyDescent="0.25">
      <c r="A125" s="10" t="s">
        <v>8687</v>
      </c>
      <c r="B125" s="16">
        <f>AVERAGE(Loans!D:D)</f>
        <v>22263.381666666668</v>
      </c>
    </row>
    <row r="126" spans="1:17" ht="30" x14ac:dyDescent="0.25">
      <c r="A126" s="10" t="s">
        <v>8688</v>
      </c>
      <c r="B126" s="16">
        <f>MIN(Loans!D:D)</f>
        <v>2034.3</v>
      </c>
    </row>
    <row r="127" spans="1:17" ht="30" x14ac:dyDescent="0.25">
      <c r="A127" s="10" t="s">
        <v>8689</v>
      </c>
      <c r="B127" s="16">
        <f>MAX(Loans!D:D)</f>
        <v>160034.31</v>
      </c>
    </row>
    <row r="129" spans="1:17" s="26" customFormat="1" x14ac:dyDescent="0.25">
      <c r="B129" s="40"/>
      <c r="C129" s="37"/>
      <c r="F129" s="27"/>
      <c r="G129" s="27"/>
      <c r="H129" s="28"/>
      <c r="K129" s="27"/>
      <c r="L129" s="29"/>
      <c r="M129" s="28"/>
      <c r="P129" s="27"/>
      <c r="Q129" s="27"/>
    </row>
    <row r="131" spans="1:17" x14ac:dyDescent="0.25">
      <c r="A131" s="9" t="s">
        <v>8664</v>
      </c>
      <c r="B131" s="17" t="s">
        <v>8665</v>
      </c>
    </row>
    <row r="132" spans="1:17" x14ac:dyDescent="0.25">
      <c r="A132" s="10" t="s">
        <v>8690</v>
      </c>
      <c r="B132" s="16">
        <f>COUNTA(Loans!A:A)-1</f>
        <v>450</v>
      </c>
    </row>
    <row r="133" spans="1:17" x14ac:dyDescent="0.25">
      <c r="A133" s="10" t="s">
        <v>8691</v>
      </c>
      <c r="B133" s="16">
        <f>COUNTIF(Loans!E:E,"Defaulted")</f>
        <v>24</v>
      </c>
    </row>
    <row r="134" spans="1:17" x14ac:dyDescent="0.25">
      <c r="A134" s="10" t="s">
        <v>8692</v>
      </c>
      <c r="B134" s="41">
        <f>B133/B132</f>
        <v>5.3333333333333337E-2</v>
      </c>
    </row>
    <row r="135" spans="1:17" x14ac:dyDescent="0.25">
      <c r="A135" s="10" t="s">
        <v>8686</v>
      </c>
      <c r="B135" s="16">
        <f>SUM(Loans!D:D)</f>
        <v>10018521.75</v>
      </c>
    </row>
    <row r="136" spans="1:17" ht="30" x14ac:dyDescent="0.25">
      <c r="A136" s="10" t="s">
        <v>8693</v>
      </c>
      <c r="B136" s="16">
        <f>SUMIF(Loans!E:E,"Defaulted",Loans!D:D)</f>
        <v>605661.2699999999</v>
      </c>
    </row>
    <row r="137" spans="1:17" ht="30" x14ac:dyDescent="0.25">
      <c r="A137" s="10" t="s">
        <v>8694</v>
      </c>
      <c r="B137" s="41">
        <f>B136/B135</f>
        <v>6.0454155324861168E-2</v>
      </c>
    </row>
    <row r="139" spans="1:17" s="26" customFormat="1" x14ac:dyDescent="0.25">
      <c r="B139" s="40"/>
      <c r="C139" s="37"/>
      <c r="F139" s="27"/>
      <c r="G139" s="27"/>
      <c r="H139" s="28"/>
      <c r="K139" s="27"/>
      <c r="L139" s="29"/>
      <c r="M139" s="28"/>
      <c r="P139" s="27"/>
      <c r="Q139" s="27"/>
    </row>
    <row r="141" spans="1:17" x14ac:dyDescent="0.25">
      <c r="A141" s="9" t="s">
        <v>8664</v>
      </c>
      <c r="B141" s="17" t="s">
        <v>8665</v>
      </c>
    </row>
    <row r="142" spans="1:17" ht="30" x14ac:dyDescent="0.25">
      <c r="A142" s="10" t="s">
        <v>8695</v>
      </c>
      <c r="B142" s="16">
        <f>AVERAGE(Loans!G:G)</f>
        <v>22.43546666666667</v>
      </c>
    </row>
    <row r="143" spans="1:17" ht="30" x14ac:dyDescent="0.25">
      <c r="A143" s="10" t="s">
        <v>8696</v>
      </c>
      <c r="B143" s="16">
        <f>MIN(Loans!G:G)</f>
        <v>10.01</v>
      </c>
    </row>
    <row r="144" spans="1:17" ht="30" x14ac:dyDescent="0.25">
      <c r="A144" s="10" t="s">
        <v>8697</v>
      </c>
      <c r="B144" s="16">
        <f>MAX(Loans!G:G)</f>
        <v>34.97</v>
      </c>
    </row>
    <row r="146" spans="1:17" s="26" customFormat="1" x14ac:dyDescent="0.25">
      <c r="B146" s="40"/>
      <c r="C146" s="37"/>
      <c r="F146" s="27"/>
      <c r="G146" s="27"/>
      <c r="H146" s="28"/>
      <c r="K146" s="27"/>
      <c r="L146" s="29"/>
      <c r="M146" s="28"/>
      <c r="P146" s="27"/>
      <c r="Q146" s="27"/>
    </row>
    <row r="148" spans="1:17" ht="30" x14ac:dyDescent="0.25">
      <c r="A148" s="17" t="s">
        <v>8698</v>
      </c>
      <c r="B148" s="17" t="s">
        <v>8684</v>
      </c>
      <c r="C148" s="17" t="s">
        <v>8678</v>
      </c>
    </row>
    <row r="149" spans="1:17" x14ac:dyDescent="0.25">
      <c r="A149" s="16">
        <v>3</v>
      </c>
      <c r="B149" s="16">
        <f>COUNTIF(Loans!H:H,A149)</f>
        <v>31</v>
      </c>
      <c r="C149" s="41">
        <f>B149/B155</f>
        <v>6.8888888888888888E-2</v>
      </c>
    </row>
    <row r="150" spans="1:17" x14ac:dyDescent="0.25">
      <c r="A150" s="16">
        <v>6</v>
      </c>
      <c r="B150" s="16">
        <f>COUNTIF(Loans!H:H,A150)</f>
        <v>56</v>
      </c>
      <c r="C150" s="41">
        <f>B150/B155</f>
        <v>0.12444444444444444</v>
      </c>
    </row>
    <row r="151" spans="1:17" x14ac:dyDescent="0.25">
      <c r="A151" s="16">
        <v>12</v>
      </c>
      <c r="B151" s="16">
        <f>COUNTIF(Loans!H:H,A151)</f>
        <v>158</v>
      </c>
      <c r="C151" s="41">
        <f>B151/B155</f>
        <v>0.3511111111111111</v>
      </c>
    </row>
    <row r="152" spans="1:17" x14ac:dyDescent="0.25">
      <c r="A152" s="16">
        <v>24</v>
      </c>
      <c r="B152" s="16">
        <f>COUNTIF(Loans!H:H,A152)</f>
        <v>108</v>
      </c>
      <c r="C152" s="41">
        <f>B152/B155</f>
        <v>0.24</v>
      </c>
    </row>
    <row r="153" spans="1:17" x14ac:dyDescent="0.25">
      <c r="A153" s="16">
        <v>36</v>
      </c>
      <c r="B153" s="16">
        <f>COUNTIF(Loans!H:H,A153)</f>
        <v>68</v>
      </c>
      <c r="C153" s="41">
        <f>B153/B155</f>
        <v>0.15111111111111111</v>
      </c>
    </row>
    <row r="154" spans="1:17" x14ac:dyDescent="0.25">
      <c r="A154" s="16">
        <v>48</v>
      </c>
      <c r="B154" s="16">
        <f>COUNTIF(Loans!H:H,A154)</f>
        <v>29</v>
      </c>
      <c r="C154" s="41">
        <f>B154/B155</f>
        <v>6.4444444444444443E-2</v>
      </c>
    </row>
    <row r="155" spans="1:17" x14ac:dyDescent="0.25">
      <c r="A155" s="17" t="s">
        <v>8661</v>
      </c>
      <c r="B155" s="17">
        <f>SUM(B149:B154)</f>
        <v>450</v>
      </c>
      <c r="C155" s="21">
        <f>SUM(C149:C154)</f>
        <v>0.99999999999999989</v>
      </c>
    </row>
    <row r="157" spans="1:17" s="26" customFormat="1" x14ac:dyDescent="0.25">
      <c r="B157" s="40"/>
      <c r="C157" s="37"/>
      <c r="F157" s="27"/>
      <c r="G157" s="27"/>
      <c r="H157" s="28"/>
      <c r="K157" s="27"/>
      <c r="L157" s="29"/>
      <c r="M157" s="28"/>
      <c r="P157" s="27"/>
      <c r="Q157" s="27"/>
    </row>
    <row r="159" spans="1:17" ht="30" x14ac:dyDescent="0.25">
      <c r="A159" s="9" t="s">
        <v>8699</v>
      </c>
      <c r="B159" s="9" t="s">
        <v>8700</v>
      </c>
      <c r="C159" s="17" t="s">
        <v>8660</v>
      </c>
    </row>
    <row r="160" spans="1:17" x14ac:dyDescent="0.25">
      <c r="A160" s="10" t="s">
        <v>29</v>
      </c>
      <c r="B160" t="s">
        <v>8537</v>
      </c>
      <c r="C160" s="10">
        <f>COUNTIF(Customers!F:F,Customers!F12)</f>
        <v>178</v>
      </c>
    </row>
    <row r="161" spans="1:17" x14ac:dyDescent="0.25">
      <c r="A161" s="10" t="s">
        <v>47</v>
      </c>
      <c r="B161" t="s">
        <v>8538</v>
      </c>
      <c r="C161" s="10">
        <f>COUNTIF(Customers!F:F,Customers!F16)</f>
        <v>120</v>
      </c>
    </row>
    <row r="162" spans="1:17" x14ac:dyDescent="0.25">
      <c r="A162" s="10" t="s">
        <v>11</v>
      </c>
      <c r="B162" t="s">
        <v>8539</v>
      </c>
      <c r="C162" s="10">
        <f>COUNTIF(Customers!F:F,Customers!F18)</f>
        <v>129</v>
      </c>
    </row>
    <row r="163" spans="1:17" x14ac:dyDescent="0.25">
      <c r="A163" s="10" t="s">
        <v>53</v>
      </c>
      <c r="B163" t="s">
        <v>8540</v>
      </c>
      <c r="C163" s="10">
        <f>COUNTIF(Customers!F:F,Customers!F20)</f>
        <v>76</v>
      </c>
    </row>
    <row r="164" spans="1:17" x14ac:dyDescent="0.25">
      <c r="A164" s="10" t="s">
        <v>27</v>
      </c>
      <c r="B164" t="s">
        <v>26</v>
      </c>
      <c r="C164" s="10">
        <f>COUNTIF(Customers!F:F,Customers!F5)</f>
        <v>119</v>
      </c>
    </row>
    <row r="165" spans="1:17" x14ac:dyDescent="0.25">
      <c r="A165" s="10" t="s">
        <v>39</v>
      </c>
      <c r="B165" t="s">
        <v>38</v>
      </c>
      <c r="C165" s="10">
        <f>COUNTIF(Customers!F:F,Customers!F11)</f>
        <v>100</v>
      </c>
    </row>
    <row r="166" spans="1:17" x14ac:dyDescent="0.25">
      <c r="A166" s="10" t="s">
        <v>21</v>
      </c>
      <c r="B166" t="s">
        <v>20</v>
      </c>
      <c r="C166" s="10">
        <f>COUNTIF(Customers!F:F,Customers!F4)</f>
        <v>62</v>
      </c>
    </row>
    <row r="167" spans="1:17" x14ac:dyDescent="0.25">
      <c r="A167" s="10" t="s">
        <v>45</v>
      </c>
      <c r="B167" t="s">
        <v>44</v>
      </c>
      <c r="C167" s="10">
        <f>COUNTIF(Customers!F:F,Customers!F14)</f>
        <v>63</v>
      </c>
    </row>
    <row r="168" spans="1:17" x14ac:dyDescent="0.25">
      <c r="A168" s="10" t="s">
        <v>35</v>
      </c>
      <c r="B168" t="s">
        <v>34</v>
      </c>
      <c r="C168" s="10">
        <f>COUNTIF(Customers!F:F,Customers!F9)</f>
        <v>85</v>
      </c>
    </row>
    <row r="169" spans="1:17" x14ac:dyDescent="0.25">
      <c r="A169" s="10" t="s">
        <v>16</v>
      </c>
      <c r="B169" t="s">
        <v>15</v>
      </c>
      <c r="C169" s="10">
        <f>COUNTIF(Customers!F:F,Customers!F3)</f>
        <v>68</v>
      </c>
    </row>
    <row r="170" spans="1:17" x14ac:dyDescent="0.25">
      <c r="A170" s="11" t="s">
        <v>8661</v>
      </c>
      <c r="B170" s="10"/>
      <c r="C170" s="20">
        <f>SUM(C160:C169)</f>
        <v>1000</v>
      </c>
    </row>
    <row r="172" spans="1:17" s="26" customFormat="1" x14ac:dyDescent="0.25">
      <c r="B172" s="40"/>
      <c r="C172" s="37"/>
      <c r="F172" s="27"/>
      <c r="G172" s="27"/>
      <c r="H172" s="28"/>
      <c r="K172" s="27"/>
      <c r="L172" s="29"/>
      <c r="M172" s="28"/>
      <c r="P172" s="27"/>
      <c r="Q172" s="27"/>
    </row>
    <row r="174" spans="1:17" ht="30" x14ac:dyDescent="0.25">
      <c r="A174" s="9" t="s">
        <v>8699</v>
      </c>
      <c r="B174" s="9" t="s">
        <v>8700</v>
      </c>
      <c r="C174" s="17" t="s">
        <v>8682</v>
      </c>
    </row>
    <row r="175" spans="1:17" x14ac:dyDescent="0.25">
      <c r="A175" s="10" t="s">
        <v>29</v>
      </c>
      <c r="B175" t="s">
        <v>8537</v>
      </c>
      <c r="C175" s="16">
        <f>COUNTIF(Transactions!F:F,Transactions!F10)</f>
        <v>992</v>
      </c>
    </row>
    <row r="176" spans="1:17" x14ac:dyDescent="0.25">
      <c r="A176" s="10" t="s">
        <v>47</v>
      </c>
      <c r="B176" t="s">
        <v>8538</v>
      </c>
      <c r="C176" s="16">
        <f>COUNTIF(Transactions!F:F,Transactions!F3)</f>
        <v>724</v>
      </c>
    </row>
    <row r="177" spans="1:17" x14ac:dyDescent="0.25">
      <c r="A177" s="10" t="s">
        <v>11</v>
      </c>
      <c r="B177" t="s">
        <v>8539</v>
      </c>
      <c r="C177" s="16">
        <f>COUNTIF(Transactions!F:F,Transactions!F7)</f>
        <v>769</v>
      </c>
    </row>
    <row r="178" spans="1:17" x14ac:dyDescent="0.25">
      <c r="A178" s="10" t="s">
        <v>53</v>
      </c>
      <c r="B178" t="s">
        <v>8540</v>
      </c>
      <c r="C178" s="16">
        <f>COUNTIF(Transactions!F:F,Transactions!F5)</f>
        <v>560</v>
      </c>
    </row>
    <row r="179" spans="1:17" x14ac:dyDescent="0.25">
      <c r="A179" s="10" t="s">
        <v>27</v>
      </c>
      <c r="B179" t="s">
        <v>26</v>
      </c>
      <c r="C179" s="16">
        <f>COUNTIF(Transactions!F:F,Transactions!F14)</f>
        <v>656</v>
      </c>
    </row>
    <row r="180" spans="1:17" x14ac:dyDescent="0.25">
      <c r="A180" s="10" t="s">
        <v>39</v>
      </c>
      <c r="B180" t="s">
        <v>38</v>
      </c>
      <c r="C180" s="16">
        <f>COUNTIF(Transactions!F:F,Transactions!F17)</f>
        <v>591</v>
      </c>
    </row>
    <row r="181" spans="1:17" x14ac:dyDescent="0.25">
      <c r="A181" s="10" t="s">
        <v>21</v>
      </c>
      <c r="B181" t="s">
        <v>20</v>
      </c>
      <c r="C181" s="16">
        <f>COUNTIF(Transactions!F:F,Transactions!F21)</f>
        <v>399</v>
      </c>
    </row>
    <row r="182" spans="1:17" x14ac:dyDescent="0.25">
      <c r="A182" s="10" t="s">
        <v>45</v>
      </c>
      <c r="B182" t="s">
        <v>44</v>
      </c>
      <c r="C182" s="16">
        <f>COUNTIF(Transactions!F:F,Transactions!F28)</f>
        <v>409</v>
      </c>
    </row>
    <row r="183" spans="1:17" x14ac:dyDescent="0.25">
      <c r="A183" s="10" t="s">
        <v>35</v>
      </c>
      <c r="B183" t="s">
        <v>34</v>
      </c>
      <c r="C183" s="16">
        <f>COUNTIF(Transactions!F:F,Transactions!F2)</f>
        <v>478</v>
      </c>
    </row>
    <row r="184" spans="1:17" x14ac:dyDescent="0.25">
      <c r="A184" s="10" t="s">
        <v>16</v>
      </c>
      <c r="B184" t="s">
        <v>15</v>
      </c>
      <c r="C184" s="16">
        <f>COUNTIF(Transactions!F:F,Transactions!F24)</f>
        <v>425</v>
      </c>
    </row>
    <row r="185" spans="1:17" x14ac:dyDescent="0.25">
      <c r="A185" s="11" t="s">
        <v>8661</v>
      </c>
      <c r="B185" s="10"/>
      <c r="C185" s="20">
        <f>SUM(C175:C184)</f>
        <v>6003</v>
      </c>
    </row>
    <row r="187" spans="1:17" s="26" customFormat="1" x14ac:dyDescent="0.25">
      <c r="B187" s="40"/>
      <c r="C187" s="37"/>
      <c r="F187" s="27"/>
      <c r="G187" s="27"/>
      <c r="H187" s="28"/>
      <c r="K187" s="27"/>
      <c r="L187" s="29"/>
      <c r="M187" s="28"/>
      <c r="P187" s="27"/>
      <c r="Q187" s="27"/>
    </row>
    <row r="189" spans="1:17" ht="45" x14ac:dyDescent="0.25">
      <c r="A189" s="9" t="s">
        <v>8699</v>
      </c>
      <c r="B189" s="9" t="s">
        <v>8700</v>
      </c>
      <c r="C189" s="17" t="s">
        <v>8701</v>
      </c>
    </row>
    <row r="190" spans="1:17" x14ac:dyDescent="0.25">
      <c r="A190" s="10" t="s">
        <v>29</v>
      </c>
      <c r="B190" t="s">
        <v>8537</v>
      </c>
      <c r="C190" s="16">
        <f>SUMIF(Transactions!F:F,A190,Transactions!G:G)</f>
        <v>1297360.0300000017</v>
      </c>
    </row>
    <row r="191" spans="1:17" x14ac:dyDescent="0.25">
      <c r="A191" s="10" t="s">
        <v>47</v>
      </c>
      <c r="B191" t="s">
        <v>8538</v>
      </c>
      <c r="C191" s="16">
        <f>SUMIF(Transactions!F:F,A191,Transactions!G:G)</f>
        <v>961591.08999999962</v>
      </c>
    </row>
    <row r="192" spans="1:17" x14ac:dyDescent="0.25">
      <c r="A192" s="10" t="s">
        <v>11</v>
      </c>
      <c r="B192" t="s">
        <v>8539</v>
      </c>
      <c r="C192" s="16">
        <f>SUMIF(Transactions!F:F,A192,Transactions!G:G)</f>
        <v>945463.14000000036</v>
      </c>
    </row>
    <row r="193" spans="1:17" x14ac:dyDescent="0.25">
      <c r="A193" s="10" t="s">
        <v>53</v>
      </c>
      <c r="B193" t="s">
        <v>8540</v>
      </c>
      <c r="C193" s="16">
        <f>SUMIF(Transactions!F:F,A193,Transactions!G:G)</f>
        <v>811326.42</v>
      </c>
    </row>
    <row r="194" spans="1:17" x14ac:dyDescent="0.25">
      <c r="A194" s="10" t="s">
        <v>27</v>
      </c>
      <c r="B194" t="s">
        <v>26</v>
      </c>
      <c r="C194" s="16">
        <f>SUMIF(Transactions!F:F,A194,Transactions!G:G)</f>
        <v>871230.86999999988</v>
      </c>
    </row>
    <row r="195" spans="1:17" x14ac:dyDescent="0.25">
      <c r="A195" s="10" t="s">
        <v>39</v>
      </c>
      <c r="B195" t="s">
        <v>38</v>
      </c>
      <c r="C195" s="16">
        <f>SUMIF(Transactions!F:F,A195,Transactions!G:G)</f>
        <v>840774.77000000037</v>
      </c>
    </row>
    <row r="196" spans="1:17" x14ac:dyDescent="0.25">
      <c r="A196" s="10" t="s">
        <v>21</v>
      </c>
      <c r="B196" t="s">
        <v>20</v>
      </c>
      <c r="C196" s="16">
        <f>SUMIF(Transactions!F:F,A196,Transactions!G:G)</f>
        <v>487484.71999999962</v>
      </c>
    </row>
    <row r="197" spans="1:17" x14ac:dyDescent="0.25">
      <c r="A197" s="10" t="s">
        <v>45</v>
      </c>
      <c r="B197" t="s">
        <v>44</v>
      </c>
      <c r="C197" s="16">
        <f>SUMIF(Transactions!F:F,A197,Transactions!G:G)</f>
        <v>558860.76999999955</v>
      </c>
    </row>
    <row r="198" spans="1:17" x14ac:dyDescent="0.25">
      <c r="A198" s="10" t="s">
        <v>35</v>
      </c>
      <c r="B198" t="s">
        <v>34</v>
      </c>
      <c r="C198" s="16">
        <f>SUMIF(Transactions!F:F,A198,Transactions!G:G)</f>
        <v>652031.01999999979</v>
      </c>
    </row>
    <row r="199" spans="1:17" x14ac:dyDescent="0.25">
      <c r="A199" s="10" t="s">
        <v>16</v>
      </c>
      <c r="B199" t="s">
        <v>15</v>
      </c>
      <c r="C199" s="16">
        <f>SUMIF(Transactions!F:F,A199,Transactions!G:G)</f>
        <v>570388.00999999954</v>
      </c>
    </row>
    <row r="200" spans="1:17" x14ac:dyDescent="0.25">
      <c r="A200" s="11" t="s">
        <v>8661</v>
      </c>
      <c r="B200" s="10"/>
      <c r="C200" s="16">
        <f>SUM(C190:C199)</f>
        <v>7996510.8400000008</v>
      </c>
    </row>
    <row r="202" spans="1:17" s="26" customFormat="1" x14ac:dyDescent="0.25">
      <c r="B202" s="40"/>
      <c r="C202" s="37"/>
      <c r="F202" s="27"/>
      <c r="G202" s="27"/>
      <c r="H202" s="28"/>
      <c r="K202" s="27"/>
      <c r="L202" s="29"/>
      <c r="M202" s="28"/>
      <c r="P202" s="27"/>
      <c r="Q202" s="27"/>
    </row>
    <row r="204" spans="1:17" x14ac:dyDescent="0.25">
      <c r="A204" s="9" t="s">
        <v>8683</v>
      </c>
      <c r="B204" s="17" t="s">
        <v>8684</v>
      </c>
    </row>
    <row r="205" spans="1:17" x14ac:dyDescent="0.25">
      <c r="A205" s="10" t="s">
        <v>8081</v>
      </c>
      <c r="B205" s="16">
        <f>COUNTIF(Loans!C:C,A205)</f>
        <v>97</v>
      </c>
    </row>
    <row r="206" spans="1:17" x14ac:dyDescent="0.25">
      <c r="A206" s="10" t="s">
        <v>8124</v>
      </c>
      <c r="B206" s="16">
        <f>COUNTIF(Loans!C:C,A206)</f>
        <v>48</v>
      </c>
    </row>
    <row r="207" spans="1:17" x14ac:dyDescent="0.25">
      <c r="A207" s="10" t="s">
        <v>8084</v>
      </c>
      <c r="B207" s="16">
        <f>COUNTIF(Loans!C:C,A207)</f>
        <v>207</v>
      </c>
    </row>
    <row r="208" spans="1:17" x14ac:dyDescent="0.25">
      <c r="A208" s="10" t="s">
        <v>22</v>
      </c>
      <c r="B208" s="16">
        <f>COUNTIF(Loans!C:C,A208)</f>
        <v>98</v>
      </c>
    </row>
    <row r="209" spans="1:17" x14ac:dyDescent="0.25">
      <c r="A209" s="11" t="s">
        <v>8661</v>
      </c>
      <c r="B209" s="16">
        <f>SUM(B205:B208)</f>
        <v>450</v>
      </c>
    </row>
    <row r="211" spans="1:17" s="26" customFormat="1" x14ac:dyDescent="0.25">
      <c r="B211" s="40"/>
      <c r="C211" s="37"/>
      <c r="F211" s="27"/>
      <c r="G211" s="27"/>
      <c r="H211" s="28"/>
      <c r="K211" s="27"/>
      <c r="L211" s="29"/>
      <c r="M211" s="28"/>
      <c r="P211" s="27"/>
      <c r="Q211" s="27"/>
    </row>
    <row r="213" spans="1:17" x14ac:dyDescent="0.25">
      <c r="A213" s="9" t="s">
        <v>8683</v>
      </c>
      <c r="B213" s="17" t="s">
        <v>8686</v>
      </c>
    </row>
    <row r="214" spans="1:17" x14ac:dyDescent="0.25">
      <c r="A214" s="10" t="s">
        <v>8081</v>
      </c>
      <c r="B214">
        <f>SUMIF(Loans!C:C,A214,Loans!D:D)</f>
        <v>2011018.0600000003</v>
      </c>
    </row>
    <row r="215" spans="1:17" x14ac:dyDescent="0.25">
      <c r="A215" s="10" t="s">
        <v>8124</v>
      </c>
      <c r="B215">
        <f>SUMIF(Loans!C:C,A215,Loans!D:D)</f>
        <v>898587.48999999976</v>
      </c>
    </row>
    <row r="216" spans="1:17" x14ac:dyDescent="0.25">
      <c r="A216" s="10" t="s">
        <v>8084</v>
      </c>
      <c r="B216">
        <f>SUMIF(Loans!C:C,A216,Loans!D:D)</f>
        <v>4670406.5599999996</v>
      </c>
    </row>
    <row r="217" spans="1:17" x14ac:dyDescent="0.25">
      <c r="A217" s="10" t="s">
        <v>22</v>
      </c>
      <c r="B217">
        <f>SUMIF(Loans!C:C,A217,Loans!D:D)</f>
        <v>2438509.6399999992</v>
      </c>
    </row>
    <row r="218" spans="1:17" x14ac:dyDescent="0.25">
      <c r="A218" s="11" t="s">
        <v>8661</v>
      </c>
      <c r="B218" s="16">
        <f>SUM(B214:B217)</f>
        <v>10018521.749999998</v>
      </c>
    </row>
    <row r="220" spans="1:17" s="26" customFormat="1" x14ac:dyDescent="0.25">
      <c r="B220" s="40"/>
      <c r="C220" s="37"/>
      <c r="F220" s="27"/>
      <c r="G220" s="27"/>
      <c r="H220" s="28"/>
      <c r="K220" s="27"/>
      <c r="L220" s="29"/>
      <c r="M220" s="28"/>
      <c r="P220" s="27"/>
      <c r="Q220" s="27"/>
    </row>
    <row r="222" spans="1:17" x14ac:dyDescent="0.25">
      <c r="A222" s="9" t="s">
        <v>8659</v>
      </c>
      <c r="B222" s="17" t="s">
        <v>8677</v>
      </c>
    </row>
    <row r="223" spans="1:17" x14ac:dyDescent="0.25">
      <c r="A223" s="10" t="s">
        <v>17</v>
      </c>
      <c r="B223" s="16">
        <f>COUNTIF(Accounts!K:K,A223)</f>
        <v>118</v>
      </c>
    </row>
    <row r="224" spans="1:17" x14ac:dyDescent="0.25">
      <c r="A224" s="10" t="s">
        <v>12</v>
      </c>
      <c r="B224" s="16">
        <f>COUNTIF(Accounts!K:K,A224)</f>
        <v>582</v>
      </c>
    </row>
    <row r="225" spans="1:17" x14ac:dyDescent="0.25">
      <c r="A225" s="10" t="s">
        <v>22</v>
      </c>
      <c r="B225" s="16">
        <f>COUNTIF(Accounts!K:K,A225)</f>
        <v>237</v>
      </c>
    </row>
    <row r="226" spans="1:17" x14ac:dyDescent="0.25">
      <c r="A226" s="10" t="s">
        <v>78</v>
      </c>
      <c r="B226" s="16">
        <f>COUNTIF(Accounts!K:K,A226)</f>
        <v>63</v>
      </c>
    </row>
    <row r="227" spans="1:17" x14ac:dyDescent="0.25">
      <c r="A227" s="11" t="s">
        <v>8661</v>
      </c>
      <c r="B227" s="16">
        <f>SUM(B223:B226)</f>
        <v>1000</v>
      </c>
    </row>
    <row r="229" spans="1:17" s="26" customFormat="1" x14ac:dyDescent="0.25">
      <c r="B229" s="40"/>
      <c r="C229" s="37"/>
      <c r="F229" s="27"/>
      <c r="G229" s="27"/>
      <c r="H229" s="28"/>
      <c r="K229" s="27"/>
      <c r="L229" s="29"/>
      <c r="M229" s="28"/>
      <c r="P229" s="27"/>
      <c r="Q229" s="27"/>
    </row>
    <row r="231" spans="1:17" ht="45" x14ac:dyDescent="0.25">
      <c r="A231" s="9" t="s">
        <v>8656</v>
      </c>
      <c r="B231" s="17" t="s">
        <v>8682</v>
      </c>
      <c r="C231" s="17" t="s">
        <v>8701</v>
      </c>
    </row>
    <row r="232" spans="1:17" x14ac:dyDescent="0.25">
      <c r="A232" s="10" t="s">
        <v>2063</v>
      </c>
      <c r="B232">
        <f>COUNTIF(Transactions!E:E,A232)</f>
        <v>1988</v>
      </c>
      <c r="C232">
        <f>SUMIF(Transactions!E:E,A232,Transactions!G:G)</f>
        <v>2662870.6900000018</v>
      </c>
    </row>
    <row r="233" spans="1:17" x14ac:dyDescent="0.25">
      <c r="A233" s="10" t="s">
        <v>2059</v>
      </c>
      <c r="B233">
        <f>COUNTIF(Transactions!E:E,A233)</f>
        <v>1487</v>
      </c>
      <c r="C233">
        <f>SUMIF(Transactions!E:E,A233,Transactions!G:G)</f>
        <v>1971091.1500000004</v>
      </c>
    </row>
    <row r="234" spans="1:17" x14ac:dyDescent="0.25">
      <c r="A234" s="10" t="s">
        <v>2076</v>
      </c>
      <c r="B234">
        <f>COUNTIF(Transactions!E:E,A234)</f>
        <v>1020</v>
      </c>
      <c r="C234">
        <f>SUMIF(Transactions!E:E,A234,Transactions!G:G)</f>
        <v>1379425.0499999989</v>
      </c>
    </row>
    <row r="235" spans="1:17" x14ac:dyDescent="0.25">
      <c r="A235" s="10" t="s">
        <v>2068</v>
      </c>
      <c r="B235">
        <f>COUNTIF(Transactions!E:E,A235)</f>
        <v>882</v>
      </c>
      <c r="C235">
        <f>SUMIF(Transactions!E:E,A235,Transactions!G:G)</f>
        <v>1123802.929999999</v>
      </c>
    </row>
    <row r="236" spans="1:17" x14ac:dyDescent="0.25">
      <c r="A236" s="10" t="s">
        <v>2073</v>
      </c>
      <c r="B236">
        <f>COUNTIF(Transactions!E:E,A236)</f>
        <v>626</v>
      </c>
      <c r="C236">
        <f>SUMIF(Transactions!E:E,A236,Transactions!G:G)</f>
        <v>859321.0199999999</v>
      </c>
    </row>
    <row r="237" spans="1:17" x14ac:dyDescent="0.25">
      <c r="A237" s="11" t="s">
        <v>8661</v>
      </c>
      <c r="B237" s="16">
        <f>SUM(B232:B236)</f>
        <v>6003</v>
      </c>
      <c r="C237" s="16">
        <f>SUM(C232:C236)</f>
        <v>7996510.8399999989</v>
      </c>
    </row>
    <row r="239" spans="1:17" s="26" customFormat="1" x14ac:dyDescent="0.25">
      <c r="B239" s="40"/>
      <c r="C239" s="37"/>
      <c r="F239" s="27"/>
      <c r="G239" s="27"/>
      <c r="H239" s="28"/>
      <c r="K239" s="27"/>
      <c r="L239" s="29"/>
      <c r="M239" s="28"/>
      <c r="P239" s="27"/>
      <c r="Q239" s="27"/>
    </row>
    <row r="241" spans="1:3" ht="30" x14ac:dyDescent="0.25">
      <c r="A241" s="9" t="s">
        <v>8659</v>
      </c>
      <c r="B241" s="17" t="s">
        <v>8682</v>
      </c>
      <c r="C241" s="17" t="s">
        <v>8703</v>
      </c>
    </row>
    <row r="242" spans="1:3" x14ac:dyDescent="0.25">
      <c r="A242" s="10" t="s">
        <v>17</v>
      </c>
      <c r="B242" s="16">
        <f>COUNTIF(Transactions!I:I,A242)</f>
        <v>682</v>
      </c>
      <c r="C242">
        <f>SUMIF(Transactions!I:I,A242,Transactions!G:G)</f>
        <v>877072.17</v>
      </c>
    </row>
    <row r="243" spans="1:3" x14ac:dyDescent="0.25">
      <c r="A243" s="10" t="s">
        <v>12</v>
      </c>
      <c r="B243" s="16">
        <f>COUNTIF(Transactions!I:I,A243)</f>
        <v>3593</v>
      </c>
      <c r="C243">
        <f>SUMIF(Transactions!I:I,A243,Transactions!G:G)</f>
        <v>4921557.5100000063</v>
      </c>
    </row>
    <row r="244" spans="1:3" x14ac:dyDescent="0.25">
      <c r="A244" s="10" t="s">
        <v>22</v>
      </c>
      <c r="B244" s="16">
        <f>COUNTIF(Transactions!I:I,A244)</f>
        <v>1364</v>
      </c>
      <c r="C244">
        <f>SUMIF(Transactions!I:I,A244,Transactions!G:G)</f>
        <v>1703529.6399999976</v>
      </c>
    </row>
    <row r="245" spans="1:3" x14ac:dyDescent="0.25">
      <c r="A245" s="10" t="s">
        <v>78</v>
      </c>
      <c r="B245" s="16">
        <f>COUNTIF(Transactions!I:I,A245)</f>
        <v>364</v>
      </c>
      <c r="C245">
        <f>SUMIF(Transactions!I:I,A245,Transactions!G:G)</f>
        <v>494351.51999999984</v>
      </c>
    </row>
    <row r="246" spans="1:3" x14ac:dyDescent="0.25">
      <c r="A246" s="11" t="s">
        <v>8661</v>
      </c>
      <c r="B246" s="16">
        <f>SUM(B242:B245)</f>
        <v>6003</v>
      </c>
      <c r="C246" s="16">
        <f>SUM(C242:C245)</f>
        <v>7996510.8400000036</v>
      </c>
    </row>
  </sheetData>
  <pageMargins left="0.7" right="0.7" top="0.75" bottom="0.75" header="0.3" footer="0.3"/>
  <pageSetup orientation="portrait" r:id="rId1"/>
  <ignoredErrors>
    <ignoredError sqref="B29:B3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04"/>
  <sheetViews>
    <sheetView workbookViewId="0">
      <selection activeCell="J3" sqref="J3"/>
    </sheetView>
  </sheetViews>
  <sheetFormatPr defaultRowHeight="15" x14ac:dyDescent="0.25"/>
  <cols>
    <col min="1" max="1" width="14.28515625" customWidth="1"/>
    <col min="2" max="2" width="17" customWidth="1"/>
    <col min="3" max="3" width="20.140625" style="8" customWidth="1"/>
    <col min="4" max="4" width="22" customWidth="1"/>
    <col min="7" max="7" width="13.85546875" customWidth="1"/>
    <col min="13" max="13" width="17.5703125" bestFit="1" customWidth="1"/>
    <col min="14" max="14" width="16.42578125" customWidth="1"/>
  </cols>
  <sheetData>
    <row r="1" spans="1:18" x14ac:dyDescent="0.25">
      <c r="A1" s="1" t="s">
        <v>2051</v>
      </c>
      <c r="B1" s="1" t="s">
        <v>0</v>
      </c>
      <c r="C1" s="7" t="s">
        <v>2052</v>
      </c>
      <c r="D1" s="1" t="s">
        <v>2053</v>
      </c>
      <c r="E1" s="1" t="s">
        <v>2054</v>
      </c>
      <c r="F1" s="1" t="s">
        <v>5</v>
      </c>
      <c r="G1" s="1" t="s">
        <v>2055</v>
      </c>
      <c r="H1" s="1" t="s">
        <v>2056</v>
      </c>
      <c r="I1" s="45" t="s">
        <v>6</v>
      </c>
      <c r="Q1" t="s">
        <v>8616</v>
      </c>
      <c r="R1" t="s">
        <v>8620</v>
      </c>
    </row>
    <row r="2" spans="1:18" x14ac:dyDescent="0.25">
      <c r="A2" t="s">
        <v>2057</v>
      </c>
      <c r="B2" t="s">
        <v>785</v>
      </c>
      <c r="C2" s="8">
        <v>46145</v>
      </c>
      <c r="D2" t="s">
        <v>2058</v>
      </c>
      <c r="E2" t="s">
        <v>2059</v>
      </c>
      <c r="F2" t="s">
        <v>35</v>
      </c>
      <c r="G2">
        <v>1292.8699999999999</v>
      </c>
      <c r="H2" t="s">
        <v>2060</v>
      </c>
      <c r="I2" t="str">
        <f>VLOOKUP(B2,Customers!A:G,7,FALSE)</f>
        <v>Individual</v>
      </c>
      <c r="J2" t="str">
        <f>IF(LEN(E2)&lt;&gt;LEN(TRIM(E2)),"CHECK","")</f>
        <v/>
      </c>
      <c r="M2" s="4" t="s">
        <v>8561</v>
      </c>
      <c r="N2" t="s">
        <v>8565</v>
      </c>
      <c r="Q2" t="str">
        <f>IF(COUNTIF(Customers!$A$2:$A$1001,B2)&gt;0,"Valid","Invalid")</f>
        <v>Valid</v>
      </c>
      <c r="R2" t="str">
        <f>IF(COUNTIF(Branches!$A$2:$A$11,F2)&gt;0,"Valid","Invalid")</f>
        <v>Valid</v>
      </c>
    </row>
    <row r="3" spans="1:18" x14ac:dyDescent="0.25">
      <c r="A3" t="s">
        <v>2061</v>
      </c>
      <c r="B3" t="s">
        <v>270</v>
      </c>
      <c r="C3" s="8">
        <v>46184</v>
      </c>
      <c r="D3" t="s">
        <v>2062</v>
      </c>
      <c r="E3" t="s">
        <v>2063</v>
      </c>
      <c r="F3" t="s">
        <v>47</v>
      </c>
      <c r="G3">
        <v>229.42</v>
      </c>
      <c r="H3" t="s">
        <v>2060</v>
      </c>
      <c r="I3" t="str">
        <f>VLOOKUP(B3,Customers!A:G,7,FALSE)</f>
        <v>Student</v>
      </c>
      <c r="J3" t="str">
        <f t="shared" ref="J3:J20" si="0">IF(LEN(E3)&lt;&gt;LEN(TRIM(E3)),"CHECK","")</f>
        <v/>
      </c>
      <c r="M3" s="5" t="s">
        <v>2065</v>
      </c>
      <c r="N3" s="6">
        <v>1586</v>
      </c>
      <c r="Q3" t="str">
        <f>IF(COUNTIF(Customers!$A$2:$A$1001,B3)&gt;0,"Valid","Invalid")</f>
        <v>Valid</v>
      </c>
      <c r="R3" t="str">
        <f>IF(COUNTIF(Branches!$A$2:$A$11,F3)&gt;0,"Valid","Invalid")</f>
        <v>Valid</v>
      </c>
    </row>
    <row r="4" spans="1:18" x14ac:dyDescent="0.25">
      <c r="A4" t="s">
        <v>2064</v>
      </c>
      <c r="B4" t="s">
        <v>31</v>
      </c>
      <c r="C4" s="8">
        <v>46049</v>
      </c>
      <c r="D4" t="s">
        <v>2065</v>
      </c>
      <c r="E4" t="s">
        <v>2059</v>
      </c>
      <c r="F4" t="s">
        <v>27</v>
      </c>
      <c r="G4">
        <v>1064.01</v>
      </c>
      <c r="H4" t="s">
        <v>2060</v>
      </c>
      <c r="I4" t="str">
        <f>VLOOKUP(B4,Customers!A:G,7,FALSE)</f>
        <v>Individual</v>
      </c>
      <c r="J4" t="str">
        <f t="shared" si="0"/>
        <v/>
      </c>
      <c r="M4" s="5" t="s">
        <v>2070</v>
      </c>
      <c r="N4" s="6">
        <v>493</v>
      </c>
      <c r="Q4" t="str">
        <f>IF(COUNTIF(Customers!$A$2:$A$1001,B4)&gt;0,"Valid","Invalid")</f>
        <v>Valid</v>
      </c>
      <c r="R4" t="str">
        <f>IF(COUNTIF(Branches!$A$2:$A$11,F4)&gt;0,"Valid","Invalid")</f>
        <v>Valid</v>
      </c>
    </row>
    <row r="5" spans="1:18" x14ac:dyDescent="0.25">
      <c r="A5" t="s">
        <v>2066</v>
      </c>
      <c r="B5" t="s">
        <v>842</v>
      </c>
      <c r="C5" s="8">
        <v>46035</v>
      </c>
      <c r="D5" t="s">
        <v>2067</v>
      </c>
      <c r="E5" t="s">
        <v>2068</v>
      </c>
      <c r="F5" t="s">
        <v>53</v>
      </c>
      <c r="G5">
        <v>462.26</v>
      </c>
      <c r="H5" t="s">
        <v>2060</v>
      </c>
      <c r="I5" t="str">
        <f>VLOOKUP(B5,Customers!A:G,7,FALSE)</f>
        <v>Individual</v>
      </c>
      <c r="J5" t="str">
        <f t="shared" si="0"/>
        <v/>
      </c>
      <c r="M5" s="5" t="s">
        <v>2062</v>
      </c>
      <c r="N5" s="6">
        <v>1353</v>
      </c>
      <c r="Q5" t="str">
        <f>IF(COUNTIF(Customers!$A$2:$A$1001,B5)&gt;0,"Valid","Invalid")</f>
        <v>Valid</v>
      </c>
      <c r="R5" t="str">
        <f>IF(COUNTIF(Branches!$A$2:$A$11,F5)&gt;0,"Valid","Invalid")</f>
        <v>Valid</v>
      </c>
    </row>
    <row r="6" spans="1:18" x14ac:dyDescent="0.25">
      <c r="A6" t="s">
        <v>2069</v>
      </c>
      <c r="B6" t="s">
        <v>588</v>
      </c>
      <c r="C6" s="8">
        <v>46250</v>
      </c>
      <c r="D6" t="s">
        <v>2070</v>
      </c>
      <c r="E6" t="s">
        <v>2059</v>
      </c>
      <c r="F6" t="s">
        <v>21</v>
      </c>
      <c r="G6">
        <v>267.93</v>
      </c>
      <c r="H6" t="s">
        <v>2060</v>
      </c>
      <c r="I6" t="str">
        <f>VLOOKUP(B6,Customers!A:G,7,FALSE)</f>
        <v>Individual</v>
      </c>
      <c r="J6" t="str">
        <f t="shared" si="0"/>
        <v/>
      </c>
      <c r="M6" s="5" t="s">
        <v>2058</v>
      </c>
      <c r="N6" s="6">
        <v>1355</v>
      </c>
      <c r="Q6" t="str">
        <f>IF(COUNTIF(Customers!$A$2:$A$1001,B6)&gt;0,"Valid","Invalid")</f>
        <v>Valid</v>
      </c>
      <c r="R6" t="str">
        <f>IF(COUNTIF(Branches!$A$2:$A$11,F6)&gt;0,"Valid","Invalid")</f>
        <v>Valid</v>
      </c>
    </row>
    <row r="7" spans="1:18" x14ac:dyDescent="0.25">
      <c r="A7" t="s">
        <v>2071</v>
      </c>
      <c r="B7" t="s">
        <v>1014</v>
      </c>
      <c r="C7" s="8">
        <v>46177</v>
      </c>
      <c r="D7" t="s">
        <v>2067</v>
      </c>
      <c r="E7" t="s">
        <v>2063</v>
      </c>
      <c r="F7" t="s">
        <v>11</v>
      </c>
      <c r="G7">
        <v>607.99</v>
      </c>
      <c r="H7" t="s">
        <v>2060</v>
      </c>
      <c r="I7" t="str">
        <f>VLOOKUP(B7,Customers!A:G,7,FALSE)</f>
        <v>SME</v>
      </c>
      <c r="J7" t="str">
        <f t="shared" si="0"/>
        <v/>
      </c>
      <c r="M7" s="5" t="s">
        <v>2067</v>
      </c>
      <c r="N7" s="6">
        <v>1216</v>
      </c>
      <c r="Q7" t="str">
        <f>IF(COUNTIF(Customers!$A$2:$A$1001,B7)&gt;0,"Valid","Invalid")</f>
        <v>Valid</v>
      </c>
      <c r="R7" t="str">
        <f>IF(COUNTIF(Branches!$A$2:$A$11,F7)&gt;0,"Valid","Invalid")</f>
        <v>Valid</v>
      </c>
    </row>
    <row r="8" spans="1:18" x14ac:dyDescent="0.25">
      <c r="A8" t="s">
        <v>2072</v>
      </c>
      <c r="B8" t="s">
        <v>88</v>
      </c>
      <c r="C8" s="8">
        <v>46095</v>
      </c>
      <c r="D8" t="s">
        <v>2067</v>
      </c>
      <c r="E8" t="s">
        <v>2073</v>
      </c>
      <c r="F8" t="s">
        <v>39</v>
      </c>
      <c r="G8">
        <v>975.78</v>
      </c>
      <c r="H8" t="s">
        <v>2060</v>
      </c>
      <c r="I8" t="str">
        <f>VLOOKUP(B8,Customers!A:G,7,FALSE)</f>
        <v>Student</v>
      </c>
      <c r="J8" t="str">
        <f t="shared" si="0"/>
        <v/>
      </c>
      <c r="M8" s="5" t="s">
        <v>8563</v>
      </c>
      <c r="N8" s="6">
        <v>6003</v>
      </c>
      <c r="Q8" t="str">
        <f>IF(COUNTIF(Customers!$A$2:$A$1001,B8)&gt;0,"Valid","Invalid")</f>
        <v>Valid</v>
      </c>
      <c r="R8" t="str">
        <f>IF(COUNTIF(Branches!$A$2:$A$11,F8)&gt;0,"Valid","Invalid")</f>
        <v>Valid</v>
      </c>
    </row>
    <row r="9" spans="1:18" x14ac:dyDescent="0.25">
      <c r="A9" t="s">
        <v>2074</v>
      </c>
      <c r="B9" t="s">
        <v>693</v>
      </c>
      <c r="C9" s="8">
        <v>46219</v>
      </c>
      <c r="D9" t="s">
        <v>2070</v>
      </c>
      <c r="E9" t="s">
        <v>2068</v>
      </c>
      <c r="F9" t="s">
        <v>11</v>
      </c>
      <c r="G9">
        <v>1042.81</v>
      </c>
      <c r="H9" t="s">
        <v>2060</v>
      </c>
      <c r="I9" t="str">
        <f>VLOOKUP(B9,Customers!A:G,7,FALSE)</f>
        <v>Individual</v>
      </c>
      <c r="J9" t="str">
        <f t="shared" si="0"/>
        <v/>
      </c>
      <c r="Q9" t="str">
        <f>IF(COUNTIF(Customers!$A$2:$A$1001,B9)&gt;0,"Valid","Invalid")</f>
        <v>Valid</v>
      </c>
      <c r="R9" t="str">
        <f>IF(COUNTIF(Branches!$A$2:$A$11,F9)&gt;0,"Valid","Invalid")</f>
        <v>Valid</v>
      </c>
    </row>
    <row r="10" spans="1:18" x14ac:dyDescent="0.25">
      <c r="A10" t="s">
        <v>2075</v>
      </c>
      <c r="B10" t="s">
        <v>980</v>
      </c>
      <c r="C10" s="8">
        <v>46265</v>
      </c>
      <c r="D10" t="s">
        <v>2065</v>
      </c>
      <c r="E10" t="s">
        <v>2076</v>
      </c>
      <c r="F10" t="s">
        <v>29</v>
      </c>
      <c r="G10">
        <v>2335.6</v>
      </c>
      <c r="H10" t="s">
        <v>2060</v>
      </c>
      <c r="I10" t="str">
        <f>VLOOKUP(B10,Customers!A:G,7,FALSE)</f>
        <v>Individual</v>
      </c>
      <c r="J10" t="str">
        <f t="shared" si="0"/>
        <v/>
      </c>
      <c r="Q10" t="str">
        <f>IF(COUNTIF(Customers!$A$2:$A$1001,B10)&gt;0,"Valid","Invalid")</f>
        <v>Valid</v>
      </c>
      <c r="R10" t="str">
        <f>IF(COUNTIF(Branches!$A$2:$A$11,F10)&gt;0,"Valid","Invalid")</f>
        <v>Valid</v>
      </c>
    </row>
    <row r="11" spans="1:18" x14ac:dyDescent="0.25">
      <c r="A11" t="s">
        <v>2077</v>
      </c>
      <c r="B11" t="s">
        <v>957</v>
      </c>
      <c r="C11" s="8">
        <v>46108</v>
      </c>
      <c r="D11" t="s">
        <v>2065</v>
      </c>
      <c r="E11" t="s">
        <v>2063</v>
      </c>
      <c r="F11" t="s">
        <v>29</v>
      </c>
      <c r="G11">
        <v>3002.83</v>
      </c>
      <c r="H11" t="s">
        <v>2060</v>
      </c>
      <c r="I11" t="str">
        <f>VLOOKUP(B11,Customers!A:G,7,FALSE)</f>
        <v>Individual</v>
      </c>
      <c r="J11" t="str">
        <f t="shared" si="0"/>
        <v/>
      </c>
      <c r="Q11" t="str">
        <f>IF(COUNTIF(Customers!$A$2:$A$1001,B11)&gt;0,"Valid","Invalid")</f>
        <v>Valid</v>
      </c>
      <c r="R11" t="str">
        <f>IF(COUNTIF(Branches!$A$2:$A$11,F11)&gt;0,"Valid","Invalid")</f>
        <v>Valid</v>
      </c>
    </row>
    <row r="12" spans="1:18" x14ac:dyDescent="0.25">
      <c r="A12" t="s">
        <v>2078</v>
      </c>
      <c r="B12" t="s">
        <v>434</v>
      </c>
      <c r="C12" s="8">
        <v>46053</v>
      </c>
      <c r="D12" t="s">
        <v>2062</v>
      </c>
      <c r="E12" t="s">
        <v>2063</v>
      </c>
      <c r="F12" t="s">
        <v>29</v>
      </c>
      <c r="G12">
        <v>1137.1500000000001</v>
      </c>
      <c r="H12" t="s">
        <v>2060</v>
      </c>
      <c r="I12" t="str">
        <f>VLOOKUP(B12,Customers!A:G,7,FALSE)</f>
        <v>Individual</v>
      </c>
      <c r="J12" t="str">
        <f t="shared" si="0"/>
        <v/>
      </c>
      <c r="K12" t="s">
        <v>8585</v>
      </c>
      <c r="L12" s="8">
        <f>MAX(C:C)</f>
        <v>46265</v>
      </c>
      <c r="Q12" t="str">
        <f>IF(COUNTIF(Customers!$A$2:$A$1001,B12)&gt;0,"Valid","Invalid")</f>
        <v>Valid</v>
      </c>
      <c r="R12" t="str">
        <f>IF(COUNTIF(Branches!$A$2:$A$11,F12)&gt;0,"Valid","Invalid")</f>
        <v>Valid</v>
      </c>
    </row>
    <row r="13" spans="1:18" x14ac:dyDescent="0.25">
      <c r="A13" t="s">
        <v>2079</v>
      </c>
      <c r="B13" t="s">
        <v>258</v>
      </c>
      <c r="C13" s="8">
        <v>46025</v>
      </c>
      <c r="D13" t="s">
        <v>2062</v>
      </c>
      <c r="E13" t="s">
        <v>2063</v>
      </c>
      <c r="F13" t="s">
        <v>29</v>
      </c>
      <c r="G13">
        <v>1362.54</v>
      </c>
      <c r="H13" t="s">
        <v>2060</v>
      </c>
      <c r="I13" t="str">
        <f>VLOOKUP(B13,Customers!A:G,7,FALSE)</f>
        <v>SME</v>
      </c>
      <c r="J13" t="str">
        <f t="shared" si="0"/>
        <v/>
      </c>
      <c r="K13" t="s">
        <v>8586</v>
      </c>
      <c r="L13" s="8">
        <f>MIN(C:C)</f>
        <v>46023</v>
      </c>
      <c r="Q13" t="str">
        <f>IF(COUNTIF(Customers!$A$2:$A$1001,B13)&gt;0,"Valid","Invalid")</f>
        <v>Valid</v>
      </c>
      <c r="R13" t="str">
        <f>IF(COUNTIF(Branches!$A$2:$A$11,F13)&gt;0,"Valid","Invalid")</f>
        <v>Valid</v>
      </c>
    </row>
    <row r="14" spans="1:18" x14ac:dyDescent="0.25">
      <c r="A14" t="s">
        <v>2080</v>
      </c>
      <c r="B14" t="s">
        <v>466</v>
      </c>
      <c r="C14" s="8">
        <v>46052</v>
      </c>
      <c r="D14" t="s">
        <v>2067</v>
      </c>
      <c r="E14" t="s">
        <v>2076</v>
      </c>
      <c r="F14" t="s">
        <v>27</v>
      </c>
      <c r="G14">
        <v>893.65</v>
      </c>
      <c r="H14" t="s">
        <v>2060</v>
      </c>
      <c r="I14" t="str">
        <f>VLOOKUP(B14,Customers!A:G,7,FALSE)</f>
        <v>Corporate</v>
      </c>
      <c r="J14" t="str">
        <f t="shared" si="0"/>
        <v/>
      </c>
      <c r="Q14" t="str">
        <f>IF(COUNTIF(Customers!$A$2:$A$1001,B14)&gt;0,"Valid","Invalid")</f>
        <v>Valid</v>
      </c>
      <c r="R14" t="str">
        <f>IF(COUNTIF(Branches!$A$2:$A$11,F14)&gt;0,"Valid","Invalid")</f>
        <v>Valid</v>
      </c>
    </row>
    <row r="15" spans="1:18" x14ac:dyDescent="0.25">
      <c r="A15" t="s">
        <v>2081</v>
      </c>
      <c r="B15" t="s">
        <v>790</v>
      </c>
      <c r="C15" s="8">
        <v>46171</v>
      </c>
      <c r="D15" t="s">
        <v>2058</v>
      </c>
      <c r="E15" t="s">
        <v>2063</v>
      </c>
      <c r="F15" t="s">
        <v>39</v>
      </c>
      <c r="G15">
        <v>1749.75</v>
      </c>
      <c r="H15" t="s">
        <v>2060</v>
      </c>
      <c r="I15" t="str">
        <f>VLOOKUP(B15,Customers!A:G,7,FALSE)</f>
        <v>Individual</v>
      </c>
      <c r="J15" t="str">
        <f t="shared" si="0"/>
        <v/>
      </c>
      <c r="Q15" t="str">
        <f>IF(COUNTIF(Customers!$A$2:$A$1001,B15)&gt;0,"Valid","Invalid")</f>
        <v>Valid</v>
      </c>
      <c r="R15" t="str">
        <f>IF(COUNTIF(Branches!$A$2:$A$11,F15)&gt;0,"Valid","Invalid")</f>
        <v>Valid</v>
      </c>
    </row>
    <row r="16" spans="1:18" x14ac:dyDescent="0.25">
      <c r="A16" t="s">
        <v>2082</v>
      </c>
      <c r="B16" t="s">
        <v>179</v>
      </c>
      <c r="C16" s="8">
        <v>46121</v>
      </c>
      <c r="D16" t="s">
        <v>2062</v>
      </c>
      <c r="E16" t="s">
        <v>2068</v>
      </c>
      <c r="F16" t="s">
        <v>29</v>
      </c>
      <c r="G16">
        <v>1322.12</v>
      </c>
      <c r="H16" t="s">
        <v>2060</v>
      </c>
      <c r="I16" t="str">
        <f>VLOOKUP(B16,Customers!A:G,7,FALSE)</f>
        <v>Individual</v>
      </c>
      <c r="J16" t="str">
        <f t="shared" si="0"/>
        <v/>
      </c>
      <c r="Q16" t="str">
        <f>IF(COUNTIF(Customers!$A$2:$A$1001,B16)&gt;0,"Valid","Invalid")</f>
        <v>Valid</v>
      </c>
      <c r="R16" t="str">
        <f>IF(COUNTIF(Branches!$A$2:$A$11,F16)&gt;0,"Valid","Invalid")</f>
        <v>Valid</v>
      </c>
    </row>
    <row r="17" spans="1:18" x14ac:dyDescent="0.25">
      <c r="A17" t="s">
        <v>2083</v>
      </c>
      <c r="B17" t="s">
        <v>899</v>
      </c>
      <c r="C17" s="8">
        <v>46156</v>
      </c>
      <c r="D17" t="s">
        <v>2062</v>
      </c>
      <c r="E17" t="s">
        <v>2073</v>
      </c>
      <c r="F17" t="s">
        <v>39</v>
      </c>
      <c r="G17">
        <v>769.32</v>
      </c>
      <c r="H17" t="s">
        <v>2060</v>
      </c>
      <c r="I17" t="str">
        <f>VLOOKUP(B17,Customers!A:G,7,FALSE)</f>
        <v>Corporate</v>
      </c>
      <c r="J17" t="str">
        <f t="shared" si="0"/>
        <v/>
      </c>
      <c r="Q17" t="str">
        <f>IF(COUNTIF(Customers!$A$2:$A$1001,B17)&gt;0,"Valid","Invalid")</f>
        <v>Valid</v>
      </c>
      <c r="R17" t="str">
        <f>IF(COUNTIF(Branches!$A$2:$A$11,F17)&gt;0,"Valid","Invalid")</f>
        <v>Valid</v>
      </c>
    </row>
    <row r="18" spans="1:18" x14ac:dyDescent="0.25">
      <c r="A18" t="s">
        <v>2084</v>
      </c>
      <c r="B18" t="s">
        <v>401</v>
      </c>
      <c r="C18" s="8">
        <v>46242</v>
      </c>
      <c r="D18" t="s">
        <v>2065</v>
      </c>
      <c r="E18" t="s">
        <v>2059</v>
      </c>
      <c r="F18" t="s">
        <v>27</v>
      </c>
      <c r="G18">
        <v>6988.23</v>
      </c>
      <c r="H18" t="s">
        <v>2060</v>
      </c>
      <c r="I18" t="str">
        <f>VLOOKUP(B18,Customers!A:G,7,FALSE)</f>
        <v>Individual</v>
      </c>
      <c r="J18" t="str">
        <f t="shared" si="0"/>
        <v/>
      </c>
      <c r="Q18" t="str">
        <f>IF(COUNTIF(Customers!$A$2:$A$1001,B18)&gt;0,"Valid","Invalid")</f>
        <v>Valid</v>
      </c>
      <c r="R18" t="str">
        <f>IF(COUNTIF(Branches!$A$2:$A$11,F18)&gt;0,"Valid","Invalid")</f>
        <v>Valid</v>
      </c>
    </row>
    <row r="19" spans="1:18" x14ac:dyDescent="0.25">
      <c r="A19" t="s">
        <v>2085</v>
      </c>
      <c r="B19" t="s">
        <v>420</v>
      </c>
      <c r="C19" s="8">
        <v>46182</v>
      </c>
      <c r="D19" t="s">
        <v>2065</v>
      </c>
      <c r="E19" t="s">
        <v>2059</v>
      </c>
      <c r="F19" t="s">
        <v>29</v>
      </c>
      <c r="G19">
        <v>470.51</v>
      </c>
      <c r="H19" t="s">
        <v>2060</v>
      </c>
      <c r="I19" t="str">
        <f>VLOOKUP(B19,Customers!A:G,7,FALSE)</f>
        <v>Student</v>
      </c>
      <c r="J19" t="str">
        <f t="shared" si="0"/>
        <v/>
      </c>
      <c r="Q19" t="str">
        <f>IF(COUNTIF(Customers!$A$2:$A$1001,B19)&gt;0,"Valid","Invalid")</f>
        <v>Valid</v>
      </c>
      <c r="R19" t="str">
        <f>IF(COUNTIF(Branches!$A$2:$A$11,F19)&gt;0,"Valid","Invalid")</f>
        <v>Valid</v>
      </c>
    </row>
    <row r="20" spans="1:18" x14ac:dyDescent="0.25">
      <c r="A20" t="s">
        <v>2086</v>
      </c>
      <c r="B20" t="s">
        <v>599</v>
      </c>
      <c r="C20" s="8">
        <v>46192</v>
      </c>
      <c r="D20" t="s">
        <v>2067</v>
      </c>
      <c r="E20" t="s">
        <v>2076</v>
      </c>
      <c r="F20" t="s">
        <v>11</v>
      </c>
      <c r="G20">
        <v>3478.85</v>
      </c>
      <c r="H20" t="s">
        <v>2060</v>
      </c>
      <c r="I20" t="str">
        <f>VLOOKUP(B20,Customers!A:G,7,FALSE)</f>
        <v>Individual</v>
      </c>
      <c r="J20" t="str">
        <f t="shared" si="0"/>
        <v/>
      </c>
      <c r="Q20" t="str">
        <f>IF(COUNTIF(Customers!$A$2:$A$1001,B20)&gt;0,"Valid","Invalid")</f>
        <v>Valid</v>
      </c>
      <c r="R20" t="str">
        <f>IF(COUNTIF(Branches!$A$2:$A$11,F20)&gt;0,"Valid","Invalid")</f>
        <v>Valid</v>
      </c>
    </row>
    <row r="21" spans="1:18" x14ac:dyDescent="0.25">
      <c r="A21" t="s">
        <v>2087</v>
      </c>
      <c r="B21" t="s">
        <v>315</v>
      </c>
      <c r="C21" s="8">
        <v>46251</v>
      </c>
      <c r="D21" t="s">
        <v>2062</v>
      </c>
      <c r="E21" t="s">
        <v>2073</v>
      </c>
      <c r="F21" t="s">
        <v>21</v>
      </c>
      <c r="G21">
        <v>209.71</v>
      </c>
      <c r="H21" t="s">
        <v>2060</v>
      </c>
      <c r="I21" t="str">
        <f>VLOOKUP(B21,Customers!A:G,7,FALSE)</f>
        <v>SME</v>
      </c>
      <c r="Q21" t="str">
        <f>IF(COUNTIF(Customers!$A$2:$A$1001,B21)&gt;0,"Valid","Invalid")</f>
        <v>Valid</v>
      </c>
      <c r="R21" t="str">
        <f>IF(COUNTIF(Branches!$A$2:$A$11,F21)&gt;0,"Valid","Invalid")</f>
        <v>Valid</v>
      </c>
    </row>
    <row r="22" spans="1:18" x14ac:dyDescent="0.25">
      <c r="A22" t="s">
        <v>2088</v>
      </c>
      <c r="B22" t="s">
        <v>309</v>
      </c>
      <c r="C22" s="8">
        <v>46212</v>
      </c>
      <c r="D22" t="s">
        <v>2062</v>
      </c>
      <c r="E22" t="s">
        <v>2068</v>
      </c>
      <c r="F22" t="s">
        <v>29</v>
      </c>
      <c r="G22">
        <v>1832.83</v>
      </c>
      <c r="H22" t="s">
        <v>2060</v>
      </c>
      <c r="I22" t="str">
        <f>VLOOKUP(B22,Customers!A:G,7,FALSE)</f>
        <v>SME</v>
      </c>
      <c r="M22" s="4" t="s">
        <v>8561</v>
      </c>
      <c r="N22" t="s">
        <v>8566</v>
      </c>
      <c r="Q22" t="str">
        <f>IF(COUNTIF(Customers!$A$2:$A$1001,B22)&gt;0,"Valid","Invalid")</f>
        <v>Valid</v>
      </c>
      <c r="R22" t="str">
        <f>IF(COUNTIF(Branches!$A$2:$A$11,F22)&gt;0,"Valid","Invalid")</f>
        <v>Valid</v>
      </c>
    </row>
    <row r="23" spans="1:18" x14ac:dyDescent="0.25">
      <c r="A23" t="s">
        <v>2089</v>
      </c>
      <c r="B23" t="s">
        <v>46</v>
      </c>
      <c r="C23" s="8">
        <v>46239</v>
      </c>
      <c r="D23" t="s">
        <v>2070</v>
      </c>
      <c r="E23" t="s">
        <v>2063</v>
      </c>
      <c r="F23" t="s">
        <v>29</v>
      </c>
      <c r="G23">
        <v>3417.17</v>
      </c>
      <c r="H23" t="s">
        <v>2060</v>
      </c>
      <c r="I23" t="str">
        <f>VLOOKUP(B23,Customers!A:G,7,FALSE)</f>
        <v>Individual</v>
      </c>
      <c r="M23" s="5" t="s">
        <v>2222</v>
      </c>
      <c r="N23" s="6">
        <v>1</v>
      </c>
      <c r="Q23" t="str">
        <f>IF(COUNTIF(Customers!$A$2:$A$1001,B23)&gt;0,"Valid","Invalid")</f>
        <v>Valid</v>
      </c>
      <c r="R23" t="str">
        <f>IF(COUNTIF(Branches!$A$2:$A$11,F23)&gt;0,"Valid","Invalid")</f>
        <v>Valid</v>
      </c>
    </row>
    <row r="24" spans="1:18" x14ac:dyDescent="0.25">
      <c r="A24" t="s">
        <v>2090</v>
      </c>
      <c r="B24" t="s">
        <v>336</v>
      </c>
      <c r="C24" s="8">
        <v>46182</v>
      </c>
      <c r="D24" t="s">
        <v>2062</v>
      </c>
      <c r="E24" t="s">
        <v>2063</v>
      </c>
      <c r="F24" t="s">
        <v>16</v>
      </c>
      <c r="G24">
        <v>120.64</v>
      </c>
      <c r="H24" t="s">
        <v>2060</v>
      </c>
      <c r="I24" t="str">
        <f>VLOOKUP(B24,Customers!A:G,7,FALSE)</f>
        <v>SME</v>
      </c>
      <c r="M24" s="5" t="s">
        <v>2059</v>
      </c>
      <c r="N24" s="6">
        <v>1486</v>
      </c>
      <c r="Q24" t="str">
        <f>IF(COUNTIF(Customers!$A$2:$A$1001,B24)&gt;0,"Valid","Invalid")</f>
        <v>Valid</v>
      </c>
      <c r="R24" t="str">
        <f>IF(COUNTIF(Branches!$A$2:$A$11,F24)&gt;0,"Valid","Invalid")</f>
        <v>Valid</v>
      </c>
    </row>
    <row r="25" spans="1:18" x14ac:dyDescent="0.25">
      <c r="A25" t="s">
        <v>2091</v>
      </c>
      <c r="B25" t="s">
        <v>502</v>
      </c>
      <c r="C25" s="8">
        <v>46121</v>
      </c>
      <c r="D25" t="s">
        <v>2058</v>
      </c>
      <c r="E25" t="s">
        <v>2068</v>
      </c>
      <c r="F25" t="s">
        <v>21</v>
      </c>
      <c r="G25">
        <v>933.51</v>
      </c>
      <c r="H25" t="s">
        <v>2060</v>
      </c>
      <c r="I25" t="str">
        <f>VLOOKUP(B25,Customers!A:G,7,FALSE)</f>
        <v>SME</v>
      </c>
      <c r="M25" s="5" t="s">
        <v>2278</v>
      </c>
      <c r="N25" s="6">
        <v>1</v>
      </c>
      <c r="Q25" t="str">
        <f>IF(COUNTIF(Customers!$A$2:$A$1001,B25)&gt;0,"Valid","Invalid")</f>
        <v>Valid</v>
      </c>
      <c r="R25" t="str">
        <f>IF(COUNTIF(Branches!$A$2:$A$11,F25)&gt;0,"Valid","Invalid")</f>
        <v>Valid</v>
      </c>
    </row>
    <row r="26" spans="1:18" x14ac:dyDescent="0.25">
      <c r="A26" t="s">
        <v>2092</v>
      </c>
      <c r="B26" t="s">
        <v>565</v>
      </c>
      <c r="C26" s="8">
        <v>46108</v>
      </c>
      <c r="D26" t="s">
        <v>2067</v>
      </c>
      <c r="E26" t="s">
        <v>2076</v>
      </c>
      <c r="F26" t="s">
        <v>53</v>
      </c>
      <c r="G26">
        <v>1661.4</v>
      </c>
      <c r="H26" t="s">
        <v>2060</v>
      </c>
      <c r="I26" t="str">
        <f>VLOOKUP(B26,Customers!A:G,7,FALSE)</f>
        <v>SME</v>
      </c>
      <c r="M26" s="5" t="s">
        <v>2076</v>
      </c>
      <c r="N26" s="6">
        <v>1020</v>
      </c>
      <c r="Q26" t="str">
        <f>IF(COUNTIF(Customers!$A$2:$A$1001,B26)&gt;0,"Valid","Invalid")</f>
        <v>Valid</v>
      </c>
      <c r="R26" t="str">
        <f>IF(COUNTIF(Branches!$A$2:$A$11,F26)&gt;0,"Valid","Invalid")</f>
        <v>Valid</v>
      </c>
    </row>
    <row r="27" spans="1:18" x14ac:dyDescent="0.25">
      <c r="A27" t="s">
        <v>2093</v>
      </c>
      <c r="B27" t="s">
        <v>272</v>
      </c>
      <c r="C27" s="8">
        <v>46238</v>
      </c>
      <c r="D27" t="s">
        <v>2062</v>
      </c>
      <c r="E27" t="s">
        <v>2063</v>
      </c>
      <c r="F27" t="s">
        <v>39</v>
      </c>
      <c r="G27">
        <v>1045.2</v>
      </c>
      <c r="H27" t="s">
        <v>2060</v>
      </c>
      <c r="I27" t="str">
        <f>VLOOKUP(B27,Customers!A:G,7,FALSE)</f>
        <v>Corporate</v>
      </c>
      <c r="M27" s="5" t="s">
        <v>2068</v>
      </c>
      <c r="N27" s="6">
        <v>882</v>
      </c>
      <c r="Q27" t="str">
        <f>IF(COUNTIF(Customers!$A$2:$A$1001,B27)&gt;0,"Valid","Invalid")</f>
        <v>Valid</v>
      </c>
      <c r="R27" t="str">
        <f>IF(COUNTIF(Branches!$A$2:$A$11,F27)&gt;0,"Valid","Invalid")</f>
        <v>Valid</v>
      </c>
    </row>
    <row r="28" spans="1:18" x14ac:dyDescent="0.25">
      <c r="A28" t="s">
        <v>2094</v>
      </c>
      <c r="B28" t="s">
        <v>613</v>
      </c>
      <c r="C28" s="8">
        <v>46189</v>
      </c>
      <c r="D28" t="s">
        <v>2062</v>
      </c>
      <c r="E28" t="s">
        <v>2059</v>
      </c>
      <c r="F28" t="s">
        <v>45</v>
      </c>
      <c r="G28">
        <v>1185.78</v>
      </c>
      <c r="H28" t="s">
        <v>2060</v>
      </c>
      <c r="I28" t="str">
        <f>VLOOKUP(B28,Customers!A:G,7,FALSE)</f>
        <v>Individual</v>
      </c>
      <c r="M28" s="5" t="s">
        <v>2063</v>
      </c>
      <c r="N28" s="6">
        <v>1987</v>
      </c>
      <c r="Q28" t="str">
        <f>IF(COUNTIF(Customers!$A$2:$A$1001,B28)&gt;0,"Valid","Invalid")</f>
        <v>Valid</v>
      </c>
      <c r="R28" t="str">
        <f>IF(COUNTIF(Branches!$A$2:$A$11,F28)&gt;0,"Valid","Invalid")</f>
        <v>Valid</v>
      </c>
    </row>
    <row r="29" spans="1:18" x14ac:dyDescent="0.25">
      <c r="A29" t="s">
        <v>2095</v>
      </c>
      <c r="B29" t="s">
        <v>746</v>
      </c>
      <c r="C29" s="8">
        <v>46086</v>
      </c>
      <c r="D29" t="s">
        <v>2058</v>
      </c>
      <c r="E29" t="s">
        <v>2068</v>
      </c>
      <c r="F29" t="s">
        <v>45</v>
      </c>
      <c r="G29">
        <v>930.97</v>
      </c>
      <c r="H29" t="s">
        <v>2060</v>
      </c>
      <c r="I29" t="str">
        <f>VLOOKUP(B29,Customers!A:G,7,FALSE)</f>
        <v>Individual</v>
      </c>
      <c r="M29" s="5" t="s">
        <v>2073</v>
      </c>
      <c r="N29" s="6">
        <v>626</v>
      </c>
      <c r="Q29" t="str">
        <f>IF(COUNTIF(Customers!$A$2:$A$1001,B29)&gt;0,"Valid","Invalid")</f>
        <v>Valid</v>
      </c>
      <c r="R29" t="str">
        <f>IF(COUNTIF(Branches!$A$2:$A$11,F29)&gt;0,"Valid","Invalid")</f>
        <v>Valid</v>
      </c>
    </row>
    <row r="30" spans="1:18" x14ac:dyDescent="0.25">
      <c r="A30" t="s">
        <v>2096</v>
      </c>
      <c r="B30" t="s">
        <v>61</v>
      </c>
      <c r="C30" s="8">
        <v>46140</v>
      </c>
      <c r="D30" t="s">
        <v>2065</v>
      </c>
      <c r="E30" t="s">
        <v>2063</v>
      </c>
      <c r="F30" t="s">
        <v>11</v>
      </c>
      <c r="G30">
        <v>271.99</v>
      </c>
      <c r="H30" t="s">
        <v>2060</v>
      </c>
      <c r="I30" t="str">
        <f>VLOOKUP(B30,Customers!A:G,7,FALSE)</f>
        <v>Student</v>
      </c>
      <c r="M30" s="5" t="s">
        <v>8563</v>
      </c>
      <c r="N30" s="6">
        <v>6003</v>
      </c>
      <c r="Q30" t="str">
        <f>IF(COUNTIF(Customers!$A$2:$A$1001,B30)&gt;0,"Valid","Invalid")</f>
        <v>Valid</v>
      </c>
      <c r="R30" t="str">
        <f>IF(COUNTIF(Branches!$A$2:$A$11,F30)&gt;0,"Valid","Invalid")</f>
        <v>Valid</v>
      </c>
    </row>
    <row r="31" spans="1:18" x14ac:dyDescent="0.25">
      <c r="A31" t="s">
        <v>2097</v>
      </c>
      <c r="B31" t="s">
        <v>509</v>
      </c>
      <c r="C31" s="8">
        <v>46180</v>
      </c>
      <c r="D31" t="s">
        <v>2070</v>
      </c>
      <c r="E31" t="s">
        <v>2068</v>
      </c>
      <c r="F31" t="s">
        <v>53</v>
      </c>
      <c r="G31">
        <v>8673.66</v>
      </c>
      <c r="H31" t="s">
        <v>2060</v>
      </c>
      <c r="I31" t="str">
        <f>VLOOKUP(B31,Customers!A:G,7,FALSE)</f>
        <v>Student</v>
      </c>
      <c r="Q31" t="str">
        <f>IF(COUNTIF(Customers!$A$2:$A$1001,B31)&gt;0,"Valid","Invalid")</f>
        <v>Valid</v>
      </c>
      <c r="R31" t="str">
        <f>IF(COUNTIF(Branches!$A$2:$A$11,F31)&gt;0,"Valid","Invalid")</f>
        <v>Valid</v>
      </c>
    </row>
    <row r="32" spans="1:18" x14ac:dyDescent="0.25">
      <c r="A32" t="s">
        <v>2098</v>
      </c>
      <c r="B32" t="s">
        <v>129</v>
      </c>
      <c r="C32" s="8">
        <v>46213</v>
      </c>
      <c r="D32" t="s">
        <v>2067</v>
      </c>
      <c r="E32" t="s">
        <v>2063</v>
      </c>
      <c r="F32" t="s">
        <v>39</v>
      </c>
      <c r="G32">
        <v>491.01</v>
      </c>
      <c r="H32" t="s">
        <v>2060</v>
      </c>
      <c r="I32" t="str">
        <f>VLOOKUP(B32,Customers!A:G,7,FALSE)</f>
        <v>Individual</v>
      </c>
      <c r="Q32" t="str">
        <f>IF(COUNTIF(Customers!$A$2:$A$1001,B32)&gt;0,"Valid","Invalid")</f>
        <v>Valid</v>
      </c>
      <c r="R32" t="str">
        <f>IF(COUNTIF(Branches!$A$2:$A$11,F32)&gt;0,"Valid","Invalid")</f>
        <v>Valid</v>
      </c>
    </row>
    <row r="33" spans="1:18" x14ac:dyDescent="0.25">
      <c r="A33" t="s">
        <v>2099</v>
      </c>
      <c r="B33" t="s">
        <v>655</v>
      </c>
      <c r="C33" s="8">
        <v>46136</v>
      </c>
      <c r="D33" t="s">
        <v>2067</v>
      </c>
      <c r="E33" t="s">
        <v>2068</v>
      </c>
      <c r="F33" t="s">
        <v>29</v>
      </c>
      <c r="G33">
        <v>1254.08</v>
      </c>
      <c r="H33" t="s">
        <v>2060</v>
      </c>
      <c r="I33" t="str">
        <f>VLOOKUP(B33,Customers!A:G,7,FALSE)</f>
        <v>Individual</v>
      </c>
      <c r="Q33" t="str">
        <f>IF(COUNTIF(Customers!$A$2:$A$1001,B33)&gt;0,"Valid","Invalid")</f>
        <v>Valid</v>
      </c>
      <c r="R33" t="str">
        <f>IF(COUNTIF(Branches!$A$2:$A$11,F33)&gt;0,"Valid","Invalid")</f>
        <v>Valid</v>
      </c>
    </row>
    <row r="34" spans="1:18" x14ac:dyDescent="0.25">
      <c r="A34" t="s">
        <v>2100</v>
      </c>
      <c r="B34" t="s">
        <v>347</v>
      </c>
      <c r="C34" s="8">
        <v>46246</v>
      </c>
      <c r="D34" t="s">
        <v>2058</v>
      </c>
      <c r="E34" t="s">
        <v>2076</v>
      </c>
      <c r="F34" t="s">
        <v>16</v>
      </c>
      <c r="G34">
        <v>425.46</v>
      </c>
      <c r="H34" t="s">
        <v>2060</v>
      </c>
      <c r="I34" t="str">
        <f>VLOOKUP(B34,Customers!A:G,7,FALSE)</f>
        <v>Individual</v>
      </c>
      <c r="Q34" t="str">
        <f>IF(COUNTIF(Customers!$A$2:$A$1001,B34)&gt;0,"Valid","Invalid")</f>
        <v>Valid</v>
      </c>
      <c r="R34" t="str">
        <f>IF(COUNTIF(Branches!$A$2:$A$11,F34)&gt;0,"Valid","Invalid")</f>
        <v>Valid</v>
      </c>
    </row>
    <row r="35" spans="1:18" x14ac:dyDescent="0.25">
      <c r="A35" t="s">
        <v>2101</v>
      </c>
      <c r="B35" t="s">
        <v>88</v>
      </c>
      <c r="C35" s="8">
        <v>46181</v>
      </c>
      <c r="D35" t="s">
        <v>2058</v>
      </c>
      <c r="E35" t="s">
        <v>2063</v>
      </c>
      <c r="F35" t="s">
        <v>53</v>
      </c>
      <c r="G35">
        <v>83.44</v>
      </c>
      <c r="H35" t="s">
        <v>2060</v>
      </c>
      <c r="I35" t="str">
        <f>VLOOKUP(B35,Customers!A:G,7,FALSE)</f>
        <v>Student</v>
      </c>
      <c r="Q35" t="str">
        <f>IF(COUNTIF(Customers!$A$2:$A$1001,B35)&gt;0,"Valid","Invalid")</f>
        <v>Valid</v>
      </c>
      <c r="R35" t="str">
        <f>IF(COUNTIF(Branches!$A$2:$A$11,F35)&gt;0,"Valid","Invalid")</f>
        <v>Valid</v>
      </c>
    </row>
    <row r="36" spans="1:18" x14ac:dyDescent="0.25">
      <c r="A36" t="s">
        <v>2102</v>
      </c>
      <c r="B36" t="s">
        <v>357</v>
      </c>
      <c r="C36" s="8">
        <v>46109</v>
      </c>
      <c r="D36" t="s">
        <v>2065</v>
      </c>
      <c r="E36" t="s">
        <v>2076</v>
      </c>
      <c r="F36" t="s">
        <v>11</v>
      </c>
      <c r="G36">
        <v>322.3</v>
      </c>
      <c r="H36" t="s">
        <v>2060</v>
      </c>
      <c r="I36" t="str">
        <f>VLOOKUP(B36,Customers!A:G,7,FALSE)</f>
        <v>Individual</v>
      </c>
      <c r="Q36" t="str">
        <f>IF(COUNTIF(Customers!$A$2:$A$1001,B36)&gt;0,"Valid","Invalid")</f>
        <v>Valid</v>
      </c>
      <c r="R36" t="str">
        <f>IF(COUNTIF(Branches!$A$2:$A$11,F36)&gt;0,"Valid","Invalid")</f>
        <v>Valid</v>
      </c>
    </row>
    <row r="37" spans="1:18" x14ac:dyDescent="0.25">
      <c r="A37" t="s">
        <v>2103</v>
      </c>
      <c r="B37" t="s">
        <v>1007</v>
      </c>
      <c r="C37" s="8">
        <v>46062</v>
      </c>
      <c r="D37" t="s">
        <v>2062</v>
      </c>
      <c r="E37" t="s">
        <v>2068</v>
      </c>
      <c r="F37" t="s">
        <v>35</v>
      </c>
      <c r="G37">
        <v>191.02</v>
      </c>
      <c r="H37" t="s">
        <v>2060</v>
      </c>
      <c r="I37" t="str">
        <f>VLOOKUP(B37,Customers!A:G,7,FALSE)</f>
        <v>Individual</v>
      </c>
      <c r="Q37" t="str">
        <f>IF(COUNTIF(Customers!$A$2:$A$1001,B37)&gt;0,"Valid","Invalid")</f>
        <v>Valid</v>
      </c>
      <c r="R37" t="str">
        <f>IF(COUNTIF(Branches!$A$2:$A$11,F37)&gt;0,"Valid","Invalid")</f>
        <v>Valid</v>
      </c>
    </row>
    <row r="38" spans="1:18" x14ac:dyDescent="0.25">
      <c r="A38" t="s">
        <v>2104</v>
      </c>
      <c r="B38" t="s">
        <v>218</v>
      </c>
      <c r="C38" s="8">
        <v>46183</v>
      </c>
      <c r="D38" t="s">
        <v>2067</v>
      </c>
      <c r="E38" t="s">
        <v>2073</v>
      </c>
      <c r="F38" t="s">
        <v>29</v>
      </c>
      <c r="G38">
        <v>2420.11</v>
      </c>
      <c r="H38" t="s">
        <v>2060</v>
      </c>
      <c r="I38" t="str">
        <f>VLOOKUP(B38,Customers!A:G,7,FALSE)</f>
        <v>Student</v>
      </c>
      <c r="Q38" t="str">
        <f>IF(COUNTIF(Customers!$A$2:$A$1001,B38)&gt;0,"Valid","Invalid")</f>
        <v>Valid</v>
      </c>
      <c r="R38" t="str">
        <f>IF(COUNTIF(Branches!$A$2:$A$11,F38)&gt;0,"Valid","Invalid")</f>
        <v>Valid</v>
      </c>
    </row>
    <row r="39" spans="1:18" x14ac:dyDescent="0.25">
      <c r="A39" t="s">
        <v>2105</v>
      </c>
      <c r="B39" t="s">
        <v>607</v>
      </c>
      <c r="C39" s="8">
        <v>46213</v>
      </c>
      <c r="D39" t="s">
        <v>2065</v>
      </c>
      <c r="E39" t="s">
        <v>2059</v>
      </c>
      <c r="F39" t="s">
        <v>29</v>
      </c>
      <c r="G39">
        <v>442.81</v>
      </c>
      <c r="H39" t="s">
        <v>2060</v>
      </c>
      <c r="I39" t="str">
        <f>VLOOKUP(B39,Customers!A:G,7,FALSE)</f>
        <v>Individual</v>
      </c>
      <c r="Q39" t="str">
        <f>IF(COUNTIF(Customers!$A$2:$A$1001,B39)&gt;0,"Valid","Invalid")</f>
        <v>Valid</v>
      </c>
      <c r="R39" t="str">
        <f>IF(COUNTIF(Branches!$A$2:$A$11,F39)&gt;0,"Valid","Invalid")</f>
        <v>Valid</v>
      </c>
    </row>
    <row r="40" spans="1:18" x14ac:dyDescent="0.25">
      <c r="A40" t="s">
        <v>2106</v>
      </c>
      <c r="B40" t="s">
        <v>156</v>
      </c>
      <c r="C40" s="8">
        <v>46047</v>
      </c>
      <c r="D40" t="s">
        <v>2067</v>
      </c>
      <c r="E40" t="s">
        <v>2076</v>
      </c>
      <c r="F40" t="s">
        <v>39</v>
      </c>
      <c r="G40">
        <v>485.85</v>
      </c>
      <c r="H40" t="s">
        <v>2107</v>
      </c>
      <c r="I40" t="str">
        <f>VLOOKUP(B40,Customers!A:G,7,FALSE)</f>
        <v>Individual</v>
      </c>
      <c r="Q40" t="str">
        <f>IF(COUNTIF(Customers!$A$2:$A$1001,B40)&gt;0,"Valid","Invalid")</f>
        <v>Valid</v>
      </c>
      <c r="R40" t="str">
        <f>IF(COUNTIF(Branches!$A$2:$A$11,F40)&gt;0,"Valid","Invalid")</f>
        <v>Valid</v>
      </c>
    </row>
    <row r="41" spans="1:18" x14ac:dyDescent="0.25">
      <c r="A41" t="s">
        <v>2108</v>
      </c>
      <c r="B41" t="s">
        <v>858</v>
      </c>
      <c r="C41" s="8">
        <v>46186</v>
      </c>
      <c r="D41" t="s">
        <v>2062</v>
      </c>
      <c r="E41" t="s">
        <v>2076</v>
      </c>
      <c r="F41" t="s">
        <v>11</v>
      </c>
      <c r="G41">
        <v>280.25</v>
      </c>
      <c r="H41" t="s">
        <v>2060</v>
      </c>
      <c r="I41" t="str">
        <f>VLOOKUP(B41,Customers!A:G,7,FALSE)</f>
        <v>SME</v>
      </c>
      <c r="Q41" t="str">
        <f>IF(COUNTIF(Customers!$A$2:$A$1001,B41)&gt;0,"Valid","Invalid")</f>
        <v>Valid</v>
      </c>
      <c r="R41" t="str">
        <f>IF(COUNTIF(Branches!$A$2:$A$11,F41)&gt;0,"Valid","Invalid")</f>
        <v>Valid</v>
      </c>
    </row>
    <row r="42" spans="1:18" x14ac:dyDescent="0.25">
      <c r="A42" t="s">
        <v>2109</v>
      </c>
      <c r="B42" t="s">
        <v>913</v>
      </c>
      <c r="C42" s="8">
        <v>46174</v>
      </c>
      <c r="D42" t="s">
        <v>2070</v>
      </c>
      <c r="E42" t="s">
        <v>2059</v>
      </c>
      <c r="F42" t="s">
        <v>21</v>
      </c>
      <c r="G42">
        <v>892.51</v>
      </c>
      <c r="H42" t="s">
        <v>2060</v>
      </c>
      <c r="I42" t="str">
        <f>VLOOKUP(B42,Customers!A:G,7,FALSE)</f>
        <v>Corporate</v>
      </c>
      <c r="Q42" t="str">
        <f>IF(COUNTIF(Customers!$A$2:$A$1001,B42)&gt;0,"Valid","Invalid")</f>
        <v>Valid</v>
      </c>
      <c r="R42" t="str">
        <f>IF(COUNTIF(Branches!$A$2:$A$11,F42)&gt;0,"Valid","Invalid")</f>
        <v>Valid</v>
      </c>
    </row>
    <row r="43" spans="1:18" x14ac:dyDescent="0.25">
      <c r="A43" t="s">
        <v>2110</v>
      </c>
      <c r="B43" t="s">
        <v>77</v>
      </c>
      <c r="C43" s="8">
        <v>46117</v>
      </c>
      <c r="D43" t="s">
        <v>2062</v>
      </c>
      <c r="E43" t="s">
        <v>2068</v>
      </c>
      <c r="F43" t="s">
        <v>29</v>
      </c>
      <c r="G43">
        <v>396.84</v>
      </c>
      <c r="H43" t="s">
        <v>2060</v>
      </c>
      <c r="I43" t="str">
        <f>VLOOKUP(B43,Customers!A:G,7,FALSE)</f>
        <v>Corporate</v>
      </c>
      <c r="Q43" t="str">
        <f>IF(COUNTIF(Customers!$A$2:$A$1001,B43)&gt;0,"Valid","Invalid")</f>
        <v>Valid</v>
      </c>
      <c r="R43" t="str">
        <f>IF(COUNTIF(Branches!$A$2:$A$11,F43)&gt;0,"Valid","Invalid")</f>
        <v>Valid</v>
      </c>
    </row>
    <row r="44" spans="1:18" x14ac:dyDescent="0.25">
      <c r="A44" t="s">
        <v>2111</v>
      </c>
      <c r="B44" t="s">
        <v>685</v>
      </c>
      <c r="C44" s="8">
        <v>46208</v>
      </c>
      <c r="D44" t="s">
        <v>2070</v>
      </c>
      <c r="E44" t="s">
        <v>2063</v>
      </c>
      <c r="F44" t="s">
        <v>11</v>
      </c>
      <c r="G44">
        <v>2191.5300000000002</v>
      </c>
      <c r="H44" t="s">
        <v>2107</v>
      </c>
      <c r="I44" t="str">
        <f>VLOOKUP(B44,Customers!A:G,7,FALSE)</f>
        <v>Individual</v>
      </c>
      <c r="Q44" t="str">
        <f>IF(COUNTIF(Customers!$A$2:$A$1001,B44)&gt;0,"Valid","Invalid")</f>
        <v>Valid</v>
      </c>
      <c r="R44" t="str">
        <f>IF(COUNTIF(Branches!$A$2:$A$11,F44)&gt;0,"Valid","Invalid")</f>
        <v>Valid</v>
      </c>
    </row>
    <row r="45" spans="1:18" x14ac:dyDescent="0.25">
      <c r="A45" t="s">
        <v>2112</v>
      </c>
      <c r="B45" t="s">
        <v>923</v>
      </c>
      <c r="C45" s="8">
        <v>46189</v>
      </c>
      <c r="D45" t="s">
        <v>2065</v>
      </c>
      <c r="E45" t="s">
        <v>2063</v>
      </c>
      <c r="F45" t="s">
        <v>47</v>
      </c>
      <c r="G45">
        <v>1098.8699999999999</v>
      </c>
      <c r="H45" t="s">
        <v>2060</v>
      </c>
      <c r="I45" t="str">
        <f>VLOOKUP(B45,Customers!A:G,7,FALSE)</f>
        <v>Individual</v>
      </c>
      <c r="Q45" t="str">
        <f>IF(COUNTIF(Customers!$A$2:$A$1001,B45)&gt;0,"Valid","Invalid")</f>
        <v>Valid</v>
      </c>
      <c r="R45" t="str">
        <f>IF(COUNTIF(Branches!$A$2:$A$11,F45)&gt;0,"Valid","Invalid")</f>
        <v>Valid</v>
      </c>
    </row>
    <row r="46" spans="1:18" x14ac:dyDescent="0.25">
      <c r="A46" t="s">
        <v>2113</v>
      </c>
      <c r="B46" t="s">
        <v>976</v>
      </c>
      <c r="C46" s="8">
        <v>46068</v>
      </c>
      <c r="D46" t="s">
        <v>2065</v>
      </c>
      <c r="E46" t="s">
        <v>2059</v>
      </c>
      <c r="F46" t="s">
        <v>21</v>
      </c>
      <c r="G46">
        <v>458.6</v>
      </c>
      <c r="H46" t="s">
        <v>2060</v>
      </c>
      <c r="I46" t="str">
        <f>VLOOKUP(B46,Customers!A:G,7,FALSE)</f>
        <v>Individual</v>
      </c>
      <c r="Q46" t="str">
        <f>IF(COUNTIF(Customers!$A$2:$A$1001,B46)&gt;0,"Valid","Invalid")</f>
        <v>Valid</v>
      </c>
      <c r="R46" t="str">
        <f>IF(COUNTIF(Branches!$A$2:$A$11,F46)&gt;0,"Valid","Invalid")</f>
        <v>Valid</v>
      </c>
    </row>
    <row r="47" spans="1:18" x14ac:dyDescent="0.25">
      <c r="A47" t="s">
        <v>2114</v>
      </c>
      <c r="B47" t="s">
        <v>298</v>
      </c>
      <c r="C47" s="8">
        <v>46227</v>
      </c>
      <c r="D47" t="s">
        <v>2058</v>
      </c>
      <c r="E47" t="s">
        <v>2063</v>
      </c>
      <c r="F47" t="s">
        <v>47</v>
      </c>
      <c r="G47">
        <v>1901.19</v>
      </c>
      <c r="H47" t="s">
        <v>2115</v>
      </c>
      <c r="I47" t="str">
        <f>VLOOKUP(B47,Customers!A:G,7,FALSE)</f>
        <v>Student</v>
      </c>
      <c r="Q47" t="str">
        <f>IF(COUNTIF(Customers!$A$2:$A$1001,B47)&gt;0,"Valid","Invalid")</f>
        <v>Valid</v>
      </c>
      <c r="R47" t="str">
        <f>IF(COUNTIF(Branches!$A$2:$A$11,F47)&gt;0,"Valid","Invalid")</f>
        <v>Valid</v>
      </c>
    </row>
    <row r="48" spans="1:18" x14ac:dyDescent="0.25">
      <c r="A48" t="s">
        <v>2116</v>
      </c>
      <c r="B48" t="s">
        <v>234</v>
      </c>
      <c r="C48" s="8">
        <v>46160</v>
      </c>
      <c r="D48" t="s">
        <v>2067</v>
      </c>
      <c r="E48" t="s">
        <v>2073</v>
      </c>
      <c r="F48" t="s">
        <v>53</v>
      </c>
      <c r="G48">
        <v>818.88</v>
      </c>
      <c r="H48" t="s">
        <v>2060</v>
      </c>
      <c r="I48" t="str">
        <f>VLOOKUP(B48,Customers!A:G,7,FALSE)</f>
        <v>Individual</v>
      </c>
      <c r="Q48" t="str">
        <f>IF(COUNTIF(Customers!$A$2:$A$1001,B48)&gt;0,"Valid","Invalid")</f>
        <v>Valid</v>
      </c>
      <c r="R48" t="str">
        <f>IF(COUNTIF(Branches!$A$2:$A$11,F48)&gt;0,"Valid","Invalid")</f>
        <v>Valid</v>
      </c>
    </row>
    <row r="49" spans="1:18" x14ac:dyDescent="0.25">
      <c r="A49" t="s">
        <v>2117</v>
      </c>
      <c r="B49" t="s">
        <v>683</v>
      </c>
      <c r="C49" s="8">
        <v>46237</v>
      </c>
      <c r="D49" t="s">
        <v>2062</v>
      </c>
      <c r="E49" t="s">
        <v>2076</v>
      </c>
      <c r="F49" t="s">
        <v>45</v>
      </c>
      <c r="G49">
        <v>830.06</v>
      </c>
      <c r="H49" t="s">
        <v>2060</v>
      </c>
      <c r="I49" t="str">
        <f>VLOOKUP(B49,Customers!A:G,7,FALSE)</f>
        <v>Individual</v>
      </c>
      <c r="Q49" t="str">
        <f>IF(COUNTIF(Customers!$A$2:$A$1001,B49)&gt;0,"Valid","Invalid")</f>
        <v>Valid</v>
      </c>
      <c r="R49" t="str">
        <f>IF(COUNTIF(Branches!$A$2:$A$11,F49)&gt;0,"Valid","Invalid")</f>
        <v>Valid</v>
      </c>
    </row>
    <row r="50" spans="1:18" x14ac:dyDescent="0.25">
      <c r="A50" t="s">
        <v>2118</v>
      </c>
      <c r="B50" t="s">
        <v>1009</v>
      </c>
      <c r="C50" s="8">
        <v>46232</v>
      </c>
      <c r="D50" t="s">
        <v>2058</v>
      </c>
      <c r="E50" t="s">
        <v>2059</v>
      </c>
      <c r="F50" t="s">
        <v>35</v>
      </c>
      <c r="G50">
        <v>188.17</v>
      </c>
      <c r="H50" t="s">
        <v>2060</v>
      </c>
      <c r="I50" t="str">
        <f>VLOOKUP(B50,Customers!A:G,7,FALSE)</f>
        <v>Individual</v>
      </c>
      <c r="Q50" t="str">
        <f>IF(COUNTIF(Customers!$A$2:$A$1001,B50)&gt;0,"Valid","Invalid")</f>
        <v>Valid</v>
      </c>
      <c r="R50" t="str">
        <f>IF(COUNTIF(Branches!$A$2:$A$11,F50)&gt;0,"Valid","Invalid")</f>
        <v>Valid</v>
      </c>
    </row>
    <row r="51" spans="1:18" x14ac:dyDescent="0.25">
      <c r="A51" t="s">
        <v>2119</v>
      </c>
      <c r="B51" t="s">
        <v>293</v>
      </c>
      <c r="C51" s="8">
        <v>46054</v>
      </c>
      <c r="D51" t="s">
        <v>2070</v>
      </c>
      <c r="E51" t="s">
        <v>2068</v>
      </c>
      <c r="F51" t="s">
        <v>21</v>
      </c>
      <c r="G51">
        <v>756.66</v>
      </c>
      <c r="H51" t="s">
        <v>2060</v>
      </c>
      <c r="I51" t="str">
        <f>VLOOKUP(B51,Customers!A:G,7,FALSE)</f>
        <v>Corporate</v>
      </c>
      <c r="Q51" t="str">
        <f>IF(COUNTIF(Customers!$A$2:$A$1001,B51)&gt;0,"Valid","Invalid")</f>
        <v>Valid</v>
      </c>
      <c r="R51" t="str">
        <f>IF(COUNTIF(Branches!$A$2:$A$11,F51)&gt;0,"Valid","Invalid")</f>
        <v>Valid</v>
      </c>
    </row>
    <row r="52" spans="1:18" x14ac:dyDescent="0.25">
      <c r="A52" t="s">
        <v>2120</v>
      </c>
      <c r="B52" t="s">
        <v>770</v>
      </c>
      <c r="C52" s="8">
        <v>46119</v>
      </c>
      <c r="D52" t="s">
        <v>2065</v>
      </c>
      <c r="E52" t="s">
        <v>2059</v>
      </c>
      <c r="F52" t="s">
        <v>53</v>
      </c>
      <c r="G52">
        <v>1120.52</v>
      </c>
      <c r="H52" t="s">
        <v>2060</v>
      </c>
      <c r="I52" t="str">
        <f>VLOOKUP(B52,Customers!A:G,7,FALSE)</f>
        <v>Individual</v>
      </c>
      <c r="Q52" t="str">
        <f>IF(COUNTIF(Customers!$A$2:$A$1001,B52)&gt;0,"Valid","Invalid")</f>
        <v>Valid</v>
      </c>
      <c r="R52" t="str">
        <f>IF(COUNTIF(Branches!$A$2:$A$11,F52)&gt;0,"Valid","Invalid")</f>
        <v>Valid</v>
      </c>
    </row>
    <row r="53" spans="1:18" x14ac:dyDescent="0.25">
      <c r="A53" t="s">
        <v>2121</v>
      </c>
      <c r="B53" t="s">
        <v>374</v>
      </c>
      <c r="C53" s="8">
        <v>46186</v>
      </c>
      <c r="D53" t="s">
        <v>2058</v>
      </c>
      <c r="E53" t="s">
        <v>2059</v>
      </c>
      <c r="F53" t="s">
        <v>27</v>
      </c>
      <c r="G53">
        <v>3082.72</v>
      </c>
      <c r="H53" t="s">
        <v>2060</v>
      </c>
      <c r="I53" t="str">
        <f>VLOOKUP(B53,Customers!A:G,7,FALSE)</f>
        <v>Individual</v>
      </c>
      <c r="Q53" t="str">
        <f>IF(COUNTIF(Customers!$A$2:$A$1001,B53)&gt;0,"Valid","Invalid")</f>
        <v>Valid</v>
      </c>
      <c r="R53" t="str">
        <f>IF(COUNTIF(Branches!$A$2:$A$11,F53)&gt;0,"Valid","Invalid")</f>
        <v>Valid</v>
      </c>
    </row>
    <row r="54" spans="1:18" x14ac:dyDescent="0.25">
      <c r="A54" t="s">
        <v>2122</v>
      </c>
      <c r="B54" t="s">
        <v>591</v>
      </c>
      <c r="C54" s="8">
        <v>46178</v>
      </c>
      <c r="D54" t="s">
        <v>2058</v>
      </c>
      <c r="E54" t="s">
        <v>2063</v>
      </c>
      <c r="F54" t="s">
        <v>39</v>
      </c>
      <c r="G54">
        <v>383.03</v>
      </c>
      <c r="H54" t="s">
        <v>2060</v>
      </c>
      <c r="I54" t="str">
        <f>VLOOKUP(B54,Customers!A:G,7,FALSE)</f>
        <v>Individual</v>
      </c>
      <c r="Q54" t="str">
        <f>IF(COUNTIF(Customers!$A$2:$A$1001,B54)&gt;0,"Valid","Invalid")</f>
        <v>Valid</v>
      </c>
      <c r="R54" t="str">
        <f>IF(COUNTIF(Branches!$A$2:$A$11,F54)&gt;0,"Valid","Invalid")</f>
        <v>Valid</v>
      </c>
    </row>
    <row r="55" spans="1:18" x14ac:dyDescent="0.25">
      <c r="A55" t="s">
        <v>2123</v>
      </c>
      <c r="B55" t="s">
        <v>540</v>
      </c>
      <c r="C55" s="8">
        <v>46166</v>
      </c>
      <c r="D55" t="s">
        <v>2065</v>
      </c>
      <c r="E55" t="s">
        <v>2059</v>
      </c>
      <c r="F55" t="s">
        <v>35</v>
      </c>
      <c r="G55">
        <v>7927.62</v>
      </c>
      <c r="H55" t="s">
        <v>2060</v>
      </c>
      <c r="I55" t="str">
        <f>VLOOKUP(B55,Customers!A:G,7,FALSE)</f>
        <v>Individual</v>
      </c>
      <c r="Q55" t="str">
        <f>IF(COUNTIF(Customers!$A$2:$A$1001,B55)&gt;0,"Valid","Invalid")</f>
        <v>Valid</v>
      </c>
      <c r="R55" t="str">
        <f>IF(COUNTIF(Branches!$A$2:$A$11,F55)&gt;0,"Valid","Invalid")</f>
        <v>Valid</v>
      </c>
    </row>
    <row r="56" spans="1:18" x14ac:dyDescent="0.25">
      <c r="A56" t="s">
        <v>2124</v>
      </c>
      <c r="B56" t="s">
        <v>1028</v>
      </c>
      <c r="C56" s="8">
        <v>46038</v>
      </c>
      <c r="D56" t="s">
        <v>2058</v>
      </c>
      <c r="E56" t="s">
        <v>2063</v>
      </c>
      <c r="F56" t="s">
        <v>35</v>
      </c>
      <c r="G56">
        <v>1417.81</v>
      </c>
      <c r="H56" t="s">
        <v>2060</v>
      </c>
      <c r="I56" t="str">
        <f>VLOOKUP(B56,Customers!A:G,7,FALSE)</f>
        <v>SME</v>
      </c>
      <c r="Q56" t="str">
        <f>IF(COUNTIF(Customers!$A$2:$A$1001,B56)&gt;0,"Valid","Invalid")</f>
        <v>Valid</v>
      </c>
      <c r="R56" t="str">
        <f>IF(COUNTIF(Branches!$A$2:$A$11,F56)&gt;0,"Valid","Invalid")</f>
        <v>Valid</v>
      </c>
    </row>
    <row r="57" spans="1:18" x14ac:dyDescent="0.25">
      <c r="A57" t="s">
        <v>2125</v>
      </c>
      <c r="B57" t="s">
        <v>938</v>
      </c>
      <c r="C57" s="8">
        <v>46040</v>
      </c>
      <c r="D57" t="s">
        <v>2067</v>
      </c>
      <c r="E57" t="s">
        <v>2076</v>
      </c>
      <c r="F57" t="s">
        <v>16</v>
      </c>
      <c r="H57" t="s">
        <v>2060</v>
      </c>
      <c r="I57" t="str">
        <f>VLOOKUP(B57,Customers!A:G,7,FALSE)</f>
        <v>Individual</v>
      </c>
      <c r="Q57" t="str">
        <f>IF(COUNTIF(Customers!$A$2:$A$1001,B57)&gt;0,"Valid","Invalid")</f>
        <v>Valid</v>
      </c>
      <c r="R57" t="str">
        <f>IF(COUNTIF(Branches!$A$2:$A$11,F57)&gt;0,"Valid","Invalid")</f>
        <v>Valid</v>
      </c>
    </row>
    <row r="58" spans="1:18" x14ac:dyDescent="0.25">
      <c r="A58" t="s">
        <v>2126</v>
      </c>
      <c r="B58" t="s">
        <v>293</v>
      </c>
      <c r="C58" s="8">
        <v>46158</v>
      </c>
      <c r="D58" t="s">
        <v>2067</v>
      </c>
      <c r="E58" t="s">
        <v>2059</v>
      </c>
      <c r="F58" t="s">
        <v>45</v>
      </c>
      <c r="G58">
        <v>348.91</v>
      </c>
      <c r="H58" t="s">
        <v>2060</v>
      </c>
      <c r="I58" t="str">
        <f>VLOOKUP(B58,Customers!A:G,7,FALSE)</f>
        <v>Corporate</v>
      </c>
      <c r="Q58" t="str">
        <f>IF(COUNTIF(Customers!$A$2:$A$1001,B58)&gt;0,"Valid","Invalid")</f>
        <v>Valid</v>
      </c>
      <c r="R58" t="str">
        <f>IF(COUNTIF(Branches!$A$2:$A$11,F58)&gt;0,"Valid","Invalid")</f>
        <v>Valid</v>
      </c>
    </row>
    <row r="59" spans="1:18" x14ac:dyDescent="0.25">
      <c r="A59" t="s">
        <v>2127</v>
      </c>
      <c r="B59" t="s">
        <v>552</v>
      </c>
      <c r="C59" s="8">
        <v>46256</v>
      </c>
      <c r="D59" t="s">
        <v>2067</v>
      </c>
      <c r="E59" t="s">
        <v>2063</v>
      </c>
      <c r="F59" t="s">
        <v>29</v>
      </c>
      <c r="G59">
        <v>3364.38</v>
      </c>
      <c r="H59" t="s">
        <v>2060</v>
      </c>
      <c r="I59" t="str">
        <f>VLOOKUP(B59,Customers!A:G,7,FALSE)</f>
        <v>Individual</v>
      </c>
      <c r="Q59" t="str">
        <f>IF(COUNTIF(Customers!$A$2:$A$1001,B59)&gt;0,"Valid","Invalid")</f>
        <v>Valid</v>
      </c>
      <c r="R59" t="str">
        <f>IF(COUNTIF(Branches!$A$2:$A$11,F59)&gt;0,"Valid","Invalid")</f>
        <v>Valid</v>
      </c>
    </row>
    <row r="60" spans="1:18" x14ac:dyDescent="0.25">
      <c r="A60" t="s">
        <v>2128</v>
      </c>
      <c r="B60" t="s">
        <v>745</v>
      </c>
      <c r="C60" s="8">
        <v>46230</v>
      </c>
      <c r="D60" t="s">
        <v>2065</v>
      </c>
      <c r="E60" t="s">
        <v>2059</v>
      </c>
      <c r="F60" t="s">
        <v>21</v>
      </c>
      <c r="G60">
        <v>2816.44</v>
      </c>
      <c r="H60" t="s">
        <v>2060</v>
      </c>
      <c r="I60" t="str">
        <f>VLOOKUP(B60,Customers!A:G,7,FALSE)</f>
        <v>SME</v>
      </c>
      <c r="Q60" t="str">
        <f>IF(COUNTIF(Customers!$A$2:$A$1001,B60)&gt;0,"Valid","Invalid")</f>
        <v>Valid</v>
      </c>
      <c r="R60" t="str">
        <f>IF(COUNTIF(Branches!$A$2:$A$11,F60)&gt;0,"Valid","Invalid")</f>
        <v>Valid</v>
      </c>
    </row>
    <row r="61" spans="1:18" x14ac:dyDescent="0.25">
      <c r="A61" t="s">
        <v>2129</v>
      </c>
      <c r="B61" t="s">
        <v>280</v>
      </c>
      <c r="C61" s="8">
        <v>46097</v>
      </c>
      <c r="D61" t="s">
        <v>2058</v>
      </c>
      <c r="E61" t="s">
        <v>2063</v>
      </c>
      <c r="F61" t="s">
        <v>45</v>
      </c>
      <c r="G61">
        <v>827.24</v>
      </c>
      <c r="H61" t="s">
        <v>2060</v>
      </c>
      <c r="I61" t="str">
        <f>VLOOKUP(B61,Customers!A:G,7,FALSE)</f>
        <v>Individual</v>
      </c>
      <c r="Q61" t="str">
        <f>IF(COUNTIF(Customers!$A$2:$A$1001,B61)&gt;0,"Valid","Invalid")</f>
        <v>Valid</v>
      </c>
      <c r="R61" t="str">
        <f>IF(COUNTIF(Branches!$A$2:$A$11,F61)&gt;0,"Valid","Invalid")</f>
        <v>Valid</v>
      </c>
    </row>
    <row r="62" spans="1:18" x14ac:dyDescent="0.25">
      <c r="A62" t="s">
        <v>2130</v>
      </c>
      <c r="B62" t="s">
        <v>185</v>
      </c>
      <c r="C62" s="8">
        <v>46220</v>
      </c>
      <c r="D62" t="s">
        <v>2067</v>
      </c>
      <c r="E62" t="s">
        <v>2073</v>
      </c>
      <c r="F62" t="s">
        <v>35</v>
      </c>
      <c r="G62">
        <v>943.8</v>
      </c>
      <c r="H62" t="s">
        <v>2060</v>
      </c>
      <c r="I62" t="str">
        <f>VLOOKUP(B62,Customers!A:G,7,FALSE)</f>
        <v>SME</v>
      </c>
      <c r="Q62" t="str">
        <f>IF(COUNTIF(Customers!$A$2:$A$1001,B62)&gt;0,"Valid","Invalid")</f>
        <v>Valid</v>
      </c>
      <c r="R62" t="str">
        <f>IF(COUNTIF(Branches!$A$2:$A$11,F62)&gt;0,"Valid","Invalid")</f>
        <v>Valid</v>
      </c>
    </row>
    <row r="63" spans="1:18" x14ac:dyDescent="0.25">
      <c r="A63" t="s">
        <v>2131</v>
      </c>
      <c r="B63" t="s">
        <v>748</v>
      </c>
      <c r="C63" s="8">
        <v>46023</v>
      </c>
      <c r="D63" t="s">
        <v>2065</v>
      </c>
      <c r="E63" t="s">
        <v>2063</v>
      </c>
      <c r="F63" t="s">
        <v>35</v>
      </c>
      <c r="G63">
        <v>253.51</v>
      </c>
      <c r="H63" t="s">
        <v>2060</v>
      </c>
      <c r="I63" t="str">
        <f>VLOOKUP(B63,Customers!A:G,7,FALSE)</f>
        <v>Individual</v>
      </c>
      <c r="Q63" t="str">
        <f>IF(COUNTIF(Customers!$A$2:$A$1001,B63)&gt;0,"Valid","Invalid")</f>
        <v>Valid</v>
      </c>
      <c r="R63" t="str">
        <f>IF(COUNTIF(Branches!$A$2:$A$11,F63)&gt;0,"Valid","Invalid")</f>
        <v>Valid</v>
      </c>
    </row>
    <row r="64" spans="1:18" x14ac:dyDescent="0.25">
      <c r="A64" t="s">
        <v>2132</v>
      </c>
      <c r="B64" t="s">
        <v>337</v>
      </c>
      <c r="C64" s="8">
        <v>46212</v>
      </c>
      <c r="D64" t="s">
        <v>2067</v>
      </c>
      <c r="E64" t="s">
        <v>2068</v>
      </c>
      <c r="F64" t="s">
        <v>27</v>
      </c>
      <c r="G64">
        <v>3045.57</v>
      </c>
      <c r="H64" t="s">
        <v>2060</v>
      </c>
      <c r="I64" t="str">
        <f>VLOOKUP(B64,Customers!A:G,7,FALSE)</f>
        <v>SME</v>
      </c>
      <c r="Q64" t="str">
        <f>IF(COUNTIF(Customers!$A$2:$A$1001,B64)&gt;0,"Valid","Invalid")</f>
        <v>Valid</v>
      </c>
      <c r="R64" t="str">
        <f>IF(COUNTIF(Branches!$A$2:$A$11,F64)&gt;0,"Valid","Invalid")</f>
        <v>Valid</v>
      </c>
    </row>
    <row r="65" spans="1:18" x14ac:dyDescent="0.25">
      <c r="A65" t="s">
        <v>2133</v>
      </c>
      <c r="B65" t="s">
        <v>795</v>
      </c>
      <c r="C65" s="8">
        <v>46147</v>
      </c>
      <c r="D65" t="s">
        <v>2065</v>
      </c>
      <c r="E65" t="s">
        <v>2059</v>
      </c>
      <c r="F65" t="s">
        <v>39</v>
      </c>
      <c r="G65">
        <v>302.55</v>
      </c>
      <c r="H65" t="s">
        <v>2060</v>
      </c>
      <c r="I65" t="str">
        <f>VLOOKUP(B65,Customers!A:G,7,FALSE)</f>
        <v>Individual</v>
      </c>
      <c r="Q65" t="str">
        <f>IF(COUNTIF(Customers!$A$2:$A$1001,B65)&gt;0,"Valid","Invalid")</f>
        <v>Valid</v>
      </c>
      <c r="R65" t="str">
        <f>IF(COUNTIF(Branches!$A$2:$A$11,F65)&gt;0,"Valid","Invalid")</f>
        <v>Valid</v>
      </c>
    </row>
    <row r="66" spans="1:18" x14ac:dyDescent="0.25">
      <c r="A66" t="s">
        <v>2134</v>
      </c>
      <c r="B66" t="s">
        <v>888</v>
      </c>
      <c r="C66" s="8">
        <v>46226</v>
      </c>
      <c r="D66" t="s">
        <v>2067</v>
      </c>
      <c r="E66" t="s">
        <v>2076</v>
      </c>
      <c r="F66" t="s">
        <v>29</v>
      </c>
      <c r="G66">
        <v>1890.77</v>
      </c>
      <c r="H66" t="s">
        <v>2060</v>
      </c>
      <c r="I66" t="str">
        <f>VLOOKUP(B66,Customers!A:G,7,FALSE)</f>
        <v>SME</v>
      </c>
      <c r="Q66" t="str">
        <f>IF(COUNTIF(Customers!$A$2:$A$1001,B66)&gt;0,"Valid","Invalid")</f>
        <v>Valid</v>
      </c>
      <c r="R66" t="str">
        <f>IF(COUNTIF(Branches!$A$2:$A$11,F66)&gt;0,"Valid","Invalid")</f>
        <v>Valid</v>
      </c>
    </row>
    <row r="67" spans="1:18" x14ac:dyDescent="0.25">
      <c r="A67" t="s">
        <v>2135</v>
      </c>
      <c r="B67" t="s">
        <v>658</v>
      </c>
      <c r="C67" s="8">
        <v>46060</v>
      </c>
      <c r="D67" t="s">
        <v>2065</v>
      </c>
      <c r="E67" t="s">
        <v>2063</v>
      </c>
      <c r="F67" t="s">
        <v>27</v>
      </c>
      <c r="G67">
        <v>3140.2</v>
      </c>
      <c r="H67" t="s">
        <v>2060</v>
      </c>
      <c r="I67" t="str">
        <f>VLOOKUP(B67,Customers!A:G,7,FALSE)</f>
        <v>Student</v>
      </c>
      <c r="Q67" t="str">
        <f>IF(COUNTIF(Customers!$A$2:$A$1001,B67)&gt;0,"Valid","Invalid")</f>
        <v>Valid</v>
      </c>
      <c r="R67" t="str">
        <f>IF(COUNTIF(Branches!$A$2:$A$11,F67)&gt;0,"Valid","Invalid")</f>
        <v>Valid</v>
      </c>
    </row>
    <row r="68" spans="1:18" x14ac:dyDescent="0.25">
      <c r="A68" t="s">
        <v>2136</v>
      </c>
      <c r="B68" t="s">
        <v>491</v>
      </c>
      <c r="C68" s="8">
        <v>46242</v>
      </c>
      <c r="D68" t="s">
        <v>2058</v>
      </c>
      <c r="E68" t="s">
        <v>2073</v>
      </c>
      <c r="F68" t="s">
        <v>53</v>
      </c>
      <c r="G68">
        <v>852.48</v>
      </c>
      <c r="H68" t="s">
        <v>2060</v>
      </c>
      <c r="I68" t="str">
        <f>VLOOKUP(B68,Customers!A:G,7,FALSE)</f>
        <v>Individual</v>
      </c>
      <c r="Q68" t="str">
        <f>IF(COUNTIF(Customers!$A$2:$A$1001,B68)&gt;0,"Valid","Invalid")</f>
        <v>Valid</v>
      </c>
      <c r="R68" t="str">
        <f>IF(COUNTIF(Branches!$A$2:$A$11,F68)&gt;0,"Valid","Invalid")</f>
        <v>Valid</v>
      </c>
    </row>
    <row r="69" spans="1:18" x14ac:dyDescent="0.25">
      <c r="A69" t="s">
        <v>2137</v>
      </c>
      <c r="B69" t="s">
        <v>431</v>
      </c>
      <c r="C69" s="8">
        <v>46067</v>
      </c>
      <c r="D69" t="s">
        <v>2058</v>
      </c>
      <c r="E69" t="s">
        <v>2063</v>
      </c>
      <c r="F69" t="s">
        <v>16</v>
      </c>
      <c r="G69">
        <v>2137.9699999999998</v>
      </c>
      <c r="H69" t="s">
        <v>2060</v>
      </c>
      <c r="I69" t="str">
        <f>VLOOKUP(B69,Customers!A:G,7,FALSE)</f>
        <v>SME</v>
      </c>
      <c r="Q69" t="str">
        <f>IF(COUNTIF(Customers!$A$2:$A$1001,B69)&gt;0,"Valid","Invalid")</f>
        <v>Valid</v>
      </c>
      <c r="R69" t="str">
        <f>IF(COUNTIF(Branches!$A$2:$A$11,F69)&gt;0,"Valid","Invalid")</f>
        <v>Valid</v>
      </c>
    </row>
    <row r="70" spans="1:18" x14ac:dyDescent="0.25">
      <c r="A70" t="s">
        <v>2138</v>
      </c>
      <c r="B70" t="s">
        <v>249</v>
      </c>
      <c r="C70" s="8">
        <v>46208</v>
      </c>
      <c r="D70" t="s">
        <v>2058</v>
      </c>
      <c r="E70" t="s">
        <v>2059</v>
      </c>
      <c r="F70" t="s">
        <v>35</v>
      </c>
      <c r="G70">
        <v>5154.57</v>
      </c>
      <c r="H70" t="s">
        <v>2107</v>
      </c>
      <c r="I70" t="str">
        <f>VLOOKUP(B70,Customers!A:G,7,FALSE)</f>
        <v>Individual</v>
      </c>
      <c r="Q70" t="str">
        <f>IF(COUNTIF(Customers!$A$2:$A$1001,B70)&gt;0,"Valid","Invalid")</f>
        <v>Valid</v>
      </c>
      <c r="R70" t="str">
        <f>IF(COUNTIF(Branches!$A$2:$A$11,F70)&gt;0,"Valid","Invalid")</f>
        <v>Valid</v>
      </c>
    </row>
    <row r="71" spans="1:18" x14ac:dyDescent="0.25">
      <c r="A71" t="s">
        <v>2139</v>
      </c>
      <c r="B71" t="s">
        <v>706</v>
      </c>
      <c r="C71" s="8">
        <v>46103</v>
      </c>
      <c r="D71" t="s">
        <v>2062</v>
      </c>
      <c r="E71" t="s">
        <v>2073</v>
      </c>
      <c r="F71" t="s">
        <v>45</v>
      </c>
      <c r="G71">
        <v>1062.06</v>
      </c>
      <c r="H71" t="s">
        <v>2060</v>
      </c>
      <c r="I71" t="str">
        <f>VLOOKUP(B71,Customers!A:G,7,FALSE)</f>
        <v>SME</v>
      </c>
      <c r="Q71" t="str">
        <f>IF(COUNTIF(Customers!$A$2:$A$1001,B71)&gt;0,"Valid","Invalid")</f>
        <v>Valid</v>
      </c>
      <c r="R71" t="str">
        <f>IF(COUNTIF(Branches!$A$2:$A$11,F71)&gt;0,"Valid","Invalid")</f>
        <v>Valid</v>
      </c>
    </row>
    <row r="72" spans="1:18" x14ac:dyDescent="0.25">
      <c r="A72" t="s">
        <v>2140</v>
      </c>
      <c r="B72" t="s">
        <v>576</v>
      </c>
      <c r="C72" s="8">
        <v>46151</v>
      </c>
      <c r="D72" t="s">
        <v>2067</v>
      </c>
      <c r="E72" t="s">
        <v>2068</v>
      </c>
      <c r="F72" t="s">
        <v>29</v>
      </c>
      <c r="G72">
        <v>681.77</v>
      </c>
      <c r="H72" t="s">
        <v>2060</v>
      </c>
      <c r="I72" t="str">
        <f>VLOOKUP(B72,Customers!A:G,7,FALSE)</f>
        <v>SME</v>
      </c>
      <c r="Q72" t="str">
        <f>IF(COUNTIF(Customers!$A$2:$A$1001,B72)&gt;0,"Valid","Invalid")</f>
        <v>Valid</v>
      </c>
      <c r="R72" t="str">
        <f>IF(COUNTIF(Branches!$A$2:$A$11,F72)&gt;0,"Valid","Invalid")</f>
        <v>Valid</v>
      </c>
    </row>
    <row r="73" spans="1:18" x14ac:dyDescent="0.25">
      <c r="A73" t="s">
        <v>2141</v>
      </c>
      <c r="B73" t="s">
        <v>632</v>
      </c>
      <c r="C73" s="8">
        <v>46054</v>
      </c>
      <c r="D73" t="s">
        <v>2058</v>
      </c>
      <c r="E73" t="s">
        <v>2059</v>
      </c>
      <c r="F73" t="s">
        <v>11</v>
      </c>
      <c r="G73">
        <v>759.87</v>
      </c>
      <c r="H73" t="s">
        <v>2107</v>
      </c>
      <c r="I73" t="str">
        <f>VLOOKUP(B73,Customers!A:G,7,FALSE)</f>
        <v>Individual</v>
      </c>
      <c r="Q73" t="str">
        <f>IF(COUNTIF(Customers!$A$2:$A$1001,B73)&gt;0,"Valid","Invalid")</f>
        <v>Valid</v>
      </c>
      <c r="R73" t="str">
        <f>IF(COUNTIF(Branches!$A$2:$A$11,F73)&gt;0,"Valid","Invalid")</f>
        <v>Valid</v>
      </c>
    </row>
    <row r="74" spans="1:18" x14ac:dyDescent="0.25">
      <c r="A74" t="s">
        <v>2142</v>
      </c>
      <c r="B74" t="s">
        <v>633</v>
      </c>
      <c r="C74" s="8">
        <v>46158</v>
      </c>
      <c r="D74" t="s">
        <v>2062</v>
      </c>
      <c r="E74" t="s">
        <v>2073</v>
      </c>
      <c r="F74" t="s">
        <v>39</v>
      </c>
      <c r="G74">
        <v>386.45</v>
      </c>
      <c r="H74" t="s">
        <v>2060</v>
      </c>
      <c r="I74" t="str">
        <f>VLOOKUP(B74,Customers!A:G,7,FALSE)</f>
        <v>Individual</v>
      </c>
      <c r="Q74" t="str">
        <f>IF(COUNTIF(Customers!$A$2:$A$1001,B74)&gt;0,"Valid","Invalid")</f>
        <v>Valid</v>
      </c>
      <c r="R74" t="str">
        <f>IF(COUNTIF(Branches!$A$2:$A$11,F74)&gt;0,"Valid","Invalid")</f>
        <v>Valid</v>
      </c>
    </row>
    <row r="75" spans="1:18" x14ac:dyDescent="0.25">
      <c r="A75" t="s">
        <v>2143</v>
      </c>
      <c r="B75" t="s">
        <v>167</v>
      </c>
      <c r="C75" s="8">
        <v>46140</v>
      </c>
      <c r="D75" t="s">
        <v>2067</v>
      </c>
      <c r="E75" t="s">
        <v>2076</v>
      </c>
      <c r="F75" t="s">
        <v>29</v>
      </c>
      <c r="G75">
        <v>377.82</v>
      </c>
      <c r="H75" t="s">
        <v>2060</v>
      </c>
      <c r="I75" t="str">
        <f>VLOOKUP(B75,Customers!A:G,7,FALSE)</f>
        <v>Corporate</v>
      </c>
      <c r="Q75" t="str">
        <f>IF(COUNTIF(Customers!$A$2:$A$1001,B75)&gt;0,"Valid","Invalid")</f>
        <v>Valid</v>
      </c>
      <c r="R75" t="str">
        <f>IF(COUNTIF(Branches!$A$2:$A$11,F75)&gt;0,"Valid","Invalid")</f>
        <v>Valid</v>
      </c>
    </row>
    <row r="76" spans="1:18" x14ac:dyDescent="0.25">
      <c r="A76" t="s">
        <v>2144</v>
      </c>
      <c r="B76" t="s">
        <v>367</v>
      </c>
      <c r="C76" s="8">
        <v>46062</v>
      </c>
      <c r="D76" t="s">
        <v>2062</v>
      </c>
      <c r="E76" t="s">
        <v>2063</v>
      </c>
      <c r="F76" t="s">
        <v>47</v>
      </c>
      <c r="G76">
        <v>1264.47</v>
      </c>
      <c r="H76" t="s">
        <v>2060</v>
      </c>
      <c r="I76" t="str">
        <f>VLOOKUP(B76,Customers!A:G,7,FALSE)</f>
        <v>Individual</v>
      </c>
      <c r="Q76" t="str">
        <f>IF(COUNTIF(Customers!$A$2:$A$1001,B76)&gt;0,"Valid","Invalid")</f>
        <v>Valid</v>
      </c>
      <c r="R76" t="str">
        <f>IF(COUNTIF(Branches!$A$2:$A$11,F76)&gt;0,"Valid","Invalid")</f>
        <v>Valid</v>
      </c>
    </row>
    <row r="77" spans="1:18" x14ac:dyDescent="0.25">
      <c r="A77" t="s">
        <v>2145</v>
      </c>
      <c r="B77" t="s">
        <v>650</v>
      </c>
      <c r="C77" s="8">
        <v>46206</v>
      </c>
      <c r="D77" t="s">
        <v>2067</v>
      </c>
      <c r="E77" t="s">
        <v>2059</v>
      </c>
      <c r="F77" t="s">
        <v>35</v>
      </c>
      <c r="G77">
        <v>689.56</v>
      </c>
      <c r="H77" t="s">
        <v>2060</v>
      </c>
      <c r="I77" t="str">
        <f>VLOOKUP(B77,Customers!A:G,7,FALSE)</f>
        <v>Student</v>
      </c>
      <c r="Q77" t="str">
        <f>IF(COUNTIF(Customers!$A$2:$A$1001,B77)&gt;0,"Valid","Invalid")</f>
        <v>Valid</v>
      </c>
      <c r="R77" t="str">
        <f>IF(COUNTIF(Branches!$A$2:$A$11,F77)&gt;0,"Valid","Invalid")</f>
        <v>Valid</v>
      </c>
    </row>
    <row r="78" spans="1:18" x14ac:dyDescent="0.25">
      <c r="A78" t="s">
        <v>2146</v>
      </c>
      <c r="B78" t="s">
        <v>294</v>
      </c>
      <c r="C78" s="8">
        <v>46213</v>
      </c>
      <c r="D78" t="s">
        <v>2067</v>
      </c>
      <c r="E78" t="s">
        <v>2063</v>
      </c>
      <c r="F78" t="s">
        <v>29</v>
      </c>
      <c r="G78">
        <v>1127.29</v>
      </c>
      <c r="H78" t="s">
        <v>2060</v>
      </c>
      <c r="I78" t="str">
        <f>VLOOKUP(B78,Customers!A:G,7,FALSE)</f>
        <v>Individual</v>
      </c>
      <c r="Q78" t="str">
        <f>IF(COUNTIF(Customers!$A$2:$A$1001,B78)&gt;0,"Valid","Invalid")</f>
        <v>Valid</v>
      </c>
      <c r="R78" t="str">
        <f>IF(COUNTIF(Branches!$A$2:$A$11,F78)&gt;0,"Valid","Invalid")</f>
        <v>Valid</v>
      </c>
    </row>
    <row r="79" spans="1:18" x14ac:dyDescent="0.25">
      <c r="A79" t="s">
        <v>2147</v>
      </c>
      <c r="B79" t="s">
        <v>517</v>
      </c>
      <c r="C79" s="8">
        <v>46257</v>
      </c>
      <c r="D79" t="s">
        <v>2062</v>
      </c>
      <c r="E79" t="s">
        <v>2059</v>
      </c>
      <c r="F79" t="s">
        <v>29</v>
      </c>
      <c r="G79">
        <v>183.11</v>
      </c>
      <c r="H79" t="s">
        <v>2060</v>
      </c>
      <c r="I79" t="str">
        <f>VLOOKUP(B79,Customers!A:G,7,FALSE)</f>
        <v>SME</v>
      </c>
      <c r="Q79" t="str">
        <f>IF(COUNTIF(Customers!$A$2:$A$1001,B79)&gt;0,"Valid","Invalid")</f>
        <v>Valid</v>
      </c>
      <c r="R79" t="str">
        <f>IF(COUNTIF(Branches!$A$2:$A$11,F79)&gt;0,"Valid","Invalid")</f>
        <v>Valid</v>
      </c>
    </row>
    <row r="80" spans="1:18" x14ac:dyDescent="0.25">
      <c r="A80" t="s">
        <v>2148</v>
      </c>
      <c r="B80" t="s">
        <v>599</v>
      </c>
      <c r="C80" s="8">
        <v>46260</v>
      </c>
      <c r="D80" t="s">
        <v>2065</v>
      </c>
      <c r="E80" t="s">
        <v>2068</v>
      </c>
      <c r="F80" t="s">
        <v>27</v>
      </c>
      <c r="G80">
        <v>740.54</v>
      </c>
      <c r="H80" t="s">
        <v>2060</v>
      </c>
      <c r="I80" t="str">
        <f>VLOOKUP(B80,Customers!A:G,7,FALSE)</f>
        <v>Individual</v>
      </c>
      <c r="Q80" t="str">
        <f>IF(COUNTIF(Customers!$A$2:$A$1001,B80)&gt;0,"Valid","Invalid")</f>
        <v>Valid</v>
      </c>
      <c r="R80" t="str">
        <f>IF(COUNTIF(Branches!$A$2:$A$11,F80)&gt;0,"Valid","Invalid")</f>
        <v>Valid</v>
      </c>
    </row>
    <row r="81" spans="1:18" x14ac:dyDescent="0.25">
      <c r="A81" t="s">
        <v>2149</v>
      </c>
      <c r="B81" t="s">
        <v>951</v>
      </c>
      <c r="C81" s="8">
        <v>46238</v>
      </c>
      <c r="D81" t="s">
        <v>2067</v>
      </c>
      <c r="E81" t="s">
        <v>2059</v>
      </c>
      <c r="F81" t="s">
        <v>16</v>
      </c>
      <c r="G81">
        <v>2275.87</v>
      </c>
      <c r="H81" t="s">
        <v>2060</v>
      </c>
      <c r="I81" t="str">
        <f>VLOOKUP(B81,Customers!A:G,7,FALSE)</f>
        <v>Individual</v>
      </c>
      <c r="Q81" t="str">
        <f>IF(COUNTIF(Customers!$A$2:$A$1001,B81)&gt;0,"Valid","Invalid")</f>
        <v>Valid</v>
      </c>
      <c r="R81" t="str">
        <f>IF(COUNTIF(Branches!$A$2:$A$11,F81)&gt;0,"Valid","Invalid")</f>
        <v>Valid</v>
      </c>
    </row>
    <row r="82" spans="1:18" x14ac:dyDescent="0.25">
      <c r="A82" t="s">
        <v>2150</v>
      </c>
      <c r="B82" t="s">
        <v>99</v>
      </c>
      <c r="C82" s="8">
        <v>46096</v>
      </c>
      <c r="D82" t="s">
        <v>2065</v>
      </c>
      <c r="E82" t="s">
        <v>2063</v>
      </c>
      <c r="F82" t="s">
        <v>45</v>
      </c>
      <c r="G82">
        <v>265.36</v>
      </c>
      <c r="H82" t="s">
        <v>2060</v>
      </c>
      <c r="I82" t="str">
        <f>VLOOKUP(B82,Customers!A:G,7,FALSE)</f>
        <v>Student</v>
      </c>
      <c r="Q82" t="str">
        <f>IF(COUNTIF(Customers!$A$2:$A$1001,B82)&gt;0,"Valid","Invalid")</f>
        <v>Valid</v>
      </c>
      <c r="R82" t="str">
        <f>IF(COUNTIF(Branches!$A$2:$A$11,F82)&gt;0,"Valid","Invalid")</f>
        <v>Valid</v>
      </c>
    </row>
    <row r="83" spans="1:18" x14ac:dyDescent="0.25">
      <c r="A83" t="s">
        <v>2151</v>
      </c>
      <c r="B83" t="s">
        <v>349</v>
      </c>
      <c r="C83" s="8">
        <v>46133</v>
      </c>
      <c r="D83" t="s">
        <v>2067</v>
      </c>
      <c r="E83" t="s">
        <v>2068</v>
      </c>
      <c r="F83" t="s">
        <v>16</v>
      </c>
      <c r="G83">
        <v>825.94</v>
      </c>
      <c r="H83" t="s">
        <v>2060</v>
      </c>
      <c r="I83" t="str">
        <f>VLOOKUP(B83,Customers!A:G,7,FALSE)</f>
        <v>Individual</v>
      </c>
      <c r="Q83" t="str">
        <f>IF(COUNTIF(Customers!$A$2:$A$1001,B83)&gt;0,"Valid","Invalid")</f>
        <v>Valid</v>
      </c>
      <c r="R83" t="str">
        <f>IF(COUNTIF(Branches!$A$2:$A$11,F83)&gt;0,"Valid","Invalid")</f>
        <v>Valid</v>
      </c>
    </row>
    <row r="84" spans="1:18" x14ac:dyDescent="0.25">
      <c r="A84" t="s">
        <v>2152</v>
      </c>
      <c r="B84" t="s">
        <v>445</v>
      </c>
      <c r="C84" s="8">
        <v>46125</v>
      </c>
      <c r="D84" t="s">
        <v>2065</v>
      </c>
      <c r="E84" t="s">
        <v>2063</v>
      </c>
      <c r="F84" t="s">
        <v>21</v>
      </c>
      <c r="G84">
        <v>127.15</v>
      </c>
      <c r="H84" t="s">
        <v>2060</v>
      </c>
      <c r="I84" t="str">
        <f>VLOOKUP(B84,Customers!A:G,7,FALSE)</f>
        <v>Student</v>
      </c>
      <c r="Q84" t="str">
        <f>IF(COUNTIF(Customers!$A$2:$A$1001,B84)&gt;0,"Valid","Invalid")</f>
        <v>Valid</v>
      </c>
      <c r="R84" t="str">
        <f>IF(COUNTIF(Branches!$A$2:$A$11,F84)&gt;0,"Valid","Invalid")</f>
        <v>Valid</v>
      </c>
    </row>
    <row r="85" spans="1:18" x14ac:dyDescent="0.25">
      <c r="A85" t="s">
        <v>2153</v>
      </c>
      <c r="B85" t="s">
        <v>840</v>
      </c>
      <c r="C85" s="8">
        <v>46125</v>
      </c>
      <c r="D85" t="s">
        <v>2058</v>
      </c>
      <c r="E85" t="s">
        <v>2073</v>
      </c>
      <c r="F85" t="s">
        <v>53</v>
      </c>
      <c r="G85">
        <v>220.2</v>
      </c>
      <c r="H85" t="s">
        <v>2060</v>
      </c>
      <c r="I85" t="str">
        <f>VLOOKUP(B85,Customers!A:G,7,FALSE)</f>
        <v>Individual</v>
      </c>
      <c r="Q85" t="str">
        <f>IF(COUNTIF(Customers!$A$2:$A$1001,B85)&gt;0,"Valid","Invalid")</f>
        <v>Valid</v>
      </c>
      <c r="R85" t="str">
        <f>IF(COUNTIF(Branches!$A$2:$A$11,F85)&gt;0,"Valid","Invalid")</f>
        <v>Valid</v>
      </c>
    </row>
    <row r="86" spans="1:18" x14ac:dyDescent="0.25">
      <c r="A86" t="s">
        <v>2154</v>
      </c>
      <c r="B86" t="s">
        <v>141</v>
      </c>
      <c r="C86" s="8">
        <v>46096</v>
      </c>
      <c r="D86" t="s">
        <v>2062</v>
      </c>
      <c r="E86" t="s">
        <v>2073</v>
      </c>
      <c r="F86" t="s">
        <v>16</v>
      </c>
      <c r="G86">
        <v>1821.95</v>
      </c>
      <c r="H86" t="s">
        <v>2060</v>
      </c>
      <c r="I86" t="str">
        <f>VLOOKUP(B86,Customers!A:G,7,FALSE)</f>
        <v>Individual</v>
      </c>
      <c r="Q86" t="str">
        <f>IF(COUNTIF(Customers!$A$2:$A$1001,B86)&gt;0,"Valid","Invalid")</f>
        <v>Valid</v>
      </c>
      <c r="R86" t="str">
        <f>IF(COUNTIF(Branches!$A$2:$A$11,F86)&gt;0,"Valid","Invalid")</f>
        <v>Valid</v>
      </c>
    </row>
    <row r="87" spans="1:18" x14ac:dyDescent="0.25">
      <c r="A87" t="s">
        <v>2155</v>
      </c>
      <c r="B87" t="s">
        <v>655</v>
      </c>
      <c r="C87" s="8">
        <v>46186</v>
      </c>
      <c r="D87" t="s">
        <v>2062</v>
      </c>
      <c r="E87" t="s">
        <v>2073</v>
      </c>
      <c r="F87" t="s">
        <v>53</v>
      </c>
      <c r="G87">
        <v>596.28</v>
      </c>
      <c r="H87" t="s">
        <v>2060</v>
      </c>
      <c r="I87" t="str">
        <f>VLOOKUP(B87,Customers!A:G,7,FALSE)</f>
        <v>Individual</v>
      </c>
      <c r="Q87" t="str">
        <f>IF(COUNTIF(Customers!$A$2:$A$1001,B87)&gt;0,"Valid","Invalid")</f>
        <v>Valid</v>
      </c>
      <c r="R87" t="str">
        <f>IF(COUNTIF(Branches!$A$2:$A$11,F87)&gt;0,"Valid","Invalid")</f>
        <v>Valid</v>
      </c>
    </row>
    <row r="88" spans="1:18" x14ac:dyDescent="0.25">
      <c r="A88" t="s">
        <v>2156</v>
      </c>
      <c r="B88" t="s">
        <v>875</v>
      </c>
      <c r="C88" s="8">
        <v>46239</v>
      </c>
      <c r="D88" t="s">
        <v>2067</v>
      </c>
      <c r="E88" t="s">
        <v>2068</v>
      </c>
      <c r="F88" t="s">
        <v>11</v>
      </c>
      <c r="G88">
        <v>5024.46</v>
      </c>
      <c r="H88" t="s">
        <v>2060</v>
      </c>
      <c r="I88" t="str">
        <f>VLOOKUP(B88,Customers!A:G,7,FALSE)</f>
        <v>Student</v>
      </c>
      <c r="Q88" t="str">
        <f>IF(COUNTIF(Customers!$A$2:$A$1001,B88)&gt;0,"Valid","Invalid")</f>
        <v>Valid</v>
      </c>
      <c r="R88" t="str">
        <f>IF(COUNTIF(Branches!$A$2:$A$11,F88)&gt;0,"Valid","Invalid")</f>
        <v>Valid</v>
      </c>
    </row>
    <row r="89" spans="1:18" x14ac:dyDescent="0.25">
      <c r="A89" t="s">
        <v>2157</v>
      </c>
      <c r="B89" t="s">
        <v>48</v>
      </c>
      <c r="C89" s="8">
        <v>46136</v>
      </c>
      <c r="D89" t="s">
        <v>2070</v>
      </c>
      <c r="E89" t="s">
        <v>2063</v>
      </c>
      <c r="F89" t="s">
        <v>53</v>
      </c>
      <c r="G89">
        <v>1251.93</v>
      </c>
      <c r="H89" t="s">
        <v>2060</v>
      </c>
      <c r="I89" t="str">
        <f>VLOOKUP(B89,Customers!A:G,7,FALSE)</f>
        <v>Individual</v>
      </c>
      <c r="Q89" t="str">
        <f>IF(COUNTIF(Customers!$A$2:$A$1001,B89)&gt;0,"Valid","Invalid")</f>
        <v>Valid</v>
      </c>
      <c r="R89" t="str">
        <f>IF(COUNTIF(Branches!$A$2:$A$11,F89)&gt;0,"Valid","Invalid")</f>
        <v>Valid</v>
      </c>
    </row>
    <row r="90" spans="1:18" x14ac:dyDescent="0.25">
      <c r="A90" t="s">
        <v>2158</v>
      </c>
      <c r="B90" t="s">
        <v>725</v>
      </c>
      <c r="C90" s="8">
        <v>46145</v>
      </c>
      <c r="D90" t="s">
        <v>2058</v>
      </c>
      <c r="E90" t="s">
        <v>2059</v>
      </c>
      <c r="F90" t="s">
        <v>45</v>
      </c>
      <c r="G90">
        <v>1381.04</v>
      </c>
      <c r="H90" t="s">
        <v>2060</v>
      </c>
      <c r="I90" t="str">
        <f>VLOOKUP(B90,Customers!A:G,7,FALSE)</f>
        <v>Individual</v>
      </c>
      <c r="Q90" t="str">
        <f>IF(COUNTIF(Customers!$A$2:$A$1001,B90)&gt;0,"Valid","Invalid")</f>
        <v>Valid</v>
      </c>
      <c r="R90" t="str">
        <f>IF(COUNTIF(Branches!$A$2:$A$11,F90)&gt;0,"Valid","Invalid")</f>
        <v>Valid</v>
      </c>
    </row>
    <row r="91" spans="1:18" x14ac:dyDescent="0.25">
      <c r="A91" t="s">
        <v>2159</v>
      </c>
      <c r="B91" t="s">
        <v>297</v>
      </c>
      <c r="C91" s="8">
        <v>46079</v>
      </c>
      <c r="D91" t="s">
        <v>2067</v>
      </c>
      <c r="E91" t="s">
        <v>2063</v>
      </c>
      <c r="F91" t="s">
        <v>35</v>
      </c>
      <c r="G91">
        <v>276.86</v>
      </c>
      <c r="H91" t="s">
        <v>2060</v>
      </c>
      <c r="I91" t="str">
        <f>VLOOKUP(B91,Customers!A:G,7,FALSE)</f>
        <v>Individual</v>
      </c>
      <c r="Q91" t="str">
        <f>IF(COUNTIF(Customers!$A$2:$A$1001,B91)&gt;0,"Valid","Invalid")</f>
        <v>Valid</v>
      </c>
      <c r="R91" t="str">
        <f>IF(COUNTIF(Branches!$A$2:$A$11,F91)&gt;0,"Valid","Invalid")</f>
        <v>Valid</v>
      </c>
    </row>
    <row r="92" spans="1:18" x14ac:dyDescent="0.25">
      <c r="A92" t="s">
        <v>2160</v>
      </c>
      <c r="B92" t="s">
        <v>761</v>
      </c>
      <c r="C92" s="8">
        <v>46096</v>
      </c>
      <c r="D92" t="s">
        <v>2062</v>
      </c>
      <c r="E92" t="s">
        <v>2063</v>
      </c>
      <c r="F92" t="s">
        <v>11</v>
      </c>
      <c r="G92">
        <v>552.74</v>
      </c>
      <c r="H92" t="s">
        <v>2060</v>
      </c>
      <c r="I92" t="str">
        <f>VLOOKUP(B92,Customers!A:G,7,FALSE)</f>
        <v>SME</v>
      </c>
      <c r="Q92" t="str">
        <f>IF(COUNTIF(Customers!$A$2:$A$1001,B92)&gt;0,"Valid","Invalid")</f>
        <v>Valid</v>
      </c>
      <c r="R92" t="str">
        <f>IF(COUNTIF(Branches!$A$2:$A$11,F92)&gt;0,"Valid","Invalid")</f>
        <v>Valid</v>
      </c>
    </row>
    <row r="93" spans="1:18" x14ac:dyDescent="0.25">
      <c r="A93" t="s">
        <v>2161</v>
      </c>
      <c r="B93" t="s">
        <v>450</v>
      </c>
      <c r="C93" s="8">
        <v>46105</v>
      </c>
      <c r="D93" t="s">
        <v>2062</v>
      </c>
      <c r="E93" t="s">
        <v>2076</v>
      </c>
      <c r="F93" t="s">
        <v>53</v>
      </c>
      <c r="G93">
        <v>390.47</v>
      </c>
      <c r="H93" t="s">
        <v>2060</v>
      </c>
      <c r="I93" t="str">
        <f>VLOOKUP(B93,Customers!A:G,7,FALSE)</f>
        <v>Individual</v>
      </c>
      <c r="Q93" t="str">
        <f>IF(COUNTIF(Customers!$A$2:$A$1001,B93)&gt;0,"Valid","Invalid")</f>
        <v>Valid</v>
      </c>
      <c r="R93" t="str">
        <f>IF(COUNTIF(Branches!$A$2:$A$11,F93)&gt;0,"Valid","Invalid")</f>
        <v>Valid</v>
      </c>
    </row>
    <row r="94" spans="1:18" x14ac:dyDescent="0.25">
      <c r="A94" t="s">
        <v>2162</v>
      </c>
      <c r="B94" t="s">
        <v>297</v>
      </c>
      <c r="C94" s="8">
        <v>46260</v>
      </c>
      <c r="D94" t="s">
        <v>2062</v>
      </c>
      <c r="E94" t="s">
        <v>2063</v>
      </c>
      <c r="F94" t="s">
        <v>35</v>
      </c>
      <c r="G94">
        <v>279.94</v>
      </c>
      <c r="H94" t="s">
        <v>2060</v>
      </c>
      <c r="I94" t="str">
        <f>VLOOKUP(B94,Customers!A:G,7,FALSE)</f>
        <v>Individual</v>
      </c>
      <c r="Q94" t="str">
        <f>IF(COUNTIF(Customers!$A$2:$A$1001,B94)&gt;0,"Valid","Invalid")</f>
        <v>Valid</v>
      </c>
      <c r="R94" t="str">
        <f>IF(COUNTIF(Branches!$A$2:$A$11,F94)&gt;0,"Valid","Invalid")</f>
        <v>Valid</v>
      </c>
    </row>
    <row r="95" spans="1:18" x14ac:dyDescent="0.25">
      <c r="A95" t="s">
        <v>2163</v>
      </c>
      <c r="B95" t="s">
        <v>652</v>
      </c>
      <c r="C95" s="8">
        <v>46195</v>
      </c>
      <c r="D95" t="s">
        <v>2065</v>
      </c>
      <c r="E95" t="s">
        <v>2073</v>
      </c>
      <c r="F95" t="s">
        <v>29</v>
      </c>
      <c r="G95">
        <v>1577.97</v>
      </c>
      <c r="H95" t="s">
        <v>2060</v>
      </c>
      <c r="I95" t="str">
        <f>VLOOKUP(B95,Customers!A:G,7,FALSE)</f>
        <v>Student</v>
      </c>
      <c r="Q95" t="str">
        <f>IF(COUNTIF(Customers!$A$2:$A$1001,B95)&gt;0,"Valid","Invalid")</f>
        <v>Valid</v>
      </c>
      <c r="R95" t="str">
        <f>IF(COUNTIF(Branches!$A$2:$A$11,F95)&gt;0,"Valid","Invalid")</f>
        <v>Valid</v>
      </c>
    </row>
    <row r="96" spans="1:18" x14ac:dyDescent="0.25">
      <c r="A96" t="s">
        <v>2164</v>
      </c>
      <c r="B96" t="s">
        <v>298</v>
      </c>
      <c r="C96" s="8">
        <v>46101</v>
      </c>
      <c r="D96" t="s">
        <v>2067</v>
      </c>
      <c r="E96" t="s">
        <v>2073</v>
      </c>
      <c r="F96" t="s">
        <v>45</v>
      </c>
      <c r="G96">
        <v>1928.53</v>
      </c>
      <c r="H96" t="s">
        <v>2060</v>
      </c>
      <c r="I96" t="str">
        <f>VLOOKUP(B96,Customers!A:G,7,FALSE)</f>
        <v>Student</v>
      </c>
      <c r="Q96" t="str">
        <f>IF(COUNTIF(Customers!$A$2:$A$1001,B96)&gt;0,"Valid","Invalid")</f>
        <v>Valid</v>
      </c>
      <c r="R96" t="str">
        <f>IF(COUNTIF(Branches!$A$2:$A$11,F96)&gt;0,"Valid","Invalid")</f>
        <v>Valid</v>
      </c>
    </row>
    <row r="97" spans="1:18" x14ac:dyDescent="0.25">
      <c r="A97" t="s">
        <v>2165</v>
      </c>
      <c r="B97" t="s">
        <v>894</v>
      </c>
      <c r="C97" s="8">
        <v>46230</v>
      </c>
      <c r="D97" t="s">
        <v>2062</v>
      </c>
      <c r="E97" t="s">
        <v>2059</v>
      </c>
      <c r="F97" t="s">
        <v>53</v>
      </c>
      <c r="G97">
        <v>1210.68</v>
      </c>
      <c r="H97" t="s">
        <v>2060</v>
      </c>
      <c r="I97" t="str">
        <f>VLOOKUP(B97,Customers!A:G,7,FALSE)</f>
        <v>Individual</v>
      </c>
      <c r="Q97" t="str">
        <f>IF(COUNTIF(Customers!$A$2:$A$1001,B97)&gt;0,"Valid","Invalid")</f>
        <v>Valid</v>
      </c>
      <c r="R97" t="str">
        <f>IF(COUNTIF(Branches!$A$2:$A$11,F97)&gt;0,"Valid","Invalid")</f>
        <v>Valid</v>
      </c>
    </row>
    <row r="98" spans="1:18" x14ac:dyDescent="0.25">
      <c r="A98" t="s">
        <v>2166</v>
      </c>
      <c r="B98" t="s">
        <v>709</v>
      </c>
      <c r="C98" s="8">
        <v>46152</v>
      </c>
      <c r="D98" t="s">
        <v>2058</v>
      </c>
      <c r="E98" t="s">
        <v>2059</v>
      </c>
      <c r="F98" t="s">
        <v>11</v>
      </c>
      <c r="G98">
        <v>354.93</v>
      </c>
      <c r="H98" t="s">
        <v>2060</v>
      </c>
      <c r="I98" t="str">
        <f>VLOOKUP(B98,Customers!A:G,7,FALSE)</f>
        <v>SME</v>
      </c>
      <c r="Q98" t="str">
        <f>IF(COUNTIF(Customers!$A$2:$A$1001,B98)&gt;0,"Valid","Invalid")</f>
        <v>Valid</v>
      </c>
      <c r="R98" t="str">
        <f>IF(COUNTIF(Branches!$A$2:$A$11,F98)&gt;0,"Valid","Invalid")</f>
        <v>Valid</v>
      </c>
    </row>
    <row r="99" spans="1:18" x14ac:dyDescent="0.25">
      <c r="A99" t="s">
        <v>2167</v>
      </c>
      <c r="B99" t="s">
        <v>80</v>
      </c>
      <c r="C99" s="8">
        <v>46115</v>
      </c>
      <c r="D99" t="s">
        <v>2058</v>
      </c>
      <c r="E99" t="s">
        <v>2059</v>
      </c>
      <c r="F99" t="s">
        <v>53</v>
      </c>
      <c r="G99">
        <v>1130.8599999999999</v>
      </c>
      <c r="H99" t="s">
        <v>2060</v>
      </c>
      <c r="I99" t="str">
        <f>VLOOKUP(B99,Customers!A:G,7,FALSE)</f>
        <v>Individual</v>
      </c>
      <c r="Q99" t="str">
        <f>IF(COUNTIF(Customers!$A$2:$A$1001,B99)&gt;0,"Valid","Invalid")</f>
        <v>Valid</v>
      </c>
      <c r="R99" t="str">
        <f>IF(COUNTIF(Branches!$A$2:$A$11,F99)&gt;0,"Valid","Invalid")</f>
        <v>Valid</v>
      </c>
    </row>
    <row r="100" spans="1:18" x14ac:dyDescent="0.25">
      <c r="A100" t="s">
        <v>2168</v>
      </c>
      <c r="B100" t="s">
        <v>993</v>
      </c>
      <c r="C100" s="8">
        <v>46218</v>
      </c>
      <c r="D100" t="s">
        <v>2058</v>
      </c>
      <c r="E100" t="s">
        <v>2068</v>
      </c>
      <c r="F100" t="s">
        <v>53</v>
      </c>
      <c r="G100">
        <v>119.98</v>
      </c>
      <c r="H100" t="s">
        <v>2060</v>
      </c>
      <c r="I100" t="str">
        <f>VLOOKUP(B100,Customers!A:G,7,FALSE)</f>
        <v>SME</v>
      </c>
      <c r="Q100" t="str">
        <f>IF(COUNTIF(Customers!$A$2:$A$1001,B100)&gt;0,"Valid","Invalid")</f>
        <v>Valid</v>
      </c>
      <c r="R100" t="str">
        <f>IF(COUNTIF(Branches!$A$2:$A$11,F100)&gt;0,"Valid","Invalid")</f>
        <v>Valid</v>
      </c>
    </row>
    <row r="101" spans="1:18" x14ac:dyDescent="0.25">
      <c r="A101" t="s">
        <v>2169</v>
      </c>
      <c r="B101" t="s">
        <v>851</v>
      </c>
      <c r="C101" s="8">
        <v>46072</v>
      </c>
      <c r="D101" t="s">
        <v>2062</v>
      </c>
      <c r="E101" t="s">
        <v>2076</v>
      </c>
      <c r="F101" t="s">
        <v>21</v>
      </c>
      <c r="G101">
        <v>3050.34</v>
      </c>
      <c r="H101" t="s">
        <v>2060</v>
      </c>
      <c r="I101" t="str">
        <f>VLOOKUP(B101,Customers!A:G,7,FALSE)</f>
        <v>Individual</v>
      </c>
      <c r="Q101" t="str">
        <f>IF(COUNTIF(Customers!$A$2:$A$1001,B101)&gt;0,"Valid","Invalid")</f>
        <v>Valid</v>
      </c>
      <c r="R101" t="str">
        <f>IF(COUNTIF(Branches!$A$2:$A$11,F101)&gt;0,"Valid","Invalid")</f>
        <v>Valid</v>
      </c>
    </row>
    <row r="102" spans="1:18" x14ac:dyDescent="0.25">
      <c r="A102" t="s">
        <v>2170</v>
      </c>
      <c r="B102" t="s">
        <v>801</v>
      </c>
      <c r="C102" s="8">
        <v>46051</v>
      </c>
      <c r="D102" t="s">
        <v>2067</v>
      </c>
      <c r="E102" t="s">
        <v>2063</v>
      </c>
      <c r="F102" t="s">
        <v>35</v>
      </c>
      <c r="G102">
        <v>221.82</v>
      </c>
      <c r="H102" t="s">
        <v>2060</v>
      </c>
      <c r="I102" t="str">
        <f>VLOOKUP(B102,Customers!A:G,7,FALSE)</f>
        <v>SME</v>
      </c>
      <c r="Q102" t="str">
        <f>IF(COUNTIF(Customers!$A$2:$A$1001,B102)&gt;0,"Valid","Invalid")</f>
        <v>Valid</v>
      </c>
      <c r="R102" t="str">
        <f>IF(COUNTIF(Branches!$A$2:$A$11,F102)&gt;0,"Valid","Invalid")</f>
        <v>Valid</v>
      </c>
    </row>
    <row r="103" spans="1:18" x14ac:dyDescent="0.25">
      <c r="A103" t="s">
        <v>2171</v>
      </c>
      <c r="B103" t="s">
        <v>369</v>
      </c>
      <c r="C103" s="8">
        <v>46245</v>
      </c>
      <c r="D103" t="s">
        <v>2058</v>
      </c>
      <c r="E103" t="s">
        <v>2172</v>
      </c>
      <c r="F103" t="s">
        <v>53</v>
      </c>
      <c r="G103">
        <v>264.95</v>
      </c>
      <c r="H103" t="s">
        <v>2060</v>
      </c>
      <c r="I103" t="str">
        <f>VLOOKUP(B103,Customers!A:G,7,FALSE)</f>
        <v>SME</v>
      </c>
      <c r="Q103" t="str">
        <f>IF(COUNTIF(Customers!$A$2:$A$1001,B103)&gt;0,"Valid","Invalid")</f>
        <v>Valid</v>
      </c>
      <c r="R103" t="str">
        <f>IF(COUNTIF(Branches!$A$2:$A$11,F103)&gt;0,"Valid","Invalid")</f>
        <v>Valid</v>
      </c>
    </row>
    <row r="104" spans="1:18" x14ac:dyDescent="0.25">
      <c r="A104" t="s">
        <v>2173</v>
      </c>
      <c r="B104" t="s">
        <v>201</v>
      </c>
      <c r="C104" s="8">
        <v>46103</v>
      </c>
      <c r="D104" t="s">
        <v>2065</v>
      </c>
      <c r="E104" t="s">
        <v>2172</v>
      </c>
      <c r="F104" t="s">
        <v>45</v>
      </c>
      <c r="G104">
        <v>911.68</v>
      </c>
      <c r="H104" t="s">
        <v>2060</v>
      </c>
      <c r="I104" t="str">
        <f>VLOOKUP(B104,Customers!A:G,7,FALSE)</f>
        <v>Individual</v>
      </c>
      <c r="Q104" t="str">
        <f>IF(COUNTIF(Customers!$A$2:$A$1001,B104)&gt;0,"Valid","Invalid")</f>
        <v>Valid</v>
      </c>
      <c r="R104" t="str">
        <f>IF(COUNTIF(Branches!$A$2:$A$11,F104)&gt;0,"Valid","Invalid")</f>
        <v>Valid</v>
      </c>
    </row>
    <row r="105" spans="1:18" x14ac:dyDescent="0.25">
      <c r="A105" t="s">
        <v>2174</v>
      </c>
      <c r="B105" t="s">
        <v>230</v>
      </c>
      <c r="C105" s="8">
        <v>46032</v>
      </c>
      <c r="D105" t="s">
        <v>2058</v>
      </c>
      <c r="E105" t="s">
        <v>2073</v>
      </c>
      <c r="F105" t="s">
        <v>21</v>
      </c>
      <c r="G105">
        <v>996.41</v>
      </c>
      <c r="H105" t="s">
        <v>2060</v>
      </c>
      <c r="I105" t="str">
        <f>VLOOKUP(B105,Customers!A:G,7,FALSE)</f>
        <v>Individual</v>
      </c>
      <c r="Q105" t="str">
        <f>IF(COUNTIF(Customers!$A$2:$A$1001,B105)&gt;0,"Valid","Invalid")</f>
        <v>Valid</v>
      </c>
      <c r="R105" t="str">
        <f>IF(COUNTIF(Branches!$A$2:$A$11,F105)&gt;0,"Valid","Invalid")</f>
        <v>Valid</v>
      </c>
    </row>
    <row r="106" spans="1:18" x14ac:dyDescent="0.25">
      <c r="A106" t="s">
        <v>2175</v>
      </c>
      <c r="B106" t="s">
        <v>559</v>
      </c>
      <c r="C106" s="8">
        <v>46177</v>
      </c>
      <c r="D106" t="s">
        <v>2062</v>
      </c>
      <c r="E106" t="s">
        <v>2063</v>
      </c>
      <c r="F106" t="s">
        <v>11</v>
      </c>
      <c r="G106">
        <v>755.4</v>
      </c>
      <c r="H106" t="s">
        <v>2060</v>
      </c>
      <c r="I106" t="str">
        <f>VLOOKUP(B106,Customers!A:G,7,FALSE)</f>
        <v>Individual</v>
      </c>
      <c r="Q106" t="str">
        <f>IF(COUNTIF(Customers!$A$2:$A$1001,B106)&gt;0,"Valid","Invalid")</f>
        <v>Valid</v>
      </c>
      <c r="R106" t="str">
        <f>IF(COUNTIF(Branches!$A$2:$A$11,F106)&gt;0,"Valid","Invalid")</f>
        <v>Valid</v>
      </c>
    </row>
    <row r="107" spans="1:18" x14ac:dyDescent="0.25">
      <c r="A107" t="s">
        <v>2176</v>
      </c>
      <c r="B107" t="s">
        <v>439</v>
      </c>
      <c r="C107" s="8">
        <v>46139</v>
      </c>
      <c r="D107" t="s">
        <v>2065</v>
      </c>
      <c r="E107" t="s">
        <v>2063</v>
      </c>
      <c r="F107" t="s">
        <v>27</v>
      </c>
      <c r="G107">
        <v>267.7</v>
      </c>
      <c r="H107" t="s">
        <v>2060</v>
      </c>
      <c r="I107" t="str">
        <f>VLOOKUP(B107,Customers!A:G,7,FALSE)</f>
        <v>Individual</v>
      </c>
      <c r="Q107" t="str">
        <f>IF(COUNTIF(Customers!$A$2:$A$1001,B107)&gt;0,"Valid","Invalid")</f>
        <v>Valid</v>
      </c>
      <c r="R107" t="str">
        <f>IF(COUNTIF(Branches!$A$2:$A$11,F107)&gt;0,"Valid","Invalid")</f>
        <v>Valid</v>
      </c>
    </row>
    <row r="108" spans="1:18" x14ac:dyDescent="0.25">
      <c r="A108" t="s">
        <v>2177</v>
      </c>
      <c r="B108" t="s">
        <v>412</v>
      </c>
      <c r="C108" s="8">
        <v>46255</v>
      </c>
      <c r="D108" t="s">
        <v>2058</v>
      </c>
      <c r="E108" t="s">
        <v>2068</v>
      </c>
      <c r="F108" t="s">
        <v>39</v>
      </c>
      <c r="G108">
        <v>2523.36</v>
      </c>
      <c r="H108" t="s">
        <v>2060</v>
      </c>
      <c r="I108" t="str">
        <f>VLOOKUP(B108,Customers!A:G,7,FALSE)</f>
        <v>Individual</v>
      </c>
      <c r="Q108" t="str">
        <f>IF(COUNTIF(Customers!$A$2:$A$1001,B108)&gt;0,"Valid","Invalid")</f>
        <v>Valid</v>
      </c>
      <c r="R108" t="str">
        <f>IF(COUNTIF(Branches!$A$2:$A$11,F108)&gt;0,"Valid","Invalid")</f>
        <v>Valid</v>
      </c>
    </row>
    <row r="109" spans="1:18" x14ac:dyDescent="0.25">
      <c r="A109" t="s">
        <v>2178</v>
      </c>
      <c r="B109" t="s">
        <v>101</v>
      </c>
      <c r="C109" s="8">
        <v>46165</v>
      </c>
      <c r="D109" t="s">
        <v>2067</v>
      </c>
      <c r="E109" t="s">
        <v>2068</v>
      </c>
      <c r="F109" t="s">
        <v>29</v>
      </c>
      <c r="G109">
        <v>150.51</v>
      </c>
      <c r="H109" t="s">
        <v>2060</v>
      </c>
      <c r="I109" t="str">
        <f>VLOOKUP(B109,Customers!A:G,7,FALSE)</f>
        <v>Individual</v>
      </c>
      <c r="Q109" t="str">
        <f>IF(COUNTIF(Customers!$A$2:$A$1001,B109)&gt;0,"Valid","Invalid")</f>
        <v>Valid</v>
      </c>
      <c r="R109" t="str">
        <f>IF(COUNTIF(Branches!$A$2:$A$11,F109)&gt;0,"Valid","Invalid")</f>
        <v>Valid</v>
      </c>
    </row>
    <row r="110" spans="1:18" x14ac:dyDescent="0.25">
      <c r="A110" t="s">
        <v>2179</v>
      </c>
      <c r="B110" t="s">
        <v>425</v>
      </c>
      <c r="C110" s="8">
        <v>46082</v>
      </c>
      <c r="D110" t="s">
        <v>2065</v>
      </c>
      <c r="E110" t="s">
        <v>2068</v>
      </c>
      <c r="F110" t="s">
        <v>11</v>
      </c>
      <c r="G110">
        <v>184.33</v>
      </c>
      <c r="H110" t="s">
        <v>2060</v>
      </c>
      <c r="I110" t="str">
        <f>VLOOKUP(B110,Customers!A:G,7,FALSE)</f>
        <v>Student</v>
      </c>
      <c r="Q110" t="str">
        <f>IF(COUNTIF(Customers!$A$2:$A$1001,B110)&gt;0,"Valid","Invalid")</f>
        <v>Valid</v>
      </c>
      <c r="R110" t="str">
        <f>IF(COUNTIF(Branches!$A$2:$A$11,F110)&gt;0,"Valid","Invalid")</f>
        <v>Valid</v>
      </c>
    </row>
    <row r="111" spans="1:18" x14ac:dyDescent="0.25">
      <c r="A111" t="s">
        <v>2180</v>
      </c>
      <c r="B111" t="s">
        <v>533</v>
      </c>
      <c r="C111" s="8">
        <v>46258</v>
      </c>
      <c r="D111" t="s">
        <v>2067</v>
      </c>
      <c r="E111" t="s">
        <v>2059</v>
      </c>
      <c r="F111" t="s">
        <v>16</v>
      </c>
      <c r="G111">
        <v>729.98</v>
      </c>
      <c r="H111" t="s">
        <v>2060</v>
      </c>
      <c r="I111" t="str">
        <f>VLOOKUP(B111,Customers!A:G,7,FALSE)</f>
        <v>SME</v>
      </c>
      <c r="Q111" t="str">
        <f>IF(COUNTIF(Customers!$A$2:$A$1001,B111)&gt;0,"Valid","Invalid")</f>
        <v>Valid</v>
      </c>
      <c r="R111" t="str">
        <f>IF(COUNTIF(Branches!$A$2:$A$11,F111)&gt;0,"Valid","Invalid")</f>
        <v>Valid</v>
      </c>
    </row>
    <row r="112" spans="1:18" x14ac:dyDescent="0.25">
      <c r="A112" t="s">
        <v>2181</v>
      </c>
      <c r="B112" t="s">
        <v>832</v>
      </c>
      <c r="C112" s="8">
        <v>46181</v>
      </c>
      <c r="D112" t="s">
        <v>2065</v>
      </c>
      <c r="E112" t="s">
        <v>2076</v>
      </c>
      <c r="F112" t="s">
        <v>39</v>
      </c>
      <c r="G112">
        <v>229.47</v>
      </c>
      <c r="H112" t="s">
        <v>2060</v>
      </c>
      <c r="I112" t="str">
        <f>VLOOKUP(B112,Customers!A:G,7,FALSE)</f>
        <v>Individual</v>
      </c>
      <c r="Q112" t="str">
        <f>IF(COUNTIF(Customers!$A$2:$A$1001,B112)&gt;0,"Valid","Invalid")</f>
        <v>Valid</v>
      </c>
      <c r="R112" t="str">
        <f>IF(COUNTIF(Branches!$A$2:$A$11,F112)&gt;0,"Valid","Invalid")</f>
        <v>Valid</v>
      </c>
    </row>
    <row r="113" spans="1:18" x14ac:dyDescent="0.25">
      <c r="A113" t="s">
        <v>2182</v>
      </c>
      <c r="B113" t="s">
        <v>731</v>
      </c>
      <c r="C113" s="8">
        <v>46171</v>
      </c>
      <c r="D113" t="s">
        <v>2067</v>
      </c>
      <c r="E113" t="s">
        <v>2059</v>
      </c>
      <c r="F113" t="s">
        <v>11</v>
      </c>
      <c r="G113">
        <v>2759</v>
      </c>
      <c r="H113" t="s">
        <v>2060</v>
      </c>
      <c r="I113" t="str">
        <f>VLOOKUP(B113,Customers!A:G,7,FALSE)</f>
        <v>Individual</v>
      </c>
      <c r="Q113" t="str">
        <f>IF(COUNTIF(Customers!$A$2:$A$1001,B113)&gt;0,"Valid","Invalid")</f>
        <v>Valid</v>
      </c>
      <c r="R113" t="str">
        <f>IF(COUNTIF(Branches!$A$2:$A$11,F113)&gt;0,"Valid","Invalid")</f>
        <v>Valid</v>
      </c>
    </row>
    <row r="114" spans="1:18" x14ac:dyDescent="0.25">
      <c r="A114" t="s">
        <v>2183</v>
      </c>
      <c r="B114" t="s">
        <v>453</v>
      </c>
      <c r="C114" s="8">
        <v>46082</v>
      </c>
      <c r="D114" t="s">
        <v>2067</v>
      </c>
      <c r="E114" t="s">
        <v>2063</v>
      </c>
      <c r="F114" t="s">
        <v>47</v>
      </c>
      <c r="G114">
        <v>250.08</v>
      </c>
      <c r="H114" t="s">
        <v>2060</v>
      </c>
      <c r="I114" t="str">
        <f>VLOOKUP(B114,Customers!A:G,7,FALSE)</f>
        <v>Student</v>
      </c>
      <c r="Q114" t="str">
        <f>IF(COUNTIF(Customers!$A$2:$A$1001,B114)&gt;0,"Valid","Invalid")</f>
        <v>Valid</v>
      </c>
      <c r="R114" t="str">
        <f>IF(COUNTIF(Branches!$A$2:$A$11,F114)&gt;0,"Valid","Invalid")</f>
        <v>Valid</v>
      </c>
    </row>
    <row r="115" spans="1:18" x14ac:dyDescent="0.25">
      <c r="A115" t="s">
        <v>2184</v>
      </c>
      <c r="B115" t="s">
        <v>832</v>
      </c>
      <c r="C115" s="8">
        <v>46080</v>
      </c>
      <c r="D115" t="s">
        <v>2062</v>
      </c>
      <c r="E115" t="s">
        <v>2076</v>
      </c>
      <c r="F115" t="s">
        <v>47</v>
      </c>
      <c r="G115">
        <v>3854.62</v>
      </c>
      <c r="H115" t="s">
        <v>2060</v>
      </c>
      <c r="I115" t="str">
        <f>VLOOKUP(B115,Customers!A:G,7,FALSE)</f>
        <v>Individual</v>
      </c>
      <c r="Q115" t="str">
        <f>IF(COUNTIF(Customers!$A$2:$A$1001,B115)&gt;0,"Valid","Invalid")</f>
        <v>Valid</v>
      </c>
      <c r="R115" t="str">
        <f>IF(COUNTIF(Branches!$A$2:$A$11,F115)&gt;0,"Valid","Invalid")</f>
        <v>Valid</v>
      </c>
    </row>
    <row r="116" spans="1:18" x14ac:dyDescent="0.25">
      <c r="A116" t="s">
        <v>2185</v>
      </c>
      <c r="B116" t="s">
        <v>829</v>
      </c>
      <c r="C116" s="8">
        <v>46191</v>
      </c>
      <c r="D116" t="s">
        <v>2062</v>
      </c>
      <c r="E116" t="s">
        <v>2063</v>
      </c>
      <c r="F116" t="s">
        <v>11</v>
      </c>
      <c r="G116">
        <v>2287.29</v>
      </c>
      <c r="H116" t="s">
        <v>2060</v>
      </c>
      <c r="I116" t="str">
        <f>VLOOKUP(B116,Customers!A:G,7,FALSE)</f>
        <v>Individual</v>
      </c>
      <c r="Q116" t="str">
        <f>IF(COUNTIF(Customers!$A$2:$A$1001,B116)&gt;0,"Valid","Invalid")</f>
        <v>Valid</v>
      </c>
      <c r="R116" t="str">
        <f>IF(COUNTIF(Branches!$A$2:$A$11,F116)&gt;0,"Valid","Invalid")</f>
        <v>Valid</v>
      </c>
    </row>
    <row r="117" spans="1:18" x14ac:dyDescent="0.25">
      <c r="A117" t="s">
        <v>2186</v>
      </c>
      <c r="B117" t="s">
        <v>64</v>
      </c>
      <c r="C117" s="8">
        <v>46196</v>
      </c>
      <c r="D117" t="s">
        <v>2058</v>
      </c>
      <c r="E117" t="s">
        <v>2063</v>
      </c>
      <c r="F117" t="s">
        <v>47</v>
      </c>
      <c r="G117">
        <v>2793.51</v>
      </c>
      <c r="H117" t="s">
        <v>2060</v>
      </c>
      <c r="I117" t="str">
        <f>VLOOKUP(B117,Customers!A:G,7,FALSE)</f>
        <v>SME</v>
      </c>
      <c r="Q117" t="str">
        <f>IF(COUNTIF(Customers!$A$2:$A$1001,B117)&gt;0,"Valid","Invalid")</f>
        <v>Valid</v>
      </c>
      <c r="R117" t="str">
        <f>IF(COUNTIF(Branches!$A$2:$A$11,F117)&gt;0,"Valid","Invalid")</f>
        <v>Valid</v>
      </c>
    </row>
    <row r="118" spans="1:18" x14ac:dyDescent="0.25">
      <c r="A118" t="s">
        <v>2187</v>
      </c>
      <c r="B118" t="s">
        <v>304</v>
      </c>
      <c r="C118" s="8">
        <v>46067</v>
      </c>
      <c r="D118" t="s">
        <v>2065</v>
      </c>
      <c r="E118" t="s">
        <v>2073</v>
      </c>
      <c r="F118" t="s">
        <v>29</v>
      </c>
      <c r="G118">
        <v>5362.07</v>
      </c>
      <c r="H118" t="s">
        <v>2060</v>
      </c>
      <c r="I118" t="str">
        <f>VLOOKUP(B118,Customers!A:G,7,FALSE)</f>
        <v>SME</v>
      </c>
      <c r="Q118" t="str">
        <f>IF(COUNTIF(Customers!$A$2:$A$1001,B118)&gt;0,"Valid","Invalid")</f>
        <v>Valid</v>
      </c>
      <c r="R118" t="str">
        <f>IF(COUNTIF(Branches!$A$2:$A$11,F118)&gt;0,"Valid","Invalid")</f>
        <v>Valid</v>
      </c>
    </row>
    <row r="119" spans="1:18" x14ac:dyDescent="0.25">
      <c r="A119" t="s">
        <v>2188</v>
      </c>
      <c r="B119" t="s">
        <v>366</v>
      </c>
      <c r="C119" s="8">
        <v>46146</v>
      </c>
      <c r="D119" t="s">
        <v>2070</v>
      </c>
      <c r="E119" t="s">
        <v>2063</v>
      </c>
      <c r="F119" t="s">
        <v>11</v>
      </c>
      <c r="G119">
        <v>881.15</v>
      </c>
      <c r="H119" t="s">
        <v>2060</v>
      </c>
      <c r="I119" t="str">
        <f>VLOOKUP(B119,Customers!A:G,7,FALSE)</f>
        <v>Corporate</v>
      </c>
      <c r="Q119" t="str">
        <f>IF(COUNTIF(Customers!$A$2:$A$1001,B119)&gt;0,"Valid","Invalid")</f>
        <v>Valid</v>
      </c>
      <c r="R119" t="str">
        <f>IF(COUNTIF(Branches!$A$2:$A$11,F119)&gt;0,"Valid","Invalid")</f>
        <v>Valid</v>
      </c>
    </row>
    <row r="120" spans="1:18" x14ac:dyDescent="0.25">
      <c r="A120" t="s">
        <v>2189</v>
      </c>
      <c r="B120" t="s">
        <v>530</v>
      </c>
      <c r="C120" s="8">
        <v>46048</v>
      </c>
      <c r="D120" t="s">
        <v>2058</v>
      </c>
      <c r="E120" t="s">
        <v>2073</v>
      </c>
      <c r="F120" t="s">
        <v>27</v>
      </c>
      <c r="G120">
        <v>295.01</v>
      </c>
      <c r="H120" t="s">
        <v>2060</v>
      </c>
      <c r="I120" t="str">
        <f>VLOOKUP(B120,Customers!A:G,7,FALSE)</f>
        <v>Individual</v>
      </c>
      <c r="Q120" t="str">
        <f>IF(COUNTIF(Customers!$A$2:$A$1001,B120)&gt;0,"Valid","Invalid")</f>
        <v>Valid</v>
      </c>
      <c r="R120" t="str">
        <f>IF(COUNTIF(Branches!$A$2:$A$11,F120)&gt;0,"Valid","Invalid")</f>
        <v>Valid</v>
      </c>
    </row>
    <row r="121" spans="1:18" x14ac:dyDescent="0.25">
      <c r="A121" t="s">
        <v>2190</v>
      </c>
      <c r="B121" t="s">
        <v>254</v>
      </c>
      <c r="C121" s="8">
        <v>46124</v>
      </c>
      <c r="D121" t="s">
        <v>2065</v>
      </c>
      <c r="E121" t="s">
        <v>2063</v>
      </c>
      <c r="F121" t="s">
        <v>29</v>
      </c>
      <c r="G121">
        <v>732.89</v>
      </c>
      <c r="H121" t="s">
        <v>2060</v>
      </c>
      <c r="I121" t="str">
        <f>VLOOKUP(B121,Customers!A:G,7,FALSE)</f>
        <v>Individual</v>
      </c>
      <c r="Q121" t="str">
        <f>IF(COUNTIF(Customers!$A$2:$A$1001,B121)&gt;0,"Valid","Invalid")</f>
        <v>Valid</v>
      </c>
      <c r="R121" t="str">
        <f>IF(COUNTIF(Branches!$A$2:$A$11,F121)&gt;0,"Valid","Invalid")</f>
        <v>Valid</v>
      </c>
    </row>
    <row r="122" spans="1:18" x14ac:dyDescent="0.25">
      <c r="A122" t="s">
        <v>2191</v>
      </c>
      <c r="B122" t="s">
        <v>358</v>
      </c>
      <c r="C122" s="8">
        <v>46073</v>
      </c>
      <c r="D122" t="s">
        <v>2062</v>
      </c>
      <c r="E122" t="s">
        <v>2063</v>
      </c>
      <c r="F122" t="s">
        <v>29</v>
      </c>
      <c r="G122">
        <v>460.97</v>
      </c>
      <c r="H122" t="s">
        <v>2060</v>
      </c>
      <c r="I122" t="str">
        <f>VLOOKUP(B122,Customers!A:G,7,FALSE)</f>
        <v>Individual</v>
      </c>
      <c r="Q122" t="str">
        <f>IF(COUNTIF(Customers!$A$2:$A$1001,B122)&gt;0,"Valid","Invalid")</f>
        <v>Valid</v>
      </c>
      <c r="R122" t="str">
        <f>IF(COUNTIF(Branches!$A$2:$A$11,F122)&gt;0,"Valid","Invalid")</f>
        <v>Valid</v>
      </c>
    </row>
    <row r="123" spans="1:18" x14ac:dyDescent="0.25">
      <c r="A123" t="s">
        <v>2192</v>
      </c>
      <c r="B123" t="s">
        <v>956</v>
      </c>
      <c r="C123" s="8">
        <v>46186</v>
      </c>
      <c r="D123" t="s">
        <v>2065</v>
      </c>
      <c r="E123" t="s">
        <v>2076</v>
      </c>
      <c r="F123" t="s">
        <v>29</v>
      </c>
      <c r="G123">
        <v>399.74</v>
      </c>
      <c r="H123" t="s">
        <v>2060</v>
      </c>
      <c r="I123" t="str">
        <f>VLOOKUP(B123,Customers!A:G,7,FALSE)</f>
        <v>SME</v>
      </c>
      <c r="Q123" t="str">
        <f>IF(COUNTIF(Customers!$A$2:$A$1001,B123)&gt;0,"Valid","Invalid")</f>
        <v>Valid</v>
      </c>
      <c r="R123" t="str">
        <f>IF(COUNTIF(Branches!$A$2:$A$11,F123)&gt;0,"Valid","Invalid")</f>
        <v>Valid</v>
      </c>
    </row>
    <row r="124" spans="1:18" x14ac:dyDescent="0.25">
      <c r="A124" t="s">
        <v>2193</v>
      </c>
      <c r="B124" t="s">
        <v>437</v>
      </c>
      <c r="C124" s="8">
        <v>46074</v>
      </c>
      <c r="D124" t="s">
        <v>2058</v>
      </c>
      <c r="E124" t="s">
        <v>2068</v>
      </c>
      <c r="F124" t="s">
        <v>47</v>
      </c>
      <c r="G124">
        <v>944.69</v>
      </c>
      <c r="H124" t="s">
        <v>2060</v>
      </c>
      <c r="I124" t="str">
        <f>VLOOKUP(B124,Customers!A:G,7,FALSE)</f>
        <v>Individual</v>
      </c>
      <c r="Q124" t="str">
        <f>IF(COUNTIF(Customers!$A$2:$A$1001,B124)&gt;0,"Valid","Invalid")</f>
        <v>Valid</v>
      </c>
      <c r="R124" t="str">
        <f>IF(COUNTIF(Branches!$A$2:$A$11,F124)&gt;0,"Valid","Invalid")</f>
        <v>Valid</v>
      </c>
    </row>
    <row r="125" spans="1:18" x14ac:dyDescent="0.25">
      <c r="A125" t="s">
        <v>2194</v>
      </c>
      <c r="B125" t="s">
        <v>929</v>
      </c>
      <c r="C125" s="8">
        <v>46231</v>
      </c>
      <c r="D125" t="s">
        <v>2067</v>
      </c>
      <c r="E125" t="s">
        <v>2059</v>
      </c>
      <c r="F125" t="s">
        <v>47</v>
      </c>
      <c r="G125">
        <v>594.84</v>
      </c>
      <c r="H125" t="s">
        <v>2060</v>
      </c>
      <c r="I125" t="str">
        <f>VLOOKUP(B125,Customers!A:G,7,FALSE)</f>
        <v>Individual</v>
      </c>
      <c r="Q125" t="str">
        <f>IF(COUNTIF(Customers!$A$2:$A$1001,B125)&gt;0,"Valid","Invalid")</f>
        <v>Valid</v>
      </c>
      <c r="R125" t="str">
        <f>IF(COUNTIF(Branches!$A$2:$A$11,F125)&gt;0,"Valid","Invalid")</f>
        <v>Valid</v>
      </c>
    </row>
    <row r="126" spans="1:18" x14ac:dyDescent="0.25">
      <c r="A126" t="s">
        <v>2195</v>
      </c>
      <c r="B126" t="s">
        <v>141</v>
      </c>
      <c r="C126" s="8">
        <v>46073</v>
      </c>
      <c r="D126" t="s">
        <v>2067</v>
      </c>
      <c r="E126" t="s">
        <v>2068</v>
      </c>
      <c r="F126" t="s">
        <v>27</v>
      </c>
      <c r="G126">
        <v>382.91</v>
      </c>
      <c r="H126" t="s">
        <v>2060</v>
      </c>
      <c r="I126" t="str">
        <f>VLOOKUP(B126,Customers!A:G,7,FALSE)</f>
        <v>Individual</v>
      </c>
      <c r="Q126" t="str">
        <f>IF(COUNTIF(Customers!$A$2:$A$1001,B126)&gt;0,"Valid","Invalid")</f>
        <v>Valid</v>
      </c>
      <c r="R126" t="str">
        <f>IF(COUNTIF(Branches!$A$2:$A$11,F126)&gt;0,"Valid","Invalid")</f>
        <v>Valid</v>
      </c>
    </row>
    <row r="127" spans="1:18" x14ac:dyDescent="0.25">
      <c r="A127" t="s">
        <v>2196</v>
      </c>
      <c r="B127" t="s">
        <v>734</v>
      </c>
      <c r="C127" s="8">
        <v>46153</v>
      </c>
      <c r="D127" t="s">
        <v>2062</v>
      </c>
      <c r="E127" t="s">
        <v>2063</v>
      </c>
      <c r="F127" t="s">
        <v>53</v>
      </c>
      <c r="G127">
        <v>635.62</v>
      </c>
      <c r="H127" t="s">
        <v>2060</v>
      </c>
      <c r="I127" t="str">
        <f>VLOOKUP(B127,Customers!A:G,7,FALSE)</f>
        <v>Individual</v>
      </c>
      <c r="Q127" t="str">
        <f>IF(COUNTIF(Customers!$A$2:$A$1001,B127)&gt;0,"Valid","Invalid")</f>
        <v>Valid</v>
      </c>
      <c r="R127" t="str">
        <f>IF(COUNTIF(Branches!$A$2:$A$11,F127)&gt;0,"Valid","Invalid")</f>
        <v>Valid</v>
      </c>
    </row>
    <row r="128" spans="1:18" x14ac:dyDescent="0.25">
      <c r="A128" t="s">
        <v>2197</v>
      </c>
      <c r="B128" t="s">
        <v>368</v>
      </c>
      <c r="C128" s="8">
        <v>46036</v>
      </c>
      <c r="D128" t="s">
        <v>2067</v>
      </c>
      <c r="E128" t="s">
        <v>2073</v>
      </c>
      <c r="F128" t="s">
        <v>11</v>
      </c>
      <c r="G128">
        <v>1406.67</v>
      </c>
      <c r="H128" t="s">
        <v>2060</v>
      </c>
      <c r="I128" t="str">
        <f>VLOOKUP(B128,Customers!A:G,7,FALSE)</f>
        <v>Individual</v>
      </c>
      <c r="Q128" t="str">
        <f>IF(COUNTIF(Customers!$A$2:$A$1001,B128)&gt;0,"Valid","Invalid")</f>
        <v>Valid</v>
      </c>
      <c r="R128" t="str">
        <f>IF(COUNTIF(Branches!$A$2:$A$11,F128)&gt;0,"Valid","Invalid")</f>
        <v>Valid</v>
      </c>
    </row>
    <row r="129" spans="1:18" x14ac:dyDescent="0.25">
      <c r="A129" t="s">
        <v>2198</v>
      </c>
      <c r="B129" t="s">
        <v>698</v>
      </c>
      <c r="C129" s="8">
        <v>46199</v>
      </c>
      <c r="D129" t="s">
        <v>2065</v>
      </c>
      <c r="E129" t="s">
        <v>2063</v>
      </c>
      <c r="F129" t="s">
        <v>45</v>
      </c>
      <c r="G129">
        <v>2114.17</v>
      </c>
      <c r="H129" t="s">
        <v>2060</v>
      </c>
      <c r="I129" t="str">
        <f>VLOOKUP(B129,Customers!A:G,7,FALSE)</f>
        <v>Individual</v>
      </c>
      <c r="Q129" t="str">
        <f>IF(COUNTIF(Customers!$A$2:$A$1001,B129)&gt;0,"Valid","Invalid")</f>
        <v>Valid</v>
      </c>
      <c r="R129" t="str">
        <f>IF(COUNTIF(Branches!$A$2:$A$11,F129)&gt;0,"Valid","Invalid")</f>
        <v>Valid</v>
      </c>
    </row>
    <row r="130" spans="1:18" x14ac:dyDescent="0.25">
      <c r="A130" t="s">
        <v>2199</v>
      </c>
      <c r="B130" t="s">
        <v>655</v>
      </c>
      <c r="C130" s="8">
        <v>46227</v>
      </c>
      <c r="D130" t="s">
        <v>2070</v>
      </c>
      <c r="E130" t="s">
        <v>2068</v>
      </c>
      <c r="F130" t="s">
        <v>27</v>
      </c>
      <c r="G130">
        <v>163.54</v>
      </c>
      <c r="H130" t="s">
        <v>2060</v>
      </c>
      <c r="I130" t="str">
        <f>VLOOKUP(B130,Customers!A:G,7,FALSE)</f>
        <v>Individual</v>
      </c>
      <c r="Q130" t="str">
        <f>IF(COUNTIF(Customers!$A$2:$A$1001,B130)&gt;0,"Valid","Invalid")</f>
        <v>Valid</v>
      </c>
      <c r="R130" t="str">
        <f>IF(COUNTIF(Branches!$A$2:$A$11,F130)&gt;0,"Valid","Invalid")</f>
        <v>Valid</v>
      </c>
    </row>
    <row r="131" spans="1:18" x14ac:dyDescent="0.25">
      <c r="A131" t="s">
        <v>2200</v>
      </c>
      <c r="B131" t="s">
        <v>83</v>
      </c>
      <c r="C131" s="8">
        <v>46255</v>
      </c>
      <c r="D131" t="s">
        <v>2070</v>
      </c>
      <c r="E131" t="s">
        <v>2059</v>
      </c>
      <c r="F131" t="s">
        <v>29</v>
      </c>
      <c r="G131">
        <v>599.91999999999996</v>
      </c>
      <c r="H131" t="s">
        <v>2060</v>
      </c>
      <c r="I131" t="str">
        <f>VLOOKUP(B131,Customers!A:G,7,FALSE)</f>
        <v>SME</v>
      </c>
      <c r="Q131" t="str">
        <f>IF(COUNTIF(Customers!$A$2:$A$1001,B131)&gt;0,"Valid","Invalid")</f>
        <v>Valid</v>
      </c>
      <c r="R131" t="str">
        <f>IF(COUNTIF(Branches!$A$2:$A$11,F131)&gt;0,"Valid","Invalid")</f>
        <v>Valid</v>
      </c>
    </row>
    <row r="132" spans="1:18" x14ac:dyDescent="0.25">
      <c r="A132" t="s">
        <v>2201</v>
      </c>
      <c r="B132" t="s">
        <v>637</v>
      </c>
      <c r="C132" s="8">
        <v>46241</v>
      </c>
      <c r="D132" t="s">
        <v>2058</v>
      </c>
      <c r="E132" t="s">
        <v>2068</v>
      </c>
      <c r="F132" t="s">
        <v>11</v>
      </c>
      <c r="G132">
        <v>705.32</v>
      </c>
      <c r="H132" t="s">
        <v>2060</v>
      </c>
      <c r="I132" t="str">
        <f>VLOOKUP(B132,Customers!A:G,7,FALSE)</f>
        <v>Individual</v>
      </c>
      <c r="Q132" t="str">
        <f>IF(COUNTIF(Customers!$A$2:$A$1001,B132)&gt;0,"Valid","Invalid")</f>
        <v>Valid</v>
      </c>
      <c r="R132" t="str">
        <f>IF(COUNTIF(Branches!$A$2:$A$11,F132)&gt;0,"Valid","Invalid")</f>
        <v>Valid</v>
      </c>
    </row>
    <row r="133" spans="1:18" x14ac:dyDescent="0.25">
      <c r="A133" t="s">
        <v>2202</v>
      </c>
      <c r="B133" t="s">
        <v>859</v>
      </c>
      <c r="C133" s="8">
        <v>46023</v>
      </c>
      <c r="D133" t="s">
        <v>2067</v>
      </c>
      <c r="E133" t="s">
        <v>2076</v>
      </c>
      <c r="F133" t="s">
        <v>16</v>
      </c>
      <c r="G133">
        <v>249.01</v>
      </c>
      <c r="H133" t="s">
        <v>2060</v>
      </c>
      <c r="I133" t="str">
        <f>VLOOKUP(B133,Customers!A:G,7,FALSE)</f>
        <v>Individual</v>
      </c>
      <c r="Q133" t="str">
        <f>IF(COUNTIF(Customers!$A$2:$A$1001,B133)&gt;0,"Valid","Invalid")</f>
        <v>Valid</v>
      </c>
      <c r="R133" t="str">
        <f>IF(COUNTIF(Branches!$A$2:$A$11,F133)&gt;0,"Valid","Invalid")</f>
        <v>Valid</v>
      </c>
    </row>
    <row r="134" spans="1:18" x14ac:dyDescent="0.25">
      <c r="A134" t="s">
        <v>2203</v>
      </c>
      <c r="B134" t="s">
        <v>987</v>
      </c>
      <c r="C134" s="8">
        <v>46207</v>
      </c>
      <c r="D134" t="s">
        <v>2065</v>
      </c>
      <c r="E134" t="s">
        <v>2063</v>
      </c>
      <c r="F134" t="s">
        <v>16</v>
      </c>
      <c r="G134">
        <v>720.75</v>
      </c>
      <c r="H134" t="s">
        <v>2060</v>
      </c>
      <c r="I134" t="str">
        <f>VLOOKUP(B134,Customers!A:G,7,FALSE)</f>
        <v>Individual</v>
      </c>
      <c r="Q134" t="str">
        <f>IF(COUNTIF(Customers!$A$2:$A$1001,B134)&gt;0,"Valid","Invalid")</f>
        <v>Valid</v>
      </c>
      <c r="R134" t="str">
        <f>IF(COUNTIF(Branches!$A$2:$A$11,F134)&gt;0,"Valid","Invalid")</f>
        <v>Valid</v>
      </c>
    </row>
    <row r="135" spans="1:18" x14ac:dyDescent="0.25">
      <c r="A135" t="s">
        <v>2204</v>
      </c>
      <c r="B135" t="s">
        <v>679</v>
      </c>
      <c r="C135" s="8">
        <v>46167</v>
      </c>
      <c r="D135" t="s">
        <v>2062</v>
      </c>
      <c r="E135" t="s">
        <v>2073</v>
      </c>
      <c r="F135" t="s">
        <v>47</v>
      </c>
      <c r="G135">
        <v>941.99</v>
      </c>
      <c r="H135" t="s">
        <v>2060</v>
      </c>
      <c r="I135" t="str">
        <f>VLOOKUP(B135,Customers!A:G,7,FALSE)</f>
        <v>Individual</v>
      </c>
      <c r="Q135" t="str">
        <f>IF(COUNTIF(Customers!$A$2:$A$1001,B135)&gt;0,"Valid","Invalid")</f>
        <v>Valid</v>
      </c>
      <c r="R135" t="str">
        <f>IF(COUNTIF(Branches!$A$2:$A$11,F135)&gt;0,"Valid","Invalid")</f>
        <v>Valid</v>
      </c>
    </row>
    <row r="136" spans="1:18" x14ac:dyDescent="0.25">
      <c r="A136" t="s">
        <v>2205</v>
      </c>
      <c r="B136" t="s">
        <v>808</v>
      </c>
      <c r="C136" s="8">
        <v>46262</v>
      </c>
      <c r="D136" t="s">
        <v>2065</v>
      </c>
      <c r="E136" t="s">
        <v>2063</v>
      </c>
      <c r="F136" t="s">
        <v>47</v>
      </c>
      <c r="G136">
        <v>1364.9</v>
      </c>
      <c r="H136" t="s">
        <v>2060</v>
      </c>
      <c r="I136" t="str">
        <f>VLOOKUP(B136,Customers!A:G,7,FALSE)</f>
        <v>Individual</v>
      </c>
      <c r="Q136" t="str">
        <f>IF(COUNTIF(Customers!$A$2:$A$1001,B136)&gt;0,"Valid","Invalid")</f>
        <v>Valid</v>
      </c>
      <c r="R136" t="str">
        <f>IF(COUNTIF(Branches!$A$2:$A$11,F136)&gt;0,"Valid","Invalid")</f>
        <v>Valid</v>
      </c>
    </row>
    <row r="137" spans="1:18" x14ac:dyDescent="0.25">
      <c r="A137" t="s">
        <v>2206</v>
      </c>
      <c r="B137" t="s">
        <v>352</v>
      </c>
      <c r="C137" s="8">
        <v>46200</v>
      </c>
      <c r="D137" t="s">
        <v>2065</v>
      </c>
      <c r="E137" t="s">
        <v>2063</v>
      </c>
      <c r="F137" t="s">
        <v>53</v>
      </c>
      <c r="G137">
        <v>877.57</v>
      </c>
      <c r="H137" t="s">
        <v>2060</v>
      </c>
      <c r="I137" t="str">
        <f>VLOOKUP(B137,Customers!A:G,7,FALSE)</f>
        <v>SME</v>
      </c>
      <c r="Q137" t="str">
        <f>IF(COUNTIF(Customers!$A$2:$A$1001,B137)&gt;0,"Valid","Invalid")</f>
        <v>Valid</v>
      </c>
      <c r="R137" t="str">
        <f>IF(COUNTIF(Branches!$A$2:$A$11,F137)&gt;0,"Valid","Invalid")</f>
        <v>Valid</v>
      </c>
    </row>
    <row r="138" spans="1:18" x14ac:dyDescent="0.25">
      <c r="A138" t="s">
        <v>2207</v>
      </c>
      <c r="B138" t="s">
        <v>183</v>
      </c>
      <c r="C138" s="8">
        <v>46248</v>
      </c>
      <c r="D138" t="s">
        <v>2058</v>
      </c>
      <c r="E138" t="s">
        <v>2068</v>
      </c>
      <c r="F138" t="s">
        <v>53</v>
      </c>
      <c r="G138">
        <v>336.65</v>
      </c>
      <c r="H138" t="s">
        <v>2060</v>
      </c>
      <c r="I138" t="str">
        <f>VLOOKUP(B138,Customers!A:G,7,FALSE)</f>
        <v>Corporate</v>
      </c>
      <c r="Q138" t="str">
        <f>IF(COUNTIF(Customers!$A$2:$A$1001,B138)&gt;0,"Valid","Invalid")</f>
        <v>Valid</v>
      </c>
      <c r="R138" t="str">
        <f>IF(COUNTIF(Branches!$A$2:$A$11,F138)&gt;0,"Valid","Invalid")</f>
        <v>Valid</v>
      </c>
    </row>
    <row r="139" spans="1:18" x14ac:dyDescent="0.25">
      <c r="A139" t="s">
        <v>2208</v>
      </c>
      <c r="B139" t="s">
        <v>996</v>
      </c>
      <c r="C139" s="8">
        <v>46036</v>
      </c>
      <c r="D139" t="s">
        <v>2065</v>
      </c>
      <c r="E139" t="s">
        <v>2063</v>
      </c>
      <c r="F139" t="s">
        <v>53</v>
      </c>
      <c r="G139">
        <v>6075.56</v>
      </c>
      <c r="H139" t="s">
        <v>2060</v>
      </c>
      <c r="I139" t="str">
        <f>VLOOKUP(B139,Customers!A:G,7,FALSE)</f>
        <v>Corporate</v>
      </c>
      <c r="Q139" t="str">
        <f>IF(COUNTIF(Customers!$A$2:$A$1001,B139)&gt;0,"Valid","Invalid")</f>
        <v>Valid</v>
      </c>
      <c r="R139" t="str">
        <f>IF(COUNTIF(Branches!$A$2:$A$11,F139)&gt;0,"Valid","Invalid")</f>
        <v>Valid</v>
      </c>
    </row>
    <row r="140" spans="1:18" x14ac:dyDescent="0.25">
      <c r="A140" t="s">
        <v>2209</v>
      </c>
      <c r="B140" t="s">
        <v>500</v>
      </c>
      <c r="C140" s="8">
        <v>46209</v>
      </c>
      <c r="D140" t="s">
        <v>2065</v>
      </c>
      <c r="E140" t="s">
        <v>2063</v>
      </c>
      <c r="F140" t="s">
        <v>27</v>
      </c>
      <c r="G140">
        <v>1861.48</v>
      </c>
      <c r="H140" t="s">
        <v>2060</v>
      </c>
      <c r="I140" t="str">
        <f>VLOOKUP(B140,Customers!A:G,7,FALSE)</f>
        <v>Student</v>
      </c>
      <c r="Q140" t="str">
        <f>IF(COUNTIF(Customers!$A$2:$A$1001,B140)&gt;0,"Valid","Invalid")</f>
        <v>Valid</v>
      </c>
      <c r="R140" t="str">
        <f>IF(COUNTIF(Branches!$A$2:$A$11,F140)&gt;0,"Valid","Invalid")</f>
        <v>Valid</v>
      </c>
    </row>
    <row r="141" spans="1:18" x14ac:dyDescent="0.25">
      <c r="A141" t="s">
        <v>2210</v>
      </c>
      <c r="B141" t="s">
        <v>622</v>
      </c>
      <c r="C141" s="8">
        <v>46103</v>
      </c>
      <c r="D141" t="s">
        <v>2067</v>
      </c>
      <c r="E141" t="s">
        <v>2059</v>
      </c>
      <c r="F141" t="s">
        <v>47</v>
      </c>
      <c r="G141">
        <v>1411.94</v>
      </c>
      <c r="H141" t="s">
        <v>2060</v>
      </c>
      <c r="I141" t="str">
        <f>VLOOKUP(B141,Customers!A:G,7,FALSE)</f>
        <v>Individual</v>
      </c>
      <c r="Q141" t="str">
        <f>IF(COUNTIF(Customers!$A$2:$A$1001,B141)&gt;0,"Valid","Invalid")</f>
        <v>Valid</v>
      </c>
      <c r="R141" t="str">
        <f>IF(COUNTIF(Branches!$A$2:$A$11,F141)&gt;0,"Valid","Invalid")</f>
        <v>Valid</v>
      </c>
    </row>
    <row r="142" spans="1:18" x14ac:dyDescent="0.25">
      <c r="A142" t="s">
        <v>2211</v>
      </c>
      <c r="B142" t="s">
        <v>524</v>
      </c>
      <c r="C142" s="8">
        <v>46025</v>
      </c>
      <c r="D142" t="s">
        <v>2065</v>
      </c>
      <c r="E142" t="s">
        <v>2068</v>
      </c>
      <c r="F142" t="s">
        <v>29</v>
      </c>
      <c r="G142">
        <v>2219.04</v>
      </c>
      <c r="H142" t="s">
        <v>2060</v>
      </c>
      <c r="I142" t="str">
        <f>VLOOKUP(B142,Customers!A:G,7,FALSE)</f>
        <v>SME</v>
      </c>
      <c r="Q142" t="str">
        <f>IF(COUNTIF(Customers!$A$2:$A$1001,B142)&gt;0,"Valid","Invalid")</f>
        <v>Valid</v>
      </c>
      <c r="R142" t="str">
        <f>IF(COUNTIF(Branches!$A$2:$A$11,F142)&gt;0,"Valid","Invalid")</f>
        <v>Valid</v>
      </c>
    </row>
    <row r="143" spans="1:18" x14ac:dyDescent="0.25">
      <c r="A143" t="s">
        <v>2212</v>
      </c>
      <c r="B143" t="s">
        <v>690</v>
      </c>
      <c r="C143" s="8">
        <v>46120</v>
      </c>
      <c r="D143" t="s">
        <v>2065</v>
      </c>
      <c r="E143" t="s">
        <v>2063</v>
      </c>
      <c r="F143" t="s">
        <v>27</v>
      </c>
      <c r="G143">
        <v>1037.54</v>
      </c>
      <c r="H143" t="s">
        <v>2060</v>
      </c>
      <c r="I143" t="str">
        <f>VLOOKUP(B143,Customers!A:G,7,FALSE)</f>
        <v>Individual</v>
      </c>
      <c r="Q143" t="str">
        <f>IF(COUNTIF(Customers!$A$2:$A$1001,B143)&gt;0,"Valid","Invalid")</f>
        <v>Valid</v>
      </c>
      <c r="R143" t="str">
        <f>IF(COUNTIF(Branches!$A$2:$A$11,F143)&gt;0,"Valid","Invalid")</f>
        <v>Valid</v>
      </c>
    </row>
    <row r="144" spans="1:18" x14ac:dyDescent="0.25">
      <c r="A144" t="s">
        <v>2213</v>
      </c>
      <c r="B144" t="s">
        <v>448</v>
      </c>
      <c r="C144" s="8">
        <v>46062</v>
      </c>
      <c r="D144" t="s">
        <v>2065</v>
      </c>
      <c r="E144" t="s">
        <v>2059</v>
      </c>
      <c r="F144" t="s">
        <v>16</v>
      </c>
      <c r="G144">
        <v>2940.4</v>
      </c>
      <c r="H144" t="s">
        <v>2060</v>
      </c>
      <c r="I144" t="str">
        <f>VLOOKUP(B144,Customers!A:G,7,FALSE)</f>
        <v>Student</v>
      </c>
      <c r="Q144" t="str">
        <f>IF(COUNTIF(Customers!$A$2:$A$1001,B144)&gt;0,"Valid","Invalid")</f>
        <v>Valid</v>
      </c>
      <c r="R144" t="str">
        <f>IF(COUNTIF(Branches!$A$2:$A$11,F144)&gt;0,"Valid","Invalid")</f>
        <v>Valid</v>
      </c>
    </row>
    <row r="145" spans="1:18" x14ac:dyDescent="0.25">
      <c r="A145" t="s">
        <v>2214</v>
      </c>
      <c r="B145" t="s">
        <v>61</v>
      </c>
      <c r="C145" s="8">
        <v>46111</v>
      </c>
      <c r="D145" t="s">
        <v>2065</v>
      </c>
      <c r="E145" t="s">
        <v>2076</v>
      </c>
      <c r="F145" t="s">
        <v>29</v>
      </c>
      <c r="G145">
        <v>859.95</v>
      </c>
      <c r="H145" t="s">
        <v>2060</v>
      </c>
      <c r="I145" t="str">
        <f>VLOOKUP(B145,Customers!A:G,7,FALSE)</f>
        <v>Student</v>
      </c>
      <c r="Q145" t="str">
        <f>IF(COUNTIF(Customers!$A$2:$A$1001,B145)&gt;0,"Valid","Invalid")</f>
        <v>Valid</v>
      </c>
      <c r="R145" t="str">
        <f>IF(COUNTIF(Branches!$A$2:$A$11,F145)&gt;0,"Valid","Invalid")</f>
        <v>Valid</v>
      </c>
    </row>
    <row r="146" spans="1:18" x14ac:dyDescent="0.25">
      <c r="A146" t="s">
        <v>2215</v>
      </c>
      <c r="B146" t="s">
        <v>63</v>
      </c>
      <c r="C146" s="8">
        <v>46147</v>
      </c>
      <c r="D146" t="s">
        <v>2062</v>
      </c>
      <c r="E146" t="s">
        <v>2068</v>
      </c>
      <c r="F146" t="s">
        <v>39</v>
      </c>
      <c r="G146">
        <v>813.83</v>
      </c>
      <c r="H146" t="s">
        <v>2060</v>
      </c>
      <c r="I146" t="str">
        <f>VLOOKUP(B146,Customers!A:G,7,FALSE)</f>
        <v>Individual</v>
      </c>
      <c r="Q146" t="str">
        <f>IF(COUNTIF(Customers!$A$2:$A$1001,B146)&gt;0,"Valid","Invalid")</f>
        <v>Valid</v>
      </c>
      <c r="R146" t="str">
        <f>IF(COUNTIF(Branches!$A$2:$A$11,F146)&gt;0,"Valid","Invalid")</f>
        <v>Valid</v>
      </c>
    </row>
    <row r="147" spans="1:18" x14ac:dyDescent="0.25">
      <c r="A147" t="s">
        <v>2216</v>
      </c>
      <c r="B147" t="s">
        <v>309</v>
      </c>
      <c r="C147" s="8">
        <v>46216</v>
      </c>
      <c r="D147" t="s">
        <v>2062</v>
      </c>
      <c r="E147" t="s">
        <v>2073</v>
      </c>
      <c r="F147" t="s">
        <v>53</v>
      </c>
      <c r="G147">
        <v>1533.38</v>
      </c>
      <c r="H147" t="s">
        <v>2060</v>
      </c>
      <c r="I147" t="str">
        <f>VLOOKUP(B147,Customers!A:G,7,FALSE)</f>
        <v>SME</v>
      </c>
      <c r="Q147" t="str">
        <f>IF(COUNTIF(Customers!$A$2:$A$1001,B147)&gt;0,"Valid","Invalid")</f>
        <v>Valid</v>
      </c>
      <c r="R147" t="str">
        <f>IF(COUNTIF(Branches!$A$2:$A$11,F147)&gt;0,"Valid","Invalid")</f>
        <v>Valid</v>
      </c>
    </row>
    <row r="148" spans="1:18" x14ac:dyDescent="0.25">
      <c r="A148" t="s">
        <v>2217</v>
      </c>
      <c r="B148" t="s">
        <v>724</v>
      </c>
      <c r="C148" s="8">
        <v>46184</v>
      </c>
      <c r="D148" t="s">
        <v>2067</v>
      </c>
      <c r="E148" t="s">
        <v>2068</v>
      </c>
      <c r="F148" t="s">
        <v>11</v>
      </c>
      <c r="G148">
        <v>3929.85</v>
      </c>
      <c r="H148" t="s">
        <v>2060</v>
      </c>
      <c r="I148" t="str">
        <f>VLOOKUP(B148,Customers!A:G,7,FALSE)</f>
        <v>SME</v>
      </c>
      <c r="Q148" t="str">
        <f>IF(COUNTIF(Customers!$A$2:$A$1001,B148)&gt;0,"Valid","Invalid")</f>
        <v>Valid</v>
      </c>
      <c r="R148" t="str">
        <f>IF(COUNTIF(Branches!$A$2:$A$11,F148)&gt;0,"Valid","Invalid")</f>
        <v>Valid</v>
      </c>
    </row>
    <row r="149" spans="1:18" x14ac:dyDescent="0.25">
      <c r="A149" t="s">
        <v>2218</v>
      </c>
      <c r="B149" t="s">
        <v>539</v>
      </c>
      <c r="C149" s="8">
        <v>46240</v>
      </c>
      <c r="D149" t="s">
        <v>2058</v>
      </c>
      <c r="E149" t="s">
        <v>2076</v>
      </c>
      <c r="F149" t="s">
        <v>35</v>
      </c>
      <c r="G149">
        <v>3685.08</v>
      </c>
      <c r="H149" t="s">
        <v>2060</v>
      </c>
      <c r="I149" t="str">
        <f>VLOOKUP(B149,Customers!A:G,7,FALSE)</f>
        <v>SME</v>
      </c>
      <c r="Q149" t="str">
        <f>IF(COUNTIF(Customers!$A$2:$A$1001,B149)&gt;0,"Valid","Invalid")</f>
        <v>Valid</v>
      </c>
      <c r="R149" t="str">
        <f>IF(COUNTIF(Branches!$A$2:$A$11,F149)&gt;0,"Valid","Invalid")</f>
        <v>Valid</v>
      </c>
    </row>
    <row r="150" spans="1:18" x14ac:dyDescent="0.25">
      <c r="A150" t="s">
        <v>2219</v>
      </c>
      <c r="B150" t="s">
        <v>291</v>
      </c>
      <c r="C150" s="8">
        <v>46117</v>
      </c>
      <c r="D150" t="s">
        <v>2065</v>
      </c>
      <c r="E150" t="s">
        <v>2059</v>
      </c>
      <c r="F150" t="s">
        <v>53</v>
      </c>
      <c r="G150">
        <v>1469.75</v>
      </c>
      <c r="H150" t="s">
        <v>2060</v>
      </c>
      <c r="I150" t="str">
        <f>VLOOKUP(B150,Customers!A:G,7,FALSE)</f>
        <v>Individual</v>
      </c>
      <c r="Q150" t="str">
        <f>IF(COUNTIF(Customers!$A$2:$A$1001,B150)&gt;0,"Valid","Invalid")</f>
        <v>Valid</v>
      </c>
      <c r="R150" t="str">
        <f>IF(COUNTIF(Branches!$A$2:$A$11,F150)&gt;0,"Valid","Invalid")</f>
        <v>Valid</v>
      </c>
    </row>
    <row r="151" spans="1:18" x14ac:dyDescent="0.25">
      <c r="A151" t="s">
        <v>2220</v>
      </c>
      <c r="B151" t="s">
        <v>423</v>
      </c>
      <c r="C151" s="8">
        <v>46031</v>
      </c>
      <c r="D151" t="s">
        <v>2065</v>
      </c>
      <c r="E151" t="s">
        <v>2063</v>
      </c>
      <c r="F151" t="s">
        <v>27</v>
      </c>
      <c r="G151">
        <v>1361.87</v>
      </c>
      <c r="H151" t="s">
        <v>2060</v>
      </c>
      <c r="I151" t="str">
        <f>VLOOKUP(B151,Customers!A:G,7,FALSE)</f>
        <v>Individual</v>
      </c>
      <c r="Q151" t="str">
        <f>IF(COUNTIF(Customers!$A$2:$A$1001,B151)&gt;0,"Valid","Invalid")</f>
        <v>Valid</v>
      </c>
      <c r="R151" t="str">
        <f>IF(COUNTIF(Branches!$A$2:$A$11,F151)&gt;0,"Valid","Invalid")</f>
        <v>Valid</v>
      </c>
    </row>
    <row r="152" spans="1:18" x14ac:dyDescent="0.25">
      <c r="A152" t="s">
        <v>2221</v>
      </c>
      <c r="B152" t="s">
        <v>96</v>
      </c>
      <c r="C152" s="8">
        <v>46116</v>
      </c>
      <c r="D152" t="s">
        <v>2065</v>
      </c>
      <c r="E152" t="s">
        <v>8702</v>
      </c>
      <c r="F152" t="s">
        <v>53</v>
      </c>
      <c r="G152">
        <v>1629.52</v>
      </c>
      <c r="H152" t="s">
        <v>2060</v>
      </c>
      <c r="I152" t="str">
        <f>VLOOKUP(B152,Customers!A:G,7,FALSE)</f>
        <v>Individual</v>
      </c>
      <c r="Q152" t="str">
        <f>IF(COUNTIF(Customers!$A$2:$A$1001,B152)&gt;0,"Valid","Invalid")</f>
        <v>Valid</v>
      </c>
      <c r="R152" t="str">
        <f>IF(COUNTIF(Branches!$A$2:$A$11,F152)&gt;0,"Valid","Invalid")</f>
        <v>Valid</v>
      </c>
    </row>
    <row r="153" spans="1:18" x14ac:dyDescent="0.25">
      <c r="A153" t="s">
        <v>2223</v>
      </c>
      <c r="B153" t="s">
        <v>143</v>
      </c>
      <c r="C153" s="8">
        <v>46106</v>
      </c>
      <c r="D153" t="s">
        <v>2058</v>
      </c>
      <c r="E153" t="s">
        <v>2073</v>
      </c>
      <c r="F153" t="s">
        <v>29</v>
      </c>
      <c r="G153">
        <v>2176.8200000000002</v>
      </c>
      <c r="H153" t="s">
        <v>2060</v>
      </c>
      <c r="I153" t="str">
        <f>VLOOKUP(B153,Customers!A:G,7,FALSE)</f>
        <v>SME</v>
      </c>
      <c r="Q153" t="str">
        <f>IF(COUNTIF(Customers!$A$2:$A$1001,B153)&gt;0,"Valid","Invalid")</f>
        <v>Valid</v>
      </c>
      <c r="R153" t="str">
        <f>IF(COUNTIF(Branches!$A$2:$A$11,F153)&gt;0,"Valid","Invalid")</f>
        <v>Valid</v>
      </c>
    </row>
    <row r="154" spans="1:18" x14ac:dyDescent="0.25">
      <c r="A154" t="s">
        <v>2224</v>
      </c>
      <c r="B154" t="s">
        <v>257</v>
      </c>
      <c r="C154" s="8">
        <v>46043</v>
      </c>
      <c r="D154" t="s">
        <v>2062</v>
      </c>
      <c r="E154" t="s">
        <v>2076</v>
      </c>
      <c r="F154" t="s">
        <v>27</v>
      </c>
      <c r="G154">
        <v>2977.18</v>
      </c>
      <c r="H154" t="s">
        <v>2060</v>
      </c>
      <c r="I154" t="str">
        <f>VLOOKUP(B154,Customers!A:G,7,FALSE)</f>
        <v>Corporate</v>
      </c>
      <c r="Q154" t="str">
        <f>IF(COUNTIF(Customers!$A$2:$A$1001,B154)&gt;0,"Valid","Invalid")</f>
        <v>Valid</v>
      </c>
      <c r="R154" t="str">
        <f>IF(COUNTIF(Branches!$A$2:$A$11,F154)&gt;0,"Valid","Invalid")</f>
        <v>Valid</v>
      </c>
    </row>
    <row r="155" spans="1:18" x14ac:dyDescent="0.25">
      <c r="A155" t="s">
        <v>2225</v>
      </c>
      <c r="B155" t="s">
        <v>479</v>
      </c>
      <c r="C155" s="8">
        <v>46243</v>
      </c>
      <c r="D155" t="s">
        <v>2058</v>
      </c>
      <c r="E155" t="s">
        <v>2063</v>
      </c>
      <c r="F155" t="s">
        <v>53</v>
      </c>
      <c r="G155">
        <v>641.25</v>
      </c>
      <c r="H155" t="s">
        <v>2060</v>
      </c>
      <c r="I155" t="str">
        <f>VLOOKUP(B155,Customers!A:G,7,FALSE)</f>
        <v>Individual</v>
      </c>
      <c r="Q155" t="str">
        <f>IF(COUNTIF(Customers!$A$2:$A$1001,B155)&gt;0,"Valid","Invalid")</f>
        <v>Valid</v>
      </c>
      <c r="R155" t="str">
        <f>IF(COUNTIF(Branches!$A$2:$A$11,F155)&gt;0,"Valid","Invalid")</f>
        <v>Valid</v>
      </c>
    </row>
    <row r="156" spans="1:18" x14ac:dyDescent="0.25">
      <c r="A156" t="s">
        <v>2226</v>
      </c>
      <c r="B156" t="s">
        <v>809</v>
      </c>
      <c r="C156" s="8">
        <v>46047</v>
      </c>
      <c r="D156" t="s">
        <v>2067</v>
      </c>
      <c r="E156" t="s">
        <v>2059</v>
      </c>
      <c r="F156" t="s">
        <v>29</v>
      </c>
      <c r="G156">
        <v>3035.29</v>
      </c>
      <c r="H156" t="s">
        <v>2060</v>
      </c>
      <c r="I156" t="str">
        <f>VLOOKUP(B156,Customers!A:G,7,FALSE)</f>
        <v>SME</v>
      </c>
      <c r="Q156" t="str">
        <f>IF(COUNTIF(Customers!$A$2:$A$1001,B156)&gt;0,"Valid","Invalid")</f>
        <v>Valid</v>
      </c>
      <c r="R156" t="str">
        <f>IF(COUNTIF(Branches!$A$2:$A$11,F156)&gt;0,"Valid","Invalid")</f>
        <v>Valid</v>
      </c>
    </row>
    <row r="157" spans="1:18" x14ac:dyDescent="0.25">
      <c r="A157" t="s">
        <v>2227</v>
      </c>
      <c r="B157" t="s">
        <v>921</v>
      </c>
      <c r="C157" s="8">
        <v>46124</v>
      </c>
      <c r="D157" t="s">
        <v>2065</v>
      </c>
      <c r="E157" t="s">
        <v>2076</v>
      </c>
      <c r="F157" t="s">
        <v>27</v>
      </c>
      <c r="G157">
        <v>1144.81</v>
      </c>
      <c r="H157" t="s">
        <v>2060</v>
      </c>
      <c r="I157" t="str">
        <f>VLOOKUP(B157,Customers!A:G,7,FALSE)</f>
        <v>Individual</v>
      </c>
      <c r="Q157" t="str">
        <f>IF(COUNTIF(Customers!$A$2:$A$1001,B157)&gt;0,"Valid","Invalid")</f>
        <v>Valid</v>
      </c>
      <c r="R157" t="str">
        <f>IF(COUNTIF(Branches!$A$2:$A$11,F157)&gt;0,"Valid","Invalid")</f>
        <v>Valid</v>
      </c>
    </row>
    <row r="158" spans="1:18" x14ac:dyDescent="0.25">
      <c r="A158" t="s">
        <v>2228</v>
      </c>
      <c r="B158" t="s">
        <v>696</v>
      </c>
      <c r="C158" s="8">
        <v>46144</v>
      </c>
      <c r="D158" t="s">
        <v>2062</v>
      </c>
      <c r="E158" t="s">
        <v>2076</v>
      </c>
      <c r="F158" t="s">
        <v>29</v>
      </c>
      <c r="G158">
        <v>1557.65</v>
      </c>
      <c r="H158" t="s">
        <v>2060</v>
      </c>
      <c r="I158" t="str">
        <f>VLOOKUP(B158,Customers!A:G,7,FALSE)</f>
        <v>Individual</v>
      </c>
      <c r="Q158" t="str">
        <f>IF(COUNTIF(Customers!$A$2:$A$1001,B158)&gt;0,"Valid","Invalid")</f>
        <v>Valid</v>
      </c>
      <c r="R158" t="str">
        <f>IF(COUNTIF(Branches!$A$2:$A$11,F158)&gt;0,"Valid","Invalid")</f>
        <v>Valid</v>
      </c>
    </row>
    <row r="159" spans="1:18" x14ac:dyDescent="0.25">
      <c r="A159" t="s">
        <v>2229</v>
      </c>
      <c r="B159" t="s">
        <v>602</v>
      </c>
      <c r="C159" s="8">
        <v>46194</v>
      </c>
      <c r="D159" t="s">
        <v>2067</v>
      </c>
      <c r="E159" t="s">
        <v>2076</v>
      </c>
      <c r="F159" t="s">
        <v>47</v>
      </c>
      <c r="G159">
        <v>3235.53</v>
      </c>
      <c r="H159" t="s">
        <v>2060</v>
      </c>
      <c r="I159" t="str">
        <f>VLOOKUP(B159,Customers!A:G,7,FALSE)</f>
        <v>Student</v>
      </c>
      <c r="Q159" t="str">
        <f>IF(COUNTIF(Customers!$A$2:$A$1001,B159)&gt;0,"Valid","Invalid")</f>
        <v>Valid</v>
      </c>
      <c r="R159" t="str">
        <f>IF(COUNTIF(Branches!$A$2:$A$11,F159)&gt;0,"Valid","Invalid")</f>
        <v>Valid</v>
      </c>
    </row>
    <row r="160" spans="1:18" x14ac:dyDescent="0.25">
      <c r="A160" t="s">
        <v>2230</v>
      </c>
      <c r="B160" t="s">
        <v>610</v>
      </c>
      <c r="C160" s="8">
        <v>46047</v>
      </c>
      <c r="D160" t="s">
        <v>2062</v>
      </c>
      <c r="E160" t="s">
        <v>2059</v>
      </c>
      <c r="F160" t="s">
        <v>45</v>
      </c>
      <c r="G160">
        <v>1714.82</v>
      </c>
      <c r="H160" t="s">
        <v>2060</v>
      </c>
      <c r="I160" t="str">
        <f>VLOOKUP(B160,Customers!A:G,7,FALSE)</f>
        <v>Student</v>
      </c>
      <c r="Q160" t="str">
        <f>IF(COUNTIF(Customers!$A$2:$A$1001,B160)&gt;0,"Valid","Invalid")</f>
        <v>Valid</v>
      </c>
      <c r="R160" t="str">
        <f>IF(COUNTIF(Branches!$A$2:$A$11,F160)&gt;0,"Valid","Invalid")</f>
        <v>Valid</v>
      </c>
    </row>
    <row r="161" spans="1:18" x14ac:dyDescent="0.25">
      <c r="A161" t="s">
        <v>2231</v>
      </c>
      <c r="B161" t="s">
        <v>584</v>
      </c>
      <c r="C161" s="8">
        <v>46159</v>
      </c>
      <c r="D161" t="s">
        <v>2058</v>
      </c>
      <c r="E161" t="s">
        <v>2063</v>
      </c>
      <c r="F161" t="s">
        <v>29</v>
      </c>
      <c r="G161">
        <v>2030.42</v>
      </c>
      <c r="H161" t="s">
        <v>2060</v>
      </c>
      <c r="I161" t="str">
        <f>VLOOKUP(B161,Customers!A:G,7,FALSE)</f>
        <v>SME</v>
      </c>
      <c r="Q161" t="str">
        <f>IF(COUNTIF(Customers!$A$2:$A$1001,B161)&gt;0,"Valid","Invalid")</f>
        <v>Valid</v>
      </c>
      <c r="R161" t="str">
        <f>IF(COUNTIF(Branches!$A$2:$A$11,F161)&gt;0,"Valid","Invalid")</f>
        <v>Valid</v>
      </c>
    </row>
    <row r="162" spans="1:18" x14ac:dyDescent="0.25">
      <c r="A162" t="s">
        <v>2232</v>
      </c>
      <c r="B162" t="s">
        <v>132</v>
      </c>
      <c r="C162" s="8">
        <v>46125</v>
      </c>
      <c r="D162" t="s">
        <v>2062</v>
      </c>
      <c r="E162" t="s">
        <v>2073</v>
      </c>
      <c r="F162" t="s">
        <v>39</v>
      </c>
      <c r="G162">
        <v>550.36</v>
      </c>
      <c r="H162" t="s">
        <v>2060</v>
      </c>
      <c r="I162" t="str">
        <f>VLOOKUP(B162,Customers!A:G,7,FALSE)</f>
        <v>Individual</v>
      </c>
      <c r="Q162" t="str">
        <f>IF(COUNTIF(Customers!$A$2:$A$1001,B162)&gt;0,"Valid","Invalid")</f>
        <v>Valid</v>
      </c>
      <c r="R162" t="str">
        <f>IF(COUNTIF(Branches!$A$2:$A$11,F162)&gt;0,"Valid","Invalid")</f>
        <v>Valid</v>
      </c>
    </row>
    <row r="163" spans="1:18" x14ac:dyDescent="0.25">
      <c r="A163" t="s">
        <v>2233</v>
      </c>
      <c r="B163" t="s">
        <v>1027</v>
      </c>
      <c r="C163" s="8">
        <v>46212</v>
      </c>
      <c r="D163" t="s">
        <v>2062</v>
      </c>
      <c r="E163" t="s">
        <v>2076</v>
      </c>
      <c r="F163" t="s">
        <v>16</v>
      </c>
      <c r="G163">
        <v>3634.81</v>
      </c>
      <c r="H163" t="s">
        <v>2060</v>
      </c>
      <c r="I163" t="str">
        <f>VLOOKUP(B163,Customers!A:G,7,FALSE)</f>
        <v>Individual</v>
      </c>
      <c r="Q163" t="str">
        <f>IF(COUNTIF(Customers!$A$2:$A$1001,B163)&gt;0,"Valid","Invalid")</f>
        <v>Valid</v>
      </c>
      <c r="R163" t="str">
        <f>IF(COUNTIF(Branches!$A$2:$A$11,F163)&gt;0,"Valid","Invalid")</f>
        <v>Valid</v>
      </c>
    </row>
    <row r="164" spans="1:18" x14ac:dyDescent="0.25">
      <c r="A164" t="s">
        <v>2234</v>
      </c>
      <c r="B164" t="s">
        <v>125</v>
      </c>
      <c r="C164" s="8">
        <v>46258</v>
      </c>
      <c r="D164" t="s">
        <v>2070</v>
      </c>
      <c r="E164" t="s">
        <v>2063</v>
      </c>
      <c r="F164" t="s">
        <v>47</v>
      </c>
      <c r="G164">
        <v>1628.94</v>
      </c>
      <c r="H164" t="s">
        <v>2060</v>
      </c>
      <c r="I164" t="str">
        <f>VLOOKUP(B164,Customers!A:G,7,FALSE)</f>
        <v>Individual</v>
      </c>
      <c r="Q164" t="str">
        <f>IF(COUNTIF(Customers!$A$2:$A$1001,B164)&gt;0,"Valid","Invalid")</f>
        <v>Valid</v>
      </c>
      <c r="R164" t="str">
        <f>IF(COUNTIF(Branches!$A$2:$A$11,F164)&gt;0,"Valid","Invalid")</f>
        <v>Valid</v>
      </c>
    </row>
    <row r="165" spans="1:18" x14ac:dyDescent="0.25">
      <c r="A165" t="s">
        <v>2235</v>
      </c>
      <c r="B165" t="s">
        <v>866</v>
      </c>
      <c r="C165" s="8">
        <v>46176</v>
      </c>
      <c r="D165" t="s">
        <v>2058</v>
      </c>
      <c r="E165" t="s">
        <v>2063</v>
      </c>
      <c r="F165" t="s">
        <v>53</v>
      </c>
      <c r="G165">
        <v>921.56</v>
      </c>
      <c r="H165" t="s">
        <v>2060</v>
      </c>
      <c r="I165" t="str">
        <f>VLOOKUP(B165,Customers!A:G,7,FALSE)</f>
        <v>Individual</v>
      </c>
      <c r="Q165" t="str">
        <f>IF(COUNTIF(Customers!$A$2:$A$1001,B165)&gt;0,"Valid","Invalid")</f>
        <v>Valid</v>
      </c>
      <c r="R165" t="str">
        <f>IF(COUNTIF(Branches!$A$2:$A$11,F165)&gt;0,"Valid","Invalid")</f>
        <v>Valid</v>
      </c>
    </row>
    <row r="166" spans="1:18" x14ac:dyDescent="0.25">
      <c r="A166" t="s">
        <v>2236</v>
      </c>
      <c r="B166" t="s">
        <v>960</v>
      </c>
      <c r="C166" s="8">
        <v>46079</v>
      </c>
      <c r="D166" t="s">
        <v>2058</v>
      </c>
      <c r="E166" t="s">
        <v>2073</v>
      </c>
      <c r="F166" t="s">
        <v>27</v>
      </c>
      <c r="G166">
        <v>2443.23</v>
      </c>
      <c r="H166" t="s">
        <v>2060</v>
      </c>
      <c r="I166" t="str">
        <f>VLOOKUP(B166,Customers!A:G,7,FALSE)</f>
        <v>Corporate</v>
      </c>
      <c r="Q166" t="str">
        <f>IF(COUNTIF(Customers!$A$2:$A$1001,B166)&gt;0,"Valid","Invalid")</f>
        <v>Valid</v>
      </c>
      <c r="R166" t="str">
        <f>IF(COUNTIF(Branches!$A$2:$A$11,F166)&gt;0,"Valid","Invalid")</f>
        <v>Valid</v>
      </c>
    </row>
    <row r="167" spans="1:18" x14ac:dyDescent="0.25">
      <c r="A167" t="s">
        <v>2237</v>
      </c>
      <c r="B167" t="s">
        <v>268</v>
      </c>
      <c r="C167" s="8">
        <v>46059</v>
      </c>
      <c r="D167" t="s">
        <v>2065</v>
      </c>
      <c r="E167" t="s">
        <v>2068</v>
      </c>
      <c r="F167" t="s">
        <v>53</v>
      </c>
      <c r="G167">
        <v>10805.72</v>
      </c>
      <c r="H167" t="s">
        <v>2060</v>
      </c>
      <c r="I167" t="str">
        <f>VLOOKUP(B167,Customers!A:G,7,FALSE)</f>
        <v>Individual</v>
      </c>
      <c r="Q167" t="str">
        <f>IF(COUNTIF(Customers!$A$2:$A$1001,B167)&gt;0,"Valid","Invalid")</f>
        <v>Valid</v>
      </c>
      <c r="R167" t="str">
        <f>IF(COUNTIF(Branches!$A$2:$A$11,F167)&gt;0,"Valid","Invalid")</f>
        <v>Valid</v>
      </c>
    </row>
    <row r="168" spans="1:18" x14ac:dyDescent="0.25">
      <c r="A168" t="s">
        <v>2238</v>
      </c>
      <c r="B168" t="s">
        <v>1006</v>
      </c>
      <c r="C168" s="8">
        <v>46038</v>
      </c>
      <c r="D168" t="s">
        <v>2070</v>
      </c>
      <c r="E168" t="s">
        <v>2059</v>
      </c>
      <c r="F168" t="s">
        <v>39</v>
      </c>
      <c r="G168">
        <v>252.42</v>
      </c>
      <c r="H168" t="s">
        <v>2060</v>
      </c>
      <c r="I168" t="str">
        <f>VLOOKUP(B168,Customers!A:G,7,FALSE)</f>
        <v>Individual</v>
      </c>
      <c r="Q168" t="str">
        <f>IF(COUNTIF(Customers!$A$2:$A$1001,B168)&gt;0,"Valid","Invalid")</f>
        <v>Valid</v>
      </c>
      <c r="R168" t="str">
        <f>IF(COUNTIF(Branches!$A$2:$A$11,F168)&gt;0,"Valid","Invalid")</f>
        <v>Valid</v>
      </c>
    </row>
    <row r="169" spans="1:18" x14ac:dyDescent="0.25">
      <c r="A169" t="s">
        <v>2239</v>
      </c>
      <c r="B169" t="s">
        <v>313</v>
      </c>
      <c r="C169" s="8">
        <v>46059</v>
      </c>
      <c r="D169" t="s">
        <v>2067</v>
      </c>
      <c r="E169" t="s">
        <v>2063</v>
      </c>
      <c r="F169" t="s">
        <v>11</v>
      </c>
      <c r="G169">
        <v>363.68</v>
      </c>
      <c r="H169" t="s">
        <v>2060</v>
      </c>
      <c r="I169" t="str">
        <f>VLOOKUP(B169,Customers!A:G,7,FALSE)</f>
        <v>SME</v>
      </c>
      <c r="Q169" t="str">
        <f>IF(COUNTIF(Customers!$A$2:$A$1001,B169)&gt;0,"Valid","Invalid")</f>
        <v>Valid</v>
      </c>
      <c r="R169" t="str">
        <f>IF(COUNTIF(Branches!$A$2:$A$11,F169)&gt;0,"Valid","Invalid")</f>
        <v>Valid</v>
      </c>
    </row>
    <row r="170" spans="1:18" x14ac:dyDescent="0.25">
      <c r="A170" t="s">
        <v>2240</v>
      </c>
      <c r="B170" t="s">
        <v>284</v>
      </c>
      <c r="C170" s="8">
        <v>46098</v>
      </c>
      <c r="D170" t="s">
        <v>2065</v>
      </c>
      <c r="E170" t="s">
        <v>2063</v>
      </c>
      <c r="F170" t="s">
        <v>29</v>
      </c>
      <c r="G170">
        <v>11912.04</v>
      </c>
      <c r="H170" t="s">
        <v>2060</v>
      </c>
      <c r="I170" t="str">
        <f>VLOOKUP(B170,Customers!A:G,7,FALSE)</f>
        <v>Individual</v>
      </c>
      <c r="Q170" t="str">
        <f>IF(COUNTIF(Customers!$A$2:$A$1001,B170)&gt;0,"Valid","Invalid")</f>
        <v>Valid</v>
      </c>
      <c r="R170" t="str">
        <f>IF(COUNTIF(Branches!$A$2:$A$11,F170)&gt;0,"Valid","Invalid")</f>
        <v>Valid</v>
      </c>
    </row>
    <row r="171" spans="1:18" x14ac:dyDescent="0.25">
      <c r="A171" t="s">
        <v>2241</v>
      </c>
      <c r="B171" t="s">
        <v>147</v>
      </c>
      <c r="C171" s="8">
        <v>46174</v>
      </c>
      <c r="D171" t="s">
        <v>2067</v>
      </c>
      <c r="E171" t="s">
        <v>2063</v>
      </c>
      <c r="F171" t="s">
        <v>29</v>
      </c>
      <c r="G171">
        <v>1244.76</v>
      </c>
      <c r="H171" t="s">
        <v>2060</v>
      </c>
      <c r="I171" t="str">
        <f>VLOOKUP(B171,Customers!A:G,7,FALSE)</f>
        <v>Individual</v>
      </c>
      <c r="Q171" t="str">
        <f>IF(COUNTIF(Customers!$A$2:$A$1001,B171)&gt;0,"Valid","Invalid")</f>
        <v>Valid</v>
      </c>
      <c r="R171" t="str">
        <f>IF(COUNTIF(Branches!$A$2:$A$11,F171)&gt;0,"Valid","Invalid")</f>
        <v>Valid</v>
      </c>
    </row>
    <row r="172" spans="1:18" x14ac:dyDescent="0.25">
      <c r="A172" t="s">
        <v>2242</v>
      </c>
      <c r="B172" t="s">
        <v>272</v>
      </c>
      <c r="C172" s="8">
        <v>46048</v>
      </c>
      <c r="D172" t="s">
        <v>2065</v>
      </c>
      <c r="E172" t="s">
        <v>2076</v>
      </c>
      <c r="F172" t="s">
        <v>21</v>
      </c>
      <c r="G172">
        <v>983.26</v>
      </c>
      <c r="H172" t="s">
        <v>2060</v>
      </c>
      <c r="I172" t="str">
        <f>VLOOKUP(B172,Customers!A:G,7,FALSE)</f>
        <v>Corporate</v>
      </c>
      <c r="Q172" t="str">
        <f>IF(COUNTIF(Customers!$A$2:$A$1001,B172)&gt;0,"Valid","Invalid")</f>
        <v>Valid</v>
      </c>
      <c r="R172" t="str">
        <f>IF(COUNTIF(Branches!$A$2:$A$11,F172)&gt;0,"Valid","Invalid")</f>
        <v>Valid</v>
      </c>
    </row>
    <row r="173" spans="1:18" x14ac:dyDescent="0.25">
      <c r="A173" t="s">
        <v>2243</v>
      </c>
      <c r="B173" t="s">
        <v>316</v>
      </c>
      <c r="C173" s="8">
        <v>46042</v>
      </c>
      <c r="D173" t="s">
        <v>2058</v>
      </c>
      <c r="E173" t="s">
        <v>2059</v>
      </c>
      <c r="F173" t="s">
        <v>47</v>
      </c>
      <c r="G173">
        <v>723.87</v>
      </c>
      <c r="H173" t="s">
        <v>2060</v>
      </c>
      <c r="I173" t="str">
        <f>VLOOKUP(B173,Customers!A:G,7,FALSE)</f>
        <v>Individual</v>
      </c>
      <c r="Q173" t="str">
        <f>IF(COUNTIF(Customers!$A$2:$A$1001,B173)&gt;0,"Valid","Invalid")</f>
        <v>Valid</v>
      </c>
      <c r="R173" t="str">
        <f>IF(COUNTIF(Branches!$A$2:$A$11,F173)&gt;0,"Valid","Invalid")</f>
        <v>Valid</v>
      </c>
    </row>
    <row r="174" spans="1:18" x14ac:dyDescent="0.25">
      <c r="A174" t="s">
        <v>2244</v>
      </c>
      <c r="B174" t="s">
        <v>515</v>
      </c>
      <c r="C174" s="8">
        <v>46159</v>
      </c>
      <c r="D174" t="s">
        <v>2058</v>
      </c>
      <c r="E174" t="s">
        <v>2076</v>
      </c>
      <c r="F174" t="s">
        <v>45</v>
      </c>
      <c r="G174">
        <v>2720.13</v>
      </c>
      <c r="H174" t="s">
        <v>2060</v>
      </c>
      <c r="I174" t="str">
        <f>VLOOKUP(B174,Customers!A:G,7,FALSE)</f>
        <v>Corporate</v>
      </c>
      <c r="Q174" t="str">
        <f>IF(COUNTIF(Customers!$A$2:$A$1001,B174)&gt;0,"Valid","Invalid")</f>
        <v>Valid</v>
      </c>
      <c r="R174" t="str">
        <f>IF(COUNTIF(Branches!$A$2:$A$11,F174)&gt;0,"Valid","Invalid")</f>
        <v>Valid</v>
      </c>
    </row>
    <row r="175" spans="1:18" x14ac:dyDescent="0.25">
      <c r="A175" t="s">
        <v>2245</v>
      </c>
      <c r="B175" t="s">
        <v>455</v>
      </c>
      <c r="C175" s="8">
        <v>46237</v>
      </c>
      <c r="D175" t="s">
        <v>2067</v>
      </c>
      <c r="E175" t="s">
        <v>2076</v>
      </c>
      <c r="F175" t="s">
        <v>21</v>
      </c>
      <c r="G175">
        <v>11061.74</v>
      </c>
      <c r="H175" t="s">
        <v>2060</v>
      </c>
      <c r="I175" t="str">
        <f>VLOOKUP(B175,Customers!A:G,7,FALSE)</f>
        <v>Individual</v>
      </c>
      <c r="Q175" t="str">
        <f>IF(COUNTIF(Customers!$A$2:$A$1001,B175)&gt;0,"Valid","Invalid")</f>
        <v>Valid</v>
      </c>
      <c r="R175" t="str">
        <f>IF(COUNTIF(Branches!$A$2:$A$11,F175)&gt;0,"Valid","Invalid")</f>
        <v>Valid</v>
      </c>
    </row>
    <row r="176" spans="1:18" x14ac:dyDescent="0.25">
      <c r="A176" t="s">
        <v>2246</v>
      </c>
      <c r="B176" t="s">
        <v>716</v>
      </c>
      <c r="C176" s="8">
        <v>46125</v>
      </c>
      <c r="D176" t="s">
        <v>2065</v>
      </c>
      <c r="E176" t="s">
        <v>2063</v>
      </c>
      <c r="F176" t="s">
        <v>29</v>
      </c>
      <c r="G176">
        <v>417.72</v>
      </c>
      <c r="H176" t="s">
        <v>2060</v>
      </c>
      <c r="I176" t="str">
        <f>VLOOKUP(B176,Customers!A:G,7,FALSE)</f>
        <v>Individual</v>
      </c>
      <c r="Q176" t="str">
        <f>IF(COUNTIF(Customers!$A$2:$A$1001,B176)&gt;0,"Valid","Invalid")</f>
        <v>Valid</v>
      </c>
      <c r="R176" t="str">
        <f>IF(COUNTIF(Branches!$A$2:$A$11,F176)&gt;0,"Valid","Invalid")</f>
        <v>Valid</v>
      </c>
    </row>
    <row r="177" spans="1:18" x14ac:dyDescent="0.25">
      <c r="A177" t="s">
        <v>2247</v>
      </c>
      <c r="B177" t="s">
        <v>164</v>
      </c>
      <c r="C177" s="8">
        <v>46051</v>
      </c>
      <c r="D177" t="s">
        <v>2070</v>
      </c>
      <c r="E177" t="s">
        <v>2063</v>
      </c>
      <c r="F177" t="s">
        <v>47</v>
      </c>
      <c r="G177">
        <v>737.39</v>
      </c>
      <c r="H177" t="s">
        <v>2060</v>
      </c>
      <c r="I177" t="str">
        <f>VLOOKUP(B177,Customers!A:G,7,FALSE)</f>
        <v>Individual</v>
      </c>
      <c r="Q177" t="str">
        <f>IF(COUNTIF(Customers!$A$2:$A$1001,B177)&gt;0,"Valid","Invalid")</f>
        <v>Valid</v>
      </c>
      <c r="R177" t="str">
        <f>IF(COUNTIF(Branches!$A$2:$A$11,F177)&gt;0,"Valid","Invalid")</f>
        <v>Valid</v>
      </c>
    </row>
    <row r="178" spans="1:18" x14ac:dyDescent="0.25">
      <c r="A178" t="s">
        <v>2248</v>
      </c>
      <c r="B178" t="s">
        <v>275</v>
      </c>
      <c r="C178" s="8">
        <v>46053</v>
      </c>
      <c r="D178" t="s">
        <v>2062</v>
      </c>
      <c r="E178" t="s">
        <v>2059</v>
      </c>
      <c r="F178" t="s">
        <v>11</v>
      </c>
      <c r="G178">
        <v>572.08000000000004</v>
      </c>
      <c r="H178" t="s">
        <v>2060</v>
      </c>
      <c r="I178" t="str">
        <f>VLOOKUP(B178,Customers!A:G,7,FALSE)</f>
        <v>SME</v>
      </c>
      <c r="Q178" t="str">
        <f>IF(COUNTIF(Customers!$A$2:$A$1001,B178)&gt;0,"Valid","Invalid")</f>
        <v>Valid</v>
      </c>
      <c r="R178" t="str">
        <f>IF(COUNTIF(Branches!$A$2:$A$11,F178)&gt;0,"Valid","Invalid")</f>
        <v>Valid</v>
      </c>
    </row>
    <row r="179" spans="1:18" x14ac:dyDescent="0.25">
      <c r="A179" t="s">
        <v>2249</v>
      </c>
      <c r="B179" t="s">
        <v>841</v>
      </c>
      <c r="C179" s="8">
        <v>46041</v>
      </c>
      <c r="D179" t="s">
        <v>2062</v>
      </c>
      <c r="E179" t="s">
        <v>2063</v>
      </c>
      <c r="F179" t="s">
        <v>27</v>
      </c>
      <c r="G179">
        <v>1690.64</v>
      </c>
      <c r="H179" t="s">
        <v>2060</v>
      </c>
      <c r="I179" t="str">
        <f>VLOOKUP(B179,Customers!A:G,7,FALSE)</f>
        <v>Corporate</v>
      </c>
      <c r="Q179" t="str">
        <f>IF(COUNTIF(Customers!$A$2:$A$1001,B179)&gt;0,"Valid","Invalid")</f>
        <v>Valid</v>
      </c>
      <c r="R179" t="str">
        <f>IF(COUNTIF(Branches!$A$2:$A$11,F179)&gt;0,"Valid","Invalid")</f>
        <v>Valid</v>
      </c>
    </row>
    <row r="180" spans="1:18" x14ac:dyDescent="0.25">
      <c r="A180" t="s">
        <v>2250</v>
      </c>
      <c r="B180" t="s">
        <v>657</v>
      </c>
      <c r="C180" s="8">
        <v>46170</v>
      </c>
      <c r="D180" t="s">
        <v>2067</v>
      </c>
      <c r="E180" t="s">
        <v>2063</v>
      </c>
      <c r="F180" t="s">
        <v>45</v>
      </c>
      <c r="G180">
        <v>2758.37</v>
      </c>
      <c r="H180" t="s">
        <v>2060</v>
      </c>
      <c r="I180" t="str">
        <f>VLOOKUP(B180,Customers!A:G,7,FALSE)</f>
        <v>Individual</v>
      </c>
      <c r="Q180" t="str">
        <f>IF(COUNTIF(Customers!$A$2:$A$1001,B180)&gt;0,"Valid","Invalid")</f>
        <v>Valid</v>
      </c>
      <c r="R180" t="str">
        <f>IF(COUNTIF(Branches!$A$2:$A$11,F180)&gt;0,"Valid","Invalid")</f>
        <v>Valid</v>
      </c>
    </row>
    <row r="181" spans="1:18" x14ac:dyDescent="0.25">
      <c r="A181" t="s">
        <v>2251</v>
      </c>
      <c r="B181" t="s">
        <v>164</v>
      </c>
      <c r="C181" s="8">
        <v>46237</v>
      </c>
      <c r="D181" t="s">
        <v>2062</v>
      </c>
      <c r="E181" t="s">
        <v>2076</v>
      </c>
      <c r="F181" t="s">
        <v>29</v>
      </c>
      <c r="G181">
        <v>4108.99</v>
      </c>
      <c r="H181" t="s">
        <v>2060</v>
      </c>
      <c r="I181" t="str">
        <f>VLOOKUP(B181,Customers!A:G,7,FALSE)</f>
        <v>Individual</v>
      </c>
      <c r="Q181" t="str">
        <f>IF(COUNTIF(Customers!$A$2:$A$1001,B181)&gt;0,"Valid","Invalid")</f>
        <v>Valid</v>
      </c>
      <c r="R181" t="str">
        <f>IF(COUNTIF(Branches!$A$2:$A$11,F181)&gt;0,"Valid","Invalid")</f>
        <v>Valid</v>
      </c>
    </row>
    <row r="182" spans="1:18" x14ac:dyDescent="0.25">
      <c r="A182" t="s">
        <v>2252</v>
      </c>
      <c r="B182" t="s">
        <v>745</v>
      </c>
      <c r="C182" s="8">
        <v>46257</v>
      </c>
      <c r="D182" t="s">
        <v>2058</v>
      </c>
      <c r="E182" t="s">
        <v>2068</v>
      </c>
      <c r="F182" t="s">
        <v>47</v>
      </c>
      <c r="G182">
        <v>1748.86</v>
      </c>
      <c r="H182" t="s">
        <v>2060</v>
      </c>
      <c r="I182" t="str">
        <f>VLOOKUP(B182,Customers!A:G,7,FALSE)</f>
        <v>SME</v>
      </c>
      <c r="Q182" t="str">
        <f>IF(COUNTIF(Customers!$A$2:$A$1001,B182)&gt;0,"Valid","Invalid")</f>
        <v>Valid</v>
      </c>
      <c r="R182" t="str">
        <f>IF(COUNTIF(Branches!$A$2:$A$11,F182)&gt;0,"Valid","Invalid")</f>
        <v>Valid</v>
      </c>
    </row>
    <row r="183" spans="1:18" x14ac:dyDescent="0.25">
      <c r="A183" t="s">
        <v>2253</v>
      </c>
      <c r="B183" t="s">
        <v>889</v>
      </c>
      <c r="C183" s="8">
        <v>46049</v>
      </c>
      <c r="D183" t="s">
        <v>2065</v>
      </c>
      <c r="E183" t="s">
        <v>2068</v>
      </c>
      <c r="F183" t="s">
        <v>11</v>
      </c>
      <c r="G183">
        <v>10090.33</v>
      </c>
      <c r="H183" t="s">
        <v>2060</v>
      </c>
      <c r="I183" t="str">
        <f>VLOOKUP(B183,Customers!A:G,7,FALSE)</f>
        <v>Corporate</v>
      </c>
      <c r="Q183" t="str">
        <f>IF(COUNTIF(Customers!$A$2:$A$1001,B183)&gt;0,"Valid","Invalid")</f>
        <v>Valid</v>
      </c>
      <c r="R183" t="str">
        <f>IF(COUNTIF(Branches!$A$2:$A$11,F183)&gt;0,"Valid","Invalid")</f>
        <v>Valid</v>
      </c>
    </row>
    <row r="184" spans="1:18" x14ac:dyDescent="0.25">
      <c r="A184" t="s">
        <v>2254</v>
      </c>
      <c r="B184" t="s">
        <v>432</v>
      </c>
      <c r="C184" s="8">
        <v>46116</v>
      </c>
      <c r="D184" t="s">
        <v>2065</v>
      </c>
      <c r="E184" t="s">
        <v>2068</v>
      </c>
      <c r="F184" t="s">
        <v>47</v>
      </c>
      <c r="G184">
        <v>457.26</v>
      </c>
      <c r="H184" t="s">
        <v>2060</v>
      </c>
      <c r="I184" t="str">
        <f>VLOOKUP(B184,Customers!A:G,7,FALSE)</f>
        <v>SME</v>
      </c>
      <c r="Q184" t="str">
        <f>IF(COUNTIF(Customers!$A$2:$A$1001,B184)&gt;0,"Valid","Invalid")</f>
        <v>Valid</v>
      </c>
      <c r="R184" t="str">
        <f>IF(COUNTIF(Branches!$A$2:$A$11,F184)&gt;0,"Valid","Invalid")</f>
        <v>Valid</v>
      </c>
    </row>
    <row r="185" spans="1:18" x14ac:dyDescent="0.25">
      <c r="A185" t="s">
        <v>2255</v>
      </c>
      <c r="B185" t="s">
        <v>513</v>
      </c>
      <c r="C185" s="8">
        <v>46107</v>
      </c>
      <c r="D185" t="s">
        <v>2067</v>
      </c>
      <c r="E185" t="s">
        <v>2076</v>
      </c>
      <c r="F185" t="s">
        <v>27</v>
      </c>
      <c r="G185">
        <v>352.64</v>
      </c>
      <c r="H185" t="s">
        <v>2060</v>
      </c>
      <c r="I185" t="str">
        <f>VLOOKUP(B185,Customers!A:G,7,FALSE)</f>
        <v>Individual</v>
      </c>
      <c r="Q185" t="str">
        <f>IF(COUNTIF(Customers!$A$2:$A$1001,B185)&gt;0,"Valid","Invalid")</f>
        <v>Valid</v>
      </c>
      <c r="R185" t="str">
        <f>IF(COUNTIF(Branches!$A$2:$A$11,F185)&gt;0,"Valid","Invalid")</f>
        <v>Valid</v>
      </c>
    </row>
    <row r="186" spans="1:18" x14ac:dyDescent="0.25">
      <c r="A186" t="s">
        <v>2256</v>
      </c>
      <c r="B186" t="s">
        <v>693</v>
      </c>
      <c r="C186" s="8">
        <v>46066</v>
      </c>
      <c r="D186" t="s">
        <v>2065</v>
      </c>
      <c r="E186" t="s">
        <v>2076</v>
      </c>
      <c r="F186" t="s">
        <v>53</v>
      </c>
      <c r="G186">
        <v>3531.03</v>
      </c>
      <c r="H186" t="s">
        <v>2060</v>
      </c>
      <c r="I186" t="str">
        <f>VLOOKUP(B186,Customers!A:G,7,FALSE)</f>
        <v>Individual</v>
      </c>
      <c r="Q186" t="str">
        <f>IF(COUNTIF(Customers!$A$2:$A$1001,B186)&gt;0,"Valid","Invalid")</f>
        <v>Valid</v>
      </c>
      <c r="R186" t="str">
        <f>IF(COUNTIF(Branches!$A$2:$A$11,F186)&gt;0,"Valid","Invalid")</f>
        <v>Valid</v>
      </c>
    </row>
    <row r="187" spans="1:18" x14ac:dyDescent="0.25">
      <c r="A187" t="s">
        <v>2257</v>
      </c>
      <c r="B187" t="s">
        <v>433</v>
      </c>
      <c r="C187" s="8">
        <v>46185</v>
      </c>
      <c r="D187" t="s">
        <v>2070</v>
      </c>
      <c r="E187" t="s">
        <v>2063</v>
      </c>
      <c r="F187" t="s">
        <v>11</v>
      </c>
      <c r="G187">
        <v>918.58</v>
      </c>
      <c r="H187" t="s">
        <v>2060</v>
      </c>
      <c r="I187" t="str">
        <f>VLOOKUP(B187,Customers!A:G,7,FALSE)</f>
        <v>Individual</v>
      </c>
      <c r="Q187" t="str">
        <f>IF(COUNTIF(Customers!$A$2:$A$1001,B187)&gt;0,"Valid","Invalid")</f>
        <v>Valid</v>
      </c>
      <c r="R187" t="str">
        <f>IF(COUNTIF(Branches!$A$2:$A$11,F187)&gt;0,"Valid","Invalid")</f>
        <v>Valid</v>
      </c>
    </row>
    <row r="188" spans="1:18" x14ac:dyDescent="0.25">
      <c r="A188" t="s">
        <v>2258</v>
      </c>
      <c r="B188" t="s">
        <v>147</v>
      </c>
      <c r="C188" s="8">
        <v>46135</v>
      </c>
      <c r="D188" t="s">
        <v>2065</v>
      </c>
      <c r="E188" t="s">
        <v>2073</v>
      </c>
      <c r="F188" t="s">
        <v>27</v>
      </c>
      <c r="G188">
        <v>205.22</v>
      </c>
      <c r="H188" t="s">
        <v>2060</v>
      </c>
      <c r="I188" t="str">
        <f>VLOOKUP(B188,Customers!A:G,7,FALSE)</f>
        <v>Individual</v>
      </c>
      <c r="Q188" t="str">
        <f>IF(COUNTIF(Customers!$A$2:$A$1001,B188)&gt;0,"Valid","Invalid")</f>
        <v>Valid</v>
      </c>
      <c r="R188" t="str">
        <f>IF(COUNTIF(Branches!$A$2:$A$11,F188)&gt;0,"Valid","Invalid")</f>
        <v>Valid</v>
      </c>
    </row>
    <row r="189" spans="1:18" x14ac:dyDescent="0.25">
      <c r="A189" t="s">
        <v>2259</v>
      </c>
      <c r="B189" t="s">
        <v>126</v>
      </c>
      <c r="C189" s="8">
        <v>46221</v>
      </c>
      <c r="D189" t="s">
        <v>2067</v>
      </c>
      <c r="E189" t="s">
        <v>2063</v>
      </c>
      <c r="F189" t="s">
        <v>11</v>
      </c>
      <c r="G189">
        <v>592.25</v>
      </c>
      <c r="H189" t="s">
        <v>2060</v>
      </c>
      <c r="I189" t="str">
        <f>VLOOKUP(B189,Customers!A:G,7,FALSE)</f>
        <v>Individual</v>
      </c>
      <c r="Q189" t="str">
        <f>IF(COUNTIF(Customers!$A$2:$A$1001,B189)&gt;0,"Valid","Invalid")</f>
        <v>Valid</v>
      </c>
      <c r="R189" t="str">
        <f>IF(COUNTIF(Branches!$A$2:$A$11,F189)&gt;0,"Valid","Invalid")</f>
        <v>Valid</v>
      </c>
    </row>
    <row r="190" spans="1:18" x14ac:dyDescent="0.25">
      <c r="A190" t="s">
        <v>2260</v>
      </c>
      <c r="B190" t="s">
        <v>801</v>
      </c>
      <c r="C190" s="8">
        <v>46172</v>
      </c>
      <c r="D190" t="s">
        <v>2067</v>
      </c>
      <c r="E190" t="s">
        <v>2063</v>
      </c>
      <c r="F190" t="s">
        <v>11</v>
      </c>
      <c r="G190">
        <v>1049.07</v>
      </c>
      <c r="H190" t="s">
        <v>2060</v>
      </c>
      <c r="I190" t="str">
        <f>VLOOKUP(B190,Customers!A:G,7,FALSE)</f>
        <v>SME</v>
      </c>
      <c r="Q190" t="str">
        <f>IF(COUNTIF(Customers!$A$2:$A$1001,B190)&gt;0,"Valid","Invalid")</f>
        <v>Valid</v>
      </c>
      <c r="R190" t="str">
        <f>IF(COUNTIF(Branches!$A$2:$A$11,F190)&gt;0,"Valid","Invalid")</f>
        <v>Valid</v>
      </c>
    </row>
    <row r="191" spans="1:18" x14ac:dyDescent="0.25">
      <c r="A191" t="s">
        <v>2261</v>
      </c>
      <c r="B191" t="s">
        <v>318</v>
      </c>
      <c r="C191" s="8">
        <v>46096</v>
      </c>
      <c r="D191" t="s">
        <v>2067</v>
      </c>
      <c r="E191" t="s">
        <v>2063</v>
      </c>
      <c r="F191" t="s">
        <v>47</v>
      </c>
      <c r="G191">
        <v>425.71</v>
      </c>
      <c r="H191" t="s">
        <v>2060</v>
      </c>
      <c r="I191" t="str">
        <f>VLOOKUP(B191,Customers!A:G,7,FALSE)</f>
        <v>Individual</v>
      </c>
      <c r="Q191" t="str">
        <f>IF(COUNTIF(Customers!$A$2:$A$1001,B191)&gt;0,"Valid","Invalid")</f>
        <v>Valid</v>
      </c>
      <c r="R191" t="str">
        <f>IF(COUNTIF(Branches!$A$2:$A$11,F191)&gt;0,"Valid","Invalid")</f>
        <v>Valid</v>
      </c>
    </row>
    <row r="192" spans="1:18" x14ac:dyDescent="0.25">
      <c r="A192" t="s">
        <v>2262</v>
      </c>
      <c r="B192" t="s">
        <v>371</v>
      </c>
      <c r="C192" s="8">
        <v>46109</v>
      </c>
      <c r="D192" t="s">
        <v>2058</v>
      </c>
      <c r="E192" t="s">
        <v>2073</v>
      </c>
      <c r="F192" t="s">
        <v>27</v>
      </c>
      <c r="G192">
        <v>294.52</v>
      </c>
      <c r="H192" t="s">
        <v>2060</v>
      </c>
      <c r="I192" t="str">
        <f>VLOOKUP(B192,Customers!A:G,7,FALSE)</f>
        <v>Individual</v>
      </c>
      <c r="Q192" t="str">
        <f>IF(COUNTIF(Customers!$A$2:$A$1001,B192)&gt;0,"Valid","Invalid")</f>
        <v>Valid</v>
      </c>
      <c r="R192" t="str">
        <f>IF(COUNTIF(Branches!$A$2:$A$11,F192)&gt;0,"Valid","Invalid")</f>
        <v>Valid</v>
      </c>
    </row>
    <row r="193" spans="1:18" x14ac:dyDescent="0.25">
      <c r="A193" t="s">
        <v>2263</v>
      </c>
      <c r="B193" t="s">
        <v>261</v>
      </c>
      <c r="C193" s="8">
        <v>46165</v>
      </c>
      <c r="D193" t="s">
        <v>2065</v>
      </c>
      <c r="E193" t="s">
        <v>2073</v>
      </c>
      <c r="F193" t="s">
        <v>53</v>
      </c>
      <c r="G193">
        <v>660.09</v>
      </c>
      <c r="H193" t="s">
        <v>2060</v>
      </c>
      <c r="I193" t="str">
        <f>VLOOKUP(B193,Customers!A:G,7,FALSE)</f>
        <v>Individual</v>
      </c>
      <c r="Q193" t="str">
        <f>IF(COUNTIF(Customers!$A$2:$A$1001,B193)&gt;0,"Valid","Invalid")</f>
        <v>Valid</v>
      </c>
      <c r="R193" t="str">
        <f>IF(COUNTIF(Branches!$A$2:$A$11,F193)&gt;0,"Valid","Invalid")</f>
        <v>Valid</v>
      </c>
    </row>
    <row r="194" spans="1:18" x14ac:dyDescent="0.25">
      <c r="A194" t="s">
        <v>2264</v>
      </c>
      <c r="B194" t="s">
        <v>137</v>
      </c>
      <c r="C194" s="8">
        <v>46116</v>
      </c>
      <c r="D194" t="s">
        <v>2062</v>
      </c>
      <c r="E194" t="s">
        <v>2068</v>
      </c>
      <c r="F194" t="s">
        <v>47</v>
      </c>
      <c r="G194">
        <v>280.19</v>
      </c>
      <c r="H194" t="s">
        <v>2060</v>
      </c>
      <c r="I194" t="str">
        <f>VLOOKUP(B194,Customers!A:G,7,FALSE)</f>
        <v>Individual</v>
      </c>
      <c r="Q194" t="str">
        <f>IF(COUNTIF(Customers!$A$2:$A$1001,B194)&gt;0,"Valid","Invalid")</f>
        <v>Valid</v>
      </c>
      <c r="R194" t="str">
        <f>IF(COUNTIF(Branches!$A$2:$A$11,F194)&gt;0,"Valid","Invalid")</f>
        <v>Valid</v>
      </c>
    </row>
    <row r="195" spans="1:18" x14ac:dyDescent="0.25">
      <c r="A195" t="s">
        <v>2265</v>
      </c>
      <c r="B195" t="s">
        <v>168</v>
      </c>
      <c r="C195" s="8">
        <v>46120</v>
      </c>
      <c r="D195" t="s">
        <v>2067</v>
      </c>
      <c r="E195" t="s">
        <v>2076</v>
      </c>
      <c r="F195" t="s">
        <v>29</v>
      </c>
      <c r="G195">
        <v>1533.23</v>
      </c>
      <c r="H195" t="s">
        <v>2060</v>
      </c>
      <c r="I195" t="str">
        <f>VLOOKUP(B195,Customers!A:G,7,FALSE)</f>
        <v>SME</v>
      </c>
      <c r="Q195" t="str">
        <f>IF(COUNTIF(Customers!$A$2:$A$1001,B195)&gt;0,"Valid","Invalid")</f>
        <v>Valid</v>
      </c>
      <c r="R195" t="str">
        <f>IF(COUNTIF(Branches!$A$2:$A$11,F195)&gt;0,"Valid","Invalid")</f>
        <v>Valid</v>
      </c>
    </row>
    <row r="196" spans="1:18" x14ac:dyDescent="0.25">
      <c r="A196" t="s">
        <v>2266</v>
      </c>
      <c r="B196" t="s">
        <v>42</v>
      </c>
      <c r="C196" s="8">
        <v>46163</v>
      </c>
      <c r="D196" t="s">
        <v>2058</v>
      </c>
      <c r="E196" t="s">
        <v>2059</v>
      </c>
      <c r="F196" t="s">
        <v>29</v>
      </c>
      <c r="G196">
        <v>116.3</v>
      </c>
      <c r="H196" t="s">
        <v>2060</v>
      </c>
      <c r="I196" t="str">
        <f>VLOOKUP(B196,Customers!A:G,7,FALSE)</f>
        <v>Individual</v>
      </c>
      <c r="Q196" t="str">
        <f>IF(COUNTIF(Customers!$A$2:$A$1001,B196)&gt;0,"Valid","Invalid")</f>
        <v>Valid</v>
      </c>
      <c r="R196" t="str">
        <f>IF(COUNTIF(Branches!$A$2:$A$11,F196)&gt;0,"Valid","Invalid")</f>
        <v>Valid</v>
      </c>
    </row>
    <row r="197" spans="1:18" x14ac:dyDescent="0.25">
      <c r="A197" t="s">
        <v>2267</v>
      </c>
      <c r="B197" t="s">
        <v>495</v>
      </c>
      <c r="C197" s="8">
        <v>46154</v>
      </c>
      <c r="D197" t="s">
        <v>2062</v>
      </c>
      <c r="E197" t="s">
        <v>2073</v>
      </c>
      <c r="F197" t="s">
        <v>29</v>
      </c>
      <c r="G197">
        <v>889.29</v>
      </c>
      <c r="H197" t="s">
        <v>2060</v>
      </c>
      <c r="I197" t="str">
        <f>VLOOKUP(B197,Customers!A:G,7,FALSE)</f>
        <v>Individual</v>
      </c>
      <c r="Q197" t="str">
        <f>IF(COUNTIF(Customers!$A$2:$A$1001,B197)&gt;0,"Valid","Invalid")</f>
        <v>Valid</v>
      </c>
      <c r="R197" t="str">
        <f>IF(COUNTIF(Branches!$A$2:$A$11,F197)&gt;0,"Valid","Invalid")</f>
        <v>Valid</v>
      </c>
    </row>
    <row r="198" spans="1:18" x14ac:dyDescent="0.25">
      <c r="A198" t="s">
        <v>2268</v>
      </c>
      <c r="B198" t="s">
        <v>479</v>
      </c>
      <c r="C198" s="8">
        <v>46232</v>
      </c>
      <c r="D198" t="s">
        <v>2062</v>
      </c>
      <c r="E198" t="s">
        <v>2076</v>
      </c>
      <c r="F198" t="s">
        <v>53</v>
      </c>
      <c r="G198">
        <v>1365.82</v>
      </c>
      <c r="H198" t="s">
        <v>2060</v>
      </c>
      <c r="I198" t="str">
        <f>VLOOKUP(B198,Customers!A:G,7,FALSE)</f>
        <v>Individual</v>
      </c>
      <c r="Q198" t="str">
        <f>IF(COUNTIF(Customers!$A$2:$A$1001,B198)&gt;0,"Valid","Invalid")</f>
        <v>Valid</v>
      </c>
      <c r="R198" t="str">
        <f>IF(COUNTIF(Branches!$A$2:$A$11,F198)&gt;0,"Valid","Invalid")</f>
        <v>Valid</v>
      </c>
    </row>
    <row r="199" spans="1:18" x14ac:dyDescent="0.25">
      <c r="A199" t="s">
        <v>2269</v>
      </c>
      <c r="B199" t="s">
        <v>134</v>
      </c>
      <c r="C199" s="8">
        <v>46078</v>
      </c>
      <c r="D199" t="s">
        <v>2062</v>
      </c>
      <c r="E199" t="s">
        <v>2073</v>
      </c>
      <c r="F199" t="s">
        <v>47</v>
      </c>
      <c r="G199">
        <v>742.08</v>
      </c>
      <c r="H199" t="s">
        <v>2060</v>
      </c>
      <c r="I199" t="str">
        <f>VLOOKUP(B199,Customers!A:G,7,FALSE)</f>
        <v>Individual</v>
      </c>
      <c r="Q199" t="str">
        <f>IF(COUNTIF(Customers!$A$2:$A$1001,B199)&gt;0,"Valid","Invalid")</f>
        <v>Valid</v>
      </c>
      <c r="R199" t="str">
        <f>IF(COUNTIF(Branches!$A$2:$A$11,F199)&gt;0,"Valid","Invalid")</f>
        <v>Valid</v>
      </c>
    </row>
    <row r="200" spans="1:18" x14ac:dyDescent="0.25">
      <c r="A200" t="s">
        <v>2270</v>
      </c>
      <c r="B200" t="s">
        <v>156</v>
      </c>
      <c r="C200" s="8">
        <v>46173</v>
      </c>
      <c r="D200" t="s">
        <v>2058</v>
      </c>
      <c r="E200" t="s">
        <v>2063</v>
      </c>
      <c r="F200" t="s">
        <v>53</v>
      </c>
      <c r="G200">
        <v>2424.12</v>
      </c>
      <c r="H200" t="s">
        <v>2060</v>
      </c>
      <c r="I200" t="str">
        <f>VLOOKUP(B200,Customers!A:G,7,FALSE)</f>
        <v>Individual</v>
      </c>
      <c r="Q200" t="str">
        <f>IF(COUNTIF(Customers!$A$2:$A$1001,B200)&gt;0,"Valid","Invalid")</f>
        <v>Valid</v>
      </c>
      <c r="R200" t="str">
        <f>IF(COUNTIF(Branches!$A$2:$A$11,F200)&gt;0,"Valid","Invalid")</f>
        <v>Valid</v>
      </c>
    </row>
    <row r="201" spans="1:18" x14ac:dyDescent="0.25">
      <c r="A201" t="s">
        <v>2271</v>
      </c>
      <c r="B201" t="s">
        <v>331</v>
      </c>
      <c r="C201" s="8">
        <v>46119</v>
      </c>
      <c r="D201" t="s">
        <v>2067</v>
      </c>
      <c r="E201" t="s">
        <v>2063</v>
      </c>
      <c r="F201" t="s">
        <v>11</v>
      </c>
      <c r="G201">
        <v>206.32</v>
      </c>
      <c r="H201" t="s">
        <v>2060</v>
      </c>
      <c r="I201" t="str">
        <f>VLOOKUP(B201,Customers!A:G,7,FALSE)</f>
        <v>SME</v>
      </c>
      <c r="Q201" t="str">
        <f>IF(COUNTIF(Customers!$A$2:$A$1001,B201)&gt;0,"Valid","Invalid")</f>
        <v>Valid</v>
      </c>
      <c r="R201" t="str">
        <f>IF(COUNTIF(Branches!$A$2:$A$11,F201)&gt;0,"Valid","Invalid")</f>
        <v>Valid</v>
      </c>
    </row>
    <row r="202" spans="1:18" x14ac:dyDescent="0.25">
      <c r="A202" t="s">
        <v>2272</v>
      </c>
      <c r="B202" t="s">
        <v>854</v>
      </c>
      <c r="C202" s="8">
        <v>46120</v>
      </c>
      <c r="D202" t="s">
        <v>2058</v>
      </c>
      <c r="E202" t="s">
        <v>2068</v>
      </c>
      <c r="F202" t="s">
        <v>27</v>
      </c>
      <c r="G202">
        <v>402.99</v>
      </c>
      <c r="H202" t="s">
        <v>2115</v>
      </c>
      <c r="I202" t="str">
        <f>VLOOKUP(B202,Customers!A:G,7,FALSE)</f>
        <v>Individual</v>
      </c>
      <c r="Q202" t="str">
        <f>IF(COUNTIF(Customers!$A$2:$A$1001,B202)&gt;0,"Valid","Invalid")</f>
        <v>Valid</v>
      </c>
      <c r="R202" t="str">
        <f>IF(COUNTIF(Branches!$A$2:$A$11,F202)&gt;0,"Valid","Invalid")</f>
        <v>Valid</v>
      </c>
    </row>
    <row r="203" spans="1:18" x14ac:dyDescent="0.25">
      <c r="A203" t="s">
        <v>2273</v>
      </c>
      <c r="B203" t="s">
        <v>749</v>
      </c>
      <c r="C203" s="8">
        <v>46056</v>
      </c>
      <c r="D203" t="s">
        <v>2062</v>
      </c>
      <c r="E203" t="s">
        <v>2063</v>
      </c>
      <c r="F203" t="s">
        <v>21</v>
      </c>
      <c r="G203">
        <v>584.04</v>
      </c>
      <c r="H203" t="s">
        <v>2060</v>
      </c>
      <c r="I203" t="str">
        <f>VLOOKUP(B203,Customers!A:G,7,FALSE)</f>
        <v>Individual</v>
      </c>
      <c r="Q203" t="str">
        <f>IF(COUNTIF(Customers!$A$2:$A$1001,B203)&gt;0,"Valid","Invalid")</f>
        <v>Valid</v>
      </c>
      <c r="R203" t="str">
        <f>IF(COUNTIF(Branches!$A$2:$A$11,F203)&gt;0,"Valid","Invalid")</f>
        <v>Valid</v>
      </c>
    </row>
    <row r="204" spans="1:18" x14ac:dyDescent="0.25">
      <c r="A204" t="s">
        <v>2274</v>
      </c>
      <c r="B204" t="s">
        <v>8</v>
      </c>
      <c r="C204" s="8">
        <v>46122</v>
      </c>
      <c r="D204" t="s">
        <v>2062</v>
      </c>
      <c r="E204" t="s">
        <v>2073</v>
      </c>
      <c r="F204" t="s">
        <v>53</v>
      </c>
      <c r="G204">
        <v>1656.93</v>
      </c>
      <c r="H204" t="s">
        <v>2060</v>
      </c>
      <c r="I204" t="str">
        <f>VLOOKUP(B204,Customers!A:G,7,FALSE)</f>
        <v>Individual</v>
      </c>
      <c r="Q204" t="str">
        <f>IF(COUNTIF(Customers!$A$2:$A$1001,B204)&gt;0,"Valid","Invalid")</f>
        <v>Valid</v>
      </c>
      <c r="R204" t="str">
        <f>IF(COUNTIF(Branches!$A$2:$A$11,F204)&gt;0,"Valid","Invalid")</f>
        <v>Valid</v>
      </c>
    </row>
    <row r="205" spans="1:18" x14ac:dyDescent="0.25">
      <c r="A205" t="s">
        <v>2275</v>
      </c>
      <c r="B205" t="s">
        <v>610</v>
      </c>
      <c r="C205" s="8">
        <v>46249</v>
      </c>
      <c r="D205" t="s">
        <v>2065</v>
      </c>
      <c r="E205" t="s">
        <v>2059</v>
      </c>
      <c r="F205" t="s">
        <v>29</v>
      </c>
      <c r="G205">
        <v>1010.81</v>
      </c>
      <c r="H205" t="s">
        <v>2060</v>
      </c>
      <c r="I205" t="str">
        <f>VLOOKUP(B205,Customers!A:G,7,FALSE)</f>
        <v>Student</v>
      </c>
      <c r="Q205" t="str">
        <f>IF(COUNTIF(Customers!$A$2:$A$1001,B205)&gt;0,"Valid","Invalid")</f>
        <v>Valid</v>
      </c>
      <c r="R205" t="str">
        <f>IF(COUNTIF(Branches!$A$2:$A$11,F205)&gt;0,"Valid","Invalid")</f>
        <v>Valid</v>
      </c>
    </row>
    <row r="206" spans="1:18" x14ac:dyDescent="0.25">
      <c r="A206" t="s">
        <v>2276</v>
      </c>
      <c r="B206" t="s">
        <v>288</v>
      </c>
      <c r="C206" s="8">
        <v>46167</v>
      </c>
      <c r="D206" t="s">
        <v>2067</v>
      </c>
      <c r="E206" t="s">
        <v>2073</v>
      </c>
      <c r="F206" t="s">
        <v>29</v>
      </c>
      <c r="G206">
        <v>6928.27</v>
      </c>
      <c r="H206" t="s">
        <v>2060</v>
      </c>
      <c r="I206" t="str">
        <f>VLOOKUP(B206,Customers!A:G,7,FALSE)</f>
        <v>SME</v>
      </c>
      <c r="Q206" t="str">
        <f>IF(COUNTIF(Customers!$A$2:$A$1001,B206)&gt;0,"Valid","Invalid")</f>
        <v>Valid</v>
      </c>
      <c r="R206" t="str">
        <f>IF(COUNTIF(Branches!$A$2:$A$11,F206)&gt;0,"Valid","Invalid")</f>
        <v>Valid</v>
      </c>
    </row>
    <row r="207" spans="1:18" x14ac:dyDescent="0.25">
      <c r="A207" t="s">
        <v>2277</v>
      </c>
      <c r="B207" t="s">
        <v>690</v>
      </c>
      <c r="C207" s="8">
        <v>46178</v>
      </c>
      <c r="D207" t="s">
        <v>2062</v>
      </c>
      <c r="E207" t="s">
        <v>2059</v>
      </c>
      <c r="F207" t="s">
        <v>47</v>
      </c>
      <c r="G207">
        <v>362.93</v>
      </c>
      <c r="H207" t="s">
        <v>2060</v>
      </c>
      <c r="I207" t="str">
        <f>VLOOKUP(B207,Customers!A:G,7,FALSE)</f>
        <v>Individual</v>
      </c>
      <c r="Q207" t="str">
        <f>IF(COUNTIF(Customers!$A$2:$A$1001,B207)&gt;0,"Valid","Invalid")</f>
        <v>Valid</v>
      </c>
      <c r="R207" t="str">
        <f>IF(COUNTIF(Branches!$A$2:$A$11,F207)&gt;0,"Valid","Invalid")</f>
        <v>Valid</v>
      </c>
    </row>
    <row r="208" spans="1:18" x14ac:dyDescent="0.25">
      <c r="A208" t="s">
        <v>2279</v>
      </c>
      <c r="B208" t="s">
        <v>185</v>
      </c>
      <c r="C208" s="8">
        <v>46036</v>
      </c>
      <c r="D208" t="s">
        <v>2067</v>
      </c>
      <c r="E208" t="s">
        <v>2076</v>
      </c>
      <c r="F208" t="s">
        <v>53</v>
      </c>
      <c r="G208">
        <v>201.34</v>
      </c>
      <c r="H208" t="s">
        <v>2060</v>
      </c>
      <c r="I208" t="str">
        <f>VLOOKUP(B208,Customers!A:G,7,FALSE)</f>
        <v>SME</v>
      </c>
      <c r="Q208" t="str">
        <f>IF(COUNTIF(Customers!$A$2:$A$1001,B208)&gt;0,"Valid","Invalid")</f>
        <v>Valid</v>
      </c>
      <c r="R208" t="str">
        <f>IF(COUNTIF(Branches!$A$2:$A$11,F208)&gt;0,"Valid","Invalid")</f>
        <v>Valid</v>
      </c>
    </row>
    <row r="209" spans="1:18" x14ac:dyDescent="0.25">
      <c r="A209" t="s">
        <v>2280</v>
      </c>
      <c r="B209" t="s">
        <v>433</v>
      </c>
      <c r="C209" s="8">
        <v>46184</v>
      </c>
      <c r="D209" t="s">
        <v>2067</v>
      </c>
      <c r="E209" t="s">
        <v>2059</v>
      </c>
      <c r="F209" t="s">
        <v>29</v>
      </c>
      <c r="G209">
        <v>4861.4399999999996</v>
      </c>
      <c r="H209" t="s">
        <v>2060</v>
      </c>
      <c r="I209" t="str">
        <f>VLOOKUP(B209,Customers!A:G,7,FALSE)</f>
        <v>Individual</v>
      </c>
      <c r="Q209" t="str">
        <f>IF(COUNTIF(Customers!$A$2:$A$1001,B209)&gt;0,"Valid","Invalid")</f>
        <v>Valid</v>
      </c>
      <c r="R209" t="str">
        <f>IF(COUNTIF(Branches!$A$2:$A$11,F209)&gt;0,"Valid","Invalid")</f>
        <v>Valid</v>
      </c>
    </row>
    <row r="210" spans="1:18" x14ac:dyDescent="0.25">
      <c r="A210" t="s">
        <v>2281</v>
      </c>
      <c r="B210" t="s">
        <v>79</v>
      </c>
      <c r="C210" s="8">
        <v>46134</v>
      </c>
      <c r="D210" t="s">
        <v>2067</v>
      </c>
      <c r="E210" t="s">
        <v>2076</v>
      </c>
      <c r="F210" t="s">
        <v>11</v>
      </c>
      <c r="G210">
        <v>194.25</v>
      </c>
      <c r="H210" t="s">
        <v>2060</v>
      </c>
      <c r="I210" t="str">
        <f>VLOOKUP(B210,Customers!A:G,7,FALSE)</f>
        <v>Individual</v>
      </c>
      <c r="Q210" t="str">
        <f>IF(COUNTIF(Customers!$A$2:$A$1001,B210)&gt;0,"Valid","Invalid")</f>
        <v>Valid</v>
      </c>
      <c r="R210" t="str">
        <f>IF(COUNTIF(Branches!$A$2:$A$11,F210)&gt;0,"Valid","Invalid")</f>
        <v>Valid</v>
      </c>
    </row>
    <row r="211" spans="1:18" x14ac:dyDescent="0.25">
      <c r="A211" t="s">
        <v>2282</v>
      </c>
      <c r="B211" t="s">
        <v>921</v>
      </c>
      <c r="C211" s="8">
        <v>46097</v>
      </c>
      <c r="D211" t="s">
        <v>2058</v>
      </c>
      <c r="E211" t="s">
        <v>2059</v>
      </c>
      <c r="F211" t="s">
        <v>35</v>
      </c>
      <c r="G211">
        <v>1608.51</v>
      </c>
      <c r="H211" t="s">
        <v>2060</v>
      </c>
      <c r="I211" t="str">
        <f>VLOOKUP(B211,Customers!A:G,7,FALSE)</f>
        <v>Individual</v>
      </c>
      <c r="Q211" t="str">
        <f>IF(COUNTIF(Customers!$A$2:$A$1001,B211)&gt;0,"Valid","Invalid")</f>
        <v>Valid</v>
      </c>
      <c r="R211" t="str">
        <f>IF(COUNTIF(Branches!$A$2:$A$11,F211)&gt;0,"Valid","Invalid")</f>
        <v>Valid</v>
      </c>
    </row>
    <row r="212" spans="1:18" x14ac:dyDescent="0.25">
      <c r="A212" t="s">
        <v>2283</v>
      </c>
      <c r="B212" t="s">
        <v>736</v>
      </c>
      <c r="C212" s="8">
        <v>46207</v>
      </c>
      <c r="D212" t="s">
        <v>2070</v>
      </c>
      <c r="E212" t="s">
        <v>2073</v>
      </c>
      <c r="F212" t="s">
        <v>29</v>
      </c>
      <c r="G212">
        <v>305.31</v>
      </c>
      <c r="H212" t="s">
        <v>2060</v>
      </c>
      <c r="I212" t="str">
        <f>VLOOKUP(B212,Customers!A:G,7,FALSE)</f>
        <v>Individual</v>
      </c>
      <c r="Q212" t="str">
        <f>IF(COUNTIF(Customers!$A$2:$A$1001,B212)&gt;0,"Valid","Invalid")</f>
        <v>Valid</v>
      </c>
      <c r="R212" t="str">
        <f>IF(COUNTIF(Branches!$A$2:$A$11,F212)&gt;0,"Valid","Invalid")</f>
        <v>Valid</v>
      </c>
    </row>
    <row r="213" spans="1:18" x14ac:dyDescent="0.25">
      <c r="A213" t="s">
        <v>2284</v>
      </c>
      <c r="B213" t="s">
        <v>658</v>
      </c>
      <c r="C213" s="8">
        <v>46227</v>
      </c>
      <c r="D213" t="s">
        <v>2058</v>
      </c>
      <c r="E213" t="s">
        <v>2076</v>
      </c>
      <c r="F213" t="s">
        <v>16</v>
      </c>
      <c r="G213">
        <v>102.58</v>
      </c>
      <c r="H213" t="s">
        <v>2060</v>
      </c>
      <c r="I213" t="str">
        <f>VLOOKUP(B213,Customers!A:G,7,FALSE)</f>
        <v>Student</v>
      </c>
      <c r="Q213" t="str">
        <f>IF(COUNTIF(Customers!$A$2:$A$1001,B213)&gt;0,"Valid","Invalid")</f>
        <v>Valid</v>
      </c>
      <c r="R213" t="str">
        <f>IF(COUNTIF(Branches!$A$2:$A$11,F213)&gt;0,"Valid","Invalid")</f>
        <v>Valid</v>
      </c>
    </row>
    <row r="214" spans="1:18" x14ac:dyDescent="0.25">
      <c r="A214" t="s">
        <v>2285</v>
      </c>
      <c r="B214" t="s">
        <v>79</v>
      </c>
      <c r="C214" s="8">
        <v>46119</v>
      </c>
      <c r="D214" t="s">
        <v>2065</v>
      </c>
      <c r="E214" t="s">
        <v>2063</v>
      </c>
      <c r="F214" t="s">
        <v>35</v>
      </c>
      <c r="G214">
        <v>558.48</v>
      </c>
      <c r="H214" t="s">
        <v>2060</v>
      </c>
      <c r="I214" t="str">
        <f>VLOOKUP(B214,Customers!A:G,7,FALSE)</f>
        <v>Individual</v>
      </c>
      <c r="Q214" t="str">
        <f>IF(COUNTIF(Customers!$A$2:$A$1001,B214)&gt;0,"Valid","Invalid")</f>
        <v>Valid</v>
      </c>
      <c r="R214" t="str">
        <f>IF(COUNTIF(Branches!$A$2:$A$11,F214)&gt;0,"Valid","Invalid")</f>
        <v>Valid</v>
      </c>
    </row>
    <row r="215" spans="1:18" x14ac:dyDescent="0.25">
      <c r="A215" t="s">
        <v>2286</v>
      </c>
      <c r="B215" t="s">
        <v>114</v>
      </c>
      <c r="C215" s="8">
        <v>46143</v>
      </c>
      <c r="D215" t="s">
        <v>2065</v>
      </c>
      <c r="E215" t="s">
        <v>2073</v>
      </c>
      <c r="F215" t="s">
        <v>45</v>
      </c>
      <c r="G215">
        <v>1997.2</v>
      </c>
      <c r="H215" t="s">
        <v>2060</v>
      </c>
      <c r="I215" t="str">
        <f>VLOOKUP(B215,Customers!A:G,7,FALSE)</f>
        <v>Individual</v>
      </c>
      <c r="Q215" t="str">
        <f>IF(COUNTIF(Customers!$A$2:$A$1001,B215)&gt;0,"Valid","Invalid")</f>
        <v>Valid</v>
      </c>
      <c r="R215" t="str">
        <f>IF(COUNTIF(Branches!$A$2:$A$11,F215)&gt;0,"Valid","Invalid")</f>
        <v>Valid</v>
      </c>
    </row>
    <row r="216" spans="1:18" x14ac:dyDescent="0.25">
      <c r="A216" t="s">
        <v>2287</v>
      </c>
      <c r="B216" t="s">
        <v>263</v>
      </c>
      <c r="C216" s="8">
        <v>46077</v>
      </c>
      <c r="D216" t="s">
        <v>2065</v>
      </c>
      <c r="E216" t="s">
        <v>2063</v>
      </c>
      <c r="F216" t="s">
        <v>35</v>
      </c>
      <c r="G216">
        <v>239.42</v>
      </c>
      <c r="H216" t="s">
        <v>2060</v>
      </c>
      <c r="I216" t="str">
        <f>VLOOKUP(B216,Customers!A:G,7,FALSE)</f>
        <v>Individual</v>
      </c>
      <c r="Q216" t="str">
        <f>IF(COUNTIF(Customers!$A$2:$A$1001,B216)&gt;0,"Valid","Invalid")</f>
        <v>Valid</v>
      </c>
      <c r="R216" t="str">
        <f>IF(COUNTIF(Branches!$A$2:$A$11,F216)&gt;0,"Valid","Invalid")</f>
        <v>Valid</v>
      </c>
    </row>
    <row r="217" spans="1:18" x14ac:dyDescent="0.25">
      <c r="A217" t="s">
        <v>2288</v>
      </c>
      <c r="B217" t="s">
        <v>198</v>
      </c>
      <c r="C217" s="8">
        <v>46216</v>
      </c>
      <c r="D217" t="s">
        <v>2058</v>
      </c>
      <c r="E217" t="s">
        <v>2059</v>
      </c>
      <c r="F217" t="s">
        <v>29</v>
      </c>
      <c r="G217">
        <v>1445.33</v>
      </c>
      <c r="H217" t="s">
        <v>2060</v>
      </c>
      <c r="I217" t="str">
        <f>VLOOKUP(B217,Customers!A:G,7,FALSE)</f>
        <v>Individual</v>
      </c>
      <c r="Q217" t="str">
        <f>IF(COUNTIF(Customers!$A$2:$A$1001,B217)&gt;0,"Valid","Invalid")</f>
        <v>Valid</v>
      </c>
      <c r="R217" t="str">
        <f>IF(COUNTIF(Branches!$A$2:$A$11,F217)&gt;0,"Valid","Invalid")</f>
        <v>Valid</v>
      </c>
    </row>
    <row r="218" spans="1:18" x14ac:dyDescent="0.25">
      <c r="A218" t="s">
        <v>2289</v>
      </c>
      <c r="B218" t="s">
        <v>831</v>
      </c>
      <c r="C218" s="8">
        <v>46248</v>
      </c>
      <c r="D218" t="s">
        <v>2058</v>
      </c>
      <c r="E218" t="s">
        <v>2063</v>
      </c>
      <c r="F218" t="s">
        <v>29</v>
      </c>
      <c r="G218">
        <v>1742.13</v>
      </c>
      <c r="H218" t="s">
        <v>2060</v>
      </c>
      <c r="I218" t="str">
        <f>VLOOKUP(B218,Customers!A:G,7,FALSE)</f>
        <v>Corporate</v>
      </c>
      <c r="Q218" t="str">
        <f>IF(COUNTIF(Customers!$A$2:$A$1001,B218)&gt;0,"Valid","Invalid")</f>
        <v>Valid</v>
      </c>
      <c r="R218" t="str">
        <f>IF(COUNTIF(Branches!$A$2:$A$11,F218)&gt;0,"Valid","Invalid")</f>
        <v>Valid</v>
      </c>
    </row>
    <row r="219" spans="1:18" x14ac:dyDescent="0.25">
      <c r="A219" t="s">
        <v>2290</v>
      </c>
      <c r="B219" t="s">
        <v>291</v>
      </c>
      <c r="C219" s="8">
        <v>46139</v>
      </c>
      <c r="D219" t="s">
        <v>2065</v>
      </c>
      <c r="E219" t="s">
        <v>2068</v>
      </c>
      <c r="F219" t="s">
        <v>29</v>
      </c>
      <c r="G219">
        <v>227.76</v>
      </c>
      <c r="H219" t="s">
        <v>2115</v>
      </c>
      <c r="I219" t="str">
        <f>VLOOKUP(B219,Customers!A:G,7,FALSE)</f>
        <v>Individual</v>
      </c>
      <c r="Q219" t="str">
        <f>IF(COUNTIF(Customers!$A$2:$A$1001,B219)&gt;0,"Valid","Invalid")</f>
        <v>Valid</v>
      </c>
      <c r="R219" t="str">
        <f>IF(COUNTIF(Branches!$A$2:$A$11,F219)&gt;0,"Valid","Invalid")</f>
        <v>Valid</v>
      </c>
    </row>
    <row r="220" spans="1:18" x14ac:dyDescent="0.25">
      <c r="A220" t="s">
        <v>2291</v>
      </c>
      <c r="B220" t="s">
        <v>168</v>
      </c>
      <c r="C220" s="8">
        <v>46115</v>
      </c>
      <c r="D220" t="s">
        <v>2058</v>
      </c>
      <c r="E220" t="s">
        <v>2063</v>
      </c>
      <c r="F220" t="s">
        <v>29</v>
      </c>
      <c r="G220">
        <v>646.92999999999995</v>
      </c>
      <c r="H220" t="s">
        <v>2060</v>
      </c>
      <c r="I220" t="str">
        <f>VLOOKUP(B220,Customers!A:G,7,FALSE)</f>
        <v>SME</v>
      </c>
      <c r="Q220" t="str">
        <f>IF(COUNTIF(Customers!$A$2:$A$1001,B220)&gt;0,"Valid","Invalid")</f>
        <v>Valid</v>
      </c>
      <c r="R220" t="str">
        <f>IF(COUNTIF(Branches!$A$2:$A$11,F220)&gt;0,"Valid","Invalid")</f>
        <v>Valid</v>
      </c>
    </row>
    <row r="221" spans="1:18" x14ac:dyDescent="0.25">
      <c r="A221" t="s">
        <v>2292</v>
      </c>
      <c r="B221" t="s">
        <v>486</v>
      </c>
      <c r="C221" s="8">
        <v>46059</v>
      </c>
      <c r="D221" t="s">
        <v>2062</v>
      </c>
      <c r="E221" t="s">
        <v>2063</v>
      </c>
      <c r="F221" t="s">
        <v>11</v>
      </c>
      <c r="G221">
        <v>3932.67</v>
      </c>
      <c r="H221" t="s">
        <v>2060</v>
      </c>
      <c r="I221" t="str">
        <f>VLOOKUP(B221,Customers!A:G,7,FALSE)</f>
        <v>Individual</v>
      </c>
      <c r="Q221" t="str">
        <f>IF(COUNTIF(Customers!$A$2:$A$1001,B221)&gt;0,"Valid","Invalid")</f>
        <v>Valid</v>
      </c>
      <c r="R221" t="str">
        <f>IF(COUNTIF(Branches!$A$2:$A$11,F221)&gt;0,"Valid","Invalid")</f>
        <v>Valid</v>
      </c>
    </row>
    <row r="222" spans="1:18" x14ac:dyDescent="0.25">
      <c r="A222" t="s">
        <v>2293</v>
      </c>
      <c r="B222" t="s">
        <v>922</v>
      </c>
      <c r="C222" s="8">
        <v>46218</v>
      </c>
      <c r="D222" t="s">
        <v>2065</v>
      </c>
      <c r="E222" t="s">
        <v>2073</v>
      </c>
      <c r="F222" t="s">
        <v>45</v>
      </c>
      <c r="G222">
        <v>1557.12</v>
      </c>
      <c r="H222" t="s">
        <v>2060</v>
      </c>
      <c r="I222" t="str">
        <f>VLOOKUP(B222,Customers!A:G,7,FALSE)</f>
        <v>Individual</v>
      </c>
      <c r="Q222" t="str">
        <f>IF(COUNTIF(Customers!$A$2:$A$1001,B222)&gt;0,"Valid","Invalid")</f>
        <v>Valid</v>
      </c>
      <c r="R222" t="str">
        <f>IF(COUNTIF(Branches!$A$2:$A$11,F222)&gt;0,"Valid","Invalid")</f>
        <v>Valid</v>
      </c>
    </row>
    <row r="223" spans="1:18" x14ac:dyDescent="0.25">
      <c r="A223" t="s">
        <v>2294</v>
      </c>
      <c r="B223" t="s">
        <v>925</v>
      </c>
      <c r="C223" s="8">
        <v>46226</v>
      </c>
      <c r="D223" t="s">
        <v>2067</v>
      </c>
      <c r="E223" t="s">
        <v>2068</v>
      </c>
      <c r="F223" t="s">
        <v>47</v>
      </c>
      <c r="G223">
        <v>625.47</v>
      </c>
      <c r="H223" t="s">
        <v>2060</v>
      </c>
      <c r="I223" t="str">
        <f>VLOOKUP(B223,Customers!A:G,7,FALSE)</f>
        <v>Individual</v>
      </c>
      <c r="Q223" t="str">
        <f>IF(COUNTIF(Customers!$A$2:$A$1001,B223)&gt;0,"Valid","Invalid")</f>
        <v>Valid</v>
      </c>
      <c r="R223" t="str">
        <f>IF(COUNTIF(Branches!$A$2:$A$11,F223)&gt;0,"Valid","Invalid")</f>
        <v>Valid</v>
      </c>
    </row>
    <row r="224" spans="1:18" x14ac:dyDescent="0.25">
      <c r="A224" t="s">
        <v>2295</v>
      </c>
      <c r="B224" t="s">
        <v>512</v>
      </c>
      <c r="C224" s="8">
        <v>46048</v>
      </c>
      <c r="D224" t="s">
        <v>2070</v>
      </c>
      <c r="E224" t="s">
        <v>2063</v>
      </c>
      <c r="F224" t="s">
        <v>47</v>
      </c>
      <c r="G224">
        <v>1230.6500000000001</v>
      </c>
      <c r="H224" t="s">
        <v>2060</v>
      </c>
      <c r="I224" t="str">
        <f>VLOOKUP(B224,Customers!A:G,7,FALSE)</f>
        <v>Individual</v>
      </c>
      <c r="Q224" t="str">
        <f>IF(COUNTIF(Customers!$A$2:$A$1001,B224)&gt;0,"Valid","Invalid")</f>
        <v>Valid</v>
      </c>
      <c r="R224" t="str">
        <f>IF(COUNTIF(Branches!$A$2:$A$11,F224)&gt;0,"Valid","Invalid")</f>
        <v>Valid</v>
      </c>
    </row>
    <row r="225" spans="1:18" x14ac:dyDescent="0.25">
      <c r="A225" t="s">
        <v>2296</v>
      </c>
      <c r="B225" t="s">
        <v>694</v>
      </c>
      <c r="C225" s="8">
        <v>46211</v>
      </c>
      <c r="D225" t="s">
        <v>2067</v>
      </c>
      <c r="E225" t="s">
        <v>2068</v>
      </c>
      <c r="F225" t="s">
        <v>39</v>
      </c>
      <c r="G225">
        <v>409.42</v>
      </c>
      <c r="H225" t="s">
        <v>2060</v>
      </c>
      <c r="I225" t="str">
        <f>VLOOKUP(B225,Customers!A:G,7,FALSE)</f>
        <v>Student</v>
      </c>
      <c r="Q225" t="str">
        <f>IF(COUNTIF(Customers!$A$2:$A$1001,B225)&gt;0,"Valid","Invalid")</f>
        <v>Valid</v>
      </c>
      <c r="R225" t="str">
        <f>IF(COUNTIF(Branches!$A$2:$A$11,F225)&gt;0,"Valid","Invalid")</f>
        <v>Valid</v>
      </c>
    </row>
    <row r="226" spans="1:18" x14ac:dyDescent="0.25">
      <c r="A226" t="s">
        <v>2297</v>
      </c>
      <c r="B226" t="s">
        <v>816</v>
      </c>
      <c r="C226" s="8">
        <v>46242</v>
      </c>
      <c r="D226" t="s">
        <v>2062</v>
      </c>
      <c r="E226" t="s">
        <v>2073</v>
      </c>
      <c r="F226" t="s">
        <v>29</v>
      </c>
      <c r="G226">
        <v>2474.2600000000002</v>
      </c>
      <c r="H226" t="s">
        <v>2060</v>
      </c>
      <c r="I226" t="str">
        <f>VLOOKUP(B226,Customers!A:G,7,FALSE)</f>
        <v>Individual</v>
      </c>
      <c r="Q226" t="str">
        <f>IF(COUNTIF(Customers!$A$2:$A$1001,B226)&gt;0,"Valid","Invalid")</f>
        <v>Valid</v>
      </c>
      <c r="R226" t="str">
        <f>IF(COUNTIF(Branches!$A$2:$A$11,F226)&gt;0,"Valid","Invalid")</f>
        <v>Valid</v>
      </c>
    </row>
    <row r="227" spans="1:18" x14ac:dyDescent="0.25">
      <c r="A227" t="s">
        <v>2298</v>
      </c>
      <c r="B227" t="s">
        <v>145</v>
      </c>
      <c r="C227" s="8">
        <v>46089</v>
      </c>
      <c r="D227" t="s">
        <v>2067</v>
      </c>
      <c r="E227" t="s">
        <v>2063</v>
      </c>
      <c r="F227" t="s">
        <v>11</v>
      </c>
      <c r="G227">
        <v>2473.1799999999998</v>
      </c>
      <c r="H227" t="s">
        <v>2060</v>
      </c>
      <c r="I227" t="str">
        <f>VLOOKUP(B227,Customers!A:G,7,FALSE)</f>
        <v>Individual</v>
      </c>
      <c r="Q227" t="str">
        <f>IF(COUNTIF(Customers!$A$2:$A$1001,B227)&gt;0,"Valid","Invalid")</f>
        <v>Valid</v>
      </c>
      <c r="R227" t="str">
        <f>IF(COUNTIF(Branches!$A$2:$A$11,F227)&gt;0,"Valid","Invalid")</f>
        <v>Valid</v>
      </c>
    </row>
    <row r="228" spans="1:18" x14ac:dyDescent="0.25">
      <c r="A228" t="s">
        <v>2299</v>
      </c>
      <c r="B228" t="s">
        <v>744</v>
      </c>
      <c r="C228" s="8">
        <v>46106</v>
      </c>
      <c r="D228" t="s">
        <v>2062</v>
      </c>
      <c r="E228" t="s">
        <v>2068</v>
      </c>
      <c r="F228" t="s">
        <v>11</v>
      </c>
      <c r="G228">
        <v>916.82</v>
      </c>
      <c r="H228" t="s">
        <v>2060</v>
      </c>
      <c r="I228" t="str">
        <f>VLOOKUP(B228,Customers!A:G,7,FALSE)</f>
        <v>Individual</v>
      </c>
      <c r="Q228" t="str">
        <f>IF(COUNTIF(Customers!$A$2:$A$1001,B228)&gt;0,"Valid","Invalid")</f>
        <v>Valid</v>
      </c>
      <c r="R228" t="str">
        <f>IF(COUNTIF(Branches!$A$2:$A$11,F228)&gt;0,"Valid","Invalid")</f>
        <v>Valid</v>
      </c>
    </row>
    <row r="229" spans="1:18" x14ac:dyDescent="0.25">
      <c r="A229" t="s">
        <v>2300</v>
      </c>
      <c r="B229" t="s">
        <v>69</v>
      </c>
      <c r="C229" s="8">
        <v>46224</v>
      </c>
      <c r="D229" t="s">
        <v>2062</v>
      </c>
      <c r="E229" t="s">
        <v>2059</v>
      </c>
      <c r="F229" t="s">
        <v>45</v>
      </c>
      <c r="G229">
        <v>1023.22</v>
      </c>
      <c r="H229" t="s">
        <v>2060</v>
      </c>
      <c r="I229" t="str">
        <f>VLOOKUP(B229,Customers!A:G,7,FALSE)</f>
        <v>Individual</v>
      </c>
      <c r="Q229" t="str">
        <f>IF(COUNTIF(Customers!$A$2:$A$1001,B229)&gt;0,"Valid","Invalid")</f>
        <v>Valid</v>
      </c>
      <c r="R229" t="str">
        <f>IF(COUNTIF(Branches!$A$2:$A$11,F229)&gt;0,"Valid","Invalid")</f>
        <v>Valid</v>
      </c>
    </row>
    <row r="230" spans="1:18" x14ac:dyDescent="0.25">
      <c r="A230" t="s">
        <v>2301</v>
      </c>
      <c r="B230" t="s">
        <v>505</v>
      </c>
      <c r="C230" s="8">
        <v>46202</v>
      </c>
      <c r="D230" t="s">
        <v>2058</v>
      </c>
      <c r="E230" t="s">
        <v>2076</v>
      </c>
      <c r="F230" t="s">
        <v>27</v>
      </c>
      <c r="G230">
        <v>299.23</v>
      </c>
      <c r="H230" t="s">
        <v>2060</v>
      </c>
      <c r="I230" t="str">
        <f>VLOOKUP(B230,Customers!A:G,7,FALSE)</f>
        <v>Individual</v>
      </c>
      <c r="Q230" t="str">
        <f>IF(COUNTIF(Customers!$A$2:$A$1001,B230)&gt;0,"Valid","Invalid")</f>
        <v>Valid</v>
      </c>
      <c r="R230" t="str">
        <f>IF(COUNTIF(Branches!$A$2:$A$11,F230)&gt;0,"Valid","Invalid")</f>
        <v>Valid</v>
      </c>
    </row>
    <row r="231" spans="1:18" x14ac:dyDescent="0.25">
      <c r="A231" t="s">
        <v>2302</v>
      </c>
      <c r="B231" t="s">
        <v>940</v>
      </c>
      <c r="C231" s="8">
        <v>46040</v>
      </c>
      <c r="D231" t="s">
        <v>2062</v>
      </c>
      <c r="E231" t="s">
        <v>2059</v>
      </c>
      <c r="F231" t="s">
        <v>39</v>
      </c>
      <c r="G231">
        <v>210.18</v>
      </c>
      <c r="H231" t="s">
        <v>2060</v>
      </c>
      <c r="I231" t="str">
        <f>VLOOKUP(B231,Customers!A:G,7,FALSE)</f>
        <v>Individual</v>
      </c>
      <c r="Q231" t="str">
        <f>IF(COUNTIF(Customers!$A$2:$A$1001,B231)&gt;0,"Valid","Invalid")</f>
        <v>Valid</v>
      </c>
      <c r="R231" t="str">
        <f>IF(COUNTIF(Branches!$A$2:$A$11,F231)&gt;0,"Valid","Invalid")</f>
        <v>Valid</v>
      </c>
    </row>
    <row r="232" spans="1:18" x14ac:dyDescent="0.25">
      <c r="A232" t="s">
        <v>2303</v>
      </c>
      <c r="B232" t="s">
        <v>313</v>
      </c>
      <c r="C232" s="8">
        <v>46203</v>
      </c>
      <c r="D232" t="s">
        <v>2070</v>
      </c>
      <c r="E232" t="s">
        <v>2076</v>
      </c>
      <c r="F232" t="s">
        <v>29</v>
      </c>
      <c r="G232">
        <v>557.46</v>
      </c>
      <c r="H232" t="s">
        <v>2060</v>
      </c>
      <c r="I232" t="str">
        <f>VLOOKUP(B232,Customers!A:G,7,FALSE)</f>
        <v>SME</v>
      </c>
      <c r="Q232" t="str">
        <f>IF(COUNTIF(Customers!$A$2:$A$1001,B232)&gt;0,"Valid","Invalid")</f>
        <v>Valid</v>
      </c>
      <c r="R232" t="str">
        <f>IF(COUNTIF(Branches!$A$2:$A$11,F232)&gt;0,"Valid","Invalid")</f>
        <v>Valid</v>
      </c>
    </row>
    <row r="233" spans="1:18" x14ac:dyDescent="0.25">
      <c r="A233" t="s">
        <v>2304</v>
      </c>
      <c r="B233" t="s">
        <v>224</v>
      </c>
      <c r="C233" s="8">
        <v>46213</v>
      </c>
      <c r="D233" t="s">
        <v>2058</v>
      </c>
      <c r="E233" t="s">
        <v>2063</v>
      </c>
      <c r="F233" t="s">
        <v>35</v>
      </c>
      <c r="G233">
        <v>744.41</v>
      </c>
      <c r="H233" t="s">
        <v>2060</v>
      </c>
      <c r="I233" t="str">
        <f>VLOOKUP(B233,Customers!A:G,7,FALSE)</f>
        <v>SME</v>
      </c>
      <c r="Q233" t="str">
        <f>IF(COUNTIF(Customers!$A$2:$A$1001,B233)&gt;0,"Valid","Invalid")</f>
        <v>Valid</v>
      </c>
      <c r="R233" t="str">
        <f>IF(COUNTIF(Branches!$A$2:$A$11,F233)&gt;0,"Valid","Invalid")</f>
        <v>Valid</v>
      </c>
    </row>
    <row r="234" spans="1:18" x14ac:dyDescent="0.25">
      <c r="A234" t="s">
        <v>2305</v>
      </c>
      <c r="B234" t="s">
        <v>987</v>
      </c>
      <c r="C234" s="8">
        <v>46203</v>
      </c>
      <c r="D234" t="s">
        <v>2065</v>
      </c>
      <c r="E234" t="s">
        <v>2068</v>
      </c>
      <c r="F234" t="s">
        <v>11</v>
      </c>
      <c r="G234">
        <v>2351.0700000000002</v>
      </c>
      <c r="H234" t="s">
        <v>2060</v>
      </c>
      <c r="I234" t="str">
        <f>VLOOKUP(B234,Customers!A:G,7,FALSE)</f>
        <v>Individual</v>
      </c>
      <c r="Q234" t="str">
        <f>IF(COUNTIF(Customers!$A$2:$A$1001,B234)&gt;0,"Valid","Invalid")</f>
        <v>Valid</v>
      </c>
      <c r="R234" t="str">
        <f>IF(COUNTIF(Branches!$A$2:$A$11,F234)&gt;0,"Valid","Invalid")</f>
        <v>Valid</v>
      </c>
    </row>
    <row r="235" spans="1:18" x14ac:dyDescent="0.25">
      <c r="A235" t="s">
        <v>2306</v>
      </c>
      <c r="B235" t="s">
        <v>281</v>
      </c>
      <c r="C235" s="8">
        <v>46049</v>
      </c>
      <c r="D235" t="s">
        <v>2067</v>
      </c>
      <c r="E235" t="s">
        <v>2063</v>
      </c>
      <c r="F235" t="s">
        <v>39</v>
      </c>
      <c r="G235">
        <v>2043.52</v>
      </c>
      <c r="H235" t="s">
        <v>2060</v>
      </c>
      <c r="I235" t="str">
        <f>VLOOKUP(B235,Customers!A:G,7,FALSE)</f>
        <v>Individual</v>
      </c>
      <c r="Q235" t="str">
        <f>IF(COUNTIF(Customers!$A$2:$A$1001,B235)&gt;0,"Valid","Invalid")</f>
        <v>Valid</v>
      </c>
      <c r="R235" t="str">
        <f>IF(COUNTIF(Branches!$A$2:$A$11,F235)&gt;0,"Valid","Invalid")</f>
        <v>Valid</v>
      </c>
    </row>
    <row r="236" spans="1:18" x14ac:dyDescent="0.25">
      <c r="A236" t="s">
        <v>2307</v>
      </c>
      <c r="B236" t="s">
        <v>302</v>
      </c>
      <c r="C236" s="8">
        <v>46053</v>
      </c>
      <c r="D236" t="s">
        <v>2062</v>
      </c>
      <c r="E236" t="s">
        <v>2059</v>
      </c>
      <c r="F236" t="s">
        <v>16</v>
      </c>
      <c r="G236">
        <v>977.34</v>
      </c>
      <c r="H236" t="s">
        <v>2060</v>
      </c>
      <c r="I236" t="str">
        <f>VLOOKUP(B236,Customers!A:G,7,FALSE)</f>
        <v>Individual</v>
      </c>
      <c r="Q236" t="str">
        <f>IF(COUNTIF(Customers!$A$2:$A$1001,B236)&gt;0,"Valid","Invalid")</f>
        <v>Valid</v>
      </c>
      <c r="R236" t="str">
        <f>IF(COUNTIF(Branches!$A$2:$A$11,F236)&gt;0,"Valid","Invalid")</f>
        <v>Valid</v>
      </c>
    </row>
    <row r="237" spans="1:18" x14ac:dyDescent="0.25">
      <c r="A237" t="s">
        <v>2308</v>
      </c>
      <c r="B237" t="s">
        <v>1012</v>
      </c>
      <c r="C237" s="8">
        <v>46241</v>
      </c>
      <c r="D237" t="s">
        <v>2058</v>
      </c>
      <c r="E237" t="s">
        <v>2063</v>
      </c>
      <c r="F237" t="s">
        <v>27</v>
      </c>
      <c r="G237">
        <v>2671.88</v>
      </c>
      <c r="H237" t="s">
        <v>2060</v>
      </c>
      <c r="I237" t="str">
        <f>VLOOKUP(B237,Customers!A:G,7,FALSE)</f>
        <v>Individual</v>
      </c>
      <c r="Q237" t="str">
        <f>IF(COUNTIF(Customers!$A$2:$A$1001,B237)&gt;0,"Valid","Invalid")</f>
        <v>Valid</v>
      </c>
      <c r="R237" t="str">
        <f>IF(COUNTIF(Branches!$A$2:$A$11,F237)&gt;0,"Valid","Invalid")</f>
        <v>Valid</v>
      </c>
    </row>
    <row r="238" spans="1:18" x14ac:dyDescent="0.25">
      <c r="A238" t="s">
        <v>2309</v>
      </c>
      <c r="B238" t="s">
        <v>560</v>
      </c>
      <c r="C238" s="8">
        <v>46128</v>
      </c>
      <c r="D238" t="s">
        <v>2065</v>
      </c>
      <c r="E238" t="s">
        <v>2068</v>
      </c>
      <c r="F238" t="s">
        <v>27</v>
      </c>
      <c r="G238">
        <v>316.24</v>
      </c>
      <c r="H238" t="s">
        <v>2060</v>
      </c>
      <c r="I238" t="str">
        <f>VLOOKUP(B238,Customers!A:G,7,FALSE)</f>
        <v>Individual</v>
      </c>
      <c r="Q238" t="str">
        <f>IF(COUNTIF(Customers!$A$2:$A$1001,B238)&gt;0,"Valid","Invalid")</f>
        <v>Valid</v>
      </c>
      <c r="R238" t="str">
        <f>IF(COUNTIF(Branches!$A$2:$A$11,F238)&gt;0,"Valid","Invalid")</f>
        <v>Valid</v>
      </c>
    </row>
    <row r="239" spans="1:18" x14ac:dyDescent="0.25">
      <c r="A239" t="s">
        <v>2310</v>
      </c>
      <c r="B239" t="s">
        <v>1001</v>
      </c>
      <c r="C239" s="8">
        <v>46151</v>
      </c>
      <c r="D239" t="s">
        <v>2065</v>
      </c>
      <c r="E239" t="s">
        <v>2063</v>
      </c>
      <c r="F239" t="s">
        <v>29</v>
      </c>
      <c r="G239">
        <v>2385.91</v>
      </c>
      <c r="H239" t="s">
        <v>2060</v>
      </c>
      <c r="I239" t="str">
        <f>VLOOKUP(B239,Customers!A:G,7,FALSE)</f>
        <v>Individual</v>
      </c>
      <c r="Q239" t="str">
        <f>IF(COUNTIF(Customers!$A$2:$A$1001,B239)&gt;0,"Valid","Invalid")</f>
        <v>Valid</v>
      </c>
      <c r="R239" t="str">
        <f>IF(COUNTIF(Branches!$A$2:$A$11,F239)&gt;0,"Valid","Invalid")</f>
        <v>Valid</v>
      </c>
    </row>
    <row r="240" spans="1:18" x14ac:dyDescent="0.25">
      <c r="A240" t="s">
        <v>2311</v>
      </c>
      <c r="B240" t="s">
        <v>716</v>
      </c>
      <c r="C240" s="8">
        <v>46028</v>
      </c>
      <c r="D240" t="s">
        <v>2058</v>
      </c>
      <c r="E240" t="s">
        <v>2059</v>
      </c>
      <c r="F240" t="s">
        <v>11</v>
      </c>
      <c r="G240">
        <v>368.55</v>
      </c>
      <c r="H240" t="s">
        <v>2060</v>
      </c>
      <c r="I240" t="str">
        <f>VLOOKUP(B240,Customers!A:G,7,FALSE)</f>
        <v>Individual</v>
      </c>
      <c r="Q240" t="str">
        <f>IF(COUNTIF(Customers!$A$2:$A$1001,B240)&gt;0,"Valid","Invalid")</f>
        <v>Valid</v>
      </c>
      <c r="R240" t="str">
        <f>IF(COUNTIF(Branches!$A$2:$A$11,F240)&gt;0,"Valid","Invalid")</f>
        <v>Valid</v>
      </c>
    </row>
    <row r="241" spans="1:18" x14ac:dyDescent="0.25">
      <c r="A241" t="s">
        <v>2312</v>
      </c>
      <c r="B241" t="s">
        <v>579</v>
      </c>
      <c r="C241" s="8">
        <v>46033</v>
      </c>
      <c r="D241" t="s">
        <v>2065</v>
      </c>
      <c r="E241" t="s">
        <v>2059</v>
      </c>
      <c r="F241" t="s">
        <v>35</v>
      </c>
      <c r="G241">
        <v>2806.5</v>
      </c>
      <c r="H241" t="s">
        <v>2060</v>
      </c>
      <c r="I241" t="str">
        <f>VLOOKUP(B241,Customers!A:G,7,FALSE)</f>
        <v>Corporate</v>
      </c>
      <c r="Q241" t="str">
        <f>IF(COUNTIF(Customers!$A$2:$A$1001,B241)&gt;0,"Valid","Invalid")</f>
        <v>Valid</v>
      </c>
      <c r="R241" t="str">
        <f>IF(COUNTIF(Branches!$A$2:$A$11,F241)&gt;0,"Valid","Invalid")</f>
        <v>Valid</v>
      </c>
    </row>
    <row r="242" spans="1:18" x14ac:dyDescent="0.25">
      <c r="A242" t="s">
        <v>2313</v>
      </c>
      <c r="B242" t="s">
        <v>821</v>
      </c>
      <c r="C242" s="8">
        <v>46184</v>
      </c>
      <c r="D242" t="s">
        <v>2058</v>
      </c>
      <c r="E242" t="s">
        <v>2068</v>
      </c>
      <c r="F242" t="s">
        <v>29</v>
      </c>
      <c r="G242">
        <v>801.64</v>
      </c>
      <c r="H242" t="s">
        <v>2060</v>
      </c>
      <c r="I242" t="str">
        <f>VLOOKUP(B242,Customers!A:G,7,FALSE)</f>
        <v>SME</v>
      </c>
      <c r="Q242" t="str">
        <f>IF(COUNTIF(Customers!$A$2:$A$1001,B242)&gt;0,"Valid","Invalid")</f>
        <v>Valid</v>
      </c>
      <c r="R242" t="str">
        <f>IF(COUNTIF(Branches!$A$2:$A$11,F242)&gt;0,"Valid","Invalid")</f>
        <v>Valid</v>
      </c>
    </row>
    <row r="243" spans="1:18" x14ac:dyDescent="0.25">
      <c r="A243" t="s">
        <v>2314</v>
      </c>
      <c r="B243" t="s">
        <v>123</v>
      </c>
      <c r="C243" s="8">
        <v>46253</v>
      </c>
      <c r="D243" t="s">
        <v>2062</v>
      </c>
      <c r="E243" t="s">
        <v>2059</v>
      </c>
      <c r="F243" t="s">
        <v>35</v>
      </c>
      <c r="G243">
        <v>110.14</v>
      </c>
      <c r="H243" t="s">
        <v>2060</v>
      </c>
      <c r="I243" t="str">
        <f>VLOOKUP(B243,Customers!A:G,7,FALSE)</f>
        <v>Corporate</v>
      </c>
      <c r="Q243" t="str">
        <f>IF(COUNTIF(Customers!$A$2:$A$1001,B243)&gt;0,"Valid","Invalid")</f>
        <v>Valid</v>
      </c>
      <c r="R243" t="str">
        <f>IF(COUNTIF(Branches!$A$2:$A$11,F243)&gt;0,"Valid","Invalid")</f>
        <v>Valid</v>
      </c>
    </row>
    <row r="244" spans="1:18" x14ac:dyDescent="0.25">
      <c r="A244" t="s">
        <v>2315</v>
      </c>
      <c r="B244" t="s">
        <v>573</v>
      </c>
      <c r="C244" s="8">
        <v>46234</v>
      </c>
      <c r="D244" t="s">
        <v>2058</v>
      </c>
      <c r="E244" t="s">
        <v>2068</v>
      </c>
      <c r="F244" t="s">
        <v>39</v>
      </c>
      <c r="G244">
        <v>1686.07</v>
      </c>
      <c r="H244" t="s">
        <v>2060</v>
      </c>
      <c r="I244" t="str">
        <f>VLOOKUP(B244,Customers!A:G,7,FALSE)</f>
        <v>Individual</v>
      </c>
      <c r="Q244" t="str">
        <f>IF(COUNTIF(Customers!$A$2:$A$1001,B244)&gt;0,"Valid","Invalid")</f>
        <v>Valid</v>
      </c>
      <c r="R244" t="str">
        <f>IF(COUNTIF(Branches!$A$2:$A$11,F244)&gt;0,"Valid","Invalid")</f>
        <v>Valid</v>
      </c>
    </row>
    <row r="245" spans="1:18" x14ac:dyDescent="0.25">
      <c r="A245" t="s">
        <v>2316</v>
      </c>
      <c r="B245" t="s">
        <v>247</v>
      </c>
      <c r="C245" s="8">
        <v>46213</v>
      </c>
      <c r="D245" t="s">
        <v>2065</v>
      </c>
      <c r="E245" t="s">
        <v>2063</v>
      </c>
      <c r="F245" t="s">
        <v>53</v>
      </c>
      <c r="G245">
        <v>1825.38</v>
      </c>
      <c r="H245" t="s">
        <v>2060</v>
      </c>
      <c r="I245" t="str">
        <f>VLOOKUP(B245,Customers!A:G,7,FALSE)</f>
        <v>Individual</v>
      </c>
      <c r="Q245" t="str">
        <f>IF(COUNTIF(Customers!$A$2:$A$1001,B245)&gt;0,"Valid","Invalid")</f>
        <v>Valid</v>
      </c>
      <c r="R245" t="str">
        <f>IF(COUNTIF(Branches!$A$2:$A$11,F245)&gt;0,"Valid","Invalid")</f>
        <v>Valid</v>
      </c>
    </row>
    <row r="246" spans="1:18" x14ac:dyDescent="0.25">
      <c r="A246" t="s">
        <v>2317</v>
      </c>
      <c r="B246" t="s">
        <v>81</v>
      </c>
      <c r="C246" s="8">
        <v>46203</v>
      </c>
      <c r="D246" t="s">
        <v>2065</v>
      </c>
      <c r="E246" t="s">
        <v>2063</v>
      </c>
      <c r="F246" t="s">
        <v>27</v>
      </c>
      <c r="G246">
        <v>514.62</v>
      </c>
      <c r="H246" t="s">
        <v>2060</v>
      </c>
      <c r="I246" t="str">
        <f>VLOOKUP(B246,Customers!A:G,7,FALSE)</f>
        <v>Individual</v>
      </c>
      <c r="Q246" t="str">
        <f>IF(COUNTIF(Customers!$A$2:$A$1001,B246)&gt;0,"Valid","Invalid")</f>
        <v>Valid</v>
      </c>
      <c r="R246" t="str">
        <f>IF(COUNTIF(Branches!$A$2:$A$11,F246)&gt;0,"Valid","Invalid")</f>
        <v>Valid</v>
      </c>
    </row>
    <row r="247" spans="1:18" x14ac:dyDescent="0.25">
      <c r="A247" t="s">
        <v>2318</v>
      </c>
      <c r="B247" t="s">
        <v>505</v>
      </c>
      <c r="C247" s="8">
        <v>46235</v>
      </c>
      <c r="D247" t="s">
        <v>2065</v>
      </c>
      <c r="E247" t="s">
        <v>2059</v>
      </c>
      <c r="F247" t="s">
        <v>29</v>
      </c>
      <c r="G247">
        <v>560.45000000000005</v>
      </c>
      <c r="H247" t="s">
        <v>2060</v>
      </c>
      <c r="I247" t="str">
        <f>VLOOKUP(B247,Customers!A:G,7,FALSE)</f>
        <v>Individual</v>
      </c>
      <c r="Q247" t="str">
        <f>IF(COUNTIF(Customers!$A$2:$A$1001,B247)&gt;0,"Valid","Invalid")</f>
        <v>Valid</v>
      </c>
      <c r="R247" t="str">
        <f>IF(COUNTIF(Branches!$A$2:$A$11,F247)&gt;0,"Valid","Invalid")</f>
        <v>Valid</v>
      </c>
    </row>
    <row r="248" spans="1:18" x14ac:dyDescent="0.25">
      <c r="A248" t="s">
        <v>2319</v>
      </c>
      <c r="B248" t="s">
        <v>578</v>
      </c>
      <c r="C248" s="8">
        <v>46235</v>
      </c>
      <c r="D248" t="s">
        <v>2065</v>
      </c>
      <c r="E248" t="s">
        <v>2073</v>
      </c>
      <c r="F248" t="s">
        <v>47</v>
      </c>
      <c r="G248">
        <v>692.6</v>
      </c>
      <c r="H248" t="s">
        <v>2060</v>
      </c>
      <c r="I248" t="str">
        <f>VLOOKUP(B248,Customers!A:G,7,FALSE)</f>
        <v>SME</v>
      </c>
      <c r="Q248" t="str">
        <f>IF(COUNTIF(Customers!$A$2:$A$1001,B248)&gt;0,"Valid","Invalid")</f>
        <v>Valid</v>
      </c>
      <c r="R248" t="str">
        <f>IF(COUNTIF(Branches!$A$2:$A$11,F248)&gt;0,"Valid","Invalid")</f>
        <v>Valid</v>
      </c>
    </row>
    <row r="249" spans="1:18" x14ac:dyDescent="0.25">
      <c r="A249" t="s">
        <v>2320</v>
      </c>
      <c r="B249" t="s">
        <v>60</v>
      </c>
      <c r="C249" s="8">
        <v>46040</v>
      </c>
      <c r="D249" t="s">
        <v>2058</v>
      </c>
      <c r="E249" t="s">
        <v>2063</v>
      </c>
      <c r="F249" t="s">
        <v>11</v>
      </c>
      <c r="G249">
        <v>118.49</v>
      </c>
      <c r="H249" t="s">
        <v>2060</v>
      </c>
      <c r="I249" t="str">
        <f>VLOOKUP(B249,Customers!A:G,7,FALSE)</f>
        <v>Student</v>
      </c>
      <c r="Q249" t="str">
        <f>IF(COUNTIF(Customers!$A$2:$A$1001,B249)&gt;0,"Valid","Invalid")</f>
        <v>Valid</v>
      </c>
      <c r="R249" t="str">
        <f>IF(COUNTIF(Branches!$A$2:$A$11,F249)&gt;0,"Valid","Invalid")</f>
        <v>Valid</v>
      </c>
    </row>
    <row r="250" spans="1:18" x14ac:dyDescent="0.25">
      <c r="A250" t="s">
        <v>2321</v>
      </c>
      <c r="B250" t="s">
        <v>304</v>
      </c>
      <c r="C250" s="8">
        <v>46043</v>
      </c>
      <c r="D250" t="s">
        <v>2058</v>
      </c>
      <c r="E250" t="s">
        <v>2063</v>
      </c>
      <c r="F250" t="s">
        <v>11</v>
      </c>
      <c r="G250">
        <v>76.349999999999994</v>
      </c>
      <c r="H250" t="s">
        <v>2060</v>
      </c>
      <c r="I250" t="str">
        <f>VLOOKUP(B250,Customers!A:G,7,FALSE)</f>
        <v>SME</v>
      </c>
      <c r="Q250" t="str">
        <f>IF(COUNTIF(Customers!$A$2:$A$1001,B250)&gt;0,"Valid","Invalid")</f>
        <v>Valid</v>
      </c>
      <c r="R250" t="str">
        <f>IF(COUNTIF(Branches!$A$2:$A$11,F250)&gt;0,"Valid","Invalid")</f>
        <v>Valid</v>
      </c>
    </row>
    <row r="251" spans="1:18" x14ac:dyDescent="0.25">
      <c r="A251" t="s">
        <v>2322</v>
      </c>
      <c r="B251" t="s">
        <v>211</v>
      </c>
      <c r="C251" s="8">
        <v>46041</v>
      </c>
      <c r="D251" t="s">
        <v>2065</v>
      </c>
      <c r="E251" t="s">
        <v>2063</v>
      </c>
      <c r="F251" t="s">
        <v>35</v>
      </c>
      <c r="G251">
        <v>2985.81</v>
      </c>
      <c r="H251" t="s">
        <v>2060</v>
      </c>
      <c r="I251" t="str">
        <f>VLOOKUP(B251,Customers!A:G,7,FALSE)</f>
        <v>SME</v>
      </c>
      <c r="Q251" t="str">
        <f>IF(COUNTIF(Customers!$A$2:$A$1001,B251)&gt;0,"Valid","Invalid")</f>
        <v>Valid</v>
      </c>
      <c r="R251" t="str">
        <f>IF(COUNTIF(Branches!$A$2:$A$11,F251)&gt;0,"Valid","Invalid")</f>
        <v>Valid</v>
      </c>
    </row>
    <row r="252" spans="1:18" x14ac:dyDescent="0.25">
      <c r="A252" t="s">
        <v>2323</v>
      </c>
      <c r="B252" t="s">
        <v>554</v>
      </c>
      <c r="C252" s="8">
        <v>46026</v>
      </c>
      <c r="D252" t="s">
        <v>2065</v>
      </c>
      <c r="E252" t="s">
        <v>2076</v>
      </c>
      <c r="F252" t="s">
        <v>11</v>
      </c>
      <c r="G252">
        <v>356.36</v>
      </c>
      <c r="H252" t="s">
        <v>2060</v>
      </c>
      <c r="I252" t="str">
        <f>VLOOKUP(B252,Customers!A:G,7,FALSE)</f>
        <v>Student</v>
      </c>
      <c r="Q252" t="str">
        <f>IF(COUNTIF(Customers!$A$2:$A$1001,B252)&gt;0,"Valid","Invalid")</f>
        <v>Valid</v>
      </c>
      <c r="R252" t="str">
        <f>IF(COUNTIF(Branches!$A$2:$A$11,F252)&gt;0,"Valid","Invalid")</f>
        <v>Valid</v>
      </c>
    </row>
    <row r="253" spans="1:18" x14ac:dyDescent="0.25">
      <c r="A253" t="s">
        <v>2324</v>
      </c>
      <c r="B253" t="s">
        <v>349</v>
      </c>
      <c r="C253" s="8">
        <v>46099</v>
      </c>
      <c r="D253" t="s">
        <v>2065</v>
      </c>
      <c r="E253" t="s">
        <v>2059</v>
      </c>
      <c r="F253" t="s">
        <v>27</v>
      </c>
      <c r="G253">
        <v>5194.0200000000004</v>
      </c>
      <c r="H253" t="s">
        <v>2060</v>
      </c>
      <c r="I253" t="str">
        <f>VLOOKUP(B253,Customers!A:G,7,FALSE)</f>
        <v>Individual</v>
      </c>
      <c r="Q253" t="str">
        <f>IF(COUNTIF(Customers!$A$2:$A$1001,B253)&gt;0,"Valid","Invalid")</f>
        <v>Valid</v>
      </c>
      <c r="R253" t="str">
        <f>IF(COUNTIF(Branches!$A$2:$A$11,F253)&gt;0,"Valid","Invalid")</f>
        <v>Valid</v>
      </c>
    </row>
    <row r="254" spans="1:18" x14ac:dyDescent="0.25">
      <c r="A254" t="s">
        <v>2325</v>
      </c>
      <c r="B254" t="s">
        <v>360</v>
      </c>
      <c r="C254" s="8">
        <v>46232</v>
      </c>
      <c r="D254" t="s">
        <v>2070</v>
      </c>
      <c r="E254" t="s">
        <v>2068</v>
      </c>
      <c r="F254" t="s">
        <v>47</v>
      </c>
      <c r="G254">
        <v>3198.39</v>
      </c>
      <c r="H254" t="s">
        <v>2060</v>
      </c>
      <c r="I254" t="str">
        <f>VLOOKUP(B254,Customers!A:G,7,FALSE)</f>
        <v>SME</v>
      </c>
      <c r="Q254" t="str">
        <f>IF(COUNTIF(Customers!$A$2:$A$1001,B254)&gt;0,"Valid","Invalid")</f>
        <v>Valid</v>
      </c>
      <c r="R254" t="str">
        <f>IF(COUNTIF(Branches!$A$2:$A$11,F254)&gt;0,"Valid","Invalid")</f>
        <v>Valid</v>
      </c>
    </row>
    <row r="255" spans="1:18" x14ac:dyDescent="0.25">
      <c r="A255" t="s">
        <v>2326</v>
      </c>
      <c r="B255" t="s">
        <v>617</v>
      </c>
      <c r="C255" s="8">
        <v>46138</v>
      </c>
      <c r="D255" t="s">
        <v>2067</v>
      </c>
      <c r="E255" t="s">
        <v>2063</v>
      </c>
      <c r="F255" t="s">
        <v>21</v>
      </c>
      <c r="G255">
        <v>3894.01</v>
      </c>
      <c r="H255" t="s">
        <v>2060</v>
      </c>
      <c r="I255" t="str">
        <f>VLOOKUP(B255,Customers!A:G,7,FALSE)</f>
        <v>Individual</v>
      </c>
      <c r="Q255" t="str">
        <f>IF(COUNTIF(Customers!$A$2:$A$1001,B255)&gt;0,"Valid","Invalid")</f>
        <v>Valid</v>
      </c>
      <c r="R255" t="str">
        <f>IF(COUNTIF(Branches!$A$2:$A$11,F255)&gt;0,"Valid","Invalid")</f>
        <v>Valid</v>
      </c>
    </row>
    <row r="256" spans="1:18" x14ac:dyDescent="0.25">
      <c r="A256" t="s">
        <v>2327</v>
      </c>
      <c r="B256" t="s">
        <v>171</v>
      </c>
      <c r="C256" s="8">
        <v>46179</v>
      </c>
      <c r="D256" t="s">
        <v>2062</v>
      </c>
      <c r="E256" t="s">
        <v>2063</v>
      </c>
      <c r="F256" t="s">
        <v>27</v>
      </c>
      <c r="G256">
        <v>423.99</v>
      </c>
      <c r="H256" t="s">
        <v>2060</v>
      </c>
      <c r="I256" t="str">
        <f>VLOOKUP(B256,Customers!A:G,7,FALSE)</f>
        <v>Corporate</v>
      </c>
      <c r="Q256" t="str">
        <f>IF(COUNTIF(Customers!$A$2:$A$1001,B256)&gt;0,"Valid","Invalid")</f>
        <v>Valid</v>
      </c>
      <c r="R256" t="str">
        <f>IF(COUNTIF(Branches!$A$2:$A$11,F256)&gt;0,"Valid","Invalid")</f>
        <v>Valid</v>
      </c>
    </row>
    <row r="257" spans="1:18" x14ac:dyDescent="0.25">
      <c r="A257" t="s">
        <v>2328</v>
      </c>
      <c r="B257" t="s">
        <v>91</v>
      </c>
      <c r="C257" s="8">
        <v>46047</v>
      </c>
      <c r="D257" t="s">
        <v>2062</v>
      </c>
      <c r="E257" t="s">
        <v>2063</v>
      </c>
      <c r="F257" t="s">
        <v>53</v>
      </c>
      <c r="G257">
        <v>162.65</v>
      </c>
      <c r="H257" t="s">
        <v>2060</v>
      </c>
      <c r="I257" t="str">
        <f>VLOOKUP(B257,Customers!A:G,7,FALSE)</f>
        <v>Individual</v>
      </c>
      <c r="Q257" t="str">
        <f>IF(COUNTIF(Customers!$A$2:$A$1001,B257)&gt;0,"Valid","Invalid")</f>
        <v>Valid</v>
      </c>
      <c r="R257" t="str">
        <f>IF(COUNTIF(Branches!$A$2:$A$11,F257)&gt;0,"Valid","Invalid")</f>
        <v>Valid</v>
      </c>
    </row>
    <row r="258" spans="1:18" x14ac:dyDescent="0.25">
      <c r="A258" t="s">
        <v>2329</v>
      </c>
      <c r="B258" t="s">
        <v>1014</v>
      </c>
      <c r="C258" s="8">
        <v>46206</v>
      </c>
      <c r="D258" t="s">
        <v>2058</v>
      </c>
      <c r="E258" t="s">
        <v>2076</v>
      </c>
      <c r="F258" t="s">
        <v>16</v>
      </c>
      <c r="G258">
        <v>274</v>
      </c>
      <c r="H258" t="s">
        <v>2060</v>
      </c>
      <c r="I258" t="str">
        <f>VLOOKUP(B258,Customers!A:G,7,FALSE)</f>
        <v>SME</v>
      </c>
      <c r="Q258" t="str">
        <f>IF(COUNTIF(Customers!$A$2:$A$1001,B258)&gt;0,"Valid","Invalid")</f>
        <v>Valid</v>
      </c>
      <c r="R258" t="str">
        <f>IF(COUNTIF(Branches!$A$2:$A$11,F258)&gt;0,"Valid","Invalid")</f>
        <v>Valid</v>
      </c>
    </row>
    <row r="259" spans="1:18" x14ac:dyDescent="0.25">
      <c r="A259" t="s">
        <v>2330</v>
      </c>
      <c r="B259" t="s">
        <v>581</v>
      </c>
      <c r="C259" s="8">
        <v>46099</v>
      </c>
      <c r="D259" t="s">
        <v>2062</v>
      </c>
      <c r="E259" t="s">
        <v>2076</v>
      </c>
      <c r="F259" t="s">
        <v>35</v>
      </c>
      <c r="G259">
        <v>519.85</v>
      </c>
      <c r="H259" t="s">
        <v>2115</v>
      </c>
      <c r="I259" t="str">
        <f>VLOOKUP(B259,Customers!A:G,7,FALSE)</f>
        <v>Individual</v>
      </c>
      <c r="Q259" t="str">
        <f>IF(COUNTIF(Customers!$A$2:$A$1001,B259)&gt;0,"Valid","Invalid")</f>
        <v>Valid</v>
      </c>
      <c r="R259" t="str">
        <f>IF(COUNTIF(Branches!$A$2:$A$11,F259)&gt;0,"Valid","Invalid")</f>
        <v>Valid</v>
      </c>
    </row>
    <row r="260" spans="1:18" x14ac:dyDescent="0.25">
      <c r="A260" t="s">
        <v>2331</v>
      </c>
      <c r="B260" t="s">
        <v>624</v>
      </c>
      <c r="C260" s="8">
        <v>46213</v>
      </c>
      <c r="D260" t="s">
        <v>2065</v>
      </c>
      <c r="E260" t="s">
        <v>2063</v>
      </c>
      <c r="F260" t="s">
        <v>39</v>
      </c>
      <c r="G260">
        <v>75.7</v>
      </c>
      <c r="H260" t="s">
        <v>2060</v>
      </c>
      <c r="I260" t="str">
        <f>VLOOKUP(B260,Customers!A:G,7,FALSE)</f>
        <v>Corporate</v>
      </c>
      <c r="Q260" t="str">
        <f>IF(COUNTIF(Customers!$A$2:$A$1001,B260)&gt;0,"Valid","Invalid")</f>
        <v>Valid</v>
      </c>
      <c r="R260" t="str">
        <f>IF(COUNTIF(Branches!$A$2:$A$11,F260)&gt;0,"Valid","Invalid")</f>
        <v>Valid</v>
      </c>
    </row>
    <row r="261" spans="1:18" x14ac:dyDescent="0.25">
      <c r="A261" t="s">
        <v>2332</v>
      </c>
      <c r="B261" t="s">
        <v>569</v>
      </c>
      <c r="C261" s="8">
        <v>46177</v>
      </c>
      <c r="D261" t="s">
        <v>2058</v>
      </c>
      <c r="E261" t="s">
        <v>2073</v>
      </c>
      <c r="F261" t="s">
        <v>35</v>
      </c>
      <c r="G261">
        <v>505.01</v>
      </c>
      <c r="H261" t="s">
        <v>2060</v>
      </c>
      <c r="I261" t="str">
        <f>VLOOKUP(B261,Customers!A:G,7,FALSE)</f>
        <v>Individual</v>
      </c>
      <c r="Q261" t="str">
        <f>IF(COUNTIF(Customers!$A$2:$A$1001,B261)&gt;0,"Valid","Invalid")</f>
        <v>Valid</v>
      </c>
      <c r="R261" t="str">
        <f>IF(COUNTIF(Branches!$A$2:$A$11,F261)&gt;0,"Valid","Invalid")</f>
        <v>Valid</v>
      </c>
    </row>
    <row r="262" spans="1:18" x14ac:dyDescent="0.25">
      <c r="A262" t="s">
        <v>2333</v>
      </c>
      <c r="B262" t="s">
        <v>192</v>
      </c>
      <c r="C262" s="8">
        <v>46210</v>
      </c>
      <c r="D262" t="s">
        <v>2065</v>
      </c>
      <c r="E262" t="s">
        <v>2059</v>
      </c>
      <c r="F262" t="s">
        <v>27</v>
      </c>
      <c r="G262">
        <v>664.03</v>
      </c>
      <c r="H262" t="s">
        <v>2060</v>
      </c>
      <c r="I262" t="str">
        <f>VLOOKUP(B262,Customers!A:G,7,FALSE)</f>
        <v>Individual</v>
      </c>
      <c r="Q262" t="str">
        <f>IF(COUNTIF(Customers!$A$2:$A$1001,B262)&gt;0,"Valid","Invalid")</f>
        <v>Valid</v>
      </c>
      <c r="R262" t="str">
        <f>IF(COUNTIF(Branches!$A$2:$A$11,F262)&gt;0,"Valid","Invalid")</f>
        <v>Valid</v>
      </c>
    </row>
    <row r="263" spans="1:18" x14ac:dyDescent="0.25">
      <c r="A263" t="s">
        <v>2334</v>
      </c>
      <c r="B263" t="s">
        <v>887</v>
      </c>
      <c r="C263" s="8">
        <v>46233</v>
      </c>
      <c r="D263" t="s">
        <v>2062</v>
      </c>
      <c r="E263" t="s">
        <v>2076</v>
      </c>
      <c r="F263" t="s">
        <v>45</v>
      </c>
      <c r="G263">
        <v>222.65</v>
      </c>
      <c r="H263" t="s">
        <v>2060</v>
      </c>
      <c r="I263" t="str">
        <f>VLOOKUP(B263,Customers!A:G,7,FALSE)</f>
        <v>Individual</v>
      </c>
      <c r="Q263" t="str">
        <f>IF(COUNTIF(Customers!$A$2:$A$1001,B263)&gt;0,"Valid","Invalid")</f>
        <v>Valid</v>
      </c>
      <c r="R263" t="str">
        <f>IF(COUNTIF(Branches!$A$2:$A$11,F263)&gt;0,"Valid","Invalid")</f>
        <v>Valid</v>
      </c>
    </row>
    <row r="264" spans="1:18" x14ac:dyDescent="0.25">
      <c r="A264" t="s">
        <v>2335</v>
      </c>
      <c r="B264" t="s">
        <v>706</v>
      </c>
      <c r="C264" s="8">
        <v>46071</v>
      </c>
      <c r="D264" t="s">
        <v>2065</v>
      </c>
      <c r="E264" t="s">
        <v>2059</v>
      </c>
      <c r="F264" t="s">
        <v>11</v>
      </c>
      <c r="G264">
        <v>287.01</v>
      </c>
      <c r="H264" t="s">
        <v>2060</v>
      </c>
      <c r="I264" t="str">
        <f>VLOOKUP(B264,Customers!A:G,7,FALSE)</f>
        <v>SME</v>
      </c>
      <c r="Q264" t="str">
        <f>IF(COUNTIF(Customers!$A$2:$A$1001,B264)&gt;0,"Valid","Invalid")</f>
        <v>Valid</v>
      </c>
      <c r="R264" t="str">
        <f>IF(COUNTIF(Branches!$A$2:$A$11,F264)&gt;0,"Valid","Invalid")</f>
        <v>Valid</v>
      </c>
    </row>
    <row r="265" spans="1:18" x14ac:dyDescent="0.25">
      <c r="A265" t="s">
        <v>2336</v>
      </c>
      <c r="B265" t="s">
        <v>183</v>
      </c>
      <c r="C265" s="8">
        <v>46087</v>
      </c>
      <c r="D265" t="s">
        <v>2062</v>
      </c>
      <c r="E265" t="s">
        <v>2063</v>
      </c>
      <c r="F265" t="s">
        <v>29</v>
      </c>
      <c r="G265">
        <v>651.58000000000004</v>
      </c>
      <c r="H265" t="s">
        <v>2060</v>
      </c>
      <c r="I265" t="str">
        <f>VLOOKUP(B265,Customers!A:G,7,FALSE)</f>
        <v>Corporate</v>
      </c>
      <c r="Q265" t="str">
        <f>IF(COUNTIF(Customers!$A$2:$A$1001,B265)&gt;0,"Valid","Invalid")</f>
        <v>Valid</v>
      </c>
      <c r="R265" t="str">
        <f>IF(COUNTIF(Branches!$A$2:$A$11,F265)&gt;0,"Valid","Invalid")</f>
        <v>Valid</v>
      </c>
    </row>
    <row r="266" spans="1:18" x14ac:dyDescent="0.25">
      <c r="A266" t="s">
        <v>2337</v>
      </c>
      <c r="B266" t="s">
        <v>523</v>
      </c>
      <c r="C266" s="8">
        <v>46188</v>
      </c>
      <c r="D266" t="s">
        <v>2065</v>
      </c>
      <c r="E266" t="s">
        <v>2068</v>
      </c>
      <c r="F266" t="s">
        <v>16</v>
      </c>
      <c r="G266">
        <v>1160.1300000000001</v>
      </c>
      <c r="H266" t="s">
        <v>2060</v>
      </c>
      <c r="I266" t="str">
        <f>VLOOKUP(B266,Customers!A:G,7,FALSE)</f>
        <v>SME</v>
      </c>
      <c r="Q266" t="str">
        <f>IF(COUNTIF(Customers!$A$2:$A$1001,B266)&gt;0,"Valid","Invalid")</f>
        <v>Valid</v>
      </c>
      <c r="R266" t="str">
        <f>IF(COUNTIF(Branches!$A$2:$A$11,F266)&gt;0,"Valid","Invalid")</f>
        <v>Valid</v>
      </c>
    </row>
    <row r="267" spans="1:18" x14ac:dyDescent="0.25">
      <c r="A267" t="s">
        <v>2338</v>
      </c>
      <c r="B267" t="s">
        <v>637</v>
      </c>
      <c r="C267" s="8">
        <v>46105</v>
      </c>
      <c r="D267" t="s">
        <v>2062</v>
      </c>
      <c r="E267" t="s">
        <v>2068</v>
      </c>
      <c r="F267" t="s">
        <v>47</v>
      </c>
      <c r="G267">
        <v>333.34</v>
      </c>
      <c r="H267" t="s">
        <v>2115</v>
      </c>
      <c r="I267" t="str">
        <f>VLOOKUP(B267,Customers!A:G,7,FALSE)</f>
        <v>Individual</v>
      </c>
      <c r="Q267" t="str">
        <f>IF(COUNTIF(Customers!$A$2:$A$1001,B267)&gt;0,"Valid","Invalid")</f>
        <v>Valid</v>
      </c>
      <c r="R267" t="str">
        <f>IF(COUNTIF(Branches!$A$2:$A$11,F267)&gt;0,"Valid","Invalid")</f>
        <v>Valid</v>
      </c>
    </row>
    <row r="268" spans="1:18" x14ac:dyDescent="0.25">
      <c r="A268" t="s">
        <v>2339</v>
      </c>
      <c r="B268" t="s">
        <v>54</v>
      </c>
      <c r="C268" s="8">
        <v>46202</v>
      </c>
      <c r="D268" t="s">
        <v>2067</v>
      </c>
      <c r="E268" t="s">
        <v>2059</v>
      </c>
      <c r="F268" t="s">
        <v>47</v>
      </c>
      <c r="G268">
        <v>1088.17</v>
      </c>
      <c r="H268" t="s">
        <v>2060</v>
      </c>
      <c r="I268" t="str">
        <f>VLOOKUP(B268,Customers!A:G,7,FALSE)</f>
        <v>Individual</v>
      </c>
      <c r="Q268" t="str">
        <f>IF(COUNTIF(Customers!$A$2:$A$1001,B268)&gt;0,"Valid","Invalid")</f>
        <v>Valid</v>
      </c>
      <c r="R268" t="str">
        <f>IF(COUNTIF(Branches!$A$2:$A$11,F268)&gt;0,"Valid","Invalid")</f>
        <v>Valid</v>
      </c>
    </row>
    <row r="269" spans="1:18" x14ac:dyDescent="0.25">
      <c r="A269" t="s">
        <v>2340</v>
      </c>
      <c r="B269" t="s">
        <v>307</v>
      </c>
      <c r="C269" s="8">
        <v>46023</v>
      </c>
      <c r="D269" t="s">
        <v>2058</v>
      </c>
      <c r="E269" t="s">
        <v>2059</v>
      </c>
      <c r="F269" t="s">
        <v>47</v>
      </c>
      <c r="G269">
        <v>931.55</v>
      </c>
      <c r="H269" t="s">
        <v>2060</v>
      </c>
      <c r="I269" t="str">
        <f>VLOOKUP(B269,Customers!A:G,7,FALSE)</f>
        <v>Individual</v>
      </c>
      <c r="Q269" t="str">
        <f>IF(COUNTIF(Customers!$A$2:$A$1001,B269)&gt;0,"Valid","Invalid")</f>
        <v>Valid</v>
      </c>
      <c r="R269" t="str">
        <f>IF(COUNTIF(Branches!$A$2:$A$11,F269)&gt;0,"Valid","Invalid")</f>
        <v>Valid</v>
      </c>
    </row>
    <row r="270" spans="1:18" x14ac:dyDescent="0.25">
      <c r="A270" t="s">
        <v>2341</v>
      </c>
      <c r="B270" t="s">
        <v>371</v>
      </c>
      <c r="C270" s="8">
        <v>46190</v>
      </c>
      <c r="D270" t="s">
        <v>2058</v>
      </c>
      <c r="E270" t="s">
        <v>2063</v>
      </c>
      <c r="F270" t="s">
        <v>11</v>
      </c>
      <c r="G270">
        <v>851.4</v>
      </c>
      <c r="H270" t="s">
        <v>2107</v>
      </c>
      <c r="I270" t="str">
        <f>VLOOKUP(B270,Customers!A:G,7,FALSE)</f>
        <v>Individual</v>
      </c>
      <c r="Q270" t="str">
        <f>IF(COUNTIF(Customers!$A$2:$A$1001,B270)&gt;0,"Valid","Invalid")</f>
        <v>Valid</v>
      </c>
      <c r="R270" t="str">
        <f>IF(COUNTIF(Branches!$A$2:$A$11,F270)&gt;0,"Valid","Invalid")</f>
        <v>Valid</v>
      </c>
    </row>
    <row r="271" spans="1:18" x14ac:dyDescent="0.25">
      <c r="A271" t="s">
        <v>2342</v>
      </c>
      <c r="B271" t="s">
        <v>593</v>
      </c>
      <c r="C271" s="8">
        <v>46103</v>
      </c>
      <c r="D271" t="s">
        <v>2067</v>
      </c>
      <c r="E271" t="s">
        <v>2076</v>
      </c>
      <c r="F271" t="s">
        <v>11</v>
      </c>
      <c r="G271">
        <v>423.26</v>
      </c>
      <c r="H271" t="s">
        <v>2060</v>
      </c>
      <c r="I271" t="str">
        <f>VLOOKUP(B271,Customers!A:G,7,FALSE)</f>
        <v>SME</v>
      </c>
      <c r="Q271" t="str">
        <f>IF(COUNTIF(Customers!$A$2:$A$1001,B271)&gt;0,"Valid","Invalid")</f>
        <v>Valid</v>
      </c>
      <c r="R271" t="str">
        <f>IF(COUNTIF(Branches!$A$2:$A$11,F271)&gt;0,"Valid","Invalid")</f>
        <v>Valid</v>
      </c>
    </row>
    <row r="272" spans="1:18" x14ac:dyDescent="0.25">
      <c r="A272" t="s">
        <v>2343</v>
      </c>
      <c r="B272" t="s">
        <v>945</v>
      </c>
      <c r="C272" s="8">
        <v>46043</v>
      </c>
      <c r="D272" t="s">
        <v>2058</v>
      </c>
      <c r="E272" t="s">
        <v>2063</v>
      </c>
      <c r="F272" t="s">
        <v>27</v>
      </c>
      <c r="G272">
        <v>214.14</v>
      </c>
      <c r="H272" t="s">
        <v>2060</v>
      </c>
      <c r="I272" t="str">
        <f>VLOOKUP(B272,Customers!A:G,7,FALSE)</f>
        <v>Student</v>
      </c>
      <c r="Q272" t="str">
        <f>IF(COUNTIF(Customers!$A$2:$A$1001,B272)&gt;0,"Valid","Invalid")</f>
        <v>Valid</v>
      </c>
      <c r="R272" t="str">
        <f>IF(COUNTIF(Branches!$A$2:$A$11,F272)&gt;0,"Valid","Invalid")</f>
        <v>Valid</v>
      </c>
    </row>
    <row r="273" spans="1:18" x14ac:dyDescent="0.25">
      <c r="A273" t="s">
        <v>2344</v>
      </c>
      <c r="B273" t="s">
        <v>982</v>
      </c>
      <c r="C273" s="8">
        <v>46108</v>
      </c>
      <c r="D273" t="s">
        <v>2070</v>
      </c>
      <c r="E273" t="s">
        <v>2068</v>
      </c>
      <c r="F273" t="s">
        <v>16</v>
      </c>
      <c r="G273">
        <v>4431.32</v>
      </c>
      <c r="H273" t="s">
        <v>2060</v>
      </c>
      <c r="I273" t="str">
        <f>VLOOKUP(B273,Customers!A:G,7,FALSE)</f>
        <v>Individual</v>
      </c>
      <c r="Q273" t="str">
        <f>IF(COUNTIF(Customers!$A$2:$A$1001,B273)&gt;0,"Valid","Invalid")</f>
        <v>Valid</v>
      </c>
      <c r="R273" t="str">
        <f>IF(COUNTIF(Branches!$A$2:$A$11,F273)&gt;0,"Valid","Invalid")</f>
        <v>Valid</v>
      </c>
    </row>
    <row r="274" spans="1:18" x14ac:dyDescent="0.25">
      <c r="A274" t="s">
        <v>2345</v>
      </c>
      <c r="B274" t="s">
        <v>949</v>
      </c>
      <c r="C274" s="8">
        <v>46037</v>
      </c>
      <c r="D274" t="s">
        <v>2065</v>
      </c>
      <c r="E274" t="s">
        <v>2063</v>
      </c>
      <c r="F274" t="s">
        <v>29</v>
      </c>
      <c r="G274">
        <v>1525.85</v>
      </c>
      <c r="H274" t="s">
        <v>2060</v>
      </c>
      <c r="I274" t="str">
        <f>VLOOKUP(B274,Customers!A:G,7,FALSE)</f>
        <v>Student</v>
      </c>
      <c r="Q274" t="str">
        <f>IF(COUNTIF(Customers!$A$2:$A$1001,B274)&gt;0,"Valid","Invalid")</f>
        <v>Valid</v>
      </c>
      <c r="R274" t="str">
        <f>IF(COUNTIF(Branches!$A$2:$A$11,F274)&gt;0,"Valid","Invalid")</f>
        <v>Valid</v>
      </c>
    </row>
    <row r="275" spans="1:18" x14ac:dyDescent="0.25">
      <c r="A275" t="s">
        <v>2346</v>
      </c>
      <c r="B275" t="s">
        <v>439</v>
      </c>
      <c r="C275" s="8">
        <v>46072</v>
      </c>
      <c r="D275" t="s">
        <v>2062</v>
      </c>
      <c r="E275" t="s">
        <v>2063</v>
      </c>
      <c r="F275" t="s">
        <v>21</v>
      </c>
      <c r="G275">
        <v>2221.04</v>
      </c>
      <c r="H275" t="s">
        <v>2060</v>
      </c>
      <c r="I275" t="str">
        <f>VLOOKUP(B275,Customers!A:G,7,FALSE)</f>
        <v>Individual</v>
      </c>
      <c r="Q275" t="str">
        <f>IF(COUNTIF(Customers!$A$2:$A$1001,B275)&gt;0,"Valid","Invalid")</f>
        <v>Valid</v>
      </c>
      <c r="R275" t="str">
        <f>IF(COUNTIF(Branches!$A$2:$A$11,F275)&gt;0,"Valid","Invalid")</f>
        <v>Valid</v>
      </c>
    </row>
    <row r="276" spans="1:18" x14ac:dyDescent="0.25">
      <c r="A276" t="s">
        <v>2347</v>
      </c>
      <c r="B276" t="s">
        <v>988</v>
      </c>
      <c r="C276" s="8">
        <v>46253</v>
      </c>
      <c r="D276" t="s">
        <v>2058</v>
      </c>
      <c r="E276" t="s">
        <v>2063</v>
      </c>
      <c r="F276" t="s">
        <v>29</v>
      </c>
      <c r="G276">
        <v>747.23</v>
      </c>
      <c r="H276" t="s">
        <v>2060</v>
      </c>
      <c r="I276" t="str">
        <f>VLOOKUP(B276,Customers!A:G,7,FALSE)</f>
        <v>Individual</v>
      </c>
      <c r="Q276" t="str">
        <f>IF(COUNTIF(Customers!$A$2:$A$1001,B276)&gt;0,"Valid","Invalid")</f>
        <v>Valid</v>
      </c>
      <c r="R276" t="str">
        <f>IF(COUNTIF(Branches!$A$2:$A$11,F276)&gt;0,"Valid","Invalid")</f>
        <v>Valid</v>
      </c>
    </row>
    <row r="277" spans="1:18" x14ac:dyDescent="0.25">
      <c r="A277" t="s">
        <v>2348</v>
      </c>
      <c r="B277" t="s">
        <v>344</v>
      </c>
      <c r="C277" s="8">
        <v>46070</v>
      </c>
      <c r="D277" t="s">
        <v>2062</v>
      </c>
      <c r="E277" t="s">
        <v>2063</v>
      </c>
      <c r="F277" t="s">
        <v>29</v>
      </c>
      <c r="G277">
        <v>689.51</v>
      </c>
      <c r="H277" t="s">
        <v>2060</v>
      </c>
      <c r="I277" t="str">
        <f>VLOOKUP(B277,Customers!A:G,7,FALSE)</f>
        <v>SME</v>
      </c>
      <c r="Q277" t="str">
        <f>IF(COUNTIF(Customers!$A$2:$A$1001,B277)&gt;0,"Valid","Invalid")</f>
        <v>Valid</v>
      </c>
      <c r="R277" t="str">
        <f>IF(COUNTIF(Branches!$A$2:$A$11,F277)&gt;0,"Valid","Invalid")</f>
        <v>Valid</v>
      </c>
    </row>
    <row r="278" spans="1:18" x14ac:dyDescent="0.25">
      <c r="A278" t="s">
        <v>2349</v>
      </c>
      <c r="B278" t="s">
        <v>62</v>
      </c>
      <c r="C278" s="8">
        <v>46253</v>
      </c>
      <c r="D278" t="s">
        <v>2067</v>
      </c>
      <c r="E278" t="s">
        <v>2059</v>
      </c>
      <c r="F278" t="s">
        <v>39</v>
      </c>
      <c r="G278">
        <v>1326.98</v>
      </c>
      <c r="H278" t="s">
        <v>2060</v>
      </c>
      <c r="I278" t="str">
        <f>VLOOKUP(B278,Customers!A:G,7,FALSE)</f>
        <v>Individual</v>
      </c>
      <c r="Q278" t="str">
        <f>IF(COUNTIF(Customers!$A$2:$A$1001,B278)&gt;0,"Valid","Invalid")</f>
        <v>Valid</v>
      </c>
      <c r="R278" t="str">
        <f>IF(COUNTIF(Branches!$A$2:$A$11,F278)&gt;0,"Valid","Invalid")</f>
        <v>Valid</v>
      </c>
    </row>
    <row r="279" spans="1:18" x14ac:dyDescent="0.25">
      <c r="A279" t="s">
        <v>2350</v>
      </c>
      <c r="B279" t="s">
        <v>505</v>
      </c>
      <c r="C279" s="8">
        <v>46182</v>
      </c>
      <c r="D279" t="s">
        <v>2067</v>
      </c>
      <c r="E279" t="s">
        <v>2063</v>
      </c>
      <c r="F279" t="s">
        <v>35</v>
      </c>
      <c r="G279">
        <v>129.71</v>
      </c>
      <c r="H279" t="s">
        <v>2060</v>
      </c>
      <c r="I279" t="str">
        <f>VLOOKUP(B279,Customers!A:G,7,FALSE)</f>
        <v>Individual</v>
      </c>
      <c r="Q279" t="str">
        <f>IF(COUNTIF(Customers!$A$2:$A$1001,B279)&gt;0,"Valid","Invalid")</f>
        <v>Valid</v>
      </c>
      <c r="R279" t="str">
        <f>IF(COUNTIF(Branches!$A$2:$A$11,F279)&gt;0,"Valid","Invalid")</f>
        <v>Valid</v>
      </c>
    </row>
    <row r="280" spans="1:18" x14ac:dyDescent="0.25">
      <c r="A280" t="s">
        <v>2351</v>
      </c>
      <c r="B280" t="s">
        <v>298</v>
      </c>
      <c r="C280" s="8">
        <v>46071</v>
      </c>
      <c r="D280" t="s">
        <v>2062</v>
      </c>
      <c r="E280" t="s">
        <v>2068</v>
      </c>
      <c r="F280" t="s">
        <v>47</v>
      </c>
      <c r="G280">
        <v>266.5</v>
      </c>
      <c r="H280" t="s">
        <v>2060</v>
      </c>
      <c r="I280" t="str">
        <f>VLOOKUP(B280,Customers!A:G,7,FALSE)</f>
        <v>Student</v>
      </c>
      <c r="Q280" t="str">
        <f>IF(COUNTIF(Customers!$A$2:$A$1001,B280)&gt;0,"Valid","Invalid")</f>
        <v>Valid</v>
      </c>
      <c r="R280" t="str">
        <f>IF(COUNTIF(Branches!$A$2:$A$11,F280)&gt;0,"Valid","Invalid")</f>
        <v>Valid</v>
      </c>
    </row>
    <row r="281" spans="1:18" x14ac:dyDescent="0.25">
      <c r="A281" t="s">
        <v>2352</v>
      </c>
      <c r="B281" t="s">
        <v>572</v>
      </c>
      <c r="C281" s="8">
        <v>46218</v>
      </c>
      <c r="D281" t="s">
        <v>2067</v>
      </c>
      <c r="E281" t="s">
        <v>2063</v>
      </c>
      <c r="F281" t="s">
        <v>11</v>
      </c>
      <c r="G281">
        <v>365.85</v>
      </c>
      <c r="H281" t="s">
        <v>2115</v>
      </c>
      <c r="I281" t="str">
        <f>VLOOKUP(B281,Customers!A:G,7,FALSE)</f>
        <v>Individual</v>
      </c>
      <c r="Q281" t="str">
        <f>IF(COUNTIF(Customers!$A$2:$A$1001,B281)&gt;0,"Valid","Invalid")</f>
        <v>Valid</v>
      </c>
      <c r="R281" t="str">
        <f>IF(COUNTIF(Branches!$A$2:$A$11,F281)&gt;0,"Valid","Invalid")</f>
        <v>Valid</v>
      </c>
    </row>
    <row r="282" spans="1:18" x14ac:dyDescent="0.25">
      <c r="A282" t="s">
        <v>2353</v>
      </c>
      <c r="B282" t="s">
        <v>1020</v>
      </c>
      <c r="C282" s="8">
        <v>46130</v>
      </c>
      <c r="D282" t="s">
        <v>2058</v>
      </c>
      <c r="E282" t="s">
        <v>2076</v>
      </c>
      <c r="F282" t="s">
        <v>47</v>
      </c>
      <c r="G282">
        <v>515.65</v>
      </c>
      <c r="H282" t="s">
        <v>2060</v>
      </c>
      <c r="I282" t="str">
        <f>VLOOKUP(B282,Customers!A:G,7,FALSE)</f>
        <v>Individual</v>
      </c>
      <c r="Q282" t="str">
        <f>IF(COUNTIF(Customers!$A$2:$A$1001,B282)&gt;0,"Valid","Invalid")</f>
        <v>Valid</v>
      </c>
      <c r="R282" t="str">
        <f>IF(COUNTIF(Branches!$A$2:$A$11,F282)&gt;0,"Valid","Invalid")</f>
        <v>Valid</v>
      </c>
    </row>
    <row r="283" spans="1:18" x14ac:dyDescent="0.25">
      <c r="A283" t="s">
        <v>2354</v>
      </c>
      <c r="B283" t="s">
        <v>925</v>
      </c>
      <c r="C283" s="8">
        <v>46067</v>
      </c>
      <c r="D283" t="s">
        <v>2065</v>
      </c>
      <c r="E283" t="s">
        <v>2059</v>
      </c>
      <c r="F283" t="s">
        <v>35</v>
      </c>
      <c r="G283">
        <v>337.07</v>
      </c>
      <c r="H283" t="s">
        <v>2060</v>
      </c>
      <c r="I283" t="str">
        <f>VLOOKUP(B283,Customers!A:G,7,FALSE)</f>
        <v>Individual</v>
      </c>
      <c r="Q283" t="str">
        <f>IF(COUNTIF(Customers!$A$2:$A$1001,B283)&gt;0,"Valid","Invalid")</f>
        <v>Valid</v>
      </c>
      <c r="R283" t="str">
        <f>IF(COUNTIF(Branches!$A$2:$A$11,F283)&gt;0,"Valid","Invalid")</f>
        <v>Valid</v>
      </c>
    </row>
    <row r="284" spans="1:18" x14ac:dyDescent="0.25">
      <c r="A284" t="s">
        <v>2355</v>
      </c>
      <c r="B284" t="s">
        <v>137</v>
      </c>
      <c r="C284" s="8">
        <v>46054</v>
      </c>
      <c r="D284" t="s">
        <v>2065</v>
      </c>
      <c r="E284" t="s">
        <v>2073</v>
      </c>
      <c r="F284" t="s">
        <v>47</v>
      </c>
      <c r="G284">
        <v>1133.21</v>
      </c>
      <c r="H284" t="s">
        <v>2060</v>
      </c>
      <c r="I284" t="str">
        <f>VLOOKUP(B284,Customers!A:G,7,FALSE)</f>
        <v>Individual</v>
      </c>
      <c r="Q284" t="str">
        <f>IF(COUNTIF(Customers!$A$2:$A$1001,B284)&gt;0,"Valid","Invalid")</f>
        <v>Valid</v>
      </c>
      <c r="R284" t="str">
        <f>IF(COUNTIF(Branches!$A$2:$A$11,F284)&gt;0,"Valid","Invalid")</f>
        <v>Valid</v>
      </c>
    </row>
    <row r="285" spans="1:18" x14ac:dyDescent="0.25">
      <c r="A285" t="s">
        <v>2356</v>
      </c>
      <c r="B285" t="s">
        <v>589</v>
      </c>
      <c r="C285" s="8">
        <v>46154</v>
      </c>
      <c r="D285" t="s">
        <v>2058</v>
      </c>
      <c r="E285" t="s">
        <v>2073</v>
      </c>
      <c r="F285" t="s">
        <v>53</v>
      </c>
      <c r="G285">
        <v>881.34</v>
      </c>
      <c r="H285" t="s">
        <v>2060</v>
      </c>
      <c r="I285" t="str">
        <f>VLOOKUP(B285,Customers!A:G,7,FALSE)</f>
        <v>Individual</v>
      </c>
      <c r="Q285" t="str">
        <f>IF(COUNTIF(Customers!$A$2:$A$1001,B285)&gt;0,"Valid","Invalid")</f>
        <v>Valid</v>
      </c>
      <c r="R285" t="str">
        <f>IF(COUNTIF(Branches!$A$2:$A$11,F285)&gt;0,"Valid","Invalid")</f>
        <v>Valid</v>
      </c>
    </row>
    <row r="286" spans="1:18" x14ac:dyDescent="0.25">
      <c r="A286" t="s">
        <v>2357</v>
      </c>
      <c r="B286" t="s">
        <v>840</v>
      </c>
      <c r="C286" s="8">
        <v>46215</v>
      </c>
      <c r="D286" t="s">
        <v>2062</v>
      </c>
      <c r="E286" t="s">
        <v>2068</v>
      </c>
      <c r="F286" t="s">
        <v>35</v>
      </c>
      <c r="G286">
        <v>3271.04</v>
      </c>
      <c r="H286" t="s">
        <v>2060</v>
      </c>
      <c r="I286" t="str">
        <f>VLOOKUP(B286,Customers!A:G,7,FALSE)</f>
        <v>Individual</v>
      </c>
      <c r="Q286" t="str">
        <f>IF(COUNTIF(Customers!$A$2:$A$1001,B286)&gt;0,"Valid","Invalid")</f>
        <v>Valid</v>
      </c>
      <c r="R286" t="str">
        <f>IF(COUNTIF(Branches!$A$2:$A$11,F286)&gt;0,"Valid","Invalid")</f>
        <v>Valid</v>
      </c>
    </row>
    <row r="287" spans="1:18" x14ac:dyDescent="0.25">
      <c r="A287" t="s">
        <v>2358</v>
      </c>
      <c r="B287" t="s">
        <v>391</v>
      </c>
      <c r="C287" s="8">
        <v>46119</v>
      </c>
      <c r="D287" t="s">
        <v>2058</v>
      </c>
      <c r="E287" t="s">
        <v>2068</v>
      </c>
      <c r="F287" t="s">
        <v>27</v>
      </c>
      <c r="G287">
        <v>9640.7999999999993</v>
      </c>
      <c r="H287" t="s">
        <v>2060</v>
      </c>
      <c r="I287" t="str">
        <f>VLOOKUP(B287,Customers!A:G,7,FALSE)</f>
        <v>Individual</v>
      </c>
      <c r="Q287" t="str">
        <f>IF(COUNTIF(Customers!$A$2:$A$1001,B287)&gt;0,"Valid","Invalid")</f>
        <v>Valid</v>
      </c>
      <c r="R287" t="str">
        <f>IF(COUNTIF(Branches!$A$2:$A$11,F287)&gt;0,"Valid","Invalid")</f>
        <v>Valid</v>
      </c>
    </row>
    <row r="288" spans="1:18" x14ac:dyDescent="0.25">
      <c r="A288" t="s">
        <v>2359</v>
      </c>
      <c r="B288" t="s">
        <v>338</v>
      </c>
      <c r="C288" s="8">
        <v>46221</v>
      </c>
      <c r="D288" t="s">
        <v>2065</v>
      </c>
      <c r="E288" t="s">
        <v>2059</v>
      </c>
      <c r="F288" t="s">
        <v>16</v>
      </c>
      <c r="G288">
        <v>229.79</v>
      </c>
      <c r="H288" t="s">
        <v>2060</v>
      </c>
      <c r="I288" t="str">
        <f>VLOOKUP(B288,Customers!A:G,7,FALSE)</f>
        <v>Individual</v>
      </c>
      <c r="Q288" t="str">
        <f>IF(COUNTIF(Customers!$A$2:$A$1001,B288)&gt;0,"Valid","Invalid")</f>
        <v>Valid</v>
      </c>
      <c r="R288" t="str">
        <f>IF(COUNTIF(Branches!$A$2:$A$11,F288)&gt;0,"Valid","Invalid")</f>
        <v>Valid</v>
      </c>
    </row>
    <row r="289" spans="1:18" x14ac:dyDescent="0.25">
      <c r="A289" t="s">
        <v>2360</v>
      </c>
      <c r="B289" t="s">
        <v>720</v>
      </c>
      <c r="C289" s="8">
        <v>46223</v>
      </c>
      <c r="D289" t="s">
        <v>2067</v>
      </c>
      <c r="E289" t="s">
        <v>2068</v>
      </c>
      <c r="F289" t="s">
        <v>35</v>
      </c>
      <c r="G289">
        <v>941.34</v>
      </c>
      <c r="H289" t="s">
        <v>2060</v>
      </c>
      <c r="I289" t="str">
        <f>VLOOKUP(B289,Customers!A:G,7,FALSE)</f>
        <v>Individual</v>
      </c>
      <c r="Q289" t="str">
        <f>IF(COUNTIF(Customers!$A$2:$A$1001,B289)&gt;0,"Valid","Invalid")</f>
        <v>Valid</v>
      </c>
      <c r="R289" t="str">
        <f>IF(COUNTIF(Branches!$A$2:$A$11,F289)&gt;0,"Valid","Invalid")</f>
        <v>Valid</v>
      </c>
    </row>
    <row r="290" spans="1:18" x14ac:dyDescent="0.25">
      <c r="A290" t="s">
        <v>2361</v>
      </c>
      <c r="B290" t="s">
        <v>334</v>
      </c>
      <c r="C290" s="8">
        <v>46215</v>
      </c>
      <c r="D290" t="s">
        <v>2067</v>
      </c>
      <c r="E290" t="s">
        <v>2073</v>
      </c>
      <c r="F290" t="s">
        <v>53</v>
      </c>
      <c r="G290">
        <v>939.67</v>
      </c>
      <c r="H290" t="s">
        <v>2060</v>
      </c>
      <c r="I290" t="str">
        <f>VLOOKUP(B290,Customers!A:G,7,FALSE)</f>
        <v>Individual</v>
      </c>
      <c r="Q290" t="str">
        <f>IF(COUNTIF(Customers!$A$2:$A$1001,B290)&gt;0,"Valid","Invalid")</f>
        <v>Valid</v>
      </c>
      <c r="R290" t="str">
        <f>IF(COUNTIF(Branches!$A$2:$A$11,F290)&gt;0,"Valid","Invalid")</f>
        <v>Valid</v>
      </c>
    </row>
    <row r="291" spans="1:18" x14ac:dyDescent="0.25">
      <c r="A291" t="s">
        <v>2362</v>
      </c>
      <c r="B291" t="s">
        <v>391</v>
      </c>
      <c r="C291" s="8">
        <v>46102</v>
      </c>
      <c r="D291" t="s">
        <v>2058</v>
      </c>
      <c r="E291" t="s">
        <v>2063</v>
      </c>
      <c r="F291" t="s">
        <v>27</v>
      </c>
      <c r="G291">
        <v>800.95</v>
      </c>
      <c r="H291" t="s">
        <v>2060</v>
      </c>
      <c r="I291" t="str">
        <f>VLOOKUP(B291,Customers!A:G,7,FALSE)</f>
        <v>Individual</v>
      </c>
      <c r="Q291" t="str">
        <f>IF(COUNTIF(Customers!$A$2:$A$1001,B291)&gt;0,"Valid","Invalid")</f>
        <v>Valid</v>
      </c>
      <c r="R291" t="str">
        <f>IF(COUNTIF(Branches!$A$2:$A$11,F291)&gt;0,"Valid","Invalid")</f>
        <v>Valid</v>
      </c>
    </row>
    <row r="292" spans="1:18" x14ac:dyDescent="0.25">
      <c r="A292" t="s">
        <v>2363</v>
      </c>
      <c r="B292" t="s">
        <v>946</v>
      </c>
      <c r="C292" s="8">
        <v>46168</v>
      </c>
      <c r="D292" t="s">
        <v>2062</v>
      </c>
      <c r="E292" t="s">
        <v>2059</v>
      </c>
      <c r="F292" t="s">
        <v>47</v>
      </c>
      <c r="G292">
        <v>274.56</v>
      </c>
      <c r="H292" t="s">
        <v>2060</v>
      </c>
      <c r="I292" t="str">
        <f>VLOOKUP(B292,Customers!A:G,7,FALSE)</f>
        <v>Individual</v>
      </c>
      <c r="Q292" t="str">
        <f>IF(COUNTIF(Customers!$A$2:$A$1001,B292)&gt;0,"Valid","Invalid")</f>
        <v>Valid</v>
      </c>
      <c r="R292" t="str">
        <f>IF(COUNTIF(Branches!$A$2:$A$11,F292)&gt;0,"Valid","Invalid")</f>
        <v>Valid</v>
      </c>
    </row>
    <row r="293" spans="1:18" x14ac:dyDescent="0.25">
      <c r="A293" t="s">
        <v>2364</v>
      </c>
      <c r="B293" t="s">
        <v>166</v>
      </c>
      <c r="C293" s="8">
        <v>46076</v>
      </c>
      <c r="D293" t="s">
        <v>2062</v>
      </c>
      <c r="E293" t="s">
        <v>2063</v>
      </c>
      <c r="F293" t="s">
        <v>16</v>
      </c>
      <c r="G293">
        <v>324.67</v>
      </c>
      <c r="H293" t="s">
        <v>2060</v>
      </c>
      <c r="I293" t="str">
        <f>VLOOKUP(B293,Customers!A:G,7,FALSE)</f>
        <v>SME</v>
      </c>
      <c r="Q293" t="str">
        <f>IF(COUNTIF(Customers!$A$2:$A$1001,B293)&gt;0,"Valid","Invalid")</f>
        <v>Valid</v>
      </c>
      <c r="R293" t="str">
        <f>IF(COUNTIF(Branches!$A$2:$A$11,F293)&gt;0,"Valid","Invalid")</f>
        <v>Valid</v>
      </c>
    </row>
    <row r="294" spans="1:18" x14ac:dyDescent="0.25">
      <c r="A294" t="s">
        <v>2365</v>
      </c>
      <c r="B294" t="s">
        <v>192</v>
      </c>
      <c r="C294" s="8">
        <v>46149</v>
      </c>
      <c r="D294" t="s">
        <v>2065</v>
      </c>
      <c r="E294" t="s">
        <v>2059</v>
      </c>
      <c r="F294" t="s">
        <v>47</v>
      </c>
      <c r="G294">
        <v>1033.19</v>
      </c>
      <c r="H294" t="s">
        <v>2060</v>
      </c>
      <c r="I294" t="str">
        <f>VLOOKUP(B294,Customers!A:G,7,FALSE)</f>
        <v>Individual</v>
      </c>
      <c r="Q294" t="str">
        <f>IF(COUNTIF(Customers!$A$2:$A$1001,B294)&gt;0,"Valid","Invalid")</f>
        <v>Valid</v>
      </c>
      <c r="R294" t="str">
        <f>IF(COUNTIF(Branches!$A$2:$A$11,F294)&gt;0,"Valid","Invalid")</f>
        <v>Valid</v>
      </c>
    </row>
    <row r="295" spans="1:18" x14ac:dyDescent="0.25">
      <c r="A295" t="s">
        <v>2366</v>
      </c>
      <c r="B295" t="s">
        <v>110</v>
      </c>
      <c r="C295" s="8">
        <v>46197</v>
      </c>
      <c r="D295" t="s">
        <v>2062</v>
      </c>
      <c r="E295" t="s">
        <v>2059</v>
      </c>
      <c r="F295" t="s">
        <v>45</v>
      </c>
      <c r="G295">
        <v>315.66000000000003</v>
      </c>
      <c r="H295" t="s">
        <v>2060</v>
      </c>
      <c r="I295" t="str">
        <f>VLOOKUP(B295,Customers!A:G,7,FALSE)</f>
        <v>Individual</v>
      </c>
      <c r="Q295" t="str">
        <f>IF(COUNTIF(Customers!$A$2:$A$1001,B295)&gt;0,"Valid","Invalid")</f>
        <v>Valid</v>
      </c>
      <c r="R295" t="str">
        <f>IF(COUNTIF(Branches!$A$2:$A$11,F295)&gt;0,"Valid","Invalid")</f>
        <v>Valid</v>
      </c>
    </row>
    <row r="296" spans="1:18" x14ac:dyDescent="0.25">
      <c r="A296" t="s">
        <v>2367</v>
      </c>
      <c r="B296" t="s">
        <v>380</v>
      </c>
      <c r="C296" s="8">
        <v>46156</v>
      </c>
      <c r="D296" t="s">
        <v>2067</v>
      </c>
      <c r="E296" t="s">
        <v>2059</v>
      </c>
      <c r="F296" t="s">
        <v>11</v>
      </c>
      <c r="G296">
        <v>952.67</v>
      </c>
      <c r="H296" t="s">
        <v>2060</v>
      </c>
      <c r="I296" t="str">
        <f>VLOOKUP(B296,Customers!A:G,7,FALSE)</f>
        <v>Individual</v>
      </c>
      <c r="Q296" t="str">
        <f>IF(COUNTIF(Customers!$A$2:$A$1001,B296)&gt;0,"Valid","Invalid")</f>
        <v>Valid</v>
      </c>
      <c r="R296" t="str">
        <f>IF(COUNTIF(Branches!$A$2:$A$11,F296)&gt;0,"Valid","Invalid")</f>
        <v>Valid</v>
      </c>
    </row>
    <row r="297" spans="1:18" x14ac:dyDescent="0.25">
      <c r="A297" t="s">
        <v>2368</v>
      </c>
      <c r="B297" t="s">
        <v>503</v>
      </c>
      <c r="C297" s="8">
        <v>46088</v>
      </c>
      <c r="D297" t="s">
        <v>2062</v>
      </c>
      <c r="E297" t="s">
        <v>2059</v>
      </c>
      <c r="F297" t="s">
        <v>11</v>
      </c>
      <c r="G297">
        <v>635.27</v>
      </c>
      <c r="H297" t="s">
        <v>2060</v>
      </c>
      <c r="I297" t="str">
        <f>VLOOKUP(B297,Customers!A:G,7,FALSE)</f>
        <v>SME</v>
      </c>
      <c r="Q297" t="str">
        <f>IF(COUNTIF(Customers!$A$2:$A$1001,B297)&gt;0,"Valid","Invalid")</f>
        <v>Valid</v>
      </c>
      <c r="R297" t="str">
        <f>IF(COUNTIF(Branches!$A$2:$A$11,F297)&gt;0,"Valid","Invalid")</f>
        <v>Valid</v>
      </c>
    </row>
    <row r="298" spans="1:18" x14ac:dyDescent="0.25">
      <c r="A298" t="s">
        <v>2369</v>
      </c>
      <c r="B298" t="s">
        <v>126</v>
      </c>
      <c r="C298" s="8">
        <v>46159</v>
      </c>
      <c r="D298" t="s">
        <v>2065</v>
      </c>
      <c r="E298" t="s">
        <v>2073</v>
      </c>
      <c r="F298" t="s">
        <v>29</v>
      </c>
      <c r="G298">
        <v>936.04</v>
      </c>
      <c r="H298" t="s">
        <v>2060</v>
      </c>
      <c r="I298" t="str">
        <f>VLOOKUP(B298,Customers!A:G,7,FALSE)</f>
        <v>Individual</v>
      </c>
      <c r="Q298" t="str">
        <f>IF(COUNTIF(Customers!$A$2:$A$1001,B298)&gt;0,"Valid","Invalid")</f>
        <v>Valid</v>
      </c>
      <c r="R298" t="str">
        <f>IF(COUNTIF(Branches!$A$2:$A$11,F298)&gt;0,"Valid","Invalid")</f>
        <v>Valid</v>
      </c>
    </row>
    <row r="299" spans="1:18" x14ac:dyDescent="0.25">
      <c r="A299" t="s">
        <v>2370</v>
      </c>
      <c r="B299" t="s">
        <v>617</v>
      </c>
      <c r="C299" s="8">
        <v>46218</v>
      </c>
      <c r="D299" t="s">
        <v>2058</v>
      </c>
      <c r="E299" t="s">
        <v>2059</v>
      </c>
      <c r="F299" t="s">
        <v>27</v>
      </c>
      <c r="G299">
        <v>313.16000000000003</v>
      </c>
      <c r="H299" t="s">
        <v>2060</v>
      </c>
      <c r="I299" t="str">
        <f>VLOOKUP(B299,Customers!A:G,7,FALSE)</f>
        <v>Individual</v>
      </c>
      <c r="Q299" t="str">
        <f>IF(COUNTIF(Customers!$A$2:$A$1001,B299)&gt;0,"Valid","Invalid")</f>
        <v>Valid</v>
      </c>
      <c r="R299" t="str">
        <f>IF(COUNTIF(Branches!$A$2:$A$11,F299)&gt;0,"Valid","Invalid")</f>
        <v>Valid</v>
      </c>
    </row>
    <row r="300" spans="1:18" x14ac:dyDescent="0.25">
      <c r="A300" t="s">
        <v>2371</v>
      </c>
      <c r="B300" t="s">
        <v>493</v>
      </c>
      <c r="C300" s="8">
        <v>46131</v>
      </c>
      <c r="D300" t="s">
        <v>2065</v>
      </c>
      <c r="E300" t="s">
        <v>2068</v>
      </c>
      <c r="F300" t="s">
        <v>47</v>
      </c>
      <c r="G300">
        <v>950.96</v>
      </c>
      <c r="H300" t="s">
        <v>2060</v>
      </c>
      <c r="I300" t="str">
        <f>VLOOKUP(B300,Customers!A:G,7,FALSE)</f>
        <v>SME</v>
      </c>
      <c r="Q300" t="str">
        <f>IF(COUNTIF(Customers!$A$2:$A$1001,B300)&gt;0,"Valid","Invalid")</f>
        <v>Valid</v>
      </c>
      <c r="R300" t="str">
        <f>IF(COUNTIF(Branches!$A$2:$A$11,F300)&gt;0,"Valid","Invalid")</f>
        <v>Valid</v>
      </c>
    </row>
    <row r="301" spans="1:18" x14ac:dyDescent="0.25">
      <c r="A301" t="s">
        <v>2372</v>
      </c>
      <c r="B301" t="s">
        <v>786</v>
      </c>
      <c r="C301" s="8">
        <v>46045</v>
      </c>
      <c r="D301" t="s">
        <v>2067</v>
      </c>
      <c r="E301" t="s">
        <v>2063</v>
      </c>
      <c r="F301" t="s">
        <v>29</v>
      </c>
      <c r="G301">
        <v>336.65</v>
      </c>
      <c r="H301" t="s">
        <v>2060</v>
      </c>
      <c r="I301" t="str">
        <f>VLOOKUP(B301,Customers!A:G,7,FALSE)</f>
        <v>Individual</v>
      </c>
      <c r="Q301" t="str">
        <f>IF(COUNTIF(Customers!$A$2:$A$1001,B301)&gt;0,"Valid","Invalid")</f>
        <v>Valid</v>
      </c>
      <c r="R301" t="str">
        <f>IF(COUNTIF(Branches!$A$2:$A$11,F301)&gt;0,"Valid","Invalid")</f>
        <v>Valid</v>
      </c>
    </row>
    <row r="302" spans="1:18" x14ac:dyDescent="0.25">
      <c r="A302" t="s">
        <v>2373</v>
      </c>
      <c r="B302" t="s">
        <v>750</v>
      </c>
      <c r="C302" s="8">
        <v>46129</v>
      </c>
      <c r="D302" t="s">
        <v>2065</v>
      </c>
      <c r="E302" t="s">
        <v>2059</v>
      </c>
      <c r="F302" t="s">
        <v>47</v>
      </c>
      <c r="G302">
        <v>0</v>
      </c>
      <c r="H302" t="s">
        <v>2060</v>
      </c>
      <c r="I302" t="str">
        <f>VLOOKUP(B302,Customers!A:G,7,FALSE)</f>
        <v>Individual</v>
      </c>
      <c r="Q302" t="str">
        <f>IF(COUNTIF(Customers!$A$2:$A$1001,B302)&gt;0,"Valid","Invalid")</f>
        <v>Valid</v>
      </c>
      <c r="R302" t="str">
        <f>IF(COUNTIF(Branches!$A$2:$A$11,F302)&gt;0,"Valid","Invalid")</f>
        <v>Valid</v>
      </c>
    </row>
    <row r="303" spans="1:18" x14ac:dyDescent="0.25">
      <c r="A303" t="s">
        <v>2374</v>
      </c>
      <c r="B303" t="s">
        <v>1018</v>
      </c>
      <c r="C303" s="8">
        <v>46259</v>
      </c>
      <c r="D303" t="s">
        <v>2065</v>
      </c>
      <c r="E303" t="s">
        <v>2059</v>
      </c>
      <c r="F303" t="s">
        <v>47</v>
      </c>
      <c r="G303">
        <v>-500</v>
      </c>
      <c r="H303" t="s">
        <v>2060</v>
      </c>
      <c r="I303" t="str">
        <f>VLOOKUP(B303,Customers!A:G,7,FALSE)</f>
        <v>Individual</v>
      </c>
      <c r="Q303" t="str">
        <f>IF(COUNTIF(Customers!$A$2:$A$1001,B303)&gt;0,"Valid","Invalid")</f>
        <v>Valid</v>
      </c>
      <c r="R303" t="str">
        <f>IF(COUNTIF(Branches!$A$2:$A$11,F303)&gt;0,"Valid","Invalid")</f>
        <v>Valid</v>
      </c>
    </row>
    <row r="304" spans="1:18" x14ac:dyDescent="0.25">
      <c r="A304" t="s">
        <v>2375</v>
      </c>
      <c r="B304" t="s">
        <v>370</v>
      </c>
      <c r="C304" s="8">
        <v>46193</v>
      </c>
      <c r="D304" t="s">
        <v>2065</v>
      </c>
      <c r="E304" t="s">
        <v>2063</v>
      </c>
      <c r="F304" t="s">
        <v>27</v>
      </c>
      <c r="G304">
        <v>1054.67</v>
      </c>
      <c r="H304" t="s">
        <v>2060</v>
      </c>
      <c r="I304" t="str">
        <f>VLOOKUP(B304,Customers!A:G,7,FALSE)</f>
        <v>SME</v>
      </c>
      <c r="Q304" t="str">
        <f>IF(COUNTIF(Customers!$A$2:$A$1001,B304)&gt;0,"Valid","Invalid")</f>
        <v>Valid</v>
      </c>
      <c r="R304" t="str">
        <f>IF(COUNTIF(Branches!$A$2:$A$11,F304)&gt;0,"Valid","Invalid")</f>
        <v>Valid</v>
      </c>
    </row>
    <row r="305" spans="1:18" x14ac:dyDescent="0.25">
      <c r="A305" t="s">
        <v>2376</v>
      </c>
      <c r="B305" t="s">
        <v>777</v>
      </c>
      <c r="C305" s="8">
        <v>46073</v>
      </c>
      <c r="D305" t="s">
        <v>2065</v>
      </c>
      <c r="E305" t="s">
        <v>2059</v>
      </c>
      <c r="F305" t="s">
        <v>11</v>
      </c>
      <c r="G305">
        <v>1120.8800000000001</v>
      </c>
      <c r="H305" t="s">
        <v>2060</v>
      </c>
      <c r="I305" t="str">
        <f>VLOOKUP(B305,Customers!A:G,7,FALSE)</f>
        <v>Individual</v>
      </c>
      <c r="Q305" t="str">
        <f>IF(COUNTIF(Customers!$A$2:$A$1001,B305)&gt;0,"Valid","Invalid")</f>
        <v>Valid</v>
      </c>
      <c r="R305" t="str">
        <f>IF(COUNTIF(Branches!$A$2:$A$11,F305)&gt;0,"Valid","Invalid")</f>
        <v>Valid</v>
      </c>
    </row>
    <row r="306" spans="1:18" x14ac:dyDescent="0.25">
      <c r="A306" t="s">
        <v>2377</v>
      </c>
      <c r="B306" t="s">
        <v>1015</v>
      </c>
      <c r="C306" s="8">
        <v>46094</v>
      </c>
      <c r="D306" t="s">
        <v>2065</v>
      </c>
      <c r="E306" t="s">
        <v>2076</v>
      </c>
      <c r="F306" t="s">
        <v>29</v>
      </c>
      <c r="G306">
        <v>1839.42</v>
      </c>
      <c r="H306" t="s">
        <v>2060</v>
      </c>
      <c r="I306" t="str">
        <f>VLOOKUP(B306,Customers!A:G,7,FALSE)</f>
        <v>SME</v>
      </c>
      <c r="Q306" t="str">
        <f>IF(COUNTIF(Customers!$A$2:$A$1001,B306)&gt;0,"Valid","Invalid")</f>
        <v>Valid</v>
      </c>
      <c r="R306" t="str">
        <f>IF(COUNTIF(Branches!$A$2:$A$11,F306)&gt;0,"Valid","Invalid")</f>
        <v>Valid</v>
      </c>
    </row>
    <row r="307" spans="1:18" x14ac:dyDescent="0.25">
      <c r="A307" t="s">
        <v>2378</v>
      </c>
      <c r="B307" t="s">
        <v>386</v>
      </c>
      <c r="C307" s="8">
        <v>46125</v>
      </c>
      <c r="D307" t="s">
        <v>2058</v>
      </c>
      <c r="E307" t="s">
        <v>2059</v>
      </c>
      <c r="F307" t="s">
        <v>27</v>
      </c>
      <c r="G307">
        <v>199.63</v>
      </c>
      <c r="H307" t="s">
        <v>2060</v>
      </c>
      <c r="I307" t="str">
        <f>VLOOKUP(B307,Customers!A:G,7,FALSE)</f>
        <v>SME</v>
      </c>
      <c r="Q307" t="str">
        <f>IF(COUNTIF(Customers!$A$2:$A$1001,B307)&gt;0,"Valid","Invalid")</f>
        <v>Valid</v>
      </c>
      <c r="R307" t="str">
        <f>IF(COUNTIF(Branches!$A$2:$A$11,F307)&gt;0,"Valid","Invalid")</f>
        <v>Valid</v>
      </c>
    </row>
    <row r="308" spans="1:18" x14ac:dyDescent="0.25">
      <c r="A308" t="s">
        <v>2379</v>
      </c>
      <c r="B308" t="s">
        <v>271</v>
      </c>
      <c r="C308" s="8">
        <v>46175</v>
      </c>
      <c r="D308" t="s">
        <v>2065</v>
      </c>
      <c r="E308" t="s">
        <v>2076</v>
      </c>
      <c r="F308" t="s">
        <v>45</v>
      </c>
      <c r="G308">
        <v>4532.01</v>
      </c>
      <c r="H308" t="s">
        <v>2060</v>
      </c>
      <c r="I308" t="str">
        <f>VLOOKUP(B308,Customers!A:G,7,FALSE)</f>
        <v>Student</v>
      </c>
      <c r="Q308" t="str">
        <f>IF(COUNTIF(Customers!$A$2:$A$1001,B308)&gt;0,"Valid","Invalid")</f>
        <v>Valid</v>
      </c>
      <c r="R308" t="str">
        <f>IF(COUNTIF(Branches!$A$2:$A$11,F308)&gt;0,"Valid","Invalid")</f>
        <v>Valid</v>
      </c>
    </row>
    <row r="309" spans="1:18" x14ac:dyDescent="0.25">
      <c r="A309" t="s">
        <v>2380</v>
      </c>
      <c r="B309" t="s">
        <v>816</v>
      </c>
      <c r="C309" s="8">
        <v>46102</v>
      </c>
      <c r="D309" t="s">
        <v>2058</v>
      </c>
      <c r="E309" t="s">
        <v>2059</v>
      </c>
      <c r="F309" t="s">
        <v>27</v>
      </c>
      <c r="G309">
        <v>282.70999999999998</v>
      </c>
      <c r="H309" t="s">
        <v>2060</v>
      </c>
      <c r="I309" t="str">
        <f>VLOOKUP(B309,Customers!A:G,7,FALSE)</f>
        <v>Individual</v>
      </c>
      <c r="Q309" t="str">
        <f>IF(COUNTIF(Customers!$A$2:$A$1001,B309)&gt;0,"Valid","Invalid")</f>
        <v>Valid</v>
      </c>
      <c r="R309" t="str">
        <f>IF(COUNTIF(Branches!$A$2:$A$11,F309)&gt;0,"Valid","Invalid")</f>
        <v>Valid</v>
      </c>
    </row>
    <row r="310" spans="1:18" x14ac:dyDescent="0.25">
      <c r="A310" t="s">
        <v>2381</v>
      </c>
      <c r="B310" t="s">
        <v>636</v>
      </c>
      <c r="C310" s="8">
        <v>46185</v>
      </c>
      <c r="D310" t="s">
        <v>2065</v>
      </c>
      <c r="E310" t="s">
        <v>2063</v>
      </c>
      <c r="F310" t="s">
        <v>16</v>
      </c>
      <c r="G310">
        <v>1957.97</v>
      </c>
      <c r="H310" t="s">
        <v>2060</v>
      </c>
      <c r="I310" t="str">
        <f>VLOOKUP(B310,Customers!A:G,7,FALSE)</f>
        <v>Individual</v>
      </c>
      <c r="Q310" t="str">
        <f>IF(COUNTIF(Customers!$A$2:$A$1001,B310)&gt;0,"Valid","Invalid")</f>
        <v>Valid</v>
      </c>
      <c r="R310" t="str">
        <f>IF(COUNTIF(Branches!$A$2:$A$11,F310)&gt;0,"Valid","Invalid")</f>
        <v>Valid</v>
      </c>
    </row>
    <row r="311" spans="1:18" x14ac:dyDescent="0.25">
      <c r="A311" t="s">
        <v>2382</v>
      </c>
      <c r="B311" t="s">
        <v>138</v>
      </c>
      <c r="C311" s="8">
        <v>46167</v>
      </c>
      <c r="D311" t="s">
        <v>2070</v>
      </c>
      <c r="E311" t="s">
        <v>2076</v>
      </c>
      <c r="F311" t="s">
        <v>29</v>
      </c>
      <c r="G311">
        <v>1714.56</v>
      </c>
      <c r="H311" t="s">
        <v>2060</v>
      </c>
      <c r="I311" t="str">
        <f>VLOOKUP(B311,Customers!A:G,7,FALSE)</f>
        <v>Individual</v>
      </c>
      <c r="Q311" t="str">
        <f>IF(COUNTIF(Customers!$A$2:$A$1001,B311)&gt;0,"Valid","Invalid")</f>
        <v>Valid</v>
      </c>
      <c r="R311" t="str">
        <f>IF(COUNTIF(Branches!$A$2:$A$11,F311)&gt;0,"Valid","Invalid")</f>
        <v>Valid</v>
      </c>
    </row>
    <row r="312" spans="1:18" x14ac:dyDescent="0.25">
      <c r="A312" t="s">
        <v>2383</v>
      </c>
      <c r="B312" t="s">
        <v>991</v>
      </c>
      <c r="C312" s="8">
        <v>46040</v>
      </c>
      <c r="D312" t="s">
        <v>2070</v>
      </c>
      <c r="E312" t="s">
        <v>2063</v>
      </c>
      <c r="F312" t="s">
        <v>45</v>
      </c>
      <c r="G312">
        <v>329.58</v>
      </c>
      <c r="H312" t="s">
        <v>2060</v>
      </c>
      <c r="I312" t="str">
        <f>VLOOKUP(B312,Customers!A:G,7,FALSE)</f>
        <v>Individual</v>
      </c>
      <c r="Q312" t="str">
        <f>IF(COUNTIF(Customers!$A$2:$A$1001,B312)&gt;0,"Valid","Invalid")</f>
        <v>Valid</v>
      </c>
      <c r="R312" t="str">
        <f>IF(COUNTIF(Branches!$A$2:$A$11,F312)&gt;0,"Valid","Invalid")</f>
        <v>Valid</v>
      </c>
    </row>
    <row r="313" spans="1:18" x14ac:dyDescent="0.25">
      <c r="A313" t="s">
        <v>2384</v>
      </c>
      <c r="B313" t="s">
        <v>519</v>
      </c>
      <c r="C313" s="8">
        <v>46177</v>
      </c>
      <c r="D313" t="s">
        <v>2065</v>
      </c>
      <c r="E313" t="s">
        <v>2063</v>
      </c>
      <c r="F313" t="s">
        <v>27</v>
      </c>
      <c r="G313">
        <v>2228.06</v>
      </c>
      <c r="H313" t="s">
        <v>2060</v>
      </c>
      <c r="I313" t="str">
        <f>VLOOKUP(B313,Customers!A:G,7,FALSE)</f>
        <v>SME</v>
      </c>
      <c r="Q313" t="str">
        <f>IF(COUNTIF(Customers!$A$2:$A$1001,B313)&gt;0,"Valid","Invalid")</f>
        <v>Valid</v>
      </c>
      <c r="R313" t="str">
        <f>IF(COUNTIF(Branches!$A$2:$A$11,F313)&gt;0,"Valid","Invalid")</f>
        <v>Valid</v>
      </c>
    </row>
    <row r="314" spans="1:18" x14ac:dyDescent="0.25">
      <c r="A314" t="s">
        <v>2385</v>
      </c>
      <c r="B314" t="s">
        <v>251</v>
      </c>
      <c r="C314" s="8">
        <v>46165</v>
      </c>
      <c r="D314" t="s">
        <v>2058</v>
      </c>
      <c r="E314" t="s">
        <v>2063</v>
      </c>
      <c r="F314" t="s">
        <v>27</v>
      </c>
      <c r="G314">
        <v>1336.5</v>
      </c>
      <c r="H314" t="s">
        <v>2060</v>
      </c>
      <c r="I314" t="str">
        <f>VLOOKUP(B314,Customers!A:G,7,FALSE)</f>
        <v>Individual</v>
      </c>
      <c r="Q314" t="str">
        <f>IF(COUNTIF(Customers!$A$2:$A$1001,B314)&gt;0,"Valid","Invalid")</f>
        <v>Valid</v>
      </c>
      <c r="R314" t="str">
        <f>IF(COUNTIF(Branches!$A$2:$A$11,F314)&gt;0,"Valid","Invalid")</f>
        <v>Valid</v>
      </c>
    </row>
    <row r="315" spans="1:18" x14ac:dyDescent="0.25">
      <c r="A315" t="s">
        <v>2386</v>
      </c>
      <c r="B315" t="s">
        <v>144</v>
      </c>
      <c r="C315" s="8">
        <v>46103</v>
      </c>
      <c r="D315" t="s">
        <v>2065</v>
      </c>
      <c r="E315" t="s">
        <v>2063</v>
      </c>
      <c r="F315" t="s">
        <v>27</v>
      </c>
      <c r="G315">
        <v>5377.5</v>
      </c>
      <c r="H315" t="s">
        <v>2060</v>
      </c>
      <c r="I315" t="str">
        <f>VLOOKUP(B315,Customers!A:G,7,FALSE)</f>
        <v>Student</v>
      </c>
      <c r="Q315" t="str">
        <f>IF(COUNTIF(Customers!$A$2:$A$1001,B315)&gt;0,"Valid","Invalid")</f>
        <v>Valid</v>
      </c>
      <c r="R315" t="str">
        <f>IF(COUNTIF(Branches!$A$2:$A$11,F315)&gt;0,"Valid","Invalid")</f>
        <v>Valid</v>
      </c>
    </row>
    <row r="316" spans="1:18" x14ac:dyDescent="0.25">
      <c r="A316" t="s">
        <v>2387</v>
      </c>
      <c r="B316" t="s">
        <v>201</v>
      </c>
      <c r="C316" s="8">
        <v>46129</v>
      </c>
      <c r="D316" t="s">
        <v>2070</v>
      </c>
      <c r="E316" t="s">
        <v>2063</v>
      </c>
      <c r="F316" t="s">
        <v>11</v>
      </c>
      <c r="G316">
        <v>985.73</v>
      </c>
      <c r="H316" t="s">
        <v>2060</v>
      </c>
      <c r="I316" t="str">
        <f>VLOOKUP(B316,Customers!A:G,7,FALSE)</f>
        <v>Individual</v>
      </c>
      <c r="Q316" t="str">
        <f>IF(COUNTIF(Customers!$A$2:$A$1001,B316)&gt;0,"Valid","Invalid")</f>
        <v>Valid</v>
      </c>
      <c r="R316" t="str">
        <f>IF(COUNTIF(Branches!$A$2:$A$11,F316)&gt;0,"Valid","Invalid")</f>
        <v>Valid</v>
      </c>
    </row>
    <row r="317" spans="1:18" x14ac:dyDescent="0.25">
      <c r="A317" t="s">
        <v>2388</v>
      </c>
      <c r="B317" t="s">
        <v>1011</v>
      </c>
      <c r="C317" s="8">
        <v>46091</v>
      </c>
      <c r="D317" t="s">
        <v>2058</v>
      </c>
      <c r="E317" t="s">
        <v>2063</v>
      </c>
      <c r="F317" t="s">
        <v>11</v>
      </c>
      <c r="G317">
        <v>728.84</v>
      </c>
      <c r="H317" t="s">
        <v>2060</v>
      </c>
      <c r="I317" t="str">
        <f>VLOOKUP(B317,Customers!A:G,7,FALSE)</f>
        <v>Individual</v>
      </c>
      <c r="Q317" t="str">
        <f>IF(COUNTIF(Customers!$A$2:$A$1001,B317)&gt;0,"Valid","Invalid")</f>
        <v>Valid</v>
      </c>
      <c r="R317" t="str">
        <f>IF(COUNTIF(Branches!$A$2:$A$11,F317)&gt;0,"Valid","Invalid")</f>
        <v>Valid</v>
      </c>
    </row>
    <row r="318" spans="1:18" x14ac:dyDescent="0.25">
      <c r="A318" t="s">
        <v>2389</v>
      </c>
      <c r="B318" t="s">
        <v>641</v>
      </c>
      <c r="C318" s="8">
        <v>46102</v>
      </c>
      <c r="D318" t="s">
        <v>2065</v>
      </c>
      <c r="E318" t="s">
        <v>2063</v>
      </c>
      <c r="F318" t="s">
        <v>39</v>
      </c>
      <c r="G318">
        <v>485.53</v>
      </c>
      <c r="H318" t="s">
        <v>2060</v>
      </c>
      <c r="I318" t="str">
        <f>VLOOKUP(B318,Customers!A:G,7,FALSE)</f>
        <v>Individual</v>
      </c>
      <c r="Q318" t="str">
        <f>IF(COUNTIF(Customers!$A$2:$A$1001,B318)&gt;0,"Valid","Invalid")</f>
        <v>Valid</v>
      </c>
      <c r="R318" t="str">
        <f>IF(COUNTIF(Branches!$A$2:$A$11,F318)&gt;0,"Valid","Invalid")</f>
        <v>Valid</v>
      </c>
    </row>
    <row r="319" spans="1:18" x14ac:dyDescent="0.25">
      <c r="A319" t="s">
        <v>2390</v>
      </c>
      <c r="B319" t="s">
        <v>742</v>
      </c>
      <c r="C319" s="8">
        <v>46165</v>
      </c>
      <c r="D319" t="s">
        <v>2067</v>
      </c>
      <c r="E319" t="s">
        <v>2076</v>
      </c>
      <c r="F319" t="s">
        <v>29</v>
      </c>
      <c r="G319">
        <v>142.12</v>
      </c>
      <c r="H319" t="s">
        <v>2060</v>
      </c>
      <c r="I319" t="str">
        <f>VLOOKUP(B319,Customers!A:G,7,FALSE)</f>
        <v>Student</v>
      </c>
      <c r="Q319" t="str">
        <f>IF(COUNTIF(Customers!$A$2:$A$1001,B319)&gt;0,"Valid","Invalid")</f>
        <v>Valid</v>
      </c>
      <c r="R319" t="str">
        <f>IF(COUNTIF(Branches!$A$2:$A$11,F319)&gt;0,"Valid","Invalid")</f>
        <v>Valid</v>
      </c>
    </row>
    <row r="320" spans="1:18" x14ac:dyDescent="0.25">
      <c r="A320" t="s">
        <v>2391</v>
      </c>
      <c r="B320" t="s">
        <v>373</v>
      </c>
      <c r="C320" s="8">
        <v>46064</v>
      </c>
      <c r="D320" t="s">
        <v>2065</v>
      </c>
      <c r="E320" t="s">
        <v>2063</v>
      </c>
      <c r="F320" t="s">
        <v>27</v>
      </c>
      <c r="G320">
        <v>590.97</v>
      </c>
      <c r="H320" t="s">
        <v>2060</v>
      </c>
      <c r="I320" t="str">
        <f>VLOOKUP(B320,Customers!A:G,7,FALSE)</f>
        <v>Student</v>
      </c>
      <c r="Q320" t="str">
        <f>IF(COUNTIF(Customers!$A$2:$A$1001,B320)&gt;0,"Valid","Invalid")</f>
        <v>Valid</v>
      </c>
      <c r="R320" t="str">
        <f>IF(COUNTIF(Branches!$A$2:$A$11,F320)&gt;0,"Valid","Invalid")</f>
        <v>Valid</v>
      </c>
    </row>
    <row r="321" spans="1:18" x14ac:dyDescent="0.25">
      <c r="A321" t="s">
        <v>2392</v>
      </c>
      <c r="B321" t="s">
        <v>122</v>
      </c>
      <c r="C321" s="8">
        <v>46260</v>
      </c>
      <c r="D321" t="s">
        <v>2067</v>
      </c>
      <c r="E321" t="s">
        <v>2059</v>
      </c>
      <c r="F321" t="s">
        <v>21</v>
      </c>
      <c r="G321">
        <v>616.53</v>
      </c>
      <c r="H321" t="s">
        <v>2060</v>
      </c>
      <c r="I321" t="str">
        <f>VLOOKUP(B321,Customers!A:G,7,FALSE)</f>
        <v>Individual</v>
      </c>
      <c r="Q321" t="str">
        <f>IF(COUNTIF(Customers!$A$2:$A$1001,B321)&gt;0,"Valid","Invalid")</f>
        <v>Valid</v>
      </c>
      <c r="R321" t="str">
        <f>IF(COUNTIF(Branches!$A$2:$A$11,F321)&gt;0,"Valid","Invalid")</f>
        <v>Valid</v>
      </c>
    </row>
    <row r="322" spans="1:18" x14ac:dyDescent="0.25">
      <c r="A322" t="s">
        <v>2393</v>
      </c>
      <c r="B322" t="s">
        <v>772</v>
      </c>
      <c r="C322" s="8">
        <v>46056</v>
      </c>
      <c r="D322" t="s">
        <v>2058</v>
      </c>
      <c r="E322" t="s">
        <v>2073</v>
      </c>
      <c r="F322" t="s">
        <v>11</v>
      </c>
      <c r="G322">
        <v>1055.8</v>
      </c>
      <c r="H322" t="s">
        <v>2115</v>
      </c>
      <c r="I322" t="str">
        <f>VLOOKUP(B322,Customers!A:G,7,FALSE)</f>
        <v>SME</v>
      </c>
      <c r="Q322" t="str">
        <f>IF(COUNTIF(Customers!$A$2:$A$1001,B322)&gt;0,"Valid","Invalid")</f>
        <v>Valid</v>
      </c>
      <c r="R322" t="str">
        <f>IF(COUNTIF(Branches!$A$2:$A$11,F322)&gt;0,"Valid","Invalid")</f>
        <v>Valid</v>
      </c>
    </row>
    <row r="323" spans="1:18" x14ac:dyDescent="0.25">
      <c r="A323" t="s">
        <v>2394</v>
      </c>
      <c r="B323" t="s">
        <v>913</v>
      </c>
      <c r="C323" s="8">
        <v>46070</v>
      </c>
      <c r="D323" t="s">
        <v>2067</v>
      </c>
      <c r="E323" t="s">
        <v>2068</v>
      </c>
      <c r="F323" t="s">
        <v>47</v>
      </c>
      <c r="G323">
        <v>195.76</v>
      </c>
      <c r="H323" t="s">
        <v>2060</v>
      </c>
      <c r="I323" t="str">
        <f>VLOOKUP(B323,Customers!A:G,7,FALSE)</f>
        <v>Corporate</v>
      </c>
      <c r="Q323" t="str">
        <f>IF(COUNTIF(Customers!$A$2:$A$1001,B323)&gt;0,"Valid","Invalid")</f>
        <v>Valid</v>
      </c>
      <c r="R323" t="str">
        <f>IF(COUNTIF(Branches!$A$2:$A$11,F323)&gt;0,"Valid","Invalid")</f>
        <v>Valid</v>
      </c>
    </row>
    <row r="324" spans="1:18" x14ac:dyDescent="0.25">
      <c r="A324" t="s">
        <v>2395</v>
      </c>
      <c r="B324" t="s">
        <v>462</v>
      </c>
      <c r="C324" s="8">
        <v>46233</v>
      </c>
      <c r="D324" t="s">
        <v>2067</v>
      </c>
      <c r="E324" t="s">
        <v>2063</v>
      </c>
      <c r="F324" t="s">
        <v>47</v>
      </c>
      <c r="G324">
        <v>639.69000000000005</v>
      </c>
      <c r="H324" t="s">
        <v>2060</v>
      </c>
      <c r="I324" t="str">
        <f>VLOOKUP(B324,Customers!A:G,7,FALSE)</f>
        <v>SME</v>
      </c>
      <c r="Q324" t="str">
        <f>IF(COUNTIF(Customers!$A$2:$A$1001,B324)&gt;0,"Valid","Invalid")</f>
        <v>Valid</v>
      </c>
      <c r="R324" t="str">
        <f>IF(COUNTIF(Branches!$A$2:$A$11,F324)&gt;0,"Valid","Invalid")</f>
        <v>Valid</v>
      </c>
    </row>
    <row r="325" spans="1:18" x14ac:dyDescent="0.25">
      <c r="A325" t="s">
        <v>2396</v>
      </c>
      <c r="B325" t="s">
        <v>651</v>
      </c>
      <c r="C325" s="8">
        <v>46158</v>
      </c>
      <c r="D325" t="s">
        <v>2065</v>
      </c>
      <c r="E325" t="s">
        <v>2073</v>
      </c>
      <c r="F325" t="s">
        <v>29</v>
      </c>
      <c r="G325">
        <v>1445.56</v>
      </c>
      <c r="H325" t="s">
        <v>2060</v>
      </c>
      <c r="I325" t="str">
        <f>VLOOKUP(B325,Customers!A:G,7,FALSE)</f>
        <v>SME</v>
      </c>
      <c r="Q325" t="str">
        <f>IF(COUNTIF(Customers!$A$2:$A$1001,B325)&gt;0,"Valid","Invalid")</f>
        <v>Valid</v>
      </c>
      <c r="R325" t="str">
        <f>IF(COUNTIF(Branches!$A$2:$A$11,F325)&gt;0,"Valid","Invalid")</f>
        <v>Valid</v>
      </c>
    </row>
    <row r="326" spans="1:18" x14ac:dyDescent="0.25">
      <c r="A326" t="s">
        <v>2397</v>
      </c>
      <c r="B326" t="s">
        <v>776</v>
      </c>
      <c r="C326" s="8">
        <v>46261</v>
      </c>
      <c r="D326" t="s">
        <v>2065</v>
      </c>
      <c r="E326" t="s">
        <v>2063</v>
      </c>
      <c r="F326" t="s">
        <v>29</v>
      </c>
      <c r="G326">
        <v>1596.41</v>
      </c>
      <c r="H326" t="s">
        <v>2060</v>
      </c>
      <c r="I326" t="str">
        <f>VLOOKUP(B326,Customers!A:G,7,FALSE)</f>
        <v>Individual</v>
      </c>
      <c r="Q326" t="str">
        <f>IF(COUNTIF(Customers!$A$2:$A$1001,B326)&gt;0,"Valid","Invalid")</f>
        <v>Valid</v>
      </c>
      <c r="R326" t="str">
        <f>IF(COUNTIF(Branches!$A$2:$A$11,F326)&gt;0,"Valid","Invalid")</f>
        <v>Valid</v>
      </c>
    </row>
    <row r="327" spans="1:18" x14ac:dyDescent="0.25">
      <c r="A327" t="s">
        <v>2398</v>
      </c>
      <c r="B327" t="s">
        <v>402</v>
      </c>
      <c r="C327" s="8">
        <v>46160</v>
      </c>
      <c r="D327" t="s">
        <v>2065</v>
      </c>
      <c r="E327" t="s">
        <v>2063</v>
      </c>
      <c r="F327" t="s">
        <v>47</v>
      </c>
      <c r="G327">
        <v>126.49</v>
      </c>
      <c r="H327" t="s">
        <v>2060</v>
      </c>
      <c r="I327" t="str">
        <f>VLOOKUP(B327,Customers!A:G,7,FALSE)</f>
        <v>Individual</v>
      </c>
      <c r="Q327" t="str">
        <f>IF(COUNTIF(Customers!$A$2:$A$1001,B327)&gt;0,"Valid","Invalid")</f>
        <v>Valid</v>
      </c>
      <c r="R327" t="str">
        <f>IF(COUNTIF(Branches!$A$2:$A$11,F327)&gt;0,"Valid","Invalid")</f>
        <v>Valid</v>
      </c>
    </row>
    <row r="328" spans="1:18" x14ac:dyDescent="0.25">
      <c r="A328" t="s">
        <v>2399</v>
      </c>
      <c r="B328" t="s">
        <v>96</v>
      </c>
      <c r="C328" s="8">
        <v>46027</v>
      </c>
      <c r="D328" t="s">
        <v>2062</v>
      </c>
      <c r="E328" t="s">
        <v>2073</v>
      </c>
      <c r="F328" t="s">
        <v>29</v>
      </c>
      <c r="G328">
        <v>1646.5</v>
      </c>
      <c r="H328" t="s">
        <v>2060</v>
      </c>
      <c r="I328" t="str">
        <f>VLOOKUP(B328,Customers!A:G,7,FALSE)</f>
        <v>Individual</v>
      </c>
      <c r="Q328" t="str">
        <f>IF(COUNTIF(Customers!$A$2:$A$1001,B328)&gt;0,"Valid","Invalid")</f>
        <v>Valid</v>
      </c>
      <c r="R328" t="str">
        <f>IF(COUNTIF(Branches!$A$2:$A$11,F328)&gt;0,"Valid","Invalid")</f>
        <v>Valid</v>
      </c>
    </row>
    <row r="329" spans="1:18" x14ac:dyDescent="0.25">
      <c r="A329" t="s">
        <v>2400</v>
      </c>
      <c r="B329" t="s">
        <v>520</v>
      </c>
      <c r="C329" s="8">
        <v>46138</v>
      </c>
      <c r="D329" t="s">
        <v>2065</v>
      </c>
      <c r="E329" t="s">
        <v>2068</v>
      </c>
      <c r="F329" t="s">
        <v>47</v>
      </c>
      <c r="G329">
        <v>634.87</v>
      </c>
      <c r="H329" t="s">
        <v>2060</v>
      </c>
      <c r="I329" t="str">
        <f>VLOOKUP(B329,Customers!A:G,7,FALSE)</f>
        <v>Individual</v>
      </c>
      <c r="Q329" t="str">
        <f>IF(COUNTIF(Customers!$A$2:$A$1001,B329)&gt;0,"Valid","Invalid")</f>
        <v>Valid</v>
      </c>
      <c r="R329" t="str">
        <f>IF(COUNTIF(Branches!$A$2:$A$11,F329)&gt;0,"Valid","Invalid")</f>
        <v>Valid</v>
      </c>
    </row>
    <row r="330" spans="1:18" x14ac:dyDescent="0.25">
      <c r="A330" t="s">
        <v>2401</v>
      </c>
      <c r="B330" t="s">
        <v>288</v>
      </c>
      <c r="C330" s="8">
        <v>46198</v>
      </c>
      <c r="D330" t="s">
        <v>2058</v>
      </c>
      <c r="E330" t="s">
        <v>2059</v>
      </c>
      <c r="F330" t="s">
        <v>11</v>
      </c>
      <c r="G330">
        <v>675.19</v>
      </c>
      <c r="H330" t="s">
        <v>2060</v>
      </c>
      <c r="I330" t="str">
        <f>VLOOKUP(B330,Customers!A:G,7,FALSE)</f>
        <v>SME</v>
      </c>
      <c r="Q330" t="str">
        <f>IF(COUNTIF(Customers!$A$2:$A$1001,B330)&gt;0,"Valid","Invalid")</f>
        <v>Valid</v>
      </c>
      <c r="R330" t="str">
        <f>IF(COUNTIF(Branches!$A$2:$A$11,F330)&gt;0,"Valid","Invalid")</f>
        <v>Valid</v>
      </c>
    </row>
    <row r="331" spans="1:18" x14ac:dyDescent="0.25">
      <c r="A331" t="s">
        <v>2402</v>
      </c>
      <c r="B331" t="s">
        <v>598</v>
      </c>
      <c r="C331" s="8">
        <v>46139</v>
      </c>
      <c r="D331" t="s">
        <v>2067</v>
      </c>
      <c r="E331" t="s">
        <v>2076</v>
      </c>
      <c r="F331" t="s">
        <v>16</v>
      </c>
      <c r="G331">
        <v>76.36</v>
      </c>
      <c r="H331" t="s">
        <v>2115</v>
      </c>
      <c r="I331" t="str">
        <f>VLOOKUP(B331,Customers!A:G,7,FALSE)</f>
        <v>Individual</v>
      </c>
      <c r="Q331" t="str">
        <f>IF(COUNTIF(Customers!$A$2:$A$1001,B331)&gt;0,"Valid","Invalid")</f>
        <v>Valid</v>
      </c>
      <c r="R331" t="str">
        <f>IF(COUNTIF(Branches!$A$2:$A$11,F331)&gt;0,"Valid","Invalid")</f>
        <v>Valid</v>
      </c>
    </row>
    <row r="332" spans="1:18" x14ac:dyDescent="0.25">
      <c r="A332" t="s">
        <v>2403</v>
      </c>
      <c r="B332" t="s">
        <v>153</v>
      </c>
      <c r="C332" s="8">
        <v>46176</v>
      </c>
      <c r="D332" t="s">
        <v>2065</v>
      </c>
      <c r="E332" t="s">
        <v>2076</v>
      </c>
      <c r="F332" t="s">
        <v>16</v>
      </c>
      <c r="G332">
        <v>3617.62</v>
      </c>
      <c r="H332" t="s">
        <v>2060</v>
      </c>
      <c r="I332" t="str">
        <f>VLOOKUP(B332,Customers!A:G,7,FALSE)</f>
        <v>Individual</v>
      </c>
      <c r="Q332" t="str">
        <f>IF(COUNTIF(Customers!$A$2:$A$1001,B332)&gt;0,"Valid","Invalid")</f>
        <v>Valid</v>
      </c>
      <c r="R332" t="str">
        <f>IF(COUNTIF(Branches!$A$2:$A$11,F332)&gt;0,"Valid","Invalid")</f>
        <v>Valid</v>
      </c>
    </row>
    <row r="333" spans="1:18" x14ac:dyDescent="0.25">
      <c r="A333" t="s">
        <v>2404</v>
      </c>
      <c r="B333" t="s">
        <v>777</v>
      </c>
      <c r="C333" s="8">
        <v>46236</v>
      </c>
      <c r="D333" t="s">
        <v>2058</v>
      </c>
      <c r="E333" t="s">
        <v>2063</v>
      </c>
      <c r="F333" t="s">
        <v>47</v>
      </c>
      <c r="G333">
        <v>969.52</v>
      </c>
      <c r="H333" t="s">
        <v>2060</v>
      </c>
      <c r="I333" t="str">
        <f>VLOOKUP(B333,Customers!A:G,7,FALSE)</f>
        <v>Individual</v>
      </c>
      <c r="Q333" t="str">
        <f>IF(COUNTIF(Customers!$A$2:$A$1001,B333)&gt;0,"Valid","Invalid")</f>
        <v>Valid</v>
      </c>
      <c r="R333" t="str">
        <f>IF(COUNTIF(Branches!$A$2:$A$11,F333)&gt;0,"Valid","Invalid")</f>
        <v>Valid</v>
      </c>
    </row>
    <row r="334" spans="1:18" x14ac:dyDescent="0.25">
      <c r="A334" t="s">
        <v>2405</v>
      </c>
      <c r="B334" t="s">
        <v>912</v>
      </c>
      <c r="C334" s="8">
        <v>46130</v>
      </c>
      <c r="D334" t="s">
        <v>2067</v>
      </c>
      <c r="E334" t="s">
        <v>2063</v>
      </c>
      <c r="F334" t="s">
        <v>47</v>
      </c>
      <c r="G334">
        <v>175.66</v>
      </c>
      <c r="H334" t="s">
        <v>2060</v>
      </c>
      <c r="I334" t="str">
        <f>VLOOKUP(B334,Customers!A:G,7,FALSE)</f>
        <v>Individual</v>
      </c>
      <c r="Q334" t="str">
        <f>IF(COUNTIF(Customers!$A$2:$A$1001,B334)&gt;0,"Valid","Invalid")</f>
        <v>Valid</v>
      </c>
      <c r="R334" t="str">
        <f>IF(COUNTIF(Branches!$A$2:$A$11,F334)&gt;0,"Valid","Invalid")</f>
        <v>Valid</v>
      </c>
    </row>
    <row r="335" spans="1:18" x14ac:dyDescent="0.25">
      <c r="A335" t="s">
        <v>2406</v>
      </c>
      <c r="B335" t="s">
        <v>953</v>
      </c>
      <c r="C335" s="8">
        <v>46045</v>
      </c>
      <c r="D335" t="s">
        <v>2067</v>
      </c>
      <c r="E335" t="s">
        <v>2059</v>
      </c>
      <c r="F335" t="s">
        <v>53</v>
      </c>
      <c r="G335">
        <v>1182.28</v>
      </c>
      <c r="H335" t="s">
        <v>2060</v>
      </c>
      <c r="I335" t="str">
        <f>VLOOKUP(B335,Customers!A:G,7,FALSE)</f>
        <v>Individual</v>
      </c>
      <c r="Q335" t="str">
        <f>IF(COUNTIF(Customers!$A$2:$A$1001,B335)&gt;0,"Valid","Invalid")</f>
        <v>Valid</v>
      </c>
      <c r="R335" t="str">
        <f>IF(COUNTIF(Branches!$A$2:$A$11,F335)&gt;0,"Valid","Invalid")</f>
        <v>Valid</v>
      </c>
    </row>
    <row r="336" spans="1:18" x14ac:dyDescent="0.25">
      <c r="A336" t="s">
        <v>2407</v>
      </c>
      <c r="B336" t="s">
        <v>1006</v>
      </c>
      <c r="C336" s="8">
        <v>46084</v>
      </c>
      <c r="D336" t="s">
        <v>2058</v>
      </c>
      <c r="E336" t="s">
        <v>2073</v>
      </c>
      <c r="F336" t="s">
        <v>29</v>
      </c>
      <c r="G336">
        <v>1146.51</v>
      </c>
      <c r="H336" t="s">
        <v>2060</v>
      </c>
      <c r="I336" t="str">
        <f>VLOOKUP(B336,Customers!A:G,7,FALSE)</f>
        <v>Individual</v>
      </c>
      <c r="Q336" t="str">
        <f>IF(COUNTIF(Customers!$A$2:$A$1001,B336)&gt;0,"Valid","Invalid")</f>
        <v>Valid</v>
      </c>
      <c r="R336" t="str">
        <f>IF(COUNTIF(Branches!$A$2:$A$11,F336)&gt;0,"Valid","Invalid")</f>
        <v>Valid</v>
      </c>
    </row>
    <row r="337" spans="1:18" x14ac:dyDescent="0.25">
      <c r="A337" t="s">
        <v>2408</v>
      </c>
      <c r="B337" t="s">
        <v>1037</v>
      </c>
      <c r="C337" s="8">
        <v>46035</v>
      </c>
      <c r="D337" t="s">
        <v>2058</v>
      </c>
      <c r="E337" t="s">
        <v>2063</v>
      </c>
      <c r="F337" t="s">
        <v>27</v>
      </c>
      <c r="G337">
        <v>2758.78</v>
      </c>
      <c r="H337" t="s">
        <v>2060</v>
      </c>
      <c r="I337" t="str">
        <f>VLOOKUP(B337,Customers!A:G,7,FALSE)</f>
        <v>SME</v>
      </c>
      <c r="Q337" t="str">
        <f>IF(COUNTIF(Customers!$A$2:$A$1001,B337)&gt;0,"Valid","Invalid")</f>
        <v>Valid</v>
      </c>
      <c r="R337" t="str">
        <f>IF(COUNTIF(Branches!$A$2:$A$11,F337)&gt;0,"Valid","Invalid")</f>
        <v>Valid</v>
      </c>
    </row>
    <row r="338" spans="1:18" x14ac:dyDescent="0.25">
      <c r="A338" t="s">
        <v>2409</v>
      </c>
      <c r="B338" t="s">
        <v>583</v>
      </c>
      <c r="C338" s="8">
        <v>46159</v>
      </c>
      <c r="D338" t="s">
        <v>2067</v>
      </c>
      <c r="E338" t="s">
        <v>2068</v>
      </c>
      <c r="F338" t="s">
        <v>11</v>
      </c>
      <c r="G338">
        <v>596.04</v>
      </c>
      <c r="H338" t="s">
        <v>2060</v>
      </c>
      <c r="I338" t="str">
        <f>VLOOKUP(B338,Customers!A:G,7,FALSE)</f>
        <v>Corporate</v>
      </c>
      <c r="Q338" t="str">
        <f>IF(COUNTIF(Customers!$A$2:$A$1001,B338)&gt;0,"Valid","Invalid")</f>
        <v>Valid</v>
      </c>
      <c r="R338" t="str">
        <f>IF(COUNTIF(Branches!$A$2:$A$11,F338)&gt;0,"Valid","Invalid")</f>
        <v>Valid</v>
      </c>
    </row>
    <row r="339" spans="1:18" x14ac:dyDescent="0.25">
      <c r="A339" t="s">
        <v>2410</v>
      </c>
      <c r="B339" t="s">
        <v>79</v>
      </c>
      <c r="C339" s="8">
        <v>46263</v>
      </c>
      <c r="D339" t="s">
        <v>2058</v>
      </c>
      <c r="E339" t="s">
        <v>2063</v>
      </c>
      <c r="F339" t="s">
        <v>11</v>
      </c>
      <c r="G339">
        <v>822.21</v>
      </c>
      <c r="H339" t="s">
        <v>2060</v>
      </c>
      <c r="I339" t="str">
        <f>VLOOKUP(B339,Customers!A:G,7,FALSE)</f>
        <v>Individual</v>
      </c>
      <c r="Q339" t="str">
        <f>IF(COUNTIF(Customers!$A$2:$A$1001,B339)&gt;0,"Valid","Invalid")</f>
        <v>Valid</v>
      </c>
      <c r="R339" t="str">
        <f>IF(COUNTIF(Branches!$A$2:$A$11,F339)&gt;0,"Valid","Invalid")</f>
        <v>Valid</v>
      </c>
    </row>
    <row r="340" spans="1:18" x14ac:dyDescent="0.25">
      <c r="A340" t="s">
        <v>2411</v>
      </c>
      <c r="B340" t="s">
        <v>547</v>
      </c>
      <c r="C340" s="8">
        <v>46042</v>
      </c>
      <c r="D340" t="s">
        <v>2058</v>
      </c>
      <c r="E340" t="s">
        <v>2059</v>
      </c>
      <c r="F340" t="s">
        <v>45</v>
      </c>
      <c r="G340">
        <v>427.17</v>
      </c>
      <c r="H340" t="s">
        <v>2060</v>
      </c>
      <c r="I340" t="str">
        <f>VLOOKUP(B340,Customers!A:G,7,FALSE)</f>
        <v>Individual</v>
      </c>
      <c r="Q340" t="str">
        <f>IF(COUNTIF(Customers!$A$2:$A$1001,B340)&gt;0,"Valid","Invalid")</f>
        <v>Valid</v>
      </c>
      <c r="R340" t="str">
        <f>IF(COUNTIF(Branches!$A$2:$A$11,F340)&gt;0,"Valid","Invalid")</f>
        <v>Valid</v>
      </c>
    </row>
    <row r="341" spans="1:18" x14ac:dyDescent="0.25">
      <c r="A341" t="s">
        <v>2412</v>
      </c>
      <c r="B341" t="s">
        <v>1026</v>
      </c>
      <c r="C341" s="8">
        <v>46114</v>
      </c>
      <c r="D341" t="s">
        <v>2065</v>
      </c>
      <c r="E341" t="s">
        <v>2076</v>
      </c>
      <c r="F341" t="s">
        <v>45</v>
      </c>
      <c r="G341">
        <v>1477.27</v>
      </c>
      <c r="H341" t="s">
        <v>2060</v>
      </c>
      <c r="I341" t="str">
        <f>VLOOKUP(B341,Customers!A:G,7,FALSE)</f>
        <v>Individual</v>
      </c>
      <c r="Q341" t="str">
        <f>IF(COUNTIF(Customers!$A$2:$A$1001,B341)&gt;0,"Valid","Invalid")</f>
        <v>Valid</v>
      </c>
      <c r="R341" t="str">
        <f>IF(COUNTIF(Branches!$A$2:$A$11,F341)&gt;0,"Valid","Invalid")</f>
        <v>Valid</v>
      </c>
    </row>
    <row r="342" spans="1:18" x14ac:dyDescent="0.25">
      <c r="A342" t="s">
        <v>2413</v>
      </c>
      <c r="B342" t="s">
        <v>201</v>
      </c>
      <c r="C342" s="8">
        <v>46130</v>
      </c>
      <c r="D342" t="s">
        <v>2067</v>
      </c>
      <c r="E342" t="s">
        <v>2076</v>
      </c>
      <c r="F342" t="s">
        <v>16</v>
      </c>
      <c r="G342">
        <v>371.11</v>
      </c>
      <c r="H342" t="s">
        <v>2060</v>
      </c>
      <c r="I342" t="str">
        <f>VLOOKUP(B342,Customers!A:G,7,FALSE)</f>
        <v>Individual</v>
      </c>
      <c r="Q342" t="str">
        <f>IF(COUNTIF(Customers!$A$2:$A$1001,B342)&gt;0,"Valid","Invalid")</f>
        <v>Valid</v>
      </c>
      <c r="R342" t="str">
        <f>IF(COUNTIF(Branches!$A$2:$A$11,F342)&gt;0,"Valid","Invalid")</f>
        <v>Valid</v>
      </c>
    </row>
    <row r="343" spans="1:18" x14ac:dyDescent="0.25">
      <c r="A343" t="s">
        <v>2414</v>
      </c>
      <c r="B343" t="s">
        <v>406</v>
      </c>
      <c r="C343" s="8">
        <v>46207</v>
      </c>
      <c r="D343" t="s">
        <v>2065</v>
      </c>
      <c r="E343" t="s">
        <v>2063</v>
      </c>
      <c r="F343" t="s">
        <v>47</v>
      </c>
      <c r="G343">
        <v>332.62</v>
      </c>
      <c r="H343" t="s">
        <v>2060</v>
      </c>
      <c r="I343" t="str">
        <f>VLOOKUP(B343,Customers!A:G,7,FALSE)</f>
        <v>SME</v>
      </c>
      <c r="Q343" t="str">
        <f>IF(COUNTIF(Customers!$A$2:$A$1001,B343)&gt;0,"Valid","Invalid")</f>
        <v>Valid</v>
      </c>
      <c r="R343" t="str">
        <f>IF(COUNTIF(Branches!$A$2:$A$11,F343)&gt;0,"Valid","Invalid")</f>
        <v>Valid</v>
      </c>
    </row>
    <row r="344" spans="1:18" x14ac:dyDescent="0.25">
      <c r="A344" t="s">
        <v>2415</v>
      </c>
      <c r="B344" t="s">
        <v>895</v>
      </c>
      <c r="C344" s="8">
        <v>46251</v>
      </c>
      <c r="D344" t="s">
        <v>2065</v>
      </c>
      <c r="E344" t="s">
        <v>2059</v>
      </c>
      <c r="F344" t="s">
        <v>35</v>
      </c>
      <c r="G344">
        <v>759.15</v>
      </c>
      <c r="H344" t="s">
        <v>2060</v>
      </c>
      <c r="I344" t="str">
        <f>VLOOKUP(B344,Customers!A:G,7,FALSE)</f>
        <v>SME</v>
      </c>
      <c r="Q344" t="str">
        <f>IF(COUNTIF(Customers!$A$2:$A$1001,B344)&gt;0,"Valid","Invalid")</f>
        <v>Valid</v>
      </c>
      <c r="R344" t="str">
        <f>IF(COUNTIF(Branches!$A$2:$A$11,F344)&gt;0,"Valid","Invalid")</f>
        <v>Valid</v>
      </c>
    </row>
    <row r="345" spans="1:18" x14ac:dyDescent="0.25">
      <c r="A345" t="s">
        <v>2416</v>
      </c>
      <c r="B345" t="s">
        <v>330</v>
      </c>
      <c r="C345" s="8">
        <v>46174</v>
      </c>
      <c r="D345" t="s">
        <v>2058</v>
      </c>
      <c r="E345" t="s">
        <v>2059</v>
      </c>
      <c r="F345" t="s">
        <v>27</v>
      </c>
      <c r="G345">
        <v>238.44</v>
      </c>
      <c r="H345" t="s">
        <v>2060</v>
      </c>
      <c r="I345" t="str">
        <f>VLOOKUP(B345,Customers!A:G,7,FALSE)</f>
        <v>SME</v>
      </c>
      <c r="Q345" t="str">
        <f>IF(COUNTIF(Customers!$A$2:$A$1001,B345)&gt;0,"Valid","Invalid")</f>
        <v>Valid</v>
      </c>
      <c r="R345" t="str">
        <f>IF(COUNTIF(Branches!$A$2:$A$11,F345)&gt;0,"Valid","Invalid")</f>
        <v>Valid</v>
      </c>
    </row>
    <row r="346" spans="1:18" x14ac:dyDescent="0.25">
      <c r="A346" t="s">
        <v>2417</v>
      </c>
      <c r="B346" t="s">
        <v>887</v>
      </c>
      <c r="C346" s="8">
        <v>46130</v>
      </c>
      <c r="D346" t="s">
        <v>2062</v>
      </c>
      <c r="E346" t="s">
        <v>2063</v>
      </c>
      <c r="F346" t="s">
        <v>27</v>
      </c>
      <c r="G346">
        <v>4032.46</v>
      </c>
      <c r="H346" t="s">
        <v>2060</v>
      </c>
      <c r="I346" t="str">
        <f>VLOOKUP(B346,Customers!A:G,7,FALSE)</f>
        <v>Individual</v>
      </c>
      <c r="Q346" t="str">
        <f>IF(COUNTIF(Customers!$A$2:$A$1001,B346)&gt;0,"Valid","Invalid")</f>
        <v>Valid</v>
      </c>
      <c r="R346" t="str">
        <f>IF(COUNTIF(Branches!$A$2:$A$11,F346)&gt;0,"Valid","Invalid")</f>
        <v>Valid</v>
      </c>
    </row>
    <row r="347" spans="1:18" x14ac:dyDescent="0.25">
      <c r="A347" t="s">
        <v>2418</v>
      </c>
      <c r="B347" t="s">
        <v>894</v>
      </c>
      <c r="C347" s="8">
        <v>46055</v>
      </c>
      <c r="D347" t="s">
        <v>2062</v>
      </c>
      <c r="E347" t="s">
        <v>2063</v>
      </c>
      <c r="F347" t="s">
        <v>35</v>
      </c>
      <c r="G347">
        <v>5581.8</v>
      </c>
      <c r="H347" t="s">
        <v>2060</v>
      </c>
      <c r="I347" t="str">
        <f>VLOOKUP(B347,Customers!A:G,7,FALSE)</f>
        <v>Individual</v>
      </c>
      <c r="Q347" t="str">
        <f>IF(COUNTIF(Customers!$A$2:$A$1001,B347)&gt;0,"Valid","Invalid")</f>
        <v>Valid</v>
      </c>
      <c r="R347" t="str">
        <f>IF(COUNTIF(Branches!$A$2:$A$11,F347)&gt;0,"Valid","Invalid")</f>
        <v>Valid</v>
      </c>
    </row>
    <row r="348" spans="1:18" x14ac:dyDescent="0.25">
      <c r="A348" t="s">
        <v>2419</v>
      </c>
      <c r="B348" t="s">
        <v>955</v>
      </c>
      <c r="C348" s="8">
        <v>46170</v>
      </c>
      <c r="D348" t="s">
        <v>2065</v>
      </c>
      <c r="E348" t="s">
        <v>2076</v>
      </c>
      <c r="F348" t="s">
        <v>16</v>
      </c>
      <c r="G348">
        <v>516.16</v>
      </c>
      <c r="H348" t="s">
        <v>2060</v>
      </c>
      <c r="I348" t="str">
        <f>VLOOKUP(B348,Customers!A:G,7,FALSE)</f>
        <v>SME</v>
      </c>
      <c r="Q348" t="str">
        <f>IF(COUNTIF(Customers!$A$2:$A$1001,B348)&gt;0,"Valid","Invalid")</f>
        <v>Valid</v>
      </c>
      <c r="R348" t="str">
        <f>IF(COUNTIF(Branches!$A$2:$A$11,F348)&gt;0,"Valid","Invalid")</f>
        <v>Valid</v>
      </c>
    </row>
    <row r="349" spans="1:18" x14ac:dyDescent="0.25">
      <c r="A349" t="s">
        <v>2420</v>
      </c>
      <c r="B349" t="s">
        <v>936</v>
      </c>
      <c r="C349" s="8">
        <v>46210</v>
      </c>
      <c r="D349" t="s">
        <v>2067</v>
      </c>
      <c r="E349" t="s">
        <v>2059</v>
      </c>
      <c r="F349" t="s">
        <v>21</v>
      </c>
      <c r="G349">
        <v>203.04</v>
      </c>
      <c r="H349" t="s">
        <v>2060</v>
      </c>
      <c r="I349" t="str">
        <f>VLOOKUP(B349,Customers!A:G,7,FALSE)</f>
        <v>Individual</v>
      </c>
      <c r="Q349" t="str">
        <f>IF(COUNTIF(Customers!$A$2:$A$1001,B349)&gt;0,"Valid","Invalid")</f>
        <v>Valid</v>
      </c>
      <c r="R349" t="str">
        <f>IF(COUNTIF(Branches!$A$2:$A$11,F349)&gt;0,"Valid","Invalid")</f>
        <v>Valid</v>
      </c>
    </row>
    <row r="350" spans="1:18" x14ac:dyDescent="0.25">
      <c r="A350" t="s">
        <v>2421</v>
      </c>
      <c r="B350" t="s">
        <v>837</v>
      </c>
      <c r="C350" s="8">
        <v>46198</v>
      </c>
      <c r="D350" t="s">
        <v>2058</v>
      </c>
      <c r="E350" t="s">
        <v>2063</v>
      </c>
      <c r="F350" t="s">
        <v>11</v>
      </c>
      <c r="G350">
        <v>1137.5</v>
      </c>
      <c r="H350" t="s">
        <v>2060</v>
      </c>
      <c r="I350" t="str">
        <f>VLOOKUP(B350,Customers!A:G,7,FALSE)</f>
        <v>Individual</v>
      </c>
      <c r="Q350" t="str">
        <f>IF(COUNTIF(Customers!$A$2:$A$1001,B350)&gt;0,"Valid","Invalid")</f>
        <v>Valid</v>
      </c>
      <c r="R350" t="str">
        <f>IF(COUNTIF(Branches!$A$2:$A$11,F350)&gt;0,"Valid","Invalid")</f>
        <v>Valid</v>
      </c>
    </row>
    <row r="351" spans="1:18" x14ac:dyDescent="0.25">
      <c r="A351" t="s">
        <v>2422</v>
      </c>
      <c r="B351" t="s">
        <v>914</v>
      </c>
      <c r="C351" s="8">
        <v>46086</v>
      </c>
      <c r="D351" t="s">
        <v>2065</v>
      </c>
      <c r="E351" t="s">
        <v>2059</v>
      </c>
      <c r="F351" t="s">
        <v>53</v>
      </c>
      <c r="G351">
        <v>501.65</v>
      </c>
      <c r="H351" t="s">
        <v>2060</v>
      </c>
      <c r="I351" t="str">
        <f>VLOOKUP(B351,Customers!A:G,7,FALSE)</f>
        <v>SME</v>
      </c>
      <c r="Q351" t="str">
        <f>IF(COUNTIF(Customers!$A$2:$A$1001,B351)&gt;0,"Valid","Invalid")</f>
        <v>Valid</v>
      </c>
      <c r="R351" t="str">
        <f>IF(COUNTIF(Branches!$A$2:$A$11,F351)&gt;0,"Valid","Invalid")</f>
        <v>Valid</v>
      </c>
    </row>
    <row r="352" spans="1:18" x14ac:dyDescent="0.25">
      <c r="A352" t="s">
        <v>2423</v>
      </c>
      <c r="B352" t="s">
        <v>775</v>
      </c>
      <c r="C352" s="8">
        <v>46052</v>
      </c>
      <c r="D352" t="s">
        <v>2062</v>
      </c>
      <c r="E352" t="s">
        <v>2073</v>
      </c>
      <c r="F352" t="s">
        <v>39</v>
      </c>
      <c r="G352">
        <v>2629.85</v>
      </c>
      <c r="H352" t="s">
        <v>2060</v>
      </c>
      <c r="I352" t="str">
        <f>VLOOKUP(B352,Customers!A:G,7,FALSE)</f>
        <v>Student</v>
      </c>
      <c r="Q352" t="str">
        <f>IF(COUNTIF(Customers!$A$2:$A$1001,B352)&gt;0,"Valid","Invalid")</f>
        <v>Valid</v>
      </c>
      <c r="R352" t="str">
        <f>IF(COUNTIF(Branches!$A$2:$A$11,F352)&gt;0,"Valid","Invalid")</f>
        <v>Valid</v>
      </c>
    </row>
    <row r="353" spans="1:18" x14ac:dyDescent="0.25">
      <c r="A353" t="s">
        <v>2424</v>
      </c>
      <c r="B353" t="s">
        <v>324</v>
      </c>
      <c r="C353" s="8">
        <v>46130</v>
      </c>
      <c r="D353" t="s">
        <v>2062</v>
      </c>
      <c r="E353" t="s">
        <v>2063</v>
      </c>
      <c r="F353" t="s">
        <v>45</v>
      </c>
      <c r="G353">
        <v>369.76</v>
      </c>
      <c r="H353" t="s">
        <v>2115</v>
      </c>
      <c r="I353" t="str">
        <f>VLOOKUP(B353,Customers!A:G,7,FALSE)</f>
        <v>Individual</v>
      </c>
      <c r="Q353" t="str">
        <f>IF(COUNTIF(Customers!$A$2:$A$1001,B353)&gt;0,"Valid","Invalid")</f>
        <v>Valid</v>
      </c>
      <c r="R353" t="str">
        <f>IF(COUNTIF(Branches!$A$2:$A$11,F353)&gt;0,"Valid","Invalid")</f>
        <v>Valid</v>
      </c>
    </row>
    <row r="354" spans="1:18" x14ac:dyDescent="0.25">
      <c r="A354" t="s">
        <v>2425</v>
      </c>
      <c r="B354" t="s">
        <v>241</v>
      </c>
      <c r="C354" s="8">
        <v>46095</v>
      </c>
      <c r="D354" t="s">
        <v>2062</v>
      </c>
      <c r="E354" t="s">
        <v>2076</v>
      </c>
      <c r="F354" t="s">
        <v>39</v>
      </c>
      <c r="G354">
        <v>1400.4</v>
      </c>
      <c r="H354" t="s">
        <v>2107</v>
      </c>
      <c r="I354" t="str">
        <f>VLOOKUP(B354,Customers!A:G,7,FALSE)</f>
        <v>Individual</v>
      </c>
      <c r="Q354" t="str">
        <f>IF(COUNTIF(Customers!$A$2:$A$1001,B354)&gt;0,"Valid","Invalid")</f>
        <v>Valid</v>
      </c>
      <c r="R354" t="str">
        <f>IF(COUNTIF(Branches!$A$2:$A$11,F354)&gt;0,"Valid","Invalid")</f>
        <v>Valid</v>
      </c>
    </row>
    <row r="355" spans="1:18" x14ac:dyDescent="0.25">
      <c r="A355" t="s">
        <v>2426</v>
      </c>
      <c r="B355" t="s">
        <v>722</v>
      </c>
      <c r="C355" s="8">
        <v>46131</v>
      </c>
      <c r="D355" t="s">
        <v>2065</v>
      </c>
      <c r="E355" t="s">
        <v>2063</v>
      </c>
      <c r="F355" t="s">
        <v>11</v>
      </c>
      <c r="G355">
        <v>910.5</v>
      </c>
      <c r="H355" t="s">
        <v>2060</v>
      </c>
      <c r="I355" t="str">
        <f>VLOOKUP(B355,Customers!A:G,7,FALSE)</f>
        <v>SME</v>
      </c>
      <c r="Q355" t="str">
        <f>IF(COUNTIF(Customers!$A$2:$A$1001,B355)&gt;0,"Valid","Invalid")</f>
        <v>Valid</v>
      </c>
      <c r="R355" t="str">
        <f>IF(COUNTIF(Branches!$A$2:$A$11,F355)&gt;0,"Valid","Invalid")</f>
        <v>Valid</v>
      </c>
    </row>
    <row r="356" spans="1:18" x14ac:dyDescent="0.25">
      <c r="A356" t="s">
        <v>2427</v>
      </c>
      <c r="B356" t="s">
        <v>562</v>
      </c>
      <c r="C356" s="8">
        <v>46263</v>
      </c>
      <c r="D356" t="s">
        <v>2065</v>
      </c>
      <c r="E356" t="s">
        <v>2063</v>
      </c>
      <c r="F356" t="s">
        <v>53</v>
      </c>
      <c r="G356">
        <v>413.12</v>
      </c>
      <c r="H356" t="s">
        <v>2060</v>
      </c>
      <c r="I356" t="str">
        <f>VLOOKUP(B356,Customers!A:G,7,FALSE)</f>
        <v>Individual</v>
      </c>
      <c r="Q356" t="str">
        <f>IF(COUNTIF(Customers!$A$2:$A$1001,B356)&gt;0,"Valid","Invalid")</f>
        <v>Valid</v>
      </c>
      <c r="R356" t="str">
        <f>IF(COUNTIF(Branches!$A$2:$A$11,F356)&gt;0,"Valid","Invalid")</f>
        <v>Valid</v>
      </c>
    </row>
    <row r="357" spans="1:18" x14ac:dyDescent="0.25">
      <c r="A357" t="s">
        <v>2428</v>
      </c>
      <c r="B357" t="s">
        <v>857</v>
      </c>
      <c r="C357" s="8">
        <v>46167</v>
      </c>
      <c r="D357" t="s">
        <v>2062</v>
      </c>
      <c r="E357" t="s">
        <v>2063</v>
      </c>
      <c r="F357" t="s">
        <v>29</v>
      </c>
      <c r="G357">
        <v>1032.82</v>
      </c>
      <c r="H357" t="s">
        <v>2060</v>
      </c>
      <c r="I357" t="str">
        <f>VLOOKUP(B357,Customers!A:G,7,FALSE)</f>
        <v>Student</v>
      </c>
      <c r="Q357" t="str">
        <f>IF(COUNTIF(Customers!$A$2:$A$1001,B357)&gt;0,"Valid","Invalid")</f>
        <v>Valid</v>
      </c>
      <c r="R357" t="str">
        <f>IF(COUNTIF(Branches!$A$2:$A$11,F357)&gt;0,"Valid","Invalid")</f>
        <v>Valid</v>
      </c>
    </row>
    <row r="358" spans="1:18" x14ac:dyDescent="0.25">
      <c r="A358" t="s">
        <v>2429</v>
      </c>
      <c r="B358" t="s">
        <v>157</v>
      </c>
      <c r="C358" s="8">
        <v>46122</v>
      </c>
      <c r="D358" t="s">
        <v>2058</v>
      </c>
      <c r="E358" t="s">
        <v>2059</v>
      </c>
      <c r="F358" t="s">
        <v>35</v>
      </c>
      <c r="G358">
        <v>1955.76</v>
      </c>
      <c r="H358" t="s">
        <v>2060</v>
      </c>
      <c r="I358" t="str">
        <f>VLOOKUP(B358,Customers!A:G,7,FALSE)</f>
        <v>SME</v>
      </c>
      <c r="Q358" t="str">
        <f>IF(COUNTIF(Customers!$A$2:$A$1001,B358)&gt;0,"Valid","Invalid")</f>
        <v>Valid</v>
      </c>
      <c r="R358" t="str">
        <f>IF(COUNTIF(Branches!$A$2:$A$11,F358)&gt;0,"Valid","Invalid")</f>
        <v>Valid</v>
      </c>
    </row>
    <row r="359" spans="1:18" x14ac:dyDescent="0.25">
      <c r="A359" t="s">
        <v>2430</v>
      </c>
      <c r="B359" t="s">
        <v>983</v>
      </c>
      <c r="C359" s="8">
        <v>46036</v>
      </c>
      <c r="D359" t="s">
        <v>2062</v>
      </c>
      <c r="E359" t="s">
        <v>2068</v>
      </c>
      <c r="F359" t="s">
        <v>29</v>
      </c>
      <c r="G359">
        <v>886.12</v>
      </c>
      <c r="H359" t="s">
        <v>2060</v>
      </c>
      <c r="I359" t="str">
        <f>VLOOKUP(B359,Customers!A:G,7,FALSE)</f>
        <v>Individual</v>
      </c>
      <c r="Q359" t="str">
        <f>IF(COUNTIF(Customers!$A$2:$A$1001,B359)&gt;0,"Valid","Invalid")</f>
        <v>Valid</v>
      </c>
      <c r="R359" t="str">
        <f>IF(COUNTIF(Branches!$A$2:$A$11,F359)&gt;0,"Valid","Invalid")</f>
        <v>Valid</v>
      </c>
    </row>
    <row r="360" spans="1:18" x14ac:dyDescent="0.25">
      <c r="A360" t="s">
        <v>2431</v>
      </c>
      <c r="B360" t="s">
        <v>794</v>
      </c>
      <c r="C360" s="8">
        <v>46041</v>
      </c>
      <c r="D360" t="s">
        <v>2065</v>
      </c>
      <c r="E360" t="s">
        <v>2063</v>
      </c>
      <c r="F360" t="s">
        <v>27</v>
      </c>
      <c r="G360">
        <v>895.41</v>
      </c>
      <c r="H360" t="s">
        <v>2060</v>
      </c>
      <c r="I360" t="str">
        <f>VLOOKUP(B360,Customers!A:G,7,FALSE)</f>
        <v>Corporate</v>
      </c>
      <c r="Q360" t="str">
        <f>IF(COUNTIF(Customers!$A$2:$A$1001,B360)&gt;0,"Valid","Invalid")</f>
        <v>Valid</v>
      </c>
      <c r="R360" t="str">
        <f>IF(COUNTIF(Branches!$A$2:$A$11,F360)&gt;0,"Valid","Invalid")</f>
        <v>Valid</v>
      </c>
    </row>
    <row r="361" spans="1:18" x14ac:dyDescent="0.25">
      <c r="A361" t="s">
        <v>2432</v>
      </c>
      <c r="B361" t="s">
        <v>702</v>
      </c>
      <c r="C361" s="8">
        <v>46093</v>
      </c>
      <c r="D361" t="s">
        <v>2058</v>
      </c>
      <c r="E361" t="s">
        <v>2076</v>
      </c>
      <c r="F361" t="s">
        <v>35</v>
      </c>
      <c r="G361">
        <v>339.41</v>
      </c>
      <c r="H361" t="s">
        <v>2060</v>
      </c>
      <c r="I361" t="str">
        <f>VLOOKUP(B361,Customers!A:G,7,FALSE)</f>
        <v>Individual</v>
      </c>
      <c r="Q361" t="str">
        <f>IF(COUNTIF(Customers!$A$2:$A$1001,B361)&gt;0,"Valid","Invalid")</f>
        <v>Valid</v>
      </c>
      <c r="R361" t="str">
        <f>IF(COUNTIF(Branches!$A$2:$A$11,F361)&gt;0,"Valid","Invalid")</f>
        <v>Valid</v>
      </c>
    </row>
    <row r="362" spans="1:18" x14ac:dyDescent="0.25">
      <c r="A362" t="s">
        <v>2433</v>
      </c>
      <c r="B362" t="s">
        <v>702</v>
      </c>
      <c r="C362" s="8">
        <v>46081</v>
      </c>
      <c r="D362" t="s">
        <v>2058</v>
      </c>
      <c r="E362" t="s">
        <v>2059</v>
      </c>
      <c r="F362" t="s">
        <v>53</v>
      </c>
      <c r="G362">
        <v>2550.91</v>
      </c>
      <c r="H362" t="s">
        <v>2060</v>
      </c>
      <c r="I362" t="str">
        <f>VLOOKUP(B362,Customers!A:G,7,FALSE)</f>
        <v>Individual</v>
      </c>
      <c r="Q362" t="str">
        <f>IF(COUNTIF(Customers!$A$2:$A$1001,B362)&gt;0,"Valid","Invalid")</f>
        <v>Valid</v>
      </c>
      <c r="R362" t="str">
        <f>IF(COUNTIF(Branches!$A$2:$A$11,F362)&gt;0,"Valid","Invalid")</f>
        <v>Valid</v>
      </c>
    </row>
    <row r="363" spans="1:18" x14ac:dyDescent="0.25">
      <c r="A363" t="s">
        <v>2434</v>
      </c>
      <c r="B363" t="s">
        <v>225</v>
      </c>
      <c r="C363" s="8">
        <v>46217</v>
      </c>
      <c r="D363" t="s">
        <v>2065</v>
      </c>
      <c r="E363" t="s">
        <v>2063</v>
      </c>
      <c r="F363" t="s">
        <v>45</v>
      </c>
      <c r="G363">
        <v>2308.9499999999998</v>
      </c>
      <c r="H363" t="s">
        <v>2060</v>
      </c>
      <c r="I363" t="str">
        <f>VLOOKUP(B363,Customers!A:G,7,FALSE)</f>
        <v>Individual</v>
      </c>
      <c r="Q363" t="str">
        <f>IF(COUNTIF(Customers!$A$2:$A$1001,B363)&gt;0,"Valid","Invalid")</f>
        <v>Valid</v>
      </c>
      <c r="R363" t="str">
        <f>IF(COUNTIF(Branches!$A$2:$A$11,F363)&gt;0,"Valid","Invalid")</f>
        <v>Valid</v>
      </c>
    </row>
    <row r="364" spans="1:18" x14ac:dyDescent="0.25">
      <c r="A364" t="s">
        <v>2435</v>
      </c>
      <c r="B364" t="s">
        <v>945</v>
      </c>
      <c r="C364" s="8">
        <v>46119</v>
      </c>
      <c r="D364" t="s">
        <v>2058</v>
      </c>
      <c r="E364" t="s">
        <v>2059</v>
      </c>
      <c r="F364" t="s">
        <v>45</v>
      </c>
      <c r="G364">
        <v>538.85</v>
      </c>
      <c r="H364" t="s">
        <v>2060</v>
      </c>
      <c r="I364" t="str">
        <f>VLOOKUP(B364,Customers!A:G,7,FALSE)</f>
        <v>Student</v>
      </c>
      <c r="Q364" t="str">
        <f>IF(COUNTIF(Customers!$A$2:$A$1001,B364)&gt;0,"Valid","Invalid")</f>
        <v>Valid</v>
      </c>
      <c r="R364" t="str">
        <f>IF(COUNTIF(Branches!$A$2:$A$11,F364)&gt;0,"Valid","Invalid")</f>
        <v>Valid</v>
      </c>
    </row>
    <row r="365" spans="1:18" x14ac:dyDescent="0.25">
      <c r="A365" t="s">
        <v>2436</v>
      </c>
      <c r="B365" t="s">
        <v>42</v>
      </c>
      <c r="C365" s="8">
        <v>46066</v>
      </c>
      <c r="D365" t="s">
        <v>2058</v>
      </c>
      <c r="E365" t="s">
        <v>2068</v>
      </c>
      <c r="F365" t="s">
        <v>29</v>
      </c>
      <c r="G365">
        <v>717.46</v>
      </c>
      <c r="H365" t="s">
        <v>2060</v>
      </c>
      <c r="I365" t="str">
        <f>VLOOKUP(B365,Customers!A:G,7,FALSE)</f>
        <v>Individual</v>
      </c>
      <c r="Q365" t="str">
        <f>IF(COUNTIF(Customers!$A$2:$A$1001,B365)&gt;0,"Valid","Invalid")</f>
        <v>Valid</v>
      </c>
      <c r="R365" t="str">
        <f>IF(COUNTIF(Branches!$A$2:$A$11,F365)&gt;0,"Valid","Invalid")</f>
        <v>Valid</v>
      </c>
    </row>
    <row r="366" spans="1:18" x14ac:dyDescent="0.25">
      <c r="A366" t="s">
        <v>2437</v>
      </c>
      <c r="B366" t="s">
        <v>641</v>
      </c>
      <c r="C366" s="8">
        <v>46182</v>
      </c>
      <c r="D366" t="s">
        <v>2065</v>
      </c>
      <c r="E366" t="s">
        <v>2068</v>
      </c>
      <c r="F366" t="s">
        <v>53</v>
      </c>
      <c r="G366">
        <v>3341.65</v>
      </c>
      <c r="H366" t="s">
        <v>2060</v>
      </c>
      <c r="I366" t="str">
        <f>VLOOKUP(B366,Customers!A:G,7,FALSE)</f>
        <v>Individual</v>
      </c>
      <c r="Q366" t="str">
        <f>IF(COUNTIF(Customers!$A$2:$A$1001,B366)&gt;0,"Valid","Invalid")</f>
        <v>Valid</v>
      </c>
      <c r="R366" t="str">
        <f>IF(COUNTIF(Branches!$A$2:$A$11,F366)&gt;0,"Valid","Invalid")</f>
        <v>Valid</v>
      </c>
    </row>
    <row r="367" spans="1:18" x14ac:dyDescent="0.25">
      <c r="A367" t="s">
        <v>2438</v>
      </c>
      <c r="B367" t="s">
        <v>237</v>
      </c>
      <c r="C367" s="8">
        <v>46133</v>
      </c>
      <c r="D367" t="s">
        <v>2065</v>
      </c>
      <c r="E367" t="s">
        <v>2068</v>
      </c>
      <c r="F367" t="s">
        <v>39</v>
      </c>
      <c r="G367">
        <v>261.5</v>
      </c>
      <c r="H367" t="s">
        <v>2060</v>
      </c>
      <c r="I367" t="str">
        <f>VLOOKUP(B367,Customers!A:G,7,FALSE)</f>
        <v>Individual</v>
      </c>
      <c r="Q367" t="str">
        <f>IF(COUNTIF(Customers!$A$2:$A$1001,B367)&gt;0,"Valid","Invalid")</f>
        <v>Valid</v>
      </c>
      <c r="R367" t="str">
        <f>IF(COUNTIF(Branches!$A$2:$A$11,F367)&gt;0,"Valid","Invalid")</f>
        <v>Valid</v>
      </c>
    </row>
    <row r="368" spans="1:18" x14ac:dyDescent="0.25">
      <c r="A368" t="s">
        <v>2439</v>
      </c>
      <c r="B368" t="s">
        <v>624</v>
      </c>
      <c r="C368" s="8">
        <v>46033</v>
      </c>
      <c r="D368" t="s">
        <v>2058</v>
      </c>
      <c r="E368" t="s">
        <v>2063</v>
      </c>
      <c r="F368" t="s">
        <v>53</v>
      </c>
      <c r="G368">
        <v>1486.66</v>
      </c>
      <c r="H368" t="s">
        <v>2060</v>
      </c>
      <c r="I368" t="str">
        <f>VLOOKUP(B368,Customers!A:G,7,FALSE)</f>
        <v>Corporate</v>
      </c>
      <c r="Q368" t="str">
        <f>IF(COUNTIF(Customers!$A$2:$A$1001,B368)&gt;0,"Valid","Invalid")</f>
        <v>Valid</v>
      </c>
      <c r="R368" t="str">
        <f>IF(COUNTIF(Branches!$A$2:$A$11,F368)&gt;0,"Valid","Invalid")</f>
        <v>Valid</v>
      </c>
    </row>
    <row r="369" spans="1:18" x14ac:dyDescent="0.25">
      <c r="A369" t="s">
        <v>2440</v>
      </c>
      <c r="B369" t="s">
        <v>806</v>
      </c>
      <c r="C369" s="8">
        <v>46128</v>
      </c>
      <c r="D369" t="s">
        <v>2067</v>
      </c>
      <c r="E369" t="s">
        <v>2068</v>
      </c>
      <c r="F369" t="s">
        <v>27</v>
      </c>
      <c r="G369">
        <v>464.7</v>
      </c>
      <c r="H369" t="s">
        <v>2060</v>
      </c>
      <c r="I369" t="str">
        <f>VLOOKUP(B369,Customers!A:G,7,FALSE)</f>
        <v>Student</v>
      </c>
      <c r="Q369" t="str">
        <f>IF(COUNTIF(Customers!$A$2:$A$1001,B369)&gt;0,"Valid","Invalid")</f>
        <v>Valid</v>
      </c>
      <c r="R369" t="str">
        <f>IF(COUNTIF(Branches!$A$2:$A$11,F369)&gt;0,"Valid","Invalid")</f>
        <v>Valid</v>
      </c>
    </row>
    <row r="370" spans="1:18" x14ac:dyDescent="0.25">
      <c r="A370" t="s">
        <v>2441</v>
      </c>
      <c r="B370" t="s">
        <v>494</v>
      </c>
      <c r="C370" s="8">
        <v>46024</v>
      </c>
      <c r="D370" t="s">
        <v>2062</v>
      </c>
      <c r="E370" t="s">
        <v>2063</v>
      </c>
      <c r="F370" t="s">
        <v>27</v>
      </c>
      <c r="G370">
        <v>4808.2</v>
      </c>
      <c r="H370" t="s">
        <v>2060</v>
      </c>
      <c r="I370" t="str">
        <f>VLOOKUP(B370,Customers!A:G,7,FALSE)</f>
        <v>Student</v>
      </c>
      <c r="Q370" t="str">
        <f>IF(COUNTIF(Customers!$A$2:$A$1001,B370)&gt;0,"Valid","Invalid")</f>
        <v>Valid</v>
      </c>
      <c r="R370" t="str">
        <f>IF(COUNTIF(Branches!$A$2:$A$11,F370)&gt;0,"Valid","Invalid")</f>
        <v>Valid</v>
      </c>
    </row>
    <row r="371" spans="1:18" x14ac:dyDescent="0.25">
      <c r="A371" t="s">
        <v>2442</v>
      </c>
      <c r="B371" t="s">
        <v>486</v>
      </c>
      <c r="C371" s="8">
        <v>46240</v>
      </c>
      <c r="D371" t="s">
        <v>2067</v>
      </c>
      <c r="E371" t="s">
        <v>2076</v>
      </c>
      <c r="F371" t="s">
        <v>29</v>
      </c>
      <c r="G371">
        <v>865.62</v>
      </c>
      <c r="H371" t="s">
        <v>2060</v>
      </c>
      <c r="I371" t="str">
        <f>VLOOKUP(B371,Customers!A:G,7,FALSE)</f>
        <v>Individual</v>
      </c>
      <c r="Q371" t="str">
        <f>IF(COUNTIF(Customers!$A$2:$A$1001,B371)&gt;0,"Valid","Invalid")</f>
        <v>Valid</v>
      </c>
      <c r="R371" t="str">
        <f>IF(COUNTIF(Branches!$A$2:$A$11,F371)&gt;0,"Valid","Invalid")</f>
        <v>Valid</v>
      </c>
    </row>
    <row r="372" spans="1:18" x14ac:dyDescent="0.25">
      <c r="A372" t="s">
        <v>2443</v>
      </c>
      <c r="B372" t="s">
        <v>826</v>
      </c>
      <c r="C372" s="8">
        <v>46147</v>
      </c>
      <c r="D372" t="s">
        <v>2065</v>
      </c>
      <c r="E372" t="s">
        <v>2073</v>
      </c>
      <c r="F372" t="s">
        <v>53</v>
      </c>
      <c r="G372">
        <v>2865.16</v>
      </c>
      <c r="H372" t="s">
        <v>2060</v>
      </c>
      <c r="I372" t="str">
        <f>VLOOKUP(B372,Customers!A:G,7,FALSE)</f>
        <v>SME</v>
      </c>
      <c r="Q372" t="str">
        <f>IF(COUNTIF(Customers!$A$2:$A$1001,B372)&gt;0,"Valid","Invalid")</f>
        <v>Valid</v>
      </c>
      <c r="R372" t="str">
        <f>IF(COUNTIF(Branches!$A$2:$A$11,F372)&gt;0,"Valid","Invalid")</f>
        <v>Valid</v>
      </c>
    </row>
    <row r="373" spans="1:18" x14ac:dyDescent="0.25">
      <c r="A373" t="s">
        <v>2444</v>
      </c>
      <c r="B373" t="s">
        <v>878</v>
      </c>
      <c r="C373" s="8">
        <v>46218</v>
      </c>
      <c r="D373" t="s">
        <v>2070</v>
      </c>
      <c r="E373" t="s">
        <v>2063</v>
      </c>
      <c r="F373" t="s">
        <v>29</v>
      </c>
      <c r="G373">
        <v>379.43</v>
      </c>
      <c r="H373" t="s">
        <v>2060</v>
      </c>
      <c r="I373" t="str">
        <f>VLOOKUP(B373,Customers!A:G,7,FALSE)</f>
        <v>Individual</v>
      </c>
      <c r="Q373" t="str">
        <f>IF(COUNTIF(Customers!$A$2:$A$1001,B373)&gt;0,"Valid","Invalid")</f>
        <v>Valid</v>
      </c>
      <c r="R373" t="str">
        <f>IF(COUNTIF(Branches!$A$2:$A$11,F373)&gt;0,"Valid","Invalid")</f>
        <v>Valid</v>
      </c>
    </row>
    <row r="374" spans="1:18" x14ac:dyDescent="0.25">
      <c r="A374" t="s">
        <v>2445</v>
      </c>
      <c r="B374" t="s">
        <v>879</v>
      </c>
      <c r="C374" s="8">
        <v>46167</v>
      </c>
      <c r="D374" t="s">
        <v>2062</v>
      </c>
      <c r="E374" t="s">
        <v>2059</v>
      </c>
      <c r="F374" t="s">
        <v>29</v>
      </c>
      <c r="G374">
        <v>233.1</v>
      </c>
      <c r="H374" t="s">
        <v>2060</v>
      </c>
      <c r="I374" t="str">
        <f>VLOOKUP(B374,Customers!A:G,7,FALSE)</f>
        <v>SME</v>
      </c>
      <c r="Q374" t="str">
        <f>IF(COUNTIF(Customers!$A$2:$A$1001,B374)&gt;0,"Valid","Invalid")</f>
        <v>Valid</v>
      </c>
      <c r="R374" t="str">
        <f>IF(COUNTIF(Branches!$A$2:$A$11,F374)&gt;0,"Valid","Invalid")</f>
        <v>Valid</v>
      </c>
    </row>
    <row r="375" spans="1:18" x14ac:dyDescent="0.25">
      <c r="A375" t="s">
        <v>2446</v>
      </c>
      <c r="B375" t="s">
        <v>107</v>
      </c>
      <c r="C375" s="8">
        <v>46231</v>
      </c>
      <c r="D375" t="s">
        <v>2065</v>
      </c>
      <c r="E375" t="s">
        <v>2076</v>
      </c>
      <c r="F375" t="s">
        <v>27</v>
      </c>
      <c r="G375">
        <v>642.74</v>
      </c>
      <c r="H375" t="s">
        <v>2060</v>
      </c>
      <c r="I375" t="str">
        <f>VLOOKUP(B375,Customers!A:G,7,FALSE)</f>
        <v>SME</v>
      </c>
      <c r="Q375" t="str">
        <f>IF(COUNTIF(Customers!$A$2:$A$1001,B375)&gt;0,"Valid","Invalid")</f>
        <v>Valid</v>
      </c>
      <c r="R375" t="str">
        <f>IF(COUNTIF(Branches!$A$2:$A$11,F375)&gt;0,"Valid","Invalid")</f>
        <v>Valid</v>
      </c>
    </row>
    <row r="376" spans="1:18" x14ac:dyDescent="0.25">
      <c r="A376" t="s">
        <v>2447</v>
      </c>
      <c r="B376" t="s">
        <v>628</v>
      </c>
      <c r="C376" s="8">
        <v>46242</v>
      </c>
      <c r="D376" t="s">
        <v>2062</v>
      </c>
      <c r="E376" t="s">
        <v>2076</v>
      </c>
      <c r="F376" t="s">
        <v>27</v>
      </c>
      <c r="G376">
        <v>1056.46</v>
      </c>
      <c r="H376" t="s">
        <v>2060</v>
      </c>
      <c r="I376" t="str">
        <f>VLOOKUP(B376,Customers!A:G,7,FALSE)</f>
        <v>Individual</v>
      </c>
      <c r="Q376" t="str">
        <f>IF(COUNTIF(Customers!$A$2:$A$1001,B376)&gt;0,"Valid","Invalid")</f>
        <v>Valid</v>
      </c>
      <c r="R376" t="str">
        <f>IF(COUNTIF(Branches!$A$2:$A$11,F376)&gt;0,"Valid","Invalid")</f>
        <v>Valid</v>
      </c>
    </row>
    <row r="377" spans="1:18" x14ac:dyDescent="0.25">
      <c r="A377" t="s">
        <v>2448</v>
      </c>
      <c r="B377" t="s">
        <v>834</v>
      </c>
      <c r="C377" s="8">
        <v>46116</v>
      </c>
      <c r="D377" t="s">
        <v>2065</v>
      </c>
      <c r="E377" t="s">
        <v>2063</v>
      </c>
      <c r="F377" t="s">
        <v>29</v>
      </c>
      <c r="G377">
        <v>487.49</v>
      </c>
      <c r="H377" t="s">
        <v>2060</v>
      </c>
      <c r="I377" t="str">
        <f>VLOOKUP(B377,Customers!A:G,7,FALSE)</f>
        <v>SME</v>
      </c>
      <c r="Q377" t="str">
        <f>IF(COUNTIF(Customers!$A$2:$A$1001,B377)&gt;0,"Valid","Invalid")</f>
        <v>Valid</v>
      </c>
      <c r="R377" t="str">
        <f>IF(COUNTIF(Branches!$A$2:$A$11,F377)&gt;0,"Valid","Invalid")</f>
        <v>Valid</v>
      </c>
    </row>
    <row r="378" spans="1:18" x14ac:dyDescent="0.25">
      <c r="A378" t="s">
        <v>2449</v>
      </c>
      <c r="B378" t="s">
        <v>166</v>
      </c>
      <c r="C378" s="8">
        <v>46190</v>
      </c>
      <c r="D378" t="s">
        <v>2065</v>
      </c>
      <c r="E378" t="s">
        <v>2073</v>
      </c>
      <c r="F378" t="s">
        <v>21</v>
      </c>
      <c r="G378">
        <v>1734.21</v>
      </c>
      <c r="H378" t="s">
        <v>2060</v>
      </c>
      <c r="I378" t="str">
        <f>VLOOKUP(B378,Customers!A:G,7,FALSE)</f>
        <v>SME</v>
      </c>
      <c r="Q378" t="str">
        <f>IF(COUNTIF(Customers!$A$2:$A$1001,B378)&gt;0,"Valid","Invalid")</f>
        <v>Valid</v>
      </c>
      <c r="R378" t="str">
        <f>IF(COUNTIF(Branches!$A$2:$A$11,F378)&gt;0,"Valid","Invalid")</f>
        <v>Valid</v>
      </c>
    </row>
    <row r="379" spans="1:18" x14ac:dyDescent="0.25">
      <c r="A379" t="s">
        <v>2450</v>
      </c>
      <c r="B379" t="s">
        <v>927</v>
      </c>
      <c r="C379" s="8">
        <v>46237</v>
      </c>
      <c r="D379" t="s">
        <v>2065</v>
      </c>
      <c r="E379" t="s">
        <v>2076</v>
      </c>
      <c r="F379" t="s">
        <v>11</v>
      </c>
      <c r="G379">
        <v>658.55</v>
      </c>
      <c r="H379" t="s">
        <v>2060</v>
      </c>
      <c r="I379" t="str">
        <f>VLOOKUP(B379,Customers!A:G,7,FALSE)</f>
        <v>Individual</v>
      </c>
      <c r="Q379" t="str">
        <f>IF(COUNTIF(Customers!$A$2:$A$1001,B379)&gt;0,"Valid","Invalid")</f>
        <v>Valid</v>
      </c>
      <c r="R379" t="str">
        <f>IF(COUNTIF(Branches!$A$2:$A$11,F379)&gt;0,"Valid","Invalid")</f>
        <v>Valid</v>
      </c>
    </row>
    <row r="380" spans="1:18" x14ac:dyDescent="0.25">
      <c r="A380" t="s">
        <v>2451</v>
      </c>
      <c r="B380" t="s">
        <v>77</v>
      </c>
      <c r="C380" s="8">
        <v>46196</v>
      </c>
      <c r="D380" t="s">
        <v>2065</v>
      </c>
      <c r="E380" t="s">
        <v>2063</v>
      </c>
      <c r="F380" t="s">
        <v>35</v>
      </c>
      <c r="G380">
        <v>101.35</v>
      </c>
      <c r="H380" t="s">
        <v>2060</v>
      </c>
      <c r="I380" t="str">
        <f>VLOOKUP(B380,Customers!A:G,7,FALSE)</f>
        <v>Corporate</v>
      </c>
      <c r="Q380" t="str">
        <f>IF(COUNTIF(Customers!$A$2:$A$1001,B380)&gt;0,"Valid","Invalid")</f>
        <v>Valid</v>
      </c>
      <c r="R380" t="str">
        <f>IF(COUNTIF(Branches!$A$2:$A$11,F380)&gt;0,"Valid","Invalid")</f>
        <v>Valid</v>
      </c>
    </row>
    <row r="381" spans="1:18" x14ac:dyDescent="0.25">
      <c r="A381" t="s">
        <v>2452</v>
      </c>
      <c r="B381" t="s">
        <v>558</v>
      </c>
      <c r="C381" s="8">
        <v>46238</v>
      </c>
      <c r="D381" t="s">
        <v>2062</v>
      </c>
      <c r="E381" t="s">
        <v>2063</v>
      </c>
      <c r="F381" t="s">
        <v>11</v>
      </c>
      <c r="G381">
        <v>1412.07</v>
      </c>
      <c r="H381" t="s">
        <v>2060</v>
      </c>
      <c r="I381" t="str">
        <f>VLOOKUP(B381,Customers!A:G,7,FALSE)</f>
        <v>Individual</v>
      </c>
      <c r="Q381" t="str">
        <f>IF(COUNTIF(Customers!$A$2:$A$1001,B381)&gt;0,"Valid","Invalid")</f>
        <v>Valid</v>
      </c>
      <c r="R381" t="str">
        <f>IF(COUNTIF(Branches!$A$2:$A$11,F381)&gt;0,"Valid","Invalid")</f>
        <v>Valid</v>
      </c>
    </row>
    <row r="382" spans="1:18" x14ac:dyDescent="0.25">
      <c r="A382" t="s">
        <v>2453</v>
      </c>
      <c r="B382" t="s">
        <v>42</v>
      </c>
      <c r="C382" s="8">
        <v>46115</v>
      </c>
      <c r="D382" t="s">
        <v>2062</v>
      </c>
      <c r="E382" t="s">
        <v>2068</v>
      </c>
      <c r="F382" t="s">
        <v>29</v>
      </c>
      <c r="G382">
        <v>336.12</v>
      </c>
      <c r="H382" t="s">
        <v>2060</v>
      </c>
      <c r="I382" t="str">
        <f>VLOOKUP(B382,Customers!A:G,7,FALSE)</f>
        <v>Individual</v>
      </c>
      <c r="Q382" t="str">
        <f>IF(COUNTIF(Customers!$A$2:$A$1001,B382)&gt;0,"Valid","Invalid")</f>
        <v>Valid</v>
      </c>
      <c r="R382" t="str">
        <f>IF(COUNTIF(Branches!$A$2:$A$11,F382)&gt;0,"Valid","Invalid")</f>
        <v>Valid</v>
      </c>
    </row>
    <row r="383" spans="1:18" x14ac:dyDescent="0.25">
      <c r="A383" t="s">
        <v>2454</v>
      </c>
      <c r="B383" t="s">
        <v>763</v>
      </c>
      <c r="C383" s="8">
        <v>46026</v>
      </c>
      <c r="D383" t="s">
        <v>2070</v>
      </c>
      <c r="E383" t="s">
        <v>2063</v>
      </c>
      <c r="F383" t="s">
        <v>21</v>
      </c>
      <c r="G383">
        <v>565.89</v>
      </c>
      <c r="H383" t="s">
        <v>2060</v>
      </c>
      <c r="I383" t="str">
        <f>VLOOKUP(B383,Customers!A:G,7,FALSE)</f>
        <v>SME</v>
      </c>
      <c r="Q383" t="str">
        <f>IF(COUNTIF(Customers!$A$2:$A$1001,B383)&gt;0,"Valid","Invalid")</f>
        <v>Valid</v>
      </c>
      <c r="R383" t="str">
        <f>IF(COUNTIF(Branches!$A$2:$A$11,F383)&gt;0,"Valid","Invalid")</f>
        <v>Valid</v>
      </c>
    </row>
    <row r="384" spans="1:18" x14ac:dyDescent="0.25">
      <c r="A384" t="s">
        <v>2455</v>
      </c>
      <c r="B384" t="s">
        <v>661</v>
      </c>
      <c r="C384" s="8">
        <v>46188</v>
      </c>
      <c r="D384" t="s">
        <v>2062</v>
      </c>
      <c r="E384" t="s">
        <v>2063</v>
      </c>
      <c r="F384" t="s">
        <v>27</v>
      </c>
      <c r="G384">
        <v>3839.63</v>
      </c>
      <c r="H384" t="s">
        <v>2060</v>
      </c>
      <c r="I384" t="str">
        <f>VLOOKUP(B384,Customers!A:G,7,FALSE)</f>
        <v>SME</v>
      </c>
      <c r="Q384" t="str">
        <f>IF(COUNTIF(Customers!$A$2:$A$1001,B384)&gt;0,"Valid","Invalid")</f>
        <v>Valid</v>
      </c>
      <c r="R384" t="str">
        <f>IF(COUNTIF(Branches!$A$2:$A$11,F384)&gt;0,"Valid","Invalid")</f>
        <v>Valid</v>
      </c>
    </row>
    <row r="385" spans="1:18" x14ac:dyDescent="0.25">
      <c r="A385" t="s">
        <v>2456</v>
      </c>
      <c r="B385" t="s">
        <v>1026</v>
      </c>
      <c r="C385" s="8">
        <v>46085</v>
      </c>
      <c r="D385" t="s">
        <v>2067</v>
      </c>
      <c r="E385" t="s">
        <v>2059</v>
      </c>
      <c r="F385" t="s">
        <v>11</v>
      </c>
      <c r="G385">
        <v>4782.9399999999996</v>
      </c>
      <c r="H385" t="s">
        <v>2060</v>
      </c>
      <c r="I385" t="str">
        <f>VLOOKUP(B385,Customers!A:G,7,FALSE)</f>
        <v>Individual</v>
      </c>
      <c r="Q385" t="str">
        <f>IF(COUNTIF(Customers!$A$2:$A$1001,B385)&gt;0,"Valid","Invalid")</f>
        <v>Valid</v>
      </c>
      <c r="R385" t="str">
        <f>IF(COUNTIF(Branches!$A$2:$A$11,F385)&gt;0,"Valid","Invalid")</f>
        <v>Valid</v>
      </c>
    </row>
    <row r="386" spans="1:18" x14ac:dyDescent="0.25">
      <c r="A386" t="s">
        <v>2457</v>
      </c>
      <c r="B386" t="s">
        <v>841</v>
      </c>
      <c r="C386" s="8">
        <v>46051</v>
      </c>
      <c r="D386" t="s">
        <v>2058</v>
      </c>
      <c r="E386" t="s">
        <v>2076</v>
      </c>
      <c r="F386" t="s">
        <v>11</v>
      </c>
      <c r="G386">
        <v>456.92</v>
      </c>
      <c r="H386" t="s">
        <v>2060</v>
      </c>
      <c r="I386" t="str">
        <f>VLOOKUP(B386,Customers!A:G,7,FALSE)</f>
        <v>Corporate</v>
      </c>
      <c r="Q386" t="str">
        <f>IF(COUNTIF(Customers!$A$2:$A$1001,B386)&gt;0,"Valid","Invalid")</f>
        <v>Valid</v>
      </c>
      <c r="R386" t="str">
        <f>IF(COUNTIF(Branches!$A$2:$A$11,F386)&gt;0,"Valid","Invalid")</f>
        <v>Valid</v>
      </c>
    </row>
    <row r="387" spans="1:18" x14ac:dyDescent="0.25">
      <c r="A387" t="s">
        <v>2458</v>
      </c>
      <c r="B387" t="s">
        <v>573</v>
      </c>
      <c r="C387" s="8">
        <v>46041</v>
      </c>
      <c r="D387" t="s">
        <v>2070</v>
      </c>
      <c r="E387" t="s">
        <v>2076</v>
      </c>
      <c r="F387" t="s">
        <v>29</v>
      </c>
      <c r="G387">
        <v>1447.78</v>
      </c>
      <c r="H387" t="s">
        <v>2060</v>
      </c>
      <c r="I387" t="str">
        <f>VLOOKUP(B387,Customers!A:G,7,FALSE)</f>
        <v>Individual</v>
      </c>
      <c r="Q387" t="str">
        <f>IF(COUNTIF(Customers!$A$2:$A$1001,B387)&gt;0,"Valid","Invalid")</f>
        <v>Valid</v>
      </c>
      <c r="R387" t="str">
        <f>IF(COUNTIF(Branches!$A$2:$A$11,F387)&gt;0,"Valid","Invalid")</f>
        <v>Valid</v>
      </c>
    </row>
    <row r="388" spans="1:18" x14ac:dyDescent="0.25">
      <c r="A388" t="s">
        <v>2459</v>
      </c>
      <c r="B388" t="s">
        <v>340</v>
      </c>
      <c r="C388" s="8">
        <v>46113</v>
      </c>
      <c r="D388" t="s">
        <v>2062</v>
      </c>
      <c r="E388" t="s">
        <v>2059</v>
      </c>
      <c r="F388" t="s">
        <v>11</v>
      </c>
      <c r="G388">
        <v>467.65</v>
      </c>
      <c r="H388" t="s">
        <v>2115</v>
      </c>
      <c r="I388" t="str">
        <f>VLOOKUP(B388,Customers!A:G,7,FALSE)</f>
        <v>Individual</v>
      </c>
      <c r="Q388" t="str">
        <f>IF(COUNTIF(Customers!$A$2:$A$1001,B388)&gt;0,"Valid","Invalid")</f>
        <v>Valid</v>
      </c>
      <c r="R388" t="str">
        <f>IF(COUNTIF(Branches!$A$2:$A$11,F388)&gt;0,"Valid","Invalid")</f>
        <v>Valid</v>
      </c>
    </row>
    <row r="389" spans="1:18" x14ac:dyDescent="0.25">
      <c r="A389" t="s">
        <v>2460</v>
      </c>
      <c r="B389" t="s">
        <v>804</v>
      </c>
      <c r="C389" s="8">
        <v>46051</v>
      </c>
      <c r="D389" t="s">
        <v>2062</v>
      </c>
      <c r="E389" t="s">
        <v>2068</v>
      </c>
      <c r="F389" t="s">
        <v>29</v>
      </c>
      <c r="G389">
        <v>609.79999999999995</v>
      </c>
      <c r="H389" t="s">
        <v>2060</v>
      </c>
      <c r="I389" t="str">
        <f>VLOOKUP(B389,Customers!A:G,7,FALSE)</f>
        <v>Individual</v>
      </c>
      <c r="Q389" t="str">
        <f>IF(COUNTIF(Customers!$A$2:$A$1001,B389)&gt;0,"Valid","Invalid")</f>
        <v>Valid</v>
      </c>
      <c r="R389" t="str">
        <f>IF(COUNTIF(Branches!$A$2:$A$11,F389)&gt;0,"Valid","Invalid")</f>
        <v>Valid</v>
      </c>
    </row>
    <row r="390" spans="1:18" x14ac:dyDescent="0.25">
      <c r="A390" t="s">
        <v>2461</v>
      </c>
      <c r="B390" t="s">
        <v>565</v>
      </c>
      <c r="C390" s="8">
        <v>46250</v>
      </c>
      <c r="D390" t="s">
        <v>2070</v>
      </c>
      <c r="E390" t="s">
        <v>2073</v>
      </c>
      <c r="F390" t="s">
        <v>27</v>
      </c>
      <c r="G390">
        <v>443.29</v>
      </c>
      <c r="H390" t="s">
        <v>2060</v>
      </c>
      <c r="I390" t="str">
        <f>VLOOKUP(B390,Customers!A:G,7,FALSE)</f>
        <v>SME</v>
      </c>
      <c r="Q390" t="str">
        <f>IF(COUNTIF(Customers!$A$2:$A$1001,B390)&gt;0,"Valid","Invalid")</f>
        <v>Valid</v>
      </c>
      <c r="R390" t="str">
        <f>IF(COUNTIF(Branches!$A$2:$A$11,F390)&gt;0,"Valid","Invalid")</f>
        <v>Valid</v>
      </c>
    </row>
    <row r="391" spans="1:18" x14ac:dyDescent="0.25">
      <c r="A391" t="s">
        <v>2462</v>
      </c>
      <c r="B391" t="s">
        <v>680</v>
      </c>
      <c r="C391" s="8">
        <v>46185</v>
      </c>
      <c r="D391" t="s">
        <v>2065</v>
      </c>
      <c r="E391" t="s">
        <v>2063</v>
      </c>
      <c r="F391" t="s">
        <v>35</v>
      </c>
      <c r="G391">
        <v>144.84</v>
      </c>
      <c r="H391" t="s">
        <v>2060</v>
      </c>
      <c r="I391" t="str">
        <f>VLOOKUP(B391,Customers!A:G,7,FALSE)</f>
        <v>Individual</v>
      </c>
      <c r="Q391" t="str">
        <f>IF(COUNTIF(Customers!$A$2:$A$1001,B391)&gt;0,"Valid","Invalid")</f>
        <v>Valid</v>
      </c>
      <c r="R391" t="str">
        <f>IF(COUNTIF(Branches!$A$2:$A$11,F391)&gt;0,"Valid","Invalid")</f>
        <v>Valid</v>
      </c>
    </row>
    <row r="392" spans="1:18" x14ac:dyDescent="0.25">
      <c r="A392" t="s">
        <v>2463</v>
      </c>
      <c r="B392" t="s">
        <v>611</v>
      </c>
      <c r="C392" s="8">
        <v>46138</v>
      </c>
      <c r="D392" t="s">
        <v>2062</v>
      </c>
      <c r="E392" t="s">
        <v>2076</v>
      </c>
      <c r="F392" t="s">
        <v>45</v>
      </c>
      <c r="G392">
        <v>893.42</v>
      </c>
      <c r="H392" t="s">
        <v>2060</v>
      </c>
      <c r="I392" t="str">
        <f>VLOOKUP(B392,Customers!A:G,7,FALSE)</f>
        <v>Individual</v>
      </c>
      <c r="Q392" t="str">
        <f>IF(COUNTIF(Customers!$A$2:$A$1001,B392)&gt;0,"Valid","Invalid")</f>
        <v>Valid</v>
      </c>
      <c r="R392" t="str">
        <f>IF(COUNTIF(Branches!$A$2:$A$11,F392)&gt;0,"Valid","Invalid")</f>
        <v>Valid</v>
      </c>
    </row>
    <row r="393" spans="1:18" x14ac:dyDescent="0.25">
      <c r="A393" t="s">
        <v>2464</v>
      </c>
      <c r="B393" t="s">
        <v>151</v>
      </c>
      <c r="C393" s="8">
        <v>46092</v>
      </c>
      <c r="D393" t="s">
        <v>2062</v>
      </c>
      <c r="E393" t="s">
        <v>2073</v>
      </c>
      <c r="F393" t="s">
        <v>29</v>
      </c>
      <c r="G393">
        <v>1083.73</v>
      </c>
      <c r="H393" t="s">
        <v>2060</v>
      </c>
      <c r="I393" t="str">
        <f>VLOOKUP(B393,Customers!A:G,7,FALSE)</f>
        <v>Individual</v>
      </c>
      <c r="Q393" t="str">
        <f>IF(COUNTIF(Customers!$A$2:$A$1001,B393)&gt;0,"Valid","Invalid")</f>
        <v>Valid</v>
      </c>
      <c r="R393" t="str">
        <f>IF(COUNTIF(Branches!$A$2:$A$11,F393)&gt;0,"Valid","Invalid")</f>
        <v>Valid</v>
      </c>
    </row>
    <row r="394" spans="1:18" x14ac:dyDescent="0.25">
      <c r="A394" t="s">
        <v>2465</v>
      </c>
      <c r="B394" t="s">
        <v>498</v>
      </c>
      <c r="C394" s="8">
        <v>46145</v>
      </c>
      <c r="D394" t="s">
        <v>2070</v>
      </c>
      <c r="E394" t="s">
        <v>2076</v>
      </c>
      <c r="F394" t="s">
        <v>35</v>
      </c>
      <c r="G394">
        <v>415.3</v>
      </c>
      <c r="H394" t="s">
        <v>2060</v>
      </c>
      <c r="I394" t="str">
        <f>VLOOKUP(B394,Customers!A:G,7,FALSE)</f>
        <v>Individual</v>
      </c>
      <c r="Q394" t="str">
        <f>IF(COUNTIF(Customers!$A$2:$A$1001,B394)&gt;0,"Valid","Invalid")</f>
        <v>Valid</v>
      </c>
      <c r="R394" t="str">
        <f>IF(COUNTIF(Branches!$A$2:$A$11,F394)&gt;0,"Valid","Invalid")</f>
        <v>Valid</v>
      </c>
    </row>
    <row r="395" spans="1:18" x14ac:dyDescent="0.25">
      <c r="A395" t="s">
        <v>2466</v>
      </c>
      <c r="B395" t="s">
        <v>870</v>
      </c>
      <c r="C395" s="8">
        <v>46045</v>
      </c>
      <c r="D395" t="s">
        <v>2065</v>
      </c>
      <c r="E395" t="s">
        <v>2076</v>
      </c>
      <c r="F395" t="s">
        <v>53</v>
      </c>
      <c r="G395">
        <v>2410.9899999999998</v>
      </c>
      <c r="H395" t="s">
        <v>2060</v>
      </c>
      <c r="I395" t="str">
        <f>VLOOKUP(B395,Customers!A:G,7,FALSE)</f>
        <v>SME</v>
      </c>
      <c r="Q395" t="str">
        <f>IF(COUNTIF(Customers!$A$2:$A$1001,B395)&gt;0,"Valid","Invalid")</f>
        <v>Valid</v>
      </c>
      <c r="R395" t="str">
        <f>IF(COUNTIF(Branches!$A$2:$A$11,F395)&gt;0,"Valid","Invalid")</f>
        <v>Valid</v>
      </c>
    </row>
    <row r="396" spans="1:18" x14ac:dyDescent="0.25">
      <c r="A396" t="s">
        <v>2467</v>
      </c>
      <c r="B396" t="s">
        <v>543</v>
      </c>
      <c r="C396" s="8">
        <v>46253</v>
      </c>
      <c r="D396" t="s">
        <v>2058</v>
      </c>
      <c r="E396" t="s">
        <v>2063</v>
      </c>
      <c r="F396" t="s">
        <v>47</v>
      </c>
      <c r="G396">
        <v>525.27</v>
      </c>
      <c r="H396" t="s">
        <v>2060</v>
      </c>
      <c r="I396" t="str">
        <f>VLOOKUP(B396,Customers!A:G,7,FALSE)</f>
        <v>SME</v>
      </c>
      <c r="Q396" t="str">
        <f>IF(COUNTIF(Customers!$A$2:$A$1001,B396)&gt;0,"Valid","Invalid")</f>
        <v>Valid</v>
      </c>
      <c r="R396" t="str">
        <f>IF(COUNTIF(Branches!$A$2:$A$11,F396)&gt;0,"Valid","Invalid")</f>
        <v>Valid</v>
      </c>
    </row>
    <row r="397" spans="1:18" x14ac:dyDescent="0.25">
      <c r="A397" t="s">
        <v>2468</v>
      </c>
      <c r="B397" t="s">
        <v>346</v>
      </c>
      <c r="C397" s="8">
        <v>46068</v>
      </c>
      <c r="D397" t="s">
        <v>2058</v>
      </c>
      <c r="E397" t="s">
        <v>2059</v>
      </c>
      <c r="F397" t="s">
        <v>21</v>
      </c>
      <c r="G397">
        <v>429.57</v>
      </c>
      <c r="H397" t="s">
        <v>2060</v>
      </c>
      <c r="I397" t="str">
        <f>VLOOKUP(B397,Customers!A:G,7,FALSE)</f>
        <v>SME</v>
      </c>
      <c r="Q397" t="str">
        <f>IF(COUNTIF(Customers!$A$2:$A$1001,B397)&gt;0,"Valid","Invalid")</f>
        <v>Valid</v>
      </c>
      <c r="R397" t="str">
        <f>IF(COUNTIF(Branches!$A$2:$A$11,F397)&gt;0,"Valid","Invalid")</f>
        <v>Valid</v>
      </c>
    </row>
    <row r="398" spans="1:18" x14ac:dyDescent="0.25">
      <c r="A398" t="s">
        <v>2469</v>
      </c>
      <c r="B398" t="s">
        <v>970</v>
      </c>
      <c r="C398" s="8">
        <v>46194</v>
      </c>
      <c r="D398" t="s">
        <v>2065</v>
      </c>
      <c r="E398" t="s">
        <v>2059</v>
      </c>
      <c r="F398" t="s">
        <v>11</v>
      </c>
      <c r="G398">
        <v>1375.4</v>
      </c>
      <c r="H398" t="s">
        <v>2060</v>
      </c>
      <c r="I398" t="str">
        <f>VLOOKUP(B398,Customers!A:G,7,FALSE)</f>
        <v>SME</v>
      </c>
      <c r="Q398" t="str">
        <f>IF(COUNTIF(Customers!$A$2:$A$1001,B398)&gt;0,"Valid","Invalid")</f>
        <v>Valid</v>
      </c>
      <c r="R398" t="str">
        <f>IF(COUNTIF(Branches!$A$2:$A$11,F398)&gt;0,"Valid","Invalid")</f>
        <v>Valid</v>
      </c>
    </row>
    <row r="399" spans="1:18" x14ac:dyDescent="0.25">
      <c r="A399" t="s">
        <v>2470</v>
      </c>
      <c r="B399" t="s">
        <v>1001</v>
      </c>
      <c r="C399" s="8">
        <v>46198</v>
      </c>
      <c r="D399" t="s">
        <v>2058</v>
      </c>
      <c r="E399" t="s">
        <v>2076</v>
      </c>
      <c r="F399" t="s">
        <v>47</v>
      </c>
      <c r="G399">
        <v>173.7</v>
      </c>
      <c r="H399" t="s">
        <v>2060</v>
      </c>
      <c r="I399" t="str">
        <f>VLOOKUP(B399,Customers!A:G,7,FALSE)</f>
        <v>Individual</v>
      </c>
      <c r="Q399" t="str">
        <f>IF(COUNTIF(Customers!$A$2:$A$1001,B399)&gt;0,"Valid","Invalid")</f>
        <v>Valid</v>
      </c>
      <c r="R399" t="str">
        <f>IF(COUNTIF(Branches!$A$2:$A$11,F399)&gt;0,"Valid","Invalid")</f>
        <v>Valid</v>
      </c>
    </row>
    <row r="400" spans="1:18" x14ac:dyDescent="0.25">
      <c r="A400" t="s">
        <v>2471</v>
      </c>
      <c r="B400" t="s">
        <v>363</v>
      </c>
      <c r="C400" s="8">
        <v>46202</v>
      </c>
      <c r="D400" t="s">
        <v>2065</v>
      </c>
      <c r="E400" t="s">
        <v>2073</v>
      </c>
      <c r="F400" t="s">
        <v>47</v>
      </c>
      <c r="G400">
        <v>2011.59</v>
      </c>
      <c r="H400" t="s">
        <v>2115</v>
      </c>
      <c r="I400" t="str">
        <f>VLOOKUP(B400,Customers!A:G,7,FALSE)</f>
        <v>SME</v>
      </c>
      <c r="Q400" t="str">
        <f>IF(COUNTIF(Customers!$A$2:$A$1001,B400)&gt;0,"Valid","Invalid")</f>
        <v>Valid</v>
      </c>
      <c r="R400" t="str">
        <f>IF(COUNTIF(Branches!$A$2:$A$11,F400)&gt;0,"Valid","Invalid")</f>
        <v>Valid</v>
      </c>
    </row>
    <row r="401" spans="1:18" x14ac:dyDescent="0.25">
      <c r="A401" t="s">
        <v>2472</v>
      </c>
      <c r="B401" t="s">
        <v>617</v>
      </c>
      <c r="C401" s="8">
        <v>46030</v>
      </c>
      <c r="D401" t="s">
        <v>2067</v>
      </c>
      <c r="E401" t="s">
        <v>2063</v>
      </c>
      <c r="F401" t="s">
        <v>53</v>
      </c>
      <c r="G401">
        <v>543.39</v>
      </c>
      <c r="H401" t="s">
        <v>2060</v>
      </c>
      <c r="I401" t="str">
        <f>VLOOKUP(B401,Customers!A:G,7,FALSE)</f>
        <v>Individual</v>
      </c>
      <c r="Q401" t="str">
        <f>IF(COUNTIF(Customers!$A$2:$A$1001,B401)&gt;0,"Valid","Invalid")</f>
        <v>Valid</v>
      </c>
      <c r="R401" t="str">
        <f>IF(COUNTIF(Branches!$A$2:$A$11,F401)&gt;0,"Valid","Invalid")</f>
        <v>Valid</v>
      </c>
    </row>
    <row r="402" spans="1:18" x14ac:dyDescent="0.25">
      <c r="A402" t="s">
        <v>2473</v>
      </c>
      <c r="B402" t="s">
        <v>799</v>
      </c>
      <c r="C402" s="8">
        <v>46205</v>
      </c>
      <c r="D402" t="s">
        <v>2067</v>
      </c>
      <c r="E402" t="s">
        <v>2063</v>
      </c>
      <c r="F402" t="s">
        <v>29</v>
      </c>
      <c r="G402">
        <v>2184.81</v>
      </c>
      <c r="H402" t="s">
        <v>2060</v>
      </c>
      <c r="I402" t="str">
        <f>VLOOKUP(B402,Customers!A:G,7,FALSE)</f>
        <v>Student</v>
      </c>
      <c r="Q402" t="str">
        <f>IF(COUNTIF(Customers!$A$2:$A$1001,B402)&gt;0,"Valid","Invalid")</f>
        <v>Valid</v>
      </c>
      <c r="R402" t="str">
        <f>IF(COUNTIF(Branches!$A$2:$A$11,F402)&gt;0,"Valid","Invalid")</f>
        <v>Valid</v>
      </c>
    </row>
    <row r="403" spans="1:18" x14ac:dyDescent="0.25">
      <c r="A403" t="s">
        <v>2474</v>
      </c>
      <c r="B403" t="s">
        <v>211</v>
      </c>
      <c r="C403" s="8">
        <v>46088</v>
      </c>
      <c r="D403" t="s">
        <v>2058</v>
      </c>
      <c r="E403" t="s">
        <v>2063</v>
      </c>
      <c r="F403" t="s">
        <v>45</v>
      </c>
      <c r="G403">
        <v>2945.78</v>
      </c>
      <c r="H403" t="s">
        <v>2060</v>
      </c>
      <c r="I403" t="str">
        <f>VLOOKUP(B403,Customers!A:G,7,FALSE)</f>
        <v>SME</v>
      </c>
      <c r="Q403" t="str">
        <f>IF(COUNTIF(Customers!$A$2:$A$1001,B403)&gt;0,"Valid","Invalid")</f>
        <v>Valid</v>
      </c>
      <c r="R403" t="str">
        <f>IF(COUNTIF(Branches!$A$2:$A$11,F403)&gt;0,"Valid","Invalid")</f>
        <v>Valid</v>
      </c>
    </row>
    <row r="404" spans="1:18" x14ac:dyDescent="0.25">
      <c r="A404" t="s">
        <v>2475</v>
      </c>
      <c r="B404" t="s">
        <v>889</v>
      </c>
      <c r="C404" s="8">
        <v>46227</v>
      </c>
      <c r="D404" t="s">
        <v>2067</v>
      </c>
      <c r="E404" t="s">
        <v>2076</v>
      </c>
      <c r="F404" t="s">
        <v>53</v>
      </c>
      <c r="G404">
        <v>1540.95</v>
      </c>
      <c r="H404" t="s">
        <v>2060</v>
      </c>
      <c r="I404" t="str">
        <f>VLOOKUP(B404,Customers!A:G,7,FALSE)</f>
        <v>Corporate</v>
      </c>
      <c r="Q404" t="str">
        <f>IF(COUNTIF(Customers!$A$2:$A$1001,B404)&gt;0,"Valid","Invalid")</f>
        <v>Valid</v>
      </c>
      <c r="R404" t="str">
        <f>IF(COUNTIF(Branches!$A$2:$A$11,F404)&gt;0,"Valid","Invalid")</f>
        <v>Valid</v>
      </c>
    </row>
    <row r="405" spans="1:18" x14ac:dyDescent="0.25">
      <c r="A405" t="s">
        <v>2476</v>
      </c>
      <c r="B405" t="s">
        <v>552</v>
      </c>
      <c r="C405" s="8">
        <v>46190</v>
      </c>
      <c r="D405" t="s">
        <v>2058</v>
      </c>
      <c r="E405" t="s">
        <v>2063</v>
      </c>
      <c r="F405" t="s">
        <v>53</v>
      </c>
      <c r="G405">
        <v>360.69</v>
      </c>
      <c r="H405" t="s">
        <v>2060</v>
      </c>
      <c r="I405" t="str">
        <f>VLOOKUP(B405,Customers!A:G,7,FALSE)</f>
        <v>Individual</v>
      </c>
      <c r="Q405" t="str">
        <f>IF(COUNTIF(Customers!$A$2:$A$1001,B405)&gt;0,"Valid","Invalid")</f>
        <v>Valid</v>
      </c>
      <c r="R405" t="str">
        <f>IF(COUNTIF(Branches!$A$2:$A$11,F405)&gt;0,"Valid","Invalid")</f>
        <v>Valid</v>
      </c>
    </row>
    <row r="406" spans="1:18" x14ac:dyDescent="0.25">
      <c r="A406" t="s">
        <v>2477</v>
      </c>
      <c r="B406" t="s">
        <v>208</v>
      </c>
      <c r="C406" s="8">
        <v>46235</v>
      </c>
      <c r="D406" t="s">
        <v>2067</v>
      </c>
      <c r="E406" t="s">
        <v>2076</v>
      </c>
      <c r="F406" t="s">
        <v>29</v>
      </c>
      <c r="G406">
        <v>232.56</v>
      </c>
      <c r="H406" t="s">
        <v>2060</v>
      </c>
      <c r="I406" t="str">
        <f>VLOOKUP(B406,Customers!A:G,7,FALSE)</f>
        <v>Individual</v>
      </c>
      <c r="Q406" t="str">
        <f>IF(COUNTIF(Customers!$A$2:$A$1001,B406)&gt;0,"Valid","Invalid")</f>
        <v>Valid</v>
      </c>
      <c r="R406" t="str">
        <f>IF(COUNTIF(Branches!$A$2:$A$11,F406)&gt;0,"Valid","Invalid")</f>
        <v>Valid</v>
      </c>
    </row>
    <row r="407" spans="1:18" x14ac:dyDescent="0.25">
      <c r="A407" t="s">
        <v>2478</v>
      </c>
      <c r="B407" t="s">
        <v>1035</v>
      </c>
      <c r="C407" s="8">
        <v>46181</v>
      </c>
      <c r="D407" t="s">
        <v>2065</v>
      </c>
      <c r="E407" t="s">
        <v>2063</v>
      </c>
      <c r="F407" t="s">
        <v>45</v>
      </c>
      <c r="G407">
        <v>193.63</v>
      </c>
      <c r="H407" t="s">
        <v>2107</v>
      </c>
      <c r="I407" t="str">
        <f>VLOOKUP(B407,Customers!A:G,7,FALSE)</f>
        <v>Individual</v>
      </c>
      <c r="Q407" t="str">
        <f>IF(COUNTIF(Customers!$A$2:$A$1001,B407)&gt;0,"Valid","Invalid")</f>
        <v>Valid</v>
      </c>
      <c r="R407" t="str">
        <f>IF(COUNTIF(Branches!$A$2:$A$11,F407)&gt;0,"Valid","Invalid")</f>
        <v>Valid</v>
      </c>
    </row>
    <row r="408" spans="1:18" x14ac:dyDescent="0.25">
      <c r="A408" t="s">
        <v>2479</v>
      </c>
      <c r="B408" t="s">
        <v>998</v>
      </c>
      <c r="C408" s="8">
        <v>46198</v>
      </c>
      <c r="D408" t="s">
        <v>2065</v>
      </c>
      <c r="E408" t="s">
        <v>2059</v>
      </c>
      <c r="F408" t="s">
        <v>53</v>
      </c>
      <c r="G408">
        <v>2447.7199999999998</v>
      </c>
      <c r="H408" t="s">
        <v>2060</v>
      </c>
      <c r="I408" t="str">
        <f>VLOOKUP(B408,Customers!A:G,7,FALSE)</f>
        <v>Individual</v>
      </c>
      <c r="Q408" t="str">
        <f>IF(COUNTIF(Customers!$A$2:$A$1001,B408)&gt;0,"Valid","Invalid")</f>
        <v>Valid</v>
      </c>
      <c r="R408" t="str">
        <f>IF(COUNTIF(Branches!$A$2:$A$11,F408)&gt;0,"Valid","Invalid")</f>
        <v>Valid</v>
      </c>
    </row>
    <row r="409" spans="1:18" x14ac:dyDescent="0.25">
      <c r="A409" t="s">
        <v>2480</v>
      </c>
      <c r="B409" t="s">
        <v>540</v>
      </c>
      <c r="C409" s="8">
        <v>46122</v>
      </c>
      <c r="D409" t="s">
        <v>2065</v>
      </c>
      <c r="E409" t="s">
        <v>2063</v>
      </c>
      <c r="F409" t="s">
        <v>53</v>
      </c>
      <c r="G409">
        <v>709.95</v>
      </c>
      <c r="H409" t="s">
        <v>2060</v>
      </c>
      <c r="I409" t="str">
        <f>VLOOKUP(B409,Customers!A:G,7,FALSE)</f>
        <v>Individual</v>
      </c>
      <c r="Q409" t="str">
        <f>IF(COUNTIF(Customers!$A$2:$A$1001,B409)&gt;0,"Valid","Invalid")</f>
        <v>Valid</v>
      </c>
      <c r="R409" t="str">
        <f>IF(COUNTIF(Branches!$A$2:$A$11,F409)&gt;0,"Valid","Invalid")</f>
        <v>Valid</v>
      </c>
    </row>
    <row r="410" spans="1:18" x14ac:dyDescent="0.25">
      <c r="A410" t="s">
        <v>2481</v>
      </c>
      <c r="B410" t="s">
        <v>1015</v>
      </c>
      <c r="C410" s="8">
        <v>46083</v>
      </c>
      <c r="D410" t="s">
        <v>2058</v>
      </c>
      <c r="E410" t="s">
        <v>2068</v>
      </c>
      <c r="F410" t="s">
        <v>21</v>
      </c>
      <c r="G410">
        <v>446.2</v>
      </c>
      <c r="H410" t="s">
        <v>2060</v>
      </c>
      <c r="I410" t="str">
        <f>VLOOKUP(B410,Customers!A:G,7,FALSE)</f>
        <v>SME</v>
      </c>
      <c r="Q410" t="str">
        <f>IF(COUNTIF(Customers!$A$2:$A$1001,B410)&gt;0,"Valid","Invalid")</f>
        <v>Valid</v>
      </c>
      <c r="R410" t="str">
        <f>IF(COUNTIF(Branches!$A$2:$A$11,F410)&gt;0,"Valid","Invalid")</f>
        <v>Valid</v>
      </c>
    </row>
    <row r="411" spans="1:18" x14ac:dyDescent="0.25">
      <c r="A411" t="s">
        <v>2482</v>
      </c>
      <c r="B411" t="s">
        <v>372</v>
      </c>
      <c r="C411" s="8">
        <v>46134</v>
      </c>
      <c r="D411" t="s">
        <v>2062</v>
      </c>
      <c r="E411" t="s">
        <v>2059</v>
      </c>
      <c r="F411" t="s">
        <v>29</v>
      </c>
      <c r="G411">
        <v>711.89</v>
      </c>
      <c r="H411" t="s">
        <v>2060</v>
      </c>
      <c r="I411" t="str">
        <f>VLOOKUP(B411,Customers!A:G,7,FALSE)</f>
        <v>Corporate</v>
      </c>
      <c r="Q411" t="str">
        <f>IF(COUNTIF(Customers!$A$2:$A$1001,B411)&gt;0,"Valid","Invalid")</f>
        <v>Valid</v>
      </c>
      <c r="R411" t="str">
        <f>IF(COUNTIF(Branches!$A$2:$A$11,F411)&gt;0,"Valid","Invalid")</f>
        <v>Valid</v>
      </c>
    </row>
    <row r="412" spans="1:18" x14ac:dyDescent="0.25">
      <c r="A412" t="s">
        <v>2483</v>
      </c>
      <c r="B412" t="s">
        <v>322</v>
      </c>
      <c r="C412" s="8">
        <v>46074</v>
      </c>
      <c r="D412" t="s">
        <v>2065</v>
      </c>
      <c r="E412" t="s">
        <v>2073</v>
      </c>
      <c r="F412" t="s">
        <v>11</v>
      </c>
      <c r="G412">
        <v>2393.7600000000002</v>
      </c>
      <c r="H412" t="s">
        <v>2060</v>
      </c>
      <c r="I412" t="str">
        <f>VLOOKUP(B412,Customers!A:G,7,FALSE)</f>
        <v>Individual</v>
      </c>
      <c r="Q412" t="str">
        <f>IF(COUNTIF(Customers!$A$2:$A$1001,B412)&gt;0,"Valid","Invalid")</f>
        <v>Valid</v>
      </c>
      <c r="R412" t="str">
        <f>IF(COUNTIF(Branches!$A$2:$A$11,F412)&gt;0,"Valid","Invalid")</f>
        <v>Valid</v>
      </c>
    </row>
    <row r="413" spans="1:18" x14ac:dyDescent="0.25">
      <c r="A413" t="s">
        <v>2484</v>
      </c>
      <c r="B413" t="s">
        <v>513</v>
      </c>
      <c r="C413" s="8">
        <v>46188</v>
      </c>
      <c r="D413" t="s">
        <v>2065</v>
      </c>
      <c r="E413" t="s">
        <v>2059</v>
      </c>
      <c r="F413" t="s">
        <v>27</v>
      </c>
      <c r="G413">
        <v>1770.01</v>
      </c>
      <c r="H413" t="s">
        <v>2060</v>
      </c>
      <c r="I413" t="str">
        <f>VLOOKUP(B413,Customers!A:G,7,FALSE)</f>
        <v>Individual</v>
      </c>
      <c r="Q413" t="str">
        <f>IF(COUNTIF(Customers!$A$2:$A$1001,B413)&gt;0,"Valid","Invalid")</f>
        <v>Valid</v>
      </c>
      <c r="R413" t="str">
        <f>IF(COUNTIF(Branches!$A$2:$A$11,F413)&gt;0,"Valid","Invalid")</f>
        <v>Valid</v>
      </c>
    </row>
    <row r="414" spans="1:18" x14ac:dyDescent="0.25">
      <c r="A414" t="s">
        <v>2485</v>
      </c>
      <c r="B414" t="s">
        <v>90</v>
      </c>
      <c r="C414" s="8">
        <v>46241</v>
      </c>
      <c r="D414" t="s">
        <v>2062</v>
      </c>
      <c r="E414" t="s">
        <v>2063</v>
      </c>
      <c r="F414" t="s">
        <v>53</v>
      </c>
      <c r="G414">
        <v>1259.55</v>
      </c>
      <c r="H414" t="s">
        <v>2060</v>
      </c>
      <c r="I414" t="str">
        <f>VLOOKUP(B414,Customers!A:G,7,FALSE)</f>
        <v>SME</v>
      </c>
      <c r="Q414" t="str">
        <f>IF(COUNTIF(Customers!$A$2:$A$1001,B414)&gt;0,"Valid","Invalid")</f>
        <v>Valid</v>
      </c>
      <c r="R414" t="str">
        <f>IF(COUNTIF(Branches!$A$2:$A$11,F414)&gt;0,"Valid","Invalid")</f>
        <v>Valid</v>
      </c>
    </row>
    <row r="415" spans="1:18" x14ac:dyDescent="0.25">
      <c r="A415" t="s">
        <v>2486</v>
      </c>
      <c r="B415" t="s">
        <v>496</v>
      </c>
      <c r="C415" s="8">
        <v>46058</v>
      </c>
      <c r="D415" t="s">
        <v>2067</v>
      </c>
      <c r="E415" t="s">
        <v>2063</v>
      </c>
      <c r="F415" t="s">
        <v>47</v>
      </c>
      <c r="G415">
        <v>1537.46</v>
      </c>
      <c r="H415" t="s">
        <v>2060</v>
      </c>
      <c r="I415" t="str">
        <f>VLOOKUP(B415,Customers!A:G,7,FALSE)</f>
        <v>Individual</v>
      </c>
      <c r="Q415" t="str">
        <f>IF(COUNTIF(Customers!$A$2:$A$1001,B415)&gt;0,"Valid","Invalid")</f>
        <v>Valid</v>
      </c>
      <c r="R415" t="str">
        <f>IF(COUNTIF(Branches!$A$2:$A$11,F415)&gt;0,"Valid","Invalid")</f>
        <v>Valid</v>
      </c>
    </row>
    <row r="416" spans="1:18" x14ac:dyDescent="0.25">
      <c r="A416" t="s">
        <v>2487</v>
      </c>
      <c r="B416" t="s">
        <v>617</v>
      </c>
      <c r="C416" s="8">
        <v>46134</v>
      </c>
      <c r="D416" t="s">
        <v>2070</v>
      </c>
      <c r="E416" t="s">
        <v>2073</v>
      </c>
      <c r="F416" t="s">
        <v>11</v>
      </c>
      <c r="G416">
        <v>972.79</v>
      </c>
      <c r="H416" t="s">
        <v>2060</v>
      </c>
      <c r="I416" t="str">
        <f>VLOOKUP(B416,Customers!A:G,7,FALSE)</f>
        <v>Individual</v>
      </c>
      <c r="Q416" t="str">
        <f>IF(COUNTIF(Customers!$A$2:$A$1001,B416)&gt;0,"Valid","Invalid")</f>
        <v>Valid</v>
      </c>
      <c r="R416" t="str">
        <f>IF(COUNTIF(Branches!$A$2:$A$11,F416)&gt;0,"Valid","Invalid")</f>
        <v>Valid</v>
      </c>
    </row>
    <row r="417" spans="1:18" x14ac:dyDescent="0.25">
      <c r="A417" t="s">
        <v>2488</v>
      </c>
      <c r="B417" t="s">
        <v>458</v>
      </c>
      <c r="C417" s="8">
        <v>46109</v>
      </c>
      <c r="D417" t="s">
        <v>2062</v>
      </c>
      <c r="E417" t="s">
        <v>2076</v>
      </c>
      <c r="F417" t="s">
        <v>11</v>
      </c>
      <c r="G417">
        <v>1098.95</v>
      </c>
      <c r="H417" t="s">
        <v>2060</v>
      </c>
      <c r="I417" t="str">
        <f>VLOOKUP(B417,Customers!A:G,7,FALSE)</f>
        <v>Individual</v>
      </c>
      <c r="Q417" t="str">
        <f>IF(COUNTIF(Customers!$A$2:$A$1001,B417)&gt;0,"Valid","Invalid")</f>
        <v>Valid</v>
      </c>
      <c r="R417" t="str">
        <f>IF(COUNTIF(Branches!$A$2:$A$11,F417)&gt;0,"Valid","Invalid")</f>
        <v>Valid</v>
      </c>
    </row>
    <row r="418" spans="1:18" x14ac:dyDescent="0.25">
      <c r="A418" t="s">
        <v>2489</v>
      </c>
      <c r="B418" t="s">
        <v>652</v>
      </c>
      <c r="C418" s="8">
        <v>46205</v>
      </c>
      <c r="D418" t="s">
        <v>2067</v>
      </c>
      <c r="E418" t="s">
        <v>2063</v>
      </c>
      <c r="F418" t="s">
        <v>16</v>
      </c>
      <c r="G418">
        <v>1013.36</v>
      </c>
      <c r="H418" t="s">
        <v>2115</v>
      </c>
      <c r="I418" t="str">
        <f>VLOOKUP(B418,Customers!A:G,7,FALSE)</f>
        <v>Student</v>
      </c>
      <c r="Q418" t="str">
        <f>IF(COUNTIF(Customers!$A$2:$A$1001,B418)&gt;0,"Valid","Invalid")</f>
        <v>Valid</v>
      </c>
      <c r="R418" t="str">
        <f>IF(COUNTIF(Branches!$A$2:$A$11,F418)&gt;0,"Valid","Invalid")</f>
        <v>Valid</v>
      </c>
    </row>
    <row r="419" spans="1:18" x14ac:dyDescent="0.25">
      <c r="A419" t="s">
        <v>2490</v>
      </c>
      <c r="B419" t="s">
        <v>670</v>
      </c>
      <c r="C419" s="8">
        <v>46107</v>
      </c>
      <c r="D419" t="s">
        <v>2067</v>
      </c>
      <c r="E419" t="s">
        <v>2076</v>
      </c>
      <c r="F419" t="s">
        <v>11</v>
      </c>
      <c r="G419">
        <v>812.36</v>
      </c>
      <c r="H419" t="s">
        <v>2060</v>
      </c>
      <c r="I419" t="str">
        <f>VLOOKUP(B419,Customers!A:G,7,FALSE)</f>
        <v>SME</v>
      </c>
      <c r="Q419" t="str">
        <f>IF(COUNTIF(Customers!$A$2:$A$1001,B419)&gt;0,"Valid","Invalid")</f>
        <v>Valid</v>
      </c>
      <c r="R419" t="str">
        <f>IF(COUNTIF(Branches!$A$2:$A$11,F419)&gt;0,"Valid","Invalid")</f>
        <v>Valid</v>
      </c>
    </row>
    <row r="420" spans="1:18" x14ac:dyDescent="0.25">
      <c r="A420" t="s">
        <v>2491</v>
      </c>
      <c r="B420" t="s">
        <v>741</v>
      </c>
      <c r="C420" s="8">
        <v>46035</v>
      </c>
      <c r="D420" t="s">
        <v>2058</v>
      </c>
      <c r="E420" t="s">
        <v>2059</v>
      </c>
      <c r="F420" t="s">
        <v>47</v>
      </c>
      <c r="G420">
        <v>1725.68</v>
      </c>
      <c r="H420" t="s">
        <v>2060</v>
      </c>
      <c r="I420" t="str">
        <f>VLOOKUP(B420,Customers!A:G,7,FALSE)</f>
        <v>Individual</v>
      </c>
      <c r="Q420" t="str">
        <f>IF(COUNTIF(Customers!$A$2:$A$1001,B420)&gt;0,"Valid","Invalid")</f>
        <v>Valid</v>
      </c>
      <c r="R420" t="str">
        <f>IF(COUNTIF(Branches!$A$2:$A$11,F420)&gt;0,"Valid","Invalid")</f>
        <v>Valid</v>
      </c>
    </row>
    <row r="421" spans="1:18" x14ac:dyDescent="0.25">
      <c r="A421" t="s">
        <v>2492</v>
      </c>
      <c r="B421" t="s">
        <v>447</v>
      </c>
      <c r="C421" s="8">
        <v>46187</v>
      </c>
      <c r="D421" t="s">
        <v>2065</v>
      </c>
      <c r="E421" t="s">
        <v>2063</v>
      </c>
      <c r="F421" t="s">
        <v>45</v>
      </c>
      <c r="G421">
        <v>1165.94</v>
      </c>
      <c r="H421" t="s">
        <v>2060</v>
      </c>
      <c r="I421" t="str">
        <f>VLOOKUP(B421,Customers!A:G,7,FALSE)</f>
        <v>Individual</v>
      </c>
      <c r="Q421" t="str">
        <f>IF(COUNTIF(Customers!$A$2:$A$1001,B421)&gt;0,"Valid","Invalid")</f>
        <v>Valid</v>
      </c>
      <c r="R421" t="str">
        <f>IF(COUNTIF(Branches!$A$2:$A$11,F421)&gt;0,"Valid","Invalid")</f>
        <v>Valid</v>
      </c>
    </row>
    <row r="422" spans="1:18" x14ac:dyDescent="0.25">
      <c r="A422" t="s">
        <v>2493</v>
      </c>
      <c r="B422" t="s">
        <v>1020</v>
      </c>
      <c r="C422" s="8">
        <v>46069</v>
      </c>
      <c r="D422" t="s">
        <v>2065</v>
      </c>
      <c r="E422" t="s">
        <v>2063</v>
      </c>
      <c r="F422" t="s">
        <v>53</v>
      </c>
      <c r="G422">
        <v>336.73</v>
      </c>
      <c r="H422" t="s">
        <v>2107</v>
      </c>
      <c r="I422" t="str">
        <f>VLOOKUP(B422,Customers!A:G,7,FALSE)</f>
        <v>Individual</v>
      </c>
      <c r="Q422" t="str">
        <f>IF(COUNTIF(Customers!$A$2:$A$1001,B422)&gt;0,"Valid","Invalid")</f>
        <v>Valid</v>
      </c>
      <c r="R422" t="str">
        <f>IF(COUNTIF(Branches!$A$2:$A$11,F422)&gt;0,"Valid","Invalid")</f>
        <v>Valid</v>
      </c>
    </row>
    <row r="423" spans="1:18" x14ac:dyDescent="0.25">
      <c r="A423" t="s">
        <v>2494</v>
      </c>
      <c r="B423" t="s">
        <v>342</v>
      </c>
      <c r="C423" s="8">
        <v>46112</v>
      </c>
      <c r="D423" t="s">
        <v>2065</v>
      </c>
      <c r="E423" t="s">
        <v>2068</v>
      </c>
      <c r="F423" t="s">
        <v>53</v>
      </c>
      <c r="G423">
        <v>1378.67</v>
      </c>
      <c r="H423" t="s">
        <v>2060</v>
      </c>
      <c r="I423" t="str">
        <f>VLOOKUP(B423,Customers!A:G,7,FALSE)</f>
        <v>Individual</v>
      </c>
      <c r="Q423" t="str">
        <f>IF(COUNTIF(Customers!$A$2:$A$1001,B423)&gt;0,"Valid","Invalid")</f>
        <v>Valid</v>
      </c>
      <c r="R423" t="str">
        <f>IF(COUNTIF(Branches!$A$2:$A$11,F423)&gt;0,"Valid","Invalid")</f>
        <v>Valid</v>
      </c>
    </row>
    <row r="424" spans="1:18" x14ac:dyDescent="0.25">
      <c r="A424" t="s">
        <v>2495</v>
      </c>
      <c r="B424" t="s">
        <v>973</v>
      </c>
      <c r="C424" s="8">
        <v>46254</v>
      </c>
      <c r="D424" t="s">
        <v>2062</v>
      </c>
      <c r="E424" t="s">
        <v>2063</v>
      </c>
      <c r="F424" t="s">
        <v>27</v>
      </c>
      <c r="G424">
        <v>1040.28</v>
      </c>
      <c r="H424" t="s">
        <v>2060</v>
      </c>
      <c r="I424" t="str">
        <f>VLOOKUP(B424,Customers!A:G,7,FALSE)</f>
        <v>Individual</v>
      </c>
      <c r="Q424" t="str">
        <f>IF(COUNTIF(Customers!$A$2:$A$1001,B424)&gt;0,"Valid","Invalid")</f>
        <v>Valid</v>
      </c>
      <c r="R424" t="str">
        <f>IF(COUNTIF(Branches!$A$2:$A$11,F424)&gt;0,"Valid","Invalid")</f>
        <v>Valid</v>
      </c>
    </row>
    <row r="425" spans="1:18" x14ac:dyDescent="0.25">
      <c r="A425" t="s">
        <v>2496</v>
      </c>
      <c r="B425" t="s">
        <v>597</v>
      </c>
      <c r="C425" s="8">
        <v>46221</v>
      </c>
      <c r="D425" t="s">
        <v>2058</v>
      </c>
      <c r="E425" t="s">
        <v>2063</v>
      </c>
      <c r="F425" t="s">
        <v>27</v>
      </c>
      <c r="G425">
        <v>1497.29</v>
      </c>
      <c r="H425" t="s">
        <v>2060</v>
      </c>
      <c r="I425" t="str">
        <f>VLOOKUP(B425,Customers!A:G,7,FALSE)</f>
        <v>Individual</v>
      </c>
      <c r="Q425" t="str">
        <f>IF(COUNTIF(Customers!$A$2:$A$1001,B425)&gt;0,"Valid","Invalid")</f>
        <v>Valid</v>
      </c>
      <c r="R425" t="str">
        <f>IF(COUNTIF(Branches!$A$2:$A$11,F425)&gt;0,"Valid","Invalid")</f>
        <v>Valid</v>
      </c>
    </row>
    <row r="426" spans="1:18" x14ac:dyDescent="0.25">
      <c r="A426" t="s">
        <v>2497</v>
      </c>
      <c r="B426" t="s">
        <v>259</v>
      </c>
      <c r="C426" s="8">
        <v>46260</v>
      </c>
      <c r="D426" t="s">
        <v>2065</v>
      </c>
      <c r="E426" t="s">
        <v>2063</v>
      </c>
      <c r="F426" t="s">
        <v>27</v>
      </c>
      <c r="G426">
        <v>732.01</v>
      </c>
      <c r="H426" t="s">
        <v>2060</v>
      </c>
      <c r="I426" t="str">
        <f>VLOOKUP(B426,Customers!A:G,7,FALSE)</f>
        <v>Individual</v>
      </c>
      <c r="Q426" t="str">
        <f>IF(COUNTIF(Customers!$A$2:$A$1001,B426)&gt;0,"Valid","Invalid")</f>
        <v>Valid</v>
      </c>
      <c r="R426" t="str">
        <f>IF(COUNTIF(Branches!$A$2:$A$11,F426)&gt;0,"Valid","Invalid")</f>
        <v>Valid</v>
      </c>
    </row>
    <row r="427" spans="1:18" x14ac:dyDescent="0.25">
      <c r="A427" t="s">
        <v>2498</v>
      </c>
      <c r="B427" t="s">
        <v>571</v>
      </c>
      <c r="C427" s="8">
        <v>46253</v>
      </c>
      <c r="D427" t="s">
        <v>2058</v>
      </c>
      <c r="E427" t="s">
        <v>2063</v>
      </c>
      <c r="F427" t="s">
        <v>29</v>
      </c>
      <c r="G427">
        <v>1829.39</v>
      </c>
      <c r="H427" t="s">
        <v>2060</v>
      </c>
      <c r="I427" t="str">
        <f>VLOOKUP(B427,Customers!A:G,7,FALSE)</f>
        <v>Individual</v>
      </c>
      <c r="Q427" t="str">
        <f>IF(COUNTIF(Customers!$A$2:$A$1001,B427)&gt;0,"Valid","Invalid")</f>
        <v>Valid</v>
      </c>
      <c r="R427" t="str">
        <f>IF(COUNTIF(Branches!$A$2:$A$11,F427)&gt;0,"Valid","Invalid")</f>
        <v>Valid</v>
      </c>
    </row>
    <row r="428" spans="1:18" x14ac:dyDescent="0.25">
      <c r="A428" t="s">
        <v>2499</v>
      </c>
      <c r="B428" t="s">
        <v>194</v>
      </c>
      <c r="C428" s="8">
        <v>46044</v>
      </c>
      <c r="D428" t="s">
        <v>2067</v>
      </c>
      <c r="E428" t="s">
        <v>2059</v>
      </c>
      <c r="F428" t="s">
        <v>45</v>
      </c>
      <c r="G428">
        <v>764.02</v>
      </c>
      <c r="H428" t="s">
        <v>2060</v>
      </c>
      <c r="I428" t="str">
        <f>VLOOKUP(B428,Customers!A:G,7,FALSE)</f>
        <v>SME</v>
      </c>
      <c r="Q428" t="str">
        <f>IF(COUNTIF(Customers!$A$2:$A$1001,B428)&gt;0,"Valid","Invalid")</f>
        <v>Valid</v>
      </c>
      <c r="R428" t="str">
        <f>IF(COUNTIF(Branches!$A$2:$A$11,F428)&gt;0,"Valid","Invalid")</f>
        <v>Valid</v>
      </c>
    </row>
    <row r="429" spans="1:18" x14ac:dyDescent="0.25">
      <c r="A429" t="s">
        <v>2500</v>
      </c>
      <c r="B429" t="s">
        <v>386</v>
      </c>
      <c r="C429" s="8">
        <v>46189</v>
      </c>
      <c r="D429" t="s">
        <v>2058</v>
      </c>
      <c r="E429" t="s">
        <v>2063</v>
      </c>
      <c r="F429" t="s">
        <v>47</v>
      </c>
      <c r="G429">
        <v>1675.52</v>
      </c>
      <c r="H429" t="s">
        <v>2060</v>
      </c>
      <c r="I429" t="str">
        <f>VLOOKUP(B429,Customers!A:G,7,FALSE)</f>
        <v>SME</v>
      </c>
      <c r="Q429" t="str">
        <f>IF(COUNTIF(Customers!$A$2:$A$1001,B429)&gt;0,"Valid","Invalid")</f>
        <v>Valid</v>
      </c>
      <c r="R429" t="str">
        <f>IF(COUNTIF(Branches!$A$2:$A$11,F429)&gt;0,"Valid","Invalid")</f>
        <v>Valid</v>
      </c>
    </row>
    <row r="430" spans="1:18" x14ac:dyDescent="0.25">
      <c r="A430" t="s">
        <v>2501</v>
      </c>
      <c r="B430" t="s">
        <v>195</v>
      </c>
      <c r="C430" s="8">
        <v>46237</v>
      </c>
      <c r="D430" t="s">
        <v>2065</v>
      </c>
      <c r="E430" t="s">
        <v>2063</v>
      </c>
      <c r="F430" t="s">
        <v>11</v>
      </c>
      <c r="G430">
        <v>514.66999999999996</v>
      </c>
      <c r="H430" t="s">
        <v>2060</v>
      </c>
      <c r="I430" t="str">
        <f>VLOOKUP(B430,Customers!A:G,7,FALSE)</f>
        <v>Individual</v>
      </c>
      <c r="Q430" t="str">
        <f>IF(COUNTIF(Customers!$A$2:$A$1001,B430)&gt;0,"Valid","Invalid")</f>
        <v>Valid</v>
      </c>
      <c r="R430" t="str">
        <f>IF(COUNTIF(Branches!$A$2:$A$11,F430)&gt;0,"Valid","Invalid")</f>
        <v>Valid</v>
      </c>
    </row>
    <row r="431" spans="1:18" x14ac:dyDescent="0.25">
      <c r="A431" t="s">
        <v>2502</v>
      </c>
      <c r="B431" t="s">
        <v>927</v>
      </c>
      <c r="C431" s="8">
        <v>46080</v>
      </c>
      <c r="D431" t="s">
        <v>2058</v>
      </c>
      <c r="E431" t="s">
        <v>2073</v>
      </c>
      <c r="F431" t="s">
        <v>47</v>
      </c>
      <c r="G431">
        <v>551.55999999999995</v>
      </c>
      <c r="H431" t="s">
        <v>2060</v>
      </c>
      <c r="I431" t="str">
        <f>VLOOKUP(B431,Customers!A:G,7,FALSE)</f>
        <v>Individual</v>
      </c>
      <c r="Q431" t="str">
        <f>IF(COUNTIF(Customers!$A$2:$A$1001,B431)&gt;0,"Valid","Invalid")</f>
        <v>Valid</v>
      </c>
      <c r="R431" t="str">
        <f>IF(COUNTIF(Branches!$A$2:$A$11,F431)&gt;0,"Valid","Invalid")</f>
        <v>Valid</v>
      </c>
    </row>
    <row r="432" spans="1:18" x14ac:dyDescent="0.25">
      <c r="A432" t="s">
        <v>2503</v>
      </c>
      <c r="B432" t="s">
        <v>922</v>
      </c>
      <c r="C432" s="8">
        <v>46052</v>
      </c>
      <c r="D432" t="s">
        <v>2070</v>
      </c>
      <c r="E432" t="s">
        <v>2063</v>
      </c>
      <c r="F432" t="s">
        <v>21</v>
      </c>
      <c r="G432">
        <v>1483.34</v>
      </c>
      <c r="H432" t="s">
        <v>2060</v>
      </c>
      <c r="I432" t="str">
        <f>VLOOKUP(B432,Customers!A:G,7,FALSE)</f>
        <v>Individual</v>
      </c>
      <c r="Q432" t="str">
        <f>IF(COUNTIF(Customers!$A$2:$A$1001,B432)&gt;0,"Valid","Invalid")</f>
        <v>Valid</v>
      </c>
      <c r="R432" t="str">
        <f>IF(COUNTIF(Branches!$A$2:$A$11,F432)&gt;0,"Valid","Invalid")</f>
        <v>Valid</v>
      </c>
    </row>
    <row r="433" spans="1:18" x14ac:dyDescent="0.25">
      <c r="A433" t="s">
        <v>2504</v>
      </c>
      <c r="B433" t="s">
        <v>960</v>
      </c>
      <c r="C433" s="8">
        <v>46168</v>
      </c>
      <c r="D433" t="s">
        <v>2065</v>
      </c>
      <c r="E433" t="s">
        <v>2059</v>
      </c>
      <c r="F433" t="s">
        <v>27</v>
      </c>
      <c r="G433">
        <v>583.02</v>
      </c>
      <c r="H433" t="s">
        <v>2060</v>
      </c>
      <c r="I433" t="str">
        <f>VLOOKUP(B433,Customers!A:G,7,FALSE)</f>
        <v>Corporate</v>
      </c>
      <c r="Q433" t="str">
        <f>IF(COUNTIF(Customers!$A$2:$A$1001,B433)&gt;0,"Valid","Invalid")</f>
        <v>Valid</v>
      </c>
      <c r="R433" t="str">
        <f>IF(COUNTIF(Branches!$A$2:$A$11,F433)&gt;0,"Valid","Invalid")</f>
        <v>Valid</v>
      </c>
    </row>
    <row r="434" spans="1:18" x14ac:dyDescent="0.25">
      <c r="A434" t="s">
        <v>2505</v>
      </c>
      <c r="B434" t="s">
        <v>273</v>
      </c>
      <c r="C434" s="8">
        <v>46128</v>
      </c>
      <c r="D434" t="s">
        <v>2067</v>
      </c>
      <c r="E434" t="s">
        <v>2059</v>
      </c>
      <c r="F434" t="s">
        <v>21</v>
      </c>
      <c r="G434">
        <v>7374.49</v>
      </c>
      <c r="H434" t="s">
        <v>2115</v>
      </c>
      <c r="I434" t="str">
        <f>VLOOKUP(B434,Customers!A:G,7,FALSE)</f>
        <v>Individual</v>
      </c>
      <c r="Q434" t="str">
        <f>IF(COUNTIF(Customers!$A$2:$A$1001,B434)&gt;0,"Valid","Invalid")</f>
        <v>Valid</v>
      </c>
      <c r="R434" t="str">
        <f>IF(COUNTIF(Branches!$A$2:$A$11,F434)&gt;0,"Valid","Invalid")</f>
        <v>Valid</v>
      </c>
    </row>
    <row r="435" spans="1:18" x14ac:dyDescent="0.25">
      <c r="A435" t="s">
        <v>2506</v>
      </c>
      <c r="B435" t="s">
        <v>700</v>
      </c>
      <c r="C435" s="8">
        <v>46168</v>
      </c>
      <c r="D435" t="s">
        <v>2065</v>
      </c>
      <c r="E435" t="s">
        <v>2059</v>
      </c>
      <c r="F435" t="s">
        <v>39</v>
      </c>
      <c r="G435">
        <v>1431.45</v>
      </c>
      <c r="H435" t="s">
        <v>2060</v>
      </c>
      <c r="I435" t="str">
        <f>VLOOKUP(B435,Customers!A:G,7,FALSE)</f>
        <v>Student</v>
      </c>
      <c r="Q435" t="str">
        <f>IF(COUNTIF(Customers!$A$2:$A$1001,B435)&gt;0,"Valid","Invalid")</f>
        <v>Valid</v>
      </c>
      <c r="R435" t="str">
        <f>IF(COUNTIF(Branches!$A$2:$A$11,F435)&gt;0,"Valid","Invalid")</f>
        <v>Valid</v>
      </c>
    </row>
    <row r="436" spans="1:18" x14ac:dyDescent="0.25">
      <c r="A436" t="s">
        <v>2507</v>
      </c>
      <c r="B436" t="s">
        <v>443</v>
      </c>
      <c r="C436" s="8">
        <v>46260</v>
      </c>
      <c r="D436" t="s">
        <v>2065</v>
      </c>
      <c r="E436" t="s">
        <v>2068</v>
      </c>
      <c r="F436" t="s">
        <v>29</v>
      </c>
      <c r="G436">
        <v>832.91</v>
      </c>
      <c r="H436" t="s">
        <v>2060</v>
      </c>
      <c r="I436" t="str">
        <f>VLOOKUP(B436,Customers!A:G,7,FALSE)</f>
        <v>Individual</v>
      </c>
      <c r="Q436" t="str">
        <f>IF(COUNTIF(Customers!$A$2:$A$1001,B436)&gt;0,"Valid","Invalid")</f>
        <v>Valid</v>
      </c>
      <c r="R436" t="str">
        <f>IF(COUNTIF(Branches!$A$2:$A$11,F436)&gt;0,"Valid","Invalid")</f>
        <v>Valid</v>
      </c>
    </row>
    <row r="437" spans="1:18" x14ac:dyDescent="0.25">
      <c r="A437" t="s">
        <v>2508</v>
      </c>
      <c r="B437" t="s">
        <v>295</v>
      </c>
      <c r="C437" s="8">
        <v>46096</v>
      </c>
      <c r="D437" t="s">
        <v>2067</v>
      </c>
      <c r="E437" t="s">
        <v>2063</v>
      </c>
      <c r="F437" t="s">
        <v>11</v>
      </c>
      <c r="G437">
        <v>1844.38</v>
      </c>
      <c r="H437" t="s">
        <v>2060</v>
      </c>
      <c r="I437" t="str">
        <f>VLOOKUP(B437,Customers!A:G,7,FALSE)</f>
        <v>Individual</v>
      </c>
      <c r="Q437" t="str">
        <f>IF(COUNTIF(Customers!$A$2:$A$1001,B437)&gt;0,"Valid","Invalid")</f>
        <v>Valid</v>
      </c>
      <c r="R437" t="str">
        <f>IF(COUNTIF(Branches!$A$2:$A$11,F437)&gt;0,"Valid","Invalid")</f>
        <v>Valid</v>
      </c>
    </row>
    <row r="438" spans="1:18" x14ac:dyDescent="0.25">
      <c r="A438" t="s">
        <v>2509</v>
      </c>
      <c r="B438" t="s">
        <v>715</v>
      </c>
      <c r="C438" s="8">
        <v>46189</v>
      </c>
      <c r="D438" t="s">
        <v>2062</v>
      </c>
      <c r="E438" t="s">
        <v>2068</v>
      </c>
      <c r="F438" t="s">
        <v>27</v>
      </c>
      <c r="G438">
        <v>502.36</v>
      </c>
      <c r="H438" t="s">
        <v>2060</v>
      </c>
      <c r="I438" t="str">
        <f>VLOOKUP(B438,Customers!A:G,7,FALSE)</f>
        <v>Individual</v>
      </c>
      <c r="Q438" t="str">
        <f>IF(COUNTIF(Customers!$A$2:$A$1001,B438)&gt;0,"Valid","Invalid")</f>
        <v>Valid</v>
      </c>
      <c r="R438" t="str">
        <f>IF(COUNTIF(Branches!$A$2:$A$11,F438)&gt;0,"Valid","Invalid")</f>
        <v>Valid</v>
      </c>
    </row>
    <row r="439" spans="1:18" x14ac:dyDescent="0.25">
      <c r="A439" t="s">
        <v>2510</v>
      </c>
      <c r="B439" t="s">
        <v>627</v>
      </c>
      <c r="C439" s="8">
        <v>46116</v>
      </c>
      <c r="D439" t="s">
        <v>2062</v>
      </c>
      <c r="E439" t="s">
        <v>2068</v>
      </c>
      <c r="F439" t="s">
        <v>11</v>
      </c>
      <c r="G439">
        <v>2044.72</v>
      </c>
      <c r="H439" t="s">
        <v>2060</v>
      </c>
      <c r="I439" t="str">
        <f>VLOOKUP(B439,Customers!A:G,7,FALSE)</f>
        <v>Individual</v>
      </c>
      <c r="Q439" t="str">
        <f>IF(COUNTIF(Customers!$A$2:$A$1001,B439)&gt;0,"Valid","Invalid")</f>
        <v>Valid</v>
      </c>
      <c r="R439" t="str">
        <f>IF(COUNTIF(Branches!$A$2:$A$11,F439)&gt;0,"Valid","Invalid")</f>
        <v>Valid</v>
      </c>
    </row>
    <row r="440" spans="1:18" x14ac:dyDescent="0.25">
      <c r="A440" t="s">
        <v>2511</v>
      </c>
      <c r="B440" t="s">
        <v>635</v>
      </c>
      <c r="C440" s="8">
        <v>46176</v>
      </c>
      <c r="D440" t="s">
        <v>2065</v>
      </c>
      <c r="E440" t="s">
        <v>2076</v>
      </c>
      <c r="F440" t="s">
        <v>47</v>
      </c>
      <c r="G440">
        <v>1988.7</v>
      </c>
      <c r="H440" t="s">
        <v>2060</v>
      </c>
      <c r="I440" t="str">
        <f>VLOOKUP(B440,Customers!A:G,7,FALSE)</f>
        <v>SME</v>
      </c>
      <c r="Q440" t="str">
        <f>IF(COUNTIF(Customers!$A$2:$A$1001,B440)&gt;0,"Valid","Invalid")</f>
        <v>Valid</v>
      </c>
      <c r="R440" t="str">
        <f>IF(COUNTIF(Branches!$A$2:$A$11,F440)&gt;0,"Valid","Invalid")</f>
        <v>Valid</v>
      </c>
    </row>
    <row r="441" spans="1:18" x14ac:dyDescent="0.25">
      <c r="A441" t="s">
        <v>2512</v>
      </c>
      <c r="B441" t="s">
        <v>596</v>
      </c>
      <c r="C441" s="8">
        <v>46093</v>
      </c>
      <c r="D441" t="s">
        <v>2058</v>
      </c>
      <c r="E441" t="s">
        <v>2063</v>
      </c>
      <c r="F441" t="s">
        <v>35</v>
      </c>
      <c r="G441">
        <v>2845.61</v>
      </c>
      <c r="H441" t="s">
        <v>2060</v>
      </c>
      <c r="I441" t="str">
        <f>VLOOKUP(B441,Customers!A:G,7,FALSE)</f>
        <v>Individual</v>
      </c>
      <c r="Q441" t="str">
        <f>IF(COUNTIF(Customers!$A$2:$A$1001,B441)&gt;0,"Valid","Invalid")</f>
        <v>Valid</v>
      </c>
      <c r="R441" t="str">
        <f>IF(COUNTIF(Branches!$A$2:$A$11,F441)&gt;0,"Valid","Invalid")</f>
        <v>Valid</v>
      </c>
    </row>
    <row r="442" spans="1:18" x14ac:dyDescent="0.25">
      <c r="A442" t="s">
        <v>2513</v>
      </c>
      <c r="B442" t="s">
        <v>943</v>
      </c>
      <c r="C442" s="8">
        <v>46029</v>
      </c>
      <c r="D442" t="s">
        <v>2058</v>
      </c>
      <c r="E442" t="s">
        <v>2063</v>
      </c>
      <c r="F442" t="s">
        <v>21</v>
      </c>
      <c r="G442">
        <v>522.79999999999995</v>
      </c>
      <c r="H442" t="s">
        <v>2060</v>
      </c>
      <c r="I442" t="str">
        <f>VLOOKUP(B442,Customers!A:G,7,FALSE)</f>
        <v>Individual</v>
      </c>
      <c r="Q442" t="str">
        <f>IF(COUNTIF(Customers!$A$2:$A$1001,B442)&gt;0,"Valid","Invalid")</f>
        <v>Valid</v>
      </c>
      <c r="R442" t="str">
        <f>IF(COUNTIF(Branches!$A$2:$A$11,F442)&gt;0,"Valid","Invalid")</f>
        <v>Valid</v>
      </c>
    </row>
    <row r="443" spans="1:18" x14ac:dyDescent="0.25">
      <c r="A443" t="s">
        <v>2514</v>
      </c>
      <c r="B443" t="s">
        <v>951</v>
      </c>
      <c r="C443" s="8">
        <v>46219</v>
      </c>
      <c r="D443" t="s">
        <v>2058</v>
      </c>
      <c r="E443" t="s">
        <v>2076</v>
      </c>
      <c r="F443" t="s">
        <v>11</v>
      </c>
      <c r="G443">
        <v>239.19</v>
      </c>
      <c r="H443" t="s">
        <v>2060</v>
      </c>
      <c r="I443" t="str">
        <f>VLOOKUP(B443,Customers!A:G,7,FALSE)</f>
        <v>Individual</v>
      </c>
      <c r="Q443" t="str">
        <f>IF(COUNTIF(Customers!$A$2:$A$1001,B443)&gt;0,"Valid","Invalid")</f>
        <v>Valid</v>
      </c>
      <c r="R443" t="str">
        <f>IF(COUNTIF(Branches!$A$2:$A$11,F443)&gt;0,"Valid","Invalid")</f>
        <v>Valid</v>
      </c>
    </row>
    <row r="444" spans="1:18" x14ac:dyDescent="0.25">
      <c r="A444" t="s">
        <v>2515</v>
      </c>
      <c r="B444" t="s">
        <v>83</v>
      </c>
      <c r="C444" s="8">
        <v>46087</v>
      </c>
      <c r="D444" t="s">
        <v>2067</v>
      </c>
      <c r="E444" t="s">
        <v>2068</v>
      </c>
      <c r="F444" t="s">
        <v>21</v>
      </c>
      <c r="G444">
        <v>441.35</v>
      </c>
      <c r="H444" t="s">
        <v>2060</v>
      </c>
      <c r="I444" t="str">
        <f>VLOOKUP(B444,Customers!A:G,7,FALSE)</f>
        <v>SME</v>
      </c>
      <c r="Q444" t="str">
        <f>IF(COUNTIF(Customers!$A$2:$A$1001,B444)&gt;0,"Valid","Invalid")</f>
        <v>Valid</v>
      </c>
      <c r="R444" t="str">
        <f>IF(COUNTIF(Branches!$A$2:$A$11,F444)&gt;0,"Valid","Invalid")</f>
        <v>Valid</v>
      </c>
    </row>
    <row r="445" spans="1:18" x14ac:dyDescent="0.25">
      <c r="A445" t="s">
        <v>2516</v>
      </c>
      <c r="B445" t="s">
        <v>250</v>
      </c>
      <c r="C445" s="8">
        <v>46068</v>
      </c>
      <c r="D445" t="s">
        <v>2065</v>
      </c>
      <c r="E445" t="s">
        <v>2059</v>
      </c>
      <c r="F445" t="s">
        <v>39</v>
      </c>
      <c r="G445">
        <v>613</v>
      </c>
      <c r="H445" t="s">
        <v>2060</v>
      </c>
      <c r="I445" t="str">
        <f>VLOOKUP(B445,Customers!A:G,7,FALSE)</f>
        <v>Individual</v>
      </c>
      <c r="Q445" t="str">
        <f>IF(COUNTIF(Customers!$A$2:$A$1001,B445)&gt;0,"Valid","Invalid")</f>
        <v>Valid</v>
      </c>
      <c r="R445" t="str">
        <f>IF(COUNTIF(Branches!$A$2:$A$11,F445)&gt;0,"Valid","Invalid")</f>
        <v>Valid</v>
      </c>
    </row>
    <row r="446" spans="1:18" x14ac:dyDescent="0.25">
      <c r="A446" t="s">
        <v>2517</v>
      </c>
      <c r="B446" t="s">
        <v>517</v>
      </c>
      <c r="C446" s="8">
        <v>46040</v>
      </c>
      <c r="D446" t="s">
        <v>2058</v>
      </c>
      <c r="E446" t="s">
        <v>2063</v>
      </c>
      <c r="F446" t="s">
        <v>29</v>
      </c>
      <c r="G446">
        <v>4303.62</v>
      </c>
      <c r="H446" t="s">
        <v>2060</v>
      </c>
      <c r="I446" t="str">
        <f>VLOOKUP(B446,Customers!A:G,7,FALSE)</f>
        <v>SME</v>
      </c>
      <c r="Q446" t="str">
        <f>IF(COUNTIF(Customers!$A$2:$A$1001,B446)&gt;0,"Valid","Invalid")</f>
        <v>Valid</v>
      </c>
      <c r="R446" t="str">
        <f>IF(COUNTIF(Branches!$A$2:$A$11,F446)&gt;0,"Valid","Invalid")</f>
        <v>Valid</v>
      </c>
    </row>
    <row r="447" spans="1:18" x14ac:dyDescent="0.25">
      <c r="A447" t="s">
        <v>2518</v>
      </c>
      <c r="B447" t="s">
        <v>525</v>
      </c>
      <c r="C447" s="8">
        <v>46163</v>
      </c>
      <c r="D447" t="s">
        <v>2067</v>
      </c>
      <c r="E447" t="s">
        <v>2063</v>
      </c>
      <c r="F447" t="s">
        <v>11</v>
      </c>
      <c r="G447">
        <v>7295.49</v>
      </c>
      <c r="H447" t="s">
        <v>2060</v>
      </c>
      <c r="I447" t="str">
        <f>VLOOKUP(B447,Customers!A:G,7,FALSE)</f>
        <v>Individual</v>
      </c>
      <c r="Q447" t="str">
        <f>IF(COUNTIF(Customers!$A$2:$A$1001,B447)&gt;0,"Valid","Invalid")</f>
        <v>Valid</v>
      </c>
      <c r="R447" t="str">
        <f>IF(COUNTIF(Branches!$A$2:$A$11,F447)&gt;0,"Valid","Invalid")</f>
        <v>Valid</v>
      </c>
    </row>
    <row r="448" spans="1:18" x14ac:dyDescent="0.25">
      <c r="A448" t="s">
        <v>2519</v>
      </c>
      <c r="B448" t="s">
        <v>609</v>
      </c>
      <c r="C448" s="8">
        <v>46175</v>
      </c>
      <c r="D448" t="s">
        <v>2062</v>
      </c>
      <c r="E448" t="s">
        <v>2076</v>
      </c>
      <c r="F448" t="s">
        <v>11</v>
      </c>
      <c r="G448">
        <v>1146.72</v>
      </c>
      <c r="H448" t="s">
        <v>2060</v>
      </c>
      <c r="I448" t="str">
        <f>VLOOKUP(B448,Customers!A:G,7,FALSE)</f>
        <v>Student</v>
      </c>
      <c r="Q448" t="str">
        <f>IF(COUNTIF(Customers!$A$2:$A$1001,B448)&gt;0,"Valid","Invalid")</f>
        <v>Valid</v>
      </c>
      <c r="R448" t="str">
        <f>IF(COUNTIF(Branches!$A$2:$A$11,F448)&gt;0,"Valid","Invalid")</f>
        <v>Valid</v>
      </c>
    </row>
    <row r="449" spans="1:18" x14ac:dyDescent="0.25">
      <c r="A449" t="s">
        <v>2520</v>
      </c>
      <c r="B449" t="s">
        <v>604</v>
      </c>
      <c r="C449" s="8">
        <v>46254</v>
      </c>
      <c r="D449" t="s">
        <v>2062</v>
      </c>
      <c r="E449" t="s">
        <v>2076</v>
      </c>
      <c r="F449" t="s">
        <v>47</v>
      </c>
      <c r="G449">
        <v>820.07</v>
      </c>
      <c r="H449" t="s">
        <v>2060</v>
      </c>
      <c r="I449" t="str">
        <f>VLOOKUP(B449,Customers!A:G,7,FALSE)</f>
        <v>Student</v>
      </c>
      <c r="Q449" t="str">
        <f>IF(COUNTIF(Customers!$A$2:$A$1001,B449)&gt;0,"Valid","Invalid")</f>
        <v>Valid</v>
      </c>
      <c r="R449" t="str">
        <f>IF(COUNTIF(Branches!$A$2:$A$11,F449)&gt;0,"Valid","Invalid")</f>
        <v>Valid</v>
      </c>
    </row>
    <row r="450" spans="1:18" x14ac:dyDescent="0.25">
      <c r="A450" t="s">
        <v>2521</v>
      </c>
      <c r="B450" t="s">
        <v>380</v>
      </c>
      <c r="C450" s="8">
        <v>46030</v>
      </c>
      <c r="D450" t="s">
        <v>2065</v>
      </c>
      <c r="E450" t="s">
        <v>2063</v>
      </c>
      <c r="F450" t="s">
        <v>47</v>
      </c>
      <c r="G450">
        <v>572.54999999999995</v>
      </c>
      <c r="H450" t="s">
        <v>2060</v>
      </c>
      <c r="I450" t="str">
        <f>VLOOKUP(B450,Customers!A:G,7,FALSE)</f>
        <v>Individual</v>
      </c>
      <c r="Q450" t="str">
        <f>IF(COUNTIF(Customers!$A$2:$A$1001,B450)&gt;0,"Valid","Invalid")</f>
        <v>Valid</v>
      </c>
      <c r="R450" t="str">
        <f>IF(COUNTIF(Branches!$A$2:$A$11,F450)&gt;0,"Valid","Invalid")</f>
        <v>Valid</v>
      </c>
    </row>
    <row r="451" spans="1:18" x14ac:dyDescent="0.25">
      <c r="A451" t="s">
        <v>2522</v>
      </c>
      <c r="B451" t="s">
        <v>562</v>
      </c>
      <c r="C451" s="8">
        <v>46096</v>
      </c>
      <c r="D451" t="s">
        <v>2065</v>
      </c>
      <c r="E451" t="s">
        <v>2063</v>
      </c>
      <c r="F451" t="s">
        <v>16</v>
      </c>
      <c r="G451">
        <v>1853.24</v>
      </c>
      <c r="H451" t="s">
        <v>2060</v>
      </c>
      <c r="I451" t="str">
        <f>VLOOKUP(B451,Customers!A:G,7,FALSE)</f>
        <v>Individual</v>
      </c>
      <c r="Q451" t="str">
        <f>IF(COUNTIF(Customers!$A$2:$A$1001,B451)&gt;0,"Valid","Invalid")</f>
        <v>Valid</v>
      </c>
      <c r="R451" t="str">
        <f>IF(COUNTIF(Branches!$A$2:$A$11,F451)&gt;0,"Valid","Invalid")</f>
        <v>Valid</v>
      </c>
    </row>
    <row r="452" spans="1:18" x14ac:dyDescent="0.25">
      <c r="A452" t="s">
        <v>2523</v>
      </c>
      <c r="B452" t="s">
        <v>742</v>
      </c>
      <c r="C452" s="8">
        <v>46182</v>
      </c>
      <c r="D452" t="s">
        <v>2062</v>
      </c>
      <c r="E452" t="s">
        <v>2059</v>
      </c>
      <c r="F452" t="s">
        <v>53</v>
      </c>
      <c r="G452">
        <v>7248.73</v>
      </c>
      <c r="H452" t="s">
        <v>2060</v>
      </c>
      <c r="I452" t="str">
        <f>VLOOKUP(B452,Customers!A:G,7,FALSE)</f>
        <v>Student</v>
      </c>
      <c r="Q452" t="str">
        <f>IF(COUNTIF(Customers!$A$2:$A$1001,B452)&gt;0,"Valid","Invalid")</f>
        <v>Valid</v>
      </c>
      <c r="R452" t="str">
        <f>IF(COUNTIF(Branches!$A$2:$A$11,F452)&gt;0,"Valid","Invalid")</f>
        <v>Valid</v>
      </c>
    </row>
    <row r="453" spans="1:18" x14ac:dyDescent="0.25">
      <c r="A453" t="s">
        <v>2524</v>
      </c>
      <c r="B453" t="s">
        <v>541</v>
      </c>
      <c r="C453" s="8">
        <v>46167</v>
      </c>
      <c r="D453" t="s">
        <v>2058</v>
      </c>
      <c r="E453" t="s">
        <v>2059</v>
      </c>
      <c r="F453" t="s">
        <v>45</v>
      </c>
      <c r="G453">
        <v>4845.72</v>
      </c>
      <c r="H453" t="s">
        <v>2060</v>
      </c>
      <c r="I453" t="str">
        <f>VLOOKUP(B453,Customers!A:G,7,FALSE)</f>
        <v>Individual</v>
      </c>
      <c r="Q453" t="str">
        <f>IF(COUNTIF(Customers!$A$2:$A$1001,B453)&gt;0,"Valid","Invalid")</f>
        <v>Valid</v>
      </c>
      <c r="R453" t="str">
        <f>IF(COUNTIF(Branches!$A$2:$A$11,F453)&gt;0,"Valid","Invalid")</f>
        <v>Valid</v>
      </c>
    </row>
    <row r="454" spans="1:18" x14ac:dyDescent="0.25">
      <c r="A454" t="s">
        <v>2525</v>
      </c>
      <c r="B454" t="s">
        <v>30</v>
      </c>
      <c r="C454" s="8">
        <v>46124</v>
      </c>
      <c r="D454" t="s">
        <v>2062</v>
      </c>
      <c r="E454" t="s">
        <v>2076</v>
      </c>
      <c r="F454" t="s">
        <v>47</v>
      </c>
      <c r="G454">
        <v>2535.0700000000002</v>
      </c>
      <c r="H454" t="s">
        <v>2060</v>
      </c>
      <c r="I454" t="str">
        <f>VLOOKUP(B454,Customers!A:G,7,FALSE)</f>
        <v>SME</v>
      </c>
      <c r="Q454" t="str">
        <f>IF(COUNTIF(Customers!$A$2:$A$1001,B454)&gt;0,"Valid","Invalid")</f>
        <v>Valid</v>
      </c>
      <c r="R454" t="str">
        <f>IF(COUNTIF(Branches!$A$2:$A$11,F454)&gt;0,"Valid","Invalid")</f>
        <v>Valid</v>
      </c>
    </row>
    <row r="455" spans="1:18" x14ac:dyDescent="0.25">
      <c r="A455" t="s">
        <v>2526</v>
      </c>
      <c r="B455" t="s">
        <v>859</v>
      </c>
      <c r="C455" s="8">
        <v>46101</v>
      </c>
      <c r="D455" t="s">
        <v>2065</v>
      </c>
      <c r="E455" t="s">
        <v>2068</v>
      </c>
      <c r="F455" t="s">
        <v>47</v>
      </c>
      <c r="G455">
        <v>2498.14</v>
      </c>
      <c r="H455" t="s">
        <v>2060</v>
      </c>
      <c r="I455" t="str">
        <f>VLOOKUP(B455,Customers!A:G,7,FALSE)</f>
        <v>Individual</v>
      </c>
      <c r="Q455" t="str">
        <f>IF(COUNTIF(Customers!$A$2:$A$1001,B455)&gt;0,"Valid","Invalid")</f>
        <v>Valid</v>
      </c>
      <c r="R455" t="str">
        <f>IF(COUNTIF(Branches!$A$2:$A$11,F455)&gt;0,"Valid","Invalid")</f>
        <v>Valid</v>
      </c>
    </row>
    <row r="456" spans="1:18" x14ac:dyDescent="0.25">
      <c r="A456" t="s">
        <v>2527</v>
      </c>
      <c r="B456" t="s">
        <v>180</v>
      </c>
      <c r="C456" s="8">
        <v>46101</v>
      </c>
      <c r="D456" t="s">
        <v>2058</v>
      </c>
      <c r="E456" t="s">
        <v>2076</v>
      </c>
      <c r="F456" t="s">
        <v>35</v>
      </c>
      <c r="G456">
        <v>1867.41</v>
      </c>
      <c r="H456" t="s">
        <v>2060</v>
      </c>
      <c r="I456" t="str">
        <f>VLOOKUP(B456,Customers!A:G,7,FALSE)</f>
        <v>Individual</v>
      </c>
      <c r="Q456" t="str">
        <f>IF(COUNTIF(Customers!$A$2:$A$1001,B456)&gt;0,"Valid","Invalid")</f>
        <v>Valid</v>
      </c>
      <c r="R456" t="str">
        <f>IF(COUNTIF(Branches!$A$2:$A$11,F456)&gt;0,"Valid","Invalid")</f>
        <v>Valid</v>
      </c>
    </row>
    <row r="457" spans="1:18" x14ac:dyDescent="0.25">
      <c r="A457" t="s">
        <v>2528</v>
      </c>
      <c r="B457" t="s">
        <v>896</v>
      </c>
      <c r="C457" s="8">
        <v>46143</v>
      </c>
      <c r="D457" t="s">
        <v>2058</v>
      </c>
      <c r="E457" t="s">
        <v>2063</v>
      </c>
      <c r="F457" t="s">
        <v>53</v>
      </c>
      <c r="G457">
        <v>774.88</v>
      </c>
      <c r="H457" t="s">
        <v>2060</v>
      </c>
      <c r="I457" t="str">
        <f>VLOOKUP(B457,Customers!A:G,7,FALSE)</f>
        <v>Student</v>
      </c>
      <c r="Q457" t="str">
        <f>IF(COUNTIF(Customers!$A$2:$A$1001,B457)&gt;0,"Valid","Invalid")</f>
        <v>Valid</v>
      </c>
      <c r="R457" t="str">
        <f>IF(COUNTIF(Branches!$A$2:$A$11,F457)&gt;0,"Valid","Invalid")</f>
        <v>Valid</v>
      </c>
    </row>
    <row r="458" spans="1:18" x14ac:dyDescent="0.25">
      <c r="A458" t="s">
        <v>2529</v>
      </c>
      <c r="B458" t="s">
        <v>299</v>
      </c>
      <c r="C458" s="8">
        <v>46198</v>
      </c>
      <c r="D458" t="s">
        <v>2062</v>
      </c>
      <c r="E458" t="s">
        <v>2076</v>
      </c>
      <c r="F458" t="s">
        <v>35</v>
      </c>
      <c r="G458">
        <v>388.95</v>
      </c>
      <c r="H458" t="s">
        <v>2060</v>
      </c>
      <c r="I458" t="str">
        <f>VLOOKUP(B458,Customers!A:G,7,FALSE)</f>
        <v>SME</v>
      </c>
      <c r="Q458" t="str">
        <f>IF(COUNTIF(Customers!$A$2:$A$1001,B458)&gt;0,"Valid","Invalid")</f>
        <v>Valid</v>
      </c>
      <c r="R458" t="str">
        <f>IF(COUNTIF(Branches!$A$2:$A$11,F458)&gt;0,"Valid","Invalid")</f>
        <v>Valid</v>
      </c>
    </row>
    <row r="459" spans="1:18" x14ac:dyDescent="0.25">
      <c r="A459" t="s">
        <v>2530</v>
      </c>
      <c r="B459" t="s">
        <v>623</v>
      </c>
      <c r="C459" s="8">
        <v>46085</v>
      </c>
      <c r="D459" t="s">
        <v>2065</v>
      </c>
      <c r="E459" t="s">
        <v>2073</v>
      </c>
      <c r="F459" t="s">
        <v>29</v>
      </c>
      <c r="G459">
        <v>795.67</v>
      </c>
      <c r="H459" t="s">
        <v>2060</v>
      </c>
      <c r="I459" t="str">
        <f>VLOOKUP(B459,Customers!A:G,7,FALSE)</f>
        <v>Individual</v>
      </c>
      <c r="Q459" t="str">
        <f>IF(COUNTIF(Customers!$A$2:$A$1001,B459)&gt;0,"Valid","Invalid")</f>
        <v>Valid</v>
      </c>
      <c r="R459" t="str">
        <f>IF(COUNTIF(Branches!$A$2:$A$11,F459)&gt;0,"Valid","Invalid")</f>
        <v>Valid</v>
      </c>
    </row>
    <row r="460" spans="1:18" x14ac:dyDescent="0.25">
      <c r="A460" t="s">
        <v>2531</v>
      </c>
      <c r="B460" t="s">
        <v>724</v>
      </c>
      <c r="C460" s="8">
        <v>46062</v>
      </c>
      <c r="D460" t="s">
        <v>2065</v>
      </c>
      <c r="E460" t="s">
        <v>2073</v>
      </c>
      <c r="F460" t="s">
        <v>35</v>
      </c>
      <c r="G460">
        <v>1239.3499999999999</v>
      </c>
      <c r="H460" t="s">
        <v>2060</v>
      </c>
      <c r="I460" t="str">
        <f>VLOOKUP(B460,Customers!A:G,7,FALSE)</f>
        <v>SME</v>
      </c>
      <c r="Q460" t="str">
        <f>IF(COUNTIF(Customers!$A$2:$A$1001,B460)&gt;0,"Valid","Invalid")</f>
        <v>Valid</v>
      </c>
      <c r="R460" t="str">
        <f>IF(COUNTIF(Branches!$A$2:$A$11,F460)&gt;0,"Valid","Invalid")</f>
        <v>Valid</v>
      </c>
    </row>
    <row r="461" spans="1:18" x14ac:dyDescent="0.25">
      <c r="A461" t="s">
        <v>2532</v>
      </c>
      <c r="B461" t="s">
        <v>270</v>
      </c>
      <c r="C461" s="8">
        <v>46265</v>
      </c>
      <c r="D461" t="s">
        <v>2067</v>
      </c>
      <c r="E461" t="s">
        <v>2068</v>
      </c>
      <c r="F461" t="s">
        <v>53</v>
      </c>
      <c r="G461">
        <v>189.88</v>
      </c>
      <c r="H461" t="s">
        <v>2115</v>
      </c>
      <c r="I461" t="str">
        <f>VLOOKUP(B461,Customers!A:G,7,FALSE)</f>
        <v>Student</v>
      </c>
      <c r="Q461" t="str">
        <f>IF(COUNTIF(Customers!$A$2:$A$1001,B461)&gt;0,"Valid","Invalid")</f>
        <v>Valid</v>
      </c>
      <c r="R461" t="str">
        <f>IF(COUNTIF(Branches!$A$2:$A$11,F461)&gt;0,"Valid","Invalid")</f>
        <v>Valid</v>
      </c>
    </row>
    <row r="462" spans="1:18" x14ac:dyDescent="0.25">
      <c r="A462" t="s">
        <v>2533</v>
      </c>
      <c r="B462" t="s">
        <v>308</v>
      </c>
      <c r="C462" s="8">
        <v>46106</v>
      </c>
      <c r="D462" t="s">
        <v>2062</v>
      </c>
      <c r="E462" t="s">
        <v>2063</v>
      </c>
      <c r="F462" t="s">
        <v>29</v>
      </c>
      <c r="G462">
        <v>697.18</v>
      </c>
      <c r="H462" t="s">
        <v>2060</v>
      </c>
      <c r="I462" t="str">
        <f>VLOOKUP(B462,Customers!A:G,7,FALSE)</f>
        <v>SME</v>
      </c>
      <c r="Q462" t="str">
        <f>IF(COUNTIF(Customers!$A$2:$A$1001,B462)&gt;0,"Valid","Invalid")</f>
        <v>Valid</v>
      </c>
      <c r="R462" t="str">
        <f>IF(COUNTIF(Branches!$A$2:$A$11,F462)&gt;0,"Valid","Invalid")</f>
        <v>Valid</v>
      </c>
    </row>
    <row r="463" spans="1:18" x14ac:dyDescent="0.25">
      <c r="A463" t="s">
        <v>2534</v>
      </c>
      <c r="B463" t="s">
        <v>978</v>
      </c>
      <c r="C463" s="8">
        <v>46037</v>
      </c>
      <c r="D463" t="s">
        <v>2070</v>
      </c>
      <c r="E463" t="s">
        <v>2068</v>
      </c>
      <c r="F463" t="s">
        <v>39</v>
      </c>
      <c r="G463">
        <v>355.69</v>
      </c>
      <c r="H463" t="s">
        <v>2060</v>
      </c>
      <c r="I463" t="str">
        <f>VLOOKUP(B463,Customers!A:G,7,FALSE)</f>
        <v>Individual</v>
      </c>
      <c r="Q463" t="str">
        <f>IF(COUNTIF(Customers!$A$2:$A$1001,B463)&gt;0,"Valid","Invalid")</f>
        <v>Valid</v>
      </c>
      <c r="R463" t="str">
        <f>IF(COUNTIF(Branches!$A$2:$A$11,F463)&gt;0,"Valid","Invalid")</f>
        <v>Valid</v>
      </c>
    </row>
    <row r="464" spans="1:18" x14ac:dyDescent="0.25">
      <c r="A464" t="s">
        <v>2535</v>
      </c>
      <c r="B464" t="s">
        <v>485</v>
      </c>
      <c r="C464" s="8">
        <v>46121</v>
      </c>
      <c r="D464" t="s">
        <v>2070</v>
      </c>
      <c r="E464" t="s">
        <v>2068</v>
      </c>
      <c r="F464" t="s">
        <v>45</v>
      </c>
      <c r="G464">
        <v>2239.13</v>
      </c>
      <c r="H464" t="s">
        <v>2060</v>
      </c>
      <c r="I464" t="str">
        <f>VLOOKUP(B464,Customers!A:G,7,FALSE)</f>
        <v>Student</v>
      </c>
      <c r="Q464" t="str">
        <f>IF(COUNTIF(Customers!$A$2:$A$1001,B464)&gt;0,"Valid","Invalid")</f>
        <v>Valid</v>
      </c>
      <c r="R464" t="str">
        <f>IF(COUNTIF(Branches!$A$2:$A$11,F464)&gt;0,"Valid","Invalid")</f>
        <v>Valid</v>
      </c>
    </row>
    <row r="465" spans="1:18" x14ac:dyDescent="0.25">
      <c r="A465" t="s">
        <v>2536</v>
      </c>
      <c r="B465" t="s">
        <v>912</v>
      </c>
      <c r="C465" s="8">
        <v>46156</v>
      </c>
      <c r="D465" t="s">
        <v>2070</v>
      </c>
      <c r="E465" t="s">
        <v>2076</v>
      </c>
      <c r="F465" t="s">
        <v>29</v>
      </c>
      <c r="G465">
        <v>468.85</v>
      </c>
      <c r="H465" t="s">
        <v>2060</v>
      </c>
      <c r="I465" t="str">
        <f>VLOOKUP(B465,Customers!A:G,7,FALSE)</f>
        <v>Individual</v>
      </c>
      <c r="Q465" t="str">
        <f>IF(COUNTIF(Customers!$A$2:$A$1001,B465)&gt;0,"Valid","Invalid")</f>
        <v>Valid</v>
      </c>
      <c r="R465" t="str">
        <f>IF(COUNTIF(Branches!$A$2:$A$11,F465)&gt;0,"Valid","Invalid")</f>
        <v>Valid</v>
      </c>
    </row>
    <row r="466" spans="1:18" x14ac:dyDescent="0.25">
      <c r="A466" t="s">
        <v>2537</v>
      </c>
      <c r="B466" t="s">
        <v>259</v>
      </c>
      <c r="C466" s="8">
        <v>46244</v>
      </c>
      <c r="D466" t="s">
        <v>2065</v>
      </c>
      <c r="E466" t="s">
        <v>2063</v>
      </c>
      <c r="F466" t="s">
        <v>16</v>
      </c>
      <c r="G466">
        <v>1128.02</v>
      </c>
      <c r="H466" t="s">
        <v>2060</v>
      </c>
      <c r="I466" t="str">
        <f>VLOOKUP(B466,Customers!A:G,7,FALSE)</f>
        <v>Individual</v>
      </c>
      <c r="Q466" t="str">
        <f>IF(COUNTIF(Customers!$A$2:$A$1001,B466)&gt;0,"Valid","Invalid")</f>
        <v>Valid</v>
      </c>
      <c r="R466" t="str">
        <f>IF(COUNTIF(Branches!$A$2:$A$11,F466)&gt;0,"Valid","Invalid")</f>
        <v>Valid</v>
      </c>
    </row>
    <row r="467" spans="1:18" x14ac:dyDescent="0.25">
      <c r="A467" t="s">
        <v>2538</v>
      </c>
      <c r="B467" t="s">
        <v>88</v>
      </c>
      <c r="C467" s="8">
        <v>46143</v>
      </c>
      <c r="D467" t="s">
        <v>2065</v>
      </c>
      <c r="E467" t="s">
        <v>2073</v>
      </c>
      <c r="F467" t="s">
        <v>39</v>
      </c>
      <c r="G467">
        <v>403.42</v>
      </c>
      <c r="H467" t="s">
        <v>2060</v>
      </c>
      <c r="I467" t="str">
        <f>VLOOKUP(B467,Customers!A:G,7,FALSE)</f>
        <v>Student</v>
      </c>
      <c r="Q467" t="str">
        <f>IF(COUNTIF(Customers!$A$2:$A$1001,B467)&gt;0,"Valid","Invalid")</f>
        <v>Valid</v>
      </c>
      <c r="R467" t="str">
        <f>IF(COUNTIF(Branches!$A$2:$A$11,F467)&gt;0,"Valid","Invalid")</f>
        <v>Valid</v>
      </c>
    </row>
    <row r="468" spans="1:18" x14ac:dyDescent="0.25">
      <c r="A468" t="s">
        <v>2539</v>
      </c>
      <c r="B468" t="s">
        <v>152</v>
      </c>
      <c r="C468" s="8">
        <v>46085</v>
      </c>
      <c r="D468" t="s">
        <v>2065</v>
      </c>
      <c r="E468" t="s">
        <v>2059</v>
      </c>
      <c r="F468" t="s">
        <v>11</v>
      </c>
      <c r="G468">
        <v>4014.63</v>
      </c>
      <c r="H468" t="s">
        <v>2060</v>
      </c>
      <c r="I468" t="str">
        <f>VLOOKUP(B468,Customers!A:G,7,FALSE)</f>
        <v>Individual</v>
      </c>
      <c r="Q468" t="str">
        <f>IF(COUNTIF(Customers!$A$2:$A$1001,B468)&gt;0,"Valid","Invalid")</f>
        <v>Valid</v>
      </c>
      <c r="R468" t="str">
        <f>IF(COUNTIF(Branches!$A$2:$A$11,F468)&gt;0,"Valid","Invalid")</f>
        <v>Valid</v>
      </c>
    </row>
    <row r="469" spans="1:18" x14ac:dyDescent="0.25">
      <c r="A469" t="s">
        <v>2540</v>
      </c>
      <c r="B469" t="s">
        <v>576</v>
      </c>
      <c r="C469" s="8">
        <v>46158</v>
      </c>
      <c r="D469" t="s">
        <v>2067</v>
      </c>
      <c r="E469" t="s">
        <v>2063</v>
      </c>
      <c r="F469" t="s">
        <v>29</v>
      </c>
      <c r="G469">
        <v>148.30000000000001</v>
      </c>
      <c r="H469" t="s">
        <v>2060</v>
      </c>
      <c r="I469" t="str">
        <f>VLOOKUP(B469,Customers!A:G,7,FALSE)</f>
        <v>SME</v>
      </c>
      <c r="Q469" t="str">
        <f>IF(COUNTIF(Customers!$A$2:$A$1001,B469)&gt;0,"Valid","Invalid")</f>
        <v>Valid</v>
      </c>
      <c r="R469" t="str">
        <f>IF(COUNTIF(Branches!$A$2:$A$11,F469)&gt;0,"Valid","Invalid")</f>
        <v>Valid</v>
      </c>
    </row>
    <row r="470" spans="1:18" x14ac:dyDescent="0.25">
      <c r="A470" t="s">
        <v>2541</v>
      </c>
      <c r="B470" t="s">
        <v>603</v>
      </c>
      <c r="C470" s="8">
        <v>46245</v>
      </c>
      <c r="D470" t="s">
        <v>2062</v>
      </c>
      <c r="E470" t="s">
        <v>2063</v>
      </c>
      <c r="F470" t="s">
        <v>11</v>
      </c>
      <c r="G470">
        <v>1307.46</v>
      </c>
      <c r="H470" t="s">
        <v>2060</v>
      </c>
      <c r="I470" t="str">
        <f>VLOOKUP(B470,Customers!A:G,7,FALSE)</f>
        <v>Individual</v>
      </c>
      <c r="Q470" t="str">
        <f>IF(COUNTIF(Customers!$A$2:$A$1001,B470)&gt;0,"Valid","Invalid")</f>
        <v>Valid</v>
      </c>
      <c r="R470" t="str">
        <f>IF(COUNTIF(Branches!$A$2:$A$11,F470)&gt;0,"Valid","Invalid")</f>
        <v>Valid</v>
      </c>
    </row>
    <row r="471" spans="1:18" x14ac:dyDescent="0.25">
      <c r="A471" t="s">
        <v>2542</v>
      </c>
      <c r="B471" t="s">
        <v>915</v>
      </c>
      <c r="C471" s="8">
        <v>46150</v>
      </c>
      <c r="D471" t="s">
        <v>2062</v>
      </c>
      <c r="E471" t="s">
        <v>2076</v>
      </c>
      <c r="F471" t="s">
        <v>47</v>
      </c>
      <c r="G471">
        <v>226.5</v>
      </c>
      <c r="H471" t="s">
        <v>2107</v>
      </c>
      <c r="I471" t="str">
        <f>VLOOKUP(B471,Customers!A:G,7,FALSE)</f>
        <v>Corporate</v>
      </c>
      <c r="Q471" t="str">
        <f>IF(COUNTIF(Customers!$A$2:$A$1001,B471)&gt;0,"Valid","Invalid")</f>
        <v>Valid</v>
      </c>
      <c r="R471" t="str">
        <f>IF(COUNTIF(Branches!$A$2:$A$11,F471)&gt;0,"Valid","Invalid")</f>
        <v>Valid</v>
      </c>
    </row>
    <row r="472" spans="1:18" x14ac:dyDescent="0.25">
      <c r="A472" t="s">
        <v>2543</v>
      </c>
      <c r="B472" t="s">
        <v>579</v>
      </c>
      <c r="C472" s="8">
        <v>46134</v>
      </c>
      <c r="D472" t="s">
        <v>2065</v>
      </c>
      <c r="E472" t="s">
        <v>2059</v>
      </c>
      <c r="F472" t="s">
        <v>53</v>
      </c>
      <c r="G472">
        <v>488.17</v>
      </c>
      <c r="H472" t="s">
        <v>2060</v>
      </c>
      <c r="I472" t="str">
        <f>VLOOKUP(B472,Customers!A:G,7,FALSE)</f>
        <v>Corporate</v>
      </c>
      <c r="Q472" t="str">
        <f>IF(COUNTIF(Customers!$A$2:$A$1001,B472)&gt;0,"Valid","Invalid")</f>
        <v>Valid</v>
      </c>
      <c r="R472" t="str">
        <f>IF(COUNTIF(Branches!$A$2:$A$11,F472)&gt;0,"Valid","Invalid")</f>
        <v>Valid</v>
      </c>
    </row>
    <row r="473" spans="1:18" x14ac:dyDescent="0.25">
      <c r="A473" t="s">
        <v>2544</v>
      </c>
      <c r="B473" t="s">
        <v>52</v>
      </c>
      <c r="C473" s="8">
        <v>46133</v>
      </c>
      <c r="D473" t="s">
        <v>2058</v>
      </c>
      <c r="E473" t="s">
        <v>2063</v>
      </c>
      <c r="F473" t="s">
        <v>45</v>
      </c>
      <c r="G473">
        <v>998.43</v>
      </c>
      <c r="H473" t="s">
        <v>2060</v>
      </c>
      <c r="I473" t="str">
        <f>VLOOKUP(B473,Customers!A:G,7,FALSE)</f>
        <v>Individual</v>
      </c>
      <c r="Q473" t="str">
        <f>IF(COUNTIF(Customers!$A$2:$A$1001,B473)&gt;0,"Valid","Invalid")</f>
        <v>Valid</v>
      </c>
      <c r="R473" t="str">
        <f>IF(COUNTIF(Branches!$A$2:$A$11,F473)&gt;0,"Valid","Invalid")</f>
        <v>Valid</v>
      </c>
    </row>
    <row r="474" spans="1:18" x14ac:dyDescent="0.25">
      <c r="A474" t="s">
        <v>2545</v>
      </c>
      <c r="B474" t="s">
        <v>853</v>
      </c>
      <c r="C474" s="8">
        <v>46054</v>
      </c>
      <c r="D474" t="s">
        <v>2062</v>
      </c>
      <c r="E474" t="s">
        <v>2076</v>
      </c>
      <c r="F474" t="s">
        <v>39</v>
      </c>
      <c r="G474">
        <v>1048.75</v>
      </c>
      <c r="H474" t="s">
        <v>2060</v>
      </c>
      <c r="I474" t="str">
        <f>VLOOKUP(B474,Customers!A:G,7,FALSE)</f>
        <v>Individual</v>
      </c>
      <c r="Q474" t="str">
        <f>IF(COUNTIF(Customers!$A$2:$A$1001,B474)&gt;0,"Valid","Invalid")</f>
        <v>Valid</v>
      </c>
      <c r="R474" t="str">
        <f>IF(COUNTIF(Branches!$A$2:$A$11,F474)&gt;0,"Valid","Invalid")</f>
        <v>Valid</v>
      </c>
    </row>
    <row r="475" spans="1:18" x14ac:dyDescent="0.25">
      <c r="A475" t="s">
        <v>2546</v>
      </c>
      <c r="B475" t="s">
        <v>430</v>
      </c>
      <c r="C475" s="8">
        <v>46067</v>
      </c>
      <c r="D475" t="s">
        <v>2067</v>
      </c>
      <c r="E475" t="s">
        <v>2068</v>
      </c>
      <c r="F475" t="s">
        <v>53</v>
      </c>
      <c r="G475">
        <v>1021.74</v>
      </c>
      <c r="H475" t="s">
        <v>2060</v>
      </c>
      <c r="I475" t="str">
        <f>VLOOKUP(B475,Customers!A:G,7,FALSE)</f>
        <v>Individual</v>
      </c>
      <c r="Q475" t="str">
        <f>IF(COUNTIF(Customers!$A$2:$A$1001,B475)&gt;0,"Valid","Invalid")</f>
        <v>Valid</v>
      </c>
      <c r="R475" t="str">
        <f>IF(COUNTIF(Branches!$A$2:$A$11,F475)&gt;0,"Valid","Invalid")</f>
        <v>Valid</v>
      </c>
    </row>
    <row r="476" spans="1:18" x14ac:dyDescent="0.25">
      <c r="A476" t="s">
        <v>2547</v>
      </c>
      <c r="B476" t="s">
        <v>829</v>
      </c>
      <c r="C476" s="8">
        <v>46144</v>
      </c>
      <c r="D476" t="s">
        <v>2065</v>
      </c>
      <c r="E476" t="s">
        <v>2076</v>
      </c>
      <c r="F476" t="s">
        <v>29</v>
      </c>
      <c r="G476">
        <v>945.53</v>
      </c>
      <c r="H476" t="s">
        <v>2060</v>
      </c>
      <c r="I476" t="str">
        <f>VLOOKUP(B476,Customers!A:G,7,FALSE)</f>
        <v>Individual</v>
      </c>
      <c r="Q476" t="str">
        <f>IF(COUNTIF(Customers!$A$2:$A$1001,B476)&gt;0,"Valid","Invalid")</f>
        <v>Valid</v>
      </c>
      <c r="R476" t="str">
        <f>IF(COUNTIF(Branches!$A$2:$A$11,F476)&gt;0,"Valid","Invalid")</f>
        <v>Valid</v>
      </c>
    </row>
    <row r="477" spans="1:18" x14ac:dyDescent="0.25">
      <c r="A477" t="s">
        <v>2548</v>
      </c>
      <c r="B477" t="s">
        <v>667</v>
      </c>
      <c r="C477" s="8">
        <v>46202</v>
      </c>
      <c r="D477" t="s">
        <v>2067</v>
      </c>
      <c r="E477" t="s">
        <v>2063</v>
      </c>
      <c r="F477" t="s">
        <v>16</v>
      </c>
      <c r="G477">
        <v>427.59</v>
      </c>
      <c r="H477" t="s">
        <v>2060</v>
      </c>
      <c r="I477" t="str">
        <f>VLOOKUP(B477,Customers!A:G,7,FALSE)</f>
        <v>Individual</v>
      </c>
      <c r="Q477" t="str">
        <f>IF(COUNTIF(Customers!$A$2:$A$1001,B477)&gt;0,"Valid","Invalid")</f>
        <v>Valid</v>
      </c>
      <c r="R477" t="str">
        <f>IF(COUNTIF(Branches!$A$2:$A$11,F477)&gt;0,"Valid","Invalid")</f>
        <v>Valid</v>
      </c>
    </row>
    <row r="478" spans="1:18" x14ac:dyDescent="0.25">
      <c r="A478" t="s">
        <v>2549</v>
      </c>
      <c r="B478" t="s">
        <v>656</v>
      </c>
      <c r="C478" s="8">
        <v>46229</v>
      </c>
      <c r="D478" t="s">
        <v>2067</v>
      </c>
      <c r="E478" t="s">
        <v>2076</v>
      </c>
      <c r="F478" t="s">
        <v>47</v>
      </c>
      <c r="G478">
        <v>689.49</v>
      </c>
      <c r="H478" t="s">
        <v>2060</v>
      </c>
      <c r="I478" t="str">
        <f>VLOOKUP(B478,Customers!A:G,7,FALSE)</f>
        <v>Individual</v>
      </c>
      <c r="Q478" t="str">
        <f>IF(COUNTIF(Customers!$A$2:$A$1001,B478)&gt;0,"Valid","Invalid")</f>
        <v>Valid</v>
      </c>
      <c r="R478" t="str">
        <f>IF(COUNTIF(Branches!$A$2:$A$11,F478)&gt;0,"Valid","Invalid")</f>
        <v>Valid</v>
      </c>
    </row>
    <row r="479" spans="1:18" x14ac:dyDescent="0.25">
      <c r="A479" t="s">
        <v>2550</v>
      </c>
      <c r="B479" t="s">
        <v>457</v>
      </c>
      <c r="C479" s="8">
        <v>46104</v>
      </c>
      <c r="D479" t="s">
        <v>2058</v>
      </c>
      <c r="E479" t="s">
        <v>2063</v>
      </c>
      <c r="F479" t="s">
        <v>47</v>
      </c>
      <c r="G479">
        <v>838.52</v>
      </c>
      <c r="H479" t="s">
        <v>2060</v>
      </c>
      <c r="I479" t="str">
        <f>VLOOKUP(B479,Customers!A:G,7,FALSE)</f>
        <v>SME</v>
      </c>
      <c r="Q479" t="str">
        <f>IF(COUNTIF(Customers!$A$2:$A$1001,B479)&gt;0,"Valid","Invalid")</f>
        <v>Valid</v>
      </c>
      <c r="R479" t="str">
        <f>IF(COUNTIF(Branches!$A$2:$A$11,F479)&gt;0,"Valid","Invalid")</f>
        <v>Valid</v>
      </c>
    </row>
    <row r="480" spans="1:18" x14ac:dyDescent="0.25">
      <c r="A480" t="s">
        <v>2551</v>
      </c>
      <c r="B480" t="s">
        <v>1029</v>
      </c>
      <c r="C480" s="8">
        <v>46035</v>
      </c>
      <c r="D480" t="s">
        <v>2067</v>
      </c>
      <c r="E480" t="s">
        <v>2063</v>
      </c>
      <c r="F480" t="s">
        <v>39</v>
      </c>
      <c r="G480">
        <v>987.68</v>
      </c>
      <c r="H480" t="s">
        <v>2060</v>
      </c>
      <c r="I480" t="str">
        <f>VLOOKUP(B480,Customers!A:G,7,FALSE)</f>
        <v>Individual</v>
      </c>
      <c r="Q480" t="str">
        <f>IF(COUNTIF(Customers!$A$2:$A$1001,B480)&gt;0,"Valid","Invalid")</f>
        <v>Valid</v>
      </c>
      <c r="R480" t="str">
        <f>IF(COUNTIF(Branches!$A$2:$A$11,F480)&gt;0,"Valid","Invalid")</f>
        <v>Valid</v>
      </c>
    </row>
    <row r="481" spans="1:18" x14ac:dyDescent="0.25">
      <c r="A481" t="s">
        <v>2552</v>
      </c>
      <c r="B481" t="s">
        <v>347</v>
      </c>
      <c r="C481" s="8">
        <v>46046</v>
      </c>
      <c r="D481" t="s">
        <v>2065</v>
      </c>
      <c r="E481" t="s">
        <v>2059</v>
      </c>
      <c r="F481" t="s">
        <v>21</v>
      </c>
      <c r="G481">
        <v>760.76</v>
      </c>
      <c r="H481" t="s">
        <v>2060</v>
      </c>
      <c r="I481" t="str">
        <f>VLOOKUP(B481,Customers!A:G,7,FALSE)</f>
        <v>Individual</v>
      </c>
      <c r="Q481" t="str">
        <f>IF(COUNTIF(Customers!$A$2:$A$1001,B481)&gt;0,"Valid","Invalid")</f>
        <v>Valid</v>
      </c>
      <c r="R481" t="str">
        <f>IF(COUNTIF(Branches!$A$2:$A$11,F481)&gt;0,"Valid","Invalid")</f>
        <v>Valid</v>
      </c>
    </row>
    <row r="482" spans="1:18" x14ac:dyDescent="0.25">
      <c r="A482" t="s">
        <v>2553</v>
      </c>
      <c r="B482" t="s">
        <v>777</v>
      </c>
      <c r="C482" s="8">
        <v>46190</v>
      </c>
      <c r="D482" t="s">
        <v>2070</v>
      </c>
      <c r="E482" t="s">
        <v>2068</v>
      </c>
      <c r="F482" t="s">
        <v>16</v>
      </c>
      <c r="G482">
        <v>1685.12</v>
      </c>
      <c r="H482" t="s">
        <v>2060</v>
      </c>
      <c r="I482" t="str">
        <f>VLOOKUP(B482,Customers!A:G,7,FALSE)</f>
        <v>Individual</v>
      </c>
      <c r="Q482" t="str">
        <f>IF(COUNTIF(Customers!$A$2:$A$1001,B482)&gt;0,"Valid","Invalid")</f>
        <v>Valid</v>
      </c>
      <c r="R482" t="str">
        <f>IF(COUNTIF(Branches!$A$2:$A$11,F482)&gt;0,"Valid","Invalid")</f>
        <v>Valid</v>
      </c>
    </row>
    <row r="483" spans="1:18" x14ac:dyDescent="0.25">
      <c r="A483" t="s">
        <v>2554</v>
      </c>
      <c r="B483" t="s">
        <v>902</v>
      </c>
      <c r="C483" s="8">
        <v>46036</v>
      </c>
      <c r="D483" t="s">
        <v>2058</v>
      </c>
      <c r="E483" t="s">
        <v>2059</v>
      </c>
      <c r="F483" t="s">
        <v>16</v>
      </c>
      <c r="G483">
        <v>891.93</v>
      </c>
      <c r="H483" t="s">
        <v>2060</v>
      </c>
      <c r="I483" t="str">
        <f>VLOOKUP(B483,Customers!A:G,7,FALSE)</f>
        <v>SME</v>
      </c>
      <c r="Q483" t="str">
        <f>IF(COUNTIF(Customers!$A$2:$A$1001,B483)&gt;0,"Valid","Invalid")</f>
        <v>Valid</v>
      </c>
      <c r="R483" t="str">
        <f>IF(COUNTIF(Branches!$A$2:$A$11,F483)&gt;0,"Valid","Invalid")</f>
        <v>Valid</v>
      </c>
    </row>
    <row r="484" spans="1:18" x14ac:dyDescent="0.25">
      <c r="A484" t="s">
        <v>2555</v>
      </c>
      <c r="B484" t="s">
        <v>223</v>
      </c>
      <c r="C484" s="8">
        <v>46242</v>
      </c>
      <c r="D484" t="s">
        <v>2067</v>
      </c>
      <c r="E484" t="s">
        <v>2063</v>
      </c>
      <c r="F484" t="s">
        <v>35</v>
      </c>
      <c r="G484">
        <v>993.59</v>
      </c>
      <c r="H484" t="s">
        <v>2060</v>
      </c>
      <c r="I484" t="str">
        <f>VLOOKUP(B484,Customers!A:G,7,FALSE)</f>
        <v>Student</v>
      </c>
      <c r="Q484" t="str">
        <f>IF(COUNTIF(Customers!$A$2:$A$1001,B484)&gt;0,"Valid","Invalid")</f>
        <v>Valid</v>
      </c>
      <c r="R484" t="str">
        <f>IF(COUNTIF(Branches!$A$2:$A$11,F484)&gt;0,"Valid","Invalid")</f>
        <v>Valid</v>
      </c>
    </row>
    <row r="485" spans="1:18" x14ac:dyDescent="0.25">
      <c r="A485" t="s">
        <v>2556</v>
      </c>
      <c r="B485" t="s">
        <v>299</v>
      </c>
      <c r="C485" s="8">
        <v>46225</v>
      </c>
      <c r="D485" t="s">
        <v>2070</v>
      </c>
      <c r="E485" t="s">
        <v>2059</v>
      </c>
      <c r="F485" t="s">
        <v>53</v>
      </c>
      <c r="G485">
        <v>554.1</v>
      </c>
      <c r="H485" t="s">
        <v>2115</v>
      </c>
      <c r="I485" t="str">
        <f>VLOOKUP(B485,Customers!A:G,7,FALSE)</f>
        <v>SME</v>
      </c>
      <c r="Q485" t="str">
        <f>IF(COUNTIF(Customers!$A$2:$A$1001,B485)&gt;0,"Valid","Invalid")</f>
        <v>Valid</v>
      </c>
      <c r="R485" t="str">
        <f>IF(COUNTIF(Branches!$A$2:$A$11,F485)&gt;0,"Valid","Invalid")</f>
        <v>Valid</v>
      </c>
    </row>
    <row r="486" spans="1:18" x14ac:dyDescent="0.25">
      <c r="A486" t="s">
        <v>2557</v>
      </c>
      <c r="B486" t="s">
        <v>566</v>
      </c>
      <c r="C486" s="8">
        <v>46092</v>
      </c>
      <c r="D486" t="s">
        <v>2065</v>
      </c>
      <c r="E486" t="s">
        <v>2059</v>
      </c>
      <c r="F486" t="s">
        <v>47</v>
      </c>
      <c r="G486">
        <v>283.60000000000002</v>
      </c>
      <c r="H486" t="s">
        <v>2060</v>
      </c>
      <c r="I486" t="str">
        <f>VLOOKUP(B486,Customers!A:G,7,FALSE)</f>
        <v>Individual</v>
      </c>
      <c r="Q486" t="str">
        <f>IF(COUNTIF(Customers!$A$2:$A$1001,B486)&gt;0,"Valid","Invalid")</f>
        <v>Valid</v>
      </c>
      <c r="R486" t="str">
        <f>IF(COUNTIF(Branches!$A$2:$A$11,F486)&gt;0,"Valid","Invalid")</f>
        <v>Valid</v>
      </c>
    </row>
    <row r="487" spans="1:18" x14ac:dyDescent="0.25">
      <c r="A487" t="s">
        <v>2558</v>
      </c>
      <c r="B487" t="s">
        <v>311</v>
      </c>
      <c r="C487" s="8">
        <v>46084</v>
      </c>
      <c r="D487" t="s">
        <v>2065</v>
      </c>
      <c r="E487" t="s">
        <v>2073</v>
      </c>
      <c r="F487" t="s">
        <v>27</v>
      </c>
      <c r="G487">
        <v>947.69</v>
      </c>
      <c r="H487" t="s">
        <v>2060</v>
      </c>
      <c r="I487" t="str">
        <f>VLOOKUP(B487,Customers!A:G,7,FALSE)</f>
        <v>Individual</v>
      </c>
      <c r="Q487" t="str">
        <f>IF(COUNTIF(Customers!$A$2:$A$1001,B487)&gt;0,"Valid","Invalid")</f>
        <v>Valid</v>
      </c>
      <c r="R487" t="str">
        <f>IF(COUNTIF(Branches!$A$2:$A$11,F487)&gt;0,"Valid","Invalid")</f>
        <v>Valid</v>
      </c>
    </row>
    <row r="488" spans="1:18" x14ac:dyDescent="0.25">
      <c r="A488" t="s">
        <v>2559</v>
      </c>
      <c r="B488" t="s">
        <v>196</v>
      </c>
      <c r="C488" s="8">
        <v>46142</v>
      </c>
      <c r="D488" t="s">
        <v>2062</v>
      </c>
      <c r="E488" t="s">
        <v>2073</v>
      </c>
      <c r="F488" t="s">
        <v>29</v>
      </c>
      <c r="G488">
        <v>2717.44</v>
      </c>
      <c r="H488" t="s">
        <v>2107</v>
      </c>
      <c r="I488" t="str">
        <f>VLOOKUP(B488,Customers!A:G,7,FALSE)</f>
        <v>Individual</v>
      </c>
      <c r="Q488" t="str">
        <f>IF(COUNTIF(Customers!$A$2:$A$1001,B488)&gt;0,"Valid","Invalid")</f>
        <v>Valid</v>
      </c>
      <c r="R488" t="str">
        <f>IF(COUNTIF(Branches!$A$2:$A$11,F488)&gt;0,"Valid","Invalid")</f>
        <v>Valid</v>
      </c>
    </row>
    <row r="489" spans="1:18" x14ac:dyDescent="0.25">
      <c r="A489" t="s">
        <v>2560</v>
      </c>
      <c r="B489" t="s">
        <v>908</v>
      </c>
      <c r="C489" s="8">
        <v>46111</v>
      </c>
      <c r="D489" t="s">
        <v>2065</v>
      </c>
      <c r="E489" t="s">
        <v>2063</v>
      </c>
      <c r="F489" t="s">
        <v>47</v>
      </c>
      <c r="G489">
        <v>1266.31</v>
      </c>
      <c r="H489" t="s">
        <v>2060</v>
      </c>
      <c r="I489" t="str">
        <f>VLOOKUP(B489,Customers!A:G,7,FALSE)</f>
        <v>Individual</v>
      </c>
      <c r="Q489" t="str">
        <f>IF(COUNTIF(Customers!$A$2:$A$1001,B489)&gt;0,"Valid","Invalid")</f>
        <v>Valid</v>
      </c>
      <c r="R489" t="str">
        <f>IF(COUNTIF(Branches!$A$2:$A$11,F489)&gt;0,"Valid","Invalid")</f>
        <v>Valid</v>
      </c>
    </row>
    <row r="490" spans="1:18" x14ac:dyDescent="0.25">
      <c r="A490" t="s">
        <v>2561</v>
      </c>
      <c r="B490" t="s">
        <v>800</v>
      </c>
      <c r="C490" s="8">
        <v>46211</v>
      </c>
      <c r="D490" t="s">
        <v>2062</v>
      </c>
      <c r="E490" t="s">
        <v>2063</v>
      </c>
      <c r="F490" t="s">
        <v>29</v>
      </c>
      <c r="G490">
        <v>358.71</v>
      </c>
      <c r="H490" t="s">
        <v>2060</v>
      </c>
      <c r="I490" t="str">
        <f>VLOOKUP(B490,Customers!A:G,7,FALSE)</f>
        <v>Individual</v>
      </c>
      <c r="Q490" t="str">
        <f>IF(COUNTIF(Customers!$A$2:$A$1001,B490)&gt;0,"Valid","Invalid")</f>
        <v>Valid</v>
      </c>
      <c r="R490" t="str">
        <f>IF(COUNTIF(Branches!$A$2:$A$11,F490)&gt;0,"Valid","Invalid")</f>
        <v>Valid</v>
      </c>
    </row>
    <row r="491" spans="1:18" x14ac:dyDescent="0.25">
      <c r="A491" t="s">
        <v>2562</v>
      </c>
      <c r="B491" t="s">
        <v>261</v>
      </c>
      <c r="C491" s="8">
        <v>46023</v>
      </c>
      <c r="D491" t="s">
        <v>2065</v>
      </c>
      <c r="E491" t="s">
        <v>2063</v>
      </c>
      <c r="F491" t="s">
        <v>47</v>
      </c>
      <c r="G491">
        <v>1834.89</v>
      </c>
      <c r="H491" t="s">
        <v>2060</v>
      </c>
      <c r="I491" t="str">
        <f>VLOOKUP(B491,Customers!A:G,7,FALSE)</f>
        <v>Individual</v>
      </c>
      <c r="Q491" t="str">
        <f>IF(COUNTIF(Customers!$A$2:$A$1001,B491)&gt;0,"Valid","Invalid")</f>
        <v>Valid</v>
      </c>
      <c r="R491" t="str">
        <f>IF(COUNTIF(Branches!$A$2:$A$11,F491)&gt;0,"Valid","Invalid")</f>
        <v>Valid</v>
      </c>
    </row>
    <row r="492" spans="1:18" x14ac:dyDescent="0.25">
      <c r="A492" t="s">
        <v>2563</v>
      </c>
      <c r="B492" t="s">
        <v>294</v>
      </c>
      <c r="C492" s="8">
        <v>46239</v>
      </c>
      <c r="D492" t="s">
        <v>2065</v>
      </c>
      <c r="E492" t="s">
        <v>2068</v>
      </c>
      <c r="F492" t="s">
        <v>53</v>
      </c>
      <c r="G492">
        <v>581.08000000000004</v>
      </c>
      <c r="H492" t="s">
        <v>2060</v>
      </c>
      <c r="I492" t="str">
        <f>VLOOKUP(B492,Customers!A:G,7,FALSE)</f>
        <v>Individual</v>
      </c>
      <c r="Q492" t="str">
        <f>IF(COUNTIF(Customers!$A$2:$A$1001,B492)&gt;0,"Valid","Invalid")</f>
        <v>Valid</v>
      </c>
      <c r="R492" t="str">
        <f>IF(COUNTIF(Branches!$A$2:$A$11,F492)&gt;0,"Valid","Invalid")</f>
        <v>Valid</v>
      </c>
    </row>
    <row r="493" spans="1:18" x14ac:dyDescent="0.25">
      <c r="A493" t="s">
        <v>2564</v>
      </c>
      <c r="B493" t="s">
        <v>217</v>
      </c>
      <c r="C493" s="8">
        <v>46216</v>
      </c>
      <c r="D493" t="s">
        <v>2058</v>
      </c>
      <c r="E493" t="s">
        <v>2063</v>
      </c>
      <c r="F493" t="s">
        <v>11</v>
      </c>
      <c r="G493">
        <v>1660.13</v>
      </c>
      <c r="H493" t="s">
        <v>2060</v>
      </c>
      <c r="I493" t="str">
        <f>VLOOKUP(B493,Customers!A:G,7,FALSE)</f>
        <v>Individual</v>
      </c>
      <c r="Q493" t="str">
        <f>IF(COUNTIF(Customers!$A$2:$A$1001,B493)&gt;0,"Valid","Invalid")</f>
        <v>Valid</v>
      </c>
      <c r="R493" t="str">
        <f>IF(COUNTIF(Branches!$A$2:$A$11,F493)&gt;0,"Valid","Invalid")</f>
        <v>Valid</v>
      </c>
    </row>
    <row r="494" spans="1:18" x14ac:dyDescent="0.25">
      <c r="A494" t="s">
        <v>2565</v>
      </c>
      <c r="B494" t="s">
        <v>54</v>
      </c>
      <c r="C494" s="8">
        <v>46148</v>
      </c>
      <c r="D494" t="s">
        <v>2065</v>
      </c>
      <c r="E494" t="s">
        <v>2063</v>
      </c>
      <c r="F494" t="s">
        <v>11</v>
      </c>
      <c r="G494">
        <v>561.83000000000004</v>
      </c>
      <c r="H494" t="s">
        <v>2060</v>
      </c>
      <c r="I494" t="str">
        <f>VLOOKUP(B494,Customers!A:G,7,FALSE)</f>
        <v>Individual</v>
      </c>
      <c r="Q494" t="str">
        <f>IF(COUNTIF(Customers!$A$2:$A$1001,B494)&gt;0,"Valid","Invalid")</f>
        <v>Valid</v>
      </c>
      <c r="R494" t="str">
        <f>IF(COUNTIF(Branches!$A$2:$A$11,F494)&gt;0,"Valid","Invalid")</f>
        <v>Valid</v>
      </c>
    </row>
    <row r="495" spans="1:18" x14ac:dyDescent="0.25">
      <c r="A495" t="s">
        <v>2566</v>
      </c>
      <c r="B495" t="s">
        <v>662</v>
      </c>
      <c r="C495" s="8">
        <v>46054</v>
      </c>
      <c r="D495" t="s">
        <v>2062</v>
      </c>
      <c r="E495" t="s">
        <v>2059</v>
      </c>
      <c r="F495" t="s">
        <v>45</v>
      </c>
      <c r="G495">
        <v>1156.68</v>
      </c>
      <c r="H495" t="s">
        <v>2060</v>
      </c>
      <c r="I495" t="str">
        <f>VLOOKUP(B495,Customers!A:G,7,FALSE)</f>
        <v>SME</v>
      </c>
      <c r="Q495" t="str">
        <f>IF(COUNTIF(Customers!$A$2:$A$1001,B495)&gt;0,"Valid","Invalid")</f>
        <v>Valid</v>
      </c>
      <c r="R495" t="str">
        <f>IF(COUNTIF(Branches!$A$2:$A$11,F495)&gt;0,"Valid","Invalid")</f>
        <v>Valid</v>
      </c>
    </row>
    <row r="496" spans="1:18" x14ac:dyDescent="0.25">
      <c r="A496" t="s">
        <v>2567</v>
      </c>
      <c r="B496" t="s">
        <v>670</v>
      </c>
      <c r="C496" s="8">
        <v>46163</v>
      </c>
      <c r="D496" t="s">
        <v>2058</v>
      </c>
      <c r="E496" t="s">
        <v>2063</v>
      </c>
      <c r="F496" t="s">
        <v>39</v>
      </c>
      <c r="G496">
        <v>483.72</v>
      </c>
      <c r="H496" t="s">
        <v>2060</v>
      </c>
      <c r="I496" t="str">
        <f>VLOOKUP(B496,Customers!A:G,7,FALSE)</f>
        <v>SME</v>
      </c>
      <c r="Q496" t="str">
        <f>IF(COUNTIF(Customers!$A$2:$A$1001,B496)&gt;0,"Valid","Invalid")</f>
        <v>Valid</v>
      </c>
      <c r="R496" t="str">
        <f>IF(COUNTIF(Branches!$A$2:$A$11,F496)&gt;0,"Valid","Invalid")</f>
        <v>Valid</v>
      </c>
    </row>
    <row r="497" spans="1:18" x14ac:dyDescent="0.25">
      <c r="A497" t="s">
        <v>2568</v>
      </c>
      <c r="B497" t="s">
        <v>744</v>
      </c>
      <c r="C497" s="8">
        <v>46183</v>
      </c>
      <c r="D497" t="s">
        <v>2070</v>
      </c>
      <c r="E497" t="s">
        <v>2063</v>
      </c>
      <c r="F497" t="s">
        <v>16</v>
      </c>
      <c r="G497">
        <v>496.18</v>
      </c>
      <c r="H497" t="s">
        <v>2060</v>
      </c>
      <c r="I497" t="str">
        <f>VLOOKUP(B497,Customers!A:G,7,FALSE)</f>
        <v>Individual</v>
      </c>
      <c r="Q497" t="str">
        <f>IF(COUNTIF(Customers!$A$2:$A$1001,B497)&gt;0,"Valid","Invalid")</f>
        <v>Valid</v>
      </c>
      <c r="R497" t="str">
        <f>IF(COUNTIF(Branches!$A$2:$A$11,F497)&gt;0,"Valid","Invalid")</f>
        <v>Valid</v>
      </c>
    </row>
    <row r="498" spans="1:18" x14ac:dyDescent="0.25">
      <c r="A498" t="s">
        <v>2569</v>
      </c>
      <c r="B498" t="s">
        <v>506</v>
      </c>
      <c r="C498" s="8">
        <v>46054</v>
      </c>
      <c r="D498" t="s">
        <v>2062</v>
      </c>
      <c r="E498" t="s">
        <v>2059</v>
      </c>
      <c r="F498" t="s">
        <v>53</v>
      </c>
      <c r="G498">
        <v>169.65</v>
      </c>
      <c r="H498" t="s">
        <v>2060</v>
      </c>
      <c r="I498" t="str">
        <f>VLOOKUP(B498,Customers!A:G,7,FALSE)</f>
        <v>Individual</v>
      </c>
      <c r="Q498" t="str">
        <f>IF(COUNTIF(Customers!$A$2:$A$1001,B498)&gt;0,"Valid","Invalid")</f>
        <v>Valid</v>
      </c>
      <c r="R498" t="str">
        <f>IF(COUNTIF(Branches!$A$2:$A$11,F498)&gt;0,"Valid","Invalid")</f>
        <v>Valid</v>
      </c>
    </row>
    <row r="499" spans="1:18" x14ac:dyDescent="0.25">
      <c r="A499" t="s">
        <v>2570</v>
      </c>
      <c r="B499" t="s">
        <v>661</v>
      </c>
      <c r="C499" s="8">
        <v>46078</v>
      </c>
      <c r="D499" t="s">
        <v>2065</v>
      </c>
      <c r="E499" t="s">
        <v>2063</v>
      </c>
      <c r="F499" t="s">
        <v>47</v>
      </c>
      <c r="G499">
        <v>1355.7</v>
      </c>
      <c r="H499" t="s">
        <v>2060</v>
      </c>
      <c r="I499" t="str">
        <f>VLOOKUP(B499,Customers!A:G,7,FALSE)</f>
        <v>SME</v>
      </c>
      <c r="Q499" t="str">
        <f>IF(COUNTIF(Customers!$A$2:$A$1001,B499)&gt;0,"Valid","Invalid")</f>
        <v>Valid</v>
      </c>
      <c r="R499" t="str">
        <f>IF(COUNTIF(Branches!$A$2:$A$11,F499)&gt;0,"Valid","Invalid")</f>
        <v>Valid</v>
      </c>
    </row>
    <row r="500" spans="1:18" x14ac:dyDescent="0.25">
      <c r="A500" t="s">
        <v>2571</v>
      </c>
      <c r="B500" t="s">
        <v>247</v>
      </c>
      <c r="C500" s="8">
        <v>46174</v>
      </c>
      <c r="D500" t="s">
        <v>2062</v>
      </c>
      <c r="E500" t="s">
        <v>2059</v>
      </c>
      <c r="F500" t="s">
        <v>29</v>
      </c>
      <c r="G500">
        <v>1176.3499999999999</v>
      </c>
      <c r="H500" t="s">
        <v>2060</v>
      </c>
      <c r="I500" t="str">
        <f>VLOOKUP(B500,Customers!A:G,7,FALSE)</f>
        <v>Individual</v>
      </c>
      <c r="Q500" t="str">
        <f>IF(COUNTIF(Customers!$A$2:$A$1001,B500)&gt;0,"Valid","Invalid")</f>
        <v>Valid</v>
      </c>
      <c r="R500" t="str">
        <f>IF(COUNTIF(Branches!$A$2:$A$11,F500)&gt;0,"Valid","Invalid")</f>
        <v>Valid</v>
      </c>
    </row>
    <row r="501" spans="1:18" x14ac:dyDescent="0.25">
      <c r="A501" t="s">
        <v>2572</v>
      </c>
      <c r="B501" t="s">
        <v>551</v>
      </c>
      <c r="C501" s="8">
        <v>46113</v>
      </c>
      <c r="D501" t="s">
        <v>2058</v>
      </c>
      <c r="E501" t="s">
        <v>2073</v>
      </c>
      <c r="F501" t="s">
        <v>39</v>
      </c>
      <c r="G501">
        <v>1244.44</v>
      </c>
      <c r="H501" t="s">
        <v>2060</v>
      </c>
      <c r="I501" t="str">
        <f>VLOOKUP(B501,Customers!A:G,7,FALSE)</f>
        <v>Student</v>
      </c>
      <c r="Q501" t="str">
        <f>IF(COUNTIF(Customers!$A$2:$A$1001,B501)&gt;0,"Valid","Invalid")</f>
        <v>Valid</v>
      </c>
      <c r="R501" t="str">
        <f>IF(COUNTIF(Branches!$A$2:$A$11,F501)&gt;0,"Valid","Invalid")</f>
        <v>Valid</v>
      </c>
    </row>
    <row r="502" spans="1:18" x14ac:dyDescent="0.25">
      <c r="A502" t="s">
        <v>2573</v>
      </c>
      <c r="B502" t="s">
        <v>94</v>
      </c>
      <c r="C502" s="8">
        <v>46026</v>
      </c>
      <c r="D502" t="s">
        <v>2058</v>
      </c>
      <c r="E502" t="s">
        <v>2063</v>
      </c>
      <c r="F502" t="s">
        <v>45</v>
      </c>
      <c r="G502">
        <v>1069.9100000000001</v>
      </c>
      <c r="H502" t="s">
        <v>2060</v>
      </c>
      <c r="I502" t="str">
        <f>VLOOKUP(B502,Customers!A:G,7,FALSE)</f>
        <v>Individual</v>
      </c>
      <c r="Q502" t="str">
        <f>IF(COUNTIF(Customers!$A$2:$A$1001,B502)&gt;0,"Valid","Invalid")</f>
        <v>Valid</v>
      </c>
      <c r="R502" t="str">
        <f>IF(COUNTIF(Branches!$A$2:$A$11,F502)&gt;0,"Valid","Invalid")</f>
        <v>Valid</v>
      </c>
    </row>
    <row r="503" spans="1:18" x14ac:dyDescent="0.25">
      <c r="A503" t="s">
        <v>2574</v>
      </c>
      <c r="B503" t="s">
        <v>129</v>
      </c>
      <c r="C503" s="8">
        <v>46238</v>
      </c>
      <c r="D503" t="s">
        <v>2062</v>
      </c>
      <c r="E503" t="s">
        <v>2059</v>
      </c>
      <c r="F503" t="s">
        <v>47</v>
      </c>
      <c r="G503">
        <v>379.08</v>
      </c>
      <c r="H503" t="s">
        <v>2060</v>
      </c>
      <c r="I503" t="str">
        <f>VLOOKUP(B503,Customers!A:G,7,FALSE)</f>
        <v>Individual</v>
      </c>
      <c r="Q503" t="str">
        <f>IF(COUNTIF(Customers!$A$2:$A$1001,B503)&gt;0,"Valid","Invalid")</f>
        <v>Valid</v>
      </c>
      <c r="R503" t="str">
        <f>IF(COUNTIF(Branches!$A$2:$A$11,F503)&gt;0,"Valid","Invalid")</f>
        <v>Valid</v>
      </c>
    </row>
    <row r="504" spans="1:18" x14ac:dyDescent="0.25">
      <c r="A504" t="s">
        <v>2575</v>
      </c>
      <c r="B504" t="s">
        <v>258</v>
      </c>
      <c r="C504" s="8">
        <v>46045</v>
      </c>
      <c r="D504" t="s">
        <v>2058</v>
      </c>
      <c r="E504" t="s">
        <v>2073</v>
      </c>
      <c r="F504" t="s">
        <v>35</v>
      </c>
      <c r="G504">
        <v>2134.31</v>
      </c>
      <c r="H504" t="s">
        <v>2060</v>
      </c>
      <c r="I504" t="str">
        <f>VLOOKUP(B504,Customers!A:G,7,FALSE)</f>
        <v>SME</v>
      </c>
      <c r="Q504" t="str">
        <f>IF(COUNTIF(Customers!$A$2:$A$1001,B504)&gt;0,"Valid","Invalid")</f>
        <v>Valid</v>
      </c>
      <c r="R504" t="str">
        <f>IF(COUNTIF(Branches!$A$2:$A$11,F504)&gt;0,"Valid","Invalid")</f>
        <v>Valid</v>
      </c>
    </row>
    <row r="505" spans="1:18" x14ac:dyDescent="0.25">
      <c r="A505" t="s">
        <v>2576</v>
      </c>
      <c r="B505" t="s">
        <v>761</v>
      </c>
      <c r="C505" s="8">
        <v>46051</v>
      </c>
      <c r="D505" t="s">
        <v>2067</v>
      </c>
      <c r="E505" t="s">
        <v>2068</v>
      </c>
      <c r="F505" t="s">
        <v>27</v>
      </c>
      <c r="G505">
        <v>2192.46</v>
      </c>
      <c r="H505" t="s">
        <v>2060</v>
      </c>
      <c r="I505" t="str">
        <f>VLOOKUP(B505,Customers!A:G,7,FALSE)</f>
        <v>SME</v>
      </c>
      <c r="Q505" t="str">
        <f>IF(COUNTIF(Customers!$A$2:$A$1001,B505)&gt;0,"Valid","Invalid")</f>
        <v>Valid</v>
      </c>
      <c r="R505" t="str">
        <f>IF(COUNTIF(Branches!$A$2:$A$11,F505)&gt;0,"Valid","Invalid")</f>
        <v>Valid</v>
      </c>
    </row>
    <row r="506" spans="1:18" x14ac:dyDescent="0.25">
      <c r="A506" t="s">
        <v>2577</v>
      </c>
      <c r="B506" t="s">
        <v>978</v>
      </c>
      <c r="C506" s="8">
        <v>46120</v>
      </c>
      <c r="D506" t="s">
        <v>2058</v>
      </c>
      <c r="E506" t="s">
        <v>2059</v>
      </c>
      <c r="F506" t="s">
        <v>29</v>
      </c>
      <c r="G506">
        <v>369.36</v>
      </c>
      <c r="H506" t="s">
        <v>2060</v>
      </c>
      <c r="I506" t="str">
        <f>VLOOKUP(B506,Customers!A:G,7,FALSE)</f>
        <v>Individual</v>
      </c>
      <c r="Q506" t="str">
        <f>IF(COUNTIF(Customers!$A$2:$A$1001,B506)&gt;0,"Valid","Invalid")</f>
        <v>Valid</v>
      </c>
      <c r="R506" t="str">
        <f>IF(COUNTIF(Branches!$A$2:$A$11,F506)&gt;0,"Valid","Invalid")</f>
        <v>Valid</v>
      </c>
    </row>
    <row r="507" spans="1:18" x14ac:dyDescent="0.25">
      <c r="A507" t="s">
        <v>2578</v>
      </c>
      <c r="B507" t="s">
        <v>270</v>
      </c>
      <c r="C507" s="8">
        <v>46171</v>
      </c>
      <c r="D507" t="s">
        <v>2067</v>
      </c>
      <c r="E507" t="s">
        <v>2076</v>
      </c>
      <c r="F507" t="s">
        <v>39</v>
      </c>
      <c r="G507">
        <v>1383.16</v>
      </c>
      <c r="H507" t="s">
        <v>2060</v>
      </c>
      <c r="I507" t="str">
        <f>VLOOKUP(B507,Customers!A:G,7,FALSE)</f>
        <v>Student</v>
      </c>
      <c r="Q507" t="str">
        <f>IF(COUNTIF(Customers!$A$2:$A$1001,B507)&gt;0,"Valid","Invalid")</f>
        <v>Valid</v>
      </c>
      <c r="R507" t="str">
        <f>IF(COUNTIF(Branches!$A$2:$A$11,F507)&gt;0,"Valid","Invalid")</f>
        <v>Valid</v>
      </c>
    </row>
    <row r="508" spans="1:18" x14ac:dyDescent="0.25">
      <c r="A508" t="s">
        <v>2579</v>
      </c>
      <c r="B508" t="s">
        <v>812</v>
      </c>
      <c r="C508" s="8">
        <v>46052</v>
      </c>
      <c r="D508" t="s">
        <v>2065</v>
      </c>
      <c r="E508" t="s">
        <v>2063</v>
      </c>
      <c r="F508" t="s">
        <v>27</v>
      </c>
      <c r="G508">
        <v>1948.84</v>
      </c>
      <c r="H508" t="s">
        <v>2060</v>
      </c>
      <c r="I508" t="str">
        <f>VLOOKUP(B508,Customers!A:G,7,FALSE)</f>
        <v>Individual</v>
      </c>
      <c r="Q508" t="str">
        <f>IF(COUNTIF(Customers!$A$2:$A$1001,B508)&gt;0,"Valid","Invalid")</f>
        <v>Valid</v>
      </c>
      <c r="R508" t="str">
        <f>IF(COUNTIF(Branches!$A$2:$A$11,F508)&gt;0,"Valid","Invalid")</f>
        <v>Valid</v>
      </c>
    </row>
    <row r="509" spans="1:18" x14ac:dyDescent="0.25">
      <c r="A509" t="s">
        <v>2580</v>
      </c>
      <c r="B509" t="s">
        <v>402</v>
      </c>
      <c r="C509" s="8">
        <v>46112</v>
      </c>
      <c r="D509" t="s">
        <v>2058</v>
      </c>
      <c r="E509" t="s">
        <v>2076</v>
      </c>
      <c r="F509" t="s">
        <v>29</v>
      </c>
      <c r="G509">
        <v>507.71</v>
      </c>
      <c r="H509" t="s">
        <v>2060</v>
      </c>
      <c r="I509" t="str">
        <f>VLOOKUP(B509,Customers!A:G,7,FALSE)</f>
        <v>Individual</v>
      </c>
      <c r="Q509" t="str">
        <f>IF(COUNTIF(Customers!$A$2:$A$1001,B509)&gt;0,"Valid","Invalid")</f>
        <v>Valid</v>
      </c>
      <c r="R509" t="str">
        <f>IF(COUNTIF(Branches!$A$2:$A$11,F509)&gt;0,"Valid","Invalid")</f>
        <v>Valid</v>
      </c>
    </row>
    <row r="510" spans="1:18" x14ac:dyDescent="0.25">
      <c r="A510" t="s">
        <v>2581</v>
      </c>
      <c r="B510" t="s">
        <v>653</v>
      </c>
      <c r="C510" s="8">
        <v>46170</v>
      </c>
      <c r="D510" t="s">
        <v>2065</v>
      </c>
      <c r="E510" t="s">
        <v>2073</v>
      </c>
      <c r="F510" t="s">
        <v>11</v>
      </c>
      <c r="G510">
        <v>604.24</v>
      </c>
      <c r="H510" t="s">
        <v>2060</v>
      </c>
      <c r="I510" t="str">
        <f>VLOOKUP(B510,Customers!A:G,7,FALSE)</f>
        <v>Individual</v>
      </c>
      <c r="Q510" t="str">
        <f>IF(COUNTIF(Customers!$A$2:$A$1001,B510)&gt;0,"Valid","Invalid")</f>
        <v>Valid</v>
      </c>
      <c r="R510" t="str">
        <f>IF(COUNTIF(Branches!$A$2:$A$11,F510)&gt;0,"Valid","Invalid")</f>
        <v>Valid</v>
      </c>
    </row>
    <row r="511" spans="1:18" x14ac:dyDescent="0.25">
      <c r="A511" t="s">
        <v>2582</v>
      </c>
      <c r="B511" t="s">
        <v>600</v>
      </c>
      <c r="C511" s="8">
        <v>46166</v>
      </c>
      <c r="D511" t="s">
        <v>2065</v>
      </c>
      <c r="E511" t="s">
        <v>2059</v>
      </c>
      <c r="F511" t="s">
        <v>45</v>
      </c>
      <c r="G511">
        <v>1385.91</v>
      </c>
      <c r="H511" t="s">
        <v>2060</v>
      </c>
      <c r="I511" t="str">
        <f>VLOOKUP(B511,Customers!A:G,7,FALSE)</f>
        <v>Individual</v>
      </c>
      <c r="Q511" t="str">
        <f>IF(COUNTIF(Customers!$A$2:$A$1001,B511)&gt;0,"Valid","Invalid")</f>
        <v>Valid</v>
      </c>
      <c r="R511" t="str">
        <f>IF(COUNTIF(Branches!$A$2:$A$11,F511)&gt;0,"Valid","Invalid")</f>
        <v>Valid</v>
      </c>
    </row>
    <row r="512" spans="1:18" x14ac:dyDescent="0.25">
      <c r="A512" t="s">
        <v>2583</v>
      </c>
      <c r="B512" t="s">
        <v>412</v>
      </c>
      <c r="C512" s="8">
        <v>46089</v>
      </c>
      <c r="D512" t="s">
        <v>2065</v>
      </c>
      <c r="E512" t="s">
        <v>2059</v>
      </c>
      <c r="F512" t="s">
        <v>27</v>
      </c>
      <c r="G512">
        <v>179.41</v>
      </c>
      <c r="H512" t="s">
        <v>2060</v>
      </c>
      <c r="I512" t="str">
        <f>VLOOKUP(B512,Customers!A:G,7,FALSE)</f>
        <v>Individual</v>
      </c>
      <c r="Q512" t="str">
        <f>IF(COUNTIF(Customers!$A$2:$A$1001,B512)&gt;0,"Valid","Invalid")</f>
        <v>Valid</v>
      </c>
      <c r="R512" t="str">
        <f>IF(COUNTIF(Branches!$A$2:$A$11,F512)&gt;0,"Valid","Invalid")</f>
        <v>Valid</v>
      </c>
    </row>
    <row r="513" spans="1:18" x14ac:dyDescent="0.25">
      <c r="A513" t="s">
        <v>2584</v>
      </c>
      <c r="B513" t="s">
        <v>660</v>
      </c>
      <c r="C513" s="8">
        <v>46199</v>
      </c>
      <c r="D513" t="s">
        <v>2058</v>
      </c>
      <c r="E513" t="s">
        <v>2063</v>
      </c>
      <c r="F513" t="s">
        <v>11</v>
      </c>
      <c r="G513">
        <v>273.55</v>
      </c>
      <c r="H513" t="s">
        <v>2060</v>
      </c>
      <c r="I513" t="str">
        <f>VLOOKUP(B513,Customers!A:G,7,FALSE)</f>
        <v>Individual</v>
      </c>
      <c r="Q513" t="str">
        <f>IF(COUNTIF(Customers!$A$2:$A$1001,B513)&gt;0,"Valid","Invalid")</f>
        <v>Valid</v>
      </c>
      <c r="R513" t="str">
        <f>IF(COUNTIF(Branches!$A$2:$A$11,F513)&gt;0,"Valid","Invalid")</f>
        <v>Valid</v>
      </c>
    </row>
    <row r="514" spans="1:18" x14ac:dyDescent="0.25">
      <c r="A514" t="s">
        <v>2585</v>
      </c>
      <c r="B514" t="s">
        <v>494</v>
      </c>
      <c r="C514" s="8">
        <v>46123</v>
      </c>
      <c r="D514" t="s">
        <v>2067</v>
      </c>
      <c r="E514" t="s">
        <v>2076</v>
      </c>
      <c r="F514" t="s">
        <v>35</v>
      </c>
      <c r="G514">
        <v>301.94</v>
      </c>
      <c r="H514" t="s">
        <v>2107</v>
      </c>
      <c r="I514" t="str">
        <f>VLOOKUP(B514,Customers!A:G,7,FALSE)</f>
        <v>Student</v>
      </c>
      <c r="Q514" t="str">
        <f>IF(COUNTIF(Customers!$A$2:$A$1001,B514)&gt;0,"Valid","Invalid")</f>
        <v>Valid</v>
      </c>
      <c r="R514" t="str">
        <f>IF(COUNTIF(Branches!$A$2:$A$11,F514)&gt;0,"Valid","Invalid")</f>
        <v>Valid</v>
      </c>
    </row>
    <row r="515" spans="1:18" x14ac:dyDescent="0.25">
      <c r="A515" t="s">
        <v>2586</v>
      </c>
      <c r="B515" t="s">
        <v>124</v>
      </c>
      <c r="C515" s="8">
        <v>46080</v>
      </c>
      <c r="D515" t="s">
        <v>2062</v>
      </c>
      <c r="E515" t="s">
        <v>2076</v>
      </c>
      <c r="F515" t="s">
        <v>47</v>
      </c>
      <c r="G515">
        <v>134.79</v>
      </c>
      <c r="H515" t="s">
        <v>2060</v>
      </c>
      <c r="I515" t="str">
        <f>VLOOKUP(B515,Customers!A:G,7,FALSE)</f>
        <v>Student</v>
      </c>
      <c r="Q515" t="str">
        <f>IF(COUNTIF(Customers!$A$2:$A$1001,B515)&gt;0,"Valid","Invalid")</f>
        <v>Valid</v>
      </c>
      <c r="R515" t="str">
        <f>IF(COUNTIF(Branches!$A$2:$A$11,F515)&gt;0,"Valid","Invalid")</f>
        <v>Valid</v>
      </c>
    </row>
    <row r="516" spans="1:18" x14ac:dyDescent="0.25">
      <c r="A516" t="s">
        <v>2587</v>
      </c>
      <c r="B516" t="s">
        <v>54</v>
      </c>
      <c r="C516" s="8">
        <v>46254</v>
      </c>
      <c r="D516" t="s">
        <v>2067</v>
      </c>
      <c r="E516" t="s">
        <v>2076</v>
      </c>
      <c r="F516" t="s">
        <v>47</v>
      </c>
      <c r="G516">
        <v>2404.12</v>
      </c>
      <c r="H516" t="s">
        <v>2060</v>
      </c>
      <c r="I516" t="str">
        <f>VLOOKUP(B516,Customers!A:G,7,FALSE)</f>
        <v>Individual</v>
      </c>
      <c r="Q516" t="str">
        <f>IF(COUNTIF(Customers!$A$2:$A$1001,B516)&gt;0,"Valid","Invalid")</f>
        <v>Valid</v>
      </c>
      <c r="R516" t="str">
        <f>IF(COUNTIF(Branches!$A$2:$A$11,F516)&gt;0,"Valid","Invalid")</f>
        <v>Valid</v>
      </c>
    </row>
    <row r="517" spans="1:18" x14ac:dyDescent="0.25">
      <c r="A517" t="s">
        <v>2588</v>
      </c>
      <c r="B517" t="s">
        <v>46</v>
      </c>
      <c r="C517" s="8">
        <v>46194</v>
      </c>
      <c r="D517" t="s">
        <v>2058</v>
      </c>
      <c r="E517" t="s">
        <v>2063</v>
      </c>
      <c r="F517" t="s">
        <v>11</v>
      </c>
      <c r="G517">
        <v>111.26</v>
      </c>
      <c r="H517" t="s">
        <v>2060</v>
      </c>
      <c r="I517" t="str">
        <f>VLOOKUP(B517,Customers!A:G,7,FALSE)</f>
        <v>Individual</v>
      </c>
      <c r="Q517" t="str">
        <f>IF(COUNTIF(Customers!$A$2:$A$1001,B517)&gt;0,"Valid","Invalid")</f>
        <v>Valid</v>
      </c>
      <c r="R517" t="str">
        <f>IF(COUNTIF(Branches!$A$2:$A$11,F517)&gt;0,"Valid","Invalid")</f>
        <v>Valid</v>
      </c>
    </row>
    <row r="518" spans="1:18" x14ac:dyDescent="0.25">
      <c r="A518" t="s">
        <v>2589</v>
      </c>
      <c r="B518" t="s">
        <v>169</v>
      </c>
      <c r="C518" s="8">
        <v>46047</v>
      </c>
      <c r="D518" t="s">
        <v>2067</v>
      </c>
      <c r="E518" t="s">
        <v>2059</v>
      </c>
      <c r="F518" t="s">
        <v>35</v>
      </c>
      <c r="G518">
        <v>1144.94</v>
      </c>
      <c r="H518" t="s">
        <v>2060</v>
      </c>
      <c r="I518" t="str">
        <f>VLOOKUP(B518,Customers!A:G,7,FALSE)</f>
        <v>SME</v>
      </c>
      <c r="Q518" t="str">
        <f>IF(COUNTIF(Customers!$A$2:$A$1001,B518)&gt;0,"Valid","Invalid")</f>
        <v>Valid</v>
      </c>
      <c r="R518" t="str">
        <f>IF(COUNTIF(Branches!$A$2:$A$11,F518)&gt;0,"Valid","Invalid")</f>
        <v>Valid</v>
      </c>
    </row>
    <row r="519" spans="1:18" x14ac:dyDescent="0.25">
      <c r="A519" t="s">
        <v>2590</v>
      </c>
      <c r="B519" t="s">
        <v>975</v>
      </c>
      <c r="C519" s="8">
        <v>46045</v>
      </c>
      <c r="D519" t="s">
        <v>2058</v>
      </c>
      <c r="E519" t="s">
        <v>2076</v>
      </c>
      <c r="F519" t="s">
        <v>27</v>
      </c>
      <c r="G519">
        <v>1829.29</v>
      </c>
      <c r="H519" t="s">
        <v>2060</v>
      </c>
      <c r="I519" t="str">
        <f>VLOOKUP(B519,Customers!A:G,7,FALSE)</f>
        <v>Individual</v>
      </c>
      <c r="Q519" t="str">
        <f>IF(COUNTIF(Customers!$A$2:$A$1001,B519)&gt;0,"Valid","Invalid")</f>
        <v>Valid</v>
      </c>
      <c r="R519" t="str">
        <f>IF(COUNTIF(Branches!$A$2:$A$11,F519)&gt;0,"Valid","Invalid")</f>
        <v>Valid</v>
      </c>
    </row>
    <row r="520" spans="1:18" x14ac:dyDescent="0.25">
      <c r="A520" t="s">
        <v>2591</v>
      </c>
      <c r="B520" t="s">
        <v>846</v>
      </c>
      <c r="C520" s="8">
        <v>46258</v>
      </c>
      <c r="D520" t="s">
        <v>2067</v>
      </c>
      <c r="E520" t="s">
        <v>2063</v>
      </c>
      <c r="F520" t="s">
        <v>39</v>
      </c>
      <c r="G520">
        <v>605.71</v>
      </c>
      <c r="H520" t="s">
        <v>2060</v>
      </c>
      <c r="I520" t="str">
        <f>VLOOKUP(B520,Customers!A:G,7,FALSE)</f>
        <v>Individual</v>
      </c>
      <c r="Q520" t="str">
        <f>IF(COUNTIF(Customers!$A$2:$A$1001,B520)&gt;0,"Valid","Invalid")</f>
        <v>Valid</v>
      </c>
      <c r="R520" t="str">
        <f>IF(COUNTIF(Branches!$A$2:$A$11,F520)&gt;0,"Valid","Invalid")</f>
        <v>Valid</v>
      </c>
    </row>
    <row r="521" spans="1:18" x14ac:dyDescent="0.25">
      <c r="A521" t="s">
        <v>2592</v>
      </c>
      <c r="B521" t="s">
        <v>68</v>
      </c>
      <c r="C521" s="8">
        <v>46209</v>
      </c>
      <c r="D521" t="s">
        <v>2070</v>
      </c>
      <c r="E521" t="s">
        <v>2063</v>
      </c>
      <c r="F521" t="s">
        <v>16</v>
      </c>
      <c r="G521">
        <v>416.39</v>
      </c>
      <c r="H521" t="s">
        <v>2060</v>
      </c>
      <c r="I521" t="str">
        <f>VLOOKUP(B521,Customers!A:G,7,FALSE)</f>
        <v>Student</v>
      </c>
      <c r="Q521" t="str">
        <f>IF(COUNTIF(Customers!$A$2:$A$1001,B521)&gt;0,"Valid","Invalid")</f>
        <v>Valid</v>
      </c>
      <c r="R521" t="str">
        <f>IF(COUNTIF(Branches!$A$2:$A$11,F521)&gt;0,"Valid","Invalid")</f>
        <v>Valid</v>
      </c>
    </row>
    <row r="522" spans="1:18" x14ac:dyDescent="0.25">
      <c r="A522" t="s">
        <v>2593</v>
      </c>
      <c r="B522" t="s">
        <v>930</v>
      </c>
      <c r="C522" s="8">
        <v>46151</v>
      </c>
      <c r="D522" t="s">
        <v>2070</v>
      </c>
      <c r="E522" t="s">
        <v>2063</v>
      </c>
      <c r="F522" t="s">
        <v>45</v>
      </c>
      <c r="G522">
        <v>1025.4000000000001</v>
      </c>
      <c r="H522" t="s">
        <v>2060</v>
      </c>
      <c r="I522" t="str">
        <f>VLOOKUP(B522,Customers!A:G,7,FALSE)</f>
        <v>Individual</v>
      </c>
      <c r="Q522" t="str">
        <f>IF(COUNTIF(Customers!$A$2:$A$1001,B522)&gt;0,"Valid","Invalid")</f>
        <v>Valid</v>
      </c>
      <c r="R522" t="str">
        <f>IF(COUNTIF(Branches!$A$2:$A$11,F522)&gt;0,"Valid","Invalid")</f>
        <v>Valid</v>
      </c>
    </row>
    <row r="523" spans="1:18" x14ac:dyDescent="0.25">
      <c r="A523" t="s">
        <v>2594</v>
      </c>
      <c r="B523" t="s">
        <v>245</v>
      </c>
      <c r="C523" s="8">
        <v>46119</v>
      </c>
      <c r="D523" t="s">
        <v>2062</v>
      </c>
      <c r="E523" t="s">
        <v>2076</v>
      </c>
      <c r="F523" t="s">
        <v>47</v>
      </c>
      <c r="G523">
        <v>813.9</v>
      </c>
      <c r="H523" t="s">
        <v>2060</v>
      </c>
      <c r="I523" t="str">
        <f>VLOOKUP(B523,Customers!A:G,7,FALSE)</f>
        <v>Individual</v>
      </c>
      <c r="Q523" t="str">
        <f>IF(COUNTIF(Customers!$A$2:$A$1001,B523)&gt;0,"Valid","Invalid")</f>
        <v>Valid</v>
      </c>
      <c r="R523" t="str">
        <f>IF(COUNTIF(Branches!$A$2:$A$11,F523)&gt;0,"Valid","Invalid")</f>
        <v>Valid</v>
      </c>
    </row>
    <row r="524" spans="1:18" x14ac:dyDescent="0.25">
      <c r="A524" t="s">
        <v>2595</v>
      </c>
      <c r="B524" t="s">
        <v>851</v>
      </c>
      <c r="C524" s="8">
        <v>46165</v>
      </c>
      <c r="D524" t="s">
        <v>2070</v>
      </c>
      <c r="E524" t="s">
        <v>2076</v>
      </c>
      <c r="F524" t="s">
        <v>45</v>
      </c>
      <c r="G524">
        <v>2216.1</v>
      </c>
      <c r="H524" t="s">
        <v>2060</v>
      </c>
      <c r="I524" t="str">
        <f>VLOOKUP(B524,Customers!A:G,7,FALSE)</f>
        <v>Individual</v>
      </c>
      <c r="Q524" t="str">
        <f>IF(COUNTIF(Customers!$A$2:$A$1001,B524)&gt;0,"Valid","Invalid")</f>
        <v>Valid</v>
      </c>
      <c r="R524" t="str">
        <f>IF(COUNTIF(Branches!$A$2:$A$11,F524)&gt;0,"Valid","Invalid")</f>
        <v>Valid</v>
      </c>
    </row>
    <row r="525" spans="1:18" x14ac:dyDescent="0.25">
      <c r="A525" t="s">
        <v>2596</v>
      </c>
      <c r="B525" t="s">
        <v>236</v>
      </c>
      <c r="C525" s="8">
        <v>46150</v>
      </c>
      <c r="D525" t="s">
        <v>2067</v>
      </c>
      <c r="E525" t="s">
        <v>2068</v>
      </c>
      <c r="F525" t="s">
        <v>21</v>
      </c>
      <c r="G525">
        <v>58.64</v>
      </c>
      <c r="H525" t="s">
        <v>2060</v>
      </c>
      <c r="I525" t="str">
        <f>VLOOKUP(B525,Customers!A:G,7,FALSE)</f>
        <v>Individual</v>
      </c>
      <c r="Q525" t="str">
        <f>IF(COUNTIF(Customers!$A$2:$A$1001,B525)&gt;0,"Valid","Invalid")</f>
        <v>Valid</v>
      </c>
      <c r="R525" t="str">
        <f>IF(COUNTIF(Branches!$A$2:$A$11,F525)&gt;0,"Valid","Invalid")</f>
        <v>Valid</v>
      </c>
    </row>
    <row r="526" spans="1:18" x14ac:dyDescent="0.25">
      <c r="A526" t="s">
        <v>2597</v>
      </c>
      <c r="B526" t="s">
        <v>630</v>
      </c>
      <c r="C526" s="8">
        <v>46103</v>
      </c>
      <c r="D526" t="s">
        <v>2058</v>
      </c>
      <c r="E526" t="s">
        <v>2063</v>
      </c>
      <c r="F526" t="s">
        <v>47</v>
      </c>
      <c r="G526">
        <v>324.18</v>
      </c>
      <c r="H526" t="s">
        <v>2060</v>
      </c>
      <c r="I526" t="str">
        <f>VLOOKUP(B526,Customers!A:G,7,FALSE)</f>
        <v>Individual</v>
      </c>
      <c r="Q526" t="str">
        <f>IF(COUNTIF(Customers!$A$2:$A$1001,B526)&gt;0,"Valid","Invalid")</f>
        <v>Valid</v>
      </c>
      <c r="R526" t="str">
        <f>IF(COUNTIF(Branches!$A$2:$A$11,F526)&gt;0,"Valid","Invalid")</f>
        <v>Valid</v>
      </c>
    </row>
    <row r="527" spans="1:18" x14ac:dyDescent="0.25">
      <c r="A527" t="s">
        <v>2598</v>
      </c>
      <c r="B527" t="s">
        <v>621</v>
      </c>
      <c r="C527" s="8">
        <v>46248</v>
      </c>
      <c r="D527" t="s">
        <v>2062</v>
      </c>
      <c r="E527" t="s">
        <v>2073</v>
      </c>
      <c r="F527" t="s">
        <v>11</v>
      </c>
      <c r="G527">
        <v>1424.5</v>
      </c>
      <c r="H527" t="s">
        <v>2115</v>
      </c>
      <c r="I527" t="str">
        <f>VLOOKUP(B527,Customers!A:G,7,FALSE)</f>
        <v>Individual</v>
      </c>
      <c r="Q527" t="str">
        <f>IF(COUNTIF(Customers!$A$2:$A$1001,B527)&gt;0,"Valid","Invalid")</f>
        <v>Valid</v>
      </c>
      <c r="R527" t="str">
        <f>IF(COUNTIF(Branches!$A$2:$A$11,F527)&gt;0,"Valid","Invalid")</f>
        <v>Valid</v>
      </c>
    </row>
    <row r="528" spans="1:18" x14ac:dyDescent="0.25">
      <c r="A528" t="s">
        <v>2599</v>
      </c>
      <c r="B528" t="s">
        <v>191</v>
      </c>
      <c r="C528" s="8">
        <v>46231</v>
      </c>
      <c r="D528" t="s">
        <v>2058</v>
      </c>
      <c r="E528" t="s">
        <v>2076</v>
      </c>
      <c r="F528" t="s">
        <v>21</v>
      </c>
      <c r="G528">
        <v>854.44</v>
      </c>
      <c r="H528" t="s">
        <v>2060</v>
      </c>
      <c r="I528" t="str">
        <f>VLOOKUP(B528,Customers!A:G,7,FALSE)</f>
        <v>SME</v>
      </c>
      <c r="Q528" t="str">
        <f>IF(COUNTIF(Customers!$A$2:$A$1001,B528)&gt;0,"Valid","Invalid")</f>
        <v>Valid</v>
      </c>
      <c r="R528" t="str">
        <f>IF(COUNTIF(Branches!$A$2:$A$11,F528)&gt;0,"Valid","Invalid")</f>
        <v>Valid</v>
      </c>
    </row>
    <row r="529" spans="1:18" x14ac:dyDescent="0.25">
      <c r="A529" t="s">
        <v>2600</v>
      </c>
      <c r="B529" t="s">
        <v>628</v>
      </c>
      <c r="C529" s="8">
        <v>46202</v>
      </c>
      <c r="D529" t="s">
        <v>2062</v>
      </c>
      <c r="E529" t="s">
        <v>2059</v>
      </c>
      <c r="F529" t="s">
        <v>47</v>
      </c>
      <c r="G529">
        <v>1723.37</v>
      </c>
      <c r="H529" t="s">
        <v>2060</v>
      </c>
      <c r="I529" t="str">
        <f>VLOOKUP(B529,Customers!A:G,7,FALSE)</f>
        <v>Individual</v>
      </c>
      <c r="Q529" t="str">
        <f>IF(COUNTIF(Customers!$A$2:$A$1001,B529)&gt;0,"Valid","Invalid")</f>
        <v>Valid</v>
      </c>
      <c r="R529" t="str">
        <f>IF(COUNTIF(Branches!$A$2:$A$11,F529)&gt;0,"Valid","Invalid")</f>
        <v>Valid</v>
      </c>
    </row>
    <row r="530" spans="1:18" x14ac:dyDescent="0.25">
      <c r="A530" t="s">
        <v>2601</v>
      </c>
      <c r="B530" t="s">
        <v>114</v>
      </c>
      <c r="C530" s="8">
        <v>46208</v>
      </c>
      <c r="D530" t="s">
        <v>2062</v>
      </c>
      <c r="E530" t="s">
        <v>2063</v>
      </c>
      <c r="F530" t="s">
        <v>47</v>
      </c>
      <c r="G530">
        <v>1055.76</v>
      </c>
      <c r="H530" t="s">
        <v>2060</v>
      </c>
      <c r="I530" t="str">
        <f>VLOOKUP(B530,Customers!A:G,7,FALSE)</f>
        <v>Individual</v>
      </c>
      <c r="Q530" t="str">
        <f>IF(COUNTIF(Customers!$A$2:$A$1001,B530)&gt;0,"Valid","Invalid")</f>
        <v>Valid</v>
      </c>
      <c r="R530" t="str">
        <f>IF(COUNTIF(Branches!$A$2:$A$11,F530)&gt;0,"Valid","Invalid")</f>
        <v>Valid</v>
      </c>
    </row>
    <row r="531" spans="1:18" x14ac:dyDescent="0.25">
      <c r="A531" t="s">
        <v>2602</v>
      </c>
      <c r="B531" t="s">
        <v>208</v>
      </c>
      <c r="C531" s="8">
        <v>46191</v>
      </c>
      <c r="D531" t="s">
        <v>2070</v>
      </c>
      <c r="E531" t="s">
        <v>2063</v>
      </c>
      <c r="F531" t="s">
        <v>39</v>
      </c>
      <c r="G531">
        <v>710</v>
      </c>
      <c r="H531" t="s">
        <v>2060</v>
      </c>
      <c r="I531" t="str">
        <f>VLOOKUP(B531,Customers!A:G,7,FALSE)</f>
        <v>Individual</v>
      </c>
      <c r="Q531" t="str">
        <f>IF(COUNTIF(Customers!$A$2:$A$1001,B531)&gt;0,"Valid","Invalid")</f>
        <v>Valid</v>
      </c>
      <c r="R531" t="str">
        <f>IF(COUNTIF(Branches!$A$2:$A$11,F531)&gt;0,"Valid","Invalid")</f>
        <v>Valid</v>
      </c>
    </row>
    <row r="532" spans="1:18" x14ac:dyDescent="0.25">
      <c r="A532" t="s">
        <v>2603</v>
      </c>
      <c r="B532" t="s">
        <v>327</v>
      </c>
      <c r="C532" s="8">
        <v>46194</v>
      </c>
      <c r="D532" t="s">
        <v>2067</v>
      </c>
      <c r="E532" t="s">
        <v>2073</v>
      </c>
      <c r="F532" t="s">
        <v>35</v>
      </c>
      <c r="G532">
        <v>600.47</v>
      </c>
      <c r="H532" t="s">
        <v>2060</v>
      </c>
      <c r="I532" t="str">
        <f>VLOOKUP(B532,Customers!A:G,7,FALSE)</f>
        <v>Individual</v>
      </c>
      <c r="Q532" t="str">
        <f>IF(COUNTIF(Customers!$A$2:$A$1001,B532)&gt;0,"Valid","Invalid")</f>
        <v>Valid</v>
      </c>
      <c r="R532" t="str">
        <f>IF(COUNTIF(Branches!$A$2:$A$11,F532)&gt;0,"Valid","Invalid")</f>
        <v>Valid</v>
      </c>
    </row>
    <row r="533" spans="1:18" x14ac:dyDescent="0.25">
      <c r="A533" t="s">
        <v>2604</v>
      </c>
      <c r="B533" t="s">
        <v>583</v>
      </c>
      <c r="C533" s="8">
        <v>46026</v>
      </c>
      <c r="D533" t="s">
        <v>2062</v>
      </c>
      <c r="E533" t="s">
        <v>2063</v>
      </c>
      <c r="F533" t="s">
        <v>29</v>
      </c>
      <c r="G533">
        <v>8308.67</v>
      </c>
      <c r="H533" t="s">
        <v>2060</v>
      </c>
      <c r="I533" t="str">
        <f>VLOOKUP(B533,Customers!A:G,7,FALSE)</f>
        <v>Corporate</v>
      </c>
      <c r="Q533" t="str">
        <f>IF(COUNTIF(Customers!$A$2:$A$1001,B533)&gt;0,"Valid","Invalid")</f>
        <v>Valid</v>
      </c>
      <c r="R533" t="str">
        <f>IF(COUNTIF(Branches!$A$2:$A$11,F533)&gt;0,"Valid","Invalid")</f>
        <v>Valid</v>
      </c>
    </row>
    <row r="534" spans="1:18" x14ac:dyDescent="0.25">
      <c r="A534" t="s">
        <v>2605</v>
      </c>
      <c r="B534" t="s">
        <v>850</v>
      </c>
      <c r="C534" s="8">
        <v>46227</v>
      </c>
      <c r="D534" t="s">
        <v>2058</v>
      </c>
      <c r="E534" t="s">
        <v>2063</v>
      </c>
      <c r="F534" t="s">
        <v>53</v>
      </c>
      <c r="G534">
        <v>3770.44</v>
      </c>
      <c r="H534" t="s">
        <v>2107</v>
      </c>
      <c r="I534" t="str">
        <f>VLOOKUP(B534,Customers!A:G,7,FALSE)</f>
        <v>Individual</v>
      </c>
      <c r="Q534" t="str">
        <f>IF(COUNTIF(Customers!$A$2:$A$1001,B534)&gt;0,"Valid","Invalid")</f>
        <v>Valid</v>
      </c>
      <c r="R534" t="str">
        <f>IF(COUNTIF(Branches!$A$2:$A$11,F534)&gt;0,"Valid","Invalid")</f>
        <v>Valid</v>
      </c>
    </row>
    <row r="535" spans="1:18" x14ac:dyDescent="0.25">
      <c r="A535" t="s">
        <v>2606</v>
      </c>
      <c r="B535" t="s">
        <v>826</v>
      </c>
      <c r="C535" s="8">
        <v>46218</v>
      </c>
      <c r="D535" t="s">
        <v>2058</v>
      </c>
      <c r="E535" t="s">
        <v>2063</v>
      </c>
      <c r="F535" t="s">
        <v>27</v>
      </c>
      <c r="G535">
        <v>1333.42</v>
      </c>
      <c r="H535" t="s">
        <v>2060</v>
      </c>
      <c r="I535" t="str">
        <f>VLOOKUP(B535,Customers!A:G,7,FALSE)</f>
        <v>SME</v>
      </c>
      <c r="Q535" t="str">
        <f>IF(COUNTIF(Customers!$A$2:$A$1001,B535)&gt;0,"Valid","Invalid")</f>
        <v>Valid</v>
      </c>
      <c r="R535" t="str">
        <f>IF(COUNTIF(Branches!$A$2:$A$11,F535)&gt;0,"Valid","Invalid")</f>
        <v>Valid</v>
      </c>
    </row>
    <row r="536" spans="1:18" x14ac:dyDescent="0.25">
      <c r="A536" t="s">
        <v>2607</v>
      </c>
      <c r="B536" t="s">
        <v>917</v>
      </c>
      <c r="C536" s="8">
        <v>46157</v>
      </c>
      <c r="D536" t="s">
        <v>2067</v>
      </c>
      <c r="E536" t="s">
        <v>2068</v>
      </c>
      <c r="F536" t="s">
        <v>39</v>
      </c>
      <c r="G536">
        <v>878.72</v>
      </c>
      <c r="H536" t="s">
        <v>2060</v>
      </c>
      <c r="I536" t="str">
        <f>VLOOKUP(B536,Customers!A:G,7,FALSE)</f>
        <v>Individual</v>
      </c>
      <c r="Q536" t="str">
        <f>IF(COUNTIF(Customers!$A$2:$A$1001,B536)&gt;0,"Valid","Invalid")</f>
        <v>Valid</v>
      </c>
      <c r="R536" t="str">
        <f>IF(COUNTIF(Branches!$A$2:$A$11,F536)&gt;0,"Valid","Invalid")</f>
        <v>Valid</v>
      </c>
    </row>
    <row r="537" spans="1:18" x14ac:dyDescent="0.25">
      <c r="A537" t="s">
        <v>2608</v>
      </c>
      <c r="B537" t="s">
        <v>458</v>
      </c>
      <c r="C537" s="8">
        <v>46068</v>
      </c>
      <c r="D537" t="s">
        <v>2062</v>
      </c>
      <c r="E537" t="s">
        <v>2063</v>
      </c>
      <c r="F537" t="s">
        <v>16</v>
      </c>
      <c r="G537">
        <v>1391.49</v>
      </c>
      <c r="H537" t="s">
        <v>2060</v>
      </c>
      <c r="I537" t="str">
        <f>VLOOKUP(B537,Customers!A:G,7,FALSE)</f>
        <v>Individual</v>
      </c>
      <c r="Q537" t="str">
        <f>IF(COUNTIF(Customers!$A$2:$A$1001,B537)&gt;0,"Valid","Invalid")</f>
        <v>Valid</v>
      </c>
      <c r="R537" t="str">
        <f>IF(COUNTIF(Branches!$A$2:$A$11,F537)&gt;0,"Valid","Invalid")</f>
        <v>Valid</v>
      </c>
    </row>
    <row r="538" spans="1:18" x14ac:dyDescent="0.25">
      <c r="A538" t="s">
        <v>2609</v>
      </c>
      <c r="B538" t="s">
        <v>31</v>
      </c>
      <c r="C538" s="8">
        <v>46031</v>
      </c>
      <c r="D538" t="s">
        <v>2062</v>
      </c>
      <c r="E538" t="s">
        <v>2063</v>
      </c>
      <c r="F538" t="s">
        <v>39</v>
      </c>
      <c r="G538">
        <v>1857.22</v>
      </c>
      <c r="H538" t="s">
        <v>2060</v>
      </c>
      <c r="I538" t="str">
        <f>VLOOKUP(B538,Customers!A:G,7,FALSE)</f>
        <v>Individual</v>
      </c>
      <c r="Q538" t="str">
        <f>IF(COUNTIF(Customers!$A$2:$A$1001,B538)&gt;0,"Valid","Invalid")</f>
        <v>Valid</v>
      </c>
      <c r="R538" t="str">
        <f>IF(COUNTIF(Branches!$A$2:$A$11,F538)&gt;0,"Valid","Invalid")</f>
        <v>Valid</v>
      </c>
    </row>
    <row r="539" spans="1:18" x14ac:dyDescent="0.25">
      <c r="A539" t="s">
        <v>2610</v>
      </c>
      <c r="B539" t="s">
        <v>196</v>
      </c>
      <c r="C539" s="8">
        <v>46237</v>
      </c>
      <c r="D539" t="s">
        <v>2065</v>
      </c>
      <c r="E539" t="s">
        <v>2059</v>
      </c>
      <c r="F539" t="s">
        <v>39</v>
      </c>
      <c r="G539">
        <v>1235</v>
      </c>
      <c r="H539" t="s">
        <v>2060</v>
      </c>
      <c r="I539" t="str">
        <f>VLOOKUP(B539,Customers!A:G,7,FALSE)</f>
        <v>Individual</v>
      </c>
      <c r="Q539" t="str">
        <f>IF(COUNTIF(Customers!$A$2:$A$1001,B539)&gt;0,"Valid","Invalid")</f>
        <v>Valid</v>
      </c>
      <c r="R539" t="str">
        <f>IF(COUNTIF(Branches!$A$2:$A$11,F539)&gt;0,"Valid","Invalid")</f>
        <v>Valid</v>
      </c>
    </row>
    <row r="540" spans="1:18" x14ac:dyDescent="0.25">
      <c r="A540" t="s">
        <v>2611</v>
      </c>
      <c r="B540" t="s">
        <v>278</v>
      </c>
      <c r="C540" s="8">
        <v>46183</v>
      </c>
      <c r="D540" t="s">
        <v>2058</v>
      </c>
      <c r="E540" t="s">
        <v>2059</v>
      </c>
      <c r="F540" t="s">
        <v>16</v>
      </c>
      <c r="G540">
        <v>383.22</v>
      </c>
      <c r="H540" t="s">
        <v>2060</v>
      </c>
      <c r="I540" t="str">
        <f>VLOOKUP(B540,Customers!A:G,7,FALSE)</f>
        <v>Individual</v>
      </c>
      <c r="Q540" t="str">
        <f>IF(COUNTIF(Customers!$A$2:$A$1001,B540)&gt;0,"Valid","Invalid")</f>
        <v>Valid</v>
      </c>
      <c r="R540" t="str">
        <f>IF(COUNTIF(Branches!$A$2:$A$11,F540)&gt;0,"Valid","Invalid")</f>
        <v>Valid</v>
      </c>
    </row>
    <row r="541" spans="1:18" x14ac:dyDescent="0.25">
      <c r="A541" t="s">
        <v>2612</v>
      </c>
      <c r="B541" t="s">
        <v>1001</v>
      </c>
      <c r="C541" s="8">
        <v>46055</v>
      </c>
      <c r="D541" t="s">
        <v>2067</v>
      </c>
      <c r="E541" t="s">
        <v>2059</v>
      </c>
      <c r="F541" t="s">
        <v>29</v>
      </c>
      <c r="G541">
        <v>4839.2299999999996</v>
      </c>
      <c r="H541" t="s">
        <v>2060</v>
      </c>
      <c r="I541" t="str">
        <f>VLOOKUP(B541,Customers!A:G,7,FALSE)</f>
        <v>Individual</v>
      </c>
      <c r="Q541" t="str">
        <f>IF(COUNTIF(Customers!$A$2:$A$1001,B541)&gt;0,"Valid","Invalid")</f>
        <v>Valid</v>
      </c>
      <c r="R541" t="str">
        <f>IF(COUNTIF(Branches!$A$2:$A$11,F541)&gt;0,"Valid","Invalid")</f>
        <v>Valid</v>
      </c>
    </row>
    <row r="542" spans="1:18" x14ac:dyDescent="0.25">
      <c r="A542" t="s">
        <v>2613</v>
      </c>
      <c r="B542" t="s">
        <v>461</v>
      </c>
      <c r="C542" s="8">
        <v>46106</v>
      </c>
      <c r="D542" t="s">
        <v>2070</v>
      </c>
      <c r="E542" t="s">
        <v>2059</v>
      </c>
      <c r="F542" t="s">
        <v>29</v>
      </c>
      <c r="G542">
        <v>1039.2</v>
      </c>
      <c r="H542" t="s">
        <v>2060</v>
      </c>
      <c r="I542" t="str">
        <f>VLOOKUP(B542,Customers!A:G,7,FALSE)</f>
        <v>Individual</v>
      </c>
      <c r="Q542" t="str">
        <f>IF(COUNTIF(Customers!$A$2:$A$1001,B542)&gt;0,"Valid","Invalid")</f>
        <v>Valid</v>
      </c>
      <c r="R542" t="str">
        <f>IF(COUNTIF(Branches!$A$2:$A$11,F542)&gt;0,"Valid","Invalid")</f>
        <v>Valid</v>
      </c>
    </row>
    <row r="543" spans="1:18" x14ac:dyDescent="0.25">
      <c r="A543" t="s">
        <v>2614</v>
      </c>
      <c r="B543" t="s">
        <v>1027</v>
      </c>
      <c r="C543" s="8">
        <v>46154</v>
      </c>
      <c r="D543" t="s">
        <v>2067</v>
      </c>
      <c r="E543" t="s">
        <v>2068</v>
      </c>
      <c r="F543" t="s">
        <v>27</v>
      </c>
      <c r="G543">
        <v>6087.12</v>
      </c>
      <c r="H543" t="s">
        <v>2060</v>
      </c>
      <c r="I543" t="str">
        <f>VLOOKUP(B543,Customers!A:G,7,FALSE)</f>
        <v>Individual</v>
      </c>
      <c r="Q543" t="str">
        <f>IF(COUNTIF(Customers!$A$2:$A$1001,B543)&gt;0,"Valid","Invalid")</f>
        <v>Valid</v>
      </c>
      <c r="R543" t="str">
        <f>IF(COUNTIF(Branches!$A$2:$A$11,F543)&gt;0,"Valid","Invalid")</f>
        <v>Valid</v>
      </c>
    </row>
    <row r="544" spans="1:18" x14ac:dyDescent="0.25">
      <c r="A544" t="s">
        <v>2615</v>
      </c>
      <c r="B544" t="s">
        <v>574</v>
      </c>
      <c r="C544" s="8">
        <v>46087</v>
      </c>
      <c r="D544" t="s">
        <v>2065</v>
      </c>
      <c r="E544" t="s">
        <v>2068</v>
      </c>
      <c r="F544" t="s">
        <v>11</v>
      </c>
      <c r="G544">
        <v>979.6</v>
      </c>
      <c r="H544" t="s">
        <v>2115</v>
      </c>
      <c r="I544" t="str">
        <f>VLOOKUP(B544,Customers!A:G,7,FALSE)</f>
        <v>Individual</v>
      </c>
      <c r="Q544" t="str">
        <f>IF(COUNTIF(Customers!$A$2:$A$1001,B544)&gt;0,"Valid","Invalid")</f>
        <v>Valid</v>
      </c>
      <c r="R544" t="str">
        <f>IF(COUNTIF(Branches!$A$2:$A$11,F544)&gt;0,"Valid","Invalid")</f>
        <v>Valid</v>
      </c>
    </row>
    <row r="545" spans="1:18" x14ac:dyDescent="0.25">
      <c r="A545" t="s">
        <v>2616</v>
      </c>
      <c r="B545" t="s">
        <v>764</v>
      </c>
      <c r="C545" s="8">
        <v>46128</v>
      </c>
      <c r="D545" t="s">
        <v>2067</v>
      </c>
      <c r="E545" t="s">
        <v>2068</v>
      </c>
      <c r="F545" t="s">
        <v>29</v>
      </c>
      <c r="G545">
        <v>635.46</v>
      </c>
      <c r="H545" t="s">
        <v>2060</v>
      </c>
      <c r="I545" t="str">
        <f>VLOOKUP(B545,Customers!A:G,7,FALSE)</f>
        <v>Individual</v>
      </c>
      <c r="Q545" t="str">
        <f>IF(COUNTIF(Customers!$A$2:$A$1001,B545)&gt;0,"Valid","Invalid")</f>
        <v>Valid</v>
      </c>
      <c r="R545" t="str">
        <f>IF(COUNTIF(Branches!$A$2:$A$11,F545)&gt;0,"Valid","Invalid")</f>
        <v>Valid</v>
      </c>
    </row>
    <row r="546" spans="1:18" x14ac:dyDescent="0.25">
      <c r="A546" t="s">
        <v>2617</v>
      </c>
      <c r="B546" t="s">
        <v>106</v>
      </c>
      <c r="C546" s="8">
        <v>46056</v>
      </c>
      <c r="D546" t="s">
        <v>2058</v>
      </c>
      <c r="E546" t="s">
        <v>2063</v>
      </c>
      <c r="F546" t="s">
        <v>11</v>
      </c>
      <c r="G546">
        <v>3242.63</v>
      </c>
      <c r="H546" t="s">
        <v>2115</v>
      </c>
      <c r="I546" t="str">
        <f>VLOOKUP(B546,Customers!A:G,7,FALSE)</f>
        <v>SME</v>
      </c>
      <c r="Q546" t="str">
        <f>IF(COUNTIF(Customers!$A$2:$A$1001,B546)&gt;0,"Valid","Invalid")</f>
        <v>Valid</v>
      </c>
      <c r="R546" t="str">
        <f>IF(COUNTIF(Branches!$A$2:$A$11,F546)&gt;0,"Valid","Invalid")</f>
        <v>Valid</v>
      </c>
    </row>
    <row r="547" spans="1:18" x14ac:dyDescent="0.25">
      <c r="A547" t="s">
        <v>2618</v>
      </c>
      <c r="B547" t="s">
        <v>918</v>
      </c>
      <c r="C547" s="8">
        <v>46241</v>
      </c>
      <c r="D547" t="s">
        <v>2065</v>
      </c>
      <c r="E547" t="s">
        <v>2068</v>
      </c>
      <c r="F547" t="s">
        <v>39</v>
      </c>
      <c r="G547">
        <v>1097.94</v>
      </c>
      <c r="H547" t="s">
        <v>2060</v>
      </c>
      <c r="I547" t="str">
        <f>VLOOKUP(B547,Customers!A:G,7,FALSE)</f>
        <v>SME</v>
      </c>
      <c r="Q547" t="str">
        <f>IF(COUNTIF(Customers!$A$2:$A$1001,B547)&gt;0,"Valid","Invalid")</f>
        <v>Valid</v>
      </c>
      <c r="R547" t="str">
        <f>IF(COUNTIF(Branches!$A$2:$A$11,F547)&gt;0,"Valid","Invalid")</f>
        <v>Valid</v>
      </c>
    </row>
    <row r="548" spans="1:18" x14ac:dyDescent="0.25">
      <c r="A548" t="s">
        <v>2619</v>
      </c>
      <c r="B548" t="s">
        <v>253</v>
      </c>
      <c r="C548" s="8">
        <v>46107</v>
      </c>
      <c r="D548" t="s">
        <v>2058</v>
      </c>
      <c r="E548" t="s">
        <v>2063</v>
      </c>
      <c r="F548" t="s">
        <v>35</v>
      </c>
      <c r="G548">
        <v>928.36</v>
      </c>
      <c r="H548" t="s">
        <v>2060</v>
      </c>
      <c r="I548" t="str">
        <f>VLOOKUP(B548,Customers!A:G,7,FALSE)</f>
        <v>SME</v>
      </c>
      <c r="Q548" t="str">
        <f>IF(COUNTIF(Customers!$A$2:$A$1001,B548)&gt;0,"Valid","Invalid")</f>
        <v>Valid</v>
      </c>
      <c r="R548" t="str">
        <f>IF(COUNTIF(Branches!$A$2:$A$11,F548)&gt;0,"Valid","Invalid")</f>
        <v>Valid</v>
      </c>
    </row>
    <row r="549" spans="1:18" x14ac:dyDescent="0.25">
      <c r="A549" t="s">
        <v>2620</v>
      </c>
      <c r="B549" t="s">
        <v>140</v>
      </c>
      <c r="C549" s="8">
        <v>46110</v>
      </c>
      <c r="D549" t="s">
        <v>2070</v>
      </c>
      <c r="E549" t="s">
        <v>2063</v>
      </c>
      <c r="F549" t="s">
        <v>29</v>
      </c>
      <c r="G549">
        <v>244.6</v>
      </c>
      <c r="H549" t="s">
        <v>2060</v>
      </c>
      <c r="I549" t="str">
        <f>VLOOKUP(B549,Customers!A:G,7,FALSE)</f>
        <v>Individual</v>
      </c>
      <c r="Q549" t="str">
        <f>IF(COUNTIF(Customers!$A$2:$A$1001,B549)&gt;0,"Valid","Invalid")</f>
        <v>Valid</v>
      </c>
      <c r="R549" t="str">
        <f>IF(COUNTIF(Branches!$A$2:$A$11,F549)&gt;0,"Valid","Invalid")</f>
        <v>Valid</v>
      </c>
    </row>
    <row r="550" spans="1:18" x14ac:dyDescent="0.25">
      <c r="A550" t="s">
        <v>2621</v>
      </c>
      <c r="B550" t="s">
        <v>765</v>
      </c>
      <c r="C550" s="8">
        <v>46229</v>
      </c>
      <c r="D550" t="s">
        <v>2062</v>
      </c>
      <c r="E550" t="s">
        <v>2073</v>
      </c>
      <c r="F550" t="s">
        <v>27</v>
      </c>
      <c r="G550">
        <v>1572.18</v>
      </c>
      <c r="H550" t="s">
        <v>2060</v>
      </c>
      <c r="I550" t="str">
        <f>VLOOKUP(B550,Customers!A:G,7,FALSE)</f>
        <v>Student</v>
      </c>
      <c r="Q550" t="str">
        <f>IF(COUNTIF(Customers!$A$2:$A$1001,B550)&gt;0,"Valid","Invalid")</f>
        <v>Valid</v>
      </c>
      <c r="R550" t="str">
        <f>IF(COUNTIF(Branches!$A$2:$A$11,F550)&gt;0,"Valid","Invalid")</f>
        <v>Valid</v>
      </c>
    </row>
    <row r="551" spans="1:18" x14ac:dyDescent="0.25">
      <c r="A551" t="s">
        <v>2622</v>
      </c>
      <c r="B551" t="s">
        <v>90</v>
      </c>
      <c r="C551" s="8">
        <v>46249</v>
      </c>
      <c r="D551" t="s">
        <v>2065</v>
      </c>
      <c r="E551" t="s">
        <v>2068</v>
      </c>
      <c r="F551" t="s">
        <v>11</v>
      </c>
      <c r="G551">
        <v>496.06</v>
      </c>
      <c r="H551" t="s">
        <v>2060</v>
      </c>
      <c r="I551" t="str">
        <f>VLOOKUP(B551,Customers!A:G,7,FALSE)</f>
        <v>SME</v>
      </c>
      <c r="Q551" t="str">
        <f>IF(COUNTIF(Customers!$A$2:$A$1001,B551)&gt;0,"Valid","Invalid")</f>
        <v>Valid</v>
      </c>
      <c r="R551" t="str">
        <f>IF(COUNTIF(Branches!$A$2:$A$11,F551)&gt;0,"Valid","Invalid")</f>
        <v>Valid</v>
      </c>
    </row>
    <row r="552" spans="1:18" x14ac:dyDescent="0.25">
      <c r="A552" t="s">
        <v>2623</v>
      </c>
      <c r="B552" t="s">
        <v>844</v>
      </c>
      <c r="C552" s="8">
        <v>46214</v>
      </c>
      <c r="D552" t="s">
        <v>2070</v>
      </c>
      <c r="E552" t="s">
        <v>2059</v>
      </c>
      <c r="F552" t="s">
        <v>39</v>
      </c>
      <c r="G552">
        <v>519.16</v>
      </c>
      <c r="H552" t="s">
        <v>2060</v>
      </c>
      <c r="I552" t="str">
        <f>VLOOKUP(B552,Customers!A:G,7,FALSE)</f>
        <v>Individual</v>
      </c>
      <c r="Q552" t="str">
        <f>IF(COUNTIF(Customers!$A$2:$A$1001,B552)&gt;0,"Valid","Invalid")</f>
        <v>Valid</v>
      </c>
      <c r="R552" t="str">
        <f>IF(COUNTIF(Branches!$A$2:$A$11,F552)&gt;0,"Valid","Invalid")</f>
        <v>Valid</v>
      </c>
    </row>
    <row r="553" spans="1:18" x14ac:dyDescent="0.25">
      <c r="A553" t="s">
        <v>2624</v>
      </c>
      <c r="B553" t="s">
        <v>368</v>
      </c>
      <c r="C553" s="8">
        <v>46175</v>
      </c>
      <c r="D553" t="s">
        <v>2058</v>
      </c>
      <c r="E553" t="s">
        <v>2068</v>
      </c>
      <c r="F553" t="s">
        <v>27</v>
      </c>
      <c r="G553">
        <v>497.43</v>
      </c>
      <c r="H553" t="s">
        <v>2060</v>
      </c>
      <c r="I553" t="str">
        <f>VLOOKUP(B553,Customers!A:G,7,FALSE)</f>
        <v>Individual</v>
      </c>
      <c r="Q553" t="str">
        <f>IF(COUNTIF(Customers!$A$2:$A$1001,B553)&gt;0,"Valid","Invalid")</f>
        <v>Valid</v>
      </c>
      <c r="R553" t="str">
        <f>IF(COUNTIF(Branches!$A$2:$A$11,F553)&gt;0,"Valid","Invalid")</f>
        <v>Valid</v>
      </c>
    </row>
    <row r="554" spans="1:18" x14ac:dyDescent="0.25">
      <c r="A554" t="s">
        <v>2625</v>
      </c>
      <c r="B554" t="s">
        <v>886</v>
      </c>
      <c r="C554" s="8">
        <v>46077</v>
      </c>
      <c r="D554" t="s">
        <v>2065</v>
      </c>
      <c r="E554" t="s">
        <v>2073</v>
      </c>
      <c r="F554" t="s">
        <v>35</v>
      </c>
      <c r="G554">
        <v>1260.21</v>
      </c>
      <c r="H554" t="s">
        <v>2060</v>
      </c>
      <c r="I554" t="str">
        <f>VLOOKUP(B554,Customers!A:G,7,FALSE)</f>
        <v>SME</v>
      </c>
      <c r="Q554" t="str">
        <f>IF(COUNTIF(Customers!$A$2:$A$1001,B554)&gt;0,"Valid","Invalid")</f>
        <v>Valid</v>
      </c>
      <c r="R554" t="str">
        <f>IF(COUNTIF(Branches!$A$2:$A$11,F554)&gt;0,"Valid","Invalid")</f>
        <v>Valid</v>
      </c>
    </row>
    <row r="555" spans="1:18" x14ac:dyDescent="0.25">
      <c r="A555" t="s">
        <v>2626</v>
      </c>
      <c r="B555" t="s">
        <v>240</v>
      </c>
      <c r="C555" s="8">
        <v>46159</v>
      </c>
      <c r="D555" t="s">
        <v>2065</v>
      </c>
      <c r="E555" t="s">
        <v>2076</v>
      </c>
      <c r="F555" t="s">
        <v>29</v>
      </c>
      <c r="G555">
        <v>174.97</v>
      </c>
      <c r="H555" t="s">
        <v>2060</v>
      </c>
      <c r="I555" t="str">
        <f>VLOOKUP(B555,Customers!A:G,7,FALSE)</f>
        <v>Student</v>
      </c>
      <c r="Q555" t="str">
        <f>IF(COUNTIF(Customers!$A$2:$A$1001,B555)&gt;0,"Valid","Invalid")</f>
        <v>Valid</v>
      </c>
      <c r="R555" t="str">
        <f>IF(COUNTIF(Branches!$A$2:$A$11,F555)&gt;0,"Valid","Invalid")</f>
        <v>Valid</v>
      </c>
    </row>
    <row r="556" spans="1:18" x14ac:dyDescent="0.25">
      <c r="A556" t="s">
        <v>2627</v>
      </c>
      <c r="B556" t="s">
        <v>326</v>
      </c>
      <c r="C556" s="8">
        <v>46039</v>
      </c>
      <c r="D556" t="s">
        <v>2065</v>
      </c>
      <c r="E556" t="s">
        <v>2076</v>
      </c>
      <c r="F556" t="s">
        <v>53</v>
      </c>
      <c r="G556">
        <v>657.97</v>
      </c>
      <c r="H556" t="s">
        <v>2060</v>
      </c>
      <c r="I556" t="str">
        <f>VLOOKUP(B556,Customers!A:G,7,FALSE)</f>
        <v>Student</v>
      </c>
      <c r="Q556" t="str">
        <f>IF(COUNTIF(Customers!$A$2:$A$1001,B556)&gt;0,"Valid","Invalid")</f>
        <v>Valid</v>
      </c>
      <c r="R556" t="str">
        <f>IF(COUNTIF(Branches!$A$2:$A$11,F556)&gt;0,"Valid","Invalid")</f>
        <v>Valid</v>
      </c>
    </row>
    <row r="557" spans="1:18" x14ac:dyDescent="0.25">
      <c r="A557" t="s">
        <v>2628</v>
      </c>
      <c r="B557" t="s">
        <v>80</v>
      </c>
      <c r="C557" s="8">
        <v>46171</v>
      </c>
      <c r="D557" t="s">
        <v>2062</v>
      </c>
      <c r="E557" t="s">
        <v>2068</v>
      </c>
      <c r="F557" t="s">
        <v>47</v>
      </c>
      <c r="G557">
        <v>2165.2199999999998</v>
      </c>
      <c r="H557" t="s">
        <v>2060</v>
      </c>
      <c r="I557" t="str">
        <f>VLOOKUP(B557,Customers!A:G,7,FALSE)</f>
        <v>Individual</v>
      </c>
      <c r="Q557" t="str">
        <f>IF(COUNTIF(Customers!$A$2:$A$1001,B557)&gt;0,"Valid","Invalid")</f>
        <v>Valid</v>
      </c>
      <c r="R557" t="str">
        <f>IF(COUNTIF(Branches!$A$2:$A$11,F557)&gt;0,"Valid","Invalid")</f>
        <v>Valid</v>
      </c>
    </row>
    <row r="558" spans="1:18" x14ac:dyDescent="0.25">
      <c r="A558" t="s">
        <v>2629</v>
      </c>
      <c r="B558" t="s">
        <v>867</v>
      </c>
      <c r="C558" s="8">
        <v>46210</v>
      </c>
      <c r="D558" t="s">
        <v>2065</v>
      </c>
      <c r="E558" t="s">
        <v>2063</v>
      </c>
      <c r="F558" t="s">
        <v>27</v>
      </c>
      <c r="G558">
        <v>233.77</v>
      </c>
      <c r="H558" t="s">
        <v>2060</v>
      </c>
      <c r="I558" t="str">
        <f>VLOOKUP(B558,Customers!A:G,7,FALSE)</f>
        <v>Individual</v>
      </c>
      <c r="Q558" t="str">
        <f>IF(COUNTIF(Customers!$A$2:$A$1001,B558)&gt;0,"Valid","Invalid")</f>
        <v>Valid</v>
      </c>
      <c r="R558" t="str">
        <f>IF(COUNTIF(Branches!$A$2:$A$11,F558)&gt;0,"Valid","Invalid")</f>
        <v>Valid</v>
      </c>
    </row>
    <row r="559" spans="1:18" x14ac:dyDescent="0.25">
      <c r="A559" t="s">
        <v>2630</v>
      </c>
      <c r="B559" t="s">
        <v>235</v>
      </c>
      <c r="C559" s="8">
        <v>46163</v>
      </c>
      <c r="D559" t="s">
        <v>2065</v>
      </c>
      <c r="E559" t="s">
        <v>2063</v>
      </c>
      <c r="F559" t="s">
        <v>35</v>
      </c>
      <c r="G559">
        <v>965.72</v>
      </c>
      <c r="H559" t="s">
        <v>2060</v>
      </c>
      <c r="I559" t="str">
        <f>VLOOKUP(B559,Customers!A:G,7,FALSE)</f>
        <v>Individual</v>
      </c>
      <c r="Q559" t="str">
        <f>IF(COUNTIF(Customers!$A$2:$A$1001,B559)&gt;0,"Valid","Invalid")</f>
        <v>Valid</v>
      </c>
      <c r="R559" t="str">
        <f>IF(COUNTIF(Branches!$A$2:$A$11,F559)&gt;0,"Valid","Invalid")</f>
        <v>Valid</v>
      </c>
    </row>
    <row r="560" spans="1:18" x14ac:dyDescent="0.25">
      <c r="A560" t="s">
        <v>2631</v>
      </c>
      <c r="B560" t="s">
        <v>253</v>
      </c>
      <c r="C560" s="8">
        <v>46153</v>
      </c>
      <c r="D560" t="s">
        <v>2062</v>
      </c>
      <c r="E560" t="s">
        <v>2068</v>
      </c>
      <c r="F560" t="s">
        <v>35</v>
      </c>
      <c r="G560">
        <v>432.08</v>
      </c>
      <c r="H560" t="s">
        <v>2060</v>
      </c>
      <c r="I560" t="str">
        <f>VLOOKUP(B560,Customers!A:G,7,FALSE)</f>
        <v>SME</v>
      </c>
      <c r="Q560" t="str">
        <f>IF(COUNTIF(Customers!$A$2:$A$1001,B560)&gt;0,"Valid","Invalid")</f>
        <v>Valid</v>
      </c>
      <c r="R560" t="str">
        <f>IF(COUNTIF(Branches!$A$2:$A$11,F560)&gt;0,"Valid","Invalid")</f>
        <v>Valid</v>
      </c>
    </row>
    <row r="561" spans="1:18" x14ac:dyDescent="0.25">
      <c r="A561" t="s">
        <v>2632</v>
      </c>
      <c r="B561" t="s">
        <v>519</v>
      </c>
      <c r="C561" s="8">
        <v>46218</v>
      </c>
      <c r="D561" t="s">
        <v>2058</v>
      </c>
      <c r="E561" t="s">
        <v>2059</v>
      </c>
      <c r="F561" t="s">
        <v>11</v>
      </c>
      <c r="G561">
        <v>542.55999999999995</v>
      </c>
      <c r="H561" t="s">
        <v>2060</v>
      </c>
      <c r="I561" t="str">
        <f>VLOOKUP(B561,Customers!A:G,7,FALSE)</f>
        <v>SME</v>
      </c>
      <c r="Q561" t="str">
        <f>IF(COUNTIF(Customers!$A$2:$A$1001,B561)&gt;0,"Valid","Invalid")</f>
        <v>Valid</v>
      </c>
      <c r="R561" t="str">
        <f>IF(COUNTIF(Branches!$A$2:$A$11,F561)&gt;0,"Valid","Invalid")</f>
        <v>Valid</v>
      </c>
    </row>
    <row r="562" spans="1:18" x14ac:dyDescent="0.25">
      <c r="A562" t="s">
        <v>2633</v>
      </c>
      <c r="B562" t="s">
        <v>347</v>
      </c>
      <c r="C562" s="8">
        <v>46026</v>
      </c>
      <c r="D562" t="s">
        <v>2062</v>
      </c>
      <c r="E562" t="s">
        <v>2063</v>
      </c>
      <c r="F562" t="s">
        <v>45</v>
      </c>
      <c r="G562">
        <v>4252.03</v>
      </c>
      <c r="H562" t="s">
        <v>2060</v>
      </c>
      <c r="I562" t="str">
        <f>VLOOKUP(B562,Customers!A:G,7,FALSE)</f>
        <v>Individual</v>
      </c>
      <c r="Q562" t="str">
        <f>IF(COUNTIF(Customers!$A$2:$A$1001,B562)&gt;0,"Valid","Invalid")</f>
        <v>Valid</v>
      </c>
      <c r="R562" t="str">
        <f>IF(COUNTIF(Branches!$A$2:$A$11,F562)&gt;0,"Valid","Invalid")</f>
        <v>Valid</v>
      </c>
    </row>
    <row r="563" spans="1:18" x14ac:dyDescent="0.25">
      <c r="A563" t="s">
        <v>2634</v>
      </c>
      <c r="B563" t="s">
        <v>934</v>
      </c>
      <c r="C563" s="8">
        <v>46257</v>
      </c>
      <c r="D563" t="s">
        <v>2062</v>
      </c>
      <c r="E563" t="s">
        <v>2063</v>
      </c>
      <c r="F563" t="s">
        <v>11</v>
      </c>
      <c r="G563">
        <v>155.94999999999999</v>
      </c>
      <c r="H563" t="s">
        <v>2060</v>
      </c>
      <c r="I563" t="str">
        <f>VLOOKUP(B563,Customers!A:G,7,FALSE)</f>
        <v>Individual</v>
      </c>
      <c r="Q563" t="str">
        <f>IF(COUNTIF(Customers!$A$2:$A$1001,B563)&gt;0,"Valid","Invalid")</f>
        <v>Valid</v>
      </c>
      <c r="R563" t="str">
        <f>IF(COUNTIF(Branches!$A$2:$A$11,F563)&gt;0,"Valid","Invalid")</f>
        <v>Valid</v>
      </c>
    </row>
    <row r="564" spans="1:18" x14ac:dyDescent="0.25">
      <c r="A564" t="s">
        <v>2635</v>
      </c>
      <c r="B564" t="s">
        <v>473</v>
      </c>
      <c r="C564" s="8">
        <v>46242</v>
      </c>
      <c r="D564" t="s">
        <v>2065</v>
      </c>
      <c r="E564" t="s">
        <v>2059</v>
      </c>
      <c r="F564" t="s">
        <v>29</v>
      </c>
      <c r="G564">
        <v>1746.96</v>
      </c>
      <c r="H564" t="s">
        <v>2060</v>
      </c>
      <c r="I564" t="str">
        <f>VLOOKUP(B564,Customers!A:G,7,FALSE)</f>
        <v>Individual</v>
      </c>
      <c r="Q564" t="str">
        <f>IF(COUNTIF(Customers!$A$2:$A$1001,B564)&gt;0,"Valid","Invalid")</f>
        <v>Valid</v>
      </c>
      <c r="R564" t="str">
        <f>IF(COUNTIF(Branches!$A$2:$A$11,F564)&gt;0,"Valid","Invalid")</f>
        <v>Valid</v>
      </c>
    </row>
    <row r="565" spans="1:18" x14ac:dyDescent="0.25">
      <c r="A565" t="s">
        <v>2636</v>
      </c>
      <c r="B565" t="s">
        <v>370</v>
      </c>
      <c r="C565" s="8">
        <v>46029</v>
      </c>
      <c r="D565" t="s">
        <v>2062</v>
      </c>
      <c r="E565" t="s">
        <v>2073</v>
      </c>
      <c r="F565" t="s">
        <v>35</v>
      </c>
      <c r="G565">
        <v>503.75</v>
      </c>
      <c r="H565" t="s">
        <v>2060</v>
      </c>
      <c r="I565" t="str">
        <f>VLOOKUP(B565,Customers!A:G,7,FALSE)</f>
        <v>SME</v>
      </c>
      <c r="Q565" t="str">
        <f>IF(COUNTIF(Customers!$A$2:$A$1001,B565)&gt;0,"Valid","Invalid")</f>
        <v>Valid</v>
      </c>
      <c r="R565" t="str">
        <f>IF(COUNTIF(Branches!$A$2:$A$11,F565)&gt;0,"Valid","Invalid")</f>
        <v>Valid</v>
      </c>
    </row>
    <row r="566" spans="1:18" x14ac:dyDescent="0.25">
      <c r="A566" t="s">
        <v>2637</v>
      </c>
      <c r="B566" t="s">
        <v>734</v>
      </c>
      <c r="C566" s="8">
        <v>46048</v>
      </c>
      <c r="D566" t="s">
        <v>2065</v>
      </c>
      <c r="E566" t="s">
        <v>2076</v>
      </c>
      <c r="F566" t="s">
        <v>29</v>
      </c>
      <c r="G566">
        <v>479.3</v>
      </c>
      <c r="H566" t="s">
        <v>2060</v>
      </c>
      <c r="I566" t="str">
        <f>VLOOKUP(B566,Customers!A:G,7,FALSE)</f>
        <v>Individual</v>
      </c>
      <c r="Q566" t="str">
        <f>IF(COUNTIF(Customers!$A$2:$A$1001,B566)&gt;0,"Valid","Invalid")</f>
        <v>Valid</v>
      </c>
      <c r="R566" t="str">
        <f>IF(COUNTIF(Branches!$A$2:$A$11,F566)&gt;0,"Valid","Invalid")</f>
        <v>Valid</v>
      </c>
    </row>
    <row r="567" spans="1:18" x14ac:dyDescent="0.25">
      <c r="A567" t="s">
        <v>2638</v>
      </c>
      <c r="B567" t="s">
        <v>61</v>
      </c>
      <c r="C567" s="8">
        <v>46225</v>
      </c>
      <c r="D567" t="s">
        <v>2058</v>
      </c>
      <c r="E567" t="s">
        <v>2059</v>
      </c>
      <c r="F567" t="s">
        <v>29</v>
      </c>
      <c r="G567">
        <v>267.32</v>
      </c>
      <c r="H567" t="s">
        <v>2060</v>
      </c>
      <c r="I567" t="str">
        <f>VLOOKUP(B567,Customers!A:G,7,FALSE)</f>
        <v>Student</v>
      </c>
      <c r="Q567" t="str">
        <f>IF(COUNTIF(Customers!$A$2:$A$1001,B567)&gt;0,"Valid","Invalid")</f>
        <v>Valid</v>
      </c>
      <c r="R567" t="str">
        <f>IF(COUNTIF(Branches!$A$2:$A$11,F567)&gt;0,"Valid","Invalid")</f>
        <v>Valid</v>
      </c>
    </row>
    <row r="568" spans="1:18" x14ac:dyDescent="0.25">
      <c r="A568" t="s">
        <v>2639</v>
      </c>
      <c r="B568" t="s">
        <v>202</v>
      </c>
      <c r="C568" s="8">
        <v>46046</v>
      </c>
      <c r="D568" t="s">
        <v>2058</v>
      </c>
      <c r="E568" t="s">
        <v>2073</v>
      </c>
      <c r="F568" t="s">
        <v>11</v>
      </c>
      <c r="G568">
        <v>1726.58</v>
      </c>
      <c r="H568" t="s">
        <v>2060</v>
      </c>
      <c r="I568" t="str">
        <f>VLOOKUP(B568,Customers!A:G,7,FALSE)</f>
        <v>Student</v>
      </c>
      <c r="Q568" t="str">
        <f>IF(COUNTIF(Customers!$A$2:$A$1001,B568)&gt;0,"Valid","Invalid")</f>
        <v>Valid</v>
      </c>
      <c r="R568" t="str">
        <f>IF(COUNTIF(Branches!$A$2:$A$11,F568)&gt;0,"Valid","Invalid")</f>
        <v>Valid</v>
      </c>
    </row>
    <row r="569" spans="1:18" x14ac:dyDescent="0.25">
      <c r="A569" t="s">
        <v>2640</v>
      </c>
      <c r="B569" t="s">
        <v>356</v>
      </c>
      <c r="C569" s="8">
        <v>46257</v>
      </c>
      <c r="D569" t="s">
        <v>2065</v>
      </c>
      <c r="E569" t="s">
        <v>2073</v>
      </c>
      <c r="F569" t="s">
        <v>11</v>
      </c>
      <c r="G569">
        <v>670.88</v>
      </c>
      <c r="H569" t="s">
        <v>2060</v>
      </c>
      <c r="I569" t="str">
        <f>VLOOKUP(B569,Customers!A:G,7,FALSE)</f>
        <v>Individual</v>
      </c>
      <c r="Q569" t="str">
        <f>IF(COUNTIF(Customers!$A$2:$A$1001,B569)&gt;0,"Valid","Invalid")</f>
        <v>Valid</v>
      </c>
      <c r="R569" t="str">
        <f>IF(COUNTIF(Branches!$A$2:$A$11,F569)&gt;0,"Valid","Invalid")</f>
        <v>Valid</v>
      </c>
    </row>
    <row r="570" spans="1:18" x14ac:dyDescent="0.25">
      <c r="A570" t="s">
        <v>2641</v>
      </c>
      <c r="B570" t="s">
        <v>312</v>
      </c>
      <c r="C570" s="8">
        <v>46032</v>
      </c>
      <c r="D570" t="s">
        <v>2070</v>
      </c>
      <c r="E570" t="s">
        <v>2059</v>
      </c>
      <c r="F570" t="s">
        <v>29</v>
      </c>
      <c r="G570">
        <v>591.29999999999995</v>
      </c>
      <c r="H570" t="s">
        <v>2060</v>
      </c>
      <c r="I570" t="str">
        <f>VLOOKUP(B570,Customers!A:G,7,FALSE)</f>
        <v>SME</v>
      </c>
      <c r="Q570" t="str">
        <f>IF(COUNTIF(Customers!$A$2:$A$1001,B570)&gt;0,"Valid","Invalid")</f>
        <v>Valid</v>
      </c>
      <c r="R570" t="str">
        <f>IF(COUNTIF(Branches!$A$2:$A$11,F570)&gt;0,"Valid","Invalid")</f>
        <v>Valid</v>
      </c>
    </row>
    <row r="571" spans="1:18" x14ac:dyDescent="0.25">
      <c r="A571" t="s">
        <v>2642</v>
      </c>
      <c r="B571" t="s">
        <v>421</v>
      </c>
      <c r="C571" s="8">
        <v>46251</v>
      </c>
      <c r="D571" t="s">
        <v>2058</v>
      </c>
      <c r="E571" t="s">
        <v>2073</v>
      </c>
      <c r="F571" t="s">
        <v>45</v>
      </c>
      <c r="G571">
        <v>906.72</v>
      </c>
      <c r="H571" t="s">
        <v>2115</v>
      </c>
      <c r="I571" t="str">
        <f>VLOOKUP(B571,Customers!A:G,7,FALSE)</f>
        <v>Individual</v>
      </c>
      <c r="Q571" t="str">
        <f>IF(COUNTIF(Customers!$A$2:$A$1001,B571)&gt;0,"Valid","Invalid")</f>
        <v>Valid</v>
      </c>
      <c r="R571" t="str">
        <f>IF(COUNTIF(Branches!$A$2:$A$11,F571)&gt;0,"Valid","Invalid")</f>
        <v>Valid</v>
      </c>
    </row>
    <row r="572" spans="1:18" x14ac:dyDescent="0.25">
      <c r="A572" t="s">
        <v>2643</v>
      </c>
      <c r="B572" t="s">
        <v>403</v>
      </c>
      <c r="C572" s="8">
        <v>46035</v>
      </c>
      <c r="D572" t="s">
        <v>2065</v>
      </c>
      <c r="E572" t="s">
        <v>2059</v>
      </c>
      <c r="F572" t="s">
        <v>11</v>
      </c>
      <c r="G572">
        <v>685.2</v>
      </c>
      <c r="H572" t="s">
        <v>2060</v>
      </c>
      <c r="I572" t="str">
        <f>VLOOKUP(B572,Customers!A:G,7,FALSE)</f>
        <v>SME</v>
      </c>
      <c r="Q572" t="str">
        <f>IF(COUNTIF(Customers!$A$2:$A$1001,B572)&gt;0,"Valid","Invalid")</f>
        <v>Valid</v>
      </c>
      <c r="R572" t="str">
        <f>IF(COUNTIF(Branches!$A$2:$A$11,F572)&gt;0,"Valid","Invalid")</f>
        <v>Valid</v>
      </c>
    </row>
    <row r="573" spans="1:18" x14ac:dyDescent="0.25">
      <c r="A573" t="s">
        <v>2644</v>
      </c>
      <c r="B573" t="s">
        <v>139</v>
      </c>
      <c r="C573" s="8">
        <v>46147</v>
      </c>
      <c r="D573" t="s">
        <v>2070</v>
      </c>
      <c r="E573" t="s">
        <v>2063</v>
      </c>
      <c r="F573" t="s">
        <v>53</v>
      </c>
      <c r="G573">
        <v>109.87</v>
      </c>
      <c r="H573" t="s">
        <v>2060</v>
      </c>
      <c r="I573" t="str">
        <f>VLOOKUP(B573,Customers!A:G,7,FALSE)</f>
        <v>SME</v>
      </c>
      <c r="Q573" t="str">
        <f>IF(COUNTIF(Customers!$A$2:$A$1001,B573)&gt;0,"Valid","Invalid")</f>
        <v>Valid</v>
      </c>
      <c r="R573" t="str">
        <f>IF(COUNTIF(Branches!$A$2:$A$11,F573)&gt;0,"Valid","Invalid")</f>
        <v>Valid</v>
      </c>
    </row>
    <row r="574" spans="1:18" x14ac:dyDescent="0.25">
      <c r="A574" t="s">
        <v>2645</v>
      </c>
      <c r="B574" t="s">
        <v>998</v>
      </c>
      <c r="C574" s="8">
        <v>46194</v>
      </c>
      <c r="D574" t="s">
        <v>2058</v>
      </c>
      <c r="E574" t="s">
        <v>2063</v>
      </c>
      <c r="F574" t="s">
        <v>47</v>
      </c>
      <c r="G574">
        <v>497.29</v>
      </c>
      <c r="H574" t="s">
        <v>2060</v>
      </c>
      <c r="I574" t="str">
        <f>VLOOKUP(B574,Customers!A:G,7,FALSE)</f>
        <v>Individual</v>
      </c>
      <c r="Q574" t="str">
        <f>IF(COUNTIF(Customers!$A$2:$A$1001,B574)&gt;0,"Valid","Invalid")</f>
        <v>Valid</v>
      </c>
      <c r="R574" t="str">
        <f>IF(COUNTIF(Branches!$A$2:$A$11,F574)&gt;0,"Valid","Invalid")</f>
        <v>Valid</v>
      </c>
    </row>
    <row r="575" spans="1:18" x14ac:dyDescent="0.25">
      <c r="A575" t="s">
        <v>2646</v>
      </c>
      <c r="B575" t="s">
        <v>541</v>
      </c>
      <c r="C575" s="8">
        <v>46256</v>
      </c>
      <c r="D575" t="s">
        <v>2058</v>
      </c>
      <c r="E575" t="s">
        <v>2076</v>
      </c>
      <c r="F575" t="s">
        <v>27</v>
      </c>
      <c r="G575">
        <v>1989.11</v>
      </c>
      <c r="H575" t="s">
        <v>2115</v>
      </c>
      <c r="I575" t="str">
        <f>VLOOKUP(B575,Customers!A:G,7,FALSE)</f>
        <v>Individual</v>
      </c>
      <c r="Q575" t="str">
        <f>IF(COUNTIF(Customers!$A$2:$A$1001,B575)&gt;0,"Valid","Invalid")</f>
        <v>Valid</v>
      </c>
      <c r="R575" t="str">
        <f>IF(COUNTIF(Branches!$A$2:$A$11,F575)&gt;0,"Valid","Invalid")</f>
        <v>Valid</v>
      </c>
    </row>
    <row r="576" spans="1:18" x14ac:dyDescent="0.25">
      <c r="A576" t="s">
        <v>2647</v>
      </c>
      <c r="B576" t="s">
        <v>883</v>
      </c>
      <c r="C576" s="8">
        <v>46061</v>
      </c>
      <c r="D576" t="s">
        <v>2058</v>
      </c>
      <c r="E576" t="s">
        <v>2059</v>
      </c>
      <c r="F576" t="s">
        <v>21</v>
      </c>
      <c r="G576">
        <v>180.08</v>
      </c>
      <c r="H576" t="s">
        <v>2060</v>
      </c>
      <c r="I576" t="str">
        <f>VLOOKUP(B576,Customers!A:G,7,FALSE)</f>
        <v>SME</v>
      </c>
      <c r="Q576" t="str">
        <f>IF(COUNTIF(Customers!$A$2:$A$1001,B576)&gt;0,"Valid","Invalid")</f>
        <v>Valid</v>
      </c>
      <c r="R576" t="str">
        <f>IF(COUNTIF(Branches!$A$2:$A$11,F576)&gt;0,"Valid","Invalid")</f>
        <v>Valid</v>
      </c>
    </row>
    <row r="577" spans="1:18" x14ac:dyDescent="0.25">
      <c r="A577" t="s">
        <v>2648</v>
      </c>
      <c r="B577" t="s">
        <v>411</v>
      </c>
      <c r="C577" s="8">
        <v>46169</v>
      </c>
      <c r="D577" t="s">
        <v>2062</v>
      </c>
      <c r="E577" t="s">
        <v>2076</v>
      </c>
      <c r="F577" t="s">
        <v>35</v>
      </c>
      <c r="G577">
        <v>273.16000000000003</v>
      </c>
      <c r="H577" t="s">
        <v>2060</v>
      </c>
      <c r="I577" t="str">
        <f>VLOOKUP(B577,Customers!A:G,7,FALSE)</f>
        <v>Student</v>
      </c>
      <c r="Q577" t="str">
        <f>IF(COUNTIF(Customers!$A$2:$A$1001,B577)&gt;0,"Valid","Invalid")</f>
        <v>Valid</v>
      </c>
      <c r="R577" t="str">
        <f>IF(COUNTIF(Branches!$A$2:$A$11,F577)&gt;0,"Valid","Invalid")</f>
        <v>Valid</v>
      </c>
    </row>
    <row r="578" spans="1:18" x14ac:dyDescent="0.25">
      <c r="A578" t="s">
        <v>2649</v>
      </c>
      <c r="B578" t="s">
        <v>654</v>
      </c>
      <c r="C578" s="8">
        <v>46201</v>
      </c>
      <c r="D578" t="s">
        <v>2065</v>
      </c>
      <c r="E578" t="s">
        <v>2076</v>
      </c>
      <c r="F578" t="s">
        <v>16</v>
      </c>
      <c r="G578">
        <v>530.17999999999995</v>
      </c>
      <c r="H578" t="s">
        <v>2060</v>
      </c>
      <c r="I578" t="str">
        <f>VLOOKUP(B578,Customers!A:G,7,FALSE)</f>
        <v>Individual</v>
      </c>
      <c r="Q578" t="str">
        <f>IF(COUNTIF(Customers!$A$2:$A$1001,B578)&gt;0,"Valid","Invalid")</f>
        <v>Valid</v>
      </c>
      <c r="R578" t="str">
        <f>IF(COUNTIF(Branches!$A$2:$A$11,F578)&gt;0,"Valid","Invalid")</f>
        <v>Valid</v>
      </c>
    </row>
    <row r="579" spans="1:18" x14ac:dyDescent="0.25">
      <c r="A579" t="s">
        <v>2650</v>
      </c>
      <c r="B579" t="s">
        <v>964</v>
      </c>
      <c r="C579" s="8">
        <v>46041</v>
      </c>
      <c r="D579" t="s">
        <v>2065</v>
      </c>
      <c r="E579" t="s">
        <v>2063</v>
      </c>
      <c r="F579" t="s">
        <v>53</v>
      </c>
      <c r="G579">
        <v>393.22</v>
      </c>
      <c r="H579" t="s">
        <v>2060</v>
      </c>
      <c r="I579" t="str">
        <f>VLOOKUP(B579,Customers!A:G,7,FALSE)</f>
        <v>Individual</v>
      </c>
      <c r="Q579" t="str">
        <f>IF(COUNTIF(Customers!$A$2:$A$1001,B579)&gt;0,"Valid","Invalid")</f>
        <v>Valid</v>
      </c>
      <c r="R579" t="str">
        <f>IF(COUNTIF(Branches!$A$2:$A$11,F579)&gt;0,"Valid","Invalid")</f>
        <v>Valid</v>
      </c>
    </row>
    <row r="580" spans="1:18" x14ac:dyDescent="0.25">
      <c r="A580" t="s">
        <v>2651</v>
      </c>
      <c r="B580" t="s">
        <v>283</v>
      </c>
      <c r="C580" s="8">
        <v>46098</v>
      </c>
      <c r="D580" t="s">
        <v>2067</v>
      </c>
      <c r="E580" t="s">
        <v>2063</v>
      </c>
      <c r="F580" t="s">
        <v>16</v>
      </c>
      <c r="G580">
        <v>790.06</v>
      </c>
      <c r="H580" t="s">
        <v>2060</v>
      </c>
      <c r="I580" t="str">
        <f>VLOOKUP(B580,Customers!A:G,7,FALSE)</f>
        <v>Individual</v>
      </c>
      <c r="Q580" t="str">
        <f>IF(COUNTIF(Customers!$A$2:$A$1001,B580)&gt;0,"Valid","Invalid")</f>
        <v>Valid</v>
      </c>
      <c r="R580" t="str">
        <f>IF(COUNTIF(Branches!$A$2:$A$11,F580)&gt;0,"Valid","Invalid")</f>
        <v>Valid</v>
      </c>
    </row>
    <row r="581" spans="1:18" x14ac:dyDescent="0.25">
      <c r="A581" t="s">
        <v>2652</v>
      </c>
      <c r="B581" t="s">
        <v>855</v>
      </c>
      <c r="C581" s="8">
        <v>46074</v>
      </c>
      <c r="D581" t="s">
        <v>2065</v>
      </c>
      <c r="E581" t="s">
        <v>2059</v>
      </c>
      <c r="F581" t="s">
        <v>11</v>
      </c>
      <c r="G581">
        <v>272.31</v>
      </c>
      <c r="H581" t="s">
        <v>2060</v>
      </c>
      <c r="I581" t="str">
        <f>VLOOKUP(B581,Customers!A:G,7,FALSE)</f>
        <v>SME</v>
      </c>
      <c r="Q581" t="str">
        <f>IF(COUNTIF(Customers!$A$2:$A$1001,B581)&gt;0,"Valid","Invalid")</f>
        <v>Valid</v>
      </c>
      <c r="R581" t="str">
        <f>IF(COUNTIF(Branches!$A$2:$A$11,F581)&gt;0,"Valid","Invalid")</f>
        <v>Valid</v>
      </c>
    </row>
    <row r="582" spans="1:18" x14ac:dyDescent="0.25">
      <c r="A582" t="s">
        <v>2653</v>
      </c>
      <c r="B582" t="s">
        <v>205</v>
      </c>
      <c r="C582" s="8">
        <v>46236</v>
      </c>
      <c r="D582" t="s">
        <v>2062</v>
      </c>
      <c r="E582" t="s">
        <v>2063</v>
      </c>
      <c r="F582" t="s">
        <v>29</v>
      </c>
      <c r="G582">
        <v>551.23</v>
      </c>
      <c r="H582" t="s">
        <v>2060</v>
      </c>
      <c r="I582" t="str">
        <f>VLOOKUP(B582,Customers!A:G,7,FALSE)</f>
        <v>SME</v>
      </c>
      <c r="Q582" t="str">
        <f>IF(COUNTIF(Customers!$A$2:$A$1001,B582)&gt;0,"Valid","Invalid")</f>
        <v>Valid</v>
      </c>
      <c r="R582" t="str">
        <f>IF(COUNTIF(Branches!$A$2:$A$11,F582)&gt;0,"Valid","Invalid")</f>
        <v>Valid</v>
      </c>
    </row>
    <row r="583" spans="1:18" x14ac:dyDescent="0.25">
      <c r="A583" t="s">
        <v>2654</v>
      </c>
      <c r="B583" t="s">
        <v>666</v>
      </c>
      <c r="C583" s="8">
        <v>46197</v>
      </c>
      <c r="D583" t="s">
        <v>2067</v>
      </c>
      <c r="E583" t="s">
        <v>2076</v>
      </c>
      <c r="F583" t="s">
        <v>21</v>
      </c>
      <c r="G583">
        <v>774.34</v>
      </c>
      <c r="H583" t="s">
        <v>2060</v>
      </c>
      <c r="I583" t="str">
        <f>VLOOKUP(B583,Customers!A:G,7,FALSE)</f>
        <v>SME</v>
      </c>
      <c r="Q583" t="str">
        <f>IF(COUNTIF(Customers!$A$2:$A$1001,B583)&gt;0,"Valid","Invalid")</f>
        <v>Valid</v>
      </c>
      <c r="R583" t="str">
        <f>IF(COUNTIF(Branches!$A$2:$A$11,F583)&gt;0,"Valid","Invalid")</f>
        <v>Valid</v>
      </c>
    </row>
    <row r="584" spans="1:18" x14ac:dyDescent="0.25">
      <c r="A584" t="s">
        <v>2655</v>
      </c>
      <c r="B584" t="s">
        <v>691</v>
      </c>
      <c r="C584" s="8">
        <v>46251</v>
      </c>
      <c r="D584" t="s">
        <v>2065</v>
      </c>
      <c r="E584" t="s">
        <v>2059</v>
      </c>
      <c r="F584" t="s">
        <v>47</v>
      </c>
      <c r="G584">
        <v>1554.55</v>
      </c>
      <c r="H584" t="s">
        <v>2060</v>
      </c>
      <c r="I584" t="str">
        <f>VLOOKUP(B584,Customers!A:G,7,FALSE)</f>
        <v>Individual</v>
      </c>
      <c r="Q584" t="str">
        <f>IF(COUNTIF(Customers!$A$2:$A$1001,B584)&gt;0,"Valid","Invalid")</f>
        <v>Valid</v>
      </c>
      <c r="R584" t="str">
        <f>IF(COUNTIF(Branches!$A$2:$A$11,F584)&gt;0,"Valid","Invalid")</f>
        <v>Valid</v>
      </c>
    </row>
    <row r="585" spans="1:18" x14ac:dyDescent="0.25">
      <c r="A585" t="s">
        <v>2656</v>
      </c>
      <c r="B585" t="s">
        <v>456</v>
      </c>
      <c r="C585" s="8">
        <v>46142</v>
      </c>
      <c r="D585" t="s">
        <v>2065</v>
      </c>
      <c r="E585" t="s">
        <v>2059</v>
      </c>
      <c r="F585" t="s">
        <v>29</v>
      </c>
      <c r="G585">
        <v>2820.84</v>
      </c>
      <c r="H585" t="s">
        <v>2060</v>
      </c>
      <c r="I585" t="str">
        <f>VLOOKUP(B585,Customers!A:G,7,FALSE)</f>
        <v>Individual</v>
      </c>
      <c r="Q585" t="str">
        <f>IF(COUNTIF(Customers!$A$2:$A$1001,B585)&gt;0,"Valid","Invalid")</f>
        <v>Valid</v>
      </c>
      <c r="R585" t="str">
        <f>IF(COUNTIF(Branches!$A$2:$A$11,F585)&gt;0,"Valid","Invalid")</f>
        <v>Valid</v>
      </c>
    </row>
    <row r="586" spans="1:18" x14ac:dyDescent="0.25">
      <c r="A586" t="s">
        <v>2657</v>
      </c>
      <c r="B586" t="s">
        <v>394</v>
      </c>
      <c r="C586" s="8">
        <v>46180</v>
      </c>
      <c r="D586" t="s">
        <v>2062</v>
      </c>
      <c r="E586" t="s">
        <v>2063</v>
      </c>
      <c r="F586" t="s">
        <v>35</v>
      </c>
      <c r="G586">
        <v>625.44000000000005</v>
      </c>
      <c r="H586" t="s">
        <v>2060</v>
      </c>
      <c r="I586" t="str">
        <f>VLOOKUP(B586,Customers!A:G,7,FALSE)</f>
        <v>Student</v>
      </c>
      <c r="Q586" t="str">
        <f>IF(COUNTIF(Customers!$A$2:$A$1001,B586)&gt;0,"Valid","Invalid")</f>
        <v>Valid</v>
      </c>
      <c r="R586" t="str">
        <f>IF(COUNTIF(Branches!$A$2:$A$11,F586)&gt;0,"Valid","Invalid")</f>
        <v>Valid</v>
      </c>
    </row>
    <row r="587" spans="1:18" x14ac:dyDescent="0.25">
      <c r="A587" t="s">
        <v>2658</v>
      </c>
      <c r="B587" t="s">
        <v>516</v>
      </c>
      <c r="C587" s="8">
        <v>46068</v>
      </c>
      <c r="D587" t="s">
        <v>2062</v>
      </c>
      <c r="E587" t="s">
        <v>2076</v>
      </c>
      <c r="F587" t="s">
        <v>45</v>
      </c>
      <c r="G587">
        <v>5367.19</v>
      </c>
      <c r="H587" t="s">
        <v>2060</v>
      </c>
      <c r="I587" t="str">
        <f>VLOOKUP(B587,Customers!A:G,7,FALSE)</f>
        <v>SME</v>
      </c>
      <c r="Q587" t="str">
        <f>IF(COUNTIF(Customers!$A$2:$A$1001,B587)&gt;0,"Valid","Invalid")</f>
        <v>Valid</v>
      </c>
      <c r="R587" t="str">
        <f>IF(COUNTIF(Branches!$A$2:$A$11,F587)&gt;0,"Valid","Invalid")</f>
        <v>Valid</v>
      </c>
    </row>
    <row r="588" spans="1:18" x14ac:dyDescent="0.25">
      <c r="A588" t="s">
        <v>2659</v>
      </c>
      <c r="B588" t="s">
        <v>161</v>
      </c>
      <c r="C588" s="8">
        <v>46226</v>
      </c>
      <c r="D588" t="s">
        <v>2067</v>
      </c>
      <c r="E588" t="s">
        <v>2068</v>
      </c>
      <c r="F588" t="s">
        <v>29</v>
      </c>
      <c r="G588">
        <v>675.93</v>
      </c>
      <c r="H588" t="s">
        <v>2060</v>
      </c>
      <c r="I588" t="str">
        <f>VLOOKUP(B588,Customers!A:G,7,FALSE)</f>
        <v>Student</v>
      </c>
      <c r="Q588" t="str">
        <f>IF(COUNTIF(Customers!$A$2:$A$1001,B588)&gt;0,"Valid","Invalid")</f>
        <v>Valid</v>
      </c>
      <c r="R588" t="str">
        <f>IF(COUNTIF(Branches!$A$2:$A$11,F588)&gt;0,"Valid","Invalid")</f>
        <v>Valid</v>
      </c>
    </row>
    <row r="589" spans="1:18" x14ac:dyDescent="0.25">
      <c r="A589" t="s">
        <v>2660</v>
      </c>
      <c r="B589" t="s">
        <v>575</v>
      </c>
      <c r="C589" s="8">
        <v>46243</v>
      </c>
      <c r="D589" t="s">
        <v>2058</v>
      </c>
      <c r="E589" t="s">
        <v>2073</v>
      </c>
      <c r="F589" t="s">
        <v>21</v>
      </c>
      <c r="G589">
        <v>1861.01</v>
      </c>
      <c r="H589" t="s">
        <v>2060</v>
      </c>
      <c r="I589" t="str">
        <f>VLOOKUP(B589,Customers!A:G,7,FALSE)</f>
        <v>SME</v>
      </c>
      <c r="Q589" t="str">
        <f>IF(COUNTIF(Customers!$A$2:$A$1001,B589)&gt;0,"Valid","Invalid")</f>
        <v>Valid</v>
      </c>
      <c r="R589" t="str">
        <f>IF(COUNTIF(Branches!$A$2:$A$11,F589)&gt;0,"Valid","Invalid")</f>
        <v>Valid</v>
      </c>
    </row>
    <row r="590" spans="1:18" x14ac:dyDescent="0.25">
      <c r="A590" t="s">
        <v>2661</v>
      </c>
      <c r="B590" t="s">
        <v>744</v>
      </c>
      <c r="C590" s="8">
        <v>46171</v>
      </c>
      <c r="D590" t="s">
        <v>2065</v>
      </c>
      <c r="E590" t="s">
        <v>2068</v>
      </c>
      <c r="F590" t="s">
        <v>45</v>
      </c>
      <c r="G590">
        <v>5605.52</v>
      </c>
      <c r="H590" t="s">
        <v>2060</v>
      </c>
      <c r="I590" t="str">
        <f>VLOOKUP(B590,Customers!A:G,7,FALSE)</f>
        <v>Individual</v>
      </c>
      <c r="Q590" t="str">
        <f>IF(COUNTIF(Customers!$A$2:$A$1001,B590)&gt;0,"Valid","Invalid")</f>
        <v>Valid</v>
      </c>
      <c r="R590" t="str">
        <f>IF(COUNTIF(Branches!$A$2:$A$11,F590)&gt;0,"Valid","Invalid")</f>
        <v>Valid</v>
      </c>
    </row>
    <row r="591" spans="1:18" x14ac:dyDescent="0.25">
      <c r="A591" t="s">
        <v>2662</v>
      </c>
      <c r="B591" t="s">
        <v>934</v>
      </c>
      <c r="C591" s="8">
        <v>46097</v>
      </c>
      <c r="D591" t="s">
        <v>2058</v>
      </c>
      <c r="E591" t="s">
        <v>2059</v>
      </c>
      <c r="F591" t="s">
        <v>35</v>
      </c>
      <c r="G591">
        <v>933.84</v>
      </c>
      <c r="H591" t="s">
        <v>2060</v>
      </c>
      <c r="I591" t="str">
        <f>VLOOKUP(B591,Customers!A:G,7,FALSE)</f>
        <v>Individual</v>
      </c>
      <c r="Q591" t="str">
        <f>IF(COUNTIF(Customers!$A$2:$A$1001,B591)&gt;0,"Valid","Invalid")</f>
        <v>Valid</v>
      </c>
      <c r="R591" t="str">
        <f>IF(COUNTIF(Branches!$A$2:$A$11,F591)&gt;0,"Valid","Invalid")</f>
        <v>Valid</v>
      </c>
    </row>
    <row r="592" spans="1:18" x14ac:dyDescent="0.25">
      <c r="A592" t="s">
        <v>2663</v>
      </c>
      <c r="B592" t="s">
        <v>650</v>
      </c>
      <c r="C592" s="8">
        <v>46146</v>
      </c>
      <c r="D592" t="s">
        <v>2065</v>
      </c>
      <c r="E592" t="s">
        <v>2063</v>
      </c>
      <c r="F592" t="s">
        <v>27</v>
      </c>
      <c r="G592">
        <v>205.71</v>
      </c>
      <c r="H592" t="s">
        <v>2060</v>
      </c>
      <c r="I592" t="str">
        <f>VLOOKUP(B592,Customers!A:G,7,FALSE)</f>
        <v>Student</v>
      </c>
      <c r="Q592" t="str">
        <f>IF(COUNTIF(Customers!$A$2:$A$1001,B592)&gt;0,"Valid","Invalid")</f>
        <v>Valid</v>
      </c>
      <c r="R592" t="str">
        <f>IF(COUNTIF(Branches!$A$2:$A$11,F592)&gt;0,"Valid","Invalid")</f>
        <v>Valid</v>
      </c>
    </row>
    <row r="593" spans="1:18" x14ac:dyDescent="0.25">
      <c r="A593" t="s">
        <v>2664</v>
      </c>
      <c r="B593" t="s">
        <v>440</v>
      </c>
      <c r="C593" s="8">
        <v>46251</v>
      </c>
      <c r="D593" t="s">
        <v>2058</v>
      </c>
      <c r="E593" t="s">
        <v>2076</v>
      </c>
      <c r="F593" t="s">
        <v>39</v>
      </c>
      <c r="G593">
        <v>889.72</v>
      </c>
      <c r="H593" t="s">
        <v>2060</v>
      </c>
      <c r="I593" t="str">
        <f>VLOOKUP(B593,Customers!A:G,7,FALSE)</f>
        <v>Individual</v>
      </c>
      <c r="Q593" t="str">
        <f>IF(COUNTIF(Customers!$A$2:$A$1001,B593)&gt;0,"Valid","Invalid")</f>
        <v>Valid</v>
      </c>
      <c r="R593" t="str">
        <f>IF(COUNTIF(Branches!$A$2:$A$11,F593)&gt;0,"Valid","Invalid")</f>
        <v>Valid</v>
      </c>
    </row>
    <row r="594" spans="1:18" x14ac:dyDescent="0.25">
      <c r="A594" t="s">
        <v>2665</v>
      </c>
      <c r="B594" t="s">
        <v>555</v>
      </c>
      <c r="C594" s="8">
        <v>46070</v>
      </c>
      <c r="D594" t="s">
        <v>2058</v>
      </c>
      <c r="E594" t="s">
        <v>2073</v>
      </c>
      <c r="F594" t="s">
        <v>21</v>
      </c>
      <c r="G594">
        <v>440.7</v>
      </c>
      <c r="H594" t="s">
        <v>2060</v>
      </c>
      <c r="I594" t="str">
        <f>VLOOKUP(B594,Customers!A:G,7,FALSE)</f>
        <v>SME</v>
      </c>
      <c r="Q594" t="str">
        <f>IF(COUNTIF(Customers!$A$2:$A$1001,B594)&gt;0,"Valid","Invalid")</f>
        <v>Valid</v>
      </c>
      <c r="R594" t="str">
        <f>IF(COUNTIF(Branches!$A$2:$A$11,F594)&gt;0,"Valid","Invalid")</f>
        <v>Valid</v>
      </c>
    </row>
    <row r="595" spans="1:18" x14ac:dyDescent="0.25">
      <c r="A595" t="s">
        <v>2666</v>
      </c>
      <c r="B595" t="s">
        <v>569</v>
      </c>
      <c r="C595" s="8">
        <v>46084</v>
      </c>
      <c r="D595" t="s">
        <v>2062</v>
      </c>
      <c r="E595" t="s">
        <v>2063</v>
      </c>
      <c r="F595" t="s">
        <v>39</v>
      </c>
      <c r="G595">
        <v>617.42999999999995</v>
      </c>
      <c r="H595" t="s">
        <v>2060</v>
      </c>
      <c r="I595" t="str">
        <f>VLOOKUP(B595,Customers!A:G,7,FALSE)</f>
        <v>Individual</v>
      </c>
      <c r="Q595" t="str">
        <f>IF(COUNTIF(Customers!$A$2:$A$1001,B595)&gt;0,"Valid","Invalid")</f>
        <v>Valid</v>
      </c>
      <c r="R595" t="str">
        <f>IF(COUNTIF(Branches!$A$2:$A$11,F595)&gt;0,"Valid","Invalid")</f>
        <v>Valid</v>
      </c>
    </row>
    <row r="596" spans="1:18" x14ac:dyDescent="0.25">
      <c r="A596" t="s">
        <v>2667</v>
      </c>
      <c r="B596" t="s">
        <v>720</v>
      </c>
      <c r="C596" s="8">
        <v>46080</v>
      </c>
      <c r="D596" t="s">
        <v>2067</v>
      </c>
      <c r="E596" t="s">
        <v>2063</v>
      </c>
      <c r="F596" t="s">
        <v>39</v>
      </c>
      <c r="G596">
        <v>5913.4</v>
      </c>
      <c r="H596" t="s">
        <v>2060</v>
      </c>
      <c r="I596" t="str">
        <f>VLOOKUP(B596,Customers!A:G,7,FALSE)</f>
        <v>Individual</v>
      </c>
      <c r="Q596" t="str">
        <f>IF(COUNTIF(Customers!$A$2:$A$1001,B596)&gt;0,"Valid","Invalid")</f>
        <v>Valid</v>
      </c>
      <c r="R596" t="str">
        <f>IF(COUNTIF(Branches!$A$2:$A$11,F596)&gt;0,"Valid","Invalid")</f>
        <v>Valid</v>
      </c>
    </row>
    <row r="597" spans="1:18" x14ac:dyDescent="0.25">
      <c r="A597" t="s">
        <v>2668</v>
      </c>
      <c r="B597" t="s">
        <v>824</v>
      </c>
      <c r="C597" s="8">
        <v>46040</v>
      </c>
      <c r="D597" t="s">
        <v>2062</v>
      </c>
      <c r="E597" t="s">
        <v>2063</v>
      </c>
      <c r="F597" t="s">
        <v>27</v>
      </c>
      <c r="G597">
        <v>239.18</v>
      </c>
      <c r="H597" t="s">
        <v>2060</v>
      </c>
      <c r="I597" t="str">
        <f>VLOOKUP(B597,Customers!A:G,7,FALSE)</f>
        <v>Individual</v>
      </c>
      <c r="Q597" t="str">
        <f>IF(COUNTIF(Customers!$A$2:$A$1001,B597)&gt;0,"Valid","Invalid")</f>
        <v>Valid</v>
      </c>
      <c r="R597" t="str">
        <f>IF(COUNTIF(Branches!$A$2:$A$11,F597)&gt;0,"Valid","Invalid")</f>
        <v>Valid</v>
      </c>
    </row>
    <row r="598" spans="1:18" x14ac:dyDescent="0.25">
      <c r="A598" t="s">
        <v>2669</v>
      </c>
      <c r="B598" t="s">
        <v>292</v>
      </c>
      <c r="C598" s="8">
        <v>46130</v>
      </c>
      <c r="D598" t="s">
        <v>2058</v>
      </c>
      <c r="E598" t="s">
        <v>2076</v>
      </c>
      <c r="F598" t="s">
        <v>53</v>
      </c>
      <c r="G598">
        <v>1097.1500000000001</v>
      </c>
      <c r="H598" t="s">
        <v>2060</v>
      </c>
      <c r="I598" t="str">
        <f>VLOOKUP(B598,Customers!A:G,7,FALSE)</f>
        <v>Student</v>
      </c>
      <c r="Q598" t="str">
        <f>IF(COUNTIF(Customers!$A$2:$A$1001,B598)&gt;0,"Valid","Invalid")</f>
        <v>Valid</v>
      </c>
      <c r="R598" t="str">
        <f>IF(COUNTIF(Branches!$A$2:$A$11,F598)&gt;0,"Valid","Invalid")</f>
        <v>Valid</v>
      </c>
    </row>
    <row r="599" spans="1:18" x14ac:dyDescent="0.25">
      <c r="A599" t="s">
        <v>2670</v>
      </c>
      <c r="B599" t="s">
        <v>157</v>
      </c>
      <c r="C599" s="8">
        <v>46209</v>
      </c>
      <c r="D599" t="s">
        <v>2070</v>
      </c>
      <c r="E599" t="s">
        <v>2059</v>
      </c>
      <c r="F599" t="s">
        <v>16</v>
      </c>
      <c r="G599">
        <v>337.74</v>
      </c>
      <c r="H599" t="s">
        <v>2060</v>
      </c>
      <c r="I599" t="str">
        <f>VLOOKUP(B599,Customers!A:G,7,FALSE)</f>
        <v>SME</v>
      </c>
      <c r="Q599" t="str">
        <f>IF(COUNTIF(Customers!$A$2:$A$1001,B599)&gt;0,"Valid","Invalid")</f>
        <v>Valid</v>
      </c>
      <c r="R599" t="str">
        <f>IF(COUNTIF(Branches!$A$2:$A$11,F599)&gt;0,"Valid","Invalid")</f>
        <v>Valid</v>
      </c>
    </row>
    <row r="600" spans="1:18" x14ac:dyDescent="0.25">
      <c r="A600" t="s">
        <v>2671</v>
      </c>
      <c r="B600" t="s">
        <v>66</v>
      </c>
      <c r="C600" s="8">
        <v>46241</v>
      </c>
      <c r="D600" t="s">
        <v>2067</v>
      </c>
      <c r="E600" t="s">
        <v>2063</v>
      </c>
      <c r="F600" t="s">
        <v>11</v>
      </c>
      <c r="G600">
        <v>597.25</v>
      </c>
      <c r="H600" t="s">
        <v>2060</v>
      </c>
      <c r="I600" t="str">
        <f>VLOOKUP(B600,Customers!A:G,7,FALSE)</f>
        <v>Individual</v>
      </c>
      <c r="Q600" t="str">
        <f>IF(COUNTIF(Customers!$A$2:$A$1001,B600)&gt;0,"Valid","Invalid")</f>
        <v>Valid</v>
      </c>
      <c r="R600" t="str">
        <f>IF(COUNTIF(Branches!$A$2:$A$11,F600)&gt;0,"Valid","Invalid")</f>
        <v>Valid</v>
      </c>
    </row>
    <row r="601" spans="1:18" x14ac:dyDescent="0.25">
      <c r="A601" t="s">
        <v>2672</v>
      </c>
      <c r="B601" t="s">
        <v>699</v>
      </c>
      <c r="C601" s="8">
        <v>46251</v>
      </c>
      <c r="D601" t="s">
        <v>2067</v>
      </c>
      <c r="E601" t="s">
        <v>2068</v>
      </c>
      <c r="F601" t="s">
        <v>29</v>
      </c>
      <c r="G601">
        <v>1711.02</v>
      </c>
      <c r="H601" t="s">
        <v>2060</v>
      </c>
      <c r="I601" t="str">
        <f>VLOOKUP(B601,Customers!A:G,7,FALSE)</f>
        <v>SME</v>
      </c>
      <c r="Q601" t="str">
        <f>IF(COUNTIF(Customers!$A$2:$A$1001,B601)&gt;0,"Valid","Invalid")</f>
        <v>Valid</v>
      </c>
      <c r="R601" t="str">
        <f>IF(COUNTIF(Branches!$A$2:$A$11,F601)&gt;0,"Valid","Invalid")</f>
        <v>Valid</v>
      </c>
    </row>
    <row r="602" spans="1:18" x14ac:dyDescent="0.25">
      <c r="A602" t="s">
        <v>2673</v>
      </c>
      <c r="B602" t="s">
        <v>816</v>
      </c>
      <c r="C602" s="8">
        <v>46070</v>
      </c>
      <c r="D602" t="s">
        <v>2062</v>
      </c>
      <c r="E602" t="s">
        <v>2059</v>
      </c>
      <c r="F602" t="s">
        <v>21</v>
      </c>
      <c r="G602">
        <v>1116.73</v>
      </c>
      <c r="H602" t="s">
        <v>2060</v>
      </c>
      <c r="I602" t="str">
        <f>VLOOKUP(B602,Customers!A:G,7,FALSE)</f>
        <v>Individual</v>
      </c>
      <c r="Q602" t="str">
        <f>IF(COUNTIF(Customers!$A$2:$A$1001,B602)&gt;0,"Valid","Invalid")</f>
        <v>Valid</v>
      </c>
      <c r="R602" t="str">
        <f>IF(COUNTIF(Branches!$A$2:$A$11,F602)&gt;0,"Valid","Invalid")</f>
        <v>Valid</v>
      </c>
    </row>
    <row r="603" spans="1:18" x14ac:dyDescent="0.25">
      <c r="A603" t="s">
        <v>2674</v>
      </c>
      <c r="B603" t="s">
        <v>71</v>
      </c>
      <c r="C603" s="8">
        <v>46085</v>
      </c>
      <c r="D603" t="s">
        <v>2065</v>
      </c>
      <c r="E603" t="s">
        <v>2063</v>
      </c>
      <c r="F603" t="s">
        <v>47</v>
      </c>
      <c r="G603">
        <v>648.70000000000005</v>
      </c>
      <c r="H603" t="s">
        <v>2060</v>
      </c>
      <c r="I603" t="str">
        <f>VLOOKUP(B603,Customers!A:G,7,FALSE)</f>
        <v>Individual</v>
      </c>
      <c r="Q603" t="str">
        <f>IF(COUNTIF(Customers!$A$2:$A$1001,B603)&gt;0,"Valid","Invalid")</f>
        <v>Valid</v>
      </c>
      <c r="R603" t="str">
        <f>IF(COUNTIF(Branches!$A$2:$A$11,F603)&gt;0,"Valid","Invalid")</f>
        <v>Valid</v>
      </c>
    </row>
    <row r="604" spans="1:18" x14ac:dyDescent="0.25">
      <c r="A604" t="s">
        <v>2675</v>
      </c>
      <c r="B604" t="s">
        <v>727</v>
      </c>
      <c r="C604" s="8">
        <v>46034</v>
      </c>
      <c r="D604" t="s">
        <v>2065</v>
      </c>
      <c r="E604" t="s">
        <v>2059</v>
      </c>
      <c r="F604" t="s">
        <v>27</v>
      </c>
      <c r="G604">
        <v>424.2</v>
      </c>
      <c r="H604" t="s">
        <v>2060</v>
      </c>
      <c r="I604" t="str">
        <f>VLOOKUP(B604,Customers!A:G,7,FALSE)</f>
        <v>SME</v>
      </c>
      <c r="Q604" t="str">
        <f>IF(COUNTIF(Customers!$A$2:$A$1001,B604)&gt;0,"Valid","Invalid")</f>
        <v>Valid</v>
      </c>
      <c r="R604" t="str">
        <f>IF(COUNTIF(Branches!$A$2:$A$11,F604)&gt;0,"Valid","Invalid")</f>
        <v>Valid</v>
      </c>
    </row>
    <row r="605" spans="1:18" x14ac:dyDescent="0.25">
      <c r="A605" t="s">
        <v>2676</v>
      </c>
      <c r="B605" t="s">
        <v>380</v>
      </c>
      <c r="C605" s="8">
        <v>46237</v>
      </c>
      <c r="D605" t="s">
        <v>2065</v>
      </c>
      <c r="E605" t="s">
        <v>2063</v>
      </c>
      <c r="F605" t="s">
        <v>29</v>
      </c>
      <c r="G605">
        <v>1114.4100000000001</v>
      </c>
      <c r="H605" t="s">
        <v>2060</v>
      </c>
      <c r="I605" t="str">
        <f>VLOOKUP(B605,Customers!A:G,7,FALSE)</f>
        <v>Individual</v>
      </c>
      <c r="Q605" t="str">
        <f>IF(COUNTIF(Customers!$A$2:$A$1001,B605)&gt;0,"Valid","Invalid")</f>
        <v>Valid</v>
      </c>
      <c r="R605" t="str">
        <f>IF(COUNTIF(Branches!$A$2:$A$11,F605)&gt;0,"Valid","Invalid")</f>
        <v>Valid</v>
      </c>
    </row>
    <row r="606" spans="1:18" x14ac:dyDescent="0.25">
      <c r="A606" t="s">
        <v>2677</v>
      </c>
      <c r="B606" t="s">
        <v>42</v>
      </c>
      <c r="C606" s="8">
        <v>46056</v>
      </c>
      <c r="D606" t="s">
        <v>2062</v>
      </c>
      <c r="E606" t="s">
        <v>2059</v>
      </c>
      <c r="F606" t="s">
        <v>39</v>
      </c>
      <c r="G606">
        <v>4481.38</v>
      </c>
      <c r="H606" t="s">
        <v>2115</v>
      </c>
      <c r="I606" t="str">
        <f>VLOOKUP(B606,Customers!A:G,7,FALSE)</f>
        <v>Individual</v>
      </c>
      <c r="Q606" t="str">
        <f>IF(COUNTIF(Customers!$A$2:$A$1001,B606)&gt;0,"Valid","Invalid")</f>
        <v>Valid</v>
      </c>
      <c r="R606" t="str">
        <f>IF(COUNTIF(Branches!$A$2:$A$11,F606)&gt;0,"Valid","Invalid")</f>
        <v>Valid</v>
      </c>
    </row>
    <row r="607" spans="1:18" x14ac:dyDescent="0.25">
      <c r="A607" t="s">
        <v>2678</v>
      </c>
      <c r="B607" t="s">
        <v>220</v>
      </c>
      <c r="C607" s="8">
        <v>46211</v>
      </c>
      <c r="D607" t="s">
        <v>2065</v>
      </c>
      <c r="E607" t="s">
        <v>2063</v>
      </c>
      <c r="F607" t="s">
        <v>16</v>
      </c>
      <c r="G607">
        <v>329.85</v>
      </c>
      <c r="H607" t="s">
        <v>2060</v>
      </c>
      <c r="I607" t="str">
        <f>VLOOKUP(B607,Customers!A:G,7,FALSE)</f>
        <v>Individual</v>
      </c>
      <c r="Q607" t="str">
        <f>IF(COUNTIF(Customers!$A$2:$A$1001,B607)&gt;0,"Valid","Invalid")</f>
        <v>Valid</v>
      </c>
      <c r="R607" t="str">
        <f>IF(COUNTIF(Branches!$A$2:$A$11,F607)&gt;0,"Valid","Invalid")</f>
        <v>Valid</v>
      </c>
    </row>
    <row r="608" spans="1:18" x14ac:dyDescent="0.25">
      <c r="A608" t="s">
        <v>2679</v>
      </c>
      <c r="B608" t="s">
        <v>695</v>
      </c>
      <c r="C608" s="8">
        <v>46124</v>
      </c>
      <c r="D608" t="s">
        <v>2062</v>
      </c>
      <c r="E608" t="s">
        <v>2059</v>
      </c>
      <c r="F608" t="s">
        <v>21</v>
      </c>
      <c r="G608">
        <v>5495.38</v>
      </c>
      <c r="H608" t="s">
        <v>2060</v>
      </c>
      <c r="I608" t="str">
        <f>VLOOKUP(B608,Customers!A:G,7,FALSE)</f>
        <v>Individual</v>
      </c>
      <c r="Q608" t="str">
        <f>IF(COUNTIF(Customers!$A$2:$A$1001,B608)&gt;0,"Valid","Invalid")</f>
        <v>Valid</v>
      </c>
      <c r="R608" t="str">
        <f>IF(COUNTIF(Branches!$A$2:$A$11,F608)&gt;0,"Valid","Invalid")</f>
        <v>Valid</v>
      </c>
    </row>
    <row r="609" spans="1:18" x14ac:dyDescent="0.25">
      <c r="A609" t="s">
        <v>2680</v>
      </c>
      <c r="B609" t="s">
        <v>303</v>
      </c>
      <c r="C609" s="8">
        <v>46109</v>
      </c>
      <c r="D609" t="s">
        <v>2067</v>
      </c>
      <c r="E609" t="s">
        <v>2068</v>
      </c>
      <c r="F609" t="s">
        <v>47</v>
      </c>
      <c r="G609">
        <v>2695.93</v>
      </c>
      <c r="H609" t="s">
        <v>2115</v>
      </c>
      <c r="I609" t="str">
        <f>VLOOKUP(B609,Customers!A:G,7,FALSE)</f>
        <v>SME</v>
      </c>
      <c r="Q609" t="str">
        <f>IF(COUNTIF(Customers!$A$2:$A$1001,B609)&gt;0,"Valid","Invalid")</f>
        <v>Valid</v>
      </c>
      <c r="R609" t="str">
        <f>IF(COUNTIF(Branches!$A$2:$A$11,F609)&gt;0,"Valid","Invalid")</f>
        <v>Valid</v>
      </c>
    </row>
    <row r="610" spans="1:18" x14ac:dyDescent="0.25">
      <c r="A610" t="s">
        <v>2681</v>
      </c>
      <c r="B610" t="s">
        <v>124</v>
      </c>
      <c r="C610" s="8">
        <v>46203</v>
      </c>
      <c r="D610" t="s">
        <v>2065</v>
      </c>
      <c r="E610" t="s">
        <v>2076</v>
      </c>
      <c r="F610" t="s">
        <v>16</v>
      </c>
      <c r="G610">
        <v>3195.04</v>
      </c>
      <c r="H610" t="s">
        <v>2060</v>
      </c>
      <c r="I610" t="str">
        <f>VLOOKUP(B610,Customers!A:G,7,FALSE)</f>
        <v>Student</v>
      </c>
      <c r="Q610" t="str">
        <f>IF(COUNTIF(Customers!$A$2:$A$1001,B610)&gt;0,"Valid","Invalid")</f>
        <v>Valid</v>
      </c>
      <c r="R610" t="str">
        <f>IF(COUNTIF(Branches!$A$2:$A$11,F610)&gt;0,"Valid","Invalid")</f>
        <v>Valid</v>
      </c>
    </row>
    <row r="611" spans="1:18" x14ac:dyDescent="0.25">
      <c r="A611" t="s">
        <v>2682</v>
      </c>
      <c r="B611" t="s">
        <v>978</v>
      </c>
      <c r="C611" s="8">
        <v>46047</v>
      </c>
      <c r="D611" t="s">
        <v>2067</v>
      </c>
      <c r="E611" t="s">
        <v>2063</v>
      </c>
      <c r="F611" t="s">
        <v>11</v>
      </c>
      <c r="G611">
        <v>1105.92</v>
      </c>
      <c r="H611" t="s">
        <v>2060</v>
      </c>
      <c r="I611" t="str">
        <f>VLOOKUP(B611,Customers!A:G,7,FALSE)</f>
        <v>Individual</v>
      </c>
      <c r="Q611" t="str">
        <f>IF(COUNTIF(Customers!$A$2:$A$1001,B611)&gt;0,"Valid","Invalid")</f>
        <v>Valid</v>
      </c>
      <c r="R611" t="str">
        <f>IF(COUNTIF(Branches!$A$2:$A$11,F611)&gt;0,"Valid","Invalid")</f>
        <v>Valid</v>
      </c>
    </row>
    <row r="612" spans="1:18" x14ac:dyDescent="0.25">
      <c r="A612" t="s">
        <v>2683</v>
      </c>
      <c r="B612" t="s">
        <v>500</v>
      </c>
      <c r="C612" s="8">
        <v>46212</v>
      </c>
      <c r="D612" t="s">
        <v>2065</v>
      </c>
      <c r="E612" t="s">
        <v>2059</v>
      </c>
      <c r="F612" t="s">
        <v>53</v>
      </c>
      <c r="G612">
        <v>2620.52</v>
      </c>
      <c r="H612" t="s">
        <v>2060</v>
      </c>
      <c r="I612" t="str">
        <f>VLOOKUP(B612,Customers!A:G,7,FALSE)</f>
        <v>Student</v>
      </c>
      <c r="Q612" t="str">
        <f>IF(COUNTIF(Customers!$A$2:$A$1001,B612)&gt;0,"Valid","Invalid")</f>
        <v>Valid</v>
      </c>
      <c r="R612" t="str">
        <f>IF(COUNTIF(Branches!$A$2:$A$11,F612)&gt;0,"Valid","Invalid")</f>
        <v>Valid</v>
      </c>
    </row>
    <row r="613" spans="1:18" x14ac:dyDescent="0.25">
      <c r="A613" t="s">
        <v>2684</v>
      </c>
      <c r="B613" t="s">
        <v>81</v>
      </c>
      <c r="C613" s="8">
        <v>46154</v>
      </c>
      <c r="D613" t="s">
        <v>2058</v>
      </c>
      <c r="E613" t="s">
        <v>2068</v>
      </c>
      <c r="F613" t="s">
        <v>53</v>
      </c>
      <c r="G613">
        <v>296.24</v>
      </c>
      <c r="H613" t="s">
        <v>2060</v>
      </c>
      <c r="I613" t="str">
        <f>VLOOKUP(B613,Customers!A:G,7,FALSE)</f>
        <v>Individual</v>
      </c>
      <c r="Q613" t="str">
        <f>IF(COUNTIF(Customers!$A$2:$A$1001,B613)&gt;0,"Valid","Invalid")</f>
        <v>Valid</v>
      </c>
      <c r="R613" t="str">
        <f>IF(COUNTIF(Branches!$A$2:$A$11,F613)&gt;0,"Valid","Invalid")</f>
        <v>Valid</v>
      </c>
    </row>
    <row r="614" spans="1:18" x14ac:dyDescent="0.25">
      <c r="A614" t="s">
        <v>2685</v>
      </c>
      <c r="B614" t="s">
        <v>430</v>
      </c>
      <c r="C614" s="8">
        <v>46244</v>
      </c>
      <c r="D614" t="s">
        <v>2058</v>
      </c>
      <c r="E614" t="s">
        <v>2063</v>
      </c>
      <c r="F614" t="s">
        <v>16</v>
      </c>
      <c r="G614">
        <v>416.53</v>
      </c>
      <c r="H614" t="s">
        <v>2060</v>
      </c>
      <c r="I614" t="str">
        <f>VLOOKUP(B614,Customers!A:G,7,FALSE)</f>
        <v>Individual</v>
      </c>
      <c r="Q614" t="str">
        <f>IF(COUNTIF(Customers!$A$2:$A$1001,B614)&gt;0,"Valid","Invalid")</f>
        <v>Valid</v>
      </c>
      <c r="R614" t="str">
        <f>IF(COUNTIF(Branches!$A$2:$A$11,F614)&gt;0,"Valid","Invalid")</f>
        <v>Valid</v>
      </c>
    </row>
    <row r="615" spans="1:18" x14ac:dyDescent="0.25">
      <c r="A615" t="s">
        <v>2686</v>
      </c>
      <c r="B615" t="s">
        <v>155</v>
      </c>
      <c r="C615" s="8">
        <v>46244</v>
      </c>
      <c r="D615" t="s">
        <v>2058</v>
      </c>
      <c r="E615" t="s">
        <v>2063</v>
      </c>
      <c r="F615" t="s">
        <v>29</v>
      </c>
      <c r="G615">
        <v>1747.28</v>
      </c>
      <c r="H615" t="s">
        <v>2060</v>
      </c>
      <c r="I615" t="str">
        <f>VLOOKUP(B615,Customers!A:G,7,FALSE)</f>
        <v>Student</v>
      </c>
      <c r="Q615" t="str">
        <f>IF(COUNTIF(Customers!$A$2:$A$1001,B615)&gt;0,"Valid","Invalid")</f>
        <v>Valid</v>
      </c>
      <c r="R615" t="str">
        <f>IF(COUNTIF(Branches!$A$2:$A$11,F615)&gt;0,"Valid","Invalid")</f>
        <v>Valid</v>
      </c>
    </row>
    <row r="616" spans="1:18" x14ac:dyDescent="0.25">
      <c r="A616" t="s">
        <v>2687</v>
      </c>
      <c r="B616" t="s">
        <v>971</v>
      </c>
      <c r="C616" s="8">
        <v>46163</v>
      </c>
      <c r="D616" t="s">
        <v>2065</v>
      </c>
      <c r="E616" t="s">
        <v>2059</v>
      </c>
      <c r="F616" t="s">
        <v>39</v>
      </c>
      <c r="G616">
        <v>1092.0899999999999</v>
      </c>
      <c r="H616" t="s">
        <v>2060</v>
      </c>
      <c r="I616" t="str">
        <f>VLOOKUP(B616,Customers!A:G,7,FALSE)</f>
        <v>Individual</v>
      </c>
      <c r="Q616" t="str">
        <f>IF(COUNTIF(Customers!$A$2:$A$1001,B616)&gt;0,"Valid","Invalid")</f>
        <v>Valid</v>
      </c>
      <c r="R616" t="str">
        <f>IF(COUNTIF(Branches!$A$2:$A$11,F616)&gt;0,"Valid","Invalid")</f>
        <v>Valid</v>
      </c>
    </row>
    <row r="617" spans="1:18" x14ac:dyDescent="0.25">
      <c r="A617" t="s">
        <v>2688</v>
      </c>
      <c r="B617" t="s">
        <v>569</v>
      </c>
      <c r="C617" s="8">
        <v>46192</v>
      </c>
      <c r="D617" t="s">
        <v>2058</v>
      </c>
      <c r="E617" t="s">
        <v>2076</v>
      </c>
      <c r="F617" t="s">
        <v>11</v>
      </c>
      <c r="G617">
        <v>700.38</v>
      </c>
      <c r="H617" t="s">
        <v>2060</v>
      </c>
      <c r="I617" t="str">
        <f>VLOOKUP(B617,Customers!A:G,7,FALSE)</f>
        <v>Individual</v>
      </c>
      <c r="Q617" t="str">
        <f>IF(COUNTIF(Customers!$A$2:$A$1001,B617)&gt;0,"Valid","Invalid")</f>
        <v>Valid</v>
      </c>
      <c r="R617" t="str">
        <f>IF(COUNTIF(Branches!$A$2:$A$11,F617)&gt;0,"Valid","Invalid")</f>
        <v>Valid</v>
      </c>
    </row>
    <row r="618" spans="1:18" x14ac:dyDescent="0.25">
      <c r="A618" t="s">
        <v>2689</v>
      </c>
      <c r="B618" t="s">
        <v>485</v>
      </c>
      <c r="C618" s="8">
        <v>46071</v>
      </c>
      <c r="D618" t="s">
        <v>2062</v>
      </c>
      <c r="E618" t="s">
        <v>2063</v>
      </c>
      <c r="F618" t="s">
        <v>29</v>
      </c>
      <c r="G618">
        <v>66.510000000000005</v>
      </c>
      <c r="H618" t="s">
        <v>2060</v>
      </c>
      <c r="I618" t="str">
        <f>VLOOKUP(B618,Customers!A:G,7,FALSE)</f>
        <v>Student</v>
      </c>
      <c r="Q618" t="str">
        <f>IF(COUNTIF(Customers!$A$2:$A$1001,B618)&gt;0,"Valid","Invalid")</f>
        <v>Valid</v>
      </c>
      <c r="R618" t="str">
        <f>IF(COUNTIF(Branches!$A$2:$A$11,F618)&gt;0,"Valid","Invalid")</f>
        <v>Valid</v>
      </c>
    </row>
    <row r="619" spans="1:18" x14ac:dyDescent="0.25">
      <c r="A619" t="s">
        <v>2690</v>
      </c>
      <c r="B619" t="s">
        <v>770</v>
      </c>
      <c r="C619" s="8">
        <v>46100</v>
      </c>
      <c r="D619" t="s">
        <v>2062</v>
      </c>
      <c r="E619" t="s">
        <v>2076</v>
      </c>
      <c r="F619" t="s">
        <v>16</v>
      </c>
      <c r="G619">
        <v>525.59</v>
      </c>
      <c r="H619" t="s">
        <v>2060</v>
      </c>
      <c r="I619" t="str">
        <f>VLOOKUP(B619,Customers!A:G,7,FALSE)</f>
        <v>Individual</v>
      </c>
      <c r="Q619" t="str">
        <f>IF(COUNTIF(Customers!$A$2:$A$1001,B619)&gt;0,"Valid","Invalid")</f>
        <v>Valid</v>
      </c>
      <c r="R619" t="str">
        <f>IF(COUNTIF(Branches!$A$2:$A$11,F619)&gt;0,"Valid","Invalid")</f>
        <v>Valid</v>
      </c>
    </row>
    <row r="620" spans="1:18" x14ac:dyDescent="0.25">
      <c r="A620" t="s">
        <v>2691</v>
      </c>
      <c r="B620" t="s">
        <v>980</v>
      </c>
      <c r="C620" s="8">
        <v>46206</v>
      </c>
      <c r="D620" t="s">
        <v>2062</v>
      </c>
      <c r="E620" t="s">
        <v>2076</v>
      </c>
      <c r="F620" t="s">
        <v>27</v>
      </c>
      <c r="G620">
        <v>251.12</v>
      </c>
      <c r="H620" t="s">
        <v>2060</v>
      </c>
      <c r="I620" t="str">
        <f>VLOOKUP(B620,Customers!A:G,7,FALSE)</f>
        <v>Individual</v>
      </c>
      <c r="Q620" t="str">
        <f>IF(COUNTIF(Customers!$A$2:$A$1001,B620)&gt;0,"Valid","Invalid")</f>
        <v>Valid</v>
      </c>
      <c r="R620" t="str">
        <f>IF(COUNTIF(Branches!$A$2:$A$11,F620)&gt;0,"Valid","Invalid")</f>
        <v>Valid</v>
      </c>
    </row>
    <row r="621" spans="1:18" x14ac:dyDescent="0.25">
      <c r="A621" t="s">
        <v>2692</v>
      </c>
      <c r="B621" t="s">
        <v>783</v>
      </c>
      <c r="C621" s="8">
        <v>46197</v>
      </c>
      <c r="D621" t="s">
        <v>2065</v>
      </c>
      <c r="E621" t="s">
        <v>2073</v>
      </c>
      <c r="F621" t="s">
        <v>21</v>
      </c>
      <c r="G621">
        <v>1330.8</v>
      </c>
      <c r="H621" t="s">
        <v>2060</v>
      </c>
      <c r="I621" t="str">
        <f>VLOOKUP(B621,Customers!A:G,7,FALSE)</f>
        <v>SME</v>
      </c>
      <c r="Q621" t="str">
        <f>IF(COUNTIF(Customers!$A$2:$A$1001,B621)&gt;0,"Valid","Invalid")</f>
        <v>Valid</v>
      </c>
      <c r="R621" t="str">
        <f>IF(COUNTIF(Branches!$A$2:$A$11,F621)&gt;0,"Valid","Invalid")</f>
        <v>Valid</v>
      </c>
    </row>
    <row r="622" spans="1:18" x14ac:dyDescent="0.25">
      <c r="A622" t="s">
        <v>2693</v>
      </c>
      <c r="B622" t="s">
        <v>644</v>
      </c>
      <c r="C622" s="8">
        <v>46158</v>
      </c>
      <c r="D622" t="s">
        <v>2062</v>
      </c>
      <c r="E622" t="s">
        <v>2063</v>
      </c>
      <c r="F622" t="s">
        <v>47</v>
      </c>
      <c r="G622">
        <v>671.04</v>
      </c>
      <c r="H622" t="s">
        <v>2060</v>
      </c>
      <c r="I622" t="str">
        <f>VLOOKUP(B622,Customers!A:G,7,FALSE)</f>
        <v>Individual</v>
      </c>
      <c r="Q622" t="str">
        <f>IF(COUNTIF(Customers!$A$2:$A$1001,B622)&gt;0,"Valid","Invalid")</f>
        <v>Valid</v>
      </c>
      <c r="R622" t="str">
        <f>IF(COUNTIF(Branches!$A$2:$A$11,F622)&gt;0,"Valid","Invalid")</f>
        <v>Valid</v>
      </c>
    </row>
    <row r="623" spans="1:18" x14ac:dyDescent="0.25">
      <c r="A623" t="s">
        <v>2694</v>
      </c>
      <c r="B623" t="s">
        <v>1005</v>
      </c>
      <c r="C623" s="8">
        <v>46077</v>
      </c>
      <c r="D623" t="s">
        <v>2067</v>
      </c>
      <c r="E623" t="s">
        <v>2068</v>
      </c>
      <c r="F623" t="s">
        <v>21</v>
      </c>
      <c r="G623">
        <v>433.42</v>
      </c>
      <c r="H623" t="s">
        <v>2060</v>
      </c>
      <c r="I623" t="str">
        <f>VLOOKUP(B623,Customers!A:G,7,FALSE)</f>
        <v>SME</v>
      </c>
      <c r="Q623" t="str">
        <f>IF(COUNTIF(Customers!$A$2:$A$1001,B623)&gt;0,"Valid","Invalid")</f>
        <v>Valid</v>
      </c>
      <c r="R623" t="str">
        <f>IF(COUNTIF(Branches!$A$2:$A$11,F623)&gt;0,"Valid","Invalid")</f>
        <v>Valid</v>
      </c>
    </row>
    <row r="624" spans="1:18" x14ac:dyDescent="0.25">
      <c r="A624" t="s">
        <v>2695</v>
      </c>
      <c r="B624" t="s">
        <v>801</v>
      </c>
      <c r="C624" s="8">
        <v>46238</v>
      </c>
      <c r="D624" t="s">
        <v>2065</v>
      </c>
      <c r="E624" t="s">
        <v>2063</v>
      </c>
      <c r="F624" t="s">
        <v>45</v>
      </c>
      <c r="G624">
        <v>11417.59</v>
      </c>
      <c r="H624" t="s">
        <v>2060</v>
      </c>
      <c r="I624" t="str">
        <f>VLOOKUP(B624,Customers!A:G,7,FALSE)</f>
        <v>SME</v>
      </c>
      <c r="Q624" t="str">
        <f>IF(COUNTIF(Customers!$A$2:$A$1001,B624)&gt;0,"Valid","Invalid")</f>
        <v>Valid</v>
      </c>
      <c r="R624" t="str">
        <f>IF(COUNTIF(Branches!$A$2:$A$11,F624)&gt;0,"Valid","Invalid")</f>
        <v>Valid</v>
      </c>
    </row>
    <row r="625" spans="1:18" x14ac:dyDescent="0.25">
      <c r="A625" t="s">
        <v>2696</v>
      </c>
      <c r="B625" t="s">
        <v>800</v>
      </c>
      <c r="C625" s="8">
        <v>46040</v>
      </c>
      <c r="D625" t="s">
        <v>2062</v>
      </c>
      <c r="E625" t="s">
        <v>2059</v>
      </c>
      <c r="F625" t="s">
        <v>53</v>
      </c>
      <c r="G625">
        <v>2294.2800000000002</v>
      </c>
      <c r="H625" t="s">
        <v>2060</v>
      </c>
      <c r="I625" t="str">
        <f>VLOOKUP(B625,Customers!A:G,7,FALSE)</f>
        <v>Individual</v>
      </c>
      <c r="Q625" t="str">
        <f>IF(COUNTIF(Customers!$A$2:$A$1001,B625)&gt;0,"Valid","Invalid")</f>
        <v>Valid</v>
      </c>
      <c r="R625" t="str">
        <f>IF(COUNTIF(Branches!$A$2:$A$11,F625)&gt;0,"Valid","Invalid")</f>
        <v>Valid</v>
      </c>
    </row>
    <row r="626" spans="1:18" x14ac:dyDescent="0.25">
      <c r="A626" t="s">
        <v>2697</v>
      </c>
      <c r="B626" t="s">
        <v>832</v>
      </c>
      <c r="C626" s="8">
        <v>46057</v>
      </c>
      <c r="D626" t="s">
        <v>2070</v>
      </c>
      <c r="E626" t="s">
        <v>2059</v>
      </c>
      <c r="F626" t="s">
        <v>27</v>
      </c>
      <c r="G626">
        <v>2335.25</v>
      </c>
      <c r="H626" t="s">
        <v>2060</v>
      </c>
      <c r="I626" t="str">
        <f>VLOOKUP(B626,Customers!A:G,7,FALSE)</f>
        <v>Individual</v>
      </c>
      <c r="Q626" t="str">
        <f>IF(COUNTIF(Customers!$A$2:$A$1001,B626)&gt;0,"Valid","Invalid")</f>
        <v>Valid</v>
      </c>
      <c r="R626" t="str">
        <f>IF(COUNTIF(Branches!$A$2:$A$11,F626)&gt;0,"Valid","Invalid")</f>
        <v>Valid</v>
      </c>
    </row>
    <row r="627" spans="1:18" x14ac:dyDescent="0.25">
      <c r="A627" t="s">
        <v>2698</v>
      </c>
      <c r="B627" t="s">
        <v>782</v>
      </c>
      <c r="C627" s="8">
        <v>46239</v>
      </c>
      <c r="D627" t="s">
        <v>2058</v>
      </c>
      <c r="E627" t="s">
        <v>2059</v>
      </c>
      <c r="F627" t="s">
        <v>16</v>
      </c>
      <c r="G627">
        <v>7348.23</v>
      </c>
      <c r="H627" t="s">
        <v>2060</v>
      </c>
      <c r="I627" t="str">
        <f>VLOOKUP(B627,Customers!A:G,7,FALSE)</f>
        <v>Corporate</v>
      </c>
      <c r="Q627" t="str">
        <f>IF(COUNTIF(Customers!$A$2:$A$1001,B627)&gt;0,"Valid","Invalid")</f>
        <v>Valid</v>
      </c>
      <c r="R627" t="str">
        <f>IF(COUNTIF(Branches!$A$2:$A$11,F627)&gt;0,"Valid","Invalid")</f>
        <v>Valid</v>
      </c>
    </row>
    <row r="628" spans="1:18" x14ac:dyDescent="0.25">
      <c r="A628" t="s">
        <v>2699</v>
      </c>
      <c r="B628" t="s">
        <v>81</v>
      </c>
      <c r="C628" s="8">
        <v>46231</v>
      </c>
      <c r="D628" t="s">
        <v>2065</v>
      </c>
      <c r="E628" t="s">
        <v>2068</v>
      </c>
      <c r="F628" t="s">
        <v>45</v>
      </c>
      <c r="G628">
        <v>1812.01</v>
      </c>
      <c r="H628" t="s">
        <v>2060</v>
      </c>
      <c r="I628" t="str">
        <f>VLOOKUP(B628,Customers!A:G,7,FALSE)</f>
        <v>Individual</v>
      </c>
      <c r="Q628" t="str">
        <f>IF(COUNTIF(Customers!$A$2:$A$1001,B628)&gt;0,"Valid","Invalid")</f>
        <v>Valid</v>
      </c>
      <c r="R628" t="str">
        <f>IF(COUNTIF(Branches!$A$2:$A$11,F628)&gt;0,"Valid","Invalid")</f>
        <v>Valid</v>
      </c>
    </row>
    <row r="629" spans="1:18" x14ac:dyDescent="0.25">
      <c r="A629" t="s">
        <v>2700</v>
      </c>
      <c r="B629" t="s">
        <v>924</v>
      </c>
      <c r="C629" s="8">
        <v>46182</v>
      </c>
      <c r="D629" t="s">
        <v>2065</v>
      </c>
      <c r="E629" t="s">
        <v>2063</v>
      </c>
      <c r="F629" t="s">
        <v>53</v>
      </c>
      <c r="G629">
        <v>375.8</v>
      </c>
      <c r="H629" t="s">
        <v>2060</v>
      </c>
      <c r="I629" t="str">
        <f>VLOOKUP(B629,Customers!A:G,7,FALSE)</f>
        <v>Individual</v>
      </c>
      <c r="Q629" t="str">
        <f>IF(COUNTIF(Customers!$A$2:$A$1001,B629)&gt;0,"Valid","Invalid")</f>
        <v>Valid</v>
      </c>
      <c r="R629" t="str">
        <f>IF(COUNTIF(Branches!$A$2:$A$11,F629)&gt;0,"Valid","Invalid")</f>
        <v>Valid</v>
      </c>
    </row>
    <row r="630" spans="1:18" x14ac:dyDescent="0.25">
      <c r="A630" t="s">
        <v>2701</v>
      </c>
      <c r="B630" t="s">
        <v>546</v>
      </c>
      <c r="C630" s="8">
        <v>46174</v>
      </c>
      <c r="D630" t="s">
        <v>2067</v>
      </c>
      <c r="E630" t="s">
        <v>2059</v>
      </c>
      <c r="F630" t="s">
        <v>39</v>
      </c>
      <c r="G630">
        <v>334.32</v>
      </c>
      <c r="H630" t="s">
        <v>2060</v>
      </c>
      <c r="I630" t="str">
        <f>VLOOKUP(B630,Customers!A:G,7,FALSE)</f>
        <v>Individual</v>
      </c>
      <c r="Q630" t="str">
        <f>IF(COUNTIF(Customers!$A$2:$A$1001,B630)&gt;0,"Valid","Invalid")</f>
        <v>Valid</v>
      </c>
      <c r="R630" t="str">
        <f>IF(COUNTIF(Branches!$A$2:$A$11,F630)&gt;0,"Valid","Invalid")</f>
        <v>Valid</v>
      </c>
    </row>
    <row r="631" spans="1:18" x14ac:dyDescent="0.25">
      <c r="A631" t="s">
        <v>2702</v>
      </c>
      <c r="B631" t="s">
        <v>596</v>
      </c>
      <c r="C631" s="8">
        <v>46029</v>
      </c>
      <c r="D631" t="s">
        <v>2062</v>
      </c>
      <c r="E631" t="s">
        <v>2063</v>
      </c>
      <c r="F631" t="s">
        <v>45</v>
      </c>
      <c r="G631">
        <v>2132.19</v>
      </c>
      <c r="H631" t="s">
        <v>2060</v>
      </c>
      <c r="I631" t="str">
        <f>VLOOKUP(B631,Customers!A:G,7,FALSE)</f>
        <v>Individual</v>
      </c>
      <c r="Q631" t="str">
        <f>IF(COUNTIF(Customers!$A$2:$A$1001,B631)&gt;0,"Valid","Invalid")</f>
        <v>Valid</v>
      </c>
      <c r="R631" t="str">
        <f>IF(COUNTIF(Branches!$A$2:$A$11,F631)&gt;0,"Valid","Invalid")</f>
        <v>Valid</v>
      </c>
    </row>
    <row r="632" spans="1:18" x14ac:dyDescent="0.25">
      <c r="A632" t="s">
        <v>2703</v>
      </c>
      <c r="B632" t="s">
        <v>1009</v>
      </c>
      <c r="C632" s="8">
        <v>46035</v>
      </c>
      <c r="D632" t="s">
        <v>2065</v>
      </c>
      <c r="E632" t="s">
        <v>2076</v>
      </c>
      <c r="F632" t="s">
        <v>29</v>
      </c>
      <c r="G632">
        <v>103.61</v>
      </c>
      <c r="H632" t="s">
        <v>2060</v>
      </c>
      <c r="I632" t="str">
        <f>VLOOKUP(B632,Customers!A:G,7,FALSE)</f>
        <v>Individual</v>
      </c>
      <c r="Q632" t="str">
        <f>IF(COUNTIF(Customers!$A$2:$A$1001,B632)&gt;0,"Valid","Invalid")</f>
        <v>Valid</v>
      </c>
      <c r="R632" t="str">
        <f>IF(COUNTIF(Branches!$A$2:$A$11,F632)&gt;0,"Valid","Invalid")</f>
        <v>Valid</v>
      </c>
    </row>
    <row r="633" spans="1:18" x14ac:dyDescent="0.25">
      <c r="A633" t="s">
        <v>2704</v>
      </c>
      <c r="B633" t="s">
        <v>564</v>
      </c>
      <c r="C633" s="8">
        <v>46148</v>
      </c>
      <c r="D633" t="s">
        <v>2062</v>
      </c>
      <c r="E633" t="s">
        <v>2063</v>
      </c>
      <c r="F633" t="s">
        <v>27</v>
      </c>
      <c r="G633">
        <v>751.61</v>
      </c>
      <c r="H633" t="s">
        <v>2060</v>
      </c>
      <c r="I633" t="str">
        <f>VLOOKUP(B633,Customers!A:G,7,FALSE)</f>
        <v>SME</v>
      </c>
      <c r="Q633" t="str">
        <f>IF(COUNTIF(Customers!$A$2:$A$1001,B633)&gt;0,"Valid","Invalid")</f>
        <v>Valid</v>
      </c>
      <c r="R633" t="str">
        <f>IF(COUNTIF(Branches!$A$2:$A$11,F633)&gt;0,"Valid","Invalid")</f>
        <v>Valid</v>
      </c>
    </row>
    <row r="634" spans="1:18" x14ac:dyDescent="0.25">
      <c r="A634" t="s">
        <v>2705</v>
      </c>
      <c r="B634" t="s">
        <v>635</v>
      </c>
      <c r="C634" s="8">
        <v>46241</v>
      </c>
      <c r="D634" t="s">
        <v>2067</v>
      </c>
      <c r="E634" t="s">
        <v>2068</v>
      </c>
      <c r="F634" t="s">
        <v>16</v>
      </c>
      <c r="G634">
        <v>92.65</v>
      </c>
      <c r="H634" t="s">
        <v>2060</v>
      </c>
      <c r="I634" t="str">
        <f>VLOOKUP(B634,Customers!A:G,7,FALSE)</f>
        <v>SME</v>
      </c>
      <c r="Q634" t="str">
        <f>IF(COUNTIF(Customers!$A$2:$A$1001,B634)&gt;0,"Valid","Invalid")</f>
        <v>Valid</v>
      </c>
      <c r="R634" t="str">
        <f>IF(COUNTIF(Branches!$A$2:$A$11,F634)&gt;0,"Valid","Invalid")</f>
        <v>Valid</v>
      </c>
    </row>
    <row r="635" spans="1:18" x14ac:dyDescent="0.25">
      <c r="A635" t="s">
        <v>2706</v>
      </c>
      <c r="B635" t="s">
        <v>869</v>
      </c>
      <c r="C635" s="8">
        <v>46134</v>
      </c>
      <c r="D635" t="s">
        <v>2062</v>
      </c>
      <c r="E635" t="s">
        <v>2068</v>
      </c>
      <c r="F635" t="s">
        <v>16</v>
      </c>
      <c r="G635">
        <v>896.81</v>
      </c>
      <c r="H635" t="s">
        <v>2115</v>
      </c>
      <c r="I635" t="str">
        <f>VLOOKUP(B635,Customers!A:G,7,FALSE)</f>
        <v>Individual</v>
      </c>
      <c r="Q635" t="str">
        <f>IF(COUNTIF(Customers!$A$2:$A$1001,B635)&gt;0,"Valid","Invalid")</f>
        <v>Valid</v>
      </c>
      <c r="R635" t="str">
        <f>IF(COUNTIF(Branches!$A$2:$A$11,F635)&gt;0,"Valid","Invalid")</f>
        <v>Valid</v>
      </c>
    </row>
    <row r="636" spans="1:18" x14ac:dyDescent="0.25">
      <c r="A636" t="s">
        <v>2707</v>
      </c>
      <c r="B636" t="s">
        <v>878</v>
      </c>
      <c r="C636" s="8">
        <v>46091</v>
      </c>
      <c r="D636" t="s">
        <v>2070</v>
      </c>
      <c r="E636" t="s">
        <v>2068</v>
      </c>
      <c r="F636" t="s">
        <v>45</v>
      </c>
      <c r="G636">
        <v>1908.49</v>
      </c>
      <c r="H636" t="s">
        <v>2060</v>
      </c>
      <c r="I636" t="str">
        <f>VLOOKUP(B636,Customers!A:G,7,FALSE)</f>
        <v>Individual</v>
      </c>
      <c r="Q636" t="str">
        <f>IF(COUNTIF(Customers!$A$2:$A$1001,B636)&gt;0,"Valid","Invalid")</f>
        <v>Valid</v>
      </c>
      <c r="R636" t="str">
        <f>IF(COUNTIF(Branches!$A$2:$A$11,F636)&gt;0,"Valid","Invalid")</f>
        <v>Valid</v>
      </c>
    </row>
    <row r="637" spans="1:18" x14ac:dyDescent="0.25">
      <c r="A637" t="s">
        <v>2708</v>
      </c>
      <c r="B637" t="s">
        <v>18</v>
      </c>
      <c r="C637" s="8">
        <v>46122</v>
      </c>
      <c r="D637" t="s">
        <v>2067</v>
      </c>
      <c r="E637" t="s">
        <v>2063</v>
      </c>
      <c r="F637" t="s">
        <v>29</v>
      </c>
      <c r="G637">
        <v>1074.29</v>
      </c>
      <c r="H637" t="s">
        <v>2060</v>
      </c>
      <c r="I637" t="str">
        <f>VLOOKUP(B637,Customers!A:G,7,FALSE)</f>
        <v>SME</v>
      </c>
      <c r="Q637" t="str">
        <f>IF(COUNTIF(Customers!$A$2:$A$1001,B637)&gt;0,"Valid","Invalid")</f>
        <v>Valid</v>
      </c>
      <c r="R637" t="str">
        <f>IF(COUNTIF(Branches!$A$2:$A$11,F637)&gt;0,"Valid","Invalid")</f>
        <v>Valid</v>
      </c>
    </row>
    <row r="638" spans="1:18" x14ac:dyDescent="0.25">
      <c r="A638" t="s">
        <v>2709</v>
      </c>
      <c r="B638" t="s">
        <v>62</v>
      </c>
      <c r="C638" s="8">
        <v>46112</v>
      </c>
      <c r="D638" t="s">
        <v>2067</v>
      </c>
      <c r="E638" t="s">
        <v>2076</v>
      </c>
      <c r="F638" t="s">
        <v>16</v>
      </c>
      <c r="G638">
        <v>2075.8200000000002</v>
      </c>
      <c r="H638" t="s">
        <v>2060</v>
      </c>
      <c r="I638" t="str">
        <f>VLOOKUP(B638,Customers!A:G,7,FALSE)</f>
        <v>Individual</v>
      </c>
      <c r="Q638" t="str">
        <f>IF(COUNTIF(Customers!$A$2:$A$1001,B638)&gt;0,"Valid","Invalid")</f>
        <v>Valid</v>
      </c>
      <c r="R638" t="str">
        <f>IF(COUNTIF(Branches!$A$2:$A$11,F638)&gt;0,"Valid","Invalid")</f>
        <v>Valid</v>
      </c>
    </row>
    <row r="639" spans="1:18" x14ac:dyDescent="0.25">
      <c r="A639" t="s">
        <v>2710</v>
      </c>
      <c r="B639" t="s">
        <v>419</v>
      </c>
      <c r="C639" s="8">
        <v>46064</v>
      </c>
      <c r="D639" t="s">
        <v>2062</v>
      </c>
      <c r="E639" t="s">
        <v>2063</v>
      </c>
      <c r="F639" t="s">
        <v>27</v>
      </c>
      <c r="G639">
        <v>5795.44</v>
      </c>
      <c r="H639" t="s">
        <v>2115</v>
      </c>
      <c r="I639" t="str">
        <f>VLOOKUP(B639,Customers!A:G,7,FALSE)</f>
        <v>SME</v>
      </c>
      <c r="Q639" t="str">
        <f>IF(COUNTIF(Customers!$A$2:$A$1001,B639)&gt;0,"Valid","Invalid")</f>
        <v>Valid</v>
      </c>
      <c r="R639" t="str">
        <f>IF(COUNTIF(Branches!$A$2:$A$11,F639)&gt;0,"Valid","Invalid")</f>
        <v>Valid</v>
      </c>
    </row>
    <row r="640" spans="1:18" x14ac:dyDescent="0.25">
      <c r="A640" t="s">
        <v>2711</v>
      </c>
      <c r="B640" t="s">
        <v>193</v>
      </c>
      <c r="C640" s="8">
        <v>46131</v>
      </c>
      <c r="D640" t="s">
        <v>2058</v>
      </c>
      <c r="E640" t="s">
        <v>2068</v>
      </c>
      <c r="F640" t="s">
        <v>47</v>
      </c>
      <c r="G640">
        <v>703.78</v>
      </c>
      <c r="H640" t="s">
        <v>2060</v>
      </c>
      <c r="I640" t="str">
        <f>VLOOKUP(B640,Customers!A:G,7,FALSE)</f>
        <v>Individual</v>
      </c>
      <c r="Q640" t="str">
        <f>IF(COUNTIF(Customers!$A$2:$A$1001,B640)&gt;0,"Valid","Invalid")</f>
        <v>Valid</v>
      </c>
      <c r="R640" t="str">
        <f>IF(COUNTIF(Branches!$A$2:$A$11,F640)&gt;0,"Valid","Invalid")</f>
        <v>Valid</v>
      </c>
    </row>
    <row r="641" spans="1:18" x14ac:dyDescent="0.25">
      <c r="A641" t="s">
        <v>2712</v>
      </c>
      <c r="B641" t="s">
        <v>893</v>
      </c>
      <c r="C641" s="8">
        <v>46181</v>
      </c>
      <c r="D641" t="s">
        <v>2058</v>
      </c>
      <c r="E641" t="s">
        <v>2076</v>
      </c>
      <c r="F641" t="s">
        <v>39</v>
      </c>
      <c r="G641">
        <v>13462.33</v>
      </c>
      <c r="H641" t="s">
        <v>2060</v>
      </c>
      <c r="I641" t="str">
        <f>VLOOKUP(B641,Customers!A:G,7,FALSE)</f>
        <v>Corporate</v>
      </c>
      <c r="Q641" t="str">
        <f>IF(COUNTIF(Customers!$A$2:$A$1001,B641)&gt;0,"Valid","Invalid")</f>
        <v>Valid</v>
      </c>
      <c r="R641" t="str">
        <f>IF(COUNTIF(Branches!$A$2:$A$11,F641)&gt;0,"Valid","Invalid")</f>
        <v>Valid</v>
      </c>
    </row>
    <row r="642" spans="1:18" x14ac:dyDescent="0.25">
      <c r="A642" t="s">
        <v>2713</v>
      </c>
      <c r="B642" t="s">
        <v>952</v>
      </c>
      <c r="C642" s="8">
        <v>46224</v>
      </c>
      <c r="D642" t="s">
        <v>2058</v>
      </c>
      <c r="E642" t="s">
        <v>2059</v>
      </c>
      <c r="F642" t="s">
        <v>35</v>
      </c>
      <c r="G642">
        <v>1004.93</v>
      </c>
      <c r="H642" t="s">
        <v>2060</v>
      </c>
      <c r="I642" t="str">
        <f>VLOOKUP(B642,Customers!A:G,7,FALSE)</f>
        <v>SME</v>
      </c>
      <c r="Q642" t="str">
        <f>IF(COUNTIF(Customers!$A$2:$A$1001,B642)&gt;0,"Valid","Invalid")</f>
        <v>Valid</v>
      </c>
      <c r="R642" t="str">
        <f>IF(COUNTIF(Branches!$A$2:$A$11,F642)&gt;0,"Valid","Invalid")</f>
        <v>Valid</v>
      </c>
    </row>
    <row r="643" spans="1:18" x14ac:dyDescent="0.25">
      <c r="A643" t="s">
        <v>2714</v>
      </c>
      <c r="B643" t="s">
        <v>969</v>
      </c>
      <c r="C643" s="8">
        <v>46132</v>
      </c>
      <c r="D643" t="s">
        <v>2065</v>
      </c>
      <c r="E643" t="s">
        <v>2076</v>
      </c>
      <c r="F643" t="s">
        <v>29</v>
      </c>
      <c r="G643">
        <v>2098.89</v>
      </c>
      <c r="H643" t="s">
        <v>2060</v>
      </c>
      <c r="I643" t="str">
        <f>VLOOKUP(B643,Customers!A:G,7,FALSE)</f>
        <v>Individual</v>
      </c>
      <c r="Q643" t="str">
        <f>IF(COUNTIF(Customers!$A$2:$A$1001,B643)&gt;0,"Valid","Invalid")</f>
        <v>Valid</v>
      </c>
      <c r="R643" t="str">
        <f>IF(COUNTIF(Branches!$A$2:$A$11,F643)&gt;0,"Valid","Invalid")</f>
        <v>Valid</v>
      </c>
    </row>
    <row r="644" spans="1:18" x14ac:dyDescent="0.25">
      <c r="A644" t="s">
        <v>2715</v>
      </c>
      <c r="B644" t="s">
        <v>549</v>
      </c>
      <c r="C644" s="8">
        <v>46048</v>
      </c>
      <c r="D644" t="s">
        <v>2062</v>
      </c>
      <c r="E644" t="s">
        <v>2063</v>
      </c>
      <c r="F644" t="s">
        <v>35</v>
      </c>
      <c r="G644">
        <v>440.95</v>
      </c>
      <c r="H644" t="s">
        <v>2060</v>
      </c>
      <c r="I644" t="str">
        <f>VLOOKUP(B644,Customers!A:G,7,FALSE)</f>
        <v>Individual</v>
      </c>
      <c r="Q644" t="str">
        <f>IF(COUNTIF(Customers!$A$2:$A$1001,B644)&gt;0,"Valid","Invalid")</f>
        <v>Valid</v>
      </c>
      <c r="R644" t="str">
        <f>IF(COUNTIF(Branches!$A$2:$A$11,F644)&gt;0,"Valid","Invalid")</f>
        <v>Valid</v>
      </c>
    </row>
    <row r="645" spans="1:18" x14ac:dyDescent="0.25">
      <c r="A645" t="s">
        <v>2716</v>
      </c>
      <c r="B645" t="s">
        <v>371</v>
      </c>
      <c r="C645" s="8">
        <v>46236</v>
      </c>
      <c r="D645" t="s">
        <v>2065</v>
      </c>
      <c r="E645" t="s">
        <v>2059</v>
      </c>
      <c r="F645" t="s">
        <v>35</v>
      </c>
      <c r="G645">
        <v>4102.34</v>
      </c>
      <c r="H645" t="s">
        <v>2060</v>
      </c>
      <c r="I645" t="str">
        <f>VLOOKUP(B645,Customers!A:G,7,FALSE)</f>
        <v>Individual</v>
      </c>
      <c r="Q645" t="str">
        <f>IF(COUNTIF(Customers!$A$2:$A$1001,B645)&gt;0,"Valid","Invalid")</f>
        <v>Valid</v>
      </c>
      <c r="R645" t="str">
        <f>IF(COUNTIF(Branches!$A$2:$A$11,F645)&gt;0,"Valid","Invalid")</f>
        <v>Valid</v>
      </c>
    </row>
    <row r="646" spans="1:18" x14ac:dyDescent="0.25">
      <c r="A646" t="s">
        <v>2717</v>
      </c>
      <c r="B646" t="s">
        <v>882</v>
      </c>
      <c r="C646" s="8">
        <v>46098</v>
      </c>
      <c r="D646" t="s">
        <v>2070</v>
      </c>
      <c r="E646" t="s">
        <v>2063</v>
      </c>
      <c r="F646" t="s">
        <v>29</v>
      </c>
      <c r="G646">
        <v>2302.41</v>
      </c>
      <c r="H646" t="s">
        <v>2060</v>
      </c>
      <c r="I646" t="str">
        <f>VLOOKUP(B646,Customers!A:G,7,FALSE)</f>
        <v>Individual</v>
      </c>
      <c r="Q646" t="str">
        <f>IF(COUNTIF(Customers!$A$2:$A$1001,B646)&gt;0,"Valid","Invalid")</f>
        <v>Valid</v>
      </c>
      <c r="R646" t="str">
        <f>IF(COUNTIF(Branches!$A$2:$A$11,F646)&gt;0,"Valid","Invalid")</f>
        <v>Valid</v>
      </c>
    </row>
    <row r="647" spans="1:18" x14ac:dyDescent="0.25">
      <c r="A647" t="s">
        <v>2718</v>
      </c>
      <c r="B647" t="s">
        <v>725</v>
      </c>
      <c r="C647" s="8">
        <v>46054</v>
      </c>
      <c r="D647" t="s">
        <v>2065</v>
      </c>
      <c r="E647" t="s">
        <v>2073</v>
      </c>
      <c r="F647" t="s">
        <v>35</v>
      </c>
      <c r="G647">
        <v>3538.48</v>
      </c>
      <c r="H647" t="s">
        <v>2060</v>
      </c>
      <c r="I647" t="str">
        <f>VLOOKUP(B647,Customers!A:G,7,FALSE)</f>
        <v>Individual</v>
      </c>
      <c r="Q647" t="str">
        <f>IF(COUNTIF(Customers!$A$2:$A$1001,B647)&gt;0,"Valid","Invalid")</f>
        <v>Valid</v>
      </c>
      <c r="R647" t="str">
        <f>IF(COUNTIF(Branches!$A$2:$A$11,F647)&gt;0,"Valid","Invalid")</f>
        <v>Valid</v>
      </c>
    </row>
    <row r="648" spans="1:18" x14ac:dyDescent="0.25">
      <c r="A648" t="s">
        <v>2719</v>
      </c>
      <c r="B648" t="s">
        <v>150</v>
      </c>
      <c r="C648" s="8">
        <v>46113</v>
      </c>
      <c r="D648" t="s">
        <v>2062</v>
      </c>
      <c r="E648" t="s">
        <v>2068</v>
      </c>
      <c r="F648" t="s">
        <v>16</v>
      </c>
      <c r="G648">
        <v>857.91</v>
      </c>
      <c r="H648" t="s">
        <v>2060</v>
      </c>
      <c r="I648" t="str">
        <f>VLOOKUP(B648,Customers!A:G,7,FALSE)</f>
        <v>Corporate</v>
      </c>
      <c r="Q648" t="str">
        <f>IF(COUNTIF(Customers!$A$2:$A$1001,B648)&gt;0,"Valid","Invalid")</f>
        <v>Valid</v>
      </c>
      <c r="R648" t="str">
        <f>IF(COUNTIF(Branches!$A$2:$A$11,F648)&gt;0,"Valid","Invalid")</f>
        <v>Valid</v>
      </c>
    </row>
    <row r="649" spans="1:18" x14ac:dyDescent="0.25">
      <c r="A649" t="s">
        <v>2720</v>
      </c>
      <c r="B649" t="s">
        <v>427</v>
      </c>
      <c r="C649" s="8">
        <v>46247</v>
      </c>
      <c r="D649" t="s">
        <v>2067</v>
      </c>
      <c r="E649" t="s">
        <v>2076</v>
      </c>
      <c r="F649" t="s">
        <v>29</v>
      </c>
      <c r="G649">
        <v>231.5</v>
      </c>
      <c r="H649" t="s">
        <v>2060</v>
      </c>
      <c r="I649" t="str">
        <f>VLOOKUP(B649,Customers!A:G,7,FALSE)</f>
        <v>Individual</v>
      </c>
      <c r="Q649" t="str">
        <f>IF(COUNTIF(Customers!$A$2:$A$1001,B649)&gt;0,"Valid","Invalid")</f>
        <v>Valid</v>
      </c>
      <c r="R649" t="str">
        <f>IF(COUNTIF(Branches!$A$2:$A$11,F649)&gt;0,"Valid","Invalid")</f>
        <v>Valid</v>
      </c>
    </row>
    <row r="650" spans="1:18" x14ac:dyDescent="0.25">
      <c r="A650" t="s">
        <v>2721</v>
      </c>
      <c r="B650" t="s">
        <v>525</v>
      </c>
      <c r="C650" s="8">
        <v>46147</v>
      </c>
      <c r="D650" t="s">
        <v>2067</v>
      </c>
      <c r="E650" t="s">
        <v>2073</v>
      </c>
      <c r="F650" t="s">
        <v>11</v>
      </c>
      <c r="G650">
        <v>1287.42</v>
      </c>
      <c r="H650" t="s">
        <v>2060</v>
      </c>
      <c r="I650" t="str">
        <f>VLOOKUP(B650,Customers!A:G,7,FALSE)</f>
        <v>Individual</v>
      </c>
      <c r="Q650" t="str">
        <f>IF(COUNTIF(Customers!$A$2:$A$1001,B650)&gt;0,"Valid","Invalid")</f>
        <v>Valid</v>
      </c>
      <c r="R650" t="str">
        <f>IF(COUNTIF(Branches!$A$2:$A$11,F650)&gt;0,"Valid","Invalid")</f>
        <v>Valid</v>
      </c>
    </row>
    <row r="651" spans="1:18" x14ac:dyDescent="0.25">
      <c r="A651" t="s">
        <v>2722</v>
      </c>
      <c r="B651" t="s">
        <v>881</v>
      </c>
      <c r="C651" s="8">
        <v>46148</v>
      </c>
      <c r="D651" t="s">
        <v>2067</v>
      </c>
      <c r="E651" t="s">
        <v>2059</v>
      </c>
      <c r="F651" t="s">
        <v>11</v>
      </c>
      <c r="G651">
        <v>148.86000000000001</v>
      </c>
      <c r="H651" t="s">
        <v>2060</v>
      </c>
      <c r="I651" t="str">
        <f>VLOOKUP(B651,Customers!A:G,7,FALSE)</f>
        <v>Individual</v>
      </c>
      <c r="Q651" t="str">
        <f>IF(COUNTIF(Customers!$A$2:$A$1001,B651)&gt;0,"Valid","Invalid")</f>
        <v>Valid</v>
      </c>
      <c r="R651" t="str">
        <f>IF(COUNTIF(Branches!$A$2:$A$11,F651)&gt;0,"Valid","Invalid")</f>
        <v>Valid</v>
      </c>
    </row>
    <row r="652" spans="1:18" x14ac:dyDescent="0.25">
      <c r="A652" t="s">
        <v>2723</v>
      </c>
      <c r="B652" t="s">
        <v>288</v>
      </c>
      <c r="C652" s="8">
        <v>46074</v>
      </c>
      <c r="D652" t="s">
        <v>2062</v>
      </c>
      <c r="E652" t="s">
        <v>2073</v>
      </c>
      <c r="F652" t="s">
        <v>11</v>
      </c>
      <c r="G652">
        <v>580.46</v>
      </c>
      <c r="H652" t="s">
        <v>2060</v>
      </c>
      <c r="I652" t="str">
        <f>VLOOKUP(B652,Customers!A:G,7,FALSE)</f>
        <v>SME</v>
      </c>
      <c r="Q652" t="str">
        <f>IF(COUNTIF(Customers!$A$2:$A$1001,B652)&gt;0,"Valid","Invalid")</f>
        <v>Valid</v>
      </c>
      <c r="R652" t="str">
        <f>IF(COUNTIF(Branches!$A$2:$A$11,F652)&gt;0,"Valid","Invalid")</f>
        <v>Valid</v>
      </c>
    </row>
    <row r="653" spans="1:18" x14ac:dyDescent="0.25">
      <c r="A653" t="s">
        <v>2724</v>
      </c>
      <c r="B653" t="s">
        <v>609</v>
      </c>
      <c r="C653" s="8">
        <v>46170</v>
      </c>
      <c r="D653" t="s">
        <v>2058</v>
      </c>
      <c r="E653" t="s">
        <v>2063</v>
      </c>
      <c r="F653" t="s">
        <v>21</v>
      </c>
      <c r="G653">
        <v>983.46</v>
      </c>
      <c r="H653" t="s">
        <v>2060</v>
      </c>
      <c r="I653" t="str">
        <f>VLOOKUP(B653,Customers!A:G,7,FALSE)</f>
        <v>Student</v>
      </c>
      <c r="Q653" t="str">
        <f>IF(COUNTIF(Customers!$A$2:$A$1001,B653)&gt;0,"Valid","Invalid")</f>
        <v>Valid</v>
      </c>
      <c r="R653" t="str">
        <f>IF(COUNTIF(Branches!$A$2:$A$11,F653)&gt;0,"Valid","Invalid")</f>
        <v>Valid</v>
      </c>
    </row>
    <row r="654" spans="1:18" x14ac:dyDescent="0.25">
      <c r="A654" t="s">
        <v>2725</v>
      </c>
      <c r="B654" t="s">
        <v>753</v>
      </c>
      <c r="C654" s="8">
        <v>46125</v>
      </c>
      <c r="D654" t="s">
        <v>2062</v>
      </c>
      <c r="E654" t="s">
        <v>2076</v>
      </c>
      <c r="F654" t="s">
        <v>11</v>
      </c>
      <c r="G654">
        <v>8753.6299999999992</v>
      </c>
      <c r="H654" t="s">
        <v>2060</v>
      </c>
      <c r="I654" t="str">
        <f>VLOOKUP(B654,Customers!A:G,7,FALSE)</f>
        <v>Individual</v>
      </c>
      <c r="Q654" t="str">
        <f>IF(COUNTIF(Customers!$A$2:$A$1001,B654)&gt;0,"Valid","Invalid")</f>
        <v>Valid</v>
      </c>
      <c r="R654" t="str">
        <f>IF(COUNTIF(Branches!$A$2:$A$11,F654)&gt;0,"Valid","Invalid")</f>
        <v>Valid</v>
      </c>
    </row>
    <row r="655" spans="1:18" x14ac:dyDescent="0.25">
      <c r="A655" t="s">
        <v>2726</v>
      </c>
      <c r="B655" t="s">
        <v>353</v>
      </c>
      <c r="C655" s="8">
        <v>46127</v>
      </c>
      <c r="D655" t="s">
        <v>2067</v>
      </c>
      <c r="E655" t="s">
        <v>2076</v>
      </c>
      <c r="F655" t="s">
        <v>16</v>
      </c>
      <c r="G655">
        <v>1117.1600000000001</v>
      </c>
      <c r="H655" t="s">
        <v>2060</v>
      </c>
      <c r="I655" t="str">
        <f>VLOOKUP(B655,Customers!A:G,7,FALSE)</f>
        <v>SME</v>
      </c>
      <c r="Q655" t="str">
        <f>IF(COUNTIF(Customers!$A$2:$A$1001,B655)&gt;0,"Valid","Invalid")</f>
        <v>Valid</v>
      </c>
      <c r="R655" t="str">
        <f>IF(COUNTIF(Branches!$A$2:$A$11,F655)&gt;0,"Valid","Invalid")</f>
        <v>Valid</v>
      </c>
    </row>
    <row r="656" spans="1:18" x14ac:dyDescent="0.25">
      <c r="A656" t="s">
        <v>2727</v>
      </c>
      <c r="B656" t="s">
        <v>277</v>
      </c>
      <c r="C656" s="8">
        <v>46190</v>
      </c>
      <c r="D656" t="s">
        <v>2058</v>
      </c>
      <c r="E656" t="s">
        <v>2063</v>
      </c>
      <c r="F656" t="s">
        <v>16</v>
      </c>
      <c r="G656">
        <v>934.06</v>
      </c>
      <c r="H656" t="s">
        <v>2060</v>
      </c>
      <c r="I656" t="str">
        <f>VLOOKUP(B656,Customers!A:G,7,FALSE)</f>
        <v>Individual</v>
      </c>
      <c r="Q656" t="str">
        <f>IF(COUNTIF(Customers!$A$2:$A$1001,B656)&gt;0,"Valid","Invalid")</f>
        <v>Valid</v>
      </c>
      <c r="R656" t="str">
        <f>IF(COUNTIF(Branches!$A$2:$A$11,F656)&gt;0,"Valid","Invalid")</f>
        <v>Valid</v>
      </c>
    </row>
    <row r="657" spans="1:18" x14ac:dyDescent="0.25">
      <c r="A657" t="s">
        <v>2728</v>
      </c>
      <c r="B657" t="s">
        <v>272</v>
      </c>
      <c r="C657" s="8">
        <v>46209</v>
      </c>
      <c r="D657" t="s">
        <v>2062</v>
      </c>
      <c r="E657" t="s">
        <v>2059</v>
      </c>
      <c r="F657" t="s">
        <v>11</v>
      </c>
      <c r="G657">
        <v>762.78</v>
      </c>
      <c r="H657" t="s">
        <v>2060</v>
      </c>
      <c r="I657" t="str">
        <f>VLOOKUP(B657,Customers!A:G,7,FALSE)</f>
        <v>Corporate</v>
      </c>
      <c r="Q657" t="str">
        <f>IF(COUNTIF(Customers!$A$2:$A$1001,B657)&gt;0,"Valid","Invalid")</f>
        <v>Valid</v>
      </c>
      <c r="R657" t="str">
        <f>IF(COUNTIF(Branches!$A$2:$A$11,F657)&gt;0,"Valid","Invalid")</f>
        <v>Valid</v>
      </c>
    </row>
    <row r="658" spans="1:18" x14ac:dyDescent="0.25">
      <c r="A658" t="s">
        <v>2729</v>
      </c>
      <c r="B658" t="s">
        <v>341</v>
      </c>
      <c r="C658" s="8">
        <v>46227</v>
      </c>
      <c r="D658" t="s">
        <v>2065</v>
      </c>
      <c r="E658" t="s">
        <v>2063</v>
      </c>
      <c r="F658" t="s">
        <v>27</v>
      </c>
      <c r="G658">
        <v>212.28</v>
      </c>
      <c r="H658" t="s">
        <v>2060</v>
      </c>
      <c r="I658" t="str">
        <f>VLOOKUP(B658,Customers!A:G,7,FALSE)</f>
        <v>SME</v>
      </c>
      <c r="Q658" t="str">
        <f>IF(COUNTIF(Customers!$A$2:$A$1001,B658)&gt;0,"Valid","Invalid")</f>
        <v>Valid</v>
      </c>
      <c r="R658" t="str">
        <f>IF(COUNTIF(Branches!$A$2:$A$11,F658)&gt;0,"Valid","Invalid")</f>
        <v>Valid</v>
      </c>
    </row>
    <row r="659" spans="1:18" x14ac:dyDescent="0.25">
      <c r="A659" t="s">
        <v>2730</v>
      </c>
      <c r="B659" t="s">
        <v>645</v>
      </c>
      <c r="C659" s="8">
        <v>46036</v>
      </c>
      <c r="D659" t="s">
        <v>2067</v>
      </c>
      <c r="E659" t="s">
        <v>2073</v>
      </c>
      <c r="F659" t="s">
        <v>27</v>
      </c>
      <c r="G659">
        <v>885.21</v>
      </c>
      <c r="H659" t="s">
        <v>2060</v>
      </c>
      <c r="I659" t="str">
        <f>VLOOKUP(B659,Customers!A:G,7,FALSE)</f>
        <v>Individual</v>
      </c>
      <c r="Q659" t="str">
        <f>IF(COUNTIF(Customers!$A$2:$A$1001,B659)&gt;0,"Valid","Invalid")</f>
        <v>Valid</v>
      </c>
      <c r="R659" t="str">
        <f>IF(COUNTIF(Branches!$A$2:$A$11,F659)&gt;0,"Valid","Invalid")</f>
        <v>Valid</v>
      </c>
    </row>
    <row r="660" spans="1:18" x14ac:dyDescent="0.25">
      <c r="A660" t="s">
        <v>2731</v>
      </c>
      <c r="B660" t="s">
        <v>1029</v>
      </c>
      <c r="C660" s="8">
        <v>46194</v>
      </c>
      <c r="D660" t="s">
        <v>2058</v>
      </c>
      <c r="E660" t="s">
        <v>2063</v>
      </c>
      <c r="F660" t="s">
        <v>27</v>
      </c>
      <c r="G660">
        <v>900.44</v>
      </c>
      <c r="H660" t="s">
        <v>2060</v>
      </c>
      <c r="I660" t="str">
        <f>VLOOKUP(B660,Customers!A:G,7,FALSE)</f>
        <v>Individual</v>
      </c>
      <c r="Q660" t="str">
        <f>IF(COUNTIF(Customers!$A$2:$A$1001,B660)&gt;0,"Valid","Invalid")</f>
        <v>Valid</v>
      </c>
      <c r="R660" t="str">
        <f>IF(COUNTIF(Branches!$A$2:$A$11,F660)&gt;0,"Valid","Invalid")</f>
        <v>Valid</v>
      </c>
    </row>
    <row r="661" spans="1:18" x14ac:dyDescent="0.25">
      <c r="A661" t="s">
        <v>2732</v>
      </c>
      <c r="B661" t="s">
        <v>691</v>
      </c>
      <c r="C661" s="8">
        <v>46126</v>
      </c>
      <c r="D661" t="s">
        <v>2067</v>
      </c>
      <c r="E661" t="s">
        <v>2059</v>
      </c>
      <c r="F661" t="s">
        <v>11</v>
      </c>
      <c r="G661">
        <v>308.39999999999998</v>
      </c>
      <c r="H661" t="s">
        <v>2115</v>
      </c>
      <c r="I661" t="str">
        <f>VLOOKUP(B661,Customers!A:G,7,FALSE)</f>
        <v>Individual</v>
      </c>
      <c r="Q661" t="str">
        <f>IF(COUNTIF(Customers!$A$2:$A$1001,B661)&gt;0,"Valid","Invalid")</f>
        <v>Valid</v>
      </c>
      <c r="R661" t="str">
        <f>IF(COUNTIF(Branches!$A$2:$A$11,F661)&gt;0,"Valid","Invalid")</f>
        <v>Valid</v>
      </c>
    </row>
    <row r="662" spans="1:18" x14ac:dyDescent="0.25">
      <c r="A662" t="s">
        <v>2733</v>
      </c>
      <c r="B662" t="s">
        <v>372</v>
      </c>
      <c r="C662" s="8">
        <v>46139</v>
      </c>
      <c r="D662" t="s">
        <v>2067</v>
      </c>
      <c r="E662" t="s">
        <v>2068</v>
      </c>
      <c r="F662" t="s">
        <v>47</v>
      </c>
      <c r="G662">
        <v>247.96</v>
      </c>
      <c r="H662" t="s">
        <v>2060</v>
      </c>
      <c r="I662" t="str">
        <f>VLOOKUP(B662,Customers!A:G,7,FALSE)</f>
        <v>Corporate</v>
      </c>
      <c r="Q662" t="str">
        <f>IF(COUNTIF(Customers!$A$2:$A$1001,B662)&gt;0,"Valid","Invalid")</f>
        <v>Valid</v>
      </c>
      <c r="R662" t="str">
        <f>IF(COUNTIF(Branches!$A$2:$A$11,F662)&gt;0,"Valid","Invalid")</f>
        <v>Valid</v>
      </c>
    </row>
    <row r="663" spans="1:18" x14ac:dyDescent="0.25">
      <c r="A663" t="s">
        <v>2734</v>
      </c>
      <c r="B663" t="s">
        <v>149</v>
      </c>
      <c r="C663" s="8">
        <v>46236</v>
      </c>
      <c r="D663" t="s">
        <v>2058</v>
      </c>
      <c r="E663" t="s">
        <v>2063</v>
      </c>
      <c r="F663" t="s">
        <v>29</v>
      </c>
      <c r="G663">
        <v>501.91</v>
      </c>
      <c r="H663" t="s">
        <v>2060</v>
      </c>
      <c r="I663" t="str">
        <f>VLOOKUP(B663,Customers!A:G,7,FALSE)</f>
        <v>Individual</v>
      </c>
      <c r="Q663" t="str">
        <f>IF(COUNTIF(Customers!$A$2:$A$1001,B663)&gt;0,"Valid","Invalid")</f>
        <v>Valid</v>
      </c>
      <c r="R663" t="str">
        <f>IF(COUNTIF(Branches!$A$2:$A$11,F663)&gt;0,"Valid","Invalid")</f>
        <v>Valid</v>
      </c>
    </row>
    <row r="664" spans="1:18" x14ac:dyDescent="0.25">
      <c r="A664" t="s">
        <v>2735</v>
      </c>
      <c r="B664" t="s">
        <v>659</v>
      </c>
      <c r="C664" s="8">
        <v>46232</v>
      </c>
      <c r="D664" t="s">
        <v>2065</v>
      </c>
      <c r="E664" t="s">
        <v>2059</v>
      </c>
      <c r="F664" t="s">
        <v>29</v>
      </c>
      <c r="G664">
        <v>866.91</v>
      </c>
      <c r="H664" t="s">
        <v>2060</v>
      </c>
      <c r="I664" t="str">
        <f>VLOOKUP(B664,Customers!A:G,7,FALSE)</f>
        <v>SME</v>
      </c>
      <c r="Q664" t="str">
        <f>IF(COUNTIF(Customers!$A$2:$A$1001,B664)&gt;0,"Valid","Invalid")</f>
        <v>Valid</v>
      </c>
      <c r="R664" t="str">
        <f>IF(COUNTIF(Branches!$A$2:$A$11,F664)&gt;0,"Valid","Invalid")</f>
        <v>Valid</v>
      </c>
    </row>
    <row r="665" spans="1:18" x14ac:dyDescent="0.25">
      <c r="A665" t="s">
        <v>2736</v>
      </c>
      <c r="B665" t="s">
        <v>400</v>
      </c>
      <c r="C665" s="8">
        <v>46070</v>
      </c>
      <c r="D665" t="s">
        <v>2062</v>
      </c>
      <c r="E665" t="s">
        <v>2076</v>
      </c>
      <c r="F665" t="s">
        <v>35</v>
      </c>
      <c r="G665">
        <v>514.11</v>
      </c>
      <c r="H665" t="s">
        <v>2060</v>
      </c>
      <c r="I665" t="str">
        <f>VLOOKUP(B665,Customers!A:G,7,FALSE)</f>
        <v>Individual</v>
      </c>
      <c r="Q665" t="str">
        <f>IF(COUNTIF(Customers!$A$2:$A$1001,B665)&gt;0,"Valid","Invalid")</f>
        <v>Valid</v>
      </c>
      <c r="R665" t="str">
        <f>IF(COUNTIF(Branches!$A$2:$A$11,F665)&gt;0,"Valid","Invalid")</f>
        <v>Valid</v>
      </c>
    </row>
    <row r="666" spans="1:18" x14ac:dyDescent="0.25">
      <c r="A666" t="s">
        <v>2737</v>
      </c>
      <c r="B666" t="s">
        <v>895</v>
      </c>
      <c r="C666" s="8">
        <v>46115</v>
      </c>
      <c r="D666" t="s">
        <v>2070</v>
      </c>
      <c r="E666" t="s">
        <v>2063</v>
      </c>
      <c r="F666" t="s">
        <v>11</v>
      </c>
      <c r="G666">
        <v>284.04000000000002</v>
      </c>
      <c r="H666" t="s">
        <v>2060</v>
      </c>
      <c r="I666" t="str">
        <f>VLOOKUP(B666,Customers!A:G,7,FALSE)</f>
        <v>SME</v>
      </c>
      <c r="Q666" t="str">
        <f>IF(COUNTIF(Customers!$A$2:$A$1001,B666)&gt;0,"Valid","Invalid")</f>
        <v>Valid</v>
      </c>
      <c r="R666" t="str">
        <f>IF(COUNTIF(Branches!$A$2:$A$11,F666)&gt;0,"Valid","Invalid")</f>
        <v>Valid</v>
      </c>
    </row>
    <row r="667" spans="1:18" x14ac:dyDescent="0.25">
      <c r="A667" t="s">
        <v>2738</v>
      </c>
      <c r="B667" t="s">
        <v>839</v>
      </c>
      <c r="C667" s="8">
        <v>46193</v>
      </c>
      <c r="D667" t="s">
        <v>2058</v>
      </c>
      <c r="E667" t="s">
        <v>2068</v>
      </c>
      <c r="F667" t="s">
        <v>29</v>
      </c>
      <c r="G667">
        <v>1084.93</v>
      </c>
      <c r="H667" t="s">
        <v>2060</v>
      </c>
      <c r="I667" t="str">
        <f>VLOOKUP(B667,Customers!A:G,7,FALSE)</f>
        <v>Individual</v>
      </c>
      <c r="Q667" t="str">
        <f>IF(COUNTIF(Customers!$A$2:$A$1001,B667)&gt;0,"Valid","Invalid")</f>
        <v>Valid</v>
      </c>
      <c r="R667" t="str">
        <f>IF(COUNTIF(Branches!$A$2:$A$11,F667)&gt;0,"Valid","Invalid")</f>
        <v>Valid</v>
      </c>
    </row>
    <row r="668" spans="1:18" x14ac:dyDescent="0.25">
      <c r="A668" t="s">
        <v>2739</v>
      </c>
      <c r="B668" t="s">
        <v>133</v>
      </c>
      <c r="C668" s="8">
        <v>46166</v>
      </c>
      <c r="D668" t="s">
        <v>2058</v>
      </c>
      <c r="E668" t="s">
        <v>2063</v>
      </c>
      <c r="F668" t="s">
        <v>39</v>
      </c>
      <c r="G668">
        <v>1392.52</v>
      </c>
      <c r="H668" t="s">
        <v>2060</v>
      </c>
      <c r="I668" t="str">
        <f>VLOOKUP(B668,Customers!A:G,7,FALSE)</f>
        <v>SME</v>
      </c>
      <c r="Q668" t="str">
        <f>IF(COUNTIF(Customers!$A$2:$A$1001,B668)&gt;0,"Valid","Invalid")</f>
        <v>Valid</v>
      </c>
      <c r="R668" t="str">
        <f>IF(COUNTIF(Branches!$A$2:$A$11,F668)&gt;0,"Valid","Invalid")</f>
        <v>Valid</v>
      </c>
    </row>
    <row r="669" spans="1:18" x14ac:dyDescent="0.25">
      <c r="A669" t="s">
        <v>2740</v>
      </c>
      <c r="B669" t="s">
        <v>996</v>
      </c>
      <c r="C669" s="8">
        <v>46132</v>
      </c>
      <c r="D669" t="s">
        <v>2065</v>
      </c>
      <c r="E669" t="s">
        <v>2063</v>
      </c>
      <c r="F669" t="s">
        <v>29</v>
      </c>
      <c r="G669">
        <v>917.17</v>
      </c>
      <c r="H669" t="s">
        <v>2060</v>
      </c>
      <c r="I669" t="str">
        <f>VLOOKUP(B669,Customers!A:G,7,FALSE)</f>
        <v>Corporate</v>
      </c>
      <c r="Q669" t="str">
        <f>IF(COUNTIF(Customers!$A$2:$A$1001,B669)&gt;0,"Valid","Invalid")</f>
        <v>Valid</v>
      </c>
      <c r="R669" t="str">
        <f>IF(COUNTIF(Branches!$A$2:$A$11,F669)&gt;0,"Valid","Invalid")</f>
        <v>Valid</v>
      </c>
    </row>
    <row r="670" spans="1:18" x14ac:dyDescent="0.25">
      <c r="A670" t="s">
        <v>2741</v>
      </c>
      <c r="B670" t="s">
        <v>885</v>
      </c>
      <c r="C670" s="8">
        <v>46185</v>
      </c>
      <c r="D670" t="s">
        <v>2062</v>
      </c>
      <c r="E670" t="s">
        <v>2059</v>
      </c>
      <c r="F670" t="s">
        <v>29</v>
      </c>
      <c r="G670">
        <v>462.67</v>
      </c>
      <c r="H670" t="s">
        <v>2060</v>
      </c>
      <c r="I670" t="str">
        <f>VLOOKUP(B670,Customers!A:G,7,FALSE)</f>
        <v>Individual</v>
      </c>
      <c r="Q670" t="str">
        <f>IF(COUNTIF(Customers!$A$2:$A$1001,B670)&gt;0,"Valid","Invalid")</f>
        <v>Valid</v>
      </c>
      <c r="R670" t="str">
        <f>IF(COUNTIF(Branches!$A$2:$A$11,F670)&gt;0,"Valid","Invalid")</f>
        <v>Valid</v>
      </c>
    </row>
    <row r="671" spans="1:18" x14ac:dyDescent="0.25">
      <c r="A671" t="s">
        <v>2742</v>
      </c>
      <c r="B671" t="s">
        <v>49</v>
      </c>
      <c r="C671" s="8">
        <v>46075</v>
      </c>
      <c r="D671" t="s">
        <v>2067</v>
      </c>
      <c r="E671" t="s">
        <v>2059</v>
      </c>
      <c r="F671" t="s">
        <v>39</v>
      </c>
      <c r="G671">
        <v>1472.68</v>
      </c>
      <c r="H671" t="s">
        <v>2060</v>
      </c>
      <c r="I671" t="str">
        <f>VLOOKUP(B671,Customers!A:G,7,FALSE)</f>
        <v>Individual</v>
      </c>
      <c r="Q671" t="str">
        <f>IF(COUNTIF(Customers!$A$2:$A$1001,B671)&gt;0,"Valid","Invalid")</f>
        <v>Valid</v>
      </c>
      <c r="R671" t="str">
        <f>IF(COUNTIF(Branches!$A$2:$A$11,F671)&gt;0,"Valid","Invalid")</f>
        <v>Valid</v>
      </c>
    </row>
    <row r="672" spans="1:18" x14ac:dyDescent="0.25">
      <c r="A672" t="s">
        <v>2743</v>
      </c>
      <c r="B672" t="s">
        <v>594</v>
      </c>
      <c r="C672" s="8">
        <v>46184</v>
      </c>
      <c r="D672" t="s">
        <v>2058</v>
      </c>
      <c r="E672" t="s">
        <v>2073</v>
      </c>
      <c r="F672" t="s">
        <v>27</v>
      </c>
      <c r="G672">
        <v>671.47</v>
      </c>
      <c r="H672" t="s">
        <v>2060</v>
      </c>
      <c r="I672" t="str">
        <f>VLOOKUP(B672,Customers!A:G,7,FALSE)</f>
        <v>SME</v>
      </c>
      <c r="Q672" t="str">
        <f>IF(COUNTIF(Customers!$A$2:$A$1001,B672)&gt;0,"Valid","Invalid")</f>
        <v>Valid</v>
      </c>
      <c r="R672" t="str">
        <f>IF(COUNTIF(Branches!$A$2:$A$11,F672)&gt;0,"Valid","Invalid")</f>
        <v>Valid</v>
      </c>
    </row>
    <row r="673" spans="1:18" x14ac:dyDescent="0.25">
      <c r="A673" t="s">
        <v>2744</v>
      </c>
      <c r="B673" t="s">
        <v>992</v>
      </c>
      <c r="C673" s="8">
        <v>46025</v>
      </c>
      <c r="D673" t="s">
        <v>2070</v>
      </c>
      <c r="E673" t="s">
        <v>2068</v>
      </c>
      <c r="F673" t="s">
        <v>29</v>
      </c>
      <c r="G673">
        <v>247.38</v>
      </c>
      <c r="H673" t="s">
        <v>2060</v>
      </c>
      <c r="I673" t="str">
        <f>VLOOKUP(B673,Customers!A:G,7,FALSE)</f>
        <v>Individual</v>
      </c>
      <c r="Q673" t="str">
        <f>IF(COUNTIF(Customers!$A$2:$A$1001,B673)&gt;0,"Valid","Invalid")</f>
        <v>Valid</v>
      </c>
      <c r="R673" t="str">
        <f>IF(COUNTIF(Branches!$A$2:$A$11,F673)&gt;0,"Valid","Invalid")</f>
        <v>Valid</v>
      </c>
    </row>
    <row r="674" spans="1:18" x14ac:dyDescent="0.25">
      <c r="A674" t="s">
        <v>2745</v>
      </c>
      <c r="B674" t="s">
        <v>414</v>
      </c>
      <c r="C674" s="8">
        <v>46090</v>
      </c>
      <c r="D674" t="s">
        <v>2058</v>
      </c>
      <c r="E674" t="s">
        <v>2059</v>
      </c>
      <c r="F674" t="s">
        <v>53</v>
      </c>
      <c r="G674">
        <v>2289.86</v>
      </c>
      <c r="H674" t="s">
        <v>2060</v>
      </c>
      <c r="I674" t="str">
        <f>VLOOKUP(B674,Customers!A:G,7,FALSE)</f>
        <v>Individual</v>
      </c>
      <c r="Q674" t="str">
        <f>IF(COUNTIF(Customers!$A$2:$A$1001,B674)&gt;0,"Valid","Invalid")</f>
        <v>Valid</v>
      </c>
      <c r="R674" t="str">
        <f>IF(COUNTIF(Branches!$A$2:$A$11,F674)&gt;0,"Valid","Invalid")</f>
        <v>Valid</v>
      </c>
    </row>
    <row r="675" spans="1:18" x14ac:dyDescent="0.25">
      <c r="A675" t="s">
        <v>2746</v>
      </c>
      <c r="B675" t="s">
        <v>780</v>
      </c>
      <c r="C675" s="8">
        <v>46155</v>
      </c>
      <c r="D675" t="s">
        <v>2062</v>
      </c>
      <c r="E675" t="s">
        <v>2059</v>
      </c>
      <c r="F675" t="s">
        <v>53</v>
      </c>
      <c r="G675">
        <v>1156.9100000000001</v>
      </c>
      <c r="H675" t="s">
        <v>2060</v>
      </c>
      <c r="I675" t="str">
        <f>VLOOKUP(B675,Customers!A:G,7,FALSE)</f>
        <v>Individual</v>
      </c>
      <c r="Q675" t="str">
        <f>IF(COUNTIF(Customers!$A$2:$A$1001,B675)&gt;0,"Valid","Invalid")</f>
        <v>Valid</v>
      </c>
      <c r="R675" t="str">
        <f>IF(COUNTIF(Branches!$A$2:$A$11,F675)&gt;0,"Valid","Invalid")</f>
        <v>Valid</v>
      </c>
    </row>
    <row r="676" spans="1:18" x14ac:dyDescent="0.25">
      <c r="A676" t="s">
        <v>2747</v>
      </c>
      <c r="B676" t="s">
        <v>428</v>
      </c>
      <c r="C676" s="8">
        <v>46160</v>
      </c>
      <c r="D676" t="s">
        <v>2067</v>
      </c>
      <c r="E676" t="s">
        <v>2063</v>
      </c>
      <c r="F676" t="s">
        <v>27</v>
      </c>
      <c r="G676">
        <v>721.05</v>
      </c>
      <c r="H676" t="s">
        <v>2060</v>
      </c>
      <c r="I676" t="str">
        <f>VLOOKUP(B676,Customers!A:G,7,FALSE)</f>
        <v>Corporate</v>
      </c>
      <c r="Q676" t="str">
        <f>IF(COUNTIF(Customers!$A$2:$A$1001,B676)&gt;0,"Valid","Invalid")</f>
        <v>Valid</v>
      </c>
      <c r="R676" t="str">
        <f>IF(COUNTIF(Branches!$A$2:$A$11,F676)&gt;0,"Valid","Invalid")</f>
        <v>Valid</v>
      </c>
    </row>
    <row r="677" spans="1:18" x14ac:dyDescent="0.25">
      <c r="A677" t="s">
        <v>2748</v>
      </c>
      <c r="B677" t="s">
        <v>658</v>
      </c>
      <c r="C677" s="8">
        <v>46074</v>
      </c>
      <c r="D677" t="s">
        <v>2065</v>
      </c>
      <c r="E677" t="s">
        <v>2063</v>
      </c>
      <c r="F677" t="s">
        <v>21</v>
      </c>
      <c r="G677">
        <v>168.84</v>
      </c>
      <c r="H677" t="s">
        <v>2060</v>
      </c>
      <c r="I677" t="str">
        <f>VLOOKUP(B677,Customers!A:G,7,FALSE)</f>
        <v>Student</v>
      </c>
      <c r="Q677" t="str">
        <f>IF(COUNTIF(Customers!$A$2:$A$1001,B677)&gt;0,"Valid","Invalid")</f>
        <v>Valid</v>
      </c>
      <c r="R677" t="str">
        <f>IF(COUNTIF(Branches!$A$2:$A$11,F677)&gt;0,"Valid","Invalid")</f>
        <v>Valid</v>
      </c>
    </row>
    <row r="678" spans="1:18" x14ac:dyDescent="0.25">
      <c r="A678" t="s">
        <v>2749</v>
      </c>
      <c r="B678" t="s">
        <v>254</v>
      </c>
      <c r="C678" s="8">
        <v>46179</v>
      </c>
      <c r="D678" t="s">
        <v>2062</v>
      </c>
      <c r="E678" t="s">
        <v>2059</v>
      </c>
      <c r="F678" t="s">
        <v>11</v>
      </c>
      <c r="G678">
        <v>385.73</v>
      </c>
      <c r="H678" t="s">
        <v>2060</v>
      </c>
      <c r="I678" t="str">
        <f>VLOOKUP(B678,Customers!A:G,7,FALSE)</f>
        <v>Individual</v>
      </c>
      <c r="Q678" t="str">
        <f>IF(COUNTIF(Customers!$A$2:$A$1001,B678)&gt;0,"Valid","Invalid")</f>
        <v>Valid</v>
      </c>
      <c r="R678" t="str">
        <f>IF(COUNTIF(Branches!$A$2:$A$11,F678)&gt;0,"Valid","Invalid")</f>
        <v>Valid</v>
      </c>
    </row>
    <row r="679" spans="1:18" x14ac:dyDescent="0.25">
      <c r="A679" t="s">
        <v>2750</v>
      </c>
      <c r="B679" t="s">
        <v>437</v>
      </c>
      <c r="C679" s="8">
        <v>46118</v>
      </c>
      <c r="D679" t="s">
        <v>2065</v>
      </c>
      <c r="E679" t="s">
        <v>2068</v>
      </c>
      <c r="F679" t="s">
        <v>53</v>
      </c>
      <c r="G679">
        <v>6115.4</v>
      </c>
      <c r="H679" t="s">
        <v>2060</v>
      </c>
      <c r="I679" t="str">
        <f>VLOOKUP(B679,Customers!A:G,7,FALSE)</f>
        <v>Individual</v>
      </c>
      <c r="Q679" t="str">
        <f>IF(COUNTIF(Customers!$A$2:$A$1001,B679)&gt;0,"Valid","Invalid")</f>
        <v>Valid</v>
      </c>
      <c r="R679" t="str">
        <f>IF(COUNTIF(Branches!$A$2:$A$11,F679)&gt;0,"Valid","Invalid")</f>
        <v>Valid</v>
      </c>
    </row>
    <row r="680" spans="1:18" x14ac:dyDescent="0.25">
      <c r="A680" t="s">
        <v>2751</v>
      </c>
      <c r="B680" t="s">
        <v>298</v>
      </c>
      <c r="C680" s="8">
        <v>46053</v>
      </c>
      <c r="D680" t="s">
        <v>2062</v>
      </c>
      <c r="E680" t="s">
        <v>2063</v>
      </c>
      <c r="F680" t="s">
        <v>45</v>
      </c>
      <c r="G680">
        <v>179.77</v>
      </c>
      <c r="H680" t="s">
        <v>2060</v>
      </c>
      <c r="I680" t="str">
        <f>VLOOKUP(B680,Customers!A:G,7,FALSE)</f>
        <v>Student</v>
      </c>
      <c r="Q680" t="str">
        <f>IF(COUNTIF(Customers!$A$2:$A$1001,B680)&gt;0,"Valid","Invalid")</f>
        <v>Valid</v>
      </c>
      <c r="R680" t="str">
        <f>IF(COUNTIF(Branches!$A$2:$A$11,F680)&gt;0,"Valid","Invalid")</f>
        <v>Valid</v>
      </c>
    </row>
    <row r="681" spans="1:18" x14ac:dyDescent="0.25">
      <c r="A681" t="s">
        <v>2752</v>
      </c>
      <c r="B681" t="s">
        <v>862</v>
      </c>
      <c r="C681" s="8">
        <v>46088</v>
      </c>
      <c r="D681" t="s">
        <v>2065</v>
      </c>
      <c r="E681" t="s">
        <v>2063</v>
      </c>
      <c r="F681" t="s">
        <v>35</v>
      </c>
      <c r="G681">
        <v>631.85</v>
      </c>
      <c r="H681" t="s">
        <v>2060</v>
      </c>
      <c r="I681" t="str">
        <f>VLOOKUP(B681,Customers!A:G,7,FALSE)</f>
        <v>SME</v>
      </c>
      <c r="Q681" t="str">
        <f>IF(COUNTIF(Customers!$A$2:$A$1001,B681)&gt;0,"Valid","Invalid")</f>
        <v>Valid</v>
      </c>
      <c r="R681" t="str">
        <f>IF(COUNTIF(Branches!$A$2:$A$11,F681)&gt;0,"Valid","Invalid")</f>
        <v>Valid</v>
      </c>
    </row>
    <row r="682" spans="1:18" x14ac:dyDescent="0.25">
      <c r="A682" t="s">
        <v>2753</v>
      </c>
      <c r="B682" t="s">
        <v>358</v>
      </c>
      <c r="C682" s="8">
        <v>46226</v>
      </c>
      <c r="D682" t="s">
        <v>2062</v>
      </c>
      <c r="E682" t="s">
        <v>2059</v>
      </c>
      <c r="F682" t="s">
        <v>35</v>
      </c>
      <c r="G682">
        <v>799.24</v>
      </c>
      <c r="H682" t="s">
        <v>2060</v>
      </c>
      <c r="I682" t="str">
        <f>VLOOKUP(B682,Customers!A:G,7,FALSE)</f>
        <v>Individual</v>
      </c>
      <c r="Q682" t="str">
        <f>IF(COUNTIF(Customers!$A$2:$A$1001,B682)&gt;0,"Valid","Invalid")</f>
        <v>Valid</v>
      </c>
      <c r="R682" t="str">
        <f>IF(COUNTIF(Branches!$A$2:$A$11,F682)&gt;0,"Valid","Invalid")</f>
        <v>Valid</v>
      </c>
    </row>
    <row r="683" spans="1:18" x14ac:dyDescent="0.25">
      <c r="A683" t="s">
        <v>2754</v>
      </c>
      <c r="B683" t="s">
        <v>233</v>
      </c>
      <c r="C683" s="8">
        <v>46113</v>
      </c>
      <c r="D683" t="s">
        <v>2065</v>
      </c>
      <c r="E683" t="s">
        <v>2063</v>
      </c>
      <c r="F683" t="s">
        <v>53</v>
      </c>
      <c r="G683">
        <v>1119.32</v>
      </c>
      <c r="H683" t="s">
        <v>2060</v>
      </c>
      <c r="I683" t="str">
        <f>VLOOKUP(B683,Customers!A:G,7,FALSE)</f>
        <v>Individual</v>
      </c>
      <c r="Q683" t="str">
        <f>IF(COUNTIF(Customers!$A$2:$A$1001,B683)&gt;0,"Valid","Invalid")</f>
        <v>Valid</v>
      </c>
      <c r="R683" t="str">
        <f>IF(COUNTIF(Branches!$A$2:$A$11,F683)&gt;0,"Valid","Invalid")</f>
        <v>Valid</v>
      </c>
    </row>
    <row r="684" spans="1:18" x14ac:dyDescent="0.25">
      <c r="A684" t="s">
        <v>2755</v>
      </c>
      <c r="B684" t="s">
        <v>516</v>
      </c>
      <c r="C684" s="8">
        <v>46091</v>
      </c>
      <c r="D684" t="s">
        <v>2058</v>
      </c>
      <c r="E684" t="s">
        <v>2076</v>
      </c>
      <c r="F684" t="s">
        <v>27</v>
      </c>
      <c r="G684">
        <v>181.79</v>
      </c>
      <c r="H684" t="s">
        <v>2115</v>
      </c>
      <c r="I684" t="str">
        <f>VLOOKUP(B684,Customers!A:G,7,FALSE)</f>
        <v>SME</v>
      </c>
      <c r="Q684" t="str">
        <f>IF(COUNTIF(Customers!$A$2:$A$1001,B684)&gt;0,"Valid","Invalid")</f>
        <v>Valid</v>
      </c>
      <c r="R684" t="str">
        <f>IF(COUNTIF(Branches!$A$2:$A$11,F684)&gt;0,"Valid","Invalid")</f>
        <v>Valid</v>
      </c>
    </row>
    <row r="685" spans="1:18" x14ac:dyDescent="0.25">
      <c r="A685" t="s">
        <v>2756</v>
      </c>
      <c r="B685" t="s">
        <v>456</v>
      </c>
      <c r="C685" s="8">
        <v>46187</v>
      </c>
      <c r="D685" t="s">
        <v>2058</v>
      </c>
      <c r="E685" t="s">
        <v>2059</v>
      </c>
      <c r="F685" t="s">
        <v>27</v>
      </c>
      <c r="G685">
        <v>966.98</v>
      </c>
      <c r="H685" t="s">
        <v>2060</v>
      </c>
      <c r="I685" t="str">
        <f>VLOOKUP(B685,Customers!A:G,7,FALSE)</f>
        <v>Individual</v>
      </c>
      <c r="Q685" t="str">
        <f>IF(COUNTIF(Customers!$A$2:$A$1001,B685)&gt;0,"Valid","Invalid")</f>
        <v>Valid</v>
      </c>
      <c r="R685" t="str">
        <f>IF(COUNTIF(Branches!$A$2:$A$11,F685)&gt;0,"Valid","Invalid")</f>
        <v>Valid</v>
      </c>
    </row>
    <row r="686" spans="1:18" x14ac:dyDescent="0.25">
      <c r="A686" t="s">
        <v>2757</v>
      </c>
      <c r="B686" t="s">
        <v>513</v>
      </c>
      <c r="C686" s="8">
        <v>46177</v>
      </c>
      <c r="D686" t="s">
        <v>2067</v>
      </c>
      <c r="E686" t="s">
        <v>2059</v>
      </c>
      <c r="F686" t="s">
        <v>35</v>
      </c>
      <c r="G686">
        <v>150.49</v>
      </c>
      <c r="H686" t="s">
        <v>2060</v>
      </c>
      <c r="I686" t="str">
        <f>VLOOKUP(B686,Customers!A:G,7,FALSE)</f>
        <v>Individual</v>
      </c>
      <c r="Q686" t="str">
        <f>IF(COUNTIF(Customers!$A$2:$A$1001,B686)&gt;0,"Valid","Invalid")</f>
        <v>Valid</v>
      </c>
      <c r="R686" t="str">
        <f>IF(COUNTIF(Branches!$A$2:$A$11,F686)&gt;0,"Valid","Invalid")</f>
        <v>Valid</v>
      </c>
    </row>
    <row r="687" spans="1:18" x14ac:dyDescent="0.25">
      <c r="A687" t="s">
        <v>2758</v>
      </c>
      <c r="B687" t="s">
        <v>645</v>
      </c>
      <c r="C687" s="8">
        <v>46109</v>
      </c>
      <c r="D687" t="s">
        <v>2067</v>
      </c>
      <c r="E687" t="s">
        <v>2063</v>
      </c>
      <c r="F687" t="s">
        <v>45</v>
      </c>
      <c r="G687">
        <v>895.54</v>
      </c>
      <c r="H687" t="s">
        <v>2060</v>
      </c>
      <c r="I687" t="str">
        <f>VLOOKUP(B687,Customers!A:G,7,FALSE)</f>
        <v>Individual</v>
      </c>
      <c r="Q687" t="str">
        <f>IF(COUNTIF(Customers!$A$2:$A$1001,B687)&gt;0,"Valid","Invalid")</f>
        <v>Valid</v>
      </c>
      <c r="R687" t="str">
        <f>IF(COUNTIF(Branches!$A$2:$A$11,F687)&gt;0,"Valid","Invalid")</f>
        <v>Valid</v>
      </c>
    </row>
    <row r="688" spans="1:18" x14ac:dyDescent="0.25">
      <c r="A688" t="s">
        <v>2759</v>
      </c>
      <c r="B688" t="s">
        <v>606</v>
      </c>
      <c r="C688" s="8">
        <v>46055</v>
      </c>
      <c r="D688" t="s">
        <v>2067</v>
      </c>
      <c r="E688" t="s">
        <v>2073</v>
      </c>
      <c r="F688" t="s">
        <v>11</v>
      </c>
      <c r="G688">
        <v>423.1</v>
      </c>
      <c r="H688" t="s">
        <v>2060</v>
      </c>
      <c r="I688" t="str">
        <f>VLOOKUP(B688,Customers!A:G,7,FALSE)</f>
        <v>SME</v>
      </c>
      <c r="Q688" t="str">
        <f>IF(COUNTIF(Customers!$A$2:$A$1001,B688)&gt;0,"Valid","Invalid")</f>
        <v>Valid</v>
      </c>
      <c r="R688" t="str">
        <f>IF(COUNTIF(Branches!$A$2:$A$11,F688)&gt;0,"Valid","Invalid")</f>
        <v>Valid</v>
      </c>
    </row>
    <row r="689" spans="1:18" x14ac:dyDescent="0.25">
      <c r="A689" t="s">
        <v>2760</v>
      </c>
      <c r="B689" t="s">
        <v>582</v>
      </c>
      <c r="C689" s="8">
        <v>46090</v>
      </c>
      <c r="D689" t="s">
        <v>2067</v>
      </c>
      <c r="E689" t="s">
        <v>2063</v>
      </c>
      <c r="F689" t="s">
        <v>47</v>
      </c>
      <c r="G689">
        <v>341.77</v>
      </c>
      <c r="H689" t="s">
        <v>2060</v>
      </c>
      <c r="I689" t="str">
        <f>VLOOKUP(B689,Customers!A:G,7,FALSE)</f>
        <v>Individual</v>
      </c>
      <c r="Q689" t="str">
        <f>IF(COUNTIF(Customers!$A$2:$A$1001,B689)&gt;0,"Valid","Invalid")</f>
        <v>Valid</v>
      </c>
      <c r="R689" t="str">
        <f>IF(COUNTIF(Branches!$A$2:$A$11,F689)&gt;0,"Valid","Invalid")</f>
        <v>Valid</v>
      </c>
    </row>
    <row r="690" spans="1:18" x14ac:dyDescent="0.25">
      <c r="A690" t="s">
        <v>2761</v>
      </c>
      <c r="B690" t="s">
        <v>268</v>
      </c>
      <c r="C690" s="8">
        <v>46209</v>
      </c>
      <c r="D690" t="s">
        <v>2067</v>
      </c>
      <c r="E690" t="s">
        <v>2068</v>
      </c>
      <c r="F690" t="s">
        <v>11</v>
      </c>
      <c r="G690">
        <v>1872.1</v>
      </c>
      <c r="H690" t="s">
        <v>2060</v>
      </c>
      <c r="I690" t="str">
        <f>VLOOKUP(B690,Customers!A:G,7,FALSE)</f>
        <v>Individual</v>
      </c>
      <c r="Q690" t="str">
        <f>IF(COUNTIF(Customers!$A$2:$A$1001,B690)&gt;0,"Valid","Invalid")</f>
        <v>Valid</v>
      </c>
      <c r="R690" t="str">
        <f>IF(COUNTIF(Branches!$A$2:$A$11,F690)&gt;0,"Valid","Invalid")</f>
        <v>Valid</v>
      </c>
    </row>
    <row r="691" spans="1:18" x14ac:dyDescent="0.25">
      <c r="A691" t="s">
        <v>2762</v>
      </c>
      <c r="B691" t="s">
        <v>922</v>
      </c>
      <c r="C691" s="8">
        <v>46214</v>
      </c>
      <c r="D691" t="s">
        <v>2067</v>
      </c>
      <c r="E691" t="s">
        <v>2059</v>
      </c>
      <c r="F691" t="s">
        <v>11</v>
      </c>
      <c r="G691">
        <v>641.88</v>
      </c>
      <c r="H691" t="s">
        <v>2060</v>
      </c>
      <c r="I691" t="str">
        <f>VLOOKUP(B691,Customers!A:G,7,FALSE)</f>
        <v>Individual</v>
      </c>
      <c r="Q691" t="str">
        <f>IF(COUNTIF(Customers!$A$2:$A$1001,B691)&gt;0,"Valid","Invalid")</f>
        <v>Valid</v>
      </c>
      <c r="R691" t="str">
        <f>IF(COUNTIF(Branches!$A$2:$A$11,F691)&gt;0,"Valid","Invalid")</f>
        <v>Valid</v>
      </c>
    </row>
    <row r="692" spans="1:18" x14ac:dyDescent="0.25">
      <c r="A692" t="s">
        <v>2763</v>
      </c>
      <c r="B692" t="s">
        <v>559</v>
      </c>
      <c r="C692" s="8">
        <v>46235</v>
      </c>
      <c r="D692" t="s">
        <v>2058</v>
      </c>
      <c r="E692" t="s">
        <v>2068</v>
      </c>
      <c r="F692" t="s">
        <v>16</v>
      </c>
      <c r="G692">
        <v>1304.68</v>
      </c>
      <c r="H692" t="s">
        <v>2060</v>
      </c>
      <c r="I692" t="str">
        <f>VLOOKUP(B692,Customers!A:G,7,FALSE)</f>
        <v>Individual</v>
      </c>
      <c r="Q692" t="str">
        <f>IF(COUNTIF(Customers!$A$2:$A$1001,B692)&gt;0,"Valid","Invalid")</f>
        <v>Valid</v>
      </c>
      <c r="R692" t="str">
        <f>IF(COUNTIF(Branches!$A$2:$A$11,F692)&gt;0,"Valid","Invalid")</f>
        <v>Valid</v>
      </c>
    </row>
    <row r="693" spans="1:18" x14ac:dyDescent="0.25">
      <c r="A693" t="s">
        <v>2764</v>
      </c>
      <c r="B693" t="s">
        <v>741</v>
      </c>
      <c r="C693" s="8">
        <v>46110</v>
      </c>
      <c r="D693" t="s">
        <v>2065</v>
      </c>
      <c r="E693" t="s">
        <v>2076</v>
      </c>
      <c r="F693" t="s">
        <v>47</v>
      </c>
      <c r="G693">
        <v>1348.61</v>
      </c>
      <c r="H693" t="s">
        <v>2060</v>
      </c>
      <c r="I693" t="str">
        <f>VLOOKUP(B693,Customers!A:G,7,FALSE)</f>
        <v>Individual</v>
      </c>
      <c r="Q693" t="str">
        <f>IF(COUNTIF(Customers!$A$2:$A$1001,B693)&gt;0,"Valid","Invalid")</f>
        <v>Valid</v>
      </c>
      <c r="R693" t="str">
        <f>IF(COUNTIF(Branches!$A$2:$A$11,F693)&gt;0,"Valid","Invalid")</f>
        <v>Valid</v>
      </c>
    </row>
    <row r="694" spans="1:18" x14ac:dyDescent="0.25">
      <c r="A694" t="s">
        <v>2765</v>
      </c>
      <c r="B694" t="s">
        <v>911</v>
      </c>
      <c r="C694" s="8">
        <v>46194</v>
      </c>
      <c r="D694" t="s">
        <v>2070</v>
      </c>
      <c r="E694" t="s">
        <v>2063</v>
      </c>
      <c r="F694" t="s">
        <v>47</v>
      </c>
      <c r="G694">
        <v>2892.72</v>
      </c>
      <c r="H694" t="s">
        <v>2060</v>
      </c>
      <c r="I694" t="str">
        <f>VLOOKUP(B694,Customers!A:G,7,FALSE)</f>
        <v>Individual</v>
      </c>
      <c r="Q694" t="str">
        <f>IF(COUNTIF(Customers!$A$2:$A$1001,B694)&gt;0,"Valid","Invalid")</f>
        <v>Valid</v>
      </c>
      <c r="R694" t="str">
        <f>IF(COUNTIF(Branches!$A$2:$A$11,F694)&gt;0,"Valid","Invalid")</f>
        <v>Valid</v>
      </c>
    </row>
    <row r="695" spans="1:18" x14ac:dyDescent="0.25">
      <c r="A695" t="s">
        <v>2766</v>
      </c>
      <c r="B695" t="s">
        <v>237</v>
      </c>
      <c r="C695" s="8">
        <v>46117</v>
      </c>
      <c r="D695" t="s">
        <v>2058</v>
      </c>
      <c r="E695" t="s">
        <v>2068</v>
      </c>
      <c r="F695" t="s">
        <v>35</v>
      </c>
      <c r="G695">
        <v>242.68</v>
      </c>
      <c r="H695" t="s">
        <v>2060</v>
      </c>
      <c r="I695" t="str">
        <f>VLOOKUP(B695,Customers!A:G,7,FALSE)</f>
        <v>Individual</v>
      </c>
      <c r="Q695" t="str">
        <f>IF(COUNTIF(Customers!$A$2:$A$1001,B695)&gt;0,"Valid","Invalid")</f>
        <v>Valid</v>
      </c>
      <c r="R695" t="str">
        <f>IF(COUNTIF(Branches!$A$2:$A$11,F695)&gt;0,"Valid","Invalid")</f>
        <v>Valid</v>
      </c>
    </row>
    <row r="696" spans="1:18" x14ac:dyDescent="0.25">
      <c r="A696" t="s">
        <v>2767</v>
      </c>
      <c r="B696" t="s">
        <v>884</v>
      </c>
      <c r="C696" s="8">
        <v>46130</v>
      </c>
      <c r="D696" t="s">
        <v>2065</v>
      </c>
      <c r="E696" t="s">
        <v>2076</v>
      </c>
      <c r="F696" t="s">
        <v>29</v>
      </c>
      <c r="G696">
        <v>2036.56</v>
      </c>
      <c r="H696" t="s">
        <v>2060</v>
      </c>
      <c r="I696" t="str">
        <f>VLOOKUP(B696,Customers!A:G,7,FALSE)</f>
        <v>SME</v>
      </c>
      <c r="Q696" t="str">
        <f>IF(COUNTIF(Customers!$A$2:$A$1001,B696)&gt;0,"Valid","Invalid")</f>
        <v>Valid</v>
      </c>
      <c r="R696" t="str">
        <f>IF(COUNTIF(Branches!$A$2:$A$11,F696)&gt;0,"Valid","Invalid")</f>
        <v>Valid</v>
      </c>
    </row>
    <row r="697" spans="1:18" x14ac:dyDescent="0.25">
      <c r="A697" t="s">
        <v>2768</v>
      </c>
      <c r="B697" t="s">
        <v>711</v>
      </c>
      <c r="C697" s="8">
        <v>46262</v>
      </c>
      <c r="D697" t="s">
        <v>2067</v>
      </c>
      <c r="E697" t="s">
        <v>2063</v>
      </c>
      <c r="F697" t="s">
        <v>47</v>
      </c>
      <c r="G697">
        <v>825.89</v>
      </c>
      <c r="H697" t="s">
        <v>2060</v>
      </c>
      <c r="I697" t="str">
        <f>VLOOKUP(B697,Customers!A:G,7,FALSE)</f>
        <v>SME</v>
      </c>
      <c r="Q697" t="str">
        <f>IF(COUNTIF(Customers!$A$2:$A$1001,B697)&gt;0,"Valid","Invalid")</f>
        <v>Valid</v>
      </c>
      <c r="R697" t="str">
        <f>IF(COUNTIF(Branches!$A$2:$A$11,F697)&gt;0,"Valid","Invalid")</f>
        <v>Valid</v>
      </c>
    </row>
    <row r="698" spans="1:18" x14ac:dyDescent="0.25">
      <c r="A698" t="s">
        <v>2769</v>
      </c>
      <c r="B698" t="s">
        <v>637</v>
      </c>
      <c r="C698" s="8">
        <v>46238</v>
      </c>
      <c r="D698" t="s">
        <v>2062</v>
      </c>
      <c r="E698" t="s">
        <v>2063</v>
      </c>
      <c r="F698" t="s">
        <v>53</v>
      </c>
      <c r="G698">
        <v>556.62</v>
      </c>
      <c r="H698" t="s">
        <v>2060</v>
      </c>
      <c r="I698" t="str">
        <f>VLOOKUP(B698,Customers!A:G,7,FALSE)</f>
        <v>Individual</v>
      </c>
      <c r="Q698" t="str">
        <f>IF(COUNTIF(Customers!$A$2:$A$1001,B698)&gt;0,"Valid","Invalid")</f>
        <v>Valid</v>
      </c>
      <c r="R698" t="str">
        <f>IF(COUNTIF(Branches!$A$2:$A$11,F698)&gt;0,"Valid","Invalid")</f>
        <v>Valid</v>
      </c>
    </row>
    <row r="699" spans="1:18" x14ac:dyDescent="0.25">
      <c r="A699" t="s">
        <v>2770</v>
      </c>
      <c r="B699" t="s">
        <v>55</v>
      </c>
      <c r="C699" s="8">
        <v>46199</v>
      </c>
      <c r="D699" t="s">
        <v>2065</v>
      </c>
      <c r="E699" t="s">
        <v>2076</v>
      </c>
      <c r="F699" t="s">
        <v>27</v>
      </c>
      <c r="G699">
        <v>257.43</v>
      </c>
      <c r="H699" t="s">
        <v>2060</v>
      </c>
      <c r="I699" t="str">
        <f>VLOOKUP(B699,Customers!A:G,7,FALSE)</f>
        <v>SME</v>
      </c>
      <c r="Q699" t="str">
        <f>IF(COUNTIF(Customers!$A$2:$A$1001,B699)&gt;0,"Valid","Invalid")</f>
        <v>Valid</v>
      </c>
      <c r="R699" t="str">
        <f>IF(COUNTIF(Branches!$A$2:$A$11,F699)&gt;0,"Valid","Invalid")</f>
        <v>Valid</v>
      </c>
    </row>
    <row r="700" spans="1:18" x14ac:dyDescent="0.25">
      <c r="A700" t="s">
        <v>2771</v>
      </c>
      <c r="B700" t="s">
        <v>349</v>
      </c>
      <c r="C700" s="8">
        <v>46075</v>
      </c>
      <c r="D700" t="s">
        <v>2058</v>
      </c>
      <c r="E700" t="s">
        <v>2076</v>
      </c>
      <c r="F700" t="s">
        <v>11</v>
      </c>
      <c r="G700">
        <v>1490.09</v>
      </c>
      <c r="H700" t="s">
        <v>2060</v>
      </c>
      <c r="I700" t="str">
        <f>VLOOKUP(B700,Customers!A:G,7,FALSE)</f>
        <v>Individual</v>
      </c>
      <c r="Q700" t="str">
        <f>IF(COUNTIF(Customers!$A$2:$A$1001,B700)&gt;0,"Valid","Invalid")</f>
        <v>Valid</v>
      </c>
      <c r="R700" t="str">
        <f>IF(COUNTIF(Branches!$A$2:$A$11,F700)&gt;0,"Valid","Invalid")</f>
        <v>Valid</v>
      </c>
    </row>
    <row r="701" spans="1:18" x14ac:dyDescent="0.25">
      <c r="A701" t="s">
        <v>2772</v>
      </c>
      <c r="B701" t="s">
        <v>626</v>
      </c>
      <c r="C701" s="8">
        <v>46096</v>
      </c>
      <c r="D701" t="s">
        <v>2058</v>
      </c>
      <c r="E701" t="s">
        <v>2076</v>
      </c>
      <c r="F701" t="s">
        <v>53</v>
      </c>
      <c r="G701">
        <v>323.04000000000002</v>
      </c>
      <c r="H701" t="s">
        <v>2060</v>
      </c>
      <c r="I701" t="str">
        <f>VLOOKUP(B701,Customers!A:G,7,FALSE)</f>
        <v>Individual</v>
      </c>
      <c r="Q701" t="str">
        <f>IF(COUNTIF(Customers!$A$2:$A$1001,B701)&gt;0,"Valid","Invalid")</f>
        <v>Valid</v>
      </c>
      <c r="R701" t="str">
        <f>IF(COUNTIF(Branches!$A$2:$A$11,F701)&gt;0,"Valid","Invalid")</f>
        <v>Valid</v>
      </c>
    </row>
    <row r="702" spans="1:18" x14ac:dyDescent="0.25">
      <c r="A702" t="s">
        <v>2773</v>
      </c>
      <c r="B702" t="s">
        <v>991</v>
      </c>
      <c r="C702" s="8">
        <v>46071</v>
      </c>
      <c r="D702" t="s">
        <v>2065</v>
      </c>
      <c r="E702" t="s">
        <v>2076</v>
      </c>
      <c r="F702" t="s">
        <v>47</v>
      </c>
      <c r="G702">
        <v>1363.5</v>
      </c>
      <c r="H702" t="s">
        <v>2060</v>
      </c>
      <c r="I702" t="str">
        <f>VLOOKUP(B702,Customers!A:G,7,FALSE)</f>
        <v>Individual</v>
      </c>
      <c r="Q702" t="str">
        <f>IF(COUNTIF(Customers!$A$2:$A$1001,B702)&gt;0,"Valid","Invalid")</f>
        <v>Valid</v>
      </c>
      <c r="R702" t="str">
        <f>IF(COUNTIF(Branches!$A$2:$A$11,F702)&gt;0,"Valid","Invalid")</f>
        <v>Valid</v>
      </c>
    </row>
    <row r="703" spans="1:18" x14ac:dyDescent="0.25">
      <c r="A703" t="s">
        <v>2774</v>
      </c>
      <c r="B703" t="s">
        <v>936</v>
      </c>
      <c r="C703" s="8">
        <v>46135</v>
      </c>
      <c r="D703" t="s">
        <v>2062</v>
      </c>
      <c r="E703" t="s">
        <v>2076</v>
      </c>
      <c r="F703" t="s">
        <v>27</v>
      </c>
      <c r="G703">
        <v>5584.95</v>
      </c>
      <c r="H703" t="s">
        <v>2060</v>
      </c>
      <c r="I703" t="str">
        <f>VLOOKUP(B703,Customers!A:G,7,FALSE)</f>
        <v>Individual</v>
      </c>
      <c r="Q703" t="str">
        <f>IF(COUNTIF(Customers!$A$2:$A$1001,B703)&gt;0,"Valid","Invalid")</f>
        <v>Valid</v>
      </c>
      <c r="R703" t="str">
        <f>IF(COUNTIF(Branches!$A$2:$A$11,F703)&gt;0,"Valid","Invalid")</f>
        <v>Valid</v>
      </c>
    </row>
    <row r="704" spans="1:18" x14ac:dyDescent="0.25">
      <c r="A704" t="s">
        <v>2775</v>
      </c>
      <c r="B704" t="s">
        <v>691</v>
      </c>
      <c r="C704" s="8">
        <v>46136</v>
      </c>
      <c r="D704" t="s">
        <v>2067</v>
      </c>
      <c r="E704" t="s">
        <v>2068</v>
      </c>
      <c r="F704" t="s">
        <v>11</v>
      </c>
      <c r="G704">
        <v>2164.5700000000002</v>
      </c>
      <c r="H704" t="s">
        <v>2060</v>
      </c>
      <c r="I704" t="str">
        <f>VLOOKUP(B704,Customers!A:G,7,FALSE)</f>
        <v>Individual</v>
      </c>
      <c r="Q704" t="str">
        <f>IF(COUNTIF(Customers!$A$2:$A$1001,B704)&gt;0,"Valid","Invalid")</f>
        <v>Valid</v>
      </c>
      <c r="R704" t="str">
        <f>IF(COUNTIF(Branches!$A$2:$A$11,F704)&gt;0,"Valid","Invalid")</f>
        <v>Valid</v>
      </c>
    </row>
    <row r="705" spans="1:18" x14ac:dyDescent="0.25">
      <c r="A705" t="s">
        <v>2776</v>
      </c>
      <c r="B705" t="s">
        <v>676</v>
      </c>
      <c r="C705" s="8">
        <v>46216</v>
      </c>
      <c r="D705" t="s">
        <v>2067</v>
      </c>
      <c r="E705" t="s">
        <v>2059</v>
      </c>
      <c r="F705" t="s">
        <v>45</v>
      </c>
      <c r="G705">
        <v>3266.37</v>
      </c>
      <c r="H705" t="s">
        <v>2060</v>
      </c>
      <c r="I705" t="str">
        <f>VLOOKUP(B705,Customers!A:G,7,FALSE)</f>
        <v>Individual</v>
      </c>
      <c r="Q705" t="str">
        <f>IF(COUNTIF(Customers!$A$2:$A$1001,B705)&gt;0,"Valid","Invalid")</f>
        <v>Valid</v>
      </c>
      <c r="R705" t="str">
        <f>IF(COUNTIF(Branches!$A$2:$A$11,F705)&gt;0,"Valid","Invalid")</f>
        <v>Valid</v>
      </c>
    </row>
    <row r="706" spans="1:18" x14ac:dyDescent="0.25">
      <c r="A706" t="s">
        <v>2777</v>
      </c>
      <c r="B706" t="s">
        <v>801</v>
      </c>
      <c r="C706" s="8">
        <v>46117</v>
      </c>
      <c r="D706" t="s">
        <v>2062</v>
      </c>
      <c r="E706" t="s">
        <v>2063</v>
      </c>
      <c r="F706" t="s">
        <v>53</v>
      </c>
      <c r="G706">
        <v>395.83</v>
      </c>
      <c r="H706" t="s">
        <v>2060</v>
      </c>
      <c r="I706" t="str">
        <f>VLOOKUP(B706,Customers!A:G,7,FALSE)</f>
        <v>SME</v>
      </c>
      <c r="Q706" t="str">
        <f>IF(COUNTIF(Customers!$A$2:$A$1001,B706)&gt;0,"Valid","Invalid")</f>
        <v>Valid</v>
      </c>
      <c r="R706" t="str">
        <f>IF(COUNTIF(Branches!$A$2:$A$11,F706)&gt;0,"Valid","Invalid")</f>
        <v>Valid</v>
      </c>
    </row>
    <row r="707" spans="1:18" x14ac:dyDescent="0.25">
      <c r="A707" t="s">
        <v>2778</v>
      </c>
      <c r="B707" t="s">
        <v>938</v>
      </c>
      <c r="C707" s="8">
        <v>46213</v>
      </c>
      <c r="D707" t="s">
        <v>2058</v>
      </c>
      <c r="E707" t="s">
        <v>2073</v>
      </c>
      <c r="F707" t="s">
        <v>53</v>
      </c>
      <c r="G707">
        <v>1741.9</v>
      </c>
      <c r="H707" t="s">
        <v>2060</v>
      </c>
      <c r="I707" t="str">
        <f>VLOOKUP(B707,Customers!A:G,7,FALSE)</f>
        <v>Individual</v>
      </c>
      <c r="Q707" t="str">
        <f>IF(COUNTIF(Customers!$A$2:$A$1001,B707)&gt;0,"Valid","Invalid")</f>
        <v>Valid</v>
      </c>
      <c r="R707" t="str">
        <f>IF(COUNTIF(Branches!$A$2:$A$11,F707)&gt;0,"Valid","Invalid")</f>
        <v>Valid</v>
      </c>
    </row>
    <row r="708" spans="1:18" x14ac:dyDescent="0.25">
      <c r="A708" t="s">
        <v>2779</v>
      </c>
      <c r="B708" t="s">
        <v>634</v>
      </c>
      <c r="C708" s="8">
        <v>46047</v>
      </c>
      <c r="D708" t="s">
        <v>2062</v>
      </c>
      <c r="E708" t="s">
        <v>2063</v>
      </c>
      <c r="F708" t="s">
        <v>27</v>
      </c>
      <c r="G708">
        <v>258.73</v>
      </c>
      <c r="H708" t="s">
        <v>2060</v>
      </c>
      <c r="I708" t="str">
        <f>VLOOKUP(B708,Customers!A:G,7,FALSE)</f>
        <v>Individual</v>
      </c>
      <c r="Q708" t="str">
        <f>IF(COUNTIF(Customers!$A$2:$A$1001,B708)&gt;0,"Valid","Invalid")</f>
        <v>Valid</v>
      </c>
      <c r="R708" t="str">
        <f>IF(COUNTIF(Branches!$A$2:$A$11,F708)&gt;0,"Valid","Invalid")</f>
        <v>Valid</v>
      </c>
    </row>
    <row r="709" spans="1:18" x14ac:dyDescent="0.25">
      <c r="A709" t="s">
        <v>2780</v>
      </c>
      <c r="B709" t="s">
        <v>472</v>
      </c>
      <c r="C709" s="8">
        <v>46154</v>
      </c>
      <c r="D709" t="s">
        <v>2058</v>
      </c>
      <c r="E709" t="s">
        <v>2059</v>
      </c>
      <c r="F709" t="s">
        <v>29</v>
      </c>
      <c r="G709">
        <v>643.24</v>
      </c>
      <c r="H709" t="s">
        <v>2060</v>
      </c>
      <c r="I709" t="str">
        <f>VLOOKUP(B709,Customers!A:G,7,FALSE)</f>
        <v>Individual</v>
      </c>
      <c r="Q709" t="str">
        <f>IF(COUNTIF(Customers!$A$2:$A$1001,B709)&gt;0,"Valid","Invalid")</f>
        <v>Valid</v>
      </c>
      <c r="R709" t="str">
        <f>IF(COUNTIF(Branches!$A$2:$A$11,F709)&gt;0,"Valid","Invalid")</f>
        <v>Valid</v>
      </c>
    </row>
    <row r="710" spans="1:18" x14ac:dyDescent="0.25">
      <c r="A710" t="s">
        <v>2781</v>
      </c>
      <c r="B710" t="s">
        <v>409</v>
      </c>
      <c r="C710" s="8">
        <v>46201</v>
      </c>
      <c r="D710" t="s">
        <v>2062</v>
      </c>
      <c r="E710" t="s">
        <v>2076</v>
      </c>
      <c r="F710" t="s">
        <v>29</v>
      </c>
      <c r="G710">
        <v>4634.45</v>
      </c>
      <c r="H710" t="s">
        <v>2060</v>
      </c>
      <c r="I710" t="str">
        <f>VLOOKUP(B710,Customers!A:G,7,FALSE)</f>
        <v>Individual</v>
      </c>
      <c r="Q710" t="str">
        <f>IF(COUNTIF(Customers!$A$2:$A$1001,B710)&gt;0,"Valid","Invalid")</f>
        <v>Valid</v>
      </c>
      <c r="R710" t="str">
        <f>IF(COUNTIF(Branches!$A$2:$A$11,F710)&gt;0,"Valid","Invalid")</f>
        <v>Valid</v>
      </c>
    </row>
    <row r="711" spans="1:18" x14ac:dyDescent="0.25">
      <c r="A711" t="s">
        <v>2782</v>
      </c>
      <c r="B711" t="s">
        <v>598</v>
      </c>
      <c r="C711" s="8">
        <v>46161</v>
      </c>
      <c r="D711" t="s">
        <v>2062</v>
      </c>
      <c r="E711" t="s">
        <v>2059</v>
      </c>
      <c r="F711" t="s">
        <v>45</v>
      </c>
      <c r="G711">
        <v>442.37</v>
      </c>
      <c r="H711" t="s">
        <v>2060</v>
      </c>
      <c r="I711" t="str">
        <f>VLOOKUP(B711,Customers!A:G,7,FALSE)</f>
        <v>Individual</v>
      </c>
      <c r="Q711" t="str">
        <f>IF(COUNTIF(Customers!$A$2:$A$1001,B711)&gt;0,"Valid","Invalid")</f>
        <v>Valid</v>
      </c>
      <c r="R711" t="str">
        <f>IF(COUNTIF(Branches!$A$2:$A$11,F711)&gt;0,"Valid","Invalid")</f>
        <v>Valid</v>
      </c>
    </row>
    <row r="712" spans="1:18" x14ac:dyDescent="0.25">
      <c r="A712" t="s">
        <v>2783</v>
      </c>
      <c r="B712" t="s">
        <v>929</v>
      </c>
      <c r="C712" s="8">
        <v>46167</v>
      </c>
      <c r="D712" t="s">
        <v>2065</v>
      </c>
      <c r="E712" t="s">
        <v>2063</v>
      </c>
      <c r="F712" t="s">
        <v>47</v>
      </c>
      <c r="G712">
        <v>2468.48</v>
      </c>
      <c r="H712" t="s">
        <v>2060</v>
      </c>
      <c r="I712" t="str">
        <f>VLOOKUP(B712,Customers!A:G,7,FALSE)</f>
        <v>Individual</v>
      </c>
      <c r="Q712" t="str">
        <f>IF(COUNTIF(Customers!$A$2:$A$1001,B712)&gt;0,"Valid","Invalid")</f>
        <v>Valid</v>
      </c>
      <c r="R712" t="str">
        <f>IF(COUNTIF(Branches!$A$2:$A$11,F712)&gt;0,"Valid","Invalid")</f>
        <v>Valid</v>
      </c>
    </row>
    <row r="713" spans="1:18" x14ac:dyDescent="0.25">
      <c r="A713" t="s">
        <v>2784</v>
      </c>
      <c r="B713" t="s">
        <v>114</v>
      </c>
      <c r="C713" s="8">
        <v>46130</v>
      </c>
      <c r="D713" t="s">
        <v>2062</v>
      </c>
      <c r="E713" t="s">
        <v>2063</v>
      </c>
      <c r="F713" t="s">
        <v>39</v>
      </c>
      <c r="G713">
        <v>2243.17</v>
      </c>
      <c r="H713" t="s">
        <v>2115</v>
      </c>
      <c r="I713" t="str">
        <f>VLOOKUP(B713,Customers!A:G,7,FALSE)</f>
        <v>Individual</v>
      </c>
      <c r="Q713" t="str">
        <f>IF(COUNTIF(Customers!$A$2:$A$1001,B713)&gt;0,"Valid","Invalid")</f>
        <v>Valid</v>
      </c>
      <c r="R713" t="str">
        <f>IF(COUNTIF(Branches!$A$2:$A$11,F713)&gt;0,"Valid","Invalid")</f>
        <v>Valid</v>
      </c>
    </row>
    <row r="714" spans="1:18" x14ac:dyDescent="0.25">
      <c r="A714" t="s">
        <v>2785</v>
      </c>
      <c r="B714" t="s">
        <v>580</v>
      </c>
      <c r="C714" s="8">
        <v>46216</v>
      </c>
      <c r="D714" t="s">
        <v>2058</v>
      </c>
      <c r="E714" t="s">
        <v>2076</v>
      </c>
      <c r="F714" t="s">
        <v>29</v>
      </c>
      <c r="G714">
        <v>2379.73</v>
      </c>
      <c r="H714" t="s">
        <v>2060</v>
      </c>
      <c r="I714" t="str">
        <f>VLOOKUP(B714,Customers!A:G,7,FALSE)</f>
        <v>Individual</v>
      </c>
      <c r="Q714" t="str">
        <f>IF(COUNTIF(Customers!$A$2:$A$1001,B714)&gt;0,"Valid","Invalid")</f>
        <v>Valid</v>
      </c>
      <c r="R714" t="str">
        <f>IF(COUNTIF(Branches!$A$2:$A$11,F714)&gt;0,"Valid","Invalid")</f>
        <v>Valid</v>
      </c>
    </row>
    <row r="715" spans="1:18" x14ac:dyDescent="0.25">
      <c r="A715" t="s">
        <v>2786</v>
      </c>
      <c r="B715" t="s">
        <v>323</v>
      </c>
      <c r="C715" s="8">
        <v>46220</v>
      </c>
      <c r="D715" t="s">
        <v>2065</v>
      </c>
      <c r="E715" t="s">
        <v>2073</v>
      </c>
      <c r="F715" t="s">
        <v>45</v>
      </c>
      <c r="G715">
        <v>228.83</v>
      </c>
      <c r="H715" t="s">
        <v>2060</v>
      </c>
      <c r="I715" t="str">
        <f>VLOOKUP(B715,Customers!A:G,7,FALSE)</f>
        <v>SME</v>
      </c>
      <c r="Q715" t="str">
        <f>IF(COUNTIF(Customers!$A$2:$A$1001,B715)&gt;0,"Valid","Invalid")</f>
        <v>Valid</v>
      </c>
      <c r="R715" t="str">
        <f>IF(COUNTIF(Branches!$A$2:$A$11,F715)&gt;0,"Valid","Invalid")</f>
        <v>Valid</v>
      </c>
    </row>
    <row r="716" spans="1:18" x14ac:dyDescent="0.25">
      <c r="A716" t="s">
        <v>2787</v>
      </c>
      <c r="B716" t="s">
        <v>686</v>
      </c>
      <c r="C716" s="8">
        <v>46223</v>
      </c>
      <c r="D716" t="s">
        <v>2058</v>
      </c>
      <c r="E716" t="s">
        <v>2059</v>
      </c>
      <c r="F716" t="s">
        <v>16</v>
      </c>
      <c r="G716">
        <v>1373.61</v>
      </c>
      <c r="H716" t="s">
        <v>2060</v>
      </c>
      <c r="I716" t="str">
        <f>VLOOKUP(B716,Customers!A:G,7,FALSE)</f>
        <v>SME</v>
      </c>
      <c r="Q716" t="str">
        <f>IF(COUNTIF(Customers!$A$2:$A$1001,B716)&gt;0,"Valid","Invalid")</f>
        <v>Valid</v>
      </c>
      <c r="R716" t="str">
        <f>IF(COUNTIF(Branches!$A$2:$A$11,F716)&gt;0,"Valid","Invalid")</f>
        <v>Valid</v>
      </c>
    </row>
    <row r="717" spans="1:18" x14ac:dyDescent="0.25">
      <c r="A717" t="s">
        <v>2788</v>
      </c>
      <c r="B717" t="s">
        <v>176</v>
      </c>
      <c r="C717" s="8">
        <v>46091</v>
      </c>
      <c r="D717" t="s">
        <v>2065</v>
      </c>
      <c r="E717" t="s">
        <v>2059</v>
      </c>
      <c r="F717" t="s">
        <v>11</v>
      </c>
      <c r="G717">
        <v>694.65</v>
      </c>
      <c r="H717" t="s">
        <v>2060</v>
      </c>
      <c r="I717" t="str">
        <f>VLOOKUP(B717,Customers!A:G,7,FALSE)</f>
        <v>Corporate</v>
      </c>
      <c r="Q717" t="str">
        <f>IF(COUNTIF(Customers!$A$2:$A$1001,B717)&gt;0,"Valid","Invalid")</f>
        <v>Valid</v>
      </c>
      <c r="R717" t="str">
        <f>IF(COUNTIF(Branches!$A$2:$A$11,F717)&gt;0,"Valid","Invalid")</f>
        <v>Valid</v>
      </c>
    </row>
    <row r="718" spans="1:18" x14ac:dyDescent="0.25">
      <c r="A718" t="s">
        <v>2789</v>
      </c>
      <c r="B718" t="s">
        <v>591</v>
      </c>
      <c r="C718" s="8">
        <v>46106</v>
      </c>
      <c r="D718" t="s">
        <v>2062</v>
      </c>
      <c r="E718" t="s">
        <v>2063</v>
      </c>
      <c r="F718" t="s">
        <v>27</v>
      </c>
      <c r="G718">
        <v>2412.69</v>
      </c>
      <c r="H718" t="s">
        <v>2060</v>
      </c>
      <c r="I718" t="str">
        <f>VLOOKUP(B718,Customers!A:G,7,FALSE)</f>
        <v>Individual</v>
      </c>
      <c r="Q718" t="str">
        <f>IF(COUNTIF(Customers!$A$2:$A$1001,B718)&gt;0,"Valid","Invalid")</f>
        <v>Valid</v>
      </c>
      <c r="R718" t="str">
        <f>IF(COUNTIF(Branches!$A$2:$A$11,F718)&gt;0,"Valid","Invalid")</f>
        <v>Valid</v>
      </c>
    </row>
    <row r="719" spans="1:18" x14ac:dyDescent="0.25">
      <c r="A719" t="s">
        <v>2790</v>
      </c>
      <c r="B719" t="s">
        <v>1036</v>
      </c>
      <c r="C719" s="8">
        <v>46179</v>
      </c>
      <c r="D719" t="s">
        <v>2058</v>
      </c>
      <c r="E719" t="s">
        <v>2063</v>
      </c>
      <c r="F719" t="s">
        <v>53</v>
      </c>
      <c r="G719">
        <v>155.24</v>
      </c>
      <c r="H719" t="s">
        <v>2060</v>
      </c>
      <c r="I719" t="str">
        <f>VLOOKUP(B719,Customers!A:G,7,FALSE)</f>
        <v>Corporate</v>
      </c>
      <c r="Q719" t="str">
        <f>IF(COUNTIF(Customers!$A$2:$A$1001,B719)&gt;0,"Valid","Invalid")</f>
        <v>Valid</v>
      </c>
      <c r="R719" t="str">
        <f>IF(COUNTIF(Branches!$A$2:$A$11,F719)&gt;0,"Valid","Invalid")</f>
        <v>Valid</v>
      </c>
    </row>
    <row r="720" spans="1:18" x14ac:dyDescent="0.25">
      <c r="A720" t="s">
        <v>2791</v>
      </c>
      <c r="B720" t="s">
        <v>320</v>
      </c>
      <c r="C720" s="8">
        <v>46107</v>
      </c>
      <c r="D720" t="s">
        <v>2070</v>
      </c>
      <c r="E720" t="s">
        <v>2063</v>
      </c>
      <c r="F720" t="s">
        <v>35</v>
      </c>
      <c r="G720">
        <v>1173.55</v>
      </c>
      <c r="H720" t="s">
        <v>2060</v>
      </c>
      <c r="I720" t="str">
        <f>VLOOKUP(B720,Customers!A:G,7,FALSE)</f>
        <v>Individual</v>
      </c>
      <c r="Q720" t="str">
        <f>IF(COUNTIF(Customers!$A$2:$A$1001,B720)&gt;0,"Valid","Invalid")</f>
        <v>Valid</v>
      </c>
      <c r="R720" t="str">
        <f>IF(COUNTIF(Branches!$A$2:$A$11,F720)&gt;0,"Valid","Invalid")</f>
        <v>Valid</v>
      </c>
    </row>
    <row r="721" spans="1:18" x14ac:dyDescent="0.25">
      <c r="A721" t="s">
        <v>2792</v>
      </c>
      <c r="B721" t="s">
        <v>600</v>
      </c>
      <c r="C721" s="8">
        <v>46223</v>
      </c>
      <c r="D721" t="s">
        <v>2065</v>
      </c>
      <c r="E721" t="s">
        <v>2063</v>
      </c>
      <c r="F721" t="s">
        <v>29</v>
      </c>
      <c r="G721">
        <v>1018.79</v>
      </c>
      <c r="H721" t="s">
        <v>2060</v>
      </c>
      <c r="I721" t="str">
        <f>VLOOKUP(B721,Customers!A:G,7,FALSE)</f>
        <v>Individual</v>
      </c>
      <c r="Q721" t="str">
        <f>IF(COUNTIF(Customers!$A$2:$A$1001,B721)&gt;0,"Valid","Invalid")</f>
        <v>Valid</v>
      </c>
      <c r="R721" t="str">
        <f>IF(COUNTIF(Branches!$A$2:$A$11,F721)&gt;0,"Valid","Invalid")</f>
        <v>Valid</v>
      </c>
    </row>
    <row r="722" spans="1:18" x14ac:dyDescent="0.25">
      <c r="A722" t="s">
        <v>2793</v>
      </c>
      <c r="B722" t="s">
        <v>296</v>
      </c>
      <c r="C722" s="8">
        <v>46242</v>
      </c>
      <c r="D722" t="s">
        <v>2058</v>
      </c>
      <c r="E722" t="s">
        <v>2059</v>
      </c>
      <c r="F722" t="s">
        <v>39</v>
      </c>
      <c r="G722">
        <v>111.04</v>
      </c>
      <c r="H722" t="s">
        <v>2060</v>
      </c>
      <c r="I722" t="str">
        <f>VLOOKUP(B722,Customers!A:G,7,FALSE)</f>
        <v>Individual</v>
      </c>
      <c r="Q722" t="str">
        <f>IF(COUNTIF(Customers!$A$2:$A$1001,B722)&gt;0,"Valid","Invalid")</f>
        <v>Valid</v>
      </c>
      <c r="R722" t="str">
        <f>IF(COUNTIF(Branches!$A$2:$A$11,F722)&gt;0,"Valid","Invalid")</f>
        <v>Valid</v>
      </c>
    </row>
    <row r="723" spans="1:18" x14ac:dyDescent="0.25">
      <c r="A723" t="s">
        <v>2794</v>
      </c>
      <c r="B723" t="s">
        <v>861</v>
      </c>
      <c r="C723" s="8">
        <v>46141</v>
      </c>
      <c r="D723" t="s">
        <v>2065</v>
      </c>
      <c r="E723" t="s">
        <v>2063</v>
      </c>
      <c r="F723" t="s">
        <v>39</v>
      </c>
      <c r="G723">
        <v>335.15</v>
      </c>
      <c r="H723" t="s">
        <v>2060</v>
      </c>
      <c r="I723" t="str">
        <f>VLOOKUP(B723,Customers!A:G,7,FALSE)</f>
        <v>SME</v>
      </c>
      <c r="Q723" t="str">
        <f>IF(COUNTIF(Customers!$A$2:$A$1001,B723)&gt;0,"Valid","Invalid")</f>
        <v>Valid</v>
      </c>
      <c r="R723" t="str">
        <f>IF(COUNTIF(Branches!$A$2:$A$11,F723)&gt;0,"Valid","Invalid")</f>
        <v>Valid</v>
      </c>
    </row>
    <row r="724" spans="1:18" x14ac:dyDescent="0.25">
      <c r="A724" t="s">
        <v>2795</v>
      </c>
      <c r="B724" t="s">
        <v>398</v>
      </c>
      <c r="C724" s="8">
        <v>46094</v>
      </c>
      <c r="D724" t="s">
        <v>2058</v>
      </c>
      <c r="E724" t="s">
        <v>2063</v>
      </c>
      <c r="F724" t="s">
        <v>11</v>
      </c>
      <c r="G724">
        <v>130.30000000000001</v>
      </c>
      <c r="H724" t="s">
        <v>2060</v>
      </c>
      <c r="I724" t="str">
        <f>VLOOKUP(B724,Customers!A:G,7,FALSE)</f>
        <v>Individual</v>
      </c>
      <c r="Q724" t="str">
        <f>IF(COUNTIF(Customers!$A$2:$A$1001,B724)&gt;0,"Valid","Invalid")</f>
        <v>Valid</v>
      </c>
      <c r="R724" t="str">
        <f>IF(COUNTIF(Branches!$A$2:$A$11,F724)&gt;0,"Valid","Invalid")</f>
        <v>Valid</v>
      </c>
    </row>
    <row r="725" spans="1:18" x14ac:dyDescent="0.25">
      <c r="A725" t="s">
        <v>2796</v>
      </c>
      <c r="B725" t="s">
        <v>478</v>
      </c>
      <c r="C725" s="8">
        <v>46245</v>
      </c>
      <c r="D725" t="s">
        <v>2062</v>
      </c>
      <c r="E725" t="s">
        <v>2076</v>
      </c>
      <c r="F725" t="s">
        <v>47</v>
      </c>
      <c r="G725">
        <v>392.94</v>
      </c>
      <c r="H725" t="s">
        <v>2060</v>
      </c>
      <c r="I725" t="str">
        <f>VLOOKUP(B725,Customers!A:G,7,FALSE)</f>
        <v>Corporate</v>
      </c>
      <c r="Q725" t="str">
        <f>IF(COUNTIF(Customers!$A$2:$A$1001,B725)&gt;0,"Valid","Invalid")</f>
        <v>Valid</v>
      </c>
      <c r="R725" t="str">
        <f>IF(COUNTIF(Branches!$A$2:$A$11,F725)&gt;0,"Valid","Invalid")</f>
        <v>Valid</v>
      </c>
    </row>
    <row r="726" spans="1:18" x14ac:dyDescent="0.25">
      <c r="A726" t="s">
        <v>2797</v>
      </c>
      <c r="B726" t="s">
        <v>308</v>
      </c>
      <c r="C726" s="8">
        <v>46042</v>
      </c>
      <c r="D726" t="s">
        <v>2062</v>
      </c>
      <c r="E726" t="s">
        <v>2068</v>
      </c>
      <c r="F726" t="s">
        <v>47</v>
      </c>
      <c r="G726">
        <v>1407</v>
      </c>
      <c r="H726" t="s">
        <v>2060</v>
      </c>
      <c r="I726" t="str">
        <f>VLOOKUP(B726,Customers!A:G,7,FALSE)</f>
        <v>SME</v>
      </c>
      <c r="Q726" t="str">
        <f>IF(COUNTIF(Customers!$A$2:$A$1001,B726)&gt;0,"Valid","Invalid")</f>
        <v>Valid</v>
      </c>
      <c r="R726" t="str">
        <f>IF(COUNTIF(Branches!$A$2:$A$11,F726)&gt;0,"Valid","Invalid")</f>
        <v>Valid</v>
      </c>
    </row>
    <row r="727" spans="1:18" x14ac:dyDescent="0.25">
      <c r="A727" t="s">
        <v>2798</v>
      </c>
      <c r="B727" t="s">
        <v>170</v>
      </c>
      <c r="C727" s="8">
        <v>46049</v>
      </c>
      <c r="D727" t="s">
        <v>2062</v>
      </c>
      <c r="E727" t="s">
        <v>2073</v>
      </c>
      <c r="F727" t="s">
        <v>45</v>
      </c>
      <c r="G727">
        <v>987.69</v>
      </c>
      <c r="H727" t="s">
        <v>2060</v>
      </c>
      <c r="I727" t="str">
        <f>VLOOKUP(B727,Customers!A:G,7,FALSE)</f>
        <v>Individual</v>
      </c>
      <c r="Q727" t="str">
        <f>IF(COUNTIF(Customers!$A$2:$A$1001,B727)&gt;0,"Valid","Invalid")</f>
        <v>Valid</v>
      </c>
      <c r="R727" t="str">
        <f>IF(COUNTIF(Branches!$A$2:$A$11,F727)&gt;0,"Valid","Invalid")</f>
        <v>Valid</v>
      </c>
    </row>
    <row r="728" spans="1:18" x14ac:dyDescent="0.25">
      <c r="A728" t="s">
        <v>2799</v>
      </c>
      <c r="B728" t="s">
        <v>784</v>
      </c>
      <c r="C728" s="8">
        <v>46030</v>
      </c>
      <c r="D728" t="s">
        <v>2062</v>
      </c>
      <c r="E728" t="s">
        <v>2076</v>
      </c>
      <c r="F728" t="s">
        <v>29</v>
      </c>
      <c r="G728">
        <v>962.37</v>
      </c>
      <c r="H728" t="s">
        <v>2060</v>
      </c>
      <c r="I728" t="str">
        <f>VLOOKUP(B728,Customers!A:G,7,FALSE)</f>
        <v>SME</v>
      </c>
      <c r="Q728" t="str">
        <f>IF(COUNTIF(Customers!$A$2:$A$1001,B728)&gt;0,"Valid","Invalid")</f>
        <v>Valid</v>
      </c>
      <c r="R728" t="str">
        <f>IF(COUNTIF(Branches!$A$2:$A$11,F728)&gt;0,"Valid","Invalid")</f>
        <v>Valid</v>
      </c>
    </row>
    <row r="729" spans="1:18" x14ac:dyDescent="0.25">
      <c r="A729" t="s">
        <v>2800</v>
      </c>
      <c r="B729" t="s">
        <v>678</v>
      </c>
      <c r="C729" s="8">
        <v>46107</v>
      </c>
      <c r="D729" t="s">
        <v>2065</v>
      </c>
      <c r="E729" t="s">
        <v>2063</v>
      </c>
      <c r="F729" t="s">
        <v>27</v>
      </c>
      <c r="G729">
        <v>287.22000000000003</v>
      </c>
      <c r="H729" t="s">
        <v>2060</v>
      </c>
      <c r="I729" t="str">
        <f>VLOOKUP(B729,Customers!A:G,7,FALSE)</f>
        <v>SME</v>
      </c>
      <c r="Q729" t="str">
        <f>IF(COUNTIF(Customers!$A$2:$A$1001,B729)&gt;0,"Valid","Invalid")</f>
        <v>Valid</v>
      </c>
      <c r="R729" t="str">
        <f>IF(COUNTIF(Branches!$A$2:$A$11,F729)&gt;0,"Valid","Invalid")</f>
        <v>Valid</v>
      </c>
    </row>
    <row r="730" spans="1:18" x14ac:dyDescent="0.25">
      <c r="A730" t="s">
        <v>2801</v>
      </c>
      <c r="B730" t="s">
        <v>140</v>
      </c>
      <c r="C730" s="8">
        <v>46083</v>
      </c>
      <c r="D730" t="s">
        <v>2067</v>
      </c>
      <c r="E730" t="s">
        <v>2076</v>
      </c>
      <c r="F730" t="s">
        <v>11</v>
      </c>
      <c r="G730">
        <v>2491.0300000000002</v>
      </c>
      <c r="H730" t="s">
        <v>2060</v>
      </c>
      <c r="I730" t="str">
        <f>VLOOKUP(B730,Customers!A:G,7,FALSE)</f>
        <v>Individual</v>
      </c>
      <c r="Q730" t="str">
        <f>IF(COUNTIF(Customers!$A$2:$A$1001,B730)&gt;0,"Valid","Invalid")</f>
        <v>Valid</v>
      </c>
      <c r="R730" t="str">
        <f>IF(COUNTIF(Branches!$A$2:$A$11,F730)&gt;0,"Valid","Invalid")</f>
        <v>Valid</v>
      </c>
    </row>
    <row r="731" spans="1:18" x14ac:dyDescent="0.25">
      <c r="A731" t="s">
        <v>2802</v>
      </c>
      <c r="B731" t="s">
        <v>804</v>
      </c>
      <c r="C731" s="8">
        <v>46178</v>
      </c>
      <c r="D731" t="s">
        <v>2058</v>
      </c>
      <c r="E731" t="s">
        <v>2063</v>
      </c>
      <c r="F731" t="s">
        <v>47</v>
      </c>
      <c r="G731">
        <v>797.26</v>
      </c>
      <c r="H731" t="s">
        <v>2060</v>
      </c>
      <c r="I731" t="str">
        <f>VLOOKUP(B731,Customers!A:G,7,FALSE)</f>
        <v>Individual</v>
      </c>
      <c r="Q731" t="str">
        <f>IF(COUNTIF(Customers!$A$2:$A$1001,B731)&gt;0,"Valid","Invalid")</f>
        <v>Valid</v>
      </c>
      <c r="R731" t="str">
        <f>IF(COUNTIF(Branches!$A$2:$A$11,F731)&gt;0,"Valid","Invalid")</f>
        <v>Valid</v>
      </c>
    </row>
    <row r="732" spans="1:18" x14ac:dyDescent="0.25">
      <c r="A732" t="s">
        <v>2803</v>
      </c>
      <c r="B732" t="s">
        <v>131</v>
      </c>
      <c r="C732" s="8">
        <v>46237</v>
      </c>
      <c r="D732" t="s">
        <v>2058</v>
      </c>
      <c r="E732" t="s">
        <v>2076</v>
      </c>
      <c r="F732" t="s">
        <v>27</v>
      </c>
      <c r="G732">
        <v>840.25</v>
      </c>
      <c r="H732" t="s">
        <v>2060</v>
      </c>
      <c r="I732" t="str">
        <f>VLOOKUP(B732,Customers!A:G,7,FALSE)</f>
        <v>Individual</v>
      </c>
      <c r="Q732" t="str">
        <f>IF(COUNTIF(Customers!$A$2:$A$1001,B732)&gt;0,"Valid","Invalid")</f>
        <v>Valid</v>
      </c>
      <c r="R732" t="str">
        <f>IF(COUNTIF(Branches!$A$2:$A$11,F732)&gt;0,"Valid","Invalid")</f>
        <v>Valid</v>
      </c>
    </row>
    <row r="733" spans="1:18" x14ac:dyDescent="0.25">
      <c r="A733" t="s">
        <v>2804</v>
      </c>
      <c r="B733" t="s">
        <v>887</v>
      </c>
      <c r="C733" s="8">
        <v>46220</v>
      </c>
      <c r="D733" t="s">
        <v>2065</v>
      </c>
      <c r="E733" t="s">
        <v>2068</v>
      </c>
      <c r="F733" t="s">
        <v>35</v>
      </c>
      <c r="G733">
        <v>2080.5700000000002</v>
      </c>
      <c r="H733" t="s">
        <v>2060</v>
      </c>
      <c r="I733" t="str">
        <f>VLOOKUP(B733,Customers!A:G,7,FALSE)</f>
        <v>Individual</v>
      </c>
      <c r="Q733" t="str">
        <f>IF(COUNTIF(Customers!$A$2:$A$1001,B733)&gt;0,"Valid","Invalid")</f>
        <v>Valid</v>
      </c>
      <c r="R733" t="str">
        <f>IF(COUNTIF(Branches!$A$2:$A$11,F733)&gt;0,"Valid","Invalid")</f>
        <v>Valid</v>
      </c>
    </row>
    <row r="734" spans="1:18" x14ac:dyDescent="0.25">
      <c r="A734" t="s">
        <v>2805</v>
      </c>
      <c r="B734" t="s">
        <v>767</v>
      </c>
      <c r="C734" s="8">
        <v>46025</v>
      </c>
      <c r="D734" t="s">
        <v>2058</v>
      </c>
      <c r="E734" t="s">
        <v>2076</v>
      </c>
      <c r="F734" t="s">
        <v>39</v>
      </c>
      <c r="G734">
        <v>301.47000000000003</v>
      </c>
      <c r="H734" t="s">
        <v>2060</v>
      </c>
      <c r="I734" t="str">
        <f>VLOOKUP(B734,Customers!A:G,7,FALSE)</f>
        <v>Individual</v>
      </c>
      <c r="Q734" t="str">
        <f>IF(COUNTIF(Customers!$A$2:$A$1001,B734)&gt;0,"Valid","Invalid")</f>
        <v>Valid</v>
      </c>
      <c r="R734" t="str">
        <f>IF(COUNTIF(Branches!$A$2:$A$11,F734)&gt;0,"Valid","Invalid")</f>
        <v>Valid</v>
      </c>
    </row>
    <row r="735" spans="1:18" x14ac:dyDescent="0.25">
      <c r="A735" t="s">
        <v>2806</v>
      </c>
      <c r="B735" t="s">
        <v>611</v>
      </c>
      <c r="C735" s="8">
        <v>46219</v>
      </c>
      <c r="D735" t="s">
        <v>2067</v>
      </c>
      <c r="E735" t="s">
        <v>2073</v>
      </c>
      <c r="F735" t="s">
        <v>45</v>
      </c>
      <c r="G735">
        <v>1021.01</v>
      </c>
      <c r="H735" t="s">
        <v>2060</v>
      </c>
      <c r="I735" t="str">
        <f>VLOOKUP(B735,Customers!A:G,7,FALSE)</f>
        <v>Individual</v>
      </c>
      <c r="Q735" t="str">
        <f>IF(COUNTIF(Customers!$A$2:$A$1001,B735)&gt;0,"Valid","Invalid")</f>
        <v>Valid</v>
      </c>
      <c r="R735" t="str">
        <f>IF(COUNTIF(Branches!$A$2:$A$11,F735)&gt;0,"Valid","Invalid")</f>
        <v>Valid</v>
      </c>
    </row>
    <row r="736" spans="1:18" x14ac:dyDescent="0.25">
      <c r="A736" t="s">
        <v>2807</v>
      </c>
      <c r="B736" t="s">
        <v>518</v>
      </c>
      <c r="C736" s="8">
        <v>46223</v>
      </c>
      <c r="D736" t="s">
        <v>2067</v>
      </c>
      <c r="E736" t="s">
        <v>2076</v>
      </c>
      <c r="F736" t="s">
        <v>27</v>
      </c>
      <c r="G736">
        <v>1240.74</v>
      </c>
      <c r="H736" t="s">
        <v>2060</v>
      </c>
      <c r="I736" t="str">
        <f>VLOOKUP(B736,Customers!A:G,7,FALSE)</f>
        <v>SME</v>
      </c>
      <c r="Q736" t="str">
        <f>IF(COUNTIF(Customers!$A$2:$A$1001,B736)&gt;0,"Valid","Invalid")</f>
        <v>Valid</v>
      </c>
      <c r="R736" t="str">
        <f>IF(COUNTIF(Branches!$A$2:$A$11,F736)&gt;0,"Valid","Invalid")</f>
        <v>Valid</v>
      </c>
    </row>
    <row r="737" spans="1:18" x14ac:dyDescent="0.25">
      <c r="A737" t="s">
        <v>2808</v>
      </c>
      <c r="B737" t="s">
        <v>818</v>
      </c>
      <c r="C737" s="8">
        <v>46029</v>
      </c>
      <c r="D737" t="s">
        <v>2062</v>
      </c>
      <c r="E737" t="s">
        <v>2076</v>
      </c>
      <c r="F737" t="s">
        <v>39</v>
      </c>
      <c r="G737">
        <v>470.8</v>
      </c>
      <c r="H737" t="s">
        <v>2060</v>
      </c>
      <c r="I737" t="str">
        <f>VLOOKUP(B737,Customers!A:G,7,FALSE)</f>
        <v>Corporate</v>
      </c>
      <c r="Q737" t="str">
        <f>IF(COUNTIF(Customers!$A$2:$A$1001,B737)&gt;0,"Valid","Invalid")</f>
        <v>Valid</v>
      </c>
      <c r="R737" t="str">
        <f>IF(COUNTIF(Branches!$A$2:$A$11,F737)&gt;0,"Valid","Invalid")</f>
        <v>Valid</v>
      </c>
    </row>
    <row r="738" spans="1:18" x14ac:dyDescent="0.25">
      <c r="A738" t="s">
        <v>2809</v>
      </c>
      <c r="B738" t="s">
        <v>279</v>
      </c>
      <c r="C738" s="8">
        <v>46210</v>
      </c>
      <c r="D738" t="s">
        <v>2067</v>
      </c>
      <c r="E738" t="s">
        <v>2063</v>
      </c>
      <c r="F738" t="s">
        <v>53</v>
      </c>
      <c r="G738">
        <v>1559.89</v>
      </c>
      <c r="H738" t="s">
        <v>2060</v>
      </c>
      <c r="I738" t="str">
        <f>VLOOKUP(B738,Customers!A:G,7,FALSE)</f>
        <v>SME</v>
      </c>
      <c r="Q738" t="str">
        <f>IF(COUNTIF(Customers!$A$2:$A$1001,B738)&gt;0,"Valid","Invalid")</f>
        <v>Valid</v>
      </c>
      <c r="R738" t="str">
        <f>IF(COUNTIF(Branches!$A$2:$A$11,F738)&gt;0,"Valid","Invalid")</f>
        <v>Valid</v>
      </c>
    </row>
    <row r="739" spans="1:18" x14ac:dyDescent="0.25">
      <c r="A739" t="s">
        <v>2810</v>
      </c>
      <c r="B739" t="s">
        <v>42</v>
      </c>
      <c r="C739" s="8">
        <v>46026</v>
      </c>
      <c r="D739" t="s">
        <v>2065</v>
      </c>
      <c r="E739" t="s">
        <v>2073</v>
      </c>
      <c r="F739" t="s">
        <v>35</v>
      </c>
      <c r="G739">
        <v>1309.1400000000001</v>
      </c>
      <c r="H739" t="s">
        <v>2060</v>
      </c>
      <c r="I739" t="str">
        <f>VLOOKUP(B739,Customers!A:G,7,FALSE)</f>
        <v>Individual</v>
      </c>
      <c r="Q739" t="str">
        <f>IF(COUNTIF(Customers!$A$2:$A$1001,B739)&gt;0,"Valid","Invalid")</f>
        <v>Valid</v>
      </c>
      <c r="R739" t="str">
        <f>IF(COUNTIF(Branches!$A$2:$A$11,F739)&gt;0,"Valid","Invalid")</f>
        <v>Valid</v>
      </c>
    </row>
    <row r="740" spans="1:18" x14ac:dyDescent="0.25">
      <c r="A740" t="s">
        <v>2811</v>
      </c>
      <c r="B740" t="s">
        <v>183</v>
      </c>
      <c r="C740" s="8">
        <v>46253</v>
      </c>
      <c r="D740" t="s">
        <v>2065</v>
      </c>
      <c r="E740" t="s">
        <v>2063</v>
      </c>
      <c r="F740" t="s">
        <v>27</v>
      </c>
      <c r="G740">
        <v>734.23</v>
      </c>
      <c r="H740" t="s">
        <v>2107</v>
      </c>
      <c r="I740" t="str">
        <f>VLOOKUP(B740,Customers!A:G,7,FALSE)</f>
        <v>Corporate</v>
      </c>
      <c r="Q740" t="str">
        <f>IF(COUNTIF(Customers!$A$2:$A$1001,B740)&gt;0,"Valid","Invalid")</f>
        <v>Valid</v>
      </c>
      <c r="R740" t="str">
        <f>IF(COUNTIF(Branches!$A$2:$A$11,F740)&gt;0,"Valid","Invalid")</f>
        <v>Valid</v>
      </c>
    </row>
    <row r="741" spans="1:18" x14ac:dyDescent="0.25">
      <c r="A741" t="s">
        <v>2812</v>
      </c>
      <c r="B741" t="s">
        <v>978</v>
      </c>
      <c r="C741" s="8">
        <v>46155</v>
      </c>
      <c r="D741" t="s">
        <v>2062</v>
      </c>
      <c r="E741" t="s">
        <v>2073</v>
      </c>
      <c r="F741" t="s">
        <v>27</v>
      </c>
      <c r="G741">
        <v>711.84</v>
      </c>
      <c r="H741" t="s">
        <v>2060</v>
      </c>
      <c r="I741" t="str">
        <f>VLOOKUP(B741,Customers!A:G,7,FALSE)</f>
        <v>Individual</v>
      </c>
      <c r="Q741" t="str">
        <f>IF(COUNTIF(Customers!$A$2:$A$1001,B741)&gt;0,"Valid","Invalid")</f>
        <v>Valid</v>
      </c>
      <c r="R741" t="str">
        <f>IF(COUNTIF(Branches!$A$2:$A$11,F741)&gt;0,"Valid","Invalid")</f>
        <v>Valid</v>
      </c>
    </row>
    <row r="742" spans="1:18" x14ac:dyDescent="0.25">
      <c r="A742" t="s">
        <v>2813</v>
      </c>
      <c r="B742" t="s">
        <v>790</v>
      </c>
      <c r="C742" s="8">
        <v>46161</v>
      </c>
      <c r="D742" t="s">
        <v>2070</v>
      </c>
      <c r="E742" t="s">
        <v>2063</v>
      </c>
      <c r="F742" t="s">
        <v>27</v>
      </c>
      <c r="G742">
        <v>1371.35</v>
      </c>
      <c r="H742" t="s">
        <v>2115</v>
      </c>
      <c r="I742" t="str">
        <f>VLOOKUP(B742,Customers!A:G,7,FALSE)</f>
        <v>Individual</v>
      </c>
      <c r="Q742" t="str">
        <f>IF(COUNTIF(Customers!$A$2:$A$1001,B742)&gt;0,"Valid","Invalid")</f>
        <v>Valid</v>
      </c>
      <c r="R742" t="str">
        <f>IF(COUNTIF(Branches!$A$2:$A$11,F742)&gt;0,"Valid","Invalid")</f>
        <v>Valid</v>
      </c>
    </row>
    <row r="743" spans="1:18" x14ac:dyDescent="0.25">
      <c r="A743" t="s">
        <v>2814</v>
      </c>
      <c r="B743" t="s">
        <v>639</v>
      </c>
      <c r="C743" s="8">
        <v>46147</v>
      </c>
      <c r="D743" t="s">
        <v>2058</v>
      </c>
      <c r="E743" t="s">
        <v>2063</v>
      </c>
      <c r="F743" t="s">
        <v>11</v>
      </c>
      <c r="G743">
        <v>1787.32</v>
      </c>
      <c r="H743" t="s">
        <v>2060</v>
      </c>
      <c r="I743" t="str">
        <f>VLOOKUP(B743,Customers!A:G,7,FALSE)</f>
        <v>Individual</v>
      </c>
      <c r="Q743" t="str">
        <f>IF(COUNTIF(Customers!$A$2:$A$1001,B743)&gt;0,"Valid","Invalid")</f>
        <v>Valid</v>
      </c>
      <c r="R743" t="str">
        <f>IF(COUNTIF(Branches!$A$2:$A$11,F743)&gt;0,"Valid","Invalid")</f>
        <v>Valid</v>
      </c>
    </row>
    <row r="744" spans="1:18" x14ac:dyDescent="0.25">
      <c r="A744" t="s">
        <v>2815</v>
      </c>
      <c r="B744" t="s">
        <v>131</v>
      </c>
      <c r="C744" s="8">
        <v>46037</v>
      </c>
      <c r="D744" t="s">
        <v>2067</v>
      </c>
      <c r="E744" t="s">
        <v>2068</v>
      </c>
      <c r="F744" t="s">
        <v>47</v>
      </c>
      <c r="G744">
        <v>865.15</v>
      </c>
      <c r="H744" t="s">
        <v>2060</v>
      </c>
      <c r="I744" t="str">
        <f>VLOOKUP(B744,Customers!A:G,7,FALSE)</f>
        <v>Individual</v>
      </c>
      <c r="Q744" t="str">
        <f>IF(COUNTIF(Customers!$A$2:$A$1001,B744)&gt;0,"Valid","Invalid")</f>
        <v>Valid</v>
      </c>
      <c r="R744" t="str">
        <f>IF(COUNTIF(Branches!$A$2:$A$11,F744)&gt;0,"Valid","Invalid")</f>
        <v>Valid</v>
      </c>
    </row>
    <row r="745" spans="1:18" x14ac:dyDescent="0.25">
      <c r="A745" t="s">
        <v>2816</v>
      </c>
      <c r="B745" t="s">
        <v>865</v>
      </c>
      <c r="C745" s="8">
        <v>46214</v>
      </c>
      <c r="D745" t="s">
        <v>2070</v>
      </c>
      <c r="E745" t="s">
        <v>2063</v>
      </c>
      <c r="F745" t="s">
        <v>29</v>
      </c>
      <c r="G745">
        <v>2490.38</v>
      </c>
      <c r="H745" t="s">
        <v>2060</v>
      </c>
      <c r="I745" t="str">
        <f>VLOOKUP(B745,Customers!A:G,7,FALSE)</f>
        <v>Individual</v>
      </c>
      <c r="Q745" t="str">
        <f>IF(COUNTIF(Customers!$A$2:$A$1001,B745)&gt;0,"Valid","Invalid")</f>
        <v>Valid</v>
      </c>
      <c r="R745" t="str">
        <f>IF(COUNTIF(Branches!$A$2:$A$11,F745)&gt;0,"Valid","Invalid")</f>
        <v>Valid</v>
      </c>
    </row>
    <row r="746" spans="1:18" x14ac:dyDescent="0.25">
      <c r="A746" t="s">
        <v>2817</v>
      </c>
      <c r="B746" t="s">
        <v>331</v>
      </c>
      <c r="C746" s="8">
        <v>46248</v>
      </c>
      <c r="D746" t="s">
        <v>2058</v>
      </c>
      <c r="E746" t="s">
        <v>2068</v>
      </c>
      <c r="F746" t="s">
        <v>21</v>
      </c>
      <c r="G746">
        <v>1569.52</v>
      </c>
      <c r="H746" t="s">
        <v>2060</v>
      </c>
      <c r="I746" t="str">
        <f>VLOOKUP(B746,Customers!A:G,7,FALSE)</f>
        <v>SME</v>
      </c>
      <c r="Q746" t="str">
        <f>IF(COUNTIF(Customers!$A$2:$A$1001,B746)&gt;0,"Valid","Invalid")</f>
        <v>Valid</v>
      </c>
      <c r="R746" t="str">
        <f>IF(COUNTIF(Branches!$A$2:$A$11,F746)&gt;0,"Valid","Invalid")</f>
        <v>Valid</v>
      </c>
    </row>
    <row r="747" spans="1:18" x14ac:dyDescent="0.25">
      <c r="A747" t="s">
        <v>2818</v>
      </c>
      <c r="B747" t="s">
        <v>59</v>
      </c>
      <c r="C747" s="8">
        <v>46035</v>
      </c>
      <c r="D747" t="s">
        <v>2062</v>
      </c>
      <c r="E747" t="s">
        <v>2063</v>
      </c>
      <c r="F747" t="s">
        <v>11</v>
      </c>
      <c r="G747">
        <v>135.85</v>
      </c>
      <c r="H747" t="s">
        <v>2060</v>
      </c>
      <c r="I747" t="str">
        <f>VLOOKUP(B747,Customers!A:G,7,FALSE)</f>
        <v>Individual</v>
      </c>
      <c r="Q747" t="str">
        <f>IF(COUNTIF(Customers!$A$2:$A$1001,B747)&gt;0,"Valid","Invalid")</f>
        <v>Valid</v>
      </c>
      <c r="R747" t="str">
        <f>IF(COUNTIF(Branches!$A$2:$A$11,F747)&gt;0,"Valid","Invalid")</f>
        <v>Valid</v>
      </c>
    </row>
    <row r="748" spans="1:18" x14ac:dyDescent="0.25">
      <c r="A748" t="s">
        <v>2819</v>
      </c>
      <c r="B748" t="s">
        <v>310</v>
      </c>
      <c r="C748" s="8">
        <v>46140</v>
      </c>
      <c r="D748" t="s">
        <v>2062</v>
      </c>
      <c r="E748" t="s">
        <v>2068</v>
      </c>
      <c r="F748" t="s">
        <v>11</v>
      </c>
      <c r="G748">
        <v>199.36</v>
      </c>
      <c r="H748" t="s">
        <v>2060</v>
      </c>
      <c r="I748" t="str">
        <f>VLOOKUP(B748,Customers!A:G,7,FALSE)</f>
        <v>Individual</v>
      </c>
      <c r="Q748" t="str">
        <f>IF(COUNTIF(Customers!$A$2:$A$1001,B748)&gt;0,"Valid","Invalid")</f>
        <v>Valid</v>
      </c>
      <c r="R748" t="str">
        <f>IF(COUNTIF(Branches!$A$2:$A$11,F748)&gt;0,"Valid","Invalid")</f>
        <v>Valid</v>
      </c>
    </row>
    <row r="749" spans="1:18" x14ac:dyDescent="0.25">
      <c r="A749" t="s">
        <v>2820</v>
      </c>
      <c r="B749" t="s">
        <v>543</v>
      </c>
      <c r="C749" s="8">
        <v>46262</v>
      </c>
      <c r="D749" t="s">
        <v>2067</v>
      </c>
      <c r="E749" t="s">
        <v>2076</v>
      </c>
      <c r="F749" t="s">
        <v>35</v>
      </c>
      <c r="G749">
        <v>2649.79</v>
      </c>
      <c r="H749" t="s">
        <v>2060</v>
      </c>
      <c r="I749" t="str">
        <f>VLOOKUP(B749,Customers!A:G,7,FALSE)</f>
        <v>SME</v>
      </c>
      <c r="Q749" t="str">
        <f>IF(COUNTIF(Customers!$A$2:$A$1001,B749)&gt;0,"Valid","Invalid")</f>
        <v>Valid</v>
      </c>
      <c r="R749" t="str">
        <f>IF(COUNTIF(Branches!$A$2:$A$11,F749)&gt;0,"Valid","Invalid")</f>
        <v>Valid</v>
      </c>
    </row>
    <row r="750" spans="1:18" x14ac:dyDescent="0.25">
      <c r="A750" t="s">
        <v>2821</v>
      </c>
      <c r="B750" t="s">
        <v>202</v>
      </c>
      <c r="C750" s="8">
        <v>46029</v>
      </c>
      <c r="D750" t="s">
        <v>2067</v>
      </c>
      <c r="E750" t="s">
        <v>2076</v>
      </c>
      <c r="F750" t="s">
        <v>27</v>
      </c>
      <c r="G750">
        <v>634.75</v>
      </c>
      <c r="H750" t="s">
        <v>2060</v>
      </c>
      <c r="I750" t="str">
        <f>VLOOKUP(B750,Customers!A:G,7,FALSE)</f>
        <v>Student</v>
      </c>
      <c r="Q750" t="str">
        <f>IF(COUNTIF(Customers!$A$2:$A$1001,B750)&gt;0,"Valid","Invalid")</f>
        <v>Valid</v>
      </c>
      <c r="R750" t="str">
        <f>IF(COUNTIF(Branches!$A$2:$A$11,F750)&gt;0,"Valid","Invalid")</f>
        <v>Valid</v>
      </c>
    </row>
    <row r="751" spans="1:18" x14ac:dyDescent="0.25">
      <c r="A751" t="s">
        <v>2822</v>
      </c>
      <c r="B751" t="s">
        <v>977</v>
      </c>
      <c r="C751" s="8">
        <v>46126</v>
      </c>
      <c r="D751" t="s">
        <v>2065</v>
      </c>
      <c r="E751" t="s">
        <v>2059</v>
      </c>
      <c r="F751" t="s">
        <v>29</v>
      </c>
      <c r="G751">
        <v>957.36</v>
      </c>
      <c r="H751" t="s">
        <v>2060</v>
      </c>
      <c r="I751" t="str">
        <f>VLOOKUP(B751,Customers!A:G,7,FALSE)</f>
        <v>Corporate</v>
      </c>
      <c r="Q751" t="str">
        <f>IF(COUNTIF(Customers!$A$2:$A$1001,B751)&gt;0,"Valid","Invalid")</f>
        <v>Valid</v>
      </c>
      <c r="R751" t="str">
        <f>IF(COUNTIF(Branches!$A$2:$A$11,F751)&gt;0,"Valid","Invalid")</f>
        <v>Valid</v>
      </c>
    </row>
    <row r="752" spans="1:18" x14ac:dyDescent="0.25">
      <c r="A752" t="s">
        <v>2823</v>
      </c>
      <c r="B752" t="s">
        <v>800</v>
      </c>
      <c r="C752" s="8">
        <v>46028</v>
      </c>
      <c r="D752" t="s">
        <v>2067</v>
      </c>
      <c r="E752" t="s">
        <v>2063</v>
      </c>
      <c r="F752" t="s">
        <v>45</v>
      </c>
      <c r="G752">
        <v>2538.4</v>
      </c>
      <c r="H752" t="s">
        <v>2060</v>
      </c>
      <c r="I752" t="str">
        <f>VLOOKUP(B752,Customers!A:G,7,FALSE)</f>
        <v>Individual</v>
      </c>
      <c r="Q752" t="str">
        <f>IF(COUNTIF(Customers!$A$2:$A$1001,B752)&gt;0,"Valid","Invalid")</f>
        <v>Valid</v>
      </c>
      <c r="R752" t="str">
        <f>IF(COUNTIF(Branches!$A$2:$A$11,F752)&gt;0,"Valid","Invalid")</f>
        <v>Valid</v>
      </c>
    </row>
    <row r="753" spans="1:18" x14ac:dyDescent="0.25">
      <c r="A753" t="s">
        <v>2824</v>
      </c>
      <c r="B753" t="s">
        <v>123</v>
      </c>
      <c r="C753" s="8">
        <v>46206</v>
      </c>
      <c r="D753" t="s">
        <v>2062</v>
      </c>
      <c r="E753" t="s">
        <v>2068</v>
      </c>
      <c r="F753" t="s">
        <v>47</v>
      </c>
      <c r="G753">
        <v>807.21</v>
      </c>
      <c r="H753" t="s">
        <v>2060</v>
      </c>
      <c r="I753" t="str">
        <f>VLOOKUP(B753,Customers!A:G,7,FALSE)</f>
        <v>Corporate</v>
      </c>
      <c r="Q753" t="str">
        <f>IF(COUNTIF(Customers!$A$2:$A$1001,B753)&gt;0,"Valid","Invalid")</f>
        <v>Valid</v>
      </c>
      <c r="R753" t="str">
        <f>IF(COUNTIF(Branches!$A$2:$A$11,F753)&gt;0,"Valid","Invalid")</f>
        <v>Valid</v>
      </c>
    </row>
    <row r="754" spans="1:18" x14ac:dyDescent="0.25">
      <c r="A754" t="s">
        <v>2825</v>
      </c>
      <c r="B754" t="s">
        <v>692</v>
      </c>
      <c r="C754" s="8">
        <v>46086</v>
      </c>
      <c r="D754" t="s">
        <v>2062</v>
      </c>
      <c r="E754" t="s">
        <v>2063</v>
      </c>
      <c r="F754" t="s">
        <v>27</v>
      </c>
      <c r="G754">
        <v>843.25</v>
      </c>
      <c r="H754" t="s">
        <v>2060</v>
      </c>
      <c r="I754" t="str">
        <f>VLOOKUP(B754,Customers!A:G,7,FALSE)</f>
        <v>Individual</v>
      </c>
      <c r="Q754" t="str">
        <f>IF(COUNTIF(Customers!$A$2:$A$1001,B754)&gt;0,"Valid","Invalid")</f>
        <v>Valid</v>
      </c>
      <c r="R754" t="str">
        <f>IF(COUNTIF(Branches!$A$2:$A$11,F754)&gt;0,"Valid","Invalid")</f>
        <v>Valid</v>
      </c>
    </row>
    <row r="755" spans="1:18" x14ac:dyDescent="0.25">
      <c r="A755" t="s">
        <v>2826</v>
      </c>
      <c r="B755" t="s">
        <v>684</v>
      </c>
      <c r="C755" s="8">
        <v>46253</v>
      </c>
      <c r="D755" t="s">
        <v>2062</v>
      </c>
      <c r="E755" t="s">
        <v>2059</v>
      </c>
      <c r="F755" t="s">
        <v>27</v>
      </c>
      <c r="G755">
        <v>340.79</v>
      </c>
      <c r="H755" t="s">
        <v>2060</v>
      </c>
      <c r="I755" t="str">
        <f>VLOOKUP(B755,Customers!A:G,7,FALSE)</f>
        <v>Student</v>
      </c>
      <c r="Q755" t="str">
        <f>IF(COUNTIF(Customers!$A$2:$A$1001,B755)&gt;0,"Valid","Invalid")</f>
        <v>Valid</v>
      </c>
      <c r="R755" t="str">
        <f>IF(COUNTIF(Branches!$A$2:$A$11,F755)&gt;0,"Valid","Invalid")</f>
        <v>Valid</v>
      </c>
    </row>
    <row r="756" spans="1:18" x14ac:dyDescent="0.25">
      <c r="A756" t="s">
        <v>2827</v>
      </c>
      <c r="B756" t="s">
        <v>1023</v>
      </c>
      <c r="C756" s="8">
        <v>46200</v>
      </c>
      <c r="D756" t="s">
        <v>2067</v>
      </c>
      <c r="E756" t="s">
        <v>2076</v>
      </c>
      <c r="F756" t="s">
        <v>47</v>
      </c>
      <c r="G756">
        <v>1176.1400000000001</v>
      </c>
      <c r="H756" t="s">
        <v>2060</v>
      </c>
      <c r="I756" t="str">
        <f>VLOOKUP(B756,Customers!A:G,7,FALSE)</f>
        <v>SME</v>
      </c>
      <c r="Q756" t="str">
        <f>IF(COUNTIF(Customers!$A$2:$A$1001,B756)&gt;0,"Valid","Invalid")</f>
        <v>Valid</v>
      </c>
      <c r="R756" t="str">
        <f>IF(COUNTIF(Branches!$A$2:$A$11,F756)&gt;0,"Valid","Invalid")</f>
        <v>Valid</v>
      </c>
    </row>
    <row r="757" spans="1:18" x14ac:dyDescent="0.25">
      <c r="A757" t="s">
        <v>2828</v>
      </c>
      <c r="B757" t="s">
        <v>829</v>
      </c>
      <c r="C757" s="8">
        <v>46052</v>
      </c>
      <c r="D757" t="s">
        <v>2065</v>
      </c>
      <c r="E757" t="s">
        <v>2059</v>
      </c>
      <c r="F757" t="s">
        <v>29</v>
      </c>
      <c r="G757">
        <v>1460.47</v>
      </c>
      <c r="H757" t="s">
        <v>2060</v>
      </c>
      <c r="I757" t="str">
        <f>VLOOKUP(B757,Customers!A:G,7,FALSE)</f>
        <v>Individual</v>
      </c>
      <c r="Q757" t="str">
        <f>IF(COUNTIF(Customers!$A$2:$A$1001,B757)&gt;0,"Valid","Invalid")</f>
        <v>Valid</v>
      </c>
      <c r="R757" t="str">
        <f>IF(COUNTIF(Branches!$A$2:$A$11,F757)&gt;0,"Valid","Invalid")</f>
        <v>Valid</v>
      </c>
    </row>
    <row r="758" spans="1:18" x14ac:dyDescent="0.25">
      <c r="A758" t="s">
        <v>2829</v>
      </c>
      <c r="B758" t="s">
        <v>676</v>
      </c>
      <c r="C758" s="8">
        <v>46044</v>
      </c>
      <c r="D758" t="s">
        <v>2065</v>
      </c>
      <c r="E758" t="s">
        <v>2063</v>
      </c>
      <c r="F758" t="s">
        <v>47</v>
      </c>
      <c r="G758">
        <v>455.83</v>
      </c>
      <c r="H758" t="s">
        <v>2060</v>
      </c>
      <c r="I758" t="str">
        <f>VLOOKUP(B758,Customers!A:G,7,FALSE)</f>
        <v>Individual</v>
      </c>
      <c r="Q758" t="str">
        <f>IF(COUNTIF(Customers!$A$2:$A$1001,B758)&gt;0,"Valid","Invalid")</f>
        <v>Valid</v>
      </c>
      <c r="R758" t="str">
        <f>IF(COUNTIF(Branches!$A$2:$A$11,F758)&gt;0,"Valid","Invalid")</f>
        <v>Valid</v>
      </c>
    </row>
    <row r="759" spans="1:18" x14ac:dyDescent="0.25">
      <c r="A759" t="s">
        <v>2830</v>
      </c>
      <c r="B759" t="s">
        <v>866</v>
      </c>
      <c r="C759" s="8">
        <v>46175</v>
      </c>
      <c r="D759" t="s">
        <v>2067</v>
      </c>
      <c r="E759" t="s">
        <v>2063</v>
      </c>
      <c r="F759" t="s">
        <v>29</v>
      </c>
      <c r="G759">
        <v>323.11</v>
      </c>
      <c r="H759" t="s">
        <v>2060</v>
      </c>
      <c r="I759" t="str">
        <f>VLOOKUP(B759,Customers!A:G,7,FALSE)</f>
        <v>Individual</v>
      </c>
      <c r="Q759" t="str">
        <f>IF(COUNTIF(Customers!$A$2:$A$1001,B759)&gt;0,"Valid","Invalid")</f>
        <v>Valid</v>
      </c>
      <c r="R759" t="str">
        <f>IF(COUNTIF(Branches!$A$2:$A$11,F759)&gt;0,"Valid","Invalid")</f>
        <v>Valid</v>
      </c>
    </row>
    <row r="760" spans="1:18" x14ac:dyDescent="0.25">
      <c r="A760" t="s">
        <v>2831</v>
      </c>
      <c r="B760" t="s">
        <v>529</v>
      </c>
      <c r="C760" s="8">
        <v>46178</v>
      </c>
      <c r="D760" t="s">
        <v>2067</v>
      </c>
      <c r="E760" t="s">
        <v>2063</v>
      </c>
      <c r="F760" t="s">
        <v>47</v>
      </c>
      <c r="G760">
        <v>11229.38</v>
      </c>
      <c r="H760" t="s">
        <v>2060</v>
      </c>
      <c r="I760" t="str">
        <f>VLOOKUP(B760,Customers!A:G,7,FALSE)</f>
        <v>Individual</v>
      </c>
      <c r="Q760" t="str">
        <f>IF(COUNTIF(Customers!$A$2:$A$1001,B760)&gt;0,"Valid","Invalid")</f>
        <v>Valid</v>
      </c>
      <c r="R760" t="str">
        <f>IF(COUNTIF(Branches!$A$2:$A$11,F760)&gt;0,"Valid","Invalid")</f>
        <v>Valid</v>
      </c>
    </row>
    <row r="761" spans="1:18" x14ac:dyDescent="0.25">
      <c r="A761" t="s">
        <v>2832</v>
      </c>
      <c r="B761" t="s">
        <v>946</v>
      </c>
      <c r="C761" s="8">
        <v>46140</v>
      </c>
      <c r="D761" t="s">
        <v>2058</v>
      </c>
      <c r="E761" t="s">
        <v>2068</v>
      </c>
      <c r="F761" t="s">
        <v>16</v>
      </c>
      <c r="G761">
        <v>740.33</v>
      </c>
      <c r="H761" t="s">
        <v>2060</v>
      </c>
      <c r="I761" t="str">
        <f>VLOOKUP(B761,Customers!A:G,7,FALSE)</f>
        <v>Individual</v>
      </c>
      <c r="Q761" t="str">
        <f>IF(COUNTIF(Customers!$A$2:$A$1001,B761)&gt;0,"Valid","Invalid")</f>
        <v>Valid</v>
      </c>
      <c r="R761" t="str">
        <f>IF(COUNTIF(Branches!$A$2:$A$11,F761)&gt;0,"Valid","Invalid")</f>
        <v>Valid</v>
      </c>
    </row>
    <row r="762" spans="1:18" x14ac:dyDescent="0.25">
      <c r="A762" t="s">
        <v>2833</v>
      </c>
      <c r="B762" t="s">
        <v>177</v>
      </c>
      <c r="C762" s="8">
        <v>46106</v>
      </c>
      <c r="D762" t="s">
        <v>2065</v>
      </c>
      <c r="E762" t="s">
        <v>2063</v>
      </c>
      <c r="F762" t="s">
        <v>11</v>
      </c>
      <c r="G762">
        <v>410.06</v>
      </c>
      <c r="H762" t="s">
        <v>2060</v>
      </c>
      <c r="I762" t="str">
        <f>VLOOKUP(B762,Customers!A:G,7,FALSE)</f>
        <v>Individual</v>
      </c>
      <c r="Q762" t="str">
        <f>IF(COUNTIF(Customers!$A$2:$A$1001,B762)&gt;0,"Valid","Invalid")</f>
        <v>Valid</v>
      </c>
      <c r="R762" t="str">
        <f>IF(COUNTIF(Branches!$A$2:$A$11,F762)&gt;0,"Valid","Invalid")</f>
        <v>Valid</v>
      </c>
    </row>
    <row r="763" spans="1:18" x14ac:dyDescent="0.25">
      <c r="A763" t="s">
        <v>2834</v>
      </c>
      <c r="B763" t="s">
        <v>906</v>
      </c>
      <c r="C763" s="8">
        <v>46189</v>
      </c>
      <c r="D763" t="s">
        <v>2070</v>
      </c>
      <c r="E763" t="s">
        <v>2073</v>
      </c>
      <c r="F763" t="s">
        <v>35</v>
      </c>
      <c r="G763">
        <v>1646.8</v>
      </c>
      <c r="H763" t="s">
        <v>2060</v>
      </c>
      <c r="I763" t="str">
        <f>VLOOKUP(B763,Customers!A:G,7,FALSE)</f>
        <v>Individual</v>
      </c>
      <c r="Q763" t="str">
        <f>IF(COUNTIF(Customers!$A$2:$A$1001,B763)&gt;0,"Valid","Invalid")</f>
        <v>Valid</v>
      </c>
      <c r="R763" t="str">
        <f>IF(COUNTIF(Branches!$A$2:$A$11,F763)&gt;0,"Valid","Invalid")</f>
        <v>Valid</v>
      </c>
    </row>
    <row r="764" spans="1:18" x14ac:dyDescent="0.25">
      <c r="A764" t="s">
        <v>2835</v>
      </c>
      <c r="B764" t="s">
        <v>139</v>
      </c>
      <c r="C764" s="8">
        <v>46217</v>
      </c>
      <c r="D764" t="s">
        <v>2067</v>
      </c>
      <c r="E764" t="s">
        <v>2063</v>
      </c>
      <c r="F764" t="s">
        <v>27</v>
      </c>
      <c r="G764">
        <v>772.17</v>
      </c>
      <c r="H764" t="s">
        <v>2060</v>
      </c>
      <c r="I764" t="str">
        <f>VLOOKUP(B764,Customers!A:G,7,FALSE)</f>
        <v>SME</v>
      </c>
      <c r="Q764" t="str">
        <f>IF(COUNTIF(Customers!$A$2:$A$1001,B764)&gt;0,"Valid","Invalid")</f>
        <v>Valid</v>
      </c>
      <c r="R764" t="str">
        <f>IF(COUNTIF(Branches!$A$2:$A$11,F764)&gt;0,"Valid","Invalid")</f>
        <v>Valid</v>
      </c>
    </row>
    <row r="765" spans="1:18" x14ac:dyDescent="0.25">
      <c r="A765" t="s">
        <v>2836</v>
      </c>
      <c r="B765" t="s">
        <v>263</v>
      </c>
      <c r="C765" s="8">
        <v>46155</v>
      </c>
      <c r="D765" t="s">
        <v>2062</v>
      </c>
      <c r="E765" t="s">
        <v>2063</v>
      </c>
      <c r="F765" t="s">
        <v>39</v>
      </c>
      <c r="G765">
        <v>274.3</v>
      </c>
      <c r="H765" t="s">
        <v>2060</v>
      </c>
      <c r="I765" t="str">
        <f>VLOOKUP(B765,Customers!A:G,7,FALSE)</f>
        <v>Individual</v>
      </c>
      <c r="Q765" t="str">
        <f>IF(COUNTIF(Customers!$A$2:$A$1001,B765)&gt;0,"Valid","Invalid")</f>
        <v>Valid</v>
      </c>
      <c r="R765" t="str">
        <f>IF(COUNTIF(Branches!$A$2:$A$11,F765)&gt;0,"Valid","Invalid")</f>
        <v>Valid</v>
      </c>
    </row>
    <row r="766" spans="1:18" x14ac:dyDescent="0.25">
      <c r="A766" t="s">
        <v>2837</v>
      </c>
      <c r="B766" t="s">
        <v>940</v>
      </c>
      <c r="C766" s="8">
        <v>46215</v>
      </c>
      <c r="D766" t="s">
        <v>2058</v>
      </c>
      <c r="E766" t="s">
        <v>2059</v>
      </c>
      <c r="F766" t="s">
        <v>29</v>
      </c>
      <c r="G766">
        <v>1316.92</v>
      </c>
      <c r="H766" t="s">
        <v>2060</v>
      </c>
      <c r="I766" t="str">
        <f>VLOOKUP(B766,Customers!A:G,7,FALSE)</f>
        <v>Individual</v>
      </c>
      <c r="Q766" t="str">
        <f>IF(COUNTIF(Customers!$A$2:$A$1001,B766)&gt;0,"Valid","Invalid")</f>
        <v>Valid</v>
      </c>
      <c r="R766" t="str">
        <f>IF(COUNTIF(Branches!$A$2:$A$11,F766)&gt;0,"Valid","Invalid")</f>
        <v>Valid</v>
      </c>
    </row>
    <row r="767" spans="1:18" x14ac:dyDescent="0.25">
      <c r="A767" t="s">
        <v>2838</v>
      </c>
      <c r="B767" t="s">
        <v>613</v>
      </c>
      <c r="C767" s="8">
        <v>46165</v>
      </c>
      <c r="D767" t="s">
        <v>2065</v>
      </c>
      <c r="E767" t="s">
        <v>2063</v>
      </c>
      <c r="F767" t="s">
        <v>47</v>
      </c>
      <c r="G767">
        <v>346.15</v>
      </c>
      <c r="H767" t="s">
        <v>2115</v>
      </c>
      <c r="I767" t="str">
        <f>VLOOKUP(B767,Customers!A:G,7,FALSE)</f>
        <v>Individual</v>
      </c>
      <c r="Q767" t="str">
        <f>IF(COUNTIF(Customers!$A$2:$A$1001,B767)&gt;0,"Valid","Invalid")</f>
        <v>Valid</v>
      </c>
      <c r="R767" t="str">
        <f>IF(COUNTIF(Branches!$A$2:$A$11,F767)&gt;0,"Valid","Invalid")</f>
        <v>Valid</v>
      </c>
    </row>
    <row r="768" spans="1:18" x14ac:dyDescent="0.25">
      <c r="A768" t="s">
        <v>2839</v>
      </c>
      <c r="B768" t="s">
        <v>332</v>
      </c>
      <c r="C768" s="8">
        <v>46112</v>
      </c>
      <c r="D768" t="s">
        <v>2062</v>
      </c>
      <c r="E768" t="s">
        <v>2076</v>
      </c>
      <c r="F768" t="s">
        <v>27</v>
      </c>
      <c r="G768">
        <v>3930.25</v>
      </c>
      <c r="H768" t="s">
        <v>2060</v>
      </c>
      <c r="I768" t="str">
        <f>VLOOKUP(B768,Customers!A:G,7,FALSE)</f>
        <v>Student</v>
      </c>
      <c r="Q768" t="str">
        <f>IF(COUNTIF(Customers!$A$2:$A$1001,B768)&gt;0,"Valid","Invalid")</f>
        <v>Valid</v>
      </c>
      <c r="R768" t="str">
        <f>IF(COUNTIF(Branches!$A$2:$A$11,F768)&gt;0,"Valid","Invalid")</f>
        <v>Valid</v>
      </c>
    </row>
    <row r="769" spans="1:18" x14ac:dyDescent="0.25">
      <c r="A769" t="s">
        <v>2840</v>
      </c>
      <c r="B769" t="s">
        <v>934</v>
      </c>
      <c r="C769" s="8">
        <v>46217</v>
      </c>
      <c r="D769" t="s">
        <v>2062</v>
      </c>
      <c r="E769" t="s">
        <v>2068</v>
      </c>
      <c r="F769" t="s">
        <v>35</v>
      </c>
      <c r="G769">
        <v>1332.09</v>
      </c>
      <c r="H769" t="s">
        <v>2060</v>
      </c>
      <c r="I769" t="str">
        <f>VLOOKUP(B769,Customers!A:G,7,FALSE)</f>
        <v>Individual</v>
      </c>
      <c r="Q769" t="str">
        <f>IF(COUNTIF(Customers!$A$2:$A$1001,B769)&gt;0,"Valid","Invalid")</f>
        <v>Valid</v>
      </c>
      <c r="R769" t="str">
        <f>IF(COUNTIF(Branches!$A$2:$A$11,F769)&gt;0,"Valid","Invalid")</f>
        <v>Valid</v>
      </c>
    </row>
    <row r="770" spans="1:18" x14ac:dyDescent="0.25">
      <c r="A770" t="s">
        <v>2841</v>
      </c>
      <c r="B770" t="s">
        <v>344</v>
      </c>
      <c r="C770" s="8">
        <v>46190</v>
      </c>
      <c r="D770" t="s">
        <v>2058</v>
      </c>
      <c r="E770" t="s">
        <v>2063</v>
      </c>
      <c r="F770" t="s">
        <v>29</v>
      </c>
      <c r="G770">
        <v>615.91999999999996</v>
      </c>
      <c r="H770" t="s">
        <v>2060</v>
      </c>
      <c r="I770" t="str">
        <f>VLOOKUP(B770,Customers!A:G,7,FALSE)</f>
        <v>SME</v>
      </c>
      <c r="Q770" t="str">
        <f>IF(COUNTIF(Customers!$A$2:$A$1001,B770)&gt;0,"Valid","Invalid")</f>
        <v>Valid</v>
      </c>
      <c r="R770" t="str">
        <f>IF(COUNTIF(Branches!$A$2:$A$11,F770)&gt;0,"Valid","Invalid")</f>
        <v>Valid</v>
      </c>
    </row>
    <row r="771" spans="1:18" x14ac:dyDescent="0.25">
      <c r="A771" t="s">
        <v>2842</v>
      </c>
      <c r="B771" t="s">
        <v>292</v>
      </c>
      <c r="C771" s="8">
        <v>46143</v>
      </c>
      <c r="D771" t="s">
        <v>2058</v>
      </c>
      <c r="E771" t="s">
        <v>2068</v>
      </c>
      <c r="F771" t="s">
        <v>27</v>
      </c>
      <c r="G771">
        <v>906.28</v>
      </c>
      <c r="H771" t="s">
        <v>2060</v>
      </c>
      <c r="I771" t="str">
        <f>VLOOKUP(B771,Customers!A:G,7,FALSE)</f>
        <v>Student</v>
      </c>
      <c r="Q771" t="str">
        <f>IF(COUNTIF(Customers!$A$2:$A$1001,B771)&gt;0,"Valid","Invalid")</f>
        <v>Valid</v>
      </c>
      <c r="R771" t="str">
        <f>IF(COUNTIF(Branches!$A$2:$A$11,F771)&gt;0,"Valid","Invalid")</f>
        <v>Valid</v>
      </c>
    </row>
    <row r="772" spans="1:18" x14ac:dyDescent="0.25">
      <c r="A772" t="s">
        <v>2843</v>
      </c>
      <c r="B772" t="s">
        <v>217</v>
      </c>
      <c r="C772" s="8">
        <v>46255</v>
      </c>
      <c r="D772" t="s">
        <v>2065</v>
      </c>
      <c r="E772" t="s">
        <v>2059</v>
      </c>
      <c r="F772" t="s">
        <v>29</v>
      </c>
      <c r="G772">
        <v>2004.78</v>
      </c>
      <c r="H772" t="s">
        <v>2060</v>
      </c>
      <c r="I772" t="str">
        <f>VLOOKUP(B772,Customers!A:G,7,FALSE)</f>
        <v>Individual</v>
      </c>
      <c r="Q772" t="str">
        <f>IF(COUNTIF(Customers!$A$2:$A$1001,B772)&gt;0,"Valid","Invalid")</f>
        <v>Valid</v>
      </c>
      <c r="R772" t="str">
        <f>IF(COUNTIF(Branches!$A$2:$A$11,F772)&gt;0,"Valid","Invalid")</f>
        <v>Valid</v>
      </c>
    </row>
    <row r="773" spans="1:18" x14ac:dyDescent="0.25">
      <c r="A773" t="s">
        <v>2844</v>
      </c>
      <c r="B773" t="s">
        <v>74</v>
      </c>
      <c r="C773" s="8">
        <v>46261</v>
      </c>
      <c r="D773" t="s">
        <v>2058</v>
      </c>
      <c r="E773" t="s">
        <v>2063</v>
      </c>
      <c r="F773" t="s">
        <v>53</v>
      </c>
      <c r="G773">
        <v>978.44</v>
      </c>
      <c r="H773" t="s">
        <v>2060</v>
      </c>
      <c r="I773" t="str">
        <f>VLOOKUP(B773,Customers!A:G,7,FALSE)</f>
        <v>Individual</v>
      </c>
      <c r="Q773" t="str">
        <f>IF(COUNTIF(Customers!$A$2:$A$1001,B773)&gt;0,"Valid","Invalid")</f>
        <v>Valid</v>
      </c>
      <c r="R773" t="str">
        <f>IF(COUNTIF(Branches!$A$2:$A$11,F773)&gt;0,"Valid","Invalid")</f>
        <v>Valid</v>
      </c>
    </row>
    <row r="774" spans="1:18" x14ac:dyDescent="0.25">
      <c r="A774" t="s">
        <v>2845</v>
      </c>
      <c r="B774" t="s">
        <v>814</v>
      </c>
      <c r="C774" s="8">
        <v>46128</v>
      </c>
      <c r="D774" t="s">
        <v>2062</v>
      </c>
      <c r="E774" t="s">
        <v>2063</v>
      </c>
      <c r="F774" t="s">
        <v>39</v>
      </c>
      <c r="G774">
        <v>6782.56</v>
      </c>
      <c r="H774" t="s">
        <v>2115</v>
      </c>
      <c r="I774" t="str">
        <f>VLOOKUP(B774,Customers!A:G,7,FALSE)</f>
        <v>Individual</v>
      </c>
      <c r="Q774" t="str">
        <f>IF(COUNTIF(Customers!$A$2:$A$1001,B774)&gt;0,"Valid","Invalid")</f>
        <v>Valid</v>
      </c>
      <c r="R774" t="str">
        <f>IF(COUNTIF(Branches!$A$2:$A$11,F774)&gt;0,"Valid","Invalid")</f>
        <v>Valid</v>
      </c>
    </row>
    <row r="775" spans="1:18" x14ac:dyDescent="0.25">
      <c r="A775" t="s">
        <v>2846</v>
      </c>
      <c r="B775" t="s">
        <v>739</v>
      </c>
      <c r="C775" s="8">
        <v>46248</v>
      </c>
      <c r="D775" t="s">
        <v>2065</v>
      </c>
      <c r="E775" t="s">
        <v>2073</v>
      </c>
      <c r="F775" t="s">
        <v>21</v>
      </c>
      <c r="G775">
        <v>2529.73</v>
      </c>
      <c r="H775" t="s">
        <v>2060</v>
      </c>
      <c r="I775" t="str">
        <f>VLOOKUP(B775,Customers!A:G,7,FALSE)</f>
        <v>SME</v>
      </c>
      <c r="Q775" t="str">
        <f>IF(COUNTIF(Customers!$A$2:$A$1001,B775)&gt;0,"Valid","Invalid")</f>
        <v>Valid</v>
      </c>
      <c r="R775" t="str">
        <f>IF(COUNTIF(Branches!$A$2:$A$11,F775)&gt;0,"Valid","Invalid")</f>
        <v>Valid</v>
      </c>
    </row>
    <row r="776" spans="1:18" x14ac:dyDescent="0.25">
      <c r="A776" t="s">
        <v>2847</v>
      </c>
      <c r="B776" t="s">
        <v>558</v>
      </c>
      <c r="C776" s="8">
        <v>46091</v>
      </c>
      <c r="D776" t="s">
        <v>2065</v>
      </c>
      <c r="E776" t="s">
        <v>2063</v>
      </c>
      <c r="F776" t="s">
        <v>29</v>
      </c>
      <c r="G776">
        <v>1322.93</v>
      </c>
      <c r="H776" t="s">
        <v>2060</v>
      </c>
      <c r="I776" t="str">
        <f>VLOOKUP(B776,Customers!A:G,7,FALSE)</f>
        <v>Individual</v>
      </c>
      <c r="Q776" t="str">
        <f>IF(COUNTIF(Customers!$A$2:$A$1001,B776)&gt;0,"Valid","Invalid")</f>
        <v>Valid</v>
      </c>
      <c r="R776" t="str">
        <f>IF(COUNTIF(Branches!$A$2:$A$11,F776)&gt;0,"Valid","Invalid")</f>
        <v>Valid</v>
      </c>
    </row>
    <row r="777" spans="1:18" x14ac:dyDescent="0.25">
      <c r="A777" t="s">
        <v>2848</v>
      </c>
      <c r="B777" t="s">
        <v>654</v>
      </c>
      <c r="C777" s="8">
        <v>46117</v>
      </c>
      <c r="D777" t="s">
        <v>2062</v>
      </c>
      <c r="E777" t="s">
        <v>2068</v>
      </c>
      <c r="F777" t="s">
        <v>47</v>
      </c>
      <c r="G777">
        <v>318.31</v>
      </c>
      <c r="H777" t="s">
        <v>2060</v>
      </c>
      <c r="I777" t="str">
        <f>VLOOKUP(B777,Customers!A:G,7,FALSE)</f>
        <v>Individual</v>
      </c>
      <c r="Q777" t="str">
        <f>IF(COUNTIF(Customers!$A$2:$A$1001,B777)&gt;0,"Valid","Invalid")</f>
        <v>Valid</v>
      </c>
      <c r="R777" t="str">
        <f>IF(COUNTIF(Branches!$A$2:$A$11,F777)&gt;0,"Valid","Invalid")</f>
        <v>Valid</v>
      </c>
    </row>
    <row r="778" spans="1:18" x14ac:dyDescent="0.25">
      <c r="A778" t="s">
        <v>2849</v>
      </c>
      <c r="B778" t="s">
        <v>775</v>
      </c>
      <c r="C778" s="8">
        <v>46265</v>
      </c>
      <c r="D778" t="s">
        <v>2067</v>
      </c>
      <c r="E778" t="s">
        <v>2059</v>
      </c>
      <c r="F778" t="s">
        <v>53</v>
      </c>
      <c r="G778">
        <v>701.42</v>
      </c>
      <c r="H778" t="s">
        <v>2060</v>
      </c>
      <c r="I778" t="str">
        <f>VLOOKUP(B778,Customers!A:G,7,FALSE)</f>
        <v>Student</v>
      </c>
      <c r="Q778" t="str">
        <f>IF(COUNTIF(Customers!$A$2:$A$1001,B778)&gt;0,"Valid","Invalid")</f>
        <v>Valid</v>
      </c>
      <c r="R778" t="str">
        <f>IF(COUNTIF(Branches!$A$2:$A$11,F778)&gt;0,"Valid","Invalid")</f>
        <v>Valid</v>
      </c>
    </row>
    <row r="779" spans="1:18" x14ac:dyDescent="0.25">
      <c r="A779" t="s">
        <v>2850</v>
      </c>
      <c r="B779" t="s">
        <v>584</v>
      </c>
      <c r="C779" s="8">
        <v>46099</v>
      </c>
      <c r="D779" t="s">
        <v>2058</v>
      </c>
      <c r="E779" t="s">
        <v>2063</v>
      </c>
      <c r="F779" t="s">
        <v>16</v>
      </c>
      <c r="G779">
        <v>1311.43</v>
      </c>
      <c r="H779" t="s">
        <v>2060</v>
      </c>
      <c r="I779" t="str">
        <f>VLOOKUP(B779,Customers!A:G,7,FALSE)</f>
        <v>SME</v>
      </c>
      <c r="Q779" t="str">
        <f>IF(COUNTIF(Customers!$A$2:$A$1001,B779)&gt;0,"Valid","Invalid")</f>
        <v>Valid</v>
      </c>
      <c r="R779" t="str">
        <f>IF(COUNTIF(Branches!$A$2:$A$11,F779)&gt;0,"Valid","Invalid")</f>
        <v>Valid</v>
      </c>
    </row>
    <row r="780" spans="1:18" x14ac:dyDescent="0.25">
      <c r="A780" t="s">
        <v>2851</v>
      </c>
      <c r="B780" t="s">
        <v>274</v>
      </c>
      <c r="C780" s="8">
        <v>46193</v>
      </c>
      <c r="D780" t="s">
        <v>2058</v>
      </c>
      <c r="E780" t="s">
        <v>2059</v>
      </c>
      <c r="F780" t="s">
        <v>11</v>
      </c>
      <c r="G780">
        <v>356.79</v>
      </c>
      <c r="H780" t="s">
        <v>2060</v>
      </c>
      <c r="I780" t="str">
        <f>VLOOKUP(B780,Customers!A:G,7,FALSE)</f>
        <v>Individual</v>
      </c>
      <c r="Q780" t="str">
        <f>IF(COUNTIF(Customers!$A$2:$A$1001,B780)&gt;0,"Valid","Invalid")</f>
        <v>Valid</v>
      </c>
      <c r="R780" t="str">
        <f>IF(COUNTIF(Branches!$A$2:$A$11,F780)&gt;0,"Valid","Invalid")</f>
        <v>Valid</v>
      </c>
    </row>
    <row r="781" spans="1:18" x14ac:dyDescent="0.25">
      <c r="A781" t="s">
        <v>2852</v>
      </c>
      <c r="B781" t="s">
        <v>501</v>
      </c>
      <c r="C781" s="8">
        <v>46023</v>
      </c>
      <c r="D781" t="s">
        <v>2058</v>
      </c>
      <c r="E781" t="s">
        <v>2068</v>
      </c>
      <c r="F781" t="s">
        <v>53</v>
      </c>
      <c r="G781">
        <v>2961.43</v>
      </c>
      <c r="H781" t="s">
        <v>2060</v>
      </c>
      <c r="I781" t="str">
        <f>VLOOKUP(B781,Customers!A:G,7,FALSE)</f>
        <v>Individual</v>
      </c>
      <c r="Q781" t="str">
        <f>IF(COUNTIF(Customers!$A$2:$A$1001,B781)&gt;0,"Valid","Invalid")</f>
        <v>Valid</v>
      </c>
      <c r="R781" t="str">
        <f>IF(COUNTIF(Branches!$A$2:$A$11,F781)&gt;0,"Valid","Invalid")</f>
        <v>Valid</v>
      </c>
    </row>
    <row r="782" spans="1:18" x14ac:dyDescent="0.25">
      <c r="A782" t="s">
        <v>2853</v>
      </c>
      <c r="B782" t="s">
        <v>265</v>
      </c>
      <c r="C782" s="8">
        <v>46172</v>
      </c>
      <c r="D782" t="s">
        <v>2067</v>
      </c>
      <c r="E782" t="s">
        <v>2076</v>
      </c>
      <c r="F782" t="s">
        <v>53</v>
      </c>
      <c r="G782">
        <v>306.69</v>
      </c>
      <c r="H782" t="s">
        <v>2060</v>
      </c>
      <c r="I782" t="str">
        <f>VLOOKUP(B782,Customers!A:G,7,FALSE)</f>
        <v>Individual</v>
      </c>
      <c r="Q782" t="str">
        <f>IF(COUNTIF(Customers!$A$2:$A$1001,B782)&gt;0,"Valid","Invalid")</f>
        <v>Valid</v>
      </c>
      <c r="R782" t="str">
        <f>IF(COUNTIF(Branches!$A$2:$A$11,F782)&gt;0,"Valid","Invalid")</f>
        <v>Valid</v>
      </c>
    </row>
    <row r="783" spans="1:18" x14ac:dyDescent="0.25">
      <c r="A783" t="s">
        <v>2854</v>
      </c>
      <c r="B783" t="s">
        <v>738</v>
      </c>
      <c r="C783" s="8">
        <v>46084</v>
      </c>
      <c r="D783" t="s">
        <v>2067</v>
      </c>
      <c r="E783" t="s">
        <v>2059</v>
      </c>
      <c r="F783" t="s">
        <v>29</v>
      </c>
      <c r="G783">
        <v>429.57</v>
      </c>
      <c r="H783" t="s">
        <v>2060</v>
      </c>
      <c r="I783" t="str">
        <f>VLOOKUP(B783,Customers!A:G,7,FALSE)</f>
        <v>Individual</v>
      </c>
      <c r="Q783" t="str">
        <f>IF(COUNTIF(Customers!$A$2:$A$1001,B783)&gt;0,"Valid","Invalid")</f>
        <v>Valid</v>
      </c>
      <c r="R783" t="str">
        <f>IF(COUNTIF(Branches!$A$2:$A$11,F783)&gt;0,"Valid","Invalid")</f>
        <v>Valid</v>
      </c>
    </row>
    <row r="784" spans="1:18" x14ac:dyDescent="0.25">
      <c r="A784" t="s">
        <v>2855</v>
      </c>
      <c r="B784" t="s">
        <v>863</v>
      </c>
      <c r="C784" s="8">
        <v>46229</v>
      </c>
      <c r="D784" t="s">
        <v>2065</v>
      </c>
      <c r="E784" t="s">
        <v>2068</v>
      </c>
      <c r="F784" t="s">
        <v>21</v>
      </c>
      <c r="G784">
        <v>462.99</v>
      </c>
      <c r="H784" t="s">
        <v>2060</v>
      </c>
      <c r="I784" t="str">
        <f>VLOOKUP(B784,Customers!A:G,7,FALSE)</f>
        <v>Corporate</v>
      </c>
      <c r="Q784" t="str">
        <f>IF(COUNTIF(Customers!$A$2:$A$1001,B784)&gt;0,"Valid","Invalid")</f>
        <v>Valid</v>
      </c>
      <c r="R784" t="str">
        <f>IF(COUNTIF(Branches!$A$2:$A$11,F784)&gt;0,"Valid","Invalid")</f>
        <v>Valid</v>
      </c>
    </row>
    <row r="785" spans="1:18" x14ac:dyDescent="0.25">
      <c r="A785" t="s">
        <v>2856</v>
      </c>
      <c r="B785" t="s">
        <v>521</v>
      </c>
      <c r="C785" s="8">
        <v>46176</v>
      </c>
      <c r="D785" t="s">
        <v>2062</v>
      </c>
      <c r="E785" t="s">
        <v>2063</v>
      </c>
      <c r="F785" t="s">
        <v>47</v>
      </c>
      <c r="G785">
        <v>1709.27</v>
      </c>
      <c r="H785" t="s">
        <v>2060</v>
      </c>
      <c r="I785" t="str">
        <f>VLOOKUP(B785,Customers!A:G,7,FALSE)</f>
        <v>Individual</v>
      </c>
      <c r="Q785" t="str">
        <f>IF(COUNTIF(Customers!$A$2:$A$1001,B785)&gt;0,"Valid","Invalid")</f>
        <v>Valid</v>
      </c>
      <c r="R785" t="str">
        <f>IF(COUNTIF(Branches!$A$2:$A$11,F785)&gt;0,"Valid","Invalid")</f>
        <v>Valid</v>
      </c>
    </row>
    <row r="786" spans="1:18" x14ac:dyDescent="0.25">
      <c r="A786" t="s">
        <v>2857</v>
      </c>
      <c r="B786" t="s">
        <v>468</v>
      </c>
      <c r="C786" s="8">
        <v>46040</v>
      </c>
      <c r="D786" t="s">
        <v>2062</v>
      </c>
      <c r="E786" t="s">
        <v>2073</v>
      </c>
      <c r="F786" t="s">
        <v>39</v>
      </c>
      <c r="G786">
        <v>363.24</v>
      </c>
      <c r="H786" t="s">
        <v>2060</v>
      </c>
      <c r="I786" t="str">
        <f>VLOOKUP(B786,Customers!A:G,7,FALSE)</f>
        <v>SME</v>
      </c>
      <c r="Q786" t="str">
        <f>IF(COUNTIF(Customers!$A$2:$A$1001,B786)&gt;0,"Valid","Invalid")</f>
        <v>Valid</v>
      </c>
      <c r="R786" t="str">
        <f>IF(COUNTIF(Branches!$A$2:$A$11,F786)&gt;0,"Valid","Invalid")</f>
        <v>Valid</v>
      </c>
    </row>
    <row r="787" spans="1:18" x14ac:dyDescent="0.25">
      <c r="A787" t="s">
        <v>2858</v>
      </c>
      <c r="B787" t="s">
        <v>56</v>
      </c>
      <c r="C787" s="8">
        <v>46070</v>
      </c>
      <c r="D787" t="s">
        <v>2058</v>
      </c>
      <c r="E787" t="s">
        <v>2068</v>
      </c>
      <c r="F787" t="s">
        <v>53</v>
      </c>
      <c r="G787">
        <v>134.29</v>
      </c>
      <c r="H787" t="s">
        <v>2060</v>
      </c>
      <c r="I787" t="str">
        <f>VLOOKUP(B787,Customers!A:G,7,FALSE)</f>
        <v>Individual</v>
      </c>
      <c r="Q787" t="str">
        <f>IF(COUNTIF(Customers!$A$2:$A$1001,B787)&gt;0,"Valid","Invalid")</f>
        <v>Valid</v>
      </c>
      <c r="R787" t="str">
        <f>IF(COUNTIF(Branches!$A$2:$A$11,F787)&gt;0,"Valid","Invalid")</f>
        <v>Valid</v>
      </c>
    </row>
    <row r="788" spans="1:18" x14ac:dyDescent="0.25">
      <c r="A788" t="s">
        <v>2859</v>
      </c>
      <c r="B788" t="s">
        <v>381</v>
      </c>
      <c r="C788" s="8">
        <v>46159</v>
      </c>
      <c r="D788" t="s">
        <v>2058</v>
      </c>
      <c r="E788" t="s">
        <v>2076</v>
      </c>
      <c r="F788" t="s">
        <v>39</v>
      </c>
      <c r="G788">
        <v>2411.58</v>
      </c>
      <c r="H788" t="s">
        <v>2060</v>
      </c>
      <c r="I788" t="str">
        <f>VLOOKUP(B788,Customers!A:G,7,FALSE)</f>
        <v>Individual</v>
      </c>
      <c r="Q788" t="str">
        <f>IF(COUNTIF(Customers!$A$2:$A$1001,B788)&gt;0,"Valid","Invalid")</f>
        <v>Valid</v>
      </c>
      <c r="R788" t="str">
        <f>IF(COUNTIF(Branches!$A$2:$A$11,F788)&gt;0,"Valid","Invalid")</f>
        <v>Valid</v>
      </c>
    </row>
    <row r="789" spans="1:18" x14ac:dyDescent="0.25">
      <c r="A789" t="s">
        <v>2860</v>
      </c>
      <c r="B789" t="s">
        <v>74</v>
      </c>
      <c r="C789" s="8">
        <v>46023</v>
      </c>
      <c r="D789" t="s">
        <v>2065</v>
      </c>
      <c r="E789" t="s">
        <v>2068</v>
      </c>
      <c r="F789" t="s">
        <v>29</v>
      </c>
      <c r="G789">
        <v>520.92999999999995</v>
      </c>
      <c r="H789" t="s">
        <v>2060</v>
      </c>
      <c r="I789" t="str">
        <f>VLOOKUP(B789,Customers!A:G,7,FALSE)</f>
        <v>Individual</v>
      </c>
      <c r="Q789" t="str">
        <f>IF(COUNTIF(Customers!$A$2:$A$1001,B789)&gt;0,"Valid","Invalid")</f>
        <v>Valid</v>
      </c>
      <c r="R789" t="str">
        <f>IF(COUNTIF(Branches!$A$2:$A$11,F789)&gt;0,"Valid","Invalid")</f>
        <v>Valid</v>
      </c>
    </row>
    <row r="790" spans="1:18" x14ac:dyDescent="0.25">
      <c r="A790" t="s">
        <v>2861</v>
      </c>
      <c r="B790" t="s">
        <v>209</v>
      </c>
      <c r="C790" s="8">
        <v>46257</v>
      </c>
      <c r="D790" t="s">
        <v>2065</v>
      </c>
      <c r="E790" t="s">
        <v>2059</v>
      </c>
      <c r="F790" t="s">
        <v>35</v>
      </c>
      <c r="G790">
        <v>279.08</v>
      </c>
      <c r="H790" t="s">
        <v>2060</v>
      </c>
      <c r="I790" t="str">
        <f>VLOOKUP(B790,Customers!A:G,7,FALSE)</f>
        <v>Individual</v>
      </c>
      <c r="Q790" t="str">
        <f>IF(COUNTIF(Customers!$A$2:$A$1001,B790)&gt;0,"Valid","Invalid")</f>
        <v>Valid</v>
      </c>
      <c r="R790" t="str">
        <f>IF(COUNTIF(Branches!$A$2:$A$11,F790)&gt;0,"Valid","Invalid")</f>
        <v>Valid</v>
      </c>
    </row>
    <row r="791" spans="1:18" x14ac:dyDescent="0.25">
      <c r="A791" t="s">
        <v>2862</v>
      </c>
      <c r="B791" t="s">
        <v>477</v>
      </c>
      <c r="C791" s="8">
        <v>46159</v>
      </c>
      <c r="D791" t="s">
        <v>2062</v>
      </c>
      <c r="E791" t="s">
        <v>2076</v>
      </c>
      <c r="F791" t="s">
        <v>47</v>
      </c>
      <c r="G791">
        <v>381.89</v>
      </c>
      <c r="H791" t="s">
        <v>2060</v>
      </c>
      <c r="I791" t="str">
        <f>VLOOKUP(B791,Customers!A:G,7,FALSE)</f>
        <v>Individual</v>
      </c>
      <c r="Q791" t="str">
        <f>IF(COUNTIF(Customers!$A$2:$A$1001,B791)&gt;0,"Valid","Invalid")</f>
        <v>Valid</v>
      </c>
      <c r="R791" t="str">
        <f>IF(COUNTIF(Branches!$A$2:$A$11,F791)&gt;0,"Valid","Invalid")</f>
        <v>Valid</v>
      </c>
    </row>
    <row r="792" spans="1:18" x14ac:dyDescent="0.25">
      <c r="A792" t="s">
        <v>2863</v>
      </c>
      <c r="B792" t="s">
        <v>215</v>
      </c>
      <c r="C792" s="8">
        <v>46173</v>
      </c>
      <c r="D792" t="s">
        <v>2058</v>
      </c>
      <c r="E792" t="s">
        <v>2059</v>
      </c>
      <c r="F792" t="s">
        <v>39</v>
      </c>
      <c r="G792">
        <v>4522.24</v>
      </c>
      <c r="H792" t="s">
        <v>2060</v>
      </c>
      <c r="I792" t="str">
        <f>VLOOKUP(B792,Customers!A:G,7,FALSE)</f>
        <v>Individual</v>
      </c>
      <c r="Q792" t="str">
        <f>IF(COUNTIF(Customers!$A$2:$A$1001,B792)&gt;0,"Valid","Invalid")</f>
        <v>Valid</v>
      </c>
      <c r="R792" t="str">
        <f>IF(COUNTIF(Branches!$A$2:$A$11,F792)&gt;0,"Valid","Invalid")</f>
        <v>Valid</v>
      </c>
    </row>
    <row r="793" spans="1:18" x14ac:dyDescent="0.25">
      <c r="A793" t="s">
        <v>2864</v>
      </c>
      <c r="B793" t="s">
        <v>636</v>
      </c>
      <c r="C793" s="8">
        <v>46129</v>
      </c>
      <c r="D793" t="s">
        <v>2067</v>
      </c>
      <c r="E793" t="s">
        <v>2059</v>
      </c>
      <c r="F793" t="s">
        <v>45</v>
      </c>
      <c r="G793">
        <v>421.14</v>
      </c>
      <c r="H793" t="s">
        <v>2060</v>
      </c>
      <c r="I793" t="str">
        <f>VLOOKUP(B793,Customers!A:G,7,FALSE)</f>
        <v>Individual</v>
      </c>
      <c r="Q793" t="str">
        <f>IF(COUNTIF(Customers!$A$2:$A$1001,B793)&gt;0,"Valid","Invalid")</f>
        <v>Valid</v>
      </c>
      <c r="R793" t="str">
        <f>IF(COUNTIF(Branches!$A$2:$A$11,F793)&gt;0,"Valid","Invalid")</f>
        <v>Valid</v>
      </c>
    </row>
    <row r="794" spans="1:18" x14ac:dyDescent="0.25">
      <c r="A794" t="s">
        <v>2865</v>
      </c>
      <c r="B794" t="s">
        <v>169</v>
      </c>
      <c r="C794" s="8">
        <v>46195</v>
      </c>
      <c r="D794" t="s">
        <v>2065</v>
      </c>
      <c r="E794" t="s">
        <v>2059</v>
      </c>
      <c r="F794" t="s">
        <v>27</v>
      </c>
      <c r="G794">
        <v>718.12</v>
      </c>
      <c r="H794" t="s">
        <v>2060</v>
      </c>
      <c r="I794" t="str">
        <f>VLOOKUP(B794,Customers!A:G,7,FALSE)</f>
        <v>SME</v>
      </c>
      <c r="Q794" t="str">
        <f>IF(COUNTIF(Customers!$A$2:$A$1001,B794)&gt;0,"Valid","Invalid")</f>
        <v>Valid</v>
      </c>
      <c r="R794" t="str">
        <f>IF(COUNTIF(Branches!$A$2:$A$11,F794)&gt;0,"Valid","Invalid")</f>
        <v>Valid</v>
      </c>
    </row>
    <row r="795" spans="1:18" x14ac:dyDescent="0.25">
      <c r="A795" t="s">
        <v>2866</v>
      </c>
      <c r="B795" t="s">
        <v>389</v>
      </c>
      <c r="C795" s="8">
        <v>46152</v>
      </c>
      <c r="D795" t="s">
        <v>2065</v>
      </c>
      <c r="E795" t="s">
        <v>2063</v>
      </c>
      <c r="F795" t="s">
        <v>11</v>
      </c>
      <c r="G795">
        <v>519.61</v>
      </c>
      <c r="H795" t="s">
        <v>2060</v>
      </c>
      <c r="I795" t="str">
        <f>VLOOKUP(B795,Customers!A:G,7,FALSE)</f>
        <v>Individual</v>
      </c>
      <c r="Q795" t="str">
        <f>IF(COUNTIF(Customers!$A$2:$A$1001,B795)&gt;0,"Valid","Invalid")</f>
        <v>Valid</v>
      </c>
      <c r="R795" t="str">
        <f>IF(COUNTIF(Branches!$A$2:$A$11,F795)&gt;0,"Valid","Invalid")</f>
        <v>Valid</v>
      </c>
    </row>
    <row r="796" spans="1:18" x14ac:dyDescent="0.25">
      <c r="A796" t="s">
        <v>2867</v>
      </c>
      <c r="B796" t="s">
        <v>563</v>
      </c>
      <c r="C796" s="8">
        <v>46164</v>
      </c>
      <c r="D796" t="s">
        <v>2067</v>
      </c>
      <c r="E796" t="s">
        <v>2059</v>
      </c>
      <c r="F796" t="s">
        <v>16</v>
      </c>
      <c r="G796">
        <v>236.83</v>
      </c>
      <c r="H796" t="s">
        <v>2060</v>
      </c>
      <c r="I796" t="str">
        <f>VLOOKUP(B796,Customers!A:G,7,FALSE)</f>
        <v>Individual</v>
      </c>
      <c r="Q796" t="str">
        <f>IF(COUNTIF(Customers!$A$2:$A$1001,B796)&gt;0,"Valid","Invalid")</f>
        <v>Valid</v>
      </c>
      <c r="R796" t="str">
        <f>IF(COUNTIF(Branches!$A$2:$A$11,F796)&gt;0,"Valid","Invalid")</f>
        <v>Valid</v>
      </c>
    </row>
    <row r="797" spans="1:18" x14ac:dyDescent="0.25">
      <c r="A797" t="s">
        <v>2868</v>
      </c>
      <c r="B797" t="s">
        <v>578</v>
      </c>
      <c r="C797" s="8">
        <v>46060</v>
      </c>
      <c r="D797" t="s">
        <v>2062</v>
      </c>
      <c r="E797" t="s">
        <v>2063</v>
      </c>
      <c r="F797" t="s">
        <v>47</v>
      </c>
      <c r="G797">
        <v>386.56</v>
      </c>
      <c r="H797" t="s">
        <v>2060</v>
      </c>
      <c r="I797" t="str">
        <f>VLOOKUP(B797,Customers!A:G,7,FALSE)</f>
        <v>SME</v>
      </c>
      <c r="Q797" t="str">
        <f>IF(COUNTIF(Customers!$A$2:$A$1001,B797)&gt;0,"Valid","Invalid")</f>
        <v>Valid</v>
      </c>
      <c r="R797" t="str">
        <f>IF(COUNTIF(Branches!$A$2:$A$11,F797)&gt;0,"Valid","Invalid")</f>
        <v>Valid</v>
      </c>
    </row>
    <row r="798" spans="1:18" x14ac:dyDescent="0.25">
      <c r="A798" t="s">
        <v>2869</v>
      </c>
      <c r="B798" t="s">
        <v>544</v>
      </c>
      <c r="C798" s="8">
        <v>46062</v>
      </c>
      <c r="D798" t="s">
        <v>2062</v>
      </c>
      <c r="E798" t="s">
        <v>2063</v>
      </c>
      <c r="F798" t="s">
        <v>16</v>
      </c>
      <c r="G798">
        <v>221.16</v>
      </c>
      <c r="H798" t="s">
        <v>2060</v>
      </c>
      <c r="I798" t="str">
        <f>VLOOKUP(B798,Customers!A:G,7,FALSE)</f>
        <v>Student</v>
      </c>
      <c r="Q798" t="str">
        <f>IF(COUNTIF(Customers!$A$2:$A$1001,B798)&gt;0,"Valid","Invalid")</f>
        <v>Valid</v>
      </c>
      <c r="R798" t="str">
        <f>IF(COUNTIF(Branches!$A$2:$A$11,F798)&gt;0,"Valid","Invalid")</f>
        <v>Valid</v>
      </c>
    </row>
    <row r="799" spans="1:18" x14ac:dyDescent="0.25">
      <c r="A799" t="s">
        <v>2870</v>
      </c>
      <c r="B799" t="s">
        <v>120</v>
      </c>
      <c r="C799" s="8">
        <v>46213</v>
      </c>
      <c r="D799" t="s">
        <v>2062</v>
      </c>
      <c r="E799" t="s">
        <v>2063</v>
      </c>
      <c r="F799" t="s">
        <v>29</v>
      </c>
      <c r="G799">
        <v>2113.04</v>
      </c>
      <c r="H799" t="s">
        <v>2060</v>
      </c>
      <c r="I799" t="str">
        <f>VLOOKUP(B799,Customers!A:G,7,FALSE)</f>
        <v>SME</v>
      </c>
      <c r="Q799" t="str">
        <f>IF(COUNTIF(Customers!$A$2:$A$1001,B799)&gt;0,"Valid","Invalid")</f>
        <v>Valid</v>
      </c>
      <c r="R799" t="str">
        <f>IF(COUNTIF(Branches!$A$2:$A$11,F799)&gt;0,"Valid","Invalid")</f>
        <v>Valid</v>
      </c>
    </row>
    <row r="800" spans="1:18" x14ac:dyDescent="0.25">
      <c r="A800" t="s">
        <v>2871</v>
      </c>
      <c r="B800" t="s">
        <v>1031</v>
      </c>
      <c r="C800" s="8">
        <v>46104</v>
      </c>
      <c r="D800" t="s">
        <v>2070</v>
      </c>
      <c r="E800" t="s">
        <v>2068</v>
      </c>
      <c r="F800" t="s">
        <v>11</v>
      </c>
      <c r="G800">
        <v>898.64</v>
      </c>
      <c r="H800" t="s">
        <v>2060</v>
      </c>
      <c r="I800" t="str">
        <f>VLOOKUP(B800,Customers!A:G,7,FALSE)</f>
        <v>SME</v>
      </c>
      <c r="Q800" t="str">
        <f>IF(COUNTIF(Customers!$A$2:$A$1001,B800)&gt;0,"Valid","Invalid")</f>
        <v>Valid</v>
      </c>
      <c r="R800" t="str">
        <f>IF(COUNTIF(Branches!$A$2:$A$11,F800)&gt;0,"Valid","Invalid")</f>
        <v>Valid</v>
      </c>
    </row>
    <row r="801" spans="1:18" x14ac:dyDescent="0.25">
      <c r="A801" t="s">
        <v>2872</v>
      </c>
      <c r="B801" t="s">
        <v>502</v>
      </c>
      <c r="C801" s="8">
        <v>46038</v>
      </c>
      <c r="D801" t="s">
        <v>2062</v>
      </c>
      <c r="E801" t="s">
        <v>2059</v>
      </c>
      <c r="F801" t="s">
        <v>29</v>
      </c>
      <c r="G801">
        <v>9727.16</v>
      </c>
      <c r="H801" t="s">
        <v>2060</v>
      </c>
      <c r="I801" t="str">
        <f>VLOOKUP(B801,Customers!A:G,7,FALSE)</f>
        <v>SME</v>
      </c>
      <c r="Q801" t="str">
        <f>IF(COUNTIF(Customers!$A$2:$A$1001,B801)&gt;0,"Valid","Invalid")</f>
        <v>Valid</v>
      </c>
      <c r="R801" t="str">
        <f>IF(COUNTIF(Branches!$A$2:$A$11,F801)&gt;0,"Valid","Invalid")</f>
        <v>Valid</v>
      </c>
    </row>
    <row r="802" spans="1:18" x14ac:dyDescent="0.25">
      <c r="A802" t="s">
        <v>2873</v>
      </c>
      <c r="B802" t="s">
        <v>868</v>
      </c>
      <c r="C802" s="8">
        <v>46149</v>
      </c>
      <c r="D802" t="s">
        <v>2058</v>
      </c>
      <c r="E802" t="s">
        <v>2076</v>
      </c>
      <c r="F802" t="s">
        <v>29</v>
      </c>
      <c r="G802">
        <v>399.85</v>
      </c>
      <c r="H802" t="s">
        <v>2060</v>
      </c>
      <c r="I802" t="str">
        <f>VLOOKUP(B802,Customers!A:G,7,FALSE)</f>
        <v>Individual</v>
      </c>
      <c r="Q802" t="str">
        <f>IF(COUNTIF(Customers!$A$2:$A$1001,B802)&gt;0,"Valid","Invalid")</f>
        <v>Valid</v>
      </c>
      <c r="R802" t="str">
        <f>IF(COUNTIF(Branches!$A$2:$A$11,F802)&gt;0,"Valid","Invalid")</f>
        <v>Valid</v>
      </c>
    </row>
    <row r="803" spans="1:18" x14ac:dyDescent="0.25">
      <c r="A803" t="s">
        <v>2874</v>
      </c>
      <c r="B803" t="s">
        <v>899</v>
      </c>
      <c r="C803" s="8">
        <v>46139</v>
      </c>
      <c r="D803" t="s">
        <v>2065</v>
      </c>
      <c r="E803" t="s">
        <v>2063</v>
      </c>
      <c r="F803" t="s">
        <v>47</v>
      </c>
      <c r="G803">
        <v>344.17</v>
      </c>
      <c r="H803" t="s">
        <v>2060</v>
      </c>
      <c r="I803" t="str">
        <f>VLOOKUP(B803,Customers!A:G,7,FALSE)</f>
        <v>Corporate</v>
      </c>
      <c r="Q803" t="str">
        <f>IF(COUNTIF(Customers!$A$2:$A$1001,B803)&gt;0,"Valid","Invalid")</f>
        <v>Valid</v>
      </c>
      <c r="R803" t="str">
        <f>IF(COUNTIF(Branches!$A$2:$A$11,F803)&gt;0,"Valid","Invalid")</f>
        <v>Valid</v>
      </c>
    </row>
    <row r="804" spans="1:18" x14ac:dyDescent="0.25">
      <c r="A804" t="s">
        <v>2875</v>
      </c>
      <c r="B804" t="s">
        <v>381</v>
      </c>
      <c r="C804" s="8">
        <v>46115</v>
      </c>
      <c r="D804" t="s">
        <v>2062</v>
      </c>
      <c r="E804" t="s">
        <v>2059</v>
      </c>
      <c r="F804" t="s">
        <v>29</v>
      </c>
      <c r="G804">
        <v>3765.97</v>
      </c>
      <c r="H804" t="s">
        <v>2060</v>
      </c>
      <c r="I804" t="str">
        <f>VLOOKUP(B804,Customers!A:G,7,FALSE)</f>
        <v>Individual</v>
      </c>
      <c r="Q804" t="str">
        <f>IF(COUNTIF(Customers!$A$2:$A$1001,B804)&gt;0,"Valid","Invalid")</f>
        <v>Valid</v>
      </c>
      <c r="R804" t="str">
        <f>IF(COUNTIF(Branches!$A$2:$A$11,F804)&gt;0,"Valid","Invalid")</f>
        <v>Valid</v>
      </c>
    </row>
    <row r="805" spans="1:18" x14ac:dyDescent="0.25">
      <c r="A805" t="s">
        <v>2876</v>
      </c>
      <c r="B805" t="s">
        <v>318</v>
      </c>
      <c r="C805" s="8">
        <v>46258</v>
      </c>
      <c r="D805" t="s">
        <v>2065</v>
      </c>
      <c r="E805" t="s">
        <v>2063</v>
      </c>
      <c r="F805" t="s">
        <v>16</v>
      </c>
      <c r="G805">
        <v>2340.17</v>
      </c>
      <c r="H805" t="s">
        <v>2060</v>
      </c>
      <c r="I805" t="str">
        <f>VLOOKUP(B805,Customers!A:G,7,FALSE)</f>
        <v>Individual</v>
      </c>
      <c r="Q805" t="str">
        <f>IF(COUNTIF(Customers!$A$2:$A$1001,B805)&gt;0,"Valid","Invalid")</f>
        <v>Valid</v>
      </c>
      <c r="R805" t="str">
        <f>IF(COUNTIF(Branches!$A$2:$A$11,F805)&gt;0,"Valid","Invalid")</f>
        <v>Valid</v>
      </c>
    </row>
    <row r="806" spans="1:18" x14ac:dyDescent="0.25">
      <c r="A806" t="s">
        <v>2877</v>
      </c>
      <c r="B806" t="s">
        <v>904</v>
      </c>
      <c r="C806" s="8">
        <v>46225</v>
      </c>
      <c r="D806" t="s">
        <v>2065</v>
      </c>
      <c r="E806" t="s">
        <v>2063</v>
      </c>
      <c r="F806" t="s">
        <v>21</v>
      </c>
      <c r="G806">
        <v>1193.6400000000001</v>
      </c>
      <c r="H806" t="s">
        <v>2060</v>
      </c>
      <c r="I806" t="str">
        <f>VLOOKUP(B806,Customers!A:G,7,FALSE)</f>
        <v>Individual</v>
      </c>
      <c r="Q806" t="str">
        <f>IF(COUNTIF(Customers!$A$2:$A$1001,B806)&gt;0,"Valid","Invalid")</f>
        <v>Valid</v>
      </c>
      <c r="R806" t="str">
        <f>IF(COUNTIF(Branches!$A$2:$A$11,F806)&gt;0,"Valid","Invalid")</f>
        <v>Valid</v>
      </c>
    </row>
    <row r="807" spans="1:18" x14ac:dyDescent="0.25">
      <c r="A807" t="s">
        <v>2878</v>
      </c>
      <c r="B807" t="s">
        <v>301</v>
      </c>
      <c r="C807" s="8">
        <v>46156</v>
      </c>
      <c r="D807" t="s">
        <v>2065</v>
      </c>
      <c r="E807" t="s">
        <v>2076</v>
      </c>
      <c r="F807" t="s">
        <v>29</v>
      </c>
      <c r="G807">
        <v>266.75</v>
      </c>
      <c r="H807" t="s">
        <v>2060</v>
      </c>
      <c r="I807" t="str">
        <f>VLOOKUP(B807,Customers!A:G,7,FALSE)</f>
        <v>Individual</v>
      </c>
      <c r="Q807" t="str">
        <f>IF(COUNTIF(Customers!$A$2:$A$1001,B807)&gt;0,"Valid","Invalid")</f>
        <v>Valid</v>
      </c>
      <c r="R807" t="str">
        <f>IF(COUNTIF(Branches!$A$2:$A$11,F807)&gt;0,"Valid","Invalid")</f>
        <v>Valid</v>
      </c>
    </row>
    <row r="808" spans="1:18" x14ac:dyDescent="0.25">
      <c r="A808" t="s">
        <v>2879</v>
      </c>
      <c r="B808" t="s">
        <v>202</v>
      </c>
      <c r="C808" s="8">
        <v>46025</v>
      </c>
      <c r="D808" t="s">
        <v>2058</v>
      </c>
      <c r="E808" t="s">
        <v>2076</v>
      </c>
      <c r="F808" t="s">
        <v>47</v>
      </c>
      <c r="G808">
        <v>4651.74</v>
      </c>
      <c r="H808" t="s">
        <v>2060</v>
      </c>
      <c r="I808" t="str">
        <f>VLOOKUP(B808,Customers!A:G,7,FALSE)</f>
        <v>Student</v>
      </c>
      <c r="Q808" t="str">
        <f>IF(COUNTIF(Customers!$A$2:$A$1001,B808)&gt;0,"Valid","Invalid")</f>
        <v>Valid</v>
      </c>
      <c r="R808" t="str">
        <f>IF(COUNTIF(Branches!$A$2:$A$11,F808)&gt;0,"Valid","Invalid")</f>
        <v>Valid</v>
      </c>
    </row>
    <row r="809" spans="1:18" x14ac:dyDescent="0.25">
      <c r="A809" t="s">
        <v>2880</v>
      </c>
      <c r="B809" t="s">
        <v>331</v>
      </c>
      <c r="C809" s="8">
        <v>46036</v>
      </c>
      <c r="D809" t="s">
        <v>2067</v>
      </c>
      <c r="E809" t="s">
        <v>2063</v>
      </c>
      <c r="F809" t="s">
        <v>39</v>
      </c>
      <c r="G809">
        <v>755.89</v>
      </c>
      <c r="H809" t="s">
        <v>2060</v>
      </c>
      <c r="I809" t="str">
        <f>VLOOKUP(B809,Customers!A:G,7,FALSE)</f>
        <v>SME</v>
      </c>
      <c r="Q809" t="str">
        <f>IF(COUNTIF(Customers!$A$2:$A$1001,B809)&gt;0,"Valid","Invalid")</f>
        <v>Valid</v>
      </c>
      <c r="R809" t="str">
        <f>IF(COUNTIF(Branches!$A$2:$A$11,F809)&gt;0,"Valid","Invalid")</f>
        <v>Valid</v>
      </c>
    </row>
    <row r="810" spans="1:18" x14ac:dyDescent="0.25">
      <c r="A810" t="s">
        <v>2881</v>
      </c>
      <c r="B810" t="s">
        <v>547</v>
      </c>
      <c r="C810" s="8">
        <v>46088</v>
      </c>
      <c r="D810" t="s">
        <v>2065</v>
      </c>
      <c r="E810" t="s">
        <v>2059</v>
      </c>
      <c r="F810" t="s">
        <v>11</v>
      </c>
      <c r="G810">
        <v>528.12</v>
      </c>
      <c r="H810" t="s">
        <v>2060</v>
      </c>
      <c r="I810" t="str">
        <f>VLOOKUP(B810,Customers!A:G,7,FALSE)</f>
        <v>Individual</v>
      </c>
      <c r="Q810" t="str">
        <f>IF(COUNTIF(Customers!$A$2:$A$1001,B810)&gt;0,"Valid","Invalid")</f>
        <v>Valid</v>
      </c>
      <c r="R810" t="str">
        <f>IF(COUNTIF(Branches!$A$2:$A$11,F810)&gt;0,"Valid","Invalid")</f>
        <v>Valid</v>
      </c>
    </row>
    <row r="811" spans="1:18" x14ac:dyDescent="0.25">
      <c r="A811" t="s">
        <v>2882</v>
      </c>
      <c r="B811" t="s">
        <v>618</v>
      </c>
      <c r="C811" s="8">
        <v>46246</v>
      </c>
      <c r="D811" t="s">
        <v>2067</v>
      </c>
      <c r="E811" t="s">
        <v>2068</v>
      </c>
      <c r="F811" t="s">
        <v>45</v>
      </c>
      <c r="G811">
        <v>2547.73</v>
      </c>
      <c r="H811" t="s">
        <v>2060</v>
      </c>
      <c r="I811" t="str">
        <f>VLOOKUP(B811,Customers!A:G,7,FALSE)</f>
        <v>Individual</v>
      </c>
      <c r="Q811" t="str">
        <f>IF(COUNTIF(Customers!$A$2:$A$1001,B811)&gt;0,"Valid","Invalid")</f>
        <v>Valid</v>
      </c>
      <c r="R811" t="str">
        <f>IF(COUNTIF(Branches!$A$2:$A$11,F811)&gt;0,"Valid","Invalid")</f>
        <v>Valid</v>
      </c>
    </row>
    <row r="812" spans="1:18" x14ac:dyDescent="0.25">
      <c r="A812" t="s">
        <v>2883</v>
      </c>
      <c r="B812" t="s">
        <v>263</v>
      </c>
      <c r="C812" s="8">
        <v>46117</v>
      </c>
      <c r="D812" t="s">
        <v>2062</v>
      </c>
      <c r="E812" t="s">
        <v>2063</v>
      </c>
      <c r="F812" t="s">
        <v>27</v>
      </c>
      <c r="G812">
        <v>794.49</v>
      </c>
      <c r="H812" t="s">
        <v>2060</v>
      </c>
      <c r="I812" t="str">
        <f>VLOOKUP(B812,Customers!A:G,7,FALSE)</f>
        <v>Individual</v>
      </c>
      <c r="Q812" t="str">
        <f>IF(COUNTIF(Customers!$A$2:$A$1001,B812)&gt;0,"Valid","Invalid")</f>
        <v>Valid</v>
      </c>
      <c r="R812" t="str">
        <f>IF(COUNTIF(Branches!$A$2:$A$11,F812)&gt;0,"Valid","Invalid")</f>
        <v>Valid</v>
      </c>
    </row>
    <row r="813" spans="1:18" x14ac:dyDescent="0.25">
      <c r="A813" t="s">
        <v>2884</v>
      </c>
      <c r="B813" t="s">
        <v>206</v>
      </c>
      <c r="C813" s="8">
        <v>46225</v>
      </c>
      <c r="D813" t="s">
        <v>2058</v>
      </c>
      <c r="E813" t="s">
        <v>2063</v>
      </c>
      <c r="F813" t="s">
        <v>39</v>
      </c>
      <c r="G813">
        <v>253.24</v>
      </c>
      <c r="H813" t="s">
        <v>2060</v>
      </c>
      <c r="I813" t="str">
        <f>VLOOKUP(B813,Customers!A:G,7,FALSE)</f>
        <v>Individual</v>
      </c>
      <c r="Q813" t="str">
        <f>IF(COUNTIF(Customers!$A$2:$A$1001,B813)&gt;0,"Valid","Invalid")</f>
        <v>Valid</v>
      </c>
      <c r="R813" t="str">
        <f>IF(COUNTIF(Branches!$A$2:$A$11,F813)&gt;0,"Valid","Invalid")</f>
        <v>Valid</v>
      </c>
    </row>
    <row r="814" spans="1:18" x14ac:dyDescent="0.25">
      <c r="A814" t="s">
        <v>2885</v>
      </c>
      <c r="B814" t="s">
        <v>636</v>
      </c>
      <c r="C814" s="8">
        <v>46108</v>
      </c>
      <c r="D814" t="s">
        <v>2062</v>
      </c>
      <c r="E814" t="s">
        <v>2076</v>
      </c>
      <c r="F814" t="s">
        <v>27</v>
      </c>
      <c r="G814">
        <v>845.82</v>
      </c>
      <c r="H814" t="s">
        <v>2060</v>
      </c>
      <c r="I814" t="str">
        <f>VLOOKUP(B814,Customers!A:G,7,FALSE)</f>
        <v>Individual</v>
      </c>
      <c r="Q814" t="str">
        <f>IF(COUNTIF(Customers!$A$2:$A$1001,B814)&gt;0,"Valid","Invalid")</f>
        <v>Valid</v>
      </c>
      <c r="R814" t="str">
        <f>IF(COUNTIF(Branches!$A$2:$A$11,F814)&gt;0,"Valid","Invalid")</f>
        <v>Valid</v>
      </c>
    </row>
    <row r="815" spans="1:18" x14ac:dyDescent="0.25">
      <c r="A815" t="s">
        <v>2886</v>
      </c>
      <c r="B815" t="s">
        <v>683</v>
      </c>
      <c r="C815" s="8">
        <v>46217</v>
      </c>
      <c r="D815" t="s">
        <v>2065</v>
      </c>
      <c r="E815" t="s">
        <v>2063</v>
      </c>
      <c r="F815" t="s">
        <v>39</v>
      </c>
      <c r="G815">
        <v>371.91</v>
      </c>
      <c r="H815" t="s">
        <v>2060</v>
      </c>
      <c r="I815" t="str">
        <f>VLOOKUP(B815,Customers!A:G,7,FALSE)</f>
        <v>Individual</v>
      </c>
      <c r="Q815" t="str">
        <f>IF(COUNTIF(Customers!$A$2:$A$1001,B815)&gt;0,"Valid","Invalid")</f>
        <v>Valid</v>
      </c>
      <c r="R815" t="str">
        <f>IF(COUNTIF(Branches!$A$2:$A$11,F815)&gt;0,"Valid","Invalid")</f>
        <v>Valid</v>
      </c>
    </row>
    <row r="816" spans="1:18" x14ac:dyDescent="0.25">
      <c r="A816" t="s">
        <v>2887</v>
      </c>
      <c r="B816" t="s">
        <v>486</v>
      </c>
      <c r="C816" s="8">
        <v>46136</v>
      </c>
      <c r="D816" t="s">
        <v>2065</v>
      </c>
      <c r="E816" t="s">
        <v>2073</v>
      </c>
      <c r="F816" t="s">
        <v>47</v>
      </c>
      <c r="G816">
        <v>40.07</v>
      </c>
      <c r="H816" t="s">
        <v>2060</v>
      </c>
      <c r="I816" t="str">
        <f>VLOOKUP(B816,Customers!A:G,7,FALSE)</f>
        <v>Individual</v>
      </c>
      <c r="Q816" t="str">
        <f>IF(COUNTIF(Customers!$A$2:$A$1001,B816)&gt;0,"Valid","Invalid")</f>
        <v>Valid</v>
      </c>
      <c r="R816" t="str">
        <f>IF(COUNTIF(Branches!$A$2:$A$11,F816)&gt;0,"Valid","Invalid")</f>
        <v>Valid</v>
      </c>
    </row>
    <row r="817" spans="1:18" x14ac:dyDescent="0.25">
      <c r="A817" t="s">
        <v>2888</v>
      </c>
      <c r="B817" t="s">
        <v>728</v>
      </c>
      <c r="C817" s="8">
        <v>46181</v>
      </c>
      <c r="D817" t="s">
        <v>2058</v>
      </c>
      <c r="E817" t="s">
        <v>2076</v>
      </c>
      <c r="F817" t="s">
        <v>11</v>
      </c>
      <c r="G817">
        <v>336.4</v>
      </c>
      <c r="H817" t="s">
        <v>2060</v>
      </c>
      <c r="I817" t="str">
        <f>VLOOKUP(B817,Customers!A:G,7,FALSE)</f>
        <v>Individual</v>
      </c>
      <c r="Q817" t="str">
        <f>IF(COUNTIF(Customers!$A$2:$A$1001,B817)&gt;0,"Valid","Invalid")</f>
        <v>Valid</v>
      </c>
      <c r="R817" t="str">
        <f>IF(COUNTIF(Branches!$A$2:$A$11,F817)&gt;0,"Valid","Invalid")</f>
        <v>Valid</v>
      </c>
    </row>
    <row r="818" spans="1:18" x14ac:dyDescent="0.25">
      <c r="A818" t="s">
        <v>2889</v>
      </c>
      <c r="B818" t="s">
        <v>893</v>
      </c>
      <c r="C818" s="8">
        <v>46183</v>
      </c>
      <c r="D818" t="s">
        <v>2067</v>
      </c>
      <c r="E818" t="s">
        <v>2059</v>
      </c>
      <c r="F818" t="s">
        <v>29</v>
      </c>
      <c r="G818">
        <v>479.27</v>
      </c>
      <c r="H818" t="s">
        <v>2115</v>
      </c>
      <c r="I818" t="str">
        <f>VLOOKUP(B818,Customers!A:G,7,FALSE)</f>
        <v>Corporate</v>
      </c>
      <c r="Q818" t="str">
        <f>IF(COUNTIF(Customers!$A$2:$A$1001,B818)&gt;0,"Valid","Invalid")</f>
        <v>Valid</v>
      </c>
      <c r="R818" t="str">
        <f>IF(COUNTIF(Branches!$A$2:$A$11,F818)&gt;0,"Valid","Invalid")</f>
        <v>Valid</v>
      </c>
    </row>
    <row r="819" spans="1:18" x14ac:dyDescent="0.25">
      <c r="A819" t="s">
        <v>2890</v>
      </c>
      <c r="B819" t="s">
        <v>540</v>
      </c>
      <c r="C819" s="8">
        <v>46238</v>
      </c>
      <c r="D819" t="s">
        <v>2058</v>
      </c>
      <c r="E819" t="s">
        <v>2059</v>
      </c>
      <c r="F819" t="s">
        <v>27</v>
      </c>
      <c r="G819">
        <v>255.79</v>
      </c>
      <c r="H819" t="s">
        <v>2060</v>
      </c>
      <c r="I819" t="str">
        <f>VLOOKUP(B819,Customers!A:G,7,FALSE)</f>
        <v>Individual</v>
      </c>
      <c r="Q819" t="str">
        <f>IF(COUNTIF(Customers!$A$2:$A$1001,B819)&gt;0,"Valid","Invalid")</f>
        <v>Valid</v>
      </c>
      <c r="R819" t="str">
        <f>IF(COUNTIF(Branches!$A$2:$A$11,F819)&gt;0,"Valid","Invalid")</f>
        <v>Valid</v>
      </c>
    </row>
    <row r="820" spans="1:18" x14ac:dyDescent="0.25">
      <c r="A820" t="s">
        <v>2891</v>
      </c>
      <c r="B820" t="s">
        <v>802</v>
      </c>
      <c r="C820" s="8">
        <v>46151</v>
      </c>
      <c r="D820" t="s">
        <v>2062</v>
      </c>
      <c r="E820" t="s">
        <v>2059</v>
      </c>
      <c r="F820" t="s">
        <v>53</v>
      </c>
      <c r="G820">
        <v>1444.11</v>
      </c>
      <c r="H820" t="s">
        <v>2060</v>
      </c>
      <c r="I820" t="str">
        <f>VLOOKUP(B820,Customers!A:G,7,FALSE)</f>
        <v>Individual</v>
      </c>
      <c r="Q820" t="str">
        <f>IF(COUNTIF(Customers!$A$2:$A$1001,B820)&gt;0,"Valid","Invalid")</f>
        <v>Valid</v>
      </c>
      <c r="R820" t="str">
        <f>IF(COUNTIF(Branches!$A$2:$A$11,F820)&gt;0,"Valid","Invalid")</f>
        <v>Valid</v>
      </c>
    </row>
    <row r="821" spans="1:18" x14ac:dyDescent="0.25">
      <c r="A821" t="s">
        <v>2892</v>
      </c>
      <c r="B821" t="s">
        <v>565</v>
      </c>
      <c r="C821" s="8">
        <v>46194</v>
      </c>
      <c r="D821" t="s">
        <v>2062</v>
      </c>
      <c r="E821" t="s">
        <v>2063</v>
      </c>
      <c r="F821" t="s">
        <v>21</v>
      </c>
      <c r="G821">
        <v>373.36</v>
      </c>
      <c r="H821" t="s">
        <v>2060</v>
      </c>
      <c r="I821" t="str">
        <f>VLOOKUP(B821,Customers!A:G,7,FALSE)</f>
        <v>SME</v>
      </c>
      <c r="Q821" t="str">
        <f>IF(COUNTIF(Customers!$A$2:$A$1001,B821)&gt;0,"Valid","Invalid")</f>
        <v>Valid</v>
      </c>
      <c r="R821" t="str">
        <f>IF(COUNTIF(Branches!$A$2:$A$11,F821)&gt;0,"Valid","Invalid")</f>
        <v>Valid</v>
      </c>
    </row>
    <row r="822" spans="1:18" x14ac:dyDescent="0.25">
      <c r="A822" t="s">
        <v>2893</v>
      </c>
      <c r="B822" t="s">
        <v>773</v>
      </c>
      <c r="C822" s="8">
        <v>46037</v>
      </c>
      <c r="D822" t="s">
        <v>2070</v>
      </c>
      <c r="E822" t="s">
        <v>2073</v>
      </c>
      <c r="F822" t="s">
        <v>47</v>
      </c>
      <c r="G822">
        <v>1310.84</v>
      </c>
      <c r="H822" t="s">
        <v>2060</v>
      </c>
      <c r="I822" t="str">
        <f>VLOOKUP(B822,Customers!A:G,7,FALSE)</f>
        <v>Individual</v>
      </c>
      <c r="Q822" t="str">
        <f>IF(COUNTIF(Customers!$A$2:$A$1001,B822)&gt;0,"Valid","Invalid")</f>
        <v>Valid</v>
      </c>
      <c r="R822" t="str">
        <f>IF(COUNTIF(Branches!$A$2:$A$11,F822)&gt;0,"Valid","Invalid")</f>
        <v>Valid</v>
      </c>
    </row>
    <row r="823" spans="1:18" x14ac:dyDescent="0.25">
      <c r="A823" t="s">
        <v>2894</v>
      </c>
      <c r="B823" t="s">
        <v>417</v>
      </c>
      <c r="C823" s="8">
        <v>46059</v>
      </c>
      <c r="D823" t="s">
        <v>2067</v>
      </c>
      <c r="E823" t="s">
        <v>2076</v>
      </c>
      <c r="F823" t="s">
        <v>53</v>
      </c>
      <c r="G823">
        <v>236.67</v>
      </c>
      <c r="H823" t="s">
        <v>2060</v>
      </c>
      <c r="I823" t="str">
        <f>VLOOKUP(B823,Customers!A:G,7,FALSE)</f>
        <v>Individual</v>
      </c>
      <c r="Q823" t="str">
        <f>IF(COUNTIF(Customers!$A$2:$A$1001,B823)&gt;0,"Valid","Invalid")</f>
        <v>Valid</v>
      </c>
      <c r="R823" t="str">
        <f>IF(COUNTIF(Branches!$A$2:$A$11,F823)&gt;0,"Valid","Invalid")</f>
        <v>Valid</v>
      </c>
    </row>
    <row r="824" spans="1:18" x14ac:dyDescent="0.25">
      <c r="A824" t="s">
        <v>2895</v>
      </c>
      <c r="B824" t="s">
        <v>238</v>
      </c>
      <c r="C824" s="8">
        <v>46177</v>
      </c>
      <c r="D824" t="s">
        <v>2065</v>
      </c>
      <c r="E824" t="s">
        <v>2063</v>
      </c>
      <c r="F824" t="s">
        <v>47</v>
      </c>
      <c r="G824">
        <v>2016.7</v>
      </c>
      <c r="H824" t="s">
        <v>2060</v>
      </c>
      <c r="I824" t="str">
        <f>VLOOKUP(B824,Customers!A:G,7,FALSE)</f>
        <v>Individual</v>
      </c>
      <c r="Q824" t="str">
        <f>IF(COUNTIF(Customers!$A$2:$A$1001,B824)&gt;0,"Valid","Invalid")</f>
        <v>Valid</v>
      </c>
      <c r="R824" t="str">
        <f>IF(COUNTIF(Branches!$A$2:$A$11,F824)&gt;0,"Valid","Invalid")</f>
        <v>Valid</v>
      </c>
    </row>
    <row r="825" spans="1:18" x14ac:dyDescent="0.25">
      <c r="A825" t="s">
        <v>2896</v>
      </c>
      <c r="B825" t="s">
        <v>657</v>
      </c>
      <c r="C825" s="8">
        <v>46252</v>
      </c>
      <c r="D825" t="s">
        <v>2058</v>
      </c>
      <c r="E825" t="s">
        <v>2059</v>
      </c>
      <c r="F825" t="s">
        <v>39</v>
      </c>
      <c r="G825">
        <v>226.68</v>
      </c>
      <c r="H825" t="s">
        <v>2060</v>
      </c>
      <c r="I825" t="str">
        <f>VLOOKUP(B825,Customers!A:G,7,FALSE)</f>
        <v>Individual</v>
      </c>
      <c r="Q825" t="str">
        <f>IF(COUNTIF(Customers!$A$2:$A$1001,B825)&gt;0,"Valid","Invalid")</f>
        <v>Valid</v>
      </c>
      <c r="R825" t="str">
        <f>IF(COUNTIF(Branches!$A$2:$A$11,F825)&gt;0,"Valid","Invalid")</f>
        <v>Valid</v>
      </c>
    </row>
    <row r="826" spans="1:18" x14ac:dyDescent="0.25">
      <c r="A826" t="s">
        <v>2897</v>
      </c>
      <c r="B826" t="s">
        <v>288</v>
      </c>
      <c r="C826" s="8">
        <v>46198</v>
      </c>
      <c r="D826" t="s">
        <v>2065</v>
      </c>
      <c r="E826" t="s">
        <v>2063</v>
      </c>
      <c r="F826" t="s">
        <v>45</v>
      </c>
      <c r="G826">
        <v>78.14</v>
      </c>
      <c r="H826" t="s">
        <v>2060</v>
      </c>
      <c r="I826" t="str">
        <f>VLOOKUP(B826,Customers!A:G,7,FALSE)</f>
        <v>SME</v>
      </c>
      <c r="Q826" t="str">
        <f>IF(COUNTIF(Customers!$A$2:$A$1001,B826)&gt;0,"Valid","Invalid")</f>
        <v>Valid</v>
      </c>
      <c r="R826" t="str">
        <f>IF(COUNTIF(Branches!$A$2:$A$11,F826)&gt;0,"Valid","Invalid")</f>
        <v>Valid</v>
      </c>
    </row>
    <row r="827" spans="1:18" x14ac:dyDescent="0.25">
      <c r="A827" t="s">
        <v>2898</v>
      </c>
      <c r="B827" t="s">
        <v>987</v>
      </c>
      <c r="C827" s="8">
        <v>46049</v>
      </c>
      <c r="D827" t="s">
        <v>2067</v>
      </c>
      <c r="E827" t="s">
        <v>2063</v>
      </c>
      <c r="F827" t="s">
        <v>21</v>
      </c>
      <c r="G827">
        <v>2799.69</v>
      </c>
      <c r="H827" t="s">
        <v>2060</v>
      </c>
      <c r="I827" t="str">
        <f>VLOOKUP(B827,Customers!A:G,7,FALSE)</f>
        <v>Individual</v>
      </c>
      <c r="Q827" t="str">
        <f>IF(COUNTIF(Customers!$A$2:$A$1001,B827)&gt;0,"Valid","Invalid")</f>
        <v>Valid</v>
      </c>
      <c r="R827" t="str">
        <f>IF(COUNTIF(Branches!$A$2:$A$11,F827)&gt;0,"Valid","Invalid")</f>
        <v>Valid</v>
      </c>
    </row>
    <row r="828" spans="1:18" x14ac:dyDescent="0.25">
      <c r="A828" t="s">
        <v>2899</v>
      </c>
      <c r="B828" t="s">
        <v>447</v>
      </c>
      <c r="C828" s="8">
        <v>46258</v>
      </c>
      <c r="D828" t="s">
        <v>2065</v>
      </c>
      <c r="E828" t="s">
        <v>2076</v>
      </c>
      <c r="F828" t="s">
        <v>16</v>
      </c>
      <c r="G828">
        <v>345.19</v>
      </c>
      <c r="H828" t="s">
        <v>2060</v>
      </c>
      <c r="I828" t="str">
        <f>VLOOKUP(B828,Customers!A:G,7,FALSE)</f>
        <v>Individual</v>
      </c>
      <c r="Q828" t="str">
        <f>IF(COUNTIF(Customers!$A$2:$A$1001,B828)&gt;0,"Valid","Invalid")</f>
        <v>Valid</v>
      </c>
      <c r="R828" t="str">
        <f>IF(COUNTIF(Branches!$A$2:$A$11,F828)&gt;0,"Valid","Invalid")</f>
        <v>Valid</v>
      </c>
    </row>
    <row r="829" spans="1:18" x14ac:dyDescent="0.25">
      <c r="A829" t="s">
        <v>2900</v>
      </c>
      <c r="B829" t="s">
        <v>639</v>
      </c>
      <c r="C829" s="8">
        <v>46034</v>
      </c>
      <c r="D829" t="s">
        <v>2067</v>
      </c>
      <c r="E829" t="s">
        <v>2076</v>
      </c>
      <c r="F829" t="s">
        <v>16</v>
      </c>
      <c r="G829">
        <v>4707.58</v>
      </c>
      <c r="H829" t="s">
        <v>2060</v>
      </c>
      <c r="I829" t="str">
        <f>VLOOKUP(B829,Customers!A:G,7,FALSE)</f>
        <v>Individual</v>
      </c>
      <c r="Q829" t="str">
        <f>IF(COUNTIF(Customers!$A$2:$A$1001,B829)&gt;0,"Valid","Invalid")</f>
        <v>Valid</v>
      </c>
      <c r="R829" t="str">
        <f>IF(COUNTIF(Branches!$A$2:$A$11,F829)&gt;0,"Valid","Invalid")</f>
        <v>Valid</v>
      </c>
    </row>
    <row r="830" spans="1:18" x14ac:dyDescent="0.25">
      <c r="A830" t="s">
        <v>2901</v>
      </c>
      <c r="B830" t="s">
        <v>161</v>
      </c>
      <c r="C830" s="8">
        <v>46089</v>
      </c>
      <c r="D830" t="s">
        <v>2065</v>
      </c>
      <c r="E830" t="s">
        <v>2059</v>
      </c>
      <c r="F830" t="s">
        <v>21</v>
      </c>
      <c r="G830">
        <v>1428.8</v>
      </c>
      <c r="H830" t="s">
        <v>2060</v>
      </c>
      <c r="I830" t="str">
        <f>VLOOKUP(B830,Customers!A:G,7,FALSE)</f>
        <v>Student</v>
      </c>
      <c r="Q830" t="str">
        <f>IF(COUNTIF(Customers!$A$2:$A$1001,B830)&gt;0,"Valid","Invalid")</f>
        <v>Valid</v>
      </c>
      <c r="R830" t="str">
        <f>IF(COUNTIF(Branches!$A$2:$A$11,F830)&gt;0,"Valid","Invalid")</f>
        <v>Valid</v>
      </c>
    </row>
    <row r="831" spans="1:18" x14ac:dyDescent="0.25">
      <c r="A831" t="s">
        <v>2902</v>
      </c>
      <c r="B831" t="s">
        <v>149</v>
      </c>
      <c r="C831" s="8">
        <v>46052</v>
      </c>
      <c r="D831" t="s">
        <v>2065</v>
      </c>
      <c r="E831" t="s">
        <v>2063</v>
      </c>
      <c r="F831" t="s">
        <v>11</v>
      </c>
      <c r="G831">
        <v>1790.52</v>
      </c>
      <c r="H831" t="s">
        <v>2060</v>
      </c>
      <c r="I831" t="str">
        <f>VLOOKUP(B831,Customers!A:G,7,FALSE)</f>
        <v>Individual</v>
      </c>
      <c r="Q831" t="str">
        <f>IF(COUNTIF(Customers!$A$2:$A$1001,B831)&gt;0,"Valid","Invalid")</f>
        <v>Valid</v>
      </c>
      <c r="R831" t="str">
        <f>IF(COUNTIF(Branches!$A$2:$A$11,F831)&gt;0,"Valid","Invalid")</f>
        <v>Valid</v>
      </c>
    </row>
    <row r="832" spans="1:18" x14ac:dyDescent="0.25">
      <c r="A832" t="s">
        <v>2903</v>
      </c>
      <c r="B832" t="s">
        <v>1019</v>
      </c>
      <c r="C832" s="8">
        <v>46118</v>
      </c>
      <c r="D832" t="s">
        <v>2058</v>
      </c>
      <c r="E832" t="s">
        <v>2076</v>
      </c>
      <c r="F832" t="s">
        <v>47</v>
      </c>
      <c r="G832">
        <v>2311.09</v>
      </c>
      <c r="H832" t="s">
        <v>2107</v>
      </c>
      <c r="I832" t="str">
        <f>VLOOKUP(B832,Customers!A:G,7,FALSE)</f>
        <v>Individual</v>
      </c>
      <c r="Q832" t="str">
        <f>IF(COUNTIF(Customers!$A$2:$A$1001,B832)&gt;0,"Valid","Invalid")</f>
        <v>Valid</v>
      </c>
      <c r="R832" t="str">
        <f>IF(COUNTIF(Branches!$A$2:$A$11,F832)&gt;0,"Valid","Invalid")</f>
        <v>Valid</v>
      </c>
    </row>
    <row r="833" spans="1:18" x14ac:dyDescent="0.25">
      <c r="A833" t="s">
        <v>2904</v>
      </c>
      <c r="B833" t="s">
        <v>173</v>
      </c>
      <c r="C833" s="8">
        <v>46237</v>
      </c>
      <c r="D833" t="s">
        <v>2058</v>
      </c>
      <c r="E833" t="s">
        <v>2063</v>
      </c>
      <c r="F833" t="s">
        <v>53</v>
      </c>
      <c r="G833">
        <v>909.3</v>
      </c>
      <c r="H833" t="s">
        <v>2060</v>
      </c>
      <c r="I833" t="str">
        <f>VLOOKUP(B833,Customers!A:G,7,FALSE)</f>
        <v>Corporate</v>
      </c>
      <c r="Q833" t="str">
        <f>IF(COUNTIF(Customers!$A$2:$A$1001,B833)&gt;0,"Valid","Invalid")</f>
        <v>Valid</v>
      </c>
      <c r="R833" t="str">
        <f>IF(COUNTIF(Branches!$A$2:$A$11,F833)&gt;0,"Valid","Invalid")</f>
        <v>Valid</v>
      </c>
    </row>
    <row r="834" spans="1:18" x14ac:dyDescent="0.25">
      <c r="A834" t="s">
        <v>2905</v>
      </c>
      <c r="B834" t="s">
        <v>797</v>
      </c>
      <c r="C834" s="8">
        <v>46216</v>
      </c>
      <c r="D834" t="s">
        <v>2062</v>
      </c>
      <c r="E834" t="s">
        <v>2076</v>
      </c>
      <c r="F834" t="s">
        <v>16</v>
      </c>
      <c r="G834">
        <v>919.71</v>
      </c>
      <c r="H834" t="s">
        <v>2060</v>
      </c>
      <c r="I834" t="str">
        <f>VLOOKUP(B834,Customers!A:G,7,FALSE)</f>
        <v>Individual</v>
      </c>
      <c r="Q834" t="str">
        <f>IF(COUNTIF(Customers!$A$2:$A$1001,B834)&gt;0,"Valid","Invalid")</f>
        <v>Valid</v>
      </c>
      <c r="R834" t="str">
        <f>IF(COUNTIF(Branches!$A$2:$A$11,F834)&gt;0,"Valid","Invalid")</f>
        <v>Valid</v>
      </c>
    </row>
    <row r="835" spans="1:18" x14ac:dyDescent="0.25">
      <c r="A835" t="s">
        <v>2906</v>
      </c>
      <c r="B835" t="s">
        <v>534</v>
      </c>
      <c r="C835" s="8">
        <v>46157</v>
      </c>
      <c r="D835" t="s">
        <v>2058</v>
      </c>
      <c r="E835" t="s">
        <v>2059</v>
      </c>
      <c r="F835" t="s">
        <v>53</v>
      </c>
      <c r="G835">
        <v>2925.85</v>
      </c>
      <c r="H835" t="s">
        <v>2060</v>
      </c>
      <c r="I835" t="str">
        <f>VLOOKUP(B835,Customers!A:G,7,FALSE)</f>
        <v>Individual</v>
      </c>
      <c r="Q835" t="str">
        <f>IF(COUNTIF(Customers!$A$2:$A$1001,B835)&gt;0,"Valid","Invalid")</f>
        <v>Valid</v>
      </c>
      <c r="R835" t="str">
        <f>IF(COUNTIF(Branches!$A$2:$A$11,F835)&gt;0,"Valid","Invalid")</f>
        <v>Valid</v>
      </c>
    </row>
    <row r="836" spans="1:18" x14ac:dyDescent="0.25">
      <c r="A836" t="s">
        <v>2907</v>
      </c>
      <c r="B836" t="s">
        <v>716</v>
      </c>
      <c r="C836" s="8">
        <v>46056</v>
      </c>
      <c r="D836" t="s">
        <v>2065</v>
      </c>
      <c r="E836" t="s">
        <v>2076</v>
      </c>
      <c r="F836" t="s">
        <v>47</v>
      </c>
      <c r="G836">
        <v>908.1</v>
      </c>
      <c r="H836" t="s">
        <v>2060</v>
      </c>
      <c r="I836" t="str">
        <f>VLOOKUP(B836,Customers!A:G,7,FALSE)</f>
        <v>Individual</v>
      </c>
      <c r="Q836" t="str">
        <f>IF(COUNTIF(Customers!$A$2:$A$1001,B836)&gt;0,"Valid","Invalid")</f>
        <v>Valid</v>
      </c>
      <c r="R836" t="str">
        <f>IF(COUNTIF(Branches!$A$2:$A$11,F836)&gt;0,"Valid","Invalid")</f>
        <v>Valid</v>
      </c>
    </row>
    <row r="837" spans="1:18" x14ac:dyDescent="0.25">
      <c r="A837" t="s">
        <v>2908</v>
      </c>
      <c r="B837" t="s">
        <v>186</v>
      </c>
      <c r="C837" s="8">
        <v>46054</v>
      </c>
      <c r="D837" t="s">
        <v>2067</v>
      </c>
      <c r="E837" t="s">
        <v>2068</v>
      </c>
      <c r="F837" t="s">
        <v>16</v>
      </c>
      <c r="G837">
        <v>392.22</v>
      </c>
      <c r="H837" t="s">
        <v>2060</v>
      </c>
      <c r="I837" t="str">
        <f>VLOOKUP(B837,Customers!A:G,7,FALSE)</f>
        <v>SME</v>
      </c>
      <c r="Q837" t="str">
        <f>IF(COUNTIF(Customers!$A$2:$A$1001,B837)&gt;0,"Valid","Invalid")</f>
        <v>Valid</v>
      </c>
      <c r="R837" t="str">
        <f>IF(COUNTIF(Branches!$A$2:$A$11,F837)&gt;0,"Valid","Invalid")</f>
        <v>Valid</v>
      </c>
    </row>
    <row r="838" spans="1:18" x14ac:dyDescent="0.25">
      <c r="A838" t="s">
        <v>2909</v>
      </c>
      <c r="B838" t="s">
        <v>913</v>
      </c>
      <c r="C838" s="8">
        <v>46139</v>
      </c>
      <c r="D838" t="s">
        <v>2065</v>
      </c>
      <c r="E838" t="s">
        <v>2068</v>
      </c>
      <c r="F838" t="s">
        <v>11</v>
      </c>
      <c r="G838">
        <v>1459.37</v>
      </c>
      <c r="H838" t="s">
        <v>2060</v>
      </c>
      <c r="I838" t="str">
        <f>VLOOKUP(B838,Customers!A:G,7,FALSE)</f>
        <v>Corporate</v>
      </c>
      <c r="Q838" t="str">
        <f>IF(COUNTIF(Customers!$A$2:$A$1001,B838)&gt;0,"Valid","Invalid")</f>
        <v>Valid</v>
      </c>
      <c r="R838" t="str">
        <f>IF(COUNTIF(Branches!$A$2:$A$11,F838)&gt;0,"Valid","Invalid")</f>
        <v>Valid</v>
      </c>
    </row>
    <row r="839" spans="1:18" x14ac:dyDescent="0.25">
      <c r="A839" t="s">
        <v>2910</v>
      </c>
      <c r="B839" t="s">
        <v>381</v>
      </c>
      <c r="C839" s="8">
        <v>46061</v>
      </c>
      <c r="D839" t="s">
        <v>2062</v>
      </c>
      <c r="E839" t="s">
        <v>2073</v>
      </c>
      <c r="F839" t="s">
        <v>39</v>
      </c>
      <c r="G839">
        <v>98.14</v>
      </c>
      <c r="H839" t="s">
        <v>2060</v>
      </c>
      <c r="I839" t="str">
        <f>VLOOKUP(B839,Customers!A:G,7,FALSE)</f>
        <v>Individual</v>
      </c>
      <c r="Q839" t="str">
        <f>IF(COUNTIF(Customers!$A$2:$A$1001,B839)&gt;0,"Valid","Invalid")</f>
        <v>Valid</v>
      </c>
      <c r="R839" t="str">
        <f>IF(COUNTIF(Branches!$A$2:$A$11,F839)&gt;0,"Valid","Invalid")</f>
        <v>Valid</v>
      </c>
    </row>
    <row r="840" spans="1:18" x14ac:dyDescent="0.25">
      <c r="A840" t="s">
        <v>2911</v>
      </c>
      <c r="B840" t="s">
        <v>983</v>
      </c>
      <c r="C840" s="8">
        <v>46118</v>
      </c>
      <c r="D840" t="s">
        <v>2062</v>
      </c>
      <c r="E840" t="s">
        <v>2073</v>
      </c>
      <c r="F840" t="s">
        <v>45</v>
      </c>
      <c r="G840">
        <v>3039.84</v>
      </c>
      <c r="H840" t="s">
        <v>2115</v>
      </c>
      <c r="I840" t="str">
        <f>VLOOKUP(B840,Customers!A:G,7,FALSE)</f>
        <v>Individual</v>
      </c>
      <c r="Q840" t="str">
        <f>IF(COUNTIF(Customers!$A$2:$A$1001,B840)&gt;0,"Valid","Invalid")</f>
        <v>Valid</v>
      </c>
      <c r="R840" t="str">
        <f>IF(COUNTIF(Branches!$A$2:$A$11,F840)&gt;0,"Valid","Invalid")</f>
        <v>Valid</v>
      </c>
    </row>
    <row r="841" spans="1:18" x14ac:dyDescent="0.25">
      <c r="A841" t="s">
        <v>2912</v>
      </c>
      <c r="B841" t="s">
        <v>618</v>
      </c>
      <c r="C841" s="8">
        <v>46193</v>
      </c>
      <c r="D841" t="s">
        <v>2065</v>
      </c>
      <c r="E841" t="s">
        <v>2068</v>
      </c>
      <c r="F841" t="s">
        <v>45</v>
      </c>
      <c r="G841">
        <v>3103.98</v>
      </c>
      <c r="H841" t="s">
        <v>2060</v>
      </c>
      <c r="I841" t="str">
        <f>VLOOKUP(B841,Customers!A:G,7,FALSE)</f>
        <v>Individual</v>
      </c>
      <c r="Q841" t="str">
        <f>IF(COUNTIF(Customers!$A$2:$A$1001,B841)&gt;0,"Valid","Invalid")</f>
        <v>Valid</v>
      </c>
      <c r="R841" t="str">
        <f>IF(COUNTIF(Branches!$A$2:$A$11,F841)&gt;0,"Valid","Invalid")</f>
        <v>Valid</v>
      </c>
    </row>
    <row r="842" spans="1:18" x14ac:dyDescent="0.25">
      <c r="A842" t="s">
        <v>2913</v>
      </c>
      <c r="B842" t="s">
        <v>771</v>
      </c>
      <c r="C842" s="8">
        <v>46193</v>
      </c>
      <c r="D842" t="s">
        <v>2067</v>
      </c>
      <c r="E842" t="s">
        <v>2073</v>
      </c>
      <c r="F842" t="s">
        <v>45</v>
      </c>
      <c r="G842">
        <v>2692.34</v>
      </c>
      <c r="H842" t="s">
        <v>2060</v>
      </c>
      <c r="I842" t="str">
        <f>VLOOKUP(B842,Customers!A:G,7,FALSE)</f>
        <v>Student</v>
      </c>
      <c r="Q842" t="str">
        <f>IF(COUNTIF(Customers!$A$2:$A$1001,B842)&gt;0,"Valid","Invalid")</f>
        <v>Valid</v>
      </c>
      <c r="R842" t="str">
        <f>IF(COUNTIF(Branches!$A$2:$A$11,F842)&gt;0,"Valid","Invalid")</f>
        <v>Valid</v>
      </c>
    </row>
    <row r="843" spans="1:18" x14ac:dyDescent="0.25">
      <c r="A843" t="s">
        <v>2914</v>
      </c>
      <c r="B843" t="s">
        <v>821</v>
      </c>
      <c r="C843" s="8">
        <v>46228</v>
      </c>
      <c r="D843" t="s">
        <v>2070</v>
      </c>
      <c r="E843" t="s">
        <v>2068</v>
      </c>
      <c r="F843" t="s">
        <v>45</v>
      </c>
      <c r="G843">
        <v>2590.9299999999998</v>
      </c>
      <c r="H843" t="s">
        <v>2060</v>
      </c>
      <c r="I843" t="str">
        <f>VLOOKUP(B843,Customers!A:G,7,FALSE)</f>
        <v>SME</v>
      </c>
      <c r="Q843" t="str">
        <f>IF(COUNTIF(Customers!$A$2:$A$1001,B843)&gt;0,"Valid","Invalid")</f>
        <v>Valid</v>
      </c>
      <c r="R843" t="str">
        <f>IF(COUNTIF(Branches!$A$2:$A$11,F843)&gt;0,"Valid","Invalid")</f>
        <v>Valid</v>
      </c>
    </row>
    <row r="844" spans="1:18" x14ac:dyDescent="0.25">
      <c r="A844" t="s">
        <v>2915</v>
      </c>
      <c r="B844" t="s">
        <v>359</v>
      </c>
      <c r="C844" s="8">
        <v>46153</v>
      </c>
      <c r="D844" t="s">
        <v>2058</v>
      </c>
      <c r="E844" t="s">
        <v>2076</v>
      </c>
      <c r="F844" t="s">
        <v>39</v>
      </c>
      <c r="G844">
        <v>746.82</v>
      </c>
      <c r="H844" t="s">
        <v>2060</v>
      </c>
      <c r="I844" t="str">
        <f>VLOOKUP(B844,Customers!A:G,7,FALSE)</f>
        <v>SME</v>
      </c>
      <c r="Q844" t="str">
        <f>IF(COUNTIF(Customers!$A$2:$A$1001,B844)&gt;0,"Valid","Invalid")</f>
        <v>Valid</v>
      </c>
      <c r="R844" t="str">
        <f>IF(COUNTIF(Branches!$A$2:$A$11,F844)&gt;0,"Valid","Invalid")</f>
        <v>Valid</v>
      </c>
    </row>
    <row r="845" spans="1:18" x14ac:dyDescent="0.25">
      <c r="A845" t="s">
        <v>2916</v>
      </c>
      <c r="B845" t="s">
        <v>860</v>
      </c>
      <c r="C845" s="8">
        <v>46196</v>
      </c>
      <c r="D845" t="s">
        <v>2062</v>
      </c>
      <c r="E845" t="s">
        <v>2063</v>
      </c>
      <c r="F845" t="s">
        <v>11</v>
      </c>
      <c r="G845">
        <v>730.2</v>
      </c>
      <c r="H845" t="s">
        <v>2060</v>
      </c>
      <c r="I845" t="str">
        <f>VLOOKUP(B845,Customers!A:G,7,FALSE)</f>
        <v>Individual</v>
      </c>
      <c r="Q845" t="str">
        <f>IF(COUNTIF(Customers!$A$2:$A$1001,B845)&gt;0,"Valid","Invalid")</f>
        <v>Valid</v>
      </c>
      <c r="R845" t="str">
        <f>IF(COUNTIF(Branches!$A$2:$A$11,F845)&gt;0,"Valid","Invalid")</f>
        <v>Valid</v>
      </c>
    </row>
    <row r="846" spans="1:18" x14ac:dyDescent="0.25">
      <c r="A846" t="s">
        <v>2917</v>
      </c>
      <c r="B846" t="s">
        <v>964</v>
      </c>
      <c r="C846" s="8">
        <v>46182</v>
      </c>
      <c r="D846" t="s">
        <v>2065</v>
      </c>
      <c r="E846" t="s">
        <v>2063</v>
      </c>
      <c r="F846" t="s">
        <v>39</v>
      </c>
      <c r="G846">
        <v>237.55</v>
      </c>
      <c r="H846" t="s">
        <v>2060</v>
      </c>
      <c r="I846" t="str">
        <f>VLOOKUP(B846,Customers!A:G,7,FALSE)</f>
        <v>Individual</v>
      </c>
      <c r="Q846" t="str">
        <f>IF(COUNTIF(Customers!$A$2:$A$1001,B846)&gt;0,"Valid","Invalid")</f>
        <v>Valid</v>
      </c>
      <c r="R846" t="str">
        <f>IF(COUNTIF(Branches!$A$2:$A$11,F846)&gt;0,"Valid","Invalid")</f>
        <v>Valid</v>
      </c>
    </row>
    <row r="847" spans="1:18" x14ac:dyDescent="0.25">
      <c r="A847" t="s">
        <v>2918</v>
      </c>
      <c r="B847" t="s">
        <v>899</v>
      </c>
      <c r="C847" s="8">
        <v>46065</v>
      </c>
      <c r="D847" t="s">
        <v>2065</v>
      </c>
      <c r="E847" t="s">
        <v>2068</v>
      </c>
      <c r="F847" t="s">
        <v>45</v>
      </c>
      <c r="G847">
        <v>4665.92</v>
      </c>
      <c r="H847" t="s">
        <v>2060</v>
      </c>
      <c r="I847" t="str">
        <f>VLOOKUP(B847,Customers!A:G,7,FALSE)</f>
        <v>Corporate</v>
      </c>
      <c r="Q847" t="str">
        <f>IF(COUNTIF(Customers!$A$2:$A$1001,B847)&gt;0,"Valid","Invalid")</f>
        <v>Valid</v>
      </c>
      <c r="R847" t="str">
        <f>IF(COUNTIF(Branches!$A$2:$A$11,F847)&gt;0,"Valid","Invalid")</f>
        <v>Valid</v>
      </c>
    </row>
    <row r="848" spans="1:18" x14ac:dyDescent="0.25">
      <c r="A848" t="s">
        <v>2919</v>
      </c>
      <c r="B848" t="s">
        <v>570</v>
      </c>
      <c r="C848" s="8">
        <v>46250</v>
      </c>
      <c r="D848" t="s">
        <v>2062</v>
      </c>
      <c r="E848" t="s">
        <v>2059</v>
      </c>
      <c r="F848" t="s">
        <v>11</v>
      </c>
      <c r="G848">
        <v>500.19</v>
      </c>
      <c r="H848" t="s">
        <v>2060</v>
      </c>
      <c r="I848" t="str">
        <f>VLOOKUP(B848,Customers!A:G,7,FALSE)</f>
        <v>Individual</v>
      </c>
      <c r="Q848" t="str">
        <f>IF(COUNTIF(Customers!$A$2:$A$1001,B848)&gt;0,"Valid","Invalid")</f>
        <v>Valid</v>
      </c>
      <c r="R848" t="str">
        <f>IF(COUNTIF(Branches!$A$2:$A$11,F848)&gt;0,"Valid","Invalid")</f>
        <v>Valid</v>
      </c>
    </row>
    <row r="849" spans="1:18" x14ac:dyDescent="0.25">
      <c r="A849" t="s">
        <v>2920</v>
      </c>
      <c r="B849" t="s">
        <v>327</v>
      </c>
      <c r="C849" s="8">
        <v>46103</v>
      </c>
      <c r="D849" t="s">
        <v>2058</v>
      </c>
      <c r="E849" t="s">
        <v>2068</v>
      </c>
      <c r="F849" t="s">
        <v>11</v>
      </c>
      <c r="G849">
        <v>1141.26</v>
      </c>
      <c r="H849" t="s">
        <v>2060</v>
      </c>
      <c r="I849" t="str">
        <f>VLOOKUP(B849,Customers!A:G,7,FALSE)</f>
        <v>Individual</v>
      </c>
      <c r="Q849" t="str">
        <f>IF(COUNTIF(Customers!$A$2:$A$1001,B849)&gt;0,"Valid","Invalid")</f>
        <v>Valid</v>
      </c>
      <c r="R849" t="str">
        <f>IF(COUNTIF(Branches!$A$2:$A$11,F849)&gt;0,"Valid","Invalid")</f>
        <v>Valid</v>
      </c>
    </row>
    <row r="850" spans="1:18" x14ac:dyDescent="0.25">
      <c r="A850" t="s">
        <v>2921</v>
      </c>
      <c r="B850" t="s">
        <v>527</v>
      </c>
      <c r="C850" s="8">
        <v>46262</v>
      </c>
      <c r="D850" t="s">
        <v>2058</v>
      </c>
      <c r="E850" t="s">
        <v>2063</v>
      </c>
      <c r="F850" t="s">
        <v>11</v>
      </c>
      <c r="G850">
        <v>1047.3800000000001</v>
      </c>
      <c r="H850" t="s">
        <v>2060</v>
      </c>
      <c r="I850" t="str">
        <f>VLOOKUP(B850,Customers!A:G,7,FALSE)</f>
        <v>Individual</v>
      </c>
      <c r="Q850" t="str">
        <f>IF(COUNTIF(Customers!$A$2:$A$1001,B850)&gt;0,"Valid","Invalid")</f>
        <v>Valid</v>
      </c>
      <c r="R850" t="str">
        <f>IF(COUNTIF(Branches!$A$2:$A$11,F850)&gt;0,"Valid","Invalid")</f>
        <v>Valid</v>
      </c>
    </row>
    <row r="851" spans="1:18" x14ac:dyDescent="0.25">
      <c r="A851" t="s">
        <v>2922</v>
      </c>
      <c r="B851" t="s">
        <v>530</v>
      </c>
      <c r="C851" s="8">
        <v>46025</v>
      </c>
      <c r="D851" t="s">
        <v>2058</v>
      </c>
      <c r="E851" t="s">
        <v>2059</v>
      </c>
      <c r="F851" t="s">
        <v>27</v>
      </c>
      <c r="G851">
        <v>212.64</v>
      </c>
      <c r="H851" t="s">
        <v>2060</v>
      </c>
      <c r="I851" t="str">
        <f>VLOOKUP(B851,Customers!A:G,7,FALSE)</f>
        <v>Individual</v>
      </c>
      <c r="Q851" t="str">
        <f>IF(COUNTIF(Customers!$A$2:$A$1001,B851)&gt;0,"Valid","Invalid")</f>
        <v>Valid</v>
      </c>
      <c r="R851" t="str">
        <f>IF(COUNTIF(Branches!$A$2:$A$11,F851)&gt;0,"Valid","Invalid")</f>
        <v>Valid</v>
      </c>
    </row>
    <row r="852" spans="1:18" x14ac:dyDescent="0.25">
      <c r="A852" t="s">
        <v>2923</v>
      </c>
      <c r="B852" t="s">
        <v>650</v>
      </c>
      <c r="C852" s="8">
        <v>46096</v>
      </c>
      <c r="D852" t="s">
        <v>2058</v>
      </c>
      <c r="E852" t="s">
        <v>2076</v>
      </c>
      <c r="F852" t="s">
        <v>29</v>
      </c>
      <c r="G852">
        <v>141.93</v>
      </c>
      <c r="H852" t="s">
        <v>2060</v>
      </c>
      <c r="I852" t="str">
        <f>VLOOKUP(B852,Customers!A:G,7,FALSE)</f>
        <v>Student</v>
      </c>
      <c r="Q852" t="str">
        <f>IF(COUNTIF(Customers!$A$2:$A$1001,B852)&gt;0,"Valid","Invalid")</f>
        <v>Valid</v>
      </c>
      <c r="R852" t="str">
        <f>IF(COUNTIF(Branches!$A$2:$A$11,F852)&gt;0,"Valid","Invalid")</f>
        <v>Valid</v>
      </c>
    </row>
    <row r="853" spans="1:18" x14ac:dyDescent="0.25">
      <c r="A853" t="s">
        <v>2924</v>
      </c>
      <c r="B853" t="s">
        <v>290</v>
      </c>
      <c r="C853" s="8">
        <v>46139</v>
      </c>
      <c r="D853" t="s">
        <v>2062</v>
      </c>
      <c r="E853" t="s">
        <v>2073</v>
      </c>
      <c r="F853" t="s">
        <v>21</v>
      </c>
      <c r="G853">
        <v>816.96</v>
      </c>
      <c r="H853" t="s">
        <v>2060</v>
      </c>
      <c r="I853" t="str">
        <f>VLOOKUP(B853,Customers!A:G,7,FALSE)</f>
        <v>Individual</v>
      </c>
      <c r="Q853" t="str">
        <f>IF(COUNTIF(Customers!$A$2:$A$1001,B853)&gt;0,"Valid","Invalid")</f>
        <v>Valid</v>
      </c>
      <c r="R853" t="str">
        <f>IF(COUNTIF(Branches!$A$2:$A$11,F853)&gt;0,"Valid","Invalid")</f>
        <v>Valid</v>
      </c>
    </row>
    <row r="854" spans="1:18" x14ac:dyDescent="0.25">
      <c r="A854" t="s">
        <v>2925</v>
      </c>
      <c r="B854" t="s">
        <v>1020</v>
      </c>
      <c r="C854" s="8">
        <v>46085</v>
      </c>
      <c r="D854" t="s">
        <v>2065</v>
      </c>
      <c r="E854" t="s">
        <v>2063</v>
      </c>
      <c r="F854" t="s">
        <v>29</v>
      </c>
      <c r="G854">
        <v>516.07000000000005</v>
      </c>
      <c r="H854" t="s">
        <v>2060</v>
      </c>
      <c r="I854" t="str">
        <f>VLOOKUP(B854,Customers!A:G,7,FALSE)</f>
        <v>Individual</v>
      </c>
      <c r="Q854" t="str">
        <f>IF(COUNTIF(Customers!$A$2:$A$1001,B854)&gt;0,"Valid","Invalid")</f>
        <v>Valid</v>
      </c>
      <c r="R854" t="str">
        <f>IF(COUNTIF(Branches!$A$2:$A$11,F854)&gt;0,"Valid","Invalid")</f>
        <v>Valid</v>
      </c>
    </row>
    <row r="855" spans="1:18" x14ac:dyDescent="0.25">
      <c r="A855" t="s">
        <v>2926</v>
      </c>
      <c r="B855" t="s">
        <v>113</v>
      </c>
      <c r="C855" s="8">
        <v>46133</v>
      </c>
      <c r="D855" t="s">
        <v>2067</v>
      </c>
      <c r="E855" t="s">
        <v>2068</v>
      </c>
      <c r="F855" t="s">
        <v>29</v>
      </c>
      <c r="G855">
        <v>742.9</v>
      </c>
      <c r="H855" t="s">
        <v>2060</v>
      </c>
      <c r="I855" t="str">
        <f>VLOOKUP(B855,Customers!A:G,7,FALSE)</f>
        <v>Individual</v>
      </c>
      <c r="Q855" t="str">
        <f>IF(COUNTIF(Customers!$A$2:$A$1001,B855)&gt;0,"Valid","Invalid")</f>
        <v>Valid</v>
      </c>
      <c r="R855" t="str">
        <f>IF(COUNTIF(Branches!$A$2:$A$11,F855)&gt;0,"Valid","Invalid")</f>
        <v>Valid</v>
      </c>
    </row>
    <row r="856" spans="1:18" x14ac:dyDescent="0.25">
      <c r="A856" t="s">
        <v>2927</v>
      </c>
      <c r="B856" t="s">
        <v>685</v>
      </c>
      <c r="C856" s="8">
        <v>46062</v>
      </c>
      <c r="D856" t="s">
        <v>2062</v>
      </c>
      <c r="E856" t="s">
        <v>2068</v>
      </c>
      <c r="F856" t="s">
        <v>47</v>
      </c>
      <c r="G856">
        <v>2357.64</v>
      </c>
      <c r="H856" t="s">
        <v>2060</v>
      </c>
      <c r="I856" t="str">
        <f>VLOOKUP(B856,Customers!A:G,7,FALSE)</f>
        <v>Individual</v>
      </c>
      <c r="Q856" t="str">
        <f>IF(COUNTIF(Customers!$A$2:$A$1001,B856)&gt;0,"Valid","Invalid")</f>
        <v>Valid</v>
      </c>
      <c r="R856" t="str">
        <f>IF(COUNTIF(Branches!$A$2:$A$11,F856)&gt;0,"Valid","Invalid")</f>
        <v>Valid</v>
      </c>
    </row>
    <row r="857" spans="1:18" x14ac:dyDescent="0.25">
      <c r="A857" t="s">
        <v>2928</v>
      </c>
      <c r="B857" t="s">
        <v>430</v>
      </c>
      <c r="C857" s="8">
        <v>46040</v>
      </c>
      <c r="D857" t="s">
        <v>2067</v>
      </c>
      <c r="E857" t="s">
        <v>2063</v>
      </c>
      <c r="F857" t="s">
        <v>27</v>
      </c>
      <c r="G857">
        <v>1017.34</v>
      </c>
      <c r="H857" t="s">
        <v>2060</v>
      </c>
      <c r="I857" t="str">
        <f>VLOOKUP(B857,Customers!A:G,7,FALSE)</f>
        <v>Individual</v>
      </c>
      <c r="Q857" t="str">
        <f>IF(COUNTIF(Customers!$A$2:$A$1001,B857)&gt;0,"Valid","Invalid")</f>
        <v>Valid</v>
      </c>
      <c r="R857" t="str">
        <f>IF(COUNTIF(Branches!$A$2:$A$11,F857)&gt;0,"Valid","Invalid")</f>
        <v>Valid</v>
      </c>
    </row>
    <row r="858" spans="1:18" x14ac:dyDescent="0.25">
      <c r="A858" t="s">
        <v>2929</v>
      </c>
      <c r="B858" t="s">
        <v>450</v>
      </c>
      <c r="C858" s="8">
        <v>46089</v>
      </c>
      <c r="D858" t="s">
        <v>2058</v>
      </c>
      <c r="E858" t="s">
        <v>2059</v>
      </c>
      <c r="F858" t="s">
        <v>11</v>
      </c>
      <c r="G858">
        <v>1734.58</v>
      </c>
      <c r="H858" t="s">
        <v>2060</v>
      </c>
      <c r="I858" t="str">
        <f>VLOOKUP(B858,Customers!A:G,7,FALSE)</f>
        <v>Individual</v>
      </c>
      <c r="Q858" t="str">
        <f>IF(COUNTIF(Customers!$A$2:$A$1001,B858)&gt;0,"Valid","Invalid")</f>
        <v>Valid</v>
      </c>
      <c r="R858" t="str">
        <f>IF(COUNTIF(Branches!$A$2:$A$11,F858)&gt;0,"Valid","Invalid")</f>
        <v>Valid</v>
      </c>
    </row>
    <row r="859" spans="1:18" x14ac:dyDescent="0.25">
      <c r="A859" t="s">
        <v>2930</v>
      </c>
      <c r="B859" t="s">
        <v>209</v>
      </c>
      <c r="C859" s="8">
        <v>46125</v>
      </c>
      <c r="D859" t="s">
        <v>2062</v>
      </c>
      <c r="E859" t="s">
        <v>2063</v>
      </c>
      <c r="F859" t="s">
        <v>11</v>
      </c>
      <c r="G859">
        <v>1268.17</v>
      </c>
      <c r="H859" t="s">
        <v>2060</v>
      </c>
      <c r="I859" t="str">
        <f>VLOOKUP(B859,Customers!A:G,7,FALSE)</f>
        <v>Individual</v>
      </c>
      <c r="Q859" t="str">
        <f>IF(COUNTIF(Customers!$A$2:$A$1001,B859)&gt;0,"Valid","Invalid")</f>
        <v>Valid</v>
      </c>
      <c r="R859" t="str">
        <f>IF(COUNTIF(Branches!$A$2:$A$11,F859)&gt;0,"Valid","Invalid")</f>
        <v>Valid</v>
      </c>
    </row>
    <row r="860" spans="1:18" x14ac:dyDescent="0.25">
      <c r="A860" t="s">
        <v>2931</v>
      </c>
      <c r="B860" t="s">
        <v>913</v>
      </c>
      <c r="C860" s="8">
        <v>46212</v>
      </c>
      <c r="D860" t="s">
        <v>2070</v>
      </c>
      <c r="E860" t="s">
        <v>2063</v>
      </c>
      <c r="F860" t="s">
        <v>16</v>
      </c>
      <c r="G860">
        <v>592.09</v>
      </c>
      <c r="H860" t="s">
        <v>2060</v>
      </c>
      <c r="I860" t="str">
        <f>VLOOKUP(B860,Customers!A:G,7,FALSE)</f>
        <v>Corporate</v>
      </c>
      <c r="Q860" t="str">
        <f>IF(COUNTIF(Customers!$A$2:$A$1001,B860)&gt;0,"Valid","Invalid")</f>
        <v>Valid</v>
      </c>
      <c r="R860" t="str">
        <f>IF(COUNTIF(Branches!$A$2:$A$11,F860)&gt;0,"Valid","Invalid")</f>
        <v>Valid</v>
      </c>
    </row>
    <row r="861" spans="1:18" x14ac:dyDescent="0.25">
      <c r="A861" t="s">
        <v>2932</v>
      </c>
      <c r="B861" t="s">
        <v>238</v>
      </c>
      <c r="C861" s="8">
        <v>46160</v>
      </c>
      <c r="D861" t="s">
        <v>2067</v>
      </c>
      <c r="E861" t="s">
        <v>2059</v>
      </c>
      <c r="F861" t="s">
        <v>45</v>
      </c>
      <c r="G861">
        <v>298.33</v>
      </c>
      <c r="H861" t="s">
        <v>2060</v>
      </c>
      <c r="I861" t="str">
        <f>VLOOKUP(B861,Customers!A:G,7,FALSE)</f>
        <v>Individual</v>
      </c>
      <c r="Q861" t="str">
        <f>IF(COUNTIF(Customers!$A$2:$A$1001,B861)&gt;0,"Valid","Invalid")</f>
        <v>Valid</v>
      </c>
      <c r="R861" t="str">
        <f>IF(COUNTIF(Branches!$A$2:$A$11,F861)&gt;0,"Valid","Invalid")</f>
        <v>Valid</v>
      </c>
    </row>
    <row r="862" spans="1:18" x14ac:dyDescent="0.25">
      <c r="A862" t="s">
        <v>2933</v>
      </c>
      <c r="B862" t="s">
        <v>254</v>
      </c>
      <c r="C862" s="8">
        <v>46202</v>
      </c>
      <c r="D862" t="s">
        <v>2067</v>
      </c>
      <c r="E862" t="s">
        <v>2063</v>
      </c>
      <c r="F862" t="s">
        <v>35</v>
      </c>
      <c r="G862">
        <v>1058.6199999999999</v>
      </c>
      <c r="H862" t="s">
        <v>2060</v>
      </c>
      <c r="I862" t="str">
        <f>VLOOKUP(B862,Customers!A:G,7,FALSE)</f>
        <v>Individual</v>
      </c>
      <c r="Q862" t="str">
        <f>IF(COUNTIF(Customers!$A$2:$A$1001,B862)&gt;0,"Valid","Invalid")</f>
        <v>Valid</v>
      </c>
      <c r="R862" t="str">
        <f>IF(COUNTIF(Branches!$A$2:$A$11,F862)&gt;0,"Valid","Invalid")</f>
        <v>Valid</v>
      </c>
    </row>
    <row r="863" spans="1:18" x14ac:dyDescent="0.25">
      <c r="A863" t="s">
        <v>2934</v>
      </c>
      <c r="B863" t="s">
        <v>414</v>
      </c>
      <c r="C863" s="8">
        <v>46223</v>
      </c>
      <c r="D863" t="s">
        <v>2062</v>
      </c>
      <c r="E863" t="s">
        <v>2063</v>
      </c>
      <c r="F863" t="s">
        <v>27</v>
      </c>
      <c r="G863">
        <v>883.5</v>
      </c>
      <c r="H863" t="s">
        <v>2060</v>
      </c>
      <c r="I863" t="str">
        <f>VLOOKUP(B863,Customers!A:G,7,FALSE)</f>
        <v>Individual</v>
      </c>
      <c r="Q863" t="str">
        <f>IF(COUNTIF(Customers!$A$2:$A$1001,B863)&gt;0,"Valid","Invalid")</f>
        <v>Valid</v>
      </c>
      <c r="R863" t="str">
        <f>IF(COUNTIF(Branches!$A$2:$A$11,F863)&gt;0,"Valid","Invalid")</f>
        <v>Valid</v>
      </c>
    </row>
    <row r="864" spans="1:18" x14ac:dyDescent="0.25">
      <c r="A864" t="s">
        <v>2935</v>
      </c>
      <c r="B864" t="s">
        <v>758</v>
      </c>
      <c r="C864" s="8">
        <v>46068</v>
      </c>
      <c r="D864" t="s">
        <v>2062</v>
      </c>
      <c r="E864" t="s">
        <v>2068</v>
      </c>
      <c r="F864" t="s">
        <v>35</v>
      </c>
      <c r="G864">
        <v>2028.71</v>
      </c>
      <c r="H864" t="s">
        <v>2060</v>
      </c>
      <c r="I864" t="str">
        <f>VLOOKUP(B864,Customers!A:G,7,FALSE)</f>
        <v>Individual</v>
      </c>
      <c r="Q864" t="str">
        <f>IF(COUNTIF(Customers!$A$2:$A$1001,B864)&gt;0,"Valid","Invalid")</f>
        <v>Valid</v>
      </c>
      <c r="R864" t="str">
        <f>IF(COUNTIF(Branches!$A$2:$A$11,F864)&gt;0,"Valid","Invalid")</f>
        <v>Valid</v>
      </c>
    </row>
    <row r="865" spans="1:18" x14ac:dyDescent="0.25">
      <c r="A865" t="s">
        <v>2936</v>
      </c>
      <c r="B865" t="s">
        <v>624</v>
      </c>
      <c r="C865" s="8">
        <v>46077</v>
      </c>
      <c r="D865" t="s">
        <v>2062</v>
      </c>
      <c r="E865" t="s">
        <v>2059</v>
      </c>
      <c r="F865" t="s">
        <v>21</v>
      </c>
      <c r="G865">
        <v>698.62</v>
      </c>
      <c r="H865" t="s">
        <v>2060</v>
      </c>
      <c r="I865" t="str">
        <f>VLOOKUP(B865,Customers!A:G,7,FALSE)</f>
        <v>Corporate</v>
      </c>
      <c r="Q865" t="str">
        <f>IF(COUNTIF(Customers!$A$2:$A$1001,B865)&gt;0,"Valid","Invalid")</f>
        <v>Valid</v>
      </c>
      <c r="R865" t="str">
        <f>IF(COUNTIF(Branches!$A$2:$A$11,F865)&gt;0,"Valid","Invalid")</f>
        <v>Valid</v>
      </c>
    </row>
    <row r="866" spans="1:18" x14ac:dyDescent="0.25">
      <c r="A866" t="s">
        <v>2937</v>
      </c>
      <c r="B866" t="s">
        <v>40</v>
      </c>
      <c r="C866" s="8">
        <v>46196</v>
      </c>
      <c r="D866" t="s">
        <v>2067</v>
      </c>
      <c r="E866" t="s">
        <v>2076</v>
      </c>
      <c r="F866" t="s">
        <v>16</v>
      </c>
      <c r="G866">
        <v>603.45000000000005</v>
      </c>
      <c r="H866" t="s">
        <v>2060</v>
      </c>
      <c r="I866" t="str">
        <f>VLOOKUP(B866,Customers!A:G,7,FALSE)</f>
        <v>Individual</v>
      </c>
      <c r="Q866" t="str">
        <f>IF(COUNTIF(Customers!$A$2:$A$1001,B866)&gt;0,"Valid","Invalid")</f>
        <v>Valid</v>
      </c>
      <c r="R866" t="str">
        <f>IF(COUNTIF(Branches!$A$2:$A$11,F866)&gt;0,"Valid","Invalid")</f>
        <v>Valid</v>
      </c>
    </row>
    <row r="867" spans="1:18" x14ac:dyDescent="0.25">
      <c r="A867" t="s">
        <v>2938</v>
      </c>
      <c r="B867" t="s">
        <v>837</v>
      </c>
      <c r="C867" s="8">
        <v>46097</v>
      </c>
      <c r="D867" t="s">
        <v>2067</v>
      </c>
      <c r="E867" t="s">
        <v>2063</v>
      </c>
      <c r="F867" t="s">
        <v>29</v>
      </c>
      <c r="G867">
        <v>645.80999999999995</v>
      </c>
      <c r="H867" t="s">
        <v>2060</v>
      </c>
      <c r="I867" t="str">
        <f>VLOOKUP(B867,Customers!A:G,7,FALSE)</f>
        <v>Individual</v>
      </c>
      <c r="Q867" t="str">
        <f>IF(COUNTIF(Customers!$A$2:$A$1001,B867)&gt;0,"Valid","Invalid")</f>
        <v>Valid</v>
      </c>
      <c r="R867" t="str">
        <f>IF(COUNTIF(Branches!$A$2:$A$11,F867)&gt;0,"Valid","Invalid")</f>
        <v>Valid</v>
      </c>
    </row>
    <row r="868" spans="1:18" x14ac:dyDescent="0.25">
      <c r="A868" t="s">
        <v>2939</v>
      </c>
      <c r="B868" t="s">
        <v>806</v>
      </c>
      <c r="C868" s="8">
        <v>46210</v>
      </c>
      <c r="D868" t="s">
        <v>2058</v>
      </c>
      <c r="E868" t="s">
        <v>2068</v>
      </c>
      <c r="F868" t="s">
        <v>29</v>
      </c>
      <c r="G868">
        <v>324.17</v>
      </c>
      <c r="H868" t="s">
        <v>2060</v>
      </c>
      <c r="I868" t="str">
        <f>VLOOKUP(B868,Customers!A:G,7,FALSE)</f>
        <v>Student</v>
      </c>
      <c r="Q868" t="str">
        <f>IF(COUNTIF(Customers!$A$2:$A$1001,B868)&gt;0,"Valid","Invalid")</f>
        <v>Valid</v>
      </c>
      <c r="R868" t="str">
        <f>IF(COUNTIF(Branches!$A$2:$A$11,F868)&gt;0,"Valid","Invalid")</f>
        <v>Valid</v>
      </c>
    </row>
    <row r="869" spans="1:18" x14ac:dyDescent="0.25">
      <c r="A869" t="s">
        <v>2940</v>
      </c>
      <c r="B869" t="s">
        <v>41</v>
      </c>
      <c r="C869" s="8">
        <v>46119</v>
      </c>
      <c r="D869" t="s">
        <v>2062</v>
      </c>
      <c r="E869" t="s">
        <v>2068</v>
      </c>
      <c r="F869" t="s">
        <v>47</v>
      </c>
      <c r="G869">
        <v>3452.69</v>
      </c>
      <c r="H869" t="s">
        <v>2060</v>
      </c>
      <c r="I869" t="str">
        <f>VLOOKUP(B869,Customers!A:G,7,FALSE)</f>
        <v>Individual</v>
      </c>
      <c r="Q869" t="str">
        <f>IF(COUNTIF(Customers!$A$2:$A$1001,B869)&gt;0,"Valid","Invalid")</f>
        <v>Valid</v>
      </c>
      <c r="R869" t="str">
        <f>IF(COUNTIF(Branches!$A$2:$A$11,F869)&gt;0,"Valid","Invalid")</f>
        <v>Valid</v>
      </c>
    </row>
    <row r="870" spans="1:18" x14ac:dyDescent="0.25">
      <c r="A870" t="s">
        <v>2941</v>
      </c>
      <c r="B870" t="s">
        <v>930</v>
      </c>
      <c r="C870" s="8">
        <v>46250</v>
      </c>
      <c r="D870" t="s">
        <v>2062</v>
      </c>
      <c r="E870" t="s">
        <v>2059</v>
      </c>
      <c r="F870" t="s">
        <v>35</v>
      </c>
      <c r="G870">
        <v>2539.2600000000002</v>
      </c>
      <c r="H870" t="s">
        <v>2060</v>
      </c>
      <c r="I870" t="str">
        <f>VLOOKUP(B870,Customers!A:G,7,FALSE)</f>
        <v>Individual</v>
      </c>
      <c r="Q870" t="str">
        <f>IF(COUNTIF(Customers!$A$2:$A$1001,B870)&gt;0,"Valid","Invalid")</f>
        <v>Valid</v>
      </c>
      <c r="R870" t="str">
        <f>IF(COUNTIF(Branches!$A$2:$A$11,F870)&gt;0,"Valid","Invalid")</f>
        <v>Valid</v>
      </c>
    </row>
    <row r="871" spans="1:18" x14ac:dyDescent="0.25">
      <c r="A871" t="s">
        <v>2942</v>
      </c>
      <c r="B871" t="s">
        <v>1029</v>
      </c>
      <c r="C871" s="8">
        <v>46048</v>
      </c>
      <c r="D871" t="s">
        <v>2065</v>
      </c>
      <c r="E871" t="s">
        <v>2073</v>
      </c>
      <c r="F871" t="s">
        <v>27</v>
      </c>
      <c r="G871">
        <v>241.52</v>
      </c>
      <c r="H871" t="s">
        <v>2060</v>
      </c>
      <c r="I871" t="str">
        <f>VLOOKUP(B871,Customers!A:G,7,FALSE)</f>
        <v>Individual</v>
      </c>
      <c r="Q871" t="str">
        <f>IF(COUNTIF(Customers!$A$2:$A$1001,B871)&gt;0,"Valid","Invalid")</f>
        <v>Valid</v>
      </c>
      <c r="R871" t="str">
        <f>IF(COUNTIF(Branches!$A$2:$A$11,F871)&gt;0,"Valid","Invalid")</f>
        <v>Valid</v>
      </c>
    </row>
    <row r="872" spans="1:18" x14ac:dyDescent="0.25">
      <c r="A872" t="s">
        <v>2943</v>
      </c>
      <c r="B872" t="s">
        <v>628</v>
      </c>
      <c r="C872" s="8">
        <v>46177</v>
      </c>
      <c r="D872" t="s">
        <v>2067</v>
      </c>
      <c r="E872" t="s">
        <v>2068</v>
      </c>
      <c r="F872" t="s">
        <v>53</v>
      </c>
      <c r="G872">
        <v>1815.19</v>
      </c>
      <c r="H872" t="s">
        <v>2060</v>
      </c>
      <c r="I872" t="str">
        <f>VLOOKUP(B872,Customers!A:G,7,FALSE)</f>
        <v>Individual</v>
      </c>
      <c r="Q872" t="str">
        <f>IF(COUNTIF(Customers!$A$2:$A$1001,B872)&gt;0,"Valid","Invalid")</f>
        <v>Valid</v>
      </c>
      <c r="R872" t="str">
        <f>IF(COUNTIF(Branches!$A$2:$A$11,F872)&gt;0,"Valid","Invalid")</f>
        <v>Valid</v>
      </c>
    </row>
    <row r="873" spans="1:18" x14ac:dyDescent="0.25">
      <c r="A873" t="s">
        <v>2944</v>
      </c>
      <c r="B873" t="s">
        <v>473</v>
      </c>
      <c r="C873" s="8">
        <v>46188</v>
      </c>
      <c r="D873" t="s">
        <v>2067</v>
      </c>
      <c r="E873" t="s">
        <v>2076</v>
      </c>
      <c r="F873" t="s">
        <v>27</v>
      </c>
      <c r="G873">
        <v>128.38</v>
      </c>
      <c r="H873" t="s">
        <v>2060</v>
      </c>
      <c r="I873" t="str">
        <f>VLOOKUP(B873,Customers!A:G,7,FALSE)</f>
        <v>Individual</v>
      </c>
      <c r="Q873" t="str">
        <f>IF(COUNTIF(Customers!$A$2:$A$1001,B873)&gt;0,"Valid","Invalid")</f>
        <v>Valid</v>
      </c>
      <c r="R873" t="str">
        <f>IF(COUNTIF(Branches!$A$2:$A$11,F873)&gt;0,"Valid","Invalid")</f>
        <v>Valid</v>
      </c>
    </row>
    <row r="874" spans="1:18" x14ac:dyDescent="0.25">
      <c r="A874" t="s">
        <v>2945</v>
      </c>
      <c r="B874" t="s">
        <v>722</v>
      </c>
      <c r="C874" s="8">
        <v>46044</v>
      </c>
      <c r="D874" t="s">
        <v>2070</v>
      </c>
      <c r="E874" t="s">
        <v>2076</v>
      </c>
      <c r="F874" t="s">
        <v>45</v>
      </c>
      <c r="G874">
        <v>2176.1</v>
      </c>
      <c r="H874" t="s">
        <v>2115</v>
      </c>
      <c r="I874" t="str">
        <f>VLOOKUP(B874,Customers!A:G,7,FALSE)</f>
        <v>SME</v>
      </c>
      <c r="Q874" t="str">
        <f>IF(COUNTIF(Customers!$A$2:$A$1001,B874)&gt;0,"Valid","Invalid")</f>
        <v>Valid</v>
      </c>
      <c r="R874" t="str">
        <f>IF(COUNTIF(Branches!$A$2:$A$11,F874)&gt;0,"Valid","Invalid")</f>
        <v>Valid</v>
      </c>
    </row>
    <row r="875" spans="1:18" x14ac:dyDescent="0.25">
      <c r="A875" t="s">
        <v>2946</v>
      </c>
      <c r="B875" t="s">
        <v>646</v>
      </c>
      <c r="C875" s="8">
        <v>46048</v>
      </c>
      <c r="D875" t="s">
        <v>2058</v>
      </c>
      <c r="E875" t="s">
        <v>2063</v>
      </c>
      <c r="F875" t="s">
        <v>35</v>
      </c>
      <c r="G875">
        <v>404.9</v>
      </c>
      <c r="H875" t="s">
        <v>2060</v>
      </c>
      <c r="I875" t="str">
        <f>VLOOKUP(B875,Customers!A:G,7,FALSE)</f>
        <v>SME</v>
      </c>
      <c r="Q875" t="str">
        <f>IF(COUNTIF(Customers!$A$2:$A$1001,B875)&gt;0,"Valid","Invalid")</f>
        <v>Valid</v>
      </c>
      <c r="R875" t="str">
        <f>IF(COUNTIF(Branches!$A$2:$A$11,F875)&gt;0,"Valid","Invalid")</f>
        <v>Valid</v>
      </c>
    </row>
    <row r="876" spans="1:18" x14ac:dyDescent="0.25">
      <c r="A876" t="s">
        <v>2947</v>
      </c>
      <c r="B876" t="s">
        <v>856</v>
      </c>
      <c r="C876" s="8">
        <v>46236</v>
      </c>
      <c r="D876" t="s">
        <v>2067</v>
      </c>
      <c r="E876" t="s">
        <v>2063</v>
      </c>
      <c r="F876" t="s">
        <v>21</v>
      </c>
      <c r="G876">
        <v>1164.33</v>
      </c>
      <c r="H876" t="s">
        <v>2060</v>
      </c>
      <c r="I876" t="str">
        <f>VLOOKUP(B876,Customers!A:G,7,FALSE)</f>
        <v>Individual</v>
      </c>
      <c r="Q876" t="str">
        <f>IF(COUNTIF(Customers!$A$2:$A$1001,B876)&gt;0,"Valid","Invalid")</f>
        <v>Valid</v>
      </c>
      <c r="R876" t="str">
        <f>IF(COUNTIF(Branches!$A$2:$A$11,F876)&gt;0,"Valid","Invalid")</f>
        <v>Valid</v>
      </c>
    </row>
    <row r="877" spans="1:18" x14ac:dyDescent="0.25">
      <c r="A877" t="s">
        <v>2948</v>
      </c>
      <c r="B877" t="s">
        <v>411</v>
      </c>
      <c r="C877" s="8">
        <v>46219</v>
      </c>
      <c r="D877" t="s">
        <v>2065</v>
      </c>
      <c r="E877" t="s">
        <v>2063</v>
      </c>
      <c r="F877" t="s">
        <v>21</v>
      </c>
      <c r="G877">
        <v>117.98</v>
      </c>
      <c r="H877" t="s">
        <v>2060</v>
      </c>
      <c r="I877" t="str">
        <f>VLOOKUP(B877,Customers!A:G,7,FALSE)</f>
        <v>Student</v>
      </c>
      <c r="Q877" t="str">
        <f>IF(COUNTIF(Customers!$A$2:$A$1001,B877)&gt;0,"Valid","Invalid")</f>
        <v>Valid</v>
      </c>
      <c r="R877" t="str">
        <f>IF(COUNTIF(Branches!$A$2:$A$11,F877)&gt;0,"Valid","Invalid")</f>
        <v>Valid</v>
      </c>
    </row>
    <row r="878" spans="1:18" x14ac:dyDescent="0.25">
      <c r="A878" t="s">
        <v>2949</v>
      </c>
      <c r="B878" t="s">
        <v>311</v>
      </c>
      <c r="C878" s="8">
        <v>46185</v>
      </c>
      <c r="D878" t="s">
        <v>2058</v>
      </c>
      <c r="E878" t="s">
        <v>2063</v>
      </c>
      <c r="F878" t="s">
        <v>11</v>
      </c>
      <c r="G878">
        <v>245.01</v>
      </c>
      <c r="H878" t="s">
        <v>2060</v>
      </c>
      <c r="I878" t="str">
        <f>VLOOKUP(B878,Customers!A:G,7,FALSE)</f>
        <v>Individual</v>
      </c>
      <c r="Q878" t="str">
        <f>IF(COUNTIF(Customers!$A$2:$A$1001,B878)&gt;0,"Valid","Invalid")</f>
        <v>Valid</v>
      </c>
      <c r="R878" t="str">
        <f>IF(COUNTIF(Branches!$A$2:$A$11,F878)&gt;0,"Valid","Invalid")</f>
        <v>Valid</v>
      </c>
    </row>
    <row r="879" spans="1:18" x14ac:dyDescent="0.25">
      <c r="A879" t="s">
        <v>2950</v>
      </c>
      <c r="B879" t="s">
        <v>969</v>
      </c>
      <c r="C879" s="8">
        <v>46216</v>
      </c>
      <c r="D879" t="s">
        <v>2065</v>
      </c>
      <c r="E879" t="s">
        <v>2063</v>
      </c>
      <c r="F879" t="s">
        <v>53</v>
      </c>
      <c r="G879">
        <v>1298.1600000000001</v>
      </c>
      <c r="H879" t="s">
        <v>2060</v>
      </c>
      <c r="I879" t="str">
        <f>VLOOKUP(B879,Customers!A:G,7,FALSE)</f>
        <v>Individual</v>
      </c>
      <c r="Q879" t="str">
        <f>IF(COUNTIF(Customers!$A$2:$A$1001,B879)&gt;0,"Valid","Invalid")</f>
        <v>Valid</v>
      </c>
      <c r="R879" t="str">
        <f>IF(COUNTIF(Branches!$A$2:$A$11,F879)&gt;0,"Valid","Invalid")</f>
        <v>Valid</v>
      </c>
    </row>
    <row r="880" spans="1:18" x14ac:dyDescent="0.25">
      <c r="A880" t="s">
        <v>2951</v>
      </c>
      <c r="B880" t="s">
        <v>935</v>
      </c>
      <c r="C880" s="8">
        <v>46249</v>
      </c>
      <c r="D880" t="s">
        <v>2062</v>
      </c>
      <c r="E880" t="s">
        <v>2068</v>
      </c>
      <c r="F880" t="s">
        <v>35</v>
      </c>
      <c r="G880">
        <v>403.06</v>
      </c>
      <c r="H880" t="s">
        <v>2060</v>
      </c>
      <c r="I880" t="str">
        <f>VLOOKUP(B880,Customers!A:G,7,FALSE)</f>
        <v>Individual</v>
      </c>
      <c r="Q880" t="str">
        <f>IF(COUNTIF(Customers!$A$2:$A$1001,B880)&gt;0,"Valid","Invalid")</f>
        <v>Valid</v>
      </c>
      <c r="R880" t="str">
        <f>IF(COUNTIF(Branches!$A$2:$A$11,F880)&gt;0,"Valid","Invalid")</f>
        <v>Valid</v>
      </c>
    </row>
    <row r="881" spans="1:18" x14ac:dyDescent="0.25">
      <c r="A881" t="s">
        <v>2952</v>
      </c>
      <c r="B881" t="s">
        <v>963</v>
      </c>
      <c r="C881" s="8">
        <v>46095</v>
      </c>
      <c r="D881" t="s">
        <v>2062</v>
      </c>
      <c r="E881" t="s">
        <v>2063</v>
      </c>
      <c r="F881" t="s">
        <v>45</v>
      </c>
      <c r="G881">
        <v>350.74</v>
      </c>
      <c r="H881" t="s">
        <v>2060</v>
      </c>
      <c r="I881" t="str">
        <f>VLOOKUP(B881,Customers!A:G,7,FALSE)</f>
        <v>Individual</v>
      </c>
      <c r="Q881" t="str">
        <f>IF(COUNTIF(Customers!$A$2:$A$1001,B881)&gt;0,"Valid","Invalid")</f>
        <v>Valid</v>
      </c>
      <c r="R881" t="str">
        <f>IF(COUNTIF(Branches!$A$2:$A$11,F881)&gt;0,"Valid","Invalid")</f>
        <v>Valid</v>
      </c>
    </row>
    <row r="882" spans="1:18" x14ac:dyDescent="0.25">
      <c r="A882" t="s">
        <v>2953</v>
      </c>
      <c r="B882" t="s">
        <v>729</v>
      </c>
      <c r="C882" s="8">
        <v>46137</v>
      </c>
      <c r="D882" t="s">
        <v>2067</v>
      </c>
      <c r="E882" t="s">
        <v>2073</v>
      </c>
      <c r="F882" t="s">
        <v>39</v>
      </c>
      <c r="G882">
        <v>3280.86</v>
      </c>
      <c r="H882" t="s">
        <v>2060</v>
      </c>
      <c r="I882" t="str">
        <f>VLOOKUP(B882,Customers!A:G,7,FALSE)</f>
        <v>Individual</v>
      </c>
      <c r="Q882" t="str">
        <f>IF(COUNTIF(Customers!$A$2:$A$1001,B882)&gt;0,"Valid","Invalid")</f>
        <v>Valid</v>
      </c>
      <c r="R882" t="str">
        <f>IF(COUNTIF(Branches!$A$2:$A$11,F882)&gt;0,"Valid","Invalid")</f>
        <v>Valid</v>
      </c>
    </row>
    <row r="883" spans="1:18" x14ac:dyDescent="0.25">
      <c r="A883" t="s">
        <v>2954</v>
      </c>
      <c r="B883" t="s">
        <v>614</v>
      </c>
      <c r="C883" s="8">
        <v>46073</v>
      </c>
      <c r="D883" t="s">
        <v>2067</v>
      </c>
      <c r="E883" t="s">
        <v>2076</v>
      </c>
      <c r="F883" t="s">
        <v>29</v>
      </c>
      <c r="G883">
        <v>7412.77</v>
      </c>
      <c r="H883" t="s">
        <v>2060</v>
      </c>
      <c r="I883" t="str">
        <f>VLOOKUP(B883,Customers!A:G,7,FALSE)</f>
        <v>Individual</v>
      </c>
      <c r="Q883" t="str">
        <f>IF(COUNTIF(Customers!$A$2:$A$1001,B883)&gt;0,"Valid","Invalid")</f>
        <v>Valid</v>
      </c>
      <c r="R883" t="str">
        <f>IF(COUNTIF(Branches!$A$2:$A$11,F883)&gt;0,"Valid","Invalid")</f>
        <v>Valid</v>
      </c>
    </row>
    <row r="884" spans="1:18" x14ac:dyDescent="0.25">
      <c r="A884" t="s">
        <v>2955</v>
      </c>
      <c r="B884" t="s">
        <v>547</v>
      </c>
      <c r="C884" s="8">
        <v>46135</v>
      </c>
      <c r="D884" t="s">
        <v>2062</v>
      </c>
      <c r="E884" t="s">
        <v>2063</v>
      </c>
      <c r="F884" t="s">
        <v>29</v>
      </c>
      <c r="G884">
        <v>2073.54</v>
      </c>
      <c r="H884" t="s">
        <v>2060</v>
      </c>
      <c r="I884" t="str">
        <f>VLOOKUP(B884,Customers!A:G,7,FALSE)</f>
        <v>Individual</v>
      </c>
      <c r="Q884" t="str">
        <f>IF(COUNTIF(Customers!$A$2:$A$1001,B884)&gt;0,"Valid","Invalid")</f>
        <v>Valid</v>
      </c>
      <c r="R884" t="str">
        <f>IF(COUNTIF(Branches!$A$2:$A$11,F884)&gt;0,"Valid","Invalid")</f>
        <v>Valid</v>
      </c>
    </row>
    <row r="885" spans="1:18" x14ac:dyDescent="0.25">
      <c r="A885" t="s">
        <v>2956</v>
      </c>
      <c r="B885" t="s">
        <v>168</v>
      </c>
      <c r="C885" s="8">
        <v>46168</v>
      </c>
      <c r="D885" t="s">
        <v>2067</v>
      </c>
      <c r="E885" t="s">
        <v>2059</v>
      </c>
      <c r="F885" t="s">
        <v>29</v>
      </c>
      <c r="G885">
        <v>272.63</v>
      </c>
      <c r="H885" t="s">
        <v>2060</v>
      </c>
      <c r="I885" t="str">
        <f>VLOOKUP(B885,Customers!A:G,7,FALSE)</f>
        <v>SME</v>
      </c>
      <c r="Q885" t="str">
        <f>IF(COUNTIF(Customers!$A$2:$A$1001,B885)&gt;0,"Valid","Invalid")</f>
        <v>Valid</v>
      </c>
      <c r="R885" t="str">
        <f>IF(COUNTIF(Branches!$A$2:$A$11,F885)&gt;0,"Valid","Invalid")</f>
        <v>Valid</v>
      </c>
    </row>
    <row r="886" spans="1:18" x14ac:dyDescent="0.25">
      <c r="A886" t="s">
        <v>2957</v>
      </c>
      <c r="B886" t="s">
        <v>893</v>
      </c>
      <c r="C886" s="8">
        <v>46193</v>
      </c>
      <c r="D886" t="s">
        <v>2065</v>
      </c>
      <c r="E886" t="s">
        <v>2063</v>
      </c>
      <c r="F886" t="s">
        <v>27</v>
      </c>
      <c r="G886">
        <v>4738.71</v>
      </c>
      <c r="H886" t="s">
        <v>2060</v>
      </c>
      <c r="I886" t="str">
        <f>VLOOKUP(B886,Customers!A:G,7,FALSE)</f>
        <v>Corporate</v>
      </c>
      <c r="Q886" t="str">
        <f>IF(COUNTIF(Customers!$A$2:$A$1001,B886)&gt;0,"Valid","Invalid")</f>
        <v>Valid</v>
      </c>
      <c r="R886" t="str">
        <f>IF(COUNTIF(Branches!$A$2:$A$11,F886)&gt;0,"Valid","Invalid")</f>
        <v>Valid</v>
      </c>
    </row>
    <row r="887" spans="1:18" x14ac:dyDescent="0.25">
      <c r="A887" t="s">
        <v>2958</v>
      </c>
      <c r="B887" t="s">
        <v>962</v>
      </c>
      <c r="C887" s="8">
        <v>46034</v>
      </c>
      <c r="D887" t="s">
        <v>2070</v>
      </c>
      <c r="E887" t="s">
        <v>2073</v>
      </c>
      <c r="F887" t="s">
        <v>27</v>
      </c>
      <c r="G887">
        <v>170.47</v>
      </c>
      <c r="H887" t="s">
        <v>2060</v>
      </c>
      <c r="I887" t="str">
        <f>VLOOKUP(B887,Customers!A:G,7,FALSE)</f>
        <v>Individual</v>
      </c>
      <c r="Q887" t="str">
        <f>IF(COUNTIF(Customers!$A$2:$A$1001,B887)&gt;0,"Valid","Invalid")</f>
        <v>Valid</v>
      </c>
      <c r="R887" t="str">
        <f>IF(COUNTIF(Branches!$A$2:$A$11,F887)&gt;0,"Valid","Invalid")</f>
        <v>Valid</v>
      </c>
    </row>
    <row r="888" spans="1:18" x14ac:dyDescent="0.25">
      <c r="A888" t="s">
        <v>2959</v>
      </c>
      <c r="B888" t="s">
        <v>822</v>
      </c>
      <c r="C888" s="8">
        <v>46025</v>
      </c>
      <c r="D888" t="s">
        <v>2062</v>
      </c>
      <c r="E888" t="s">
        <v>2068</v>
      </c>
      <c r="F888" t="s">
        <v>16</v>
      </c>
      <c r="G888">
        <v>599.15</v>
      </c>
      <c r="H888" t="s">
        <v>2060</v>
      </c>
      <c r="I888" t="str">
        <f>VLOOKUP(B888,Customers!A:G,7,FALSE)</f>
        <v>Individual</v>
      </c>
      <c r="Q888" t="str">
        <f>IF(COUNTIF(Customers!$A$2:$A$1001,B888)&gt;0,"Valid","Invalid")</f>
        <v>Valid</v>
      </c>
      <c r="R888" t="str">
        <f>IF(COUNTIF(Branches!$A$2:$A$11,F888)&gt;0,"Valid","Invalid")</f>
        <v>Valid</v>
      </c>
    </row>
    <row r="889" spans="1:18" x14ac:dyDescent="0.25">
      <c r="A889" t="s">
        <v>2960</v>
      </c>
      <c r="B889" t="s">
        <v>357</v>
      </c>
      <c r="C889" s="8">
        <v>46232</v>
      </c>
      <c r="D889" t="s">
        <v>2062</v>
      </c>
      <c r="E889" t="s">
        <v>2063</v>
      </c>
      <c r="F889" t="s">
        <v>39</v>
      </c>
      <c r="G889">
        <v>858.15</v>
      </c>
      <c r="H889" t="s">
        <v>2060</v>
      </c>
      <c r="I889" t="str">
        <f>VLOOKUP(B889,Customers!A:G,7,FALSE)</f>
        <v>Individual</v>
      </c>
      <c r="Q889" t="str">
        <f>IF(COUNTIF(Customers!$A$2:$A$1001,B889)&gt;0,"Valid","Invalid")</f>
        <v>Valid</v>
      </c>
      <c r="R889" t="str">
        <f>IF(COUNTIF(Branches!$A$2:$A$11,F889)&gt;0,"Valid","Invalid")</f>
        <v>Valid</v>
      </c>
    </row>
    <row r="890" spans="1:18" x14ac:dyDescent="0.25">
      <c r="A890" t="s">
        <v>2961</v>
      </c>
      <c r="B890" t="s">
        <v>882</v>
      </c>
      <c r="C890" s="8">
        <v>46142</v>
      </c>
      <c r="D890" t="s">
        <v>2065</v>
      </c>
      <c r="E890" t="s">
        <v>2073</v>
      </c>
      <c r="F890" t="s">
        <v>11</v>
      </c>
      <c r="G890">
        <v>5563.81</v>
      </c>
      <c r="H890" t="s">
        <v>2060</v>
      </c>
      <c r="I890" t="str">
        <f>VLOOKUP(B890,Customers!A:G,7,FALSE)</f>
        <v>Individual</v>
      </c>
      <c r="Q890" t="str">
        <f>IF(COUNTIF(Customers!$A$2:$A$1001,B890)&gt;0,"Valid","Invalid")</f>
        <v>Valid</v>
      </c>
      <c r="R890" t="str">
        <f>IF(COUNTIF(Branches!$A$2:$A$11,F890)&gt;0,"Valid","Invalid")</f>
        <v>Valid</v>
      </c>
    </row>
    <row r="891" spans="1:18" x14ac:dyDescent="0.25">
      <c r="A891" t="s">
        <v>2962</v>
      </c>
      <c r="B891" t="s">
        <v>987</v>
      </c>
      <c r="C891" s="8">
        <v>46252</v>
      </c>
      <c r="D891" t="s">
        <v>2065</v>
      </c>
      <c r="E891" t="s">
        <v>2076</v>
      </c>
      <c r="F891" t="s">
        <v>47</v>
      </c>
      <c r="G891">
        <v>2023.65</v>
      </c>
      <c r="H891" t="s">
        <v>2060</v>
      </c>
      <c r="I891" t="str">
        <f>VLOOKUP(B891,Customers!A:G,7,FALSE)</f>
        <v>Individual</v>
      </c>
      <c r="Q891" t="str">
        <f>IF(COUNTIF(Customers!$A$2:$A$1001,B891)&gt;0,"Valid","Invalid")</f>
        <v>Valid</v>
      </c>
      <c r="R891" t="str">
        <f>IF(COUNTIF(Branches!$A$2:$A$11,F891)&gt;0,"Valid","Invalid")</f>
        <v>Valid</v>
      </c>
    </row>
    <row r="892" spans="1:18" x14ac:dyDescent="0.25">
      <c r="A892" t="s">
        <v>2963</v>
      </c>
      <c r="B892" t="s">
        <v>891</v>
      </c>
      <c r="C892" s="8">
        <v>46157</v>
      </c>
      <c r="D892" t="s">
        <v>2065</v>
      </c>
      <c r="E892" t="s">
        <v>2063</v>
      </c>
      <c r="F892" t="s">
        <v>45</v>
      </c>
      <c r="G892">
        <v>510.93</v>
      </c>
      <c r="H892" t="s">
        <v>2060</v>
      </c>
      <c r="I892" t="str">
        <f>VLOOKUP(B892,Customers!A:G,7,FALSE)</f>
        <v>SME</v>
      </c>
      <c r="Q892" t="str">
        <f>IF(COUNTIF(Customers!$A$2:$A$1001,B892)&gt;0,"Valid","Invalid")</f>
        <v>Valid</v>
      </c>
      <c r="R892" t="str">
        <f>IF(COUNTIF(Branches!$A$2:$A$11,F892)&gt;0,"Valid","Invalid")</f>
        <v>Valid</v>
      </c>
    </row>
    <row r="893" spans="1:18" x14ac:dyDescent="0.25">
      <c r="A893" t="s">
        <v>2964</v>
      </c>
      <c r="B893" t="s">
        <v>659</v>
      </c>
      <c r="C893" s="8">
        <v>46247</v>
      </c>
      <c r="D893" t="s">
        <v>2065</v>
      </c>
      <c r="E893" t="s">
        <v>2076</v>
      </c>
      <c r="F893" t="s">
        <v>53</v>
      </c>
      <c r="G893">
        <v>315.77999999999997</v>
      </c>
      <c r="H893" t="s">
        <v>2060</v>
      </c>
      <c r="I893" t="str">
        <f>VLOOKUP(B893,Customers!A:G,7,FALSE)</f>
        <v>SME</v>
      </c>
      <c r="Q893" t="str">
        <f>IF(COUNTIF(Customers!$A$2:$A$1001,B893)&gt;0,"Valid","Invalid")</f>
        <v>Valid</v>
      </c>
      <c r="R893" t="str">
        <f>IF(COUNTIF(Branches!$A$2:$A$11,F893)&gt;0,"Valid","Invalid")</f>
        <v>Valid</v>
      </c>
    </row>
    <row r="894" spans="1:18" x14ac:dyDescent="0.25">
      <c r="A894" t="s">
        <v>2965</v>
      </c>
      <c r="B894" t="s">
        <v>823</v>
      </c>
      <c r="C894" s="8">
        <v>46156</v>
      </c>
      <c r="D894" t="s">
        <v>2062</v>
      </c>
      <c r="E894" t="s">
        <v>2076</v>
      </c>
      <c r="F894" t="s">
        <v>39</v>
      </c>
      <c r="G894">
        <v>2213.1999999999998</v>
      </c>
      <c r="H894" t="s">
        <v>2060</v>
      </c>
      <c r="I894" t="str">
        <f>VLOOKUP(B894,Customers!A:G,7,FALSE)</f>
        <v>Individual</v>
      </c>
      <c r="Q894" t="str">
        <f>IF(COUNTIF(Customers!$A$2:$A$1001,B894)&gt;0,"Valid","Invalid")</f>
        <v>Valid</v>
      </c>
      <c r="R894" t="str">
        <f>IF(COUNTIF(Branches!$A$2:$A$11,F894)&gt;0,"Valid","Invalid")</f>
        <v>Valid</v>
      </c>
    </row>
    <row r="895" spans="1:18" x14ac:dyDescent="0.25">
      <c r="A895" t="s">
        <v>2966</v>
      </c>
      <c r="B895" t="s">
        <v>204</v>
      </c>
      <c r="C895" s="8">
        <v>46104</v>
      </c>
      <c r="D895" t="s">
        <v>2065</v>
      </c>
      <c r="E895" t="s">
        <v>2063</v>
      </c>
      <c r="F895" t="s">
        <v>27</v>
      </c>
      <c r="G895">
        <v>476.58</v>
      </c>
      <c r="H895" t="s">
        <v>2060</v>
      </c>
      <c r="I895" t="str">
        <f>VLOOKUP(B895,Customers!A:G,7,FALSE)</f>
        <v>Individual</v>
      </c>
      <c r="Q895" t="str">
        <f>IF(COUNTIF(Customers!$A$2:$A$1001,B895)&gt;0,"Valid","Invalid")</f>
        <v>Valid</v>
      </c>
      <c r="R895" t="str">
        <f>IF(COUNTIF(Branches!$A$2:$A$11,F895)&gt;0,"Valid","Invalid")</f>
        <v>Valid</v>
      </c>
    </row>
    <row r="896" spans="1:18" x14ac:dyDescent="0.25">
      <c r="A896" t="s">
        <v>2967</v>
      </c>
      <c r="B896" t="s">
        <v>435</v>
      </c>
      <c r="C896" s="8">
        <v>46067</v>
      </c>
      <c r="D896" t="s">
        <v>2062</v>
      </c>
      <c r="E896" t="s">
        <v>2068</v>
      </c>
      <c r="F896" t="s">
        <v>29</v>
      </c>
      <c r="G896">
        <v>1009.03</v>
      </c>
      <c r="H896" t="s">
        <v>2060</v>
      </c>
      <c r="I896" t="str">
        <f>VLOOKUP(B896,Customers!A:G,7,FALSE)</f>
        <v>Individual</v>
      </c>
      <c r="Q896" t="str">
        <f>IF(COUNTIF(Customers!$A$2:$A$1001,B896)&gt;0,"Valid","Invalid")</f>
        <v>Valid</v>
      </c>
      <c r="R896" t="str">
        <f>IF(COUNTIF(Branches!$A$2:$A$11,F896)&gt;0,"Valid","Invalid")</f>
        <v>Valid</v>
      </c>
    </row>
    <row r="897" spans="1:18" x14ac:dyDescent="0.25">
      <c r="A897" t="s">
        <v>2968</v>
      </c>
      <c r="B897" t="s">
        <v>217</v>
      </c>
      <c r="C897" s="8">
        <v>46149</v>
      </c>
      <c r="D897" t="s">
        <v>2065</v>
      </c>
      <c r="E897" t="s">
        <v>2063</v>
      </c>
      <c r="F897" t="s">
        <v>29</v>
      </c>
      <c r="G897">
        <v>206.48</v>
      </c>
      <c r="H897" t="s">
        <v>2060</v>
      </c>
      <c r="I897" t="str">
        <f>VLOOKUP(B897,Customers!A:G,7,FALSE)</f>
        <v>Individual</v>
      </c>
      <c r="Q897" t="str">
        <f>IF(COUNTIF(Customers!$A$2:$A$1001,B897)&gt;0,"Valid","Invalid")</f>
        <v>Valid</v>
      </c>
      <c r="R897" t="str">
        <f>IF(COUNTIF(Branches!$A$2:$A$11,F897)&gt;0,"Valid","Invalid")</f>
        <v>Valid</v>
      </c>
    </row>
    <row r="898" spans="1:18" x14ac:dyDescent="0.25">
      <c r="A898" t="s">
        <v>2969</v>
      </c>
      <c r="B898" t="s">
        <v>94</v>
      </c>
      <c r="C898" s="8">
        <v>46108</v>
      </c>
      <c r="D898" t="s">
        <v>2067</v>
      </c>
      <c r="E898" t="s">
        <v>2059</v>
      </c>
      <c r="F898" t="s">
        <v>11</v>
      </c>
      <c r="G898">
        <v>1435.48</v>
      </c>
      <c r="H898" t="s">
        <v>2060</v>
      </c>
      <c r="I898" t="str">
        <f>VLOOKUP(B898,Customers!A:G,7,FALSE)</f>
        <v>Individual</v>
      </c>
      <c r="Q898" t="str">
        <f>IF(COUNTIF(Customers!$A$2:$A$1001,B898)&gt;0,"Valid","Invalid")</f>
        <v>Valid</v>
      </c>
      <c r="R898" t="str">
        <f>IF(COUNTIF(Branches!$A$2:$A$11,F898)&gt;0,"Valid","Invalid")</f>
        <v>Valid</v>
      </c>
    </row>
    <row r="899" spans="1:18" x14ac:dyDescent="0.25">
      <c r="A899" t="s">
        <v>2970</v>
      </c>
      <c r="B899" t="s">
        <v>518</v>
      </c>
      <c r="C899" s="8">
        <v>46137</v>
      </c>
      <c r="D899" t="s">
        <v>2070</v>
      </c>
      <c r="E899" t="s">
        <v>2063</v>
      </c>
      <c r="F899" t="s">
        <v>11</v>
      </c>
      <c r="G899">
        <v>1324.37</v>
      </c>
      <c r="H899" t="s">
        <v>2060</v>
      </c>
      <c r="I899" t="str">
        <f>VLOOKUP(B899,Customers!A:G,7,FALSE)</f>
        <v>SME</v>
      </c>
      <c r="Q899" t="str">
        <f>IF(COUNTIF(Customers!$A$2:$A$1001,B899)&gt;0,"Valid","Invalid")</f>
        <v>Valid</v>
      </c>
      <c r="R899" t="str">
        <f>IF(COUNTIF(Branches!$A$2:$A$11,F899)&gt;0,"Valid","Invalid")</f>
        <v>Valid</v>
      </c>
    </row>
    <row r="900" spans="1:18" x14ac:dyDescent="0.25">
      <c r="A900" t="s">
        <v>2971</v>
      </c>
      <c r="B900" t="s">
        <v>971</v>
      </c>
      <c r="C900" s="8">
        <v>46189</v>
      </c>
      <c r="D900" t="s">
        <v>2065</v>
      </c>
      <c r="E900" t="s">
        <v>2073</v>
      </c>
      <c r="F900" t="s">
        <v>39</v>
      </c>
      <c r="G900">
        <v>234.72</v>
      </c>
      <c r="H900" t="s">
        <v>2060</v>
      </c>
      <c r="I900" t="str">
        <f>VLOOKUP(B900,Customers!A:G,7,FALSE)</f>
        <v>Individual</v>
      </c>
      <c r="Q900" t="str">
        <f>IF(COUNTIF(Customers!$A$2:$A$1001,B900)&gt;0,"Valid","Invalid")</f>
        <v>Valid</v>
      </c>
      <c r="R900" t="str">
        <f>IF(COUNTIF(Branches!$A$2:$A$11,F900)&gt;0,"Valid","Invalid")</f>
        <v>Valid</v>
      </c>
    </row>
    <row r="901" spans="1:18" x14ac:dyDescent="0.25">
      <c r="A901" t="s">
        <v>2972</v>
      </c>
      <c r="B901" t="s">
        <v>629</v>
      </c>
      <c r="C901" s="8">
        <v>46201</v>
      </c>
      <c r="D901" t="s">
        <v>2067</v>
      </c>
      <c r="E901" t="s">
        <v>2068</v>
      </c>
      <c r="F901" t="s">
        <v>39</v>
      </c>
      <c r="G901">
        <v>2279.3000000000002</v>
      </c>
      <c r="H901" t="s">
        <v>2060</v>
      </c>
      <c r="I901" t="str">
        <f>VLOOKUP(B901,Customers!A:G,7,FALSE)</f>
        <v>Individual</v>
      </c>
      <c r="Q901" t="str">
        <f>IF(COUNTIF(Customers!$A$2:$A$1001,B901)&gt;0,"Valid","Invalid")</f>
        <v>Valid</v>
      </c>
      <c r="R901" t="str">
        <f>IF(COUNTIF(Branches!$A$2:$A$11,F901)&gt;0,"Valid","Invalid")</f>
        <v>Valid</v>
      </c>
    </row>
    <row r="902" spans="1:18" x14ac:dyDescent="0.25">
      <c r="A902" t="s">
        <v>2973</v>
      </c>
      <c r="B902" t="s">
        <v>498</v>
      </c>
      <c r="C902" s="8">
        <v>46031</v>
      </c>
      <c r="D902" t="s">
        <v>2067</v>
      </c>
      <c r="E902" t="s">
        <v>2063</v>
      </c>
      <c r="F902" t="s">
        <v>16</v>
      </c>
      <c r="G902">
        <v>1414.8</v>
      </c>
      <c r="H902" t="s">
        <v>2060</v>
      </c>
      <c r="I902" t="str">
        <f>VLOOKUP(B902,Customers!A:G,7,FALSE)</f>
        <v>Individual</v>
      </c>
      <c r="Q902" t="str">
        <f>IF(COUNTIF(Customers!$A$2:$A$1001,B902)&gt;0,"Valid","Invalid")</f>
        <v>Valid</v>
      </c>
      <c r="R902" t="str">
        <f>IF(COUNTIF(Branches!$A$2:$A$11,F902)&gt;0,"Valid","Invalid")</f>
        <v>Valid</v>
      </c>
    </row>
    <row r="903" spans="1:18" x14ac:dyDescent="0.25">
      <c r="A903" t="s">
        <v>2974</v>
      </c>
      <c r="B903" t="s">
        <v>97</v>
      </c>
      <c r="C903" s="8">
        <v>46249</v>
      </c>
      <c r="D903" t="s">
        <v>2065</v>
      </c>
      <c r="E903" t="s">
        <v>2059</v>
      </c>
      <c r="F903" t="s">
        <v>35</v>
      </c>
      <c r="G903">
        <v>1702.79</v>
      </c>
      <c r="H903" t="s">
        <v>2060</v>
      </c>
      <c r="I903" t="str">
        <f>VLOOKUP(B903,Customers!A:G,7,FALSE)</f>
        <v>Individual</v>
      </c>
      <c r="Q903" t="str">
        <f>IF(COUNTIF(Customers!$A$2:$A$1001,B903)&gt;0,"Valid","Invalid")</f>
        <v>Valid</v>
      </c>
      <c r="R903" t="str">
        <f>IF(COUNTIF(Branches!$A$2:$A$11,F903)&gt;0,"Valid","Invalid")</f>
        <v>Valid</v>
      </c>
    </row>
    <row r="904" spans="1:18" x14ac:dyDescent="0.25">
      <c r="A904" t="s">
        <v>2975</v>
      </c>
      <c r="B904" t="s">
        <v>407</v>
      </c>
      <c r="C904" s="8">
        <v>46173</v>
      </c>
      <c r="D904" t="s">
        <v>2058</v>
      </c>
      <c r="E904" t="s">
        <v>2063</v>
      </c>
      <c r="F904" t="s">
        <v>53</v>
      </c>
      <c r="G904">
        <v>556.30999999999995</v>
      </c>
      <c r="H904" t="s">
        <v>2060</v>
      </c>
      <c r="I904" t="str">
        <f>VLOOKUP(B904,Customers!A:G,7,FALSE)</f>
        <v>Individual</v>
      </c>
      <c r="Q904" t="str">
        <f>IF(COUNTIF(Customers!$A$2:$A$1001,B904)&gt;0,"Valid","Invalid")</f>
        <v>Valid</v>
      </c>
      <c r="R904" t="str">
        <f>IF(COUNTIF(Branches!$A$2:$A$11,F904)&gt;0,"Valid","Invalid")</f>
        <v>Valid</v>
      </c>
    </row>
    <row r="905" spans="1:18" x14ac:dyDescent="0.25">
      <c r="A905" t="s">
        <v>2976</v>
      </c>
      <c r="B905" t="s">
        <v>157</v>
      </c>
      <c r="C905" s="8">
        <v>46034</v>
      </c>
      <c r="D905" t="s">
        <v>2067</v>
      </c>
      <c r="E905" t="s">
        <v>2068</v>
      </c>
      <c r="F905" t="s">
        <v>27</v>
      </c>
      <c r="G905">
        <v>971.61</v>
      </c>
      <c r="H905" t="s">
        <v>2060</v>
      </c>
      <c r="I905" t="str">
        <f>VLOOKUP(B905,Customers!A:G,7,FALSE)</f>
        <v>SME</v>
      </c>
      <c r="Q905" t="str">
        <f>IF(COUNTIF(Customers!$A$2:$A$1001,B905)&gt;0,"Valid","Invalid")</f>
        <v>Valid</v>
      </c>
      <c r="R905" t="str">
        <f>IF(COUNTIF(Branches!$A$2:$A$11,F905)&gt;0,"Valid","Invalid")</f>
        <v>Valid</v>
      </c>
    </row>
    <row r="906" spans="1:18" x14ac:dyDescent="0.25">
      <c r="A906" t="s">
        <v>2977</v>
      </c>
      <c r="B906" t="s">
        <v>757</v>
      </c>
      <c r="C906" s="8">
        <v>46138</v>
      </c>
      <c r="D906" t="s">
        <v>2058</v>
      </c>
      <c r="E906" t="s">
        <v>2063</v>
      </c>
      <c r="F906" t="s">
        <v>39</v>
      </c>
      <c r="G906">
        <v>865.56</v>
      </c>
      <c r="H906" t="s">
        <v>2060</v>
      </c>
      <c r="I906" t="str">
        <f>VLOOKUP(B906,Customers!A:G,7,FALSE)</f>
        <v>Individual</v>
      </c>
      <c r="Q906" t="str">
        <f>IF(COUNTIF(Customers!$A$2:$A$1001,B906)&gt;0,"Valid","Invalid")</f>
        <v>Valid</v>
      </c>
      <c r="R906" t="str">
        <f>IF(COUNTIF(Branches!$A$2:$A$11,F906)&gt;0,"Valid","Invalid")</f>
        <v>Valid</v>
      </c>
    </row>
    <row r="907" spans="1:18" x14ac:dyDescent="0.25">
      <c r="A907" t="s">
        <v>2978</v>
      </c>
      <c r="B907" t="s">
        <v>584</v>
      </c>
      <c r="C907" s="8">
        <v>46110</v>
      </c>
      <c r="D907" t="s">
        <v>2062</v>
      </c>
      <c r="E907" t="s">
        <v>2068</v>
      </c>
      <c r="F907" t="s">
        <v>29</v>
      </c>
      <c r="G907">
        <v>700.52</v>
      </c>
      <c r="H907" t="s">
        <v>2060</v>
      </c>
      <c r="I907" t="str">
        <f>VLOOKUP(B907,Customers!A:G,7,FALSE)</f>
        <v>SME</v>
      </c>
      <c r="Q907" t="str">
        <f>IF(COUNTIF(Customers!$A$2:$A$1001,B907)&gt;0,"Valid","Invalid")</f>
        <v>Valid</v>
      </c>
      <c r="R907" t="str">
        <f>IF(COUNTIF(Branches!$A$2:$A$11,F907)&gt;0,"Valid","Invalid")</f>
        <v>Valid</v>
      </c>
    </row>
    <row r="908" spans="1:18" x14ac:dyDescent="0.25">
      <c r="A908" t="s">
        <v>2979</v>
      </c>
      <c r="B908" t="s">
        <v>620</v>
      </c>
      <c r="C908" s="8">
        <v>46084</v>
      </c>
      <c r="D908" t="s">
        <v>2058</v>
      </c>
      <c r="E908" t="s">
        <v>2073</v>
      </c>
      <c r="F908" t="s">
        <v>16</v>
      </c>
      <c r="G908">
        <v>963.43</v>
      </c>
      <c r="H908" t="s">
        <v>2060</v>
      </c>
      <c r="I908" t="str">
        <f>VLOOKUP(B908,Customers!A:G,7,FALSE)</f>
        <v>Student</v>
      </c>
      <c r="Q908" t="str">
        <f>IF(COUNTIF(Customers!$A$2:$A$1001,B908)&gt;0,"Valid","Invalid")</f>
        <v>Valid</v>
      </c>
      <c r="R908" t="str">
        <f>IF(COUNTIF(Branches!$A$2:$A$11,F908)&gt;0,"Valid","Invalid")</f>
        <v>Valid</v>
      </c>
    </row>
    <row r="909" spans="1:18" x14ac:dyDescent="0.25">
      <c r="A909" t="s">
        <v>2980</v>
      </c>
      <c r="B909" t="s">
        <v>50</v>
      </c>
      <c r="C909" s="8">
        <v>46264</v>
      </c>
      <c r="D909" t="s">
        <v>2065</v>
      </c>
      <c r="E909" t="s">
        <v>2076</v>
      </c>
      <c r="F909" t="s">
        <v>27</v>
      </c>
      <c r="G909">
        <v>2853.9</v>
      </c>
      <c r="H909" t="s">
        <v>2060</v>
      </c>
      <c r="I909" t="str">
        <f>VLOOKUP(B909,Customers!A:G,7,FALSE)</f>
        <v>SME</v>
      </c>
      <c r="Q909" t="str">
        <f>IF(COUNTIF(Customers!$A$2:$A$1001,B909)&gt;0,"Valid","Invalid")</f>
        <v>Valid</v>
      </c>
      <c r="R909" t="str">
        <f>IF(COUNTIF(Branches!$A$2:$A$11,F909)&gt;0,"Valid","Invalid")</f>
        <v>Valid</v>
      </c>
    </row>
    <row r="910" spans="1:18" x14ac:dyDescent="0.25">
      <c r="A910" t="s">
        <v>2981</v>
      </c>
      <c r="B910" t="s">
        <v>534</v>
      </c>
      <c r="C910" s="8">
        <v>46126</v>
      </c>
      <c r="D910" t="s">
        <v>2058</v>
      </c>
      <c r="E910" t="s">
        <v>2063</v>
      </c>
      <c r="F910" t="s">
        <v>35</v>
      </c>
      <c r="G910">
        <v>2380.23</v>
      </c>
      <c r="H910" t="s">
        <v>2060</v>
      </c>
      <c r="I910" t="str">
        <f>VLOOKUP(B910,Customers!A:G,7,FALSE)</f>
        <v>Individual</v>
      </c>
      <c r="Q910" t="str">
        <f>IF(COUNTIF(Customers!$A$2:$A$1001,B910)&gt;0,"Valid","Invalid")</f>
        <v>Valid</v>
      </c>
      <c r="R910" t="str">
        <f>IF(COUNTIF(Branches!$A$2:$A$11,F910)&gt;0,"Valid","Invalid")</f>
        <v>Valid</v>
      </c>
    </row>
    <row r="911" spans="1:18" x14ac:dyDescent="0.25">
      <c r="A911" t="s">
        <v>2982</v>
      </c>
      <c r="B911" t="s">
        <v>535</v>
      </c>
      <c r="C911" s="8">
        <v>46095</v>
      </c>
      <c r="D911" t="s">
        <v>2065</v>
      </c>
      <c r="E911" t="s">
        <v>2059</v>
      </c>
      <c r="F911" t="s">
        <v>16</v>
      </c>
      <c r="G911">
        <v>249.17</v>
      </c>
      <c r="H911" t="s">
        <v>2060</v>
      </c>
      <c r="I911" t="str">
        <f>VLOOKUP(B911,Customers!A:G,7,FALSE)</f>
        <v>SME</v>
      </c>
      <c r="Q911" t="str">
        <f>IF(COUNTIF(Customers!$A$2:$A$1001,B911)&gt;0,"Valid","Invalid")</f>
        <v>Valid</v>
      </c>
      <c r="R911" t="str">
        <f>IF(COUNTIF(Branches!$A$2:$A$11,F911)&gt;0,"Valid","Invalid")</f>
        <v>Valid</v>
      </c>
    </row>
    <row r="912" spans="1:18" x14ac:dyDescent="0.25">
      <c r="A912" t="s">
        <v>2983</v>
      </c>
      <c r="B912" t="s">
        <v>543</v>
      </c>
      <c r="C912" s="8">
        <v>46099</v>
      </c>
      <c r="D912" t="s">
        <v>2058</v>
      </c>
      <c r="E912" t="s">
        <v>2059</v>
      </c>
      <c r="F912" t="s">
        <v>27</v>
      </c>
      <c r="G912">
        <v>2176.34</v>
      </c>
      <c r="H912" t="s">
        <v>2060</v>
      </c>
      <c r="I912" t="str">
        <f>VLOOKUP(B912,Customers!A:G,7,FALSE)</f>
        <v>SME</v>
      </c>
      <c r="Q912" t="str">
        <f>IF(COUNTIF(Customers!$A$2:$A$1001,B912)&gt;0,"Valid","Invalid")</f>
        <v>Valid</v>
      </c>
      <c r="R912" t="str">
        <f>IF(COUNTIF(Branches!$A$2:$A$11,F912)&gt;0,"Valid","Invalid")</f>
        <v>Valid</v>
      </c>
    </row>
    <row r="913" spans="1:18" x14ac:dyDescent="0.25">
      <c r="A913" t="s">
        <v>2984</v>
      </c>
      <c r="B913" t="s">
        <v>570</v>
      </c>
      <c r="C913" s="8">
        <v>46062</v>
      </c>
      <c r="D913" t="s">
        <v>2058</v>
      </c>
      <c r="E913" t="s">
        <v>2076</v>
      </c>
      <c r="F913" t="s">
        <v>29</v>
      </c>
      <c r="G913">
        <v>2673.5</v>
      </c>
      <c r="H913" t="s">
        <v>2060</v>
      </c>
      <c r="I913" t="str">
        <f>VLOOKUP(B913,Customers!A:G,7,FALSE)</f>
        <v>Individual</v>
      </c>
      <c r="Q913" t="str">
        <f>IF(COUNTIF(Customers!$A$2:$A$1001,B913)&gt;0,"Valid","Invalid")</f>
        <v>Valid</v>
      </c>
      <c r="R913" t="str">
        <f>IF(COUNTIF(Branches!$A$2:$A$11,F913)&gt;0,"Valid","Invalid")</f>
        <v>Valid</v>
      </c>
    </row>
    <row r="914" spans="1:18" x14ac:dyDescent="0.25">
      <c r="A914" t="s">
        <v>2985</v>
      </c>
      <c r="B914" t="s">
        <v>1007</v>
      </c>
      <c r="C914" s="8">
        <v>46204</v>
      </c>
      <c r="D914" t="s">
        <v>2065</v>
      </c>
      <c r="E914" t="s">
        <v>2076</v>
      </c>
      <c r="F914" t="s">
        <v>27</v>
      </c>
      <c r="H914" t="s">
        <v>2060</v>
      </c>
      <c r="I914" t="str">
        <f>VLOOKUP(B914,Customers!A:G,7,FALSE)</f>
        <v>Individual</v>
      </c>
      <c r="Q914" t="str">
        <f>IF(COUNTIF(Customers!$A$2:$A$1001,B914)&gt;0,"Valid","Invalid")</f>
        <v>Valid</v>
      </c>
      <c r="R914" t="str">
        <f>IF(COUNTIF(Branches!$A$2:$A$11,F914)&gt;0,"Valid","Invalid")</f>
        <v>Valid</v>
      </c>
    </row>
    <row r="915" spans="1:18" x14ac:dyDescent="0.25">
      <c r="A915" t="s">
        <v>2986</v>
      </c>
      <c r="B915" t="s">
        <v>353</v>
      </c>
      <c r="C915" s="8">
        <v>46256</v>
      </c>
      <c r="D915" t="s">
        <v>2062</v>
      </c>
      <c r="E915" t="s">
        <v>2059</v>
      </c>
      <c r="F915" t="s">
        <v>27</v>
      </c>
      <c r="G915">
        <v>1350.79</v>
      </c>
      <c r="H915" t="s">
        <v>2060</v>
      </c>
      <c r="I915" t="str">
        <f>VLOOKUP(B915,Customers!A:G,7,FALSE)</f>
        <v>SME</v>
      </c>
      <c r="Q915" t="str">
        <f>IF(COUNTIF(Customers!$A$2:$A$1001,B915)&gt;0,"Valid","Invalid")</f>
        <v>Valid</v>
      </c>
      <c r="R915" t="str">
        <f>IF(COUNTIF(Branches!$A$2:$A$11,F915)&gt;0,"Valid","Invalid")</f>
        <v>Valid</v>
      </c>
    </row>
    <row r="916" spans="1:18" x14ac:dyDescent="0.25">
      <c r="A916" t="s">
        <v>2987</v>
      </c>
      <c r="B916" t="s">
        <v>105</v>
      </c>
      <c r="C916" s="8">
        <v>46231</v>
      </c>
      <c r="D916" t="s">
        <v>2062</v>
      </c>
      <c r="E916" t="s">
        <v>2059</v>
      </c>
      <c r="F916" t="s">
        <v>45</v>
      </c>
      <c r="G916">
        <v>1331.42</v>
      </c>
      <c r="H916" t="s">
        <v>2060</v>
      </c>
      <c r="I916" t="str">
        <f>VLOOKUP(B916,Customers!A:G,7,FALSE)</f>
        <v>SME</v>
      </c>
      <c r="Q916" t="str">
        <f>IF(COUNTIF(Customers!$A$2:$A$1001,B916)&gt;0,"Valid","Invalid")</f>
        <v>Valid</v>
      </c>
      <c r="R916" t="str">
        <f>IF(COUNTIF(Branches!$A$2:$A$11,F916)&gt;0,"Valid","Invalid")</f>
        <v>Valid</v>
      </c>
    </row>
    <row r="917" spans="1:18" x14ac:dyDescent="0.25">
      <c r="A917" t="s">
        <v>2988</v>
      </c>
      <c r="B917" t="s">
        <v>765</v>
      </c>
      <c r="C917" s="8">
        <v>46157</v>
      </c>
      <c r="D917" t="s">
        <v>2062</v>
      </c>
      <c r="E917" t="s">
        <v>2068</v>
      </c>
      <c r="F917" t="s">
        <v>29</v>
      </c>
      <c r="G917">
        <v>347.25</v>
      </c>
      <c r="H917" t="s">
        <v>2060</v>
      </c>
      <c r="I917" t="str">
        <f>VLOOKUP(B917,Customers!A:G,7,FALSE)</f>
        <v>Student</v>
      </c>
      <c r="Q917" t="str">
        <f>IF(COUNTIF(Customers!$A$2:$A$1001,B917)&gt;0,"Valid","Invalid")</f>
        <v>Valid</v>
      </c>
      <c r="R917" t="str">
        <f>IF(COUNTIF(Branches!$A$2:$A$11,F917)&gt;0,"Valid","Invalid")</f>
        <v>Valid</v>
      </c>
    </row>
    <row r="918" spans="1:18" x14ac:dyDescent="0.25">
      <c r="A918" t="s">
        <v>2989</v>
      </c>
      <c r="B918" t="s">
        <v>197</v>
      </c>
      <c r="C918" s="8">
        <v>46039</v>
      </c>
      <c r="D918" t="s">
        <v>2067</v>
      </c>
      <c r="E918" t="s">
        <v>2063</v>
      </c>
      <c r="F918" t="s">
        <v>53</v>
      </c>
      <c r="G918">
        <v>554.49</v>
      </c>
      <c r="H918" t="s">
        <v>2060</v>
      </c>
      <c r="I918" t="str">
        <f>VLOOKUP(B918,Customers!A:G,7,FALSE)</f>
        <v>Individual</v>
      </c>
      <c r="Q918" t="str">
        <f>IF(COUNTIF(Customers!$A$2:$A$1001,B918)&gt;0,"Valid","Invalid")</f>
        <v>Valid</v>
      </c>
      <c r="R918" t="str">
        <f>IF(COUNTIF(Branches!$A$2:$A$11,F918)&gt;0,"Valid","Invalid")</f>
        <v>Valid</v>
      </c>
    </row>
    <row r="919" spans="1:18" x14ac:dyDescent="0.25">
      <c r="A919" t="s">
        <v>2990</v>
      </c>
      <c r="B919" t="s">
        <v>652</v>
      </c>
      <c r="C919" s="8">
        <v>46141</v>
      </c>
      <c r="D919" t="s">
        <v>2058</v>
      </c>
      <c r="E919" t="s">
        <v>2059</v>
      </c>
      <c r="F919" t="s">
        <v>35</v>
      </c>
      <c r="G919">
        <v>1721.26</v>
      </c>
      <c r="H919" t="s">
        <v>2060</v>
      </c>
      <c r="I919" t="str">
        <f>VLOOKUP(B919,Customers!A:G,7,FALSE)</f>
        <v>Student</v>
      </c>
      <c r="Q919" t="str">
        <f>IF(COUNTIF(Customers!$A$2:$A$1001,B919)&gt;0,"Valid","Invalid")</f>
        <v>Valid</v>
      </c>
      <c r="R919" t="str">
        <f>IF(COUNTIF(Branches!$A$2:$A$11,F919)&gt;0,"Valid","Invalid")</f>
        <v>Valid</v>
      </c>
    </row>
    <row r="920" spans="1:18" x14ac:dyDescent="0.25">
      <c r="A920" t="s">
        <v>2991</v>
      </c>
      <c r="B920" t="s">
        <v>926</v>
      </c>
      <c r="C920" s="8">
        <v>46148</v>
      </c>
      <c r="D920" t="s">
        <v>2062</v>
      </c>
      <c r="E920" t="s">
        <v>2068</v>
      </c>
      <c r="F920" t="s">
        <v>16</v>
      </c>
      <c r="G920">
        <v>494.81</v>
      </c>
      <c r="H920" t="s">
        <v>2060</v>
      </c>
      <c r="I920" t="str">
        <f>VLOOKUP(B920,Customers!A:G,7,FALSE)</f>
        <v>Student</v>
      </c>
      <c r="Q920" t="str">
        <f>IF(COUNTIF(Customers!$A$2:$A$1001,B920)&gt;0,"Valid","Invalid")</f>
        <v>Valid</v>
      </c>
      <c r="R920" t="str">
        <f>IF(COUNTIF(Branches!$A$2:$A$11,F920)&gt;0,"Valid","Invalid")</f>
        <v>Valid</v>
      </c>
    </row>
    <row r="921" spans="1:18" x14ac:dyDescent="0.25">
      <c r="A921" t="s">
        <v>2992</v>
      </c>
      <c r="B921" t="s">
        <v>756</v>
      </c>
      <c r="C921" s="8">
        <v>46200</v>
      </c>
      <c r="D921" t="s">
        <v>2067</v>
      </c>
      <c r="E921" t="s">
        <v>2063</v>
      </c>
      <c r="F921" t="s">
        <v>47</v>
      </c>
      <c r="G921">
        <v>2154.9</v>
      </c>
      <c r="H921" t="s">
        <v>2060</v>
      </c>
      <c r="I921" t="str">
        <f>VLOOKUP(B921,Customers!A:G,7,FALSE)</f>
        <v>Individual</v>
      </c>
      <c r="Q921" t="str">
        <f>IF(COUNTIF(Customers!$A$2:$A$1001,B921)&gt;0,"Valid","Invalid")</f>
        <v>Valid</v>
      </c>
      <c r="R921" t="str">
        <f>IF(COUNTIF(Branches!$A$2:$A$11,F921)&gt;0,"Valid","Invalid")</f>
        <v>Valid</v>
      </c>
    </row>
    <row r="922" spans="1:18" x14ac:dyDescent="0.25">
      <c r="A922" t="s">
        <v>2993</v>
      </c>
      <c r="B922" t="s">
        <v>181</v>
      </c>
      <c r="C922" s="8">
        <v>46046</v>
      </c>
      <c r="D922" t="s">
        <v>2062</v>
      </c>
      <c r="E922" t="s">
        <v>2076</v>
      </c>
      <c r="F922" t="s">
        <v>35</v>
      </c>
      <c r="G922">
        <v>2995.82</v>
      </c>
      <c r="H922" t="s">
        <v>2060</v>
      </c>
      <c r="I922" t="str">
        <f>VLOOKUP(B922,Customers!A:G,7,FALSE)</f>
        <v>Student</v>
      </c>
      <c r="Q922" t="str">
        <f>IF(COUNTIF(Customers!$A$2:$A$1001,B922)&gt;0,"Valid","Invalid")</f>
        <v>Valid</v>
      </c>
      <c r="R922" t="str">
        <f>IF(COUNTIF(Branches!$A$2:$A$11,F922)&gt;0,"Valid","Invalid")</f>
        <v>Valid</v>
      </c>
    </row>
    <row r="923" spans="1:18" x14ac:dyDescent="0.25">
      <c r="A923" t="s">
        <v>2994</v>
      </c>
      <c r="B923" t="s">
        <v>607</v>
      </c>
      <c r="C923" s="8">
        <v>46024</v>
      </c>
      <c r="D923" t="s">
        <v>2065</v>
      </c>
      <c r="E923" t="s">
        <v>2068</v>
      </c>
      <c r="F923" t="s">
        <v>29</v>
      </c>
      <c r="G923">
        <v>2549.5500000000002</v>
      </c>
      <c r="H923" t="s">
        <v>2060</v>
      </c>
      <c r="I923" t="str">
        <f>VLOOKUP(B923,Customers!A:G,7,FALSE)</f>
        <v>Individual</v>
      </c>
      <c r="Q923" t="str">
        <f>IF(COUNTIF(Customers!$A$2:$A$1001,B923)&gt;0,"Valid","Invalid")</f>
        <v>Valid</v>
      </c>
      <c r="R923" t="str">
        <f>IF(COUNTIF(Branches!$A$2:$A$11,F923)&gt;0,"Valid","Invalid")</f>
        <v>Valid</v>
      </c>
    </row>
    <row r="924" spans="1:18" x14ac:dyDescent="0.25">
      <c r="A924" t="s">
        <v>2995</v>
      </c>
      <c r="B924" t="s">
        <v>633</v>
      </c>
      <c r="C924" s="8">
        <v>46249</v>
      </c>
      <c r="D924" t="s">
        <v>2065</v>
      </c>
      <c r="E924" t="s">
        <v>2076</v>
      </c>
      <c r="F924" t="s">
        <v>45</v>
      </c>
      <c r="G924">
        <v>5882.9</v>
      </c>
      <c r="H924" t="s">
        <v>2060</v>
      </c>
      <c r="I924" t="str">
        <f>VLOOKUP(B924,Customers!A:G,7,FALSE)</f>
        <v>Individual</v>
      </c>
      <c r="Q924" t="str">
        <f>IF(COUNTIF(Customers!$A$2:$A$1001,B924)&gt;0,"Valid","Invalid")</f>
        <v>Valid</v>
      </c>
      <c r="R924" t="str">
        <f>IF(COUNTIF(Branches!$A$2:$A$11,F924)&gt;0,"Valid","Invalid")</f>
        <v>Valid</v>
      </c>
    </row>
    <row r="925" spans="1:18" x14ac:dyDescent="0.25">
      <c r="A925" t="s">
        <v>2996</v>
      </c>
      <c r="B925" t="s">
        <v>1031</v>
      </c>
      <c r="C925" s="8">
        <v>46114</v>
      </c>
      <c r="D925" t="s">
        <v>2062</v>
      </c>
      <c r="E925" t="s">
        <v>2063</v>
      </c>
      <c r="F925" t="s">
        <v>47</v>
      </c>
      <c r="G925">
        <v>741.94</v>
      </c>
      <c r="H925" t="s">
        <v>2060</v>
      </c>
      <c r="I925" t="str">
        <f>VLOOKUP(B925,Customers!A:G,7,FALSE)</f>
        <v>SME</v>
      </c>
      <c r="Q925" t="str">
        <f>IF(COUNTIF(Customers!$A$2:$A$1001,B925)&gt;0,"Valid","Invalid")</f>
        <v>Valid</v>
      </c>
      <c r="R925" t="str">
        <f>IF(COUNTIF(Branches!$A$2:$A$11,F925)&gt;0,"Valid","Invalid")</f>
        <v>Valid</v>
      </c>
    </row>
    <row r="926" spans="1:18" x14ac:dyDescent="0.25">
      <c r="A926" t="s">
        <v>2997</v>
      </c>
      <c r="B926" t="s">
        <v>423</v>
      </c>
      <c r="C926" s="8">
        <v>46233</v>
      </c>
      <c r="D926" t="s">
        <v>2062</v>
      </c>
      <c r="E926" t="s">
        <v>2063</v>
      </c>
      <c r="F926" t="s">
        <v>16</v>
      </c>
      <c r="G926">
        <v>969.91</v>
      </c>
      <c r="H926" t="s">
        <v>2060</v>
      </c>
      <c r="I926" t="str">
        <f>VLOOKUP(B926,Customers!A:G,7,FALSE)</f>
        <v>Individual</v>
      </c>
      <c r="Q926" t="str">
        <f>IF(COUNTIF(Customers!$A$2:$A$1001,B926)&gt;0,"Valid","Invalid")</f>
        <v>Valid</v>
      </c>
      <c r="R926" t="str">
        <f>IF(COUNTIF(Branches!$A$2:$A$11,F926)&gt;0,"Valid","Invalid")</f>
        <v>Valid</v>
      </c>
    </row>
    <row r="927" spans="1:18" x14ac:dyDescent="0.25">
      <c r="A927" t="s">
        <v>2998</v>
      </c>
      <c r="B927" t="s">
        <v>307</v>
      </c>
      <c r="C927" s="8">
        <v>46183</v>
      </c>
      <c r="D927" t="s">
        <v>2062</v>
      </c>
      <c r="E927" t="s">
        <v>2059</v>
      </c>
      <c r="F927" t="s">
        <v>39</v>
      </c>
      <c r="G927">
        <v>1119.53</v>
      </c>
      <c r="H927" t="s">
        <v>2060</v>
      </c>
      <c r="I927" t="str">
        <f>VLOOKUP(B927,Customers!A:G,7,FALSE)</f>
        <v>Individual</v>
      </c>
      <c r="Q927" t="str">
        <f>IF(COUNTIF(Customers!$A$2:$A$1001,B927)&gt;0,"Valid","Invalid")</f>
        <v>Valid</v>
      </c>
      <c r="R927" t="str">
        <f>IF(COUNTIF(Branches!$A$2:$A$11,F927)&gt;0,"Valid","Invalid")</f>
        <v>Valid</v>
      </c>
    </row>
    <row r="928" spans="1:18" x14ac:dyDescent="0.25">
      <c r="A928" t="s">
        <v>2999</v>
      </c>
      <c r="B928" t="s">
        <v>961</v>
      </c>
      <c r="C928" s="8">
        <v>46171</v>
      </c>
      <c r="D928" t="s">
        <v>2070</v>
      </c>
      <c r="E928" t="s">
        <v>2063</v>
      </c>
      <c r="F928" t="s">
        <v>11</v>
      </c>
      <c r="G928">
        <v>764.79</v>
      </c>
      <c r="H928" t="s">
        <v>2060</v>
      </c>
      <c r="I928" t="str">
        <f>VLOOKUP(B928,Customers!A:G,7,FALSE)</f>
        <v>SME</v>
      </c>
      <c r="Q928" t="str">
        <f>IF(COUNTIF(Customers!$A$2:$A$1001,B928)&gt;0,"Valid","Invalid")</f>
        <v>Valid</v>
      </c>
      <c r="R928" t="str">
        <f>IF(COUNTIF(Branches!$A$2:$A$11,F928)&gt;0,"Valid","Invalid")</f>
        <v>Valid</v>
      </c>
    </row>
    <row r="929" spans="1:18" x14ac:dyDescent="0.25">
      <c r="A929" t="s">
        <v>3000</v>
      </c>
      <c r="B929" t="s">
        <v>492</v>
      </c>
      <c r="C929" s="8">
        <v>46139</v>
      </c>
      <c r="D929" t="s">
        <v>2065</v>
      </c>
      <c r="E929" t="s">
        <v>2073</v>
      </c>
      <c r="F929" t="s">
        <v>11</v>
      </c>
      <c r="G929">
        <v>1397.13</v>
      </c>
      <c r="H929" t="s">
        <v>2060</v>
      </c>
      <c r="I929" t="str">
        <f>VLOOKUP(B929,Customers!A:G,7,FALSE)</f>
        <v>Individual</v>
      </c>
      <c r="Q929" t="str">
        <f>IF(COUNTIF(Customers!$A$2:$A$1001,B929)&gt;0,"Valid","Invalid")</f>
        <v>Valid</v>
      </c>
      <c r="R929" t="str">
        <f>IF(COUNTIF(Branches!$A$2:$A$11,F929)&gt;0,"Valid","Invalid")</f>
        <v>Valid</v>
      </c>
    </row>
    <row r="930" spans="1:18" x14ac:dyDescent="0.25">
      <c r="A930" t="s">
        <v>3001</v>
      </c>
      <c r="B930" t="s">
        <v>737</v>
      </c>
      <c r="C930" s="8">
        <v>46224</v>
      </c>
      <c r="D930" t="s">
        <v>2065</v>
      </c>
      <c r="E930" t="s">
        <v>2076</v>
      </c>
      <c r="F930" t="s">
        <v>47</v>
      </c>
      <c r="G930">
        <v>146.76</v>
      </c>
      <c r="H930" t="s">
        <v>2060</v>
      </c>
      <c r="I930" t="str">
        <f>VLOOKUP(B930,Customers!A:G,7,FALSE)</f>
        <v>Individual</v>
      </c>
      <c r="Q930" t="str">
        <f>IF(COUNTIF(Customers!$A$2:$A$1001,B930)&gt;0,"Valid","Invalid")</f>
        <v>Valid</v>
      </c>
      <c r="R930" t="str">
        <f>IF(COUNTIF(Branches!$A$2:$A$11,F930)&gt;0,"Valid","Invalid")</f>
        <v>Valid</v>
      </c>
    </row>
    <row r="931" spans="1:18" x14ac:dyDescent="0.25">
      <c r="A931" t="s">
        <v>3002</v>
      </c>
      <c r="B931" t="s">
        <v>556</v>
      </c>
      <c r="C931" s="8">
        <v>46075</v>
      </c>
      <c r="D931" t="s">
        <v>2062</v>
      </c>
      <c r="E931" t="s">
        <v>2063</v>
      </c>
      <c r="F931" t="s">
        <v>39</v>
      </c>
      <c r="G931">
        <v>997.15</v>
      </c>
      <c r="H931" t="s">
        <v>2060</v>
      </c>
      <c r="I931" t="str">
        <f>VLOOKUP(B931,Customers!A:G,7,FALSE)</f>
        <v>Individual</v>
      </c>
      <c r="Q931" t="str">
        <f>IF(COUNTIF(Customers!$A$2:$A$1001,B931)&gt;0,"Valid","Invalid")</f>
        <v>Valid</v>
      </c>
      <c r="R931" t="str">
        <f>IF(COUNTIF(Branches!$A$2:$A$11,F931)&gt;0,"Valid","Invalid")</f>
        <v>Valid</v>
      </c>
    </row>
    <row r="932" spans="1:18" x14ac:dyDescent="0.25">
      <c r="A932" t="s">
        <v>3003</v>
      </c>
      <c r="B932" t="s">
        <v>903</v>
      </c>
      <c r="C932" s="8">
        <v>46068</v>
      </c>
      <c r="D932" t="s">
        <v>2065</v>
      </c>
      <c r="E932" t="s">
        <v>2073</v>
      </c>
      <c r="F932" t="s">
        <v>35</v>
      </c>
      <c r="G932">
        <v>204.91</v>
      </c>
      <c r="H932" t="s">
        <v>2060</v>
      </c>
      <c r="I932" t="str">
        <f>VLOOKUP(B932,Customers!A:G,7,FALSE)</f>
        <v>Student</v>
      </c>
      <c r="Q932" t="str">
        <f>IF(COUNTIF(Customers!$A$2:$A$1001,B932)&gt;0,"Valid","Invalid")</f>
        <v>Valid</v>
      </c>
      <c r="R932" t="str">
        <f>IF(COUNTIF(Branches!$A$2:$A$11,F932)&gt;0,"Valid","Invalid")</f>
        <v>Valid</v>
      </c>
    </row>
    <row r="933" spans="1:18" x14ac:dyDescent="0.25">
      <c r="A933" t="s">
        <v>3004</v>
      </c>
      <c r="B933" t="s">
        <v>388</v>
      </c>
      <c r="C933" s="8">
        <v>46067</v>
      </c>
      <c r="D933" t="s">
        <v>2058</v>
      </c>
      <c r="E933" t="s">
        <v>2076</v>
      </c>
      <c r="F933" t="s">
        <v>21</v>
      </c>
      <c r="G933">
        <v>310.25</v>
      </c>
      <c r="H933" t="s">
        <v>2060</v>
      </c>
      <c r="I933" t="str">
        <f>VLOOKUP(B933,Customers!A:G,7,FALSE)</f>
        <v>SME</v>
      </c>
      <c r="Q933" t="str">
        <f>IF(COUNTIF(Customers!$A$2:$A$1001,B933)&gt;0,"Valid","Invalid")</f>
        <v>Valid</v>
      </c>
      <c r="R933" t="str">
        <f>IF(COUNTIF(Branches!$A$2:$A$11,F933)&gt;0,"Valid","Invalid")</f>
        <v>Valid</v>
      </c>
    </row>
    <row r="934" spans="1:18" x14ac:dyDescent="0.25">
      <c r="A934" t="s">
        <v>3005</v>
      </c>
      <c r="B934" t="s">
        <v>146</v>
      </c>
      <c r="C934" s="8">
        <v>46031</v>
      </c>
      <c r="D934" t="s">
        <v>2058</v>
      </c>
      <c r="E934" t="s">
        <v>2063</v>
      </c>
      <c r="F934" t="s">
        <v>45</v>
      </c>
      <c r="G934">
        <v>1690.69</v>
      </c>
      <c r="H934" t="s">
        <v>2060</v>
      </c>
      <c r="I934" t="str">
        <f>VLOOKUP(B934,Customers!A:G,7,FALSE)</f>
        <v>Student</v>
      </c>
      <c r="Q934" t="str">
        <f>IF(COUNTIF(Customers!$A$2:$A$1001,B934)&gt;0,"Valid","Invalid")</f>
        <v>Valid</v>
      </c>
      <c r="R934" t="str">
        <f>IF(COUNTIF(Branches!$A$2:$A$11,F934)&gt;0,"Valid","Invalid")</f>
        <v>Valid</v>
      </c>
    </row>
    <row r="935" spans="1:18" x14ac:dyDescent="0.25">
      <c r="A935" t="s">
        <v>3006</v>
      </c>
      <c r="B935" t="s">
        <v>521</v>
      </c>
      <c r="C935" s="8">
        <v>46252</v>
      </c>
      <c r="D935" t="s">
        <v>2065</v>
      </c>
      <c r="E935" t="s">
        <v>2059</v>
      </c>
      <c r="F935" t="s">
        <v>45</v>
      </c>
      <c r="G935">
        <v>665.73</v>
      </c>
      <c r="H935" t="s">
        <v>2060</v>
      </c>
      <c r="I935" t="str">
        <f>VLOOKUP(B935,Customers!A:G,7,FALSE)</f>
        <v>Individual</v>
      </c>
      <c r="Q935" t="str">
        <f>IF(COUNTIF(Customers!$A$2:$A$1001,B935)&gt;0,"Valid","Invalid")</f>
        <v>Valid</v>
      </c>
      <c r="R935" t="str">
        <f>IF(COUNTIF(Branches!$A$2:$A$11,F935)&gt;0,"Valid","Invalid")</f>
        <v>Valid</v>
      </c>
    </row>
    <row r="936" spans="1:18" x14ac:dyDescent="0.25">
      <c r="A936" t="s">
        <v>3007</v>
      </c>
      <c r="B936" t="s">
        <v>445</v>
      </c>
      <c r="C936" s="8">
        <v>46028</v>
      </c>
      <c r="D936" t="s">
        <v>2067</v>
      </c>
      <c r="E936" t="s">
        <v>2063</v>
      </c>
      <c r="F936" t="s">
        <v>16</v>
      </c>
      <c r="G936">
        <v>1632.09</v>
      </c>
      <c r="H936" t="s">
        <v>2060</v>
      </c>
      <c r="I936" t="str">
        <f>VLOOKUP(B936,Customers!A:G,7,FALSE)</f>
        <v>Student</v>
      </c>
      <c r="Q936" t="str">
        <f>IF(COUNTIF(Customers!$A$2:$A$1001,B936)&gt;0,"Valid","Invalid")</f>
        <v>Valid</v>
      </c>
      <c r="R936" t="str">
        <f>IF(COUNTIF(Branches!$A$2:$A$11,F936)&gt;0,"Valid","Invalid")</f>
        <v>Valid</v>
      </c>
    </row>
    <row r="937" spans="1:18" x14ac:dyDescent="0.25">
      <c r="A937" t="s">
        <v>3008</v>
      </c>
      <c r="B937" t="s">
        <v>688</v>
      </c>
      <c r="C937" s="8">
        <v>46073</v>
      </c>
      <c r="D937" t="s">
        <v>2058</v>
      </c>
      <c r="E937" t="s">
        <v>2073</v>
      </c>
      <c r="F937" t="s">
        <v>21</v>
      </c>
      <c r="G937">
        <v>651.46</v>
      </c>
      <c r="H937" t="s">
        <v>2060</v>
      </c>
      <c r="I937" t="str">
        <f>VLOOKUP(B937,Customers!A:G,7,FALSE)</f>
        <v>Corporate</v>
      </c>
      <c r="Q937" t="str">
        <f>IF(COUNTIF(Customers!$A$2:$A$1001,B937)&gt;0,"Valid","Invalid")</f>
        <v>Valid</v>
      </c>
      <c r="R937" t="str">
        <f>IF(COUNTIF(Branches!$A$2:$A$11,F937)&gt;0,"Valid","Invalid")</f>
        <v>Valid</v>
      </c>
    </row>
    <row r="938" spans="1:18" x14ac:dyDescent="0.25">
      <c r="A938" t="s">
        <v>3009</v>
      </c>
      <c r="B938" t="s">
        <v>87</v>
      </c>
      <c r="C938" s="8">
        <v>46256</v>
      </c>
      <c r="D938" t="s">
        <v>2062</v>
      </c>
      <c r="E938" t="s">
        <v>2059</v>
      </c>
      <c r="F938" t="s">
        <v>47</v>
      </c>
      <c r="G938">
        <v>2456.29</v>
      </c>
      <c r="H938" t="s">
        <v>2060</v>
      </c>
      <c r="I938" t="str">
        <f>VLOOKUP(B938,Customers!A:G,7,FALSE)</f>
        <v>Individual</v>
      </c>
      <c r="Q938" t="str">
        <f>IF(COUNTIF(Customers!$A$2:$A$1001,B938)&gt;0,"Valid","Invalid")</f>
        <v>Valid</v>
      </c>
      <c r="R938" t="str">
        <f>IF(COUNTIF(Branches!$A$2:$A$11,F938)&gt;0,"Valid","Invalid")</f>
        <v>Valid</v>
      </c>
    </row>
    <row r="939" spans="1:18" x14ac:dyDescent="0.25">
      <c r="A939" t="s">
        <v>3010</v>
      </c>
      <c r="B939" t="s">
        <v>441</v>
      </c>
      <c r="C939" s="8">
        <v>46141</v>
      </c>
      <c r="D939" t="s">
        <v>2062</v>
      </c>
      <c r="E939" t="s">
        <v>2068</v>
      </c>
      <c r="F939" t="s">
        <v>45</v>
      </c>
      <c r="G939">
        <v>639.65</v>
      </c>
      <c r="H939" t="s">
        <v>2060</v>
      </c>
      <c r="I939" t="str">
        <f>VLOOKUP(B939,Customers!A:G,7,FALSE)</f>
        <v>Individual</v>
      </c>
      <c r="Q939" t="str">
        <f>IF(COUNTIF(Customers!$A$2:$A$1001,B939)&gt;0,"Valid","Invalid")</f>
        <v>Valid</v>
      </c>
      <c r="R939" t="str">
        <f>IF(COUNTIF(Branches!$A$2:$A$11,F939)&gt;0,"Valid","Invalid")</f>
        <v>Valid</v>
      </c>
    </row>
    <row r="940" spans="1:18" x14ac:dyDescent="0.25">
      <c r="A940" t="s">
        <v>3011</v>
      </c>
      <c r="B940" t="s">
        <v>601</v>
      </c>
      <c r="C940" s="8">
        <v>46057</v>
      </c>
      <c r="D940" t="s">
        <v>2058</v>
      </c>
      <c r="E940" t="s">
        <v>2059</v>
      </c>
      <c r="F940" t="s">
        <v>11</v>
      </c>
      <c r="G940">
        <v>115.02</v>
      </c>
      <c r="H940" t="s">
        <v>2060</v>
      </c>
      <c r="I940" t="str">
        <f>VLOOKUP(B940,Customers!A:G,7,FALSE)</f>
        <v>Individual</v>
      </c>
      <c r="Q940" t="str">
        <f>IF(COUNTIF(Customers!$A$2:$A$1001,B940)&gt;0,"Valid","Invalid")</f>
        <v>Valid</v>
      </c>
      <c r="R940" t="str">
        <f>IF(COUNTIF(Branches!$A$2:$A$11,F940)&gt;0,"Valid","Invalid")</f>
        <v>Valid</v>
      </c>
    </row>
    <row r="941" spans="1:18" x14ac:dyDescent="0.25">
      <c r="A941" t="s">
        <v>3012</v>
      </c>
      <c r="B941" t="s">
        <v>514</v>
      </c>
      <c r="C941" s="8">
        <v>46104</v>
      </c>
      <c r="D941" t="s">
        <v>2058</v>
      </c>
      <c r="E941" t="s">
        <v>2068</v>
      </c>
      <c r="F941" t="s">
        <v>16</v>
      </c>
      <c r="G941">
        <v>1017.79</v>
      </c>
      <c r="H941" t="s">
        <v>2060</v>
      </c>
      <c r="I941" t="str">
        <f>VLOOKUP(B941,Customers!A:G,7,FALSE)</f>
        <v>Student</v>
      </c>
      <c r="Q941" t="str">
        <f>IF(COUNTIF(Customers!$A$2:$A$1001,B941)&gt;0,"Valid","Invalid")</f>
        <v>Valid</v>
      </c>
      <c r="R941" t="str">
        <f>IF(COUNTIF(Branches!$A$2:$A$11,F941)&gt;0,"Valid","Invalid")</f>
        <v>Valid</v>
      </c>
    </row>
    <row r="942" spans="1:18" x14ac:dyDescent="0.25">
      <c r="A942" t="s">
        <v>3013</v>
      </c>
      <c r="B942" t="s">
        <v>123</v>
      </c>
      <c r="C942" s="8">
        <v>46203</v>
      </c>
      <c r="D942" t="s">
        <v>2067</v>
      </c>
      <c r="E942" t="s">
        <v>2063</v>
      </c>
      <c r="F942" t="s">
        <v>11</v>
      </c>
      <c r="G942">
        <v>92.86</v>
      </c>
      <c r="H942" t="s">
        <v>2060</v>
      </c>
      <c r="I942" t="str">
        <f>VLOOKUP(B942,Customers!A:G,7,FALSE)</f>
        <v>Corporate</v>
      </c>
      <c r="Q942" t="str">
        <f>IF(COUNTIF(Customers!$A$2:$A$1001,B942)&gt;0,"Valid","Invalid")</f>
        <v>Valid</v>
      </c>
      <c r="R942" t="str">
        <f>IF(COUNTIF(Branches!$A$2:$A$11,F942)&gt;0,"Valid","Invalid")</f>
        <v>Valid</v>
      </c>
    </row>
    <row r="943" spans="1:18" x14ac:dyDescent="0.25">
      <c r="A943" t="s">
        <v>3014</v>
      </c>
      <c r="B943" t="s">
        <v>104</v>
      </c>
      <c r="C943" s="8">
        <v>46169</v>
      </c>
      <c r="D943" t="s">
        <v>2065</v>
      </c>
      <c r="E943" t="s">
        <v>2073</v>
      </c>
      <c r="F943" t="s">
        <v>11</v>
      </c>
      <c r="G943">
        <v>190.05</v>
      </c>
      <c r="H943" t="s">
        <v>2115</v>
      </c>
      <c r="I943" t="str">
        <f>VLOOKUP(B943,Customers!A:G,7,FALSE)</f>
        <v>Student</v>
      </c>
      <c r="Q943" t="str">
        <f>IF(COUNTIF(Customers!$A$2:$A$1001,B943)&gt;0,"Valid","Invalid")</f>
        <v>Valid</v>
      </c>
      <c r="R943" t="str">
        <f>IF(COUNTIF(Branches!$A$2:$A$11,F943)&gt;0,"Valid","Invalid")</f>
        <v>Valid</v>
      </c>
    </row>
    <row r="944" spans="1:18" x14ac:dyDescent="0.25">
      <c r="A944" t="s">
        <v>3015</v>
      </c>
      <c r="B944" t="s">
        <v>634</v>
      </c>
      <c r="C944" s="8">
        <v>46219</v>
      </c>
      <c r="D944" t="s">
        <v>2067</v>
      </c>
      <c r="E944" t="s">
        <v>2073</v>
      </c>
      <c r="F944" t="s">
        <v>47</v>
      </c>
      <c r="G944">
        <v>335.98</v>
      </c>
      <c r="H944" t="s">
        <v>2060</v>
      </c>
      <c r="I944" t="str">
        <f>VLOOKUP(B944,Customers!A:G,7,FALSE)</f>
        <v>Individual</v>
      </c>
      <c r="Q944" t="str">
        <f>IF(COUNTIF(Customers!$A$2:$A$1001,B944)&gt;0,"Valid","Invalid")</f>
        <v>Valid</v>
      </c>
      <c r="R944" t="str">
        <f>IF(COUNTIF(Branches!$A$2:$A$11,F944)&gt;0,"Valid","Invalid")</f>
        <v>Valid</v>
      </c>
    </row>
    <row r="945" spans="1:18" x14ac:dyDescent="0.25">
      <c r="A945" t="s">
        <v>3016</v>
      </c>
      <c r="B945" t="s">
        <v>1017</v>
      </c>
      <c r="C945" s="8">
        <v>46047</v>
      </c>
      <c r="D945" t="s">
        <v>2065</v>
      </c>
      <c r="E945" t="s">
        <v>2059</v>
      </c>
      <c r="F945" t="s">
        <v>39</v>
      </c>
      <c r="G945">
        <v>296.57</v>
      </c>
      <c r="H945" t="s">
        <v>2060</v>
      </c>
      <c r="I945" t="str">
        <f>VLOOKUP(B945,Customers!A:G,7,FALSE)</f>
        <v>SME</v>
      </c>
      <c r="Q945" t="str">
        <f>IF(COUNTIF(Customers!$A$2:$A$1001,B945)&gt;0,"Valid","Invalid")</f>
        <v>Valid</v>
      </c>
      <c r="R945" t="str">
        <f>IF(COUNTIF(Branches!$A$2:$A$11,F945)&gt;0,"Valid","Invalid")</f>
        <v>Valid</v>
      </c>
    </row>
    <row r="946" spans="1:18" x14ac:dyDescent="0.25">
      <c r="A946" t="s">
        <v>3017</v>
      </c>
      <c r="B946" t="s">
        <v>76</v>
      </c>
      <c r="C946" s="8">
        <v>46161</v>
      </c>
      <c r="D946" t="s">
        <v>2065</v>
      </c>
      <c r="E946" t="s">
        <v>2068</v>
      </c>
      <c r="F946" t="s">
        <v>29</v>
      </c>
      <c r="G946">
        <v>471.04</v>
      </c>
      <c r="H946" t="s">
        <v>2060</v>
      </c>
      <c r="I946" t="str">
        <f>VLOOKUP(B946,Customers!A:G,7,FALSE)</f>
        <v>Individual</v>
      </c>
      <c r="Q946" t="str">
        <f>IF(COUNTIF(Customers!$A$2:$A$1001,B946)&gt;0,"Valid","Invalid")</f>
        <v>Valid</v>
      </c>
      <c r="R946" t="str">
        <f>IF(COUNTIF(Branches!$A$2:$A$11,F946)&gt;0,"Valid","Invalid")</f>
        <v>Valid</v>
      </c>
    </row>
    <row r="947" spans="1:18" x14ac:dyDescent="0.25">
      <c r="A947" t="s">
        <v>3018</v>
      </c>
      <c r="B947" t="s">
        <v>769</v>
      </c>
      <c r="C947" s="8">
        <v>46224</v>
      </c>
      <c r="D947" t="s">
        <v>2067</v>
      </c>
      <c r="E947" t="s">
        <v>2068</v>
      </c>
      <c r="F947" t="s">
        <v>16</v>
      </c>
      <c r="G947">
        <v>286.56</v>
      </c>
      <c r="H947" t="s">
        <v>2060</v>
      </c>
      <c r="I947" t="str">
        <f>VLOOKUP(B947,Customers!A:G,7,FALSE)</f>
        <v>Student</v>
      </c>
      <c r="Q947" t="str">
        <f>IF(COUNTIF(Customers!$A$2:$A$1001,B947)&gt;0,"Valid","Invalid")</f>
        <v>Valid</v>
      </c>
      <c r="R947" t="str">
        <f>IF(COUNTIF(Branches!$A$2:$A$11,F947)&gt;0,"Valid","Invalid")</f>
        <v>Valid</v>
      </c>
    </row>
    <row r="948" spans="1:18" x14ac:dyDescent="0.25">
      <c r="A948" t="s">
        <v>3019</v>
      </c>
      <c r="B948" t="s">
        <v>93</v>
      </c>
      <c r="C948" s="8">
        <v>46039</v>
      </c>
      <c r="D948" t="s">
        <v>2067</v>
      </c>
      <c r="E948" t="s">
        <v>2073</v>
      </c>
      <c r="F948" t="s">
        <v>11</v>
      </c>
      <c r="G948">
        <v>199.15</v>
      </c>
      <c r="H948" t="s">
        <v>2060</v>
      </c>
      <c r="I948" t="str">
        <f>VLOOKUP(B948,Customers!A:G,7,FALSE)</f>
        <v>Student</v>
      </c>
      <c r="Q948" t="str">
        <f>IF(COUNTIF(Customers!$A$2:$A$1001,B948)&gt;0,"Valid","Invalid")</f>
        <v>Valid</v>
      </c>
      <c r="R948" t="str">
        <f>IF(COUNTIF(Branches!$A$2:$A$11,F948)&gt;0,"Valid","Invalid")</f>
        <v>Valid</v>
      </c>
    </row>
    <row r="949" spans="1:18" x14ac:dyDescent="0.25">
      <c r="A949" t="s">
        <v>3020</v>
      </c>
      <c r="B949" t="s">
        <v>776</v>
      </c>
      <c r="C949" s="8">
        <v>46058</v>
      </c>
      <c r="D949" t="s">
        <v>2065</v>
      </c>
      <c r="E949" t="s">
        <v>2063</v>
      </c>
      <c r="F949" t="s">
        <v>11</v>
      </c>
      <c r="G949">
        <v>3796.5</v>
      </c>
      <c r="H949" t="s">
        <v>2060</v>
      </c>
      <c r="I949" t="str">
        <f>VLOOKUP(B949,Customers!A:G,7,FALSE)</f>
        <v>Individual</v>
      </c>
      <c r="Q949" t="str">
        <f>IF(COUNTIF(Customers!$A$2:$A$1001,B949)&gt;0,"Valid","Invalid")</f>
        <v>Valid</v>
      </c>
      <c r="R949" t="str">
        <f>IF(COUNTIF(Branches!$A$2:$A$11,F949)&gt;0,"Valid","Invalid")</f>
        <v>Valid</v>
      </c>
    </row>
    <row r="950" spans="1:18" x14ac:dyDescent="0.25">
      <c r="A950" t="s">
        <v>3021</v>
      </c>
      <c r="B950" t="s">
        <v>233</v>
      </c>
      <c r="C950" s="8">
        <v>46240</v>
      </c>
      <c r="D950" t="s">
        <v>2058</v>
      </c>
      <c r="E950" t="s">
        <v>2059</v>
      </c>
      <c r="F950" t="s">
        <v>29</v>
      </c>
      <c r="G950">
        <v>412.34</v>
      </c>
      <c r="H950" t="s">
        <v>2060</v>
      </c>
      <c r="I950" t="str">
        <f>VLOOKUP(B950,Customers!A:G,7,FALSE)</f>
        <v>Individual</v>
      </c>
      <c r="Q950" t="str">
        <f>IF(COUNTIF(Customers!$A$2:$A$1001,B950)&gt;0,"Valid","Invalid")</f>
        <v>Valid</v>
      </c>
      <c r="R950" t="str">
        <f>IF(COUNTIF(Branches!$A$2:$A$11,F950)&gt;0,"Valid","Invalid")</f>
        <v>Valid</v>
      </c>
    </row>
    <row r="951" spans="1:18" x14ac:dyDescent="0.25">
      <c r="A951" t="s">
        <v>3022</v>
      </c>
      <c r="B951" t="s">
        <v>798</v>
      </c>
      <c r="C951" s="8">
        <v>46245</v>
      </c>
      <c r="D951" t="s">
        <v>2058</v>
      </c>
      <c r="E951" t="s">
        <v>2068</v>
      </c>
      <c r="F951" t="s">
        <v>47</v>
      </c>
      <c r="G951">
        <v>87.29</v>
      </c>
      <c r="H951" t="s">
        <v>2060</v>
      </c>
      <c r="I951" t="str">
        <f>VLOOKUP(B951,Customers!A:G,7,FALSE)</f>
        <v>Individual</v>
      </c>
      <c r="Q951" t="str">
        <f>IF(COUNTIF(Customers!$A$2:$A$1001,B951)&gt;0,"Valid","Invalid")</f>
        <v>Valid</v>
      </c>
      <c r="R951" t="str">
        <f>IF(COUNTIF(Branches!$A$2:$A$11,F951)&gt;0,"Valid","Invalid")</f>
        <v>Valid</v>
      </c>
    </row>
    <row r="952" spans="1:18" x14ac:dyDescent="0.25">
      <c r="A952" t="s">
        <v>3023</v>
      </c>
      <c r="B952" t="s">
        <v>716</v>
      </c>
      <c r="C952" s="8">
        <v>46118</v>
      </c>
      <c r="D952" t="s">
        <v>2065</v>
      </c>
      <c r="E952" t="s">
        <v>2068</v>
      </c>
      <c r="F952" t="s">
        <v>53</v>
      </c>
      <c r="G952">
        <v>566.28</v>
      </c>
      <c r="H952" t="s">
        <v>2060</v>
      </c>
      <c r="I952" t="str">
        <f>VLOOKUP(B952,Customers!A:G,7,FALSE)</f>
        <v>Individual</v>
      </c>
      <c r="Q952" t="str">
        <f>IF(COUNTIF(Customers!$A$2:$A$1001,B952)&gt;0,"Valid","Invalid")</f>
        <v>Valid</v>
      </c>
      <c r="R952" t="str">
        <f>IF(COUNTIF(Branches!$A$2:$A$11,F952)&gt;0,"Valid","Invalid")</f>
        <v>Valid</v>
      </c>
    </row>
    <row r="953" spans="1:18" x14ac:dyDescent="0.25">
      <c r="A953" t="s">
        <v>3024</v>
      </c>
      <c r="B953" t="s">
        <v>98</v>
      </c>
      <c r="C953" s="8">
        <v>46043</v>
      </c>
      <c r="D953" t="s">
        <v>2070</v>
      </c>
      <c r="E953" t="s">
        <v>2059</v>
      </c>
      <c r="F953" t="s">
        <v>11</v>
      </c>
      <c r="G953">
        <v>263.82</v>
      </c>
      <c r="H953" t="s">
        <v>2060</v>
      </c>
      <c r="I953" t="str">
        <f>VLOOKUP(B953,Customers!A:G,7,FALSE)</f>
        <v>Individual</v>
      </c>
      <c r="Q953" t="str">
        <f>IF(COUNTIF(Customers!$A$2:$A$1001,B953)&gt;0,"Valid","Invalid")</f>
        <v>Valid</v>
      </c>
      <c r="R953" t="str">
        <f>IF(COUNTIF(Branches!$A$2:$A$11,F953)&gt;0,"Valid","Invalid")</f>
        <v>Valid</v>
      </c>
    </row>
    <row r="954" spans="1:18" x14ac:dyDescent="0.25">
      <c r="A954" t="s">
        <v>3025</v>
      </c>
      <c r="B954" t="s">
        <v>301</v>
      </c>
      <c r="C954" s="8">
        <v>46040</v>
      </c>
      <c r="D954" t="s">
        <v>2065</v>
      </c>
      <c r="E954" t="s">
        <v>2068</v>
      </c>
      <c r="F954" t="s">
        <v>47</v>
      </c>
      <c r="G954">
        <v>335.3</v>
      </c>
      <c r="H954" t="s">
        <v>2060</v>
      </c>
      <c r="I954" t="str">
        <f>VLOOKUP(B954,Customers!A:G,7,FALSE)</f>
        <v>Individual</v>
      </c>
      <c r="Q954" t="str">
        <f>IF(COUNTIF(Customers!$A$2:$A$1001,B954)&gt;0,"Valid","Invalid")</f>
        <v>Valid</v>
      </c>
      <c r="R954" t="str">
        <f>IF(COUNTIF(Branches!$A$2:$A$11,F954)&gt;0,"Valid","Invalid")</f>
        <v>Valid</v>
      </c>
    </row>
    <row r="955" spans="1:18" x14ac:dyDescent="0.25">
      <c r="A955" t="s">
        <v>3026</v>
      </c>
      <c r="B955" t="s">
        <v>148</v>
      </c>
      <c r="C955" s="8">
        <v>46210</v>
      </c>
      <c r="D955" t="s">
        <v>2062</v>
      </c>
      <c r="E955" t="s">
        <v>2063</v>
      </c>
      <c r="F955" t="s">
        <v>29</v>
      </c>
      <c r="G955">
        <v>1652.99</v>
      </c>
      <c r="H955" t="s">
        <v>2060</v>
      </c>
      <c r="I955" t="str">
        <f>VLOOKUP(B955,Customers!A:G,7,FALSE)</f>
        <v>Individual</v>
      </c>
      <c r="Q955" t="str">
        <f>IF(COUNTIF(Customers!$A$2:$A$1001,B955)&gt;0,"Valid","Invalid")</f>
        <v>Valid</v>
      </c>
      <c r="R955" t="str">
        <f>IF(COUNTIF(Branches!$A$2:$A$11,F955)&gt;0,"Valid","Invalid")</f>
        <v>Valid</v>
      </c>
    </row>
    <row r="956" spans="1:18" x14ac:dyDescent="0.25">
      <c r="A956" t="s">
        <v>3027</v>
      </c>
      <c r="B956" t="s">
        <v>803</v>
      </c>
      <c r="C956" s="8">
        <v>46168</v>
      </c>
      <c r="D956" t="s">
        <v>2065</v>
      </c>
      <c r="E956" t="s">
        <v>2068</v>
      </c>
      <c r="F956" t="s">
        <v>11</v>
      </c>
      <c r="G956">
        <v>518.97</v>
      </c>
      <c r="H956" t="s">
        <v>2060</v>
      </c>
      <c r="I956" t="str">
        <f>VLOOKUP(B956,Customers!A:G,7,FALSE)</f>
        <v>Individual</v>
      </c>
      <c r="Q956" t="str">
        <f>IF(COUNTIF(Customers!$A$2:$A$1001,B956)&gt;0,"Valid","Invalid")</f>
        <v>Valid</v>
      </c>
      <c r="R956" t="str">
        <f>IF(COUNTIF(Branches!$A$2:$A$11,F956)&gt;0,"Valid","Invalid")</f>
        <v>Valid</v>
      </c>
    </row>
    <row r="957" spans="1:18" x14ac:dyDescent="0.25">
      <c r="A957" t="s">
        <v>3028</v>
      </c>
      <c r="B957" t="s">
        <v>749</v>
      </c>
      <c r="C957" s="8">
        <v>46023</v>
      </c>
      <c r="D957" t="s">
        <v>2062</v>
      </c>
      <c r="E957" t="s">
        <v>2063</v>
      </c>
      <c r="F957" t="s">
        <v>21</v>
      </c>
      <c r="G957">
        <v>256.57</v>
      </c>
      <c r="H957" t="s">
        <v>2060</v>
      </c>
      <c r="I957" t="str">
        <f>VLOOKUP(B957,Customers!A:G,7,FALSE)</f>
        <v>Individual</v>
      </c>
      <c r="Q957" t="str">
        <f>IF(COUNTIF(Customers!$A$2:$A$1001,B957)&gt;0,"Valid","Invalid")</f>
        <v>Valid</v>
      </c>
      <c r="R957" t="str">
        <f>IF(COUNTIF(Branches!$A$2:$A$11,F957)&gt;0,"Valid","Invalid")</f>
        <v>Valid</v>
      </c>
    </row>
    <row r="958" spans="1:18" x14ac:dyDescent="0.25">
      <c r="A958" t="s">
        <v>3029</v>
      </c>
      <c r="B958" t="s">
        <v>214</v>
      </c>
      <c r="C958" s="8">
        <v>46164</v>
      </c>
      <c r="D958" t="s">
        <v>2065</v>
      </c>
      <c r="E958" t="s">
        <v>2063</v>
      </c>
      <c r="F958" t="s">
        <v>53</v>
      </c>
      <c r="G958">
        <v>1269.3399999999999</v>
      </c>
      <c r="H958" t="s">
        <v>2060</v>
      </c>
      <c r="I958" t="str">
        <f>VLOOKUP(B958,Customers!A:G,7,FALSE)</f>
        <v>Student</v>
      </c>
      <c r="Q958" t="str">
        <f>IF(COUNTIF(Customers!$A$2:$A$1001,B958)&gt;0,"Valid","Invalid")</f>
        <v>Valid</v>
      </c>
      <c r="R958" t="str">
        <f>IF(COUNTIF(Branches!$A$2:$A$11,F958)&gt;0,"Valid","Invalid")</f>
        <v>Valid</v>
      </c>
    </row>
    <row r="959" spans="1:18" x14ac:dyDescent="0.25">
      <c r="A959" t="s">
        <v>3030</v>
      </c>
      <c r="B959" t="s">
        <v>986</v>
      </c>
      <c r="C959" s="8">
        <v>46158</v>
      </c>
      <c r="D959" t="s">
        <v>2062</v>
      </c>
      <c r="E959" t="s">
        <v>2059</v>
      </c>
      <c r="F959" t="s">
        <v>11</v>
      </c>
      <c r="G959">
        <v>2565.58</v>
      </c>
      <c r="H959" t="s">
        <v>2060</v>
      </c>
      <c r="I959" t="str">
        <f>VLOOKUP(B959,Customers!A:G,7,FALSE)</f>
        <v>Individual</v>
      </c>
      <c r="Q959" t="str">
        <f>IF(COUNTIF(Customers!$A$2:$A$1001,B959)&gt;0,"Valid","Invalid")</f>
        <v>Valid</v>
      </c>
      <c r="R959" t="str">
        <f>IF(COUNTIF(Branches!$A$2:$A$11,F959)&gt;0,"Valid","Invalid")</f>
        <v>Valid</v>
      </c>
    </row>
    <row r="960" spans="1:18" x14ac:dyDescent="0.25">
      <c r="A960" t="s">
        <v>3031</v>
      </c>
      <c r="B960" t="s">
        <v>60</v>
      </c>
      <c r="C960" s="8">
        <v>46216</v>
      </c>
      <c r="D960" t="s">
        <v>2067</v>
      </c>
      <c r="E960" t="s">
        <v>2059</v>
      </c>
      <c r="F960" t="s">
        <v>11</v>
      </c>
      <c r="G960">
        <v>1389.74</v>
      </c>
      <c r="H960" t="s">
        <v>2060</v>
      </c>
      <c r="I960" t="str">
        <f>VLOOKUP(B960,Customers!A:G,7,FALSE)</f>
        <v>Student</v>
      </c>
      <c r="Q960" t="str">
        <f>IF(COUNTIF(Customers!$A$2:$A$1001,B960)&gt;0,"Valid","Invalid")</f>
        <v>Valid</v>
      </c>
      <c r="R960" t="str">
        <f>IF(COUNTIF(Branches!$A$2:$A$11,F960)&gt;0,"Valid","Invalid")</f>
        <v>Valid</v>
      </c>
    </row>
    <row r="961" spans="1:18" x14ac:dyDescent="0.25">
      <c r="A961" t="s">
        <v>3032</v>
      </c>
      <c r="B961" t="s">
        <v>448</v>
      </c>
      <c r="C961" s="8">
        <v>46073</v>
      </c>
      <c r="D961" t="s">
        <v>2062</v>
      </c>
      <c r="E961" t="s">
        <v>2059</v>
      </c>
      <c r="F961" t="s">
        <v>27</v>
      </c>
      <c r="G961">
        <v>69.86</v>
      </c>
      <c r="H961" t="s">
        <v>2060</v>
      </c>
      <c r="I961" t="str">
        <f>VLOOKUP(B961,Customers!A:G,7,FALSE)</f>
        <v>Student</v>
      </c>
      <c r="Q961" t="str">
        <f>IF(COUNTIF(Customers!$A$2:$A$1001,B961)&gt;0,"Valid","Invalid")</f>
        <v>Valid</v>
      </c>
      <c r="R961" t="str">
        <f>IF(COUNTIF(Branches!$A$2:$A$11,F961)&gt;0,"Valid","Invalid")</f>
        <v>Valid</v>
      </c>
    </row>
    <row r="962" spans="1:18" x14ac:dyDescent="0.25">
      <c r="A962" t="s">
        <v>3033</v>
      </c>
      <c r="B962" t="s">
        <v>796</v>
      </c>
      <c r="C962" s="8">
        <v>46101</v>
      </c>
      <c r="D962" t="s">
        <v>2067</v>
      </c>
      <c r="E962" t="s">
        <v>2059</v>
      </c>
      <c r="F962" t="s">
        <v>11</v>
      </c>
      <c r="G962">
        <v>266.39999999999998</v>
      </c>
      <c r="H962" t="s">
        <v>2060</v>
      </c>
      <c r="I962" t="str">
        <f>VLOOKUP(B962,Customers!A:G,7,FALSE)</f>
        <v>Student</v>
      </c>
      <c r="Q962" t="str">
        <f>IF(COUNTIF(Customers!$A$2:$A$1001,B962)&gt;0,"Valid","Invalid")</f>
        <v>Valid</v>
      </c>
      <c r="R962" t="str">
        <f>IF(COUNTIF(Branches!$A$2:$A$11,F962)&gt;0,"Valid","Invalid")</f>
        <v>Valid</v>
      </c>
    </row>
    <row r="963" spans="1:18" x14ac:dyDescent="0.25">
      <c r="A963" t="s">
        <v>3034</v>
      </c>
      <c r="B963" t="s">
        <v>569</v>
      </c>
      <c r="C963" s="8">
        <v>46210</v>
      </c>
      <c r="D963" t="s">
        <v>2065</v>
      </c>
      <c r="E963" t="s">
        <v>2063</v>
      </c>
      <c r="F963" t="s">
        <v>39</v>
      </c>
      <c r="G963">
        <v>851.88</v>
      </c>
      <c r="H963" t="s">
        <v>2060</v>
      </c>
      <c r="I963" t="str">
        <f>VLOOKUP(B963,Customers!A:G,7,FALSE)</f>
        <v>Individual</v>
      </c>
      <c r="Q963" t="str">
        <f>IF(COUNTIF(Customers!$A$2:$A$1001,B963)&gt;0,"Valid","Invalid")</f>
        <v>Valid</v>
      </c>
      <c r="R963" t="str">
        <f>IF(COUNTIF(Branches!$A$2:$A$11,F963)&gt;0,"Valid","Invalid")</f>
        <v>Valid</v>
      </c>
    </row>
    <row r="964" spans="1:18" x14ac:dyDescent="0.25">
      <c r="A964" t="s">
        <v>3035</v>
      </c>
      <c r="B964" t="s">
        <v>815</v>
      </c>
      <c r="C964" s="8">
        <v>46184</v>
      </c>
      <c r="D964" t="s">
        <v>2062</v>
      </c>
      <c r="E964" t="s">
        <v>2063</v>
      </c>
      <c r="F964" t="s">
        <v>16</v>
      </c>
      <c r="G964">
        <v>636.32000000000005</v>
      </c>
      <c r="H964" t="s">
        <v>2060</v>
      </c>
      <c r="I964" t="str">
        <f>VLOOKUP(B964,Customers!A:G,7,FALSE)</f>
        <v>SME</v>
      </c>
      <c r="Q964" t="str">
        <f>IF(COUNTIF(Customers!$A$2:$A$1001,B964)&gt;0,"Valid","Invalid")</f>
        <v>Valid</v>
      </c>
      <c r="R964" t="str">
        <f>IF(COUNTIF(Branches!$A$2:$A$11,F964)&gt;0,"Valid","Invalid")</f>
        <v>Valid</v>
      </c>
    </row>
    <row r="965" spans="1:18" x14ac:dyDescent="0.25">
      <c r="A965" t="s">
        <v>3036</v>
      </c>
      <c r="B965" t="s">
        <v>355</v>
      </c>
      <c r="C965" s="8">
        <v>46058</v>
      </c>
      <c r="D965" t="s">
        <v>2065</v>
      </c>
      <c r="E965" t="s">
        <v>2068</v>
      </c>
      <c r="F965" t="s">
        <v>29</v>
      </c>
      <c r="G965">
        <v>585.65</v>
      </c>
      <c r="H965" t="s">
        <v>2060</v>
      </c>
      <c r="I965" t="str">
        <f>VLOOKUP(B965,Customers!A:G,7,FALSE)</f>
        <v>Corporate</v>
      </c>
      <c r="Q965" t="str">
        <f>IF(COUNTIF(Customers!$A$2:$A$1001,B965)&gt;0,"Valid","Invalid")</f>
        <v>Valid</v>
      </c>
      <c r="R965" t="str">
        <f>IF(COUNTIF(Branches!$A$2:$A$11,F965)&gt;0,"Valid","Invalid")</f>
        <v>Valid</v>
      </c>
    </row>
    <row r="966" spans="1:18" x14ac:dyDescent="0.25">
      <c r="A966" t="s">
        <v>3037</v>
      </c>
      <c r="B966" t="s">
        <v>570</v>
      </c>
      <c r="C966" s="8">
        <v>46084</v>
      </c>
      <c r="D966" t="s">
        <v>2070</v>
      </c>
      <c r="E966" t="s">
        <v>2059</v>
      </c>
      <c r="F966" t="s">
        <v>47</v>
      </c>
      <c r="G966">
        <v>304.07</v>
      </c>
      <c r="H966" t="s">
        <v>2060</v>
      </c>
      <c r="I966" t="str">
        <f>VLOOKUP(B966,Customers!A:G,7,FALSE)</f>
        <v>Individual</v>
      </c>
      <c r="Q966" t="str">
        <f>IF(COUNTIF(Customers!$A$2:$A$1001,B966)&gt;0,"Valid","Invalid")</f>
        <v>Valid</v>
      </c>
      <c r="R966" t="str">
        <f>IF(COUNTIF(Branches!$A$2:$A$11,F966)&gt;0,"Valid","Invalid")</f>
        <v>Valid</v>
      </c>
    </row>
    <row r="967" spans="1:18" x14ac:dyDescent="0.25">
      <c r="A967" t="s">
        <v>3038</v>
      </c>
      <c r="B967" t="s">
        <v>142</v>
      </c>
      <c r="C967" s="8">
        <v>46151</v>
      </c>
      <c r="D967" t="s">
        <v>2065</v>
      </c>
      <c r="E967" t="s">
        <v>2059</v>
      </c>
      <c r="F967" t="s">
        <v>47</v>
      </c>
      <c r="G967">
        <v>199.22</v>
      </c>
      <c r="H967" t="s">
        <v>2060</v>
      </c>
      <c r="I967" t="str">
        <f>VLOOKUP(B967,Customers!A:G,7,FALSE)</f>
        <v>SME</v>
      </c>
      <c r="Q967" t="str">
        <f>IF(COUNTIF(Customers!$A$2:$A$1001,B967)&gt;0,"Valid","Invalid")</f>
        <v>Valid</v>
      </c>
      <c r="R967" t="str">
        <f>IF(COUNTIF(Branches!$A$2:$A$11,F967)&gt;0,"Valid","Invalid")</f>
        <v>Valid</v>
      </c>
    </row>
    <row r="968" spans="1:18" x14ac:dyDescent="0.25">
      <c r="A968" t="s">
        <v>3039</v>
      </c>
      <c r="B968" t="s">
        <v>787</v>
      </c>
      <c r="C968" s="8">
        <v>46265</v>
      </c>
      <c r="D968" t="s">
        <v>2067</v>
      </c>
      <c r="E968" t="s">
        <v>2076</v>
      </c>
      <c r="F968" t="s">
        <v>53</v>
      </c>
      <c r="G968">
        <v>6049.81</v>
      </c>
      <c r="H968" t="s">
        <v>2060</v>
      </c>
      <c r="I968" t="str">
        <f>VLOOKUP(B968,Customers!A:G,7,FALSE)</f>
        <v>Student</v>
      </c>
      <c r="Q968" t="str">
        <f>IF(COUNTIF(Customers!$A$2:$A$1001,B968)&gt;0,"Valid","Invalid")</f>
        <v>Valid</v>
      </c>
      <c r="R968" t="str">
        <f>IF(COUNTIF(Branches!$A$2:$A$11,F968)&gt;0,"Valid","Invalid")</f>
        <v>Valid</v>
      </c>
    </row>
    <row r="969" spans="1:18" x14ac:dyDescent="0.25">
      <c r="A969" t="s">
        <v>3040</v>
      </c>
      <c r="B969" t="s">
        <v>856</v>
      </c>
      <c r="C969" s="8">
        <v>46107</v>
      </c>
      <c r="D969" t="s">
        <v>2062</v>
      </c>
      <c r="E969" t="s">
        <v>2073</v>
      </c>
      <c r="F969" t="s">
        <v>29</v>
      </c>
      <c r="G969">
        <v>834.73</v>
      </c>
      <c r="H969" t="s">
        <v>2060</v>
      </c>
      <c r="I969" t="str">
        <f>VLOOKUP(B969,Customers!A:G,7,FALSE)</f>
        <v>Individual</v>
      </c>
      <c r="Q969" t="str">
        <f>IF(COUNTIF(Customers!$A$2:$A$1001,B969)&gt;0,"Valid","Invalid")</f>
        <v>Valid</v>
      </c>
      <c r="R969" t="str">
        <f>IF(COUNTIF(Branches!$A$2:$A$11,F969)&gt;0,"Valid","Invalid")</f>
        <v>Valid</v>
      </c>
    </row>
    <row r="970" spans="1:18" x14ac:dyDescent="0.25">
      <c r="A970" t="s">
        <v>3041</v>
      </c>
      <c r="B970" t="s">
        <v>502</v>
      </c>
      <c r="C970" s="8">
        <v>46064</v>
      </c>
      <c r="D970" t="s">
        <v>2067</v>
      </c>
      <c r="E970" t="s">
        <v>2076</v>
      </c>
      <c r="F970" t="s">
        <v>53</v>
      </c>
      <c r="G970">
        <v>1543.98</v>
      </c>
      <c r="H970" t="s">
        <v>2060</v>
      </c>
      <c r="I970" t="str">
        <f>VLOOKUP(B970,Customers!A:G,7,FALSE)</f>
        <v>SME</v>
      </c>
      <c r="Q970" t="str">
        <f>IF(COUNTIF(Customers!$A$2:$A$1001,B970)&gt;0,"Valid","Invalid")</f>
        <v>Valid</v>
      </c>
      <c r="R970" t="str">
        <f>IF(COUNTIF(Branches!$A$2:$A$11,F970)&gt;0,"Valid","Invalid")</f>
        <v>Valid</v>
      </c>
    </row>
    <row r="971" spans="1:18" x14ac:dyDescent="0.25">
      <c r="A971" t="s">
        <v>3042</v>
      </c>
      <c r="B971" t="s">
        <v>284</v>
      </c>
      <c r="C971" s="8">
        <v>46023</v>
      </c>
      <c r="D971" t="s">
        <v>2065</v>
      </c>
      <c r="E971" t="s">
        <v>2063</v>
      </c>
      <c r="F971" t="s">
        <v>35</v>
      </c>
      <c r="G971">
        <v>817.5</v>
      </c>
      <c r="H971" t="s">
        <v>2060</v>
      </c>
      <c r="I971" t="str">
        <f>VLOOKUP(B971,Customers!A:G,7,FALSE)</f>
        <v>Individual</v>
      </c>
      <c r="Q971" t="str">
        <f>IF(COUNTIF(Customers!$A$2:$A$1001,B971)&gt;0,"Valid","Invalid")</f>
        <v>Valid</v>
      </c>
      <c r="R971" t="str">
        <f>IF(COUNTIF(Branches!$A$2:$A$11,F971)&gt;0,"Valid","Invalid")</f>
        <v>Valid</v>
      </c>
    </row>
    <row r="972" spans="1:18" x14ac:dyDescent="0.25">
      <c r="A972" t="s">
        <v>3043</v>
      </c>
      <c r="B972" t="s">
        <v>117</v>
      </c>
      <c r="C972" s="8">
        <v>46246</v>
      </c>
      <c r="D972" t="s">
        <v>2062</v>
      </c>
      <c r="E972" t="s">
        <v>2068</v>
      </c>
      <c r="F972" t="s">
        <v>29</v>
      </c>
      <c r="G972">
        <v>850.95</v>
      </c>
      <c r="H972" t="s">
        <v>2060</v>
      </c>
      <c r="I972" t="str">
        <f>VLOOKUP(B972,Customers!A:G,7,FALSE)</f>
        <v>Student</v>
      </c>
      <c r="Q972" t="str">
        <f>IF(COUNTIF(Customers!$A$2:$A$1001,B972)&gt;0,"Valid","Invalid")</f>
        <v>Valid</v>
      </c>
      <c r="R972" t="str">
        <f>IF(COUNTIF(Branches!$A$2:$A$11,F972)&gt;0,"Valid","Invalid")</f>
        <v>Valid</v>
      </c>
    </row>
    <row r="973" spans="1:18" x14ac:dyDescent="0.25">
      <c r="A973" t="s">
        <v>3044</v>
      </c>
      <c r="B973" t="s">
        <v>700</v>
      </c>
      <c r="C973" s="8">
        <v>46234</v>
      </c>
      <c r="D973" t="s">
        <v>2062</v>
      </c>
      <c r="E973" t="s">
        <v>2073</v>
      </c>
      <c r="F973" t="s">
        <v>11</v>
      </c>
      <c r="G973">
        <v>763.49</v>
      </c>
      <c r="H973" t="s">
        <v>2060</v>
      </c>
      <c r="I973" t="str">
        <f>VLOOKUP(B973,Customers!A:G,7,FALSE)</f>
        <v>Student</v>
      </c>
      <c r="Q973" t="str">
        <f>IF(COUNTIF(Customers!$A$2:$A$1001,B973)&gt;0,"Valid","Invalid")</f>
        <v>Valid</v>
      </c>
      <c r="R973" t="str">
        <f>IF(COUNTIF(Branches!$A$2:$A$11,F973)&gt;0,"Valid","Invalid")</f>
        <v>Valid</v>
      </c>
    </row>
    <row r="974" spans="1:18" x14ac:dyDescent="0.25">
      <c r="A974" t="s">
        <v>3045</v>
      </c>
      <c r="B974" t="s">
        <v>947</v>
      </c>
      <c r="C974" s="8">
        <v>46076</v>
      </c>
      <c r="D974" t="s">
        <v>2070</v>
      </c>
      <c r="E974" t="s">
        <v>2059</v>
      </c>
      <c r="F974" t="s">
        <v>21</v>
      </c>
      <c r="G974">
        <v>264.95</v>
      </c>
      <c r="H974" t="s">
        <v>2060</v>
      </c>
      <c r="I974" t="str">
        <f>VLOOKUP(B974,Customers!A:G,7,FALSE)</f>
        <v>Individual</v>
      </c>
      <c r="Q974" t="str">
        <f>IF(COUNTIF(Customers!$A$2:$A$1001,B974)&gt;0,"Valid","Invalid")</f>
        <v>Valid</v>
      </c>
      <c r="R974" t="str">
        <f>IF(COUNTIF(Branches!$A$2:$A$11,F974)&gt;0,"Valid","Invalid")</f>
        <v>Valid</v>
      </c>
    </row>
    <row r="975" spans="1:18" x14ac:dyDescent="0.25">
      <c r="A975" t="s">
        <v>3046</v>
      </c>
      <c r="B975" t="s">
        <v>434</v>
      </c>
      <c r="C975" s="8">
        <v>46197</v>
      </c>
      <c r="D975" t="s">
        <v>2067</v>
      </c>
      <c r="E975" t="s">
        <v>2073</v>
      </c>
      <c r="F975" t="s">
        <v>29</v>
      </c>
      <c r="G975">
        <v>178.66</v>
      </c>
      <c r="H975" t="s">
        <v>2060</v>
      </c>
      <c r="I975" t="str">
        <f>VLOOKUP(B975,Customers!A:G,7,FALSE)</f>
        <v>Individual</v>
      </c>
      <c r="Q975" t="str">
        <f>IF(COUNTIF(Customers!$A$2:$A$1001,B975)&gt;0,"Valid","Invalid")</f>
        <v>Valid</v>
      </c>
      <c r="R975" t="str">
        <f>IF(COUNTIF(Branches!$A$2:$A$11,F975)&gt;0,"Valid","Invalid")</f>
        <v>Valid</v>
      </c>
    </row>
    <row r="976" spans="1:18" x14ac:dyDescent="0.25">
      <c r="A976" t="s">
        <v>3047</v>
      </c>
      <c r="B976" t="s">
        <v>560</v>
      </c>
      <c r="C976" s="8">
        <v>46122</v>
      </c>
      <c r="D976" t="s">
        <v>2058</v>
      </c>
      <c r="E976" t="s">
        <v>2059</v>
      </c>
      <c r="F976" t="s">
        <v>29</v>
      </c>
      <c r="G976">
        <v>1195.3900000000001</v>
      </c>
      <c r="H976" t="s">
        <v>2060</v>
      </c>
      <c r="I976" t="str">
        <f>VLOOKUP(B976,Customers!A:G,7,FALSE)</f>
        <v>Individual</v>
      </c>
      <c r="Q976" t="str">
        <f>IF(COUNTIF(Customers!$A$2:$A$1001,B976)&gt;0,"Valid","Invalid")</f>
        <v>Valid</v>
      </c>
      <c r="R976" t="str">
        <f>IF(COUNTIF(Branches!$A$2:$A$11,F976)&gt;0,"Valid","Invalid")</f>
        <v>Valid</v>
      </c>
    </row>
    <row r="977" spans="1:18" x14ac:dyDescent="0.25">
      <c r="A977" t="s">
        <v>3048</v>
      </c>
      <c r="B977" t="s">
        <v>871</v>
      </c>
      <c r="C977" s="8">
        <v>46061</v>
      </c>
      <c r="D977" t="s">
        <v>2067</v>
      </c>
      <c r="E977" t="s">
        <v>2059</v>
      </c>
      <c r="F977" t="s">
        <v>39</v>
      </c>
      <c r="G977">
        <v>980.28</v>
      </c>
      <c r="H977" t="s">
        <v>2060</v>
      </c>
      <c r="I977" t="str">
        <f>VLOOKUP(B977,Customers!A:G,7,FALSE)</f>
        <v>Individual</v>
      </c>
      <c r="Q977" t="str">
        <f>IF(COUNTIF(Customers!$A$2:$A$1001,B977)&gt;0,"Valid","Invalid")</f>
        <v>Valid</v>
      </c>
      <c r="R977" t="str">
        <f>IF(COUNTIF(Branches!$A$2:$A$11,F977)&gt;0,"Valid","Invalid")</f>
        <v>Valid</v>
      </c>
    </row>
    <row r="978" spans="1:18" x14ac:dyDescent="0.25">
      <c r="A978" t="s">
        <v>3049</v>
      </c>
      <c r="B978" t="s">
        <v>774</v>
      </c>
      <c r="C978" s="8">
        <v>46180</v>
      </c>
      <c r="D978" t="s">
        <v>2065</v>
      </c>
      <c r="E978" t="s">
        <v>2063</v>
      </c>
      <c r="F978" t="s">
        <v>29</v>
      </c>
      <c r="G978">
        <v>2076.17</v>
      </c>
      <c r="H978" t="s">
        <v>2060</v>
      </c>
      <c r="I978" t="str">
        <f>VLOOKUP(B978,Customers!A:G,7,FALSE)</f>
        <v>Individual</v>
      </c>
      <c r="Q978" t="str">
        <f>IF(COUNTIF(Customers!$A$2:$A$1001,B978)&gt;0,"Valid","Invalid")</f>
        <v>Valid</v>
      </c>
      <c r="R978" t="str">
        <f>IF(COUNTIF(Branches!$A$2:$A$11,F978)&gt;0,"Valid","Invalid")</f>
        <v>Valid</v>
      </c>
    </row>
    <row r="979" spans="1:18" x14ac:dyDescent="0.25">
      <c r="A979" t="s">
        <v>3050</v>
      </c>
      <c r="B979" t="s">
        <v>964</v>
      </c>
      <c r="C979" s="8">
        <v>46029</v>
      </c>
      <c r="D979" t="s">
        <v>2062</v>
      </c>
      <c r="E979" t="s">
        <v>2076</v>
      </c>
      <c r="F979" t="s">
        <v>45</v>
      </c>
      <c r="G979">
        <v>1694.87</v>
      </c>
      <c r="H979" t="s">
        <v>2060</v>
      </c>
      <c r="I979" t="str">
        <f>VLOOKUP(B979,Customers!A:G,7,FALSE)</f>
        <v>Individual</v>
      </c>
      <c r="Q979" t="str">
        <f>IF(COUNTIF(Customers!$A$2:$A$1001,B979)&gt;0,"Valid","Invalid")</f>
        <v>Valid</v>
      </c>
      <c r="R979" t="str">
        <f>IF(COUNTIF(Branches!$A$2:$A$11,F979)&gt;0,"Valid","Invalid")</f>
        <v>Valid</v>
      </c>
    </row>
    <row r="980" spans="1:18" x14ac:dyDescent="0.25">
      <c r="A980" t="s">
        <v>3051</v>
      </c>
      <c r="B980" t="s">
        <v>302</v>
      </c>
      <c r="C980" s="8">
        <v>46172</v>
      </c>
      <c r="D980" t="s">
        <v>2067</v>
      </c>
      <c r="E980" t="s">
        <v>2063</v>
      </c>
      <c r="F980" t="s">
        <v>29</v>
      </c>
      <c r="G980">
        <v>361.94</v>
      </c>
      <c r="H980" t="s">
        <v>2060</v>
      </c>
      <c r="I980" t="str">
        <f>VLOOKUP(B980,Customers!A:G,7,FALSE)</f>
        <v>Individual</v>
      </c>
      <c r="Q980" t="str">
        <f>IF(COUNTIF(Customers!$A$2:$A$1001,B980)&gt;0,"Valid","Invalid")</f>
        <v>Valid</v>
      </c>
      <c r="R980" t="str">
        <f>IF(COUNTIF(Branches!$A$2:$A$11,F980)&gt;0,"Valid","Invalid")</f>
        <v>Valid</v>
      </c>
    </row>
    <row r="981" spans="1:18" x14ac:dyDescent="0.25">
      <c r="A981" t="s">
        <v>3052</v>
      </c>
      <c r="B981" t="s">
        <v>699</v>
      </c>
      <c r="C981" s="8">
        <v>46143</v>
      </c>
      <c r="D981" t="s">
        <v>2067</v>
      </c>
      <c r="E981" t="s">
        <v>2063</v>
      </c>
      <c r="F981" t="s">
        <v>27</v>
      </c>
      <c r="G981">
        <v>2521.4499999999998</v>
      </c>
      <c r="H981" t="s">
        <v>2060</v>
      </c>
      <c r="I981" t="str">
        <f>VLOOKUP(B981,Customers!A:G,7,FALSE)</f>
        <v>SME</v>
      </c>
      <c r="Q981" t="str">
        <f>IF(COUNTIF(Customers!$A$2:$A$1001,B981)&gt;0,"Valid","Invalid")</f>
        <v>Valid</v>
      </c>
      <c r="R981" t="str">
        <f>IF(COUNTIF(Branches!$A$2:$A$11,F981)&gt;0,"Valid","Invalid")</f>
        <v>Valid</v>
      </c>
    </row>
    <row r="982" spans="1:18" x14ac:dyDescent="0.25">
      <c r="A982" t="s">
        <v>3053</v>
      </c>
      <c r="B982" t="s">
        <v>828</v>
      </c>
      <c r="C982" s="8">
        <v>46200</v>
      </c>
      <c r="D982" t="s">
        <v>2067</v>
      </c>
      <c r="E982" t="s">
        <v>2063</v>
      </c>
      <c r="F982" t="s">
        <v>21</v>
      </c>
      <c r="G982">
        <v>1745.9</v>
      </c>
      <c r="H982" t="s">
        <v>2060</v>
      </c>
      <c r="I982" t="str">
        <f>VLOOKUP(B982,Customers!A:G,7,FALSE)</f>
        <v>Individual</v>
      </c>
      <c r="Q982" t="str">
        <f>IF(COUNTIF(Customers!$A$2:$A$1001,B982)&gt;0,"Valid","Invalid")</f>
        <v>Valid</v>
      </c>
      <c r="R982" t="str">
        <f>IF(COUNTIF(Branches!$A$2:$A$11,F982)&gt;0,"Valid","Invalid")</f>
        <v>Valid</v>
      </c>
    </row>
    <row r="983" spans="1:18" x14ac:dyDescent="0.25">
      <c r="A983" t="s">
        <v>3054</v>
      </c>
      <c r="B983" t="s">
        <v>312</v>
      </c>
      <c r="C983" s="8">
        <v>46067</v>
      </c>
      <c r="D983" t="s">
        <v>2062</v>
      </c>
      <c r="E983" t="s">
        <v>2063</v>
      </c>
      <c r="F983" t="s">
        <v>47</v>
      </c>
      <c r="G983">
        <v>1621.07</v>
      </c>
      <c r="H983" t="s">
        <v>2060</v>
      </c>
      <c r="I983" t="str">
        <f>VLOOKUP(B983,Customers!A:G,7,FALSE)</f>
        <v>SME</v>
      </c>
      <c r="Q983" t="str">
        <f>IF(COUNTIF(Customers!$A$2:$A$1001,B983)&gt;0,"Valid","Invalid")</f>
        <v>Valid</v>
      </c>
      <c r="R983" t="str">
        <f>IF(COUNTIF(Branches!$A$2:$A$11,F983)&gt;0,"Valid","Invalid")</f>
        <v>Valid</v>
      </c>
    </row>
    <row r="984" spans="1:18" x14ac:dyDescent="0.25">
      <c r="A984" t="s">
        <v>3055</v>
      </c>
      <c r="B984" t="s">
        <v>744</v>
      </c>
      <c r="C984" s="8">
        <v>46096</v>
      </c>
      <c r="D984" t="s">
        <v>2062</v>
      </c>
      <c r="E984" t="s">
        <v>2059</v>
      </c>
      <c r="F984" t="s">
        <v>29</v>
      </c>
      <c r="G984">
        <v>7702.7</v>
      </c>
      <c r="H984" t="s">
        <v>2060</v>
      </c>
      <c r="I984" t="str">
        <f>VLOOKUP(B984,Customers!A:G,7,FALSE)</f>
        <v>Individual</v>
      </c>
      <c r="Q984" t="str">
        <f>IF(COUNTIF(Customers!$A$2:$A$1001,B984)&gt;0,"Valid","Invalid")</f>
        <v>Valid</v>
      </c>
      <c r="R984" t="str">
        <f>IF(COUNTIF(Branches!$A$2:$A$11,F984)&gt;0,"Valid","Invalid")</f>
        <v>Valid</v>
      </c>
    </row>
    <row r="985" spans="1:18" x14ac:dyDescent="0.25">
      <c r="A985" t="s">
        <v>3056</v>
      </c>
      <c r="B985" t="s">
        <v>982</v>
      </c>
      <c r="C985" s="8">
        <v>46142</v>
      </c>
      <c r="D985" t="s">
        <v>2058</v>
      </c>
      <c r="E985" t="s">
        <v>2059</v>
      </c>
      <c r="F985" t="s">
        <v>47</v>
      </c>
      <c r="G985">
        <v>6272.68</v>
      </c>
      <c r="H985" t="s">
        <v>2060</v>
      </c>
      <c r="I985" t="str">
        <f>VLOOKUP(B985,Customers!A:G,7,FALSE)</f>
        <v>Individual</v>
      </c>
      <c r="Q985" t="str">
        <f>IF(COUNTIF(Customers!$A$2:$A$1001,B985)&gt;0,"Valid","Invalid")</f>
        <v>Valid</v>
      </c>
      <c r="R985" t="str">
        <f>IF(COUNTIF(Branches!$A$2:$A$11,F985)&gt;0,"Valid","Invalid")</f>
        <v>Valid</v>
      </c>
    </row>
    <row r="986" spans="1:18" x14ac:dyDescent="0.25">
      <c r="A986" t="s">
        <v>3057</v>
      </c>
      <c r="B986" t="s">
        <v>208</v>
      </c>
      <c r="C986" s="8">
        <v>46094</v>
      </c>
      <c r="D986" t="s">
        <v>2067</v>
      </c>
      <c r="E986" t="s">
        <v>2063</v>
      </c>
      <c r="F986" t="s">
        <v>35</v>
      </c>
      <c r="G986">
        <v>1619.57</v>
      </c>
      <c r="H986" t="s">
        <v>2060</v>
      </c>
      <c r="I986" t="str">
        <f>VLOOKUP(B986,Customers!A:G,7,FALSE)</f>
        <v>Individual</v>
      </c>
      <c r="Q986" t="str">
        <f>IF(COUNTIF(Customers!$A$2:$A$1001,B986)&gt;0,"Valid","Invalid")</f>
        <v>Valid</v>
      </c>
      <c r="R986" t="str">
        <f>IF(COUNTIF(Branches!$A$2:$A$11,F986)&gt;0,"Valid","Invalid")</f>
        <v>Valid</v>
      </c>
    </row>
    <row r="987" spans="1:18" x14ac:dyDescent="0.25">
      <c r="A987" t="s">
        <v>3058</v>
      </c>
      <c r="B987" t="s">
        <v>303</v>
      </c>
      <c r="C987" s="8">
        <v>46241</v>
      </c>
      <c r="D987" t="s">
        <v>2062</v>
      </c>
      <c r="E987" t="s">
        <v>2073</v>
      </c>
      <c r="F987" t="s">
        <v>39</v>
      </c>
      <c r="G987">
        <v>1429.67</v>
      </c>
      <c r="H987" t="s">
        <v>2060</v>
      </c>
      <c r="I987" t="str">
        <f>VLOOKUP(B987,Customers!A:G,7,FALSE)</f>
        <v>SME</v>
      </c>
      <c r="Q987" t="str">
        <f>IF(COUNTIF(Customers!$A$2:$A$1001,B987)&gt;0,"Valid","Invalid")</f>
        <v>Valid</v>
      </c>
      <c r="R987" t="str">
        <f>IF(COUNTIF(Branches!$A$2:$A$11,F987)&gt;0,"Valid","Invalid")</f>
        <v>Valid</v>
      </c>
    </row>
    <row r="988" spans="1:18" x14ac:dyDescent="0.25">
      <c r="A988" t="s">
        <v>3059</v>
      </c>
      <c r="B988" t="s">
        <v>1001</v>
      </c>
      <c r="C988" s="8">
        <v>46160</v>
      </c>
      <c r="D988" t="s">
        <v>2058</v>
      </c>
      <c r="E988" t="s">
        <v>2063</v>
      </c>
      <c r="F988" t="s">
        <v>47</v>
      </c>
      <c r="G988">
        <v>2396.2399999999998</v>
      </c>
      <c r="H988" t="s">
        <v>2060</v>
      </c>
      <c r="I988" t="str">
        <f>VLOOKUP(B988,Customers!A:G,7,FALSE)</f>
        <v>Individual</v>
      </c>
      <c r="Q988" t="str">
        <f>IF(COUNTIF(Customers!$A$2:$A$1001,B988)&gt;0,"Valid","Invalid")</f>
        <v>Valid</v>
      </c>
      <c r="R988" t="str">
        <f>IF(COUNTIF(Branches!$A$2:$A$11,F988)&gt;0,"Valid","Invalid")</f>
        <v>Valid</v>
      </c>
    </row>
    <row r="989" spans="1:18" x14ac:dyDescent="0.25">
      <c r="A989" t="s">
        <v>3060</v>
      </c>
      <c r="B989" t="s">
        <v>860</v>
      </c>
      <c r="C989" s="8">
        <v>46164</v>
      </c>
      <c r="D989" t="s">
        <v>2065</v>
      </c>
      <c r="E989" t="s">
        <v>2059</v>
      </c>
      <c r="F989" t="s">
        <v>21</v>
      </c>
      <c r="G989">
        <v>453.07</v>
      </c>
      <c r="H989" t="s">
        <v>2060</v>
      </c>
      <c r="I989" t="str">
        <f>VLOOKUP(B989,Customers!A:G,7,FALSE)</f>
        <v>Individual</v>
      </c>
      <c r="Q989" t="str">
        <f>IF(COUNTIF(Customers!$A$2:$A$1001,B989)&gt;0,"Valid","Invalid")</f>
        <v>Valid</v>
      </c>
      <c r="R989" t="str">
        <f>IF(COUNTIF(Branches!$A$2:$A$11,F989)&gt;0,"Valid","Invalid")</f>
        <v>Valid</v>
      </c>
    </row>
    <row r="990" spans="1:18" x14ac:dyDescent="0.25">
      <c r="A990" t="s">
        <v>3061</v>
      </c>
      <c r="B990" t="s">
        <v>60</v>
      </c>
      <c r="C990" s="8">
        <v>46068</v>
      </c>
      <c r="D990" t="s">
        <v>2065</v>
      </c>
      <c r="E990" t="s">
        <v>2063</v>
      </c>
      <c r="F990" t="s">
        <v>39</v>
      </c>
      <c r="G990">
        <v>459.51</v>
      </c>
      <c r="H990" t="s">
        <v>2060</v>
      </c>
      <c r="I990" t="str">
        <f>VLOOKUP(B990,Customers!A:G,7,FALSE)</f>
        <v>Student</v>
      </c>
      <c r="Q990" t="str">
        <f>IF(COUNTIF(Customers!$A$2:$A$1001,B990)&gt;0,"Valid","Invalid")</f>
        <v>Valid</v>
      </c>
      <c r="R990" t="str">
        <f>IF(COUNTIF(Branches!$A$2:$A$11,F990)&gt;0,"Valid","Invalid")</f>
        <v>Valid</v>
      </c>
    </row>
    <row r="991" spans="1:18" x14ac:dyDescent="0.25">
      <c r="A991" t="s">
        <v>3062</v>
      </c>
      <c r="B991" t="s">
        <v>507</v>
      </c>
      <c r="C991" s="8">
        <v>46145</v>
      </c>
      <c r="D991" t="s">
        <v>2065</v>
      </c>
      <c r="E991" t="s">
        <v>2063</v>
      </c>
      <c r="F991" t="s">
        <v>16</v>
      </c>
      <c r="G991">
        <v>1593.08</v>
      </c>
      <c r="H991" t="s">
        <v>2060</v>
      </c>
      <c r="I991" t="str">
        <f>VLOOKUP(B991,Customers!A:G,7,FALSE)</f>
        <v>Individual</v>
      </c>
      <c r="Q991" t="str">
        <f>IF(COUNTIF(Customers!$A$2:$A$1001,B991)&gt;0,"Valid","Invalid")</f>
        <v>Valid</v>
      </c>
      <c r="R991" t="str">
        <f>IF(COUNTIF(Branches!$A$2:$A$11,F991)&gt;0,"Valid","Invalid")</f>
        <v>Valid</v>
      </c>
    </row>
    <row r="992" spans="1:18" x14ac:dyDescent="0.25">
      <c r="A992" t="s">
        <v>3063</v>
      </c>
      <c r="B992" t="s">
        <v>900</v>
      </c>
      <c r="C992" s="8">
        <v>46140</v>
      </c>
      <c r="D992" t="s">
        <v>2067</v>
      </c>
      <c r="E992" t="s">
        <v>2063</v>
      </c>
      <c r="F992" t="s">
        <v>11</v>
      </c>
      <c r="G992">
        <v>344.99</v>
      </c>
      <c r="H992" t="s">
        <v>2060</v>
      </c>
      <c r="I992" t="str">
        <f>VLOOKUP(B992,Customers!A:G,7,FALSE)</f>
        <v>SME</v>
      </c>
      <c r="Q992" t="str">
        <f>IF(COUNTIF(Customers!$A$2:$A$1001,B992)&gt;0,"Valid","Invalid")</f>
        <v>Valid</v>
      </c>
      <c r="R992" t="str">
        <f>IF(COUNTIF(Branches!$A$2:$A$11,F992)&gt;0,"Valid","Invalid")</f>
        <v>Valid</v>
      </c>
    </row>
    <row r="993" spans="1:18" x14ac:dyDescent="0.25">
      <c r="A993" t="s">
        <v>3064</v>
      </c>
      <c r="B993" t="s">
        <v>514</v>
      </c>
      <c r="C993" s="8">
        <v>46097</v>
      </c>
      <c r="D993" t="s">
        <v>2062</v>
      </c>
      <c r="E993" t="s">
        <v>2059</v>
      </c>
      <c r="F993" t="s">
        <v>35</v>
      </c>
      <c r="G993">
        <v>1469.64</v>
      </c>
      <c r="H993" t="s">
        <v>2060</v>
      </c>
      <c r="I993" t="str">
        <f>VLOOKUP(B993,Customers!A:G,7,FALSE)</f>
        <v>Student</v>
      </c>
      <c r="Q993" t="str">
        <f>IF(COUNTIF(Customers!$A$2:$A$1001,B993)&gt;0,"Valid","Invalid")</f>
        <v>Valid</v>
      </c>
      <c r="R993" t="str">
        <f>IF(COUNTIF(Branches!$A$2:$A$11,F993)&gt;0,"Valid","Invalid")</f>
        <v>Valid</v>
      </c>
    </row>
    <row r="994" spans="1:18" x14ac:dyDescent="0.25">
      <c r="A994" t="s">
        <v>3065</v>
      </c>
      <c r="B994" t="s">
        <v>394</v>
      </c>
      <c r="C994" s="8">
        <v>46028</v>
      </c>
      <c r="D994" t="s">
        <v>2067</v>
      </c>
      <c r="E994" t="s">
        <v>2068</v>
      </c>
      <c r="F994" t="s">
        <v>53</v>
      </c>
      <c r="G994">
        <v>950.35</v>
      </c>
      <c r="H994" t="s">
        <v>2060</v>
      </c>
      <c r="I994" t="str">
        <f>VLOOKUP(B994,Customers!A:G,7,FALSE)</f>
        <v>Student</v>
      </c>
      <c r="Q994" t="str">
        <f>IF(COUNTIF(Customers!$A$2:$A$1001,B994)&gt;0,"Valid","Invalid")</f>
        <v>Valid</v>
      </c>
      <c r="R994" t="str">
        <f>IF(COUNTIF(Branches!$A$2:$A$11,F994)&gt;0,"Valid","Invalid")</f>
        <v>Valid</v>
      </c>
    </row>
    <row r="995" spans="1:18" x14ac:dyDescent="0.25">
      <c r="A995" t="s">
        <v>3066</v>
      </c>
      <c r="B995" t="s">
        <v>60</v>
      </c>
      <c r="C995" s="8">
        <v>46043</v>
      </c>
      <c r="D995" t="s">
        <v>2067</v>
      </c>
      <c r="E995" t="s">
        <v>2063</v>
      </c>
      <c r="F995" t="s">
        <v>35</v>
      </c>
      <c r="G995">
        <v>345.09</v>
      </c>
      <c r="H995" t="s">
        <v>2060</v>
      </c>
      <c r="I995" t="str">
        <f>VLOOKUP(B995,Customers!A:G,7,FALSE)</f>
        <v>Student</v>
      </c>
      <c r="Q995" t="str">
        <f>IF(COUNTIF(Customers!$A$2:$A$1001,B995)&gt;0,"Valid","Invalid")</f>
        <v>Valid</v>
      </c>
      <c r="R995" t="str">
        <f>IF(COUNTIF(Branches!$A$2:$A$11,F995)&gt;0,"Valid","Invalid")</f>
        <v>Valid</v>
      </c>
    </row>
    <row r="996" spans="1:18" x14ac:dyDescent="0.25">
      <c r="A996" t="s">
        <v>3067</v>
      </c>
      <c r="B996" t="s">
        <v>68</v>
      </c>
      <c r="C996" s="8">
        <v>46212</v>
      </c>
      <c r="D996" t="s">
        <v>2062</v>
      </c>
      <c r="E996" t="s">
        <v>2059</v>
      </c>
      <c r="F996" t="s">
        <v>29</v>
      </c>
      <c r="G996">
        <v>833.69</v>
      </c>
      <c r="H996" t="s">
        <v>2060</v>
      </c>
      <c r="I996" t="str">
        <f>VLOOKUP(B996,Customers!A:G,7,FALSE)</f>
        <v>Student</v>
      </c>
      <c r="Q996" t="str">
        <f>IF(COUNTIF(Customers!$A$2:$A$1001,B996)&gt;0,"Valid","Invalid")</f>
        <v>Valid</v>
      </c>
      <c r="R996" t="str">
        <f>IF(COUNTIF(Branches!$A$2:$A$11,F996)&gt;0,"Valid","Invalid")</f>
        <v>Valid</v>
      </c>
    </row>
    <row r="997" spans="1:18" x14ac:dyDescent="0.25">
      <c r="A997" t="s">
        <v>3068</v>
      </c>
      <c r="B997" t="s">
        <v>302</v>
      </c>
      <c r="C997" s="8">
        <v>46247</v>
      </c>
      <c r="D997" t="s">
        <v>2062</v>
      </c>
      <c r="E997" t="s">
        <v>2063</v>
      </c>
      <c r="F997" t="s">
        <v>47</v>
      </c>
      <c r="G997">
        <v>2996.14</v>
      </c>
      <c r="H997" t="s">
        <v>2060</v>
      </c>
      <c r="I997" t="str">
        <f>VLOOKUP(B997,Customers!A:G,7,FALSE)</f>
        <v>Individual</v>
      </c>
      <c r="Q997" t="str">
        <f>IF(COUNTIF(Customers!$A$2:$A$1001,B997)&gt;0,"Valid","Invalid")</f>
        <v>Valid</v>
      </c>
      <c r="R997" t="str">
        <f>IF(COUNTIF(Branches!$A$2:$A$11,F997)&gt;0,"Valid","Invalid")</f>
        <v>Valid</v>
      </c>
    </row>
    <row r="998" spans="1:18" x14ac:dyDescent="0.25">
      <c r="A998" t="s">
        <v>3069</v>
      </c>
      <c r="B998" t="s">
        <v>174</v>
      </c>
      <c r="C998" s="8">
        <v>46169</v>
      </c>
      <c r="D998" t="s">
        <v>2058</v>
      </c>
      <c r="E998" t="s">
        <v>2068</v>
      </c>
      <c r="F998" t="s">
        <v>45</v>
      </c>
      <c r="G998">
        <v>882.16</v>
      </c>
      <c r="H998" t="s">
        <v>2060</v>
      </c>
      <c r="I998" t="str">
        <f>VLOOKUP(B998,Customers!A:G,7,FALSE)</f>
        <v>Corporate</v>
      </c>
      <c r="Q998" t="str">
        <f>IF(COUNTIF(Customers!$A$2:$A$1001,B998)&gt;0,"Valid","Invalid")</f>
        <v>Valid</v>
      </c>
      <c r="R998" t="str">
        <f>IF(COUNTIF(Branches!$A$2:$A$11,F998)&gt;0,"Valid","Invalid")</f>
        <v>Valid</v>
      </c>
    </row>
    <row r="999" spans="1:18" x14ac:dyDescent="0.25">
      <c r="A999" t="s">
        <v>3070</v>
      </c>
      <c r="B999" t="s">
        <v>854</v>
      </c>
      <c r="C999" s="8">
        <v>46125</v>
      </c>
      <c r="D999" t="s">
        <v>2065</v>
      </c>
      <c r="E999" t="s">
        <v>2068</v>
      </c>
      <c r="F999" t="s">
        <v>45</v>
      </c>
      <c r="G999">
        <v>885.85</v>
      </c>
      <c r="H999" t="s">
        <v>2060</v>
      </c>
      <c r="I999" t="str">
        <f>VLOOKUP(B999,Customers!A:G,7,FALSE)</f>
        <v>Individual</v>
      </c>
      <c r="Q999" t="str">
        <f>IF(COUNTIF(Customers!$A$2:$A$1001,B999)&gt;0,"Valid","Invalid")</f>
        <v>Valid</v>
      </c>
      <c r="R999" t="str">
        <f>IF(COUNTIF(Branches!$A$2:$A$11,F999)&gt;0,"Valid","Invalid")</f>
        <v>Valid</v>
      </c>
    </row>
    <row r="1000" spans="1:18" x14ac:dyDescent="0.25">
      <c r="A1000" t="s">
        <v>3071</v>
      </c>
      <c r="B1000" t="s">
        <v>733</v>
      </c>
      <c r="C1000" s="8">
        <v>46110</v>
      </c>
      <c r="D1000" t="s">
        <v>2065</v>
      </c>
      <c r="E1000" t="s">
        <v>2063</v>
      </c>
      <c r="F1000" t="s">
        <v>11</v>
      </c>
      <c r="G1000">
        <v>1128.8800000000001</v>
      </c>
      <c r="H1000" t="s">
        <v>2060</v>
      </c>
      <c r="I1000" t="str">
        <f>VLOOKUP(B1000,Customers!A:G,7,FALSE)</f>
        <v>Individual</v>
      </c>
      <c r="Q1000" t="str">
        <f>IF(COUNTIF(Customers!$A$2:$A$1001,B1000)&gt;0,"Valid","Invalid")</f>
        <v>Valid</v>
      </c>
      <c r="R1000" t="str">
        <f>IF(COUNTIF(Branches!$A$2:$A$11,F1000)&gt;0,"Valid","Invalid")</f>
        <v>Valid</v>
      </c>
    </row>
    <row r="1001" spans="1:18" x14ac:dyDescent="0.25">
      <c r="A1001" t="s">
        <v>3072</v>
      </c>
      <c r="B1001" t="s">
        <v>913</v>
      </c>
      <c r="C1001" s="8">
        <v>46232</v>
      </c>
      <c r="D1001" t="s">
        <v>2065</v>
      </c>
      <c r="E1001" t="s">
        <v>2059</v>
      </c>
      <c r="F1001" t="s">
        <v>27</v>
      </c>
      <c r="G1001">
        <v>1285.8699999999999</v>
      </c>
      <c r="H1001" t="s">
        <v>2060</v>
      </c>
      <c r="I1001" t="str">
        <f>VLOOKUP(B1001,Customers!A:G,7,FALSE)</f>
        <v>Corporate</v>
      </c>
      <c r="Q1001" t="str">
        <f>IF(COUNTIF(Customers!$A$2:$A$1001,B1001)&gt;0,"Valid","Invalid")</f>
        <v>Valid</v>
      </c>
      <c r="R1001" t="str">
        <f>IF(COUNTIF(Branches!$A$2:$A$11,F1001)&gt;0,"Valid","Invalid")</f>
        <v>Valid</v>
      </c>
    </row>
    <row r="1002" spans="1:18" x14ac:dyDescent="0.25">
      <c r="A1002" t="s">
        <v>3073</v>
      </c>
      <c r="B1002" t="s">
        <v>792</v>
      </c>
      <c r="C1002" s="8">
        <v>46121</v>
      </c>
      <c r="D1002" t="s">
        <v>2065</v>
      </c>
      <c r="E1002" t="s">
        <v>2073</v>
      </c>
      <c r="F1002" t="s">
        <v>11</v>
      </c>
      <c r="G1002">
        <v>583.57000000000005</v>
      </c>
      <c r="H1002" t="s">
        <v>2060</v>
      </c>
      <c r="I1002" t="str">
        <f>VLOOKUP(B1002,Customers!A:G,7,FALSE)</f>
        <v>SME</v>
      </c>
      <c r="Q1002" t="str">
        <f>IF(COUNTIF(Customers!$A$2:$A$1001,B1002)&gt;0,"Valid","Invalid")</f>
        <v>Valid</v>
      </c>
      <c r="R1002" t="str">
        <f>IF(COUNTIF(Branches!$A$2:$A$11,F1002)&gt;0,"Valid","Invalid")</f>
        <v>Valid</v>
      </c>
    </row>
    <row r="1003" spans="1:18" x14ac:dyDescent="0.25">
      <c r="A1003" t="s">
        <v>3074</v>
      </c>
      <c r="B1003" t="s">
        <v>604</v>
      </c>
      <c r="C1003" s="8">
        <v>46084</v>
      </c>
      <c r="D1003" t="s">
        <v>2067</v>
      </c>
      <c r="E1003" t="s">
        <v>2059</v>
      </c>
      <c r="F1003" t="s">
        <v>29</v>
      </c>
      <c r="G1003">
        <v>1153.1600000000001</v>
      </c>
      <c r="H1003" t="s">
        <v>2060</v>
      </c>
      <c r="I1003" t="str">
        <f>VLOOKUP(B1003,Customers!A:G,7,FALSE)</f>
        <v>Student</v>
      </c>
      <c r="Q1003" t="str">
        <f>IF(COUNTIF(Customers!$A$2:$A$1001,B1003)&gt;0,"Valid","Invalid")</f>
        <v>Valid</v>
      </c>
      <c r="R1003" t="str">
        <f>IF(COUNTIF(Branches!$A$2:$A$11,F1003)&gt;0,"Valid","Invalid")</f>
        <v>Valid</v>
      </c>
    </row>
    <row r="1004" spans="1:18" x14ac:dyDescent="0.25">
      <c r="A1004" t="s">
        <v>3075</v>
      </c>
      <c r="B1004" t="s">
        <v>500</v>
      </c>
      <c r="C1004" s="8">
        <v>46129</v>
      </c>
      <c r="D1004" t="s">
        <v>2058</v>
      </c>
      <c r="E1004" t="s">
        <v>2059</v>
      </c>
      <c r="F1004" t="s">
        <v>29</v>
      </c>
      <c r="G1004">
        <v>284.56</v>
      </c>
      <c r="H1004" t="s">
        <v>2060</v>
      </c>
      <c r="I1004" t="str">
        <f>VLOOKUP(B1004,Customers!A:G,7,FALSE)</f>
        <v>Student</v>
      </c>
      <c r="Q1004" t="str">
        <f>IF(COUNTIF(Customers!$A$2:$A$1001,B1004)&gt;0,"Valid","Invalid")</f>
        <v>Valid</v>
      </c>
      <c r="R1004" t="str">
        <f>IF(COUNTIF(Branches!$A$2:$A$11,F1004)&gt;0,"Valid","Invalid")</f>
        <v>Valid</v>
      </c>
    </row>
    <row r="1005" spans="1:18" x14ac:dyDescent="0.25">
      <c r="A1005" t="s">
        <v>3076</v>
      </c>
      <c r="B1005" t="s">
        <v>204</v>
      </c>
      <c r="C1005" s="8">
        <v>46251</v>
      </c>
      <c r="D1005" t="s">
        <v>2065</v>
      </c>
      <c r="E1005" t="s">
        <v>2059</v>
      </c>
      <c r="F1005" t="s">
        <v>29</v>
      </c>
      <c r="G1005">
        <v>365.38</v>
      </c>
      <c r="H1005" t="s">
        <v>2060</v>
      </c>
      <c r="I1005" t="str">
        <f>VLOOKUP(B1005,Customers!A:G,7,FALSE)</f>
        <v>Individual</v>
      </c>
      <c r="Q1005" t="str">
        <f>IF(COUNTIF(Customers!$A$2:$A$1001,B1005)&gt;0,"Valid","Invalid")</f>
        <v>Valid</v>
      </c>
      <c r="R1005" t="str">
        <f>IF(COUNTIF(Branches!$A$2:$A$11,F1005)&gt;0,"Valid","Invalid")</f>
        <v>Valid</v>
      </c>
    </row>
    <row r="1006" spans="1:18" x14ac:dyDescent="0.25">
      <c r="A1006" t="s">
        <v>3077</v>
      </c>
      <c r="B1006" t="s">
        <v>669</v>
      </c>
      <c r="C1006" s="8">
        <v>46105</v>
      </c>
      <c r="D1006" t="s">
        <v>2065</v>
      </c>
      <c r="E1006" t="s">
        <v>2076</v>
      </c>
      <c r="F1006" t="s">
        <v>27</v>
      </c>
      <c r="G1006">
        <v>415.24</v>
      </c>
      <c r="H1006" t="s">
        <v>2060</v>
      </c>
      <c r="I1006" t="str">
        <f>VLOOKUP(B1006,Customers!A:G,7,FALSE)</f>
        <v>SME</v>
      </c>
      <c r="Q1006" t="str">
        <f>IF(COUNTIF(Customers!$A$2:$A$1001,B1006)&gt;0,"Valid","Invalid")</f>
        <v>Valid</v>
      </c>
      <c r="R1006" t="str">
        <f>IF(COUNTIF(Branches!$A$2:$A$11,F1006)&gt;0,"Valid","Invalid")</f>
        <v>Valid</v>
      </c>
    </row>
    <row r="1007" spans="1:18" x14ac:dyDescent="0.25">
      <c r="A1007" t="s">
        <v>3078</v>
      </c>
      <c r="B1007" t="s">
        <v>693</v>
      </c>
      <c r="C1007" s="8">
        <v>46203</v>
      </c>
      <c r="D1007" t="s">
        <v>2065</v>
      </c>
      <c r="E1007" t="s">
        <v>2073</v>
      </c>
      <c r="F1007" t="s">
        <v>47</v>
      </c>
      <c r="G1007">
        <v>1299.54</v>
      </c>
      <c r="H1007" t="s">
        <v>2060</v>
      </c>
      <c r="I1007" t="str">
        <f>VLOOKUP(B1007,Customers!A:G,7,FALSE)</f>
        <v>Individual</v>
      </c>
      <c r="Q1007" t="str">
        <f>IF(COUNTIF(Customers!$A$2:$A$1001,B1007)&gt;0,"Valid","Invalid")</f>
        <v>Valid</v>
      </c>
      <c r="R1007" t="str">
        <f>IF(COUNTIF(Branches!$A$2:$A$11,F1007)&gt;0,"Valid","Invalid")</f>
        <v>Valid</v>
      </c>
    </row>
    <row r="1008" spans="1:18" x14ac:dyDescent="0.25">
      <c r="A1008" t="s">
        <v>3079</v>
      </c>
      <c r="B1008" t="s">
        <v>117</v>
      </c>
      <c r="C1008" s="8">
        <v>46174</v>
      </c>
      <c r="D1008" t="s">
        <v>2058</v>
      </c>
      <c r="E1008" t="s">
        <v>2073</v>
      </c>
      <c r="F1008" t="s">
        <v>29</v>
      </c>
      <c r="G1008">
        <v>953.59</v>
      </c>
      <c r="H1008" t="s">
        <v>2060</v>
      </c>
      <c r="I1008" t="str">
        <f>VLOOKUP(B1008,Customers!A:G,7,FALSE)</f>
        <v>Student</v>
      </c>
      <c r="Q1008" t="str">
        <f>IF(COUNTIF(Customers!$A$2:$A$1001,B1008)&gt;0,"Valid","Invalid")</f>
        <v>Valid</v>
      </c>
      <c r="R1008" t="str">
        <f>IF(COUNTIF(Branches!$A$2:$A$11,F1008)&gt;0,"Valid","Invalid")</f>
        <v>Valid</v>
      </c>
    </row>
    <row r="1009" spans="1:18" x14ac:dyDescent="0.25">
      <c r="A1009" t="s">
        <v>3080</v>
      </c>
      <c r="B1009" t="s">
        <v>795</v>
      </c>
      <c r="C1009" s="8">
        <v>46078</v>
      </c>
      <c r="D1009" t="s">
        <v>2058</v>
      </c>
      <c r="E1009" t="s">
        <v>2068</v>
      </c>
      <c r="F1009" t="s">
        <v>16</v>
      </c>
      <c r="G1009">
        <v>710.27</v>
      </c>
      <c r="H1009" t="s">
        <v>2060</v>
      </c>
      <c r="I1009" t="str">
        <f>VLOOKUP(B1009,Customers!A:G,7,FALSE)</f>
        <v>Individual</v>
      </c>
      <c r="Q1009" t="str">
        <f>IF(COUNTIF(Customers!$A$2:$A$1001,B1009)&gt;0,"Valid","Invalid")</f>
        <v>Valid</v>
      </c>
      <c r="R1009" t="str">
        <f>IF(COUNTIF(Branches!$A$2:$A$11,F1009)&gt;0,"Valid","Invalid")</f>
        <v>Valid</v>
      </c>
    </row>
    <row r="1010" spans="1:18" x14ac:dyDescent="0.25">
      <c r="A1010" t="s">
        <v>3081</v>
      </c>
      <c r="B1010" t="s">
        <v>952</v>
      </c>
      <c r="C1010" s="8">
        <v>46212</v>
      </c>
      <c r="D1010" t="s">
        <v>2058</v>
      </c>
      <c r="E1010" t="s">
        <v>2059</v>
      </c>
      <c r="F1010" t="s">
        <v>29</v>
      </c>
      <c r="G1010">
        <v>1620.95</v>
      </c>
      <c r="H1010" t="s">
        <v>2060</v>
      </c>
      <c r="I1010" t="str">
        <f>VLOOKUP(B1010,Customers!A:G,7,FALSE)</f>
        <v>SME</v>
      </c>
      <c r="Q1010" t="str">
        <f>IF(COUNTIF(Customers!$A$2:$A$1001,B1010)&gt;0,"Valid","Invalid")</f>
        <v>Valid</v>
      </c>
      <c r="R1010" t="str">
        <f>IF(COUNTIF(Branches!$A$2:$A$11,F1010)&gt;0,"Valid","Invalid")</f>
        <v>Valid</v>
      </c>
    </row>
    <row r="1011" spans="1:18" x14ac:dyDescent="0.25">
      <c r="A1011" t="s">
        <v>3082</v>
      </c>
      <c r="B1011" t="s">
        <v>902</v>
      </c>
      <c r="C1011" s="8">
        <v>46184</v>
      </c>
      <c r="D1011" t="s">
        <v>2065</v>
      </c>
      <c r="E1011" t="s">
        <v>2059</v>
      </c>
      <c r="F1011" t="s">
        <v>39</v>
      </c>
      <c r="G1011">
        <v>1186.6199999999999</v>
      </c>
      <c r="H1011" t="s">
        <v>2060</v>
      </c>
      <c r="I1011" t="str">
        <f>VLOOKUP(B1011,Customers!A:G,7,FALSE)</f>
        <v>SME</v>
      </c>
      <c r="Q1011" t="str">
        <f>IF(COUNTIF(Customers!$A$2:$A$1001,B1011)&gt;0,"Valid","Invalid")</f>
        <v>Valid</v>
      </c>
      <c r="R1011" t="str">
        <f>IF(COUNTIF(Branches!$A$2:$A$11,F1011)&gt;0,"Valid","Invalid")</f>
        <v>Valid</v>
      </c>
    </row>
    <row r="1012" spans="1:18" x14ac:dyDescent="0.25">
      <c r="A1012" t="s">
        <v>3083</v>
      </c>
      <c r="B1012" t="s">
        <v>908</v>
      </c>
      <c r="C1012" s="8">
        <v>46044</v>
      </c>
      <c r="D1012" t="s">
        <v>2067</v>
      </c>
      <c r="E1012" t="s">
        <v>2059</v>
      </c>
      <c r="F1012" t="s">
        <v>35</v>
      </c>
      <c r="G1012">
        <v>607.91</v>
      </c>
      <c r="H1012" t="s">
        <v>2060</v>
      </c>
      <c r="I1012" t="str">
        <f>VLOOKUP(B1012,Customers!A:G,7,FALSE)</f>
        <v>Individual</v>
      </c>
      <c r="Q1012" t="str">
        <f>IF(COUNTIF(Customers!$A$2:$A$1001,B1012)&gt;0,"Valid","Invalid")</f>
        <v>Valid</v>
      </c>
      <c r="R1012" t="str">
        <f>IF(COUNTIF(Branches!$A$2:$A$11,F1012)&gt;0,"Valid","Invalid")</f>
        <v>Valid</v>
      </c>
    </row>
    <row r="1013" spans="1:18" x14ac:dyDescent="0.25">
      <c r="A1013" t="s">
        <v>3084</v>
      </c>
      <c r="B1013" t="s">
        <v>445</v>
      </c>
      <c r="C1013" s="8">
        <v>46090</v>
      </c>
      <c r="D1013" t="s">
        <v>2065</v>
      </c>
      <c r="E1013" t="s">
        <v>2073</v>
      </c>
      <c r="F1013" t="s">
        <v>47</v>
      </c>
      <c r="G1013">
        <v>288.52</v>
      </c>
      <c r="H1013" t="s">
        <v>2060</v>
      </c>
      <c r="I1013" t="str">
        <f>VLOOKUP(B1013,Customers!A:G,7,FALSE)</f>
        <v>Student</v>
      </c>
      <c r="Q1013" t="str">
        <f>IF(COUNTIF(Customers!$A$2:$A$1001,B1013)&gt;0,"Valid","Invalid")</f>
        <v>Valid</v>
      </c>
      <c r="R1013" t="str">
        <f>IF(COUNTIF(Branches!$A$2:$A$11,F1013)&gt;0,"Valid","Invalid")</f>
        <v>Valid</v>
      </c>
    </row>
    <row r="1014" spans="1:18" x14ac:dyDescent="0.25">
      <c r="A1014" t="s">
        <v>3085</v>
      </c>
      <c r="B1014" t="s">
        <v>612</v>
      </c>
      <c r="C1014" s="8">
        <v>46207</v>
      </c>
      <c r="D1014" t="s">
        <v>2065</v>
      </c>
      <c r="E1014" t="s">
        <v>2076</v>
      </c>
      <c r="F1014" t="s">
        <v>47</v>
      </c>
      <c r="G1014">
        <v>357.91</v>
      </c>
      <c r="H1014" t="s">
        <v>2060</v>
      </c>
      <c r="I1014" t="str">
        <f>VLOOKUP(B1014,Customers!A:G,7,FALSE)</f>
        <v>SME</v>
      </c>
      <c r="Q1014" t="str">
        <f>IF(COUNTIF(Customers!$A$2:$A$1001,B1014)&gt;0,"Valid","Invalid")</f>
        <v>Valid</v>
      </c>
      <c r="R1014" t="str">
        <f>IF(COUNTIF(Branches!$A$2:$A$11,F1014)&gt;0,"Valid","Invalid")</f>
        <v>Valid</v>
      </c>
    </row>
    <row r="1015" spans="1:18" x14ac:dyDescent="0.25">
      <c r="A1015" t="s">
        <v>3086</v>
      </c>
      <c r="B1015" t="s">
        <v>81</v>
      </c>
      <c r="C1015" s="8">
        <v>46032</v>
      </c>
      <c r="D1015" t="s">
        <v>2062</v>
      </c>
      <c r="E1015" t="s">
        <v>2059</v>
      </c>
      <c r="F1015" t="s">
        <v>27</v>
      </c>
      <c r="G1015">
        <v>187.39</v>
      </c>
      <c r="H1015" t="s">
        <v>2060</v>
      </c>
      <c r="I1015" t="str">
        <f>VLOOKUP(B1015,Customers!A:G,7,FALSE)</f>
        <v>Individual</v>
      </c>
      <c r="Q1015" t="str">
        <f>IF(COUNTIF(Customers!$A$2:$A$1001,B1015)&gt;0,"Valid","Invalid")</f>
        <v>Valid</v>
      </c>
      <c r="R1015" t="str">
        <f>IF(COUNTIF(Branches!$A$2:$A$11,F1015)&gt;0,"Valid","Invalid")</f>
        <v>Valid</v>
      </c>
    </row>
    <row r="1016" spans="1:18" x14ac:dyDescent="0.25">
      <c r="A1016" t="s">
        <v>3087</v>
      </c>
      <c r="B1016" t="s">
        <v>637</v>
      </c>
      <c r="C1016" s="8">
        <v>46088</v>
      </c>
      <c r="D1016" t="s">
        <v>2070</v>
      </c>
      <c r="E1016" t="s">
        <v>2063</v>
      </c>
      <c r="F1016" t="s">
        <v>27</v>
      </c>
      <c r="G1016">
        <v>935.02</v>
      </c>
      <c r="H1016" t="s">
        <v>2060</v>
      </c>
      <c r="I1016" t="str">
        <f>VLOOKUP(B1016,Customers!A:G,7,FALSE)</f>
        <v>Individual</v>
      </c>
      <c r="Q1016" t="str">
        <f>IF(COUNTIF(Customers!$A$2:$A$1001,B1016)&gt;0,"Valid","Invalid")</f>
        <v>Valid</v>
      </c>
      <c r="R1016" t="str">
        <f>IF(COUNTIF(Branches!$A$2:$A$11,F1016)&gt;0,"Valid","Invalid")</f>
        <v>Valid</v>
      </c>
    </row>
    <row r="1017" spans="1:18" x14ac:dyDescent="0.25">
      <c r="A1017" t="s">
        <v>3088</v>
      </c>
      <c r="B1017" t="s">
        <v>649</v>
      </c>
      <c r="C1017" s="8">
        <v>46030</v>
      </c>
      <c r="D1017" t="s">
        <v>2058</v>
      </c>
      <c r="E1017" t="s">
        <v>2059</v>
      </c>
      <c r="F1017" t="s">
        <v>27</v>
      </c>
      <c r="G1017">
        <v>343.04</v>
      </c>
      <c r="H1017" t="s">
        <v>2060</v>
      </c>
      <c r="I1017" t="str">
        <f>VLOOKUP(B1017,Customers!A:G,7,FALSE)</f>
        <v>Individual</v>
      </c>
      <c r="Q1017" t="str">
        <f>IF(COUNTIF(Customers!$A$2:$A$1001,B1017)&gt;0,"Valid","Invalid")</f>
        <v>Valid</v>
      </c>
      <c r="R1017" t="str">
        <f>IF(COUNTIF(Branches!$A$2:$A$11,F1017)&gt;0,"Valid","Invalid")</f>
        <v>Valid</v>
      </c>
    </row>
    <row r="1018" spans="1:18" x14ac:dyDescent="0.25">
      <c r="A1018" t="s">
        <v>3089</v>
      </c>
      <c r="B1018" t="s">
        <v>845</v>
      </c>
      <c r="C1018" s="8">
        <v>46247</v>
      </c>
      <c r="D1018" t="s">
        <v>2062</v>
      </c>
      <c r="E1018" t="s">
        <v>2073</v>
      </c>
      <c r="F1018" t="s">
        <v>27</v>
      </c>
      <c r="G1018">
        <v>495.06</v>
      </c>
      <c r="H1018" t="s">
        <v>2060</v>
      </c>
      <c r="I1018" t="str">
        <f>VLOOKUP(B1018,Customers!A:G,7,FALSE)</f>
        <v>Individual</v>
      </c>
      <c r="Q1018" t="str">
        <f>IF(COUNTIF(Customers!$A$2:$A$1001,B1018)&gt;0,"Valid","Invalid")</f>
        <v>Valid</v>
      </c>
      <c r="R1018" t="str">
        <f>IF(COUNTIF(Branches!$A$2:$A$11,F1018)&gt;0,"Valid","Invalid")</f>
        <v>Valid</v>
      </c>
    </row>
    <row r="1019" spans="1:18" x14ac:dyDescent="0.25">
      <c r="A1019" t="s">
        <v>3090</v>
      </c>
      <c r="B1019" t="s">
        <v>949</v>
      </c>
      <c r="C1019" s="8">
        <v>46145</v>
      </c>
      <c r="D1019" t="s">
        <v>2058</v>
      </c>
      <c r="E1019" t="s">
        <v>2059</v>
      </c>
      <c r="F1019" t="s">
        <v>16</v>
      </c>
      <c r="G1019">
        <v>715.09</v>
      </c>
      <c r="H1019" t="s">
        <v>2060</v>
      </c>
      <c r="I1019" t="str">
        <f>VLOOKUP(B1019,Customers!A:G,7,FALSE)</f>
        <v>Student</v>
      </c>
      <c r="Q1019" t="str">
        <f>IF(COUNTIF(Customers!$A$2:$A$1001,B1019)&gt;0,"Valid","Invalid")</f>
        <v>Valid</v>
      </c>
      <c r="R1019" t="str">
        <f>IF(COUNTIF(Branches!$A$2:$A$11,F1019)&gt;0,"Valid","Invalid")</f>
        <v>Valid</v>
      </c>
    </row>
    <row r="1020" spans="1:18" x14ac:dyDescent="0.25">
      <c r="A1020" t="s">
        <v>3091</v>
      </c>
      <c r="B1020" t="s">
        <v>89</v>
      </c>
      <c r="C1020" s="8">
        <v>46060</v>
      </c>
      <c r="D1020" t="s">
        <v>2065</v>
      </c>
      <c r="E1020" t="s">
        <v>2063</v>
      </c>
      <c r="F1020" t="s">
        <v>29</v>
      </c>
      <c r="G1020">
        <v>2307.67</v>
      </c>
      <c r="H1020" t="s">
        <v>2060</v>
      </c>
      <c r="I1020" t="str">
        <f>VLOOKUP(B1020,Customers!A:G,7,FALSE)</f>
        <v>SME</v>
      </c>
      <c r="Q1020" t="str">
        <f>IF(COUNTIF(Customers!$A$2:$A$1001,B1020)&gt;0,"Valid","Invalid")</f>
        <v>Valid</v>
      </c>
      <c r="R1020" t="str">
        <f>IF(COUNTIF(Branches!$A$2:$A$11,F1020)&gt;0,"Valid","Invalid")</f>
        <v>Valid</v>
      </c>
    </row>
    <row r="1021" spans="1:18" x14ac:dyDescent="0.25">
      <c r="A1021" t="s">
        <v>3092</v>
      </c>
      <c r="B1021" t="s">
        <v>1022</v>
      </c>
      <c r="C1021" s="8">
        <v>46257</v>
      </c>
      <c r="D1021" t="s">
        <v>2070</v>
      </c>
      <c r="E1021" t="s">
        <v>2063</v>
      </c>
      <c r="F1021" t="s">
        <v>21</v>
      </c>
      <c r="G1021">
        <v>2056.56</v>
      </c>
      <c r="H1021" t="s">
        <v>2060</v>
      </c>
      <c r="I1021" t="str">
        <f>VLOOKUP(B1021,Customers!A:G,7,FALSE)</f>
        <v>Individual</v>
      </c>
      <c r="Q1021" t="str">
        <f>IF(COUNTIF(Customers!$A$2:$A$1001,B1021)&gt;0,"Valid","Invalid")</f>
        <v>Valid</v>
      </c>
      <c r="R1021" t="str">
        <f>IF(COUNTIF(Branches!$A$2:$A$11,F1021)&gt;0,"Valid","Invalid")</f>
        <v>Valid</v>
      </c>
    </row>
    <row r="1022" spans="1:18" x14ac:dyDescent="0.25">
      <c r="A1022" t="s">
        <v>3093</v>
      </c>
      <c r="B1022" t="s">
        <v>742</v>
      </c>
      <c r="C1022" s="8">
        <v>46145</v>
      </c>
      <c r="D1022" t="s">
        <v>2065</v>
      </c>
      <c r="E1022" t="s">
        <v>2059</v>
      </c>
      <c r="F1022" t="s">
        <v>47</v>
      </c>
      <c r="G1022">
        <v>769.15</v>
      </c>
      <c r="H1022" t="s">
        <v>2060</v>
      </c>
      <c r="I1022" t="str">
        <f>VLOOKUP(B1022,Customers!A:G,7,FALSE)</f>
        <v>Student</v>
      </c>
      <c r="Q1022" t="str">
        <f>IF(COUNTIF(Customers!$A$2:$A$1001,B1022)&gt;0,"Valid","Invalid")</f>
        <v>Valid</v>
      </c>
      <c r="R1022" t="str">
        <f>IF(COUNTIF(Branches!$A$2:$A$11,F1022)&gt;0,"Valid","Invalid")</f>
        <v>Valid</v>
      </c>
    </row>
    <row r="1023" spans="1:18" x14ac:dyDescent="0.25">
      <c r="A1023" t="s">
        <v>3094</v>
      </c>
      <c r="B1023" t="s">
        <v>997</v>
      </c>
      <c r="C1023" s="8">
        <v>46084</v>
      </c>
      <c r="D1023" t="s">
        <v>2058</v>
      </c>
      <c r="E1023" t="s">
        <v>2073</v>
      </c>
      <c r="F1023" t="s">
        <v>11</v>
      </c>
      <c r="G1023">
        <v>2879.88</v>
      </c>
      <c r="H1023" t="s">
        <v>2060</v>
      </c>
      <c r="I1023" t="str">
        <f>VLOOKUP(B1023,Customers!A:G,7,FALSE)</f>
        <v>Individual</v>
      </c>
      <c r="Q1023" t="str">
        <f>IF(COUNTIF(Customers!$A$2:$A$1001,B1023)&gt;0,"Valid","Invalid")</f>
        <v>Valid</v>
      </c>
      <c r="R1023" t="str">
        <f>IF(COUNTIF(Branches!$A$2:$A$11,F1023)&gt;0,"Valid","Invalid")</f>
        <v>Valid</v>
      </c>
    </row>
    <row r="1024" spans="1:18" x14ac:dyDescent="0.25">
      <c r="A1024" t="s">
        <v>3095</v>
      </c>
      <c r="B1024" t="s">
        <v>514</v>
      </c>
      <c r="C1024" s="8">
        <v>46178</v>
      </c>
      <c r="D1024" t="s">
        <v>2065</v>
      </c>
      <c r="E1024" t="s">
        <v>2073</v>
      </c>
      <c r="F1024" t="s">
        <v>29</v>
      </c>
      <c r="G1024">
        <v>108.6</v>
      </c>
      <c r="H1024" t="s">
        <v>2060</v>
      </c>
      <c r="I1024" t="str">
        <f>VLOOKUP(B1024,Customers!A:G,7,FALSE)</f>
        <v>Student</v>
      </c>
      <c r="Q1024" t="str">
        <f>IF(COUNTIF(Customers!$A$2:$A$1001,B1024)&gt;0,"Valid","Invalid")</f>
        <v>Valid</v>
      </c>
      <c r="R1024" t="str">
        <f>IF(COUNTIF(Branches!$A$2:$A$11,F1024)&gt;0,"Valid","Invalid")</f>
        <v>Valid</v>
      </c>
    </row>
    <row r="1025" spans="1:18" x14ac:dyDescent="0.25">
      <c r="A1025" t="s">
        <v>3096</v>
      </c>
      <c r="B1025" t="s">
        <v>630</v>
      </c>
      <c r="C1025" s="8">
        <v>46160</v>
      </c>
      <c r="D1025" t="s">
        <v>2067</v>
      </c>
      <c r="E1025" t="s">
        <v>2073</v>
      </c>
      <c r="F1025" t="s">
        <v>53</v>
      </c>
      <c r="G1025">
        <v>5309.33</v>
      </c>
      <c r="H1025" t="s">
        <v>2060</v>
      </c>
      <c r="I1025" t="str">
        <f>VLOOKUP(B1025,Customers!A:G,7,FALSE)</f>
        <v>Individual</v>
      </c>
      <c r="Q1025" t="str">
        <f>IF(COUNTIF(Customers!$A$2:$A$1001,B1025)&gt;0,"Valid","Invalid")</f>
        <v>Valid</v>
      </c>
      <c r="R1025" t="str">
        <f>IF(COUNTIF(Branches!$A$2:$A$11,F1025)&gt;0,"Valid","Invalid")</f>
        <v>Valid</v>
      </c>
    </row>
    <row r="1026" spans="1:18" x14ac:dyDescent="0.25">
      <c r="A1026" t="s">
        <v>3097</v>
      </c>
      <c r="B1026" t="s">
        <v>49</v>
      </c>
      <c r="C1026" s="8">
        <v>46067</v>
      </c>
      <c r="D1026" t="s">
        <v>2058</v>
      </c>
      <c r="E1026" t="s">
        <v>2076</v>
      </c>
      <c r="F1026" t="s">
        <v>45</v>
      </c>
      <c r="G1026">
        <v>1623.76</v>
      </c>
      <c r="H1026" t="s">
        <v>2060</v>
      </c>
      <c r="I1026" t="str">
        <f>VLOOKUP(B1026,Customers!A:G,7,FALSE)</f>
        <v>Individual</v>
      </c>
      <c r="Q1026" t="str">
        <f>IF(COUNTIF(Customers!$A$2:$A$1001,B1026)&gt;0,"Valid","Invalid")</f>
        <v>Valid</v>
      </c>
      <c r="R1026" t="str">
        <f>IF(COUNTIF(Branches!$A$2:$A$11,F1026)&gt;0,"Valid","Invalid")</f>
        <v>Valid</v>
      </c>
    </row>
    <row r="1027" spans="1:18" x14ac:dyDescent="0.25">
      <c r="A1027" t="s">
        <v>3098</v>
      </c>
      <c r="B1027" t="s">
        <v>398</v>
      </c>
      <c r="C1027" s="8">
        <v>46087</v>
      </c>
      <c r="D1027" t="s">
        <v>2067</v>
      </c>
      <c r="E1027" t="s">
        <v>2059</v>
      </c>
      <c r="F1027" t="s">
        <v>29</v>
      </c>
      <c r="G1027">
        <v>900.37</v>
      </c>
      <c r="H1027" t="s">
        <v>2060</v>
      </c>
      <c r="I1027" t="str">
        <f>VLOOKUP(B1027,Customers!A:G,7,FALSE)</f>
        <v>Individual</v>
      </c>
      <c r="Q1027" t="str">
        <f>IF(COUNTIF(Customers!$A$2:$A$1001,B1027)&gt;0,"Valid","Invalid")</f>
        <v>Valid</v>
      </c>
      <c r="R1027" t="str">
        <f>IF(COUNTIF(Branches!$A$2:$A$11,F1027)&gt;0,"Valid","Invalid")</f>
        <v>Valid</v>
      </c>
    </row>
    <row r="1028" spans="1:18" x14ac:dyDescent="0.25">
      <c r="A1028" t="s">
        <v>3099</v>
      </c>
      <c r="B1028" t="s">
        <v>525</v>
      </c>
      <c r="C1028" s="8">
        <v>46248</v>
      </c>
      <c r="D1028" t="s">
        <v>2065</v>
      </c>
      <c r="E1028" t="s">
        <v>2076</v>
      </c>
      <c r="F1028" t="s">
        <v>47</v>
      </c>
      <c r="G1028">
        <v>333.17</v>
      </c>
      <c r="H1028" t="s">
        <v>2060</v>
      </c>
      <c r="I1028" t="str">
        <f>VLOOKUP(B1028,Customers!A:G,7,FALSE)</f>
        <v>Individual</v>
      </c>
      <c r="Q1028" t="str">
        <f>IF(COUNTIF(Customers!$A$2:$A$1001,B1028)&gt;0,"Valid","Invalid")</f>
        <v>Valid</v>
      </c>
      <c r="R1028" t="str">
        <f>IF(COUNTIF(Branches!$A$2:$A$11,F1028)&gt;0,"Valid","Invalid")</f>
        <v>Valid</v>
      </c>
    </row>
    <row r="1029" spans="1:18" x14ac:dyDescent="0.25">
      <c r="A1029" t="s">
        <v>3100</v>
      </c>
      <c r="B1029" t="s">
        <v>876</v>
      </c>
      <c r="C1029" s="8">
        <v>46089</v>
      </c>
      <c r="D1029" t="s">
        <v>2067</v>
      </c>
      <c r="E1029" t="s">
        <v>2059</v>
      </c>
      <c r="F1029" t="s">
        <v>11</v>
      </c>
      <c r="G1029">
        <v>524.23</v>
      </c>
      <c r="H1029" t="s">
        <v>2060</v>
      </c>
      <c r="I1029" t="str">
        <f>VLOOKUP(B1029,Customers!A:G,7,FALSE)</f>
        <v>Individual</v>
      </c>
      <c r="Q1029" t="str">
        <f>IF(COUNTIF(Customers!$A$2:$A$1001,B1029)&gt;0,"Valid","Invalid")</f>
        <v>Valid</v>
      </c>
      <c r="R1029" t="str">
        <f>IF(COUNTIF(Branches!$A$2:$A$11,F1029)&gt;0,"Valid","Invalid")</f>
        <v>Valid</v>
      </c>
    </row>
    <row r="1030" spans="1:18" x14ac:dyDescent="0.25">
      <c r="A1030" t="s">
        <v>3101</v>
      </c>
      <c r="B1030" t="s">
        <v>744</v>
      </c>
      <c r="C1030" s="8">
        <v>46159</v>
      </c>
      <c r="D1030" t="s">
        <v>2067</v>
      </c>
      <c r="E1030" t="s">
        <v>2076</v>
      </c>
      <c r="F1030" t="s">
        <v>29</v>
      </c>
      <c r="G1030">
        <v>1494.21</v>
      </c>
      <c r="H1030" t="s">
        <v>2060</v>
      </c>
      <c r="I1030" t="str">
        <f>VLOOKUP(B1030,Customers!A:G,7,FALSE)</f>
        <v>Individual</v>
      </c>
      <c r="Q1030" t="str">
        <f>IF(COUNTIF(Customers!$A$2:$A$1001,B1030)&gt;0,"Valid","Invalid")</f>
        <v>Valid</v>
      </c>
      <c r="R1030" t="str">
        <f>IF(COUNTIF(Branches!$A$2:$A$11,F1030)&gt;0,"Valid","Invalid")</f>
        <v>Valid</v>
      </c>
    </row>
    <row r="1031" spans="1:18" x14ac:dyDescent="0.25">
      <c r="A1031" t="s">
        <v>3102</v>
      </c>
      <c r="B1031" t="s">
        <v>540</v>
      </c>
      <c r="C1031" s="8">
        <v>46155</v>
      </c>
      <c r="D1031" t="s">
        <v>2070</v>
      </c>
      <c r="E1031" t="s">
        <v>2059</v>
      </c>
      <c r="F1031" t="s">
        <v>21</v>
      </c>
      <c r="G1031">
        <v>1528.56</v>
      </c>
      <c r="H1031" t="s">
        <v>2060</v>
      </c>
      <c r="I1031" t="str">
        <f>VLOOKUP(B1031,Customers!A:G,7,FALSE)</f>
        <v>Individual</v>
      </c>
      <c r="Q1031" t="str">
        <f>IF(COUNTIF(Customers!$A$2:$A$1001,B1031)&gt;0,"Valid","Invalid")</f>
        <v>Valid</v>
      </c>
      <c r="R1031" t="str">
        <f>IF(COUNTIF(Branches!$A$2:$A$11,F1031)&gt;0,"Valid","Invalid")</f>
        <v>Valid</v>
      </c>
    </row>
    <row r="1032" spans="1:18" x14ac:dyDescent="0.25">
      <c r="A1032" t="s">
        <v>3103</v>
      </c>
      <c r="B1032" t="s">
        <v>177</v>
      </c>
      <c r="C1032" s="8">
        <v>46128</v>
      </c>
      <c r="D1032" t="s">
        <v>2062</v>
      </c>
      <c r="E1032" t="s">
        <v>2076</v>
      </c>
      <c r="F1032" t="s">
        <v>45</v>
      </c>
      <c r="G1032">
        <v>1585.09</v>
      </c>
      <c r="H1032" t="s">
        <v>2060</v>
      </c>
      <c r="I1032" t="str">
        <f>VLOOKUP(B1032,Customers!A:G,7,FALSE)</f>
        <v>Individual</v>
      </c>
      <c r="Q1032" t="str">
        <f>IF(COUNTIF(Customers!$A$2:$A$1001,B1032)&gt;0,"Valid","Invalid")</f>
        <v>Valid</v>
      </c>
      <c r="R1032" t="str">
        <f>IF(COUNTIF(Branches!$A$2:$A$11,F1032)&gt;0,"Valid","Invalid")</f>
        <v>Valid</v>
      </c>
    </row>
    <row r="1033" spans="1:18" x14ac:dyDescent="0.25">
      <c r="A1033" t="s">
        <v>3104</v>
      </c>
      <c r="B1033" t="s">
        <v>658</v>
      </c>
      <c r="C1033" s="8">
        <v>46160</v>
      </c>
      <c r="D1033" t="s">
        <v>2067</v>
      </c>
      <c r="E1033" t="s">
        <v>2063</v>
      </c>
      <c r="F1033" t="s">
        <v>45</v>
      </c>
      <c r="G1033">
        <v>392.09</v>
      </c>
      <c r="H1033" t="s">
        <v>2060</v>
      </c>
      <c r="I1033" t="str">
        <f>VLOOKUP(B1033,Customers!A:G,7,FALSE)</f>
        <v>Student</v>
      </c>
      <c r="Q1033" t="str">
        <f>IF(COUNTIF(Customers!$A$2:$A$1001,B1033)&gt;0,"Valid","Invalid")</f>
        <v>Valid</v>
      </c>
      <c r="R1033" t="str">
        <f>IF(COUNTIF(Branches!$A$2:$A$11,F1033)&gt;0,"Valid","Invalid")</f>
        <v>Valid</v>
      </c>
    </row>
    <row r="1034" spans="1:18" x14ac:dyDescent="0.25">
      <c r="A1034" t="s">
        <v>3105</v>
      </c>
      <c r="B1034" t="s">
        <v>853</v>
      </c>
      <c r="C1034" s="8">
        <v>46162</v>
      </c>
      <c r="D1034" t="s">
        <v>2065</v>
      </c>
      <c r="E1034" t="s">
        <v>2063</v>
      </c>
      <c r="F1034" t="s">
        <v>27</v>
      </c>
      <c r="G1034">
        <v>320.58999999999997</v>
      </c>
      <c r="H1034" t="s">
        <v>2060</v>
      </c>
      <c r="I1034" t="str">
        <f>VLOOKUP(B1034,Customers!A:G,7,FALSE)</f>
        <v>Individual</v>
      </c>
      <c r="Q1034" t="str">
        <f>IF(COUNTIF(Customers!$A$2:$A$1001,B1034)&gt;0,"Valid","Invalid")</f>
        <v>Valid</v>
      </c>
      <c r="R1034" t="str">
        <f>IF(COUNTIF(Branches!$A$2:$A$11,F1034)&gt;0,"Valid","Invalid")</f>
        <v>Valid</v>
      </c>
    </row>
    <row r="1035" spans="1:18" x14ac:dyDescent="0.25">
      <c r="A1035" t="s">
        <v>3106</v>
      </c>
      <c r="B1035" t="s">
        <v>815</v>
      </c>
      <c r="C1035" s="8">
        <v>46104</v>
      </c>
      <c r="D1035" t="s">
        <v>2062</v>
      </c>
      <c r="E1035" t="s">
        <v>2068</v>
      </c>
      <c r="F1035" t="s">
        <v>27</v>
      </c>
      <c r="G1035">
        <v>987.53</v>
      </c>
      <c r="H1035" t="s">
        <v>2060</v>
      </c>
      <c r="I1035" t="str">
        <f>VLOOKUP(B1035,Customers!A:G,7,FALSE)</f>
        <v>SME</v>
      </c>
      <c r="Q1035" t="str">
        <f>IF(COUNTIF(Customers!$A$2:$A$1001,B1035)&gt;0,"Valid","Invalid")</f>
        <v>Valid</v>
      </c>
      <c r="R1035" t="str">
        <f>IF(COUNTIF(Branches!$A$2:$A$11,F1035)&gt;0,"Valid","Invalid")</f>
        <v>Valid</v>
      </c>
    </row>
    <row r="1036" spans="1:18" x14ac:dyDescent="0.25">
      <c r="A1036" t="s">
        <v>3107</v>
      </c>
      <c r="B1036" t="s">
        <v>485</v>
      </c>
      <c r="C1036" s="8">
        <v>46080</v>
      </c>
      <c r="D1036" t="s">
        <v>2065</v>
      </c>
      <c r="E1036" t="s">
        <v>2073</v>
      </c>
      <c r="F1036" t="s">
        <v>47</v>
      </c>
      <c r="G1036">
        <v>1754.35</v>
      </c>
      <c r="H1036" t="s">
        <v>2060</v>
      </c>
      <c r="I1036" t="str">
        <f>VLOOKUP(B1036,Customers!A:G,7,FALSE)</f>
        <v>Student</v>
      </c>
      <c r="Q1036" t="str">
        <f>IF(COUNTIF(Customers!$A$2:$A$1001,B1036)&gt;0,"Valid","Invalid")</f>
        <v>Valid</v>
      </c>
      <c r="R1036" t="str">
        <f>IF(COUNTIF(Branches!$A$2:$A$11,F1036)&gt;0,"Valid","Invalid")</f>
        <v>Valid</v>
      </c>
    </row>
    <row r="1037" spans="1:18" x14ac:dyDescent="0.25">
      <c r="A1037" t="s">
        <v>3108</v>
      </c>
      <c r="B1037" t="s">
        <v>328</v>
      </c>
      <c r="C1037" s="8">
        <v>46171</v>
      </c>
      <c r="D1037" t="s">
        <v>2065</v>
      </c>
      <c r="E1037" t="s">
        <v>2059</v>
      </c>
      <c r="F1037" t="s">
        <v>39</v>
      </c>
      <c r="G1037">
        <v>815</v>
      </c>
      <c r="H1037" t="s">
        <v>2060</v>
      </c>
      <c r="I1037" t="str">
        <f>VLOOKUP(B1037,Customers!A:G,7,FALSE)</f>
        <v>Individual</v>
      </c>
      <c r="Q1037" t="str">
        <f>IF(COUNTIF(Customers!$A$2:$A$1001,B1037)&gt;0,"Valid","Invalid")</f>
        <v>Valid</v>
      </c>
      <c r="R1037" t="str">
        <f>IF(COUNTIF(Branches!$A$2:$A$11,F1037)&gt;0,"Valid","Invalid")</f>
        <v>Valid</v>
      </c>
    </row>
    <row r="1038" spans="1:18" x14ac:dyDescent="0.25">
      <c r="A1038" t="s">
        <v>3109</v>
      </c>
      <c r="B1038" t="s">
        <v>246</v>
      </c>
      <c r="C1038" s="8">
        <v>46171</v>
      </c>
      <c r="D1038" t="s">
        <v>2067</v>
      </c>
      <c r="E1038" t="s">
        <v>2063</v>
      </c>
      <c r="F1038" t="s">
        <v>53</v>
      </c>
      <c r="G1038">
        <v>3574.16</v>
      </c>
      <c r="H1038" t="s">
        <v>2060</v>
      </c>
      <c r="I1038" t="str">
        <f>VLOOKUP(B1038,Customers!A:G,7,FALSE)</f>
        <v>SME</v>
      </c>
      <c r="Q1038" t="str">
        <f>IF(COUNTIF(Customers!$A$2:$A$1001,B1038)&gt;0,"Valid","Invalid")</f>
        <v>Valid</v>
      </c>
      <c r="R1038" t="str">
        <f>IF(COUNTIF(Branches!$A$2:$A$11,F1038)&gt;0,"Valid","Invalid")</f>
        <v>Valid</v>
      </c>
    </row>
    <row r="1039" spans="1:18" x14ac:dyDescent="0.25">
      <c r="A1039" t="s">
        <v>3110</v>
      </c>
      <c r="B1039" t="s">
        <v>513</v>
      </c>
      <c r="C1039" s="8">
        <v>46215</v>
      </c>
      <c r="D1039" t="s">
        <v>2062</v>
      </c>
      <c r="E1039" t="s">
        <v>2073</v>
      </c>
      <c r="F1039" t="s">
        <v>16</v>
      </c>
      <c r="G1039">
        <v>839.78</v>
      </c>
      <c r="H1039" t="s">
        <v>2060</v>
      </c>
      <c r="I1039" t="str">
        <f>VLOOKUP(B1039,Customers!A:G,7,FALSE)</f>
        <v>Individual</v>
      </c>
      <c r="Q1039" t="str">
        <f>IF(COUNTIF(Customers!$A$2:$A$1001,B1039)&gt;0,"Valid","Invalid")</f>
        <v>Valid</v>
      </c>
      <c r="R1039" t="str">
        <f>IF(COUNTIF(Branches!$A$2:$A$11,F1039)&gt;0,"Valid","Invalid")</f>
        <v>Valid</v>
      </c>
    </row>
    <row r="1040" spans="1:18" x14ac:dyDescent="0.25">
      <c r="A1040" t="s">
        <v>3111</v>
      </c>
      <c r="B1040" t="s">
        <v>451</v>
      </c>
      <c r="C1040" s="8">
        <v>46153</v>
      </c>
      <c r="D1040" t="s">
        <v>2065</v>
      </c>
      <c r="E1040" t="s">
        <v>2076</v>
      </c>
      <c r="F1040" t="s">
        <v>16</v>
      </c>
      <c r="G1040">
        <v>811.83</v>
      </c>
      <c r="H1040" t="s">
        <v>2060</v>
      </c>
      <c r="I1040" t="str">
        <f>VLOOKUP(B1040,Customers!A:G,7,FALSE)</f>
        <v>Individual</v>
      </c>
      <c r="Q1040" t="str">
        <f>IF(COUNTIF(Customers!$A$2:$A$1001,B1040)&gt;0,"Valid","Invalid")</f>
        <v>Valid</v>
      </c>
      <c r="R1040" t="str">
        <f>IF(COUNTIF(Branches!$A$2:$A$11,F1040)&gt;0,"Valid","Invalid")</f>
        <v>Valid</v>
      </c>
    </row>
    <row r="1041" spans="1:18" x14ac:dyDescent="0.25">
      <c r="A1041" t="s">
        <v>3112</v>
      </c>
      <c r="B1041" t="s">
        <v>715</v>
      </c>
      <c r="C1041" s="8">
        <v>46091</v>
      </c>
      <c r="D1041" t="s">
        <v>2065</v>
      </c>
      <c r="E1041" t="s">
        <v>2059</v>
      </c>
      <c r="F1041" t="s">
        <v>35</v>
      </c>
      <c r="G1041">
        <v>1588.52</v>
      </c>
      <c r="H1041" t="s">
        <v>2060</v>
      </c>
      <c r="I1041" t="str">
        <f>VLOOKUP(B1041,Customers!A:G,7,FALSE)</f>
        <v>Individual</v>
      </c>
      <c r="Q1041" t="str">
        <f>IF(COUNTIF(Customers!$A$2:$A$1001,B1041)&gt;0,"Valid","Invalid")</f>
        <v>Valid</v>
      </c>
      <c r="R1041" t="str">
        <f>IF(COUNTIF(Branches!$A$2:$A$11,F1041)&gt;0,"Valid","Invalid")</f>
        <v>Valid</v>
      </c>
    </row>
    <row r="1042" spans="1:18" x14ac:dyDescent="0.25">
      <c r="A1042" t="s">
        <v>3113</v>
      </c>
      <c r="B1042" t="s">
        <v>465</v>
      </c>
      <c r="C1042" s="8">
        <v>46111</v>
      </c>
      <c r="D1042" t="s">
        <v>2058</v>
      </c>
      <c r="E1042" t="s">
        <v>2076</v>
      </c>
      <c r="F1042" t="s">
        <v>11</v>
      </c>
      <c r="G1042">
        <v>2749.65</v>
      </c>
      <c r="H1042" t="s">
        <v>2060</v>
      </c>
      <c r="I1042" t="str">
        <f>VLOOKUP(B1042,Customers!A:G,7,FALSE)</f>
        <v>Individual</v>
      </c>
      <c r="Q1042" t="str">
        <f>IF(COUNTIF(Customers!$A$2:$A$1001,B1042)&gt;0,"Valid","Invalid")</f>
        <v>Valid</v>
      </c>
      <c r="R1042" t="str">
        <f>IF(COUNTIF(Branches!$A$2:$A$11,F1042)&gt;0,"Valid","Invalid")</f>
        <v>Valid</v>
      </c>
    </row>
    <row r="1043" spans="1:18" x14ac:dyDescent="0.25">
      <c r="A1043" t="s">
        <v>3114</v>
      </c>
      <c r="B1043" t="s">
        <v>892</v>
      </c>
      <c r="C1043" s="8">
        <v>46086</v>
      </c>
      <c r="D1043" t="s">
        <v>2065</v>
      </c>
      <c r="E1043" t="s">
        <v>2059</v>
      </c>
      <c r="F1043" t="s">
        <v>11</v>
      </c>
      <c r="G1043">
        <v>210.77</v>
      </c>
      <c r="H1043" t="s">
        <v>2060</v>
      </c>
      <c r="I1043" t="str">
        <f>VLOOKUP(B1043,Customers!A:G,7,FALSE)</f>
        <v>Individual</v>
      </c>
      <c r="Q1043" t="str">
        <f>IF(COUNTIF(Customers!$A$2:$A$1001,B1043)&gt;0,"Valid","Invalid")</f>
        <v>Valid</v>
      </c>
      <c r="R1043" t="str">
        <f>IF(COUNTIF(Branches!$A$2:$A$11,F1043)&gt;0,"Valid","Invalid")</f>
        <v>Valid</v>
      </c>
    </row>
    <row r="1044" spans="1:18" x14ac:dyDescent="0.25">
      <c r="A1044" t="s">
        <v>3115</v>
      </c>
      <c r="B1044" t="s">
        <v>409</v>
      </c>
      <c r="C1044" s="8">
        <v>46199</v>
      </c>
      <c r="D1044" t="s">
        <v>2058</v>
      </c>
      <c r="E1044" t="s">
        <v>2059</v>
      </c>
      <c r="F1044" t="s">
        <v>35</v>
      </c>
      <c r="G1044">
        <v>265.60000000000002</v>
      </c>
      <c r="H1044" t="s">
        <v>2060</v>
      </c>
      <c r="I1044" t="str">
        <f>VLOOKUP(B1044,Customers!A:G,7,FALSE)</f>
        <v>Individual</v>
      </c>
      <c r="Q1044" t="str">
        <f>IF(COUNTIF(Customers!$A$2:$A$1001,B1044)&gt;0,"Valid","Invalid")</f>
        <v>Valid</v>
      </c>
      <c r="R1044" t="str">
        <f>IF(COUNTIF(Branches!$A$2:$A$11,F1044)&gt;0,"Valid","Invalid")</f>
        <v>Valid</v>
      </c>
    </row>
    <row r="1045" spans="1:18" x14ac:dyDescent="0.25">
      <c r="A1045" t="s">
        <v>3116</v>
      </c>
      <c r="B1045" t="s">
        <v>870</v>
      </c>
      <c r="C1045" s="8">
        <v>46094</v>
      </c>
      <c r="D1045" t="s">
        <v>2067</v>
      </c>
      <c r="E1045" t="s">
        <v>2068</v>
      </c>
      <c r="F1045" t="s">
        <v>21</v>
      </c>
      <c r="G1045">
        <v>593.91999999999996</v>
      </c>
      <c r="H1045" t="s">
        <v>2060</v>
      </c>
      <c r="I1045" t="str">
        <f>VLOOKUP(B1045,Customers!A:G,7,FALSE)</f>
        <v>SME</v>
      </c>
      <c r="Q1045" t="str">
        <f>IF(COUNTIF(Customers!$A$2:$A$1001,B1045)&gt;0,"Valid","Invalid")</f>
        <v>Valid</v>
      </c>
      <c r="R1045" t="str">
        <f>IF(COUNTIF(Branches!$A$2:$A$11,F1045)&gt;0,"Valid","Invalid")</f>
        <v>Valid</v>
      </c>
    </row>
    <row r="1046" spans="1:18" x14ac:dyDescent="0.25">
      <c r="A1046" t="s">
        <v>3117</v>
      </c>
      <c r="B1046" t="s">
        <v>702</v>
      </c>
      <c r="C1046" s="8">
        <v>46039</v>
      </c>
      <c r="D1046" t="s">
        <v>2067</v>
      </c>
      <c r="E1046" t="s">
        <v>2063</v>
      </c>
      <c r="F1046" t="s">
        <v>39</v>
      </c>
      <c r="G1046">
        <v>19128.64</v>
      </c>
      <c r="H1046" t="s">
        <v>2060</v>
      </c>
      <c r="I1046" t="str">
        <f>VLOOKUP(B1046,Customers!A:G,7,FALSE)</f>
        <v>Individual</v>
      </c>
      <c r="Q1046" t="str">
        <f>IF(COUNTIF(Customers!$A$2:$A$1001,B1046)&gt;0,"Valid","Invalid")</f>
        <v>Valid</v>
      </c>
      <c r="R1046" t="str">
        <f>IF(COUNTIF(Branches!$A$2:$A$11,F1046)&gt;0,"Valid","Invalid")</f>
        <v>Valid</v>
      </c>
    </row>
    <row r="1047" spans="1:18" x14ac:dyDescent="0.25">
      <c r="A1047" t="s">
        <v>3118</v>
      </c>
      <c r="B1047" t="s">
        <v>1005</v>
      </c>
      <c r="C1047" s="8">
        <v>46095</v>
      </c>
      <c r="D1047" t="s">
        <v>2065</v>
      </c>
      <c r="E1047" t="s">
        <v>2063</v>
      </c>
      <c r="F1047" t="s">
        <v>47</v>
      </c>
      <c r="G1047">
        <v>625.49</v>
      </c>
      <c r="H1047" t="s">
        <v>2060</v>
      </c>
      <c r="I1047" t="str">
        <f>VLOOKUP(B1047,Customers!A:G,7,FALSE)</f>
        <v>SME</v>
      </c>
      <c r="Q1047" t="str">
        <f>IF(COUNTIF(Customers!$A$2:$A$1001,B1047)&gt;0,"Valid","Invalid")</f>
        <v>Valid</v>
      </c>
      <c r="R1047" t="str">
        <f>IF(COUNTIF(Branches!$A$2:$A$11,F1047)&gt;0,"Valid","Invalid")</f>
        <v>Valid</v>
      </c>
    </row>
    <row r="1048" spans="1:18" x14ac:dyDescent="0.25">
      <c r="A1048" t="s">
        <v>3119</v>
      </c>
      <c r="B1048" t="s">
        <v>328</v>
      </c>
      <c r="C1048" s="8">
        <v>46182</v>
      </c>
      <c r="D1048" t="s">
        <v>2065</v>
      </c>
      <c r="E1048" t="s">
        <v>2063</v>
      </c>
      <c r="F1048" t="s">
        <v>45</v>
      </c>
      <c r="G1048">
        <v>719.26</v>
      </c>
      <c r="H1048" t="s">
        <v>2060</v>
      </c>
      <c r="I1048" t="str">
        <f>VLOOKUP(B1048,Customers!A:G,7,FALSE)</f>
        <v>Individual</v>
      </c>
      <c r="Q1048" t="str">
        <f>IF(COUNTIF(Customers!$A$2:$A$1001,B1048)&gt;0,"Valid","Invalid")</f>
        <v>Valid</v>
      </c>
      <c r="R1048" t="str">
        <f>IF(COUNTIF(Branches!$A$2:$A$11,F1048)&gt;0,"Valid","Invalid")</f>
        <v>Valid</v>
      </c>
    </row>
    <row r="1049" spans="1:18" x14ac:dyDescent="0.25">
      <c r="A1049" t="s">
        <v>3120</v>
      </c>
      <c r="B1049" t="s">
        <v>470</v>
      </c>
      <c r="C1049" s="8">
        <v>46092</v>
      </c>
      <c r="D1049" t="s">
        <v>2062</v>
      </c>
      <c r="E1049" t="s">
        <v>2063</v>
      </c>
      <c r="F1049" t="s">
        <v>27</v>
      </c>
      <c r="G1049">
        <v>1507.72</v>
      </c>
      <c r="H1049" t="s">
        <v>2060</v>
      </c>
      <c r="I1049" t="str">
        <f>VLOOKUP(B1049,Customers!A:G,7,FALSE)</f>
        <v>Individual</v>
      </c>
      <c r="Q1049" t="str">
        <f>IF(COUNTIF(Customers!$A$2:$A$1001,B1049)&gt;0,"Valid","Invalid")</f>
        <v>Valid</v>
      </c>
      <c r="R1049" t="str">
        <f>IF(COUNTIF(Branches!$A$2:$A$11,F1049)&gt;0,"Valid","Invalid")</f>
        <v>Valid</v>
      </c>
    </row>
    <row r="1050" spans="1:18" x14ac:dyDescent="0.25">
      <c r="A1050" t="s">
        <v>3121</v>
      </c>
      <c r="B1050" t="s">
        <v>306</v>
      </c>
      <c r="C1050" s="8">
        <v>46135</v>
      </c>
      <c r="D1050" t="s">
        <v>2062</v>
      </c>
      <c r="E1050" t="s">
        <v>2063</v>
      </c>
      <c r="F1050" t="s">
        <v>53</v>
      </c>
      <c r="G1050">
        <v>2157.98</v>
      </c>
      <c r="H1050" t="s">
        <v>2060</v>
      </c>
      <c r="I1050" t="str">
        <f>VLOOKUP(B1050,Customers!A:G,7,FALSE)</f>
        <v>Individual</v>
      </c>
      <c r="Q1050" t="str">
        <f>IF(COUNTIF(Customers!$A$2:$A$1001,B1050)&gt;0,"Valid","Invalid")</f>
        <v>Valid</v>
      </c>
      <c r="R1050" t="str">
        <f>IF(COUNTIF(Branches!$A$2:$A$11,F1050)&gt;0,"Valid","Invalid")</f>
        <v>Valid</v>
      </c>
    </row>
    <row r="1051" spans="1:18" x14ac:dyDescent="0.25">
      <c r="A1051" t="s">
        <v>3122</v>
      </c>
      <c r="B1051" t="s">
        <v>187</v>
      </c>
      <c r="C1051" s="8">
        <v>46254</v>
      </c>
      <c r="D1051" t="s">
        <v>2065</v>
      </c>
      <c r="E1051" t="s">
        <v>2063</v>
      </c>
      <c r="F1051" t="s">
        <v>35</v>
      </c>
      <c r="G1051">
        <v>962.74</v>
      </c>
      <c r="H1051" t="s">
        <v>2060</v>
      </c>
      <c r="I1051" t="str">
        <f>VLOOKUP(B1051,Customers!A:G,7,FALSE)</f>
        <v>Corporate</v>
      </c>
      <c r="Q1051" t="str">
        <f>IF(COUNTIF(Customers!$A$2:$A$1001,B1051)&gt;0,"Valid","Invalid")</f>
        <v>Valid</v>
      </c>
      <c r="R1051" t="str">
        <f>IF(COUNTIF(Branches!$A$2:$A$11,F1051)&gt;0,"Valid","Invalid")</f>
        <v>Valid</v>
      </c>
    </row>
    <row r="1052" spans="1:18" x14ac:dyDescent="0.25">
      <c r="A1052" t="s">
        <v>3123</v>
      </c>
      <c r="B1052" t="s">
        <v>757</v>
      </c>
      <c r="C1052" s="8">
        <v>46043</v>
      </c>
      <c r="D1052" t="s">
        <v>2065</v>
      </c>
      <c r="E1052" t="s">
        <v>2063</v>
      </c>
      <c r="F1052" t="s">
        <v>11</v>
      </c>
      <c r="G1052">
        <v>2602.81</v>
      </c>
      <c r="H1052" t="s">
        <v>2060</v>
      </c>
      <c r="I1052" t="str">
        <f>VLOOKUP(B1052,Customers!A:G,7,FALSE)</f>
        <v>Individual</v>
      </c>
      <c r="Q1052" t="str">
        <f>IF(COUNTIF(Customers!$A$2:$A$1001,B1052)&gt;0,"Valid","Invalid")</f>
        <v>Valid</v>
      </c>
      <c r="R1052" t="str">
        <f>IF(COUNTIF(Branches!$A$2:$A$11,F1052)&gt;0,"Valid","Invalid")</f>
        <v>Valid</v>
      </c>
    </row>
    <row r="1053" spans="1:18" x14ac:dyDescent="0.25">
      <c r="A1053" t="s">
        <v>3124</v>
      </c>
      <c r="B1053" t="s">
        <v>293</v>
      </c>
      <c r="C1053" s="8">
        <v>46157</v>
      </c>
      <c r="D1053" t="s">
        <v>2065</v>
      </c>
      <c r="E1053" t="s">
        <v>2063</v>
      </c>
      <c r="F1053" t="s">
        <v>39</v>
      </c>
      <c r="G1053">
        <v>246.17</v>
      </c>
      <c r="H1053" t="s">
        <v>2060</v>
      </c>
      <c r="I1053" t="str">
        <f>VLOOKUP(B1053,Customers!A:G,7,FALSE)</f>
        <v>Corporate</v>
      </c>
      <c r="Q1053" t="str">
        <f>IF(COUNTIF(Customers!$A$2:$A$1001,B1053)&gt;0,"Valid","Invalid")</f>
        <v>Valid</v>
      </c>
      <c r="R1053" t="str">
        <f>IF(COUNTIF(Branches!$A$2:$A$11,F1053)&gt;0,"Valid","Invalid")</f>
        <v>Valid</v>
      </c>
    </row>
    <row r="1054" spans="1:18" x14ac:dyDescent="0.25">
      <c r="A1054" t="s">
        <v>3125</v>
      </c>
      <c r="B1054" t="s">
        <v>391</v>
      </c>
      <c r="C1054" s="8">
        <v>46029</v>
      </c>
      <c r="D1054" t="s">
        <v>2058</v>
      </c>
      <c r="E1054" t="s">
        <v>2063</v>
      </c>
      <c r="F1054" t="s">
        <v>53</v>
      </c>
      <c r="G1054">
        <v>377.63</v>
      </c>
      <c r="H1054" t="s">
        <v>2060</v>
      </c>
      <c r="I1054" t="str">
        <f>VLOOKUP(B1054,Customers!A:G,7,FALSE)</f>
        <v>Individual</v>
      </c>
      <c r="Q1054" t="str">
        <f>IF(COUNTIF(Customers!$A$2:$A$1001,B1054)&gt;0,"Valid","Invalid")</f>
        <v>Valid</v>
      </c>
      <c r="R1054" t="str">
        <f>IF(COUNTIF(Branches!$A$2:$A$11,F1054)&gt;0,"Valid","Invalid")</f>
        <v>Valid</v>
      </c>
    </row>
    <row r="1055" spans="1:18" x14ac:dyDescent="0.25">
      <c r="A1055" t="s">
        <v>3126</v>
      </c>
      <c r="B1055" t="s">
        <v>415</v>
      </c>
      <c r="C1055" s="8">
        <v>46133</v>
      </c>
      <c r="D1055" t="s">
        <v>2062</v>
      </c>
      <c r="E1055" t="s">
        <v>2063</v>
      </c>
      <c r="F1055" t="s">
        <v>27</v>
      </c>
      <c r="G1055">
        <v>2597.9699999999998</v>
      </c>
      <c r="H1055" t="s">
        <v>2060</v>
      </c>
      <c r="I1055" t="str">
        <f>VLOOKUP(B1055,Customers!A:G,7,FALSE)</f>
        <v>Individual</v>
      </c>
      <c r="Q1055" t="str">
        <f>IF(COUNTIF(Customers!$A$2:$A$1001,B1055)&gt;0,"Valid","Invalid")</f>
        <v>Valid</v>
      </c>
      <c r="R1055" t="str">
        <f>IF(COUNTIF(Branches!$A$2:$A$11,F1055)&gt;0,"Valid","Invalid")</f>
        <v>Valid</v>
      </c>
    </row>
    <row r="1056" spans="1:18" x14ac:dyDescent="0.25">
      <c r="A1056" t="s">
        <v>3127</v>
      </c>
      <c r="B1056" t="s">
        <v>691</v>
      </c>
      <c r="C1056" s="8">
        <v>46253</v>
      </c>
      <c r="D1056" t="s">
        <v>2067</v>
      </c>
      <c r="E1056" t="s">
        <v>2076</v>
      </c>
      <c r="F1056" t="s">
        <v>29</v>
      </c>
      <c r="G1056">
        <v>821.34</v>
      </c>
      <c r="H1056" t="s">
        <v>2060</v>
      </c>
      <c r="I1056" t="str">
        <f>VLOOKUP(B1056,Customers!A:G,7,FALSE)</f>
        <v>Individual</v>
      </c>
      <c r="Q1056" t="str">
        <f>IF(COUNTIF(Customers!$A$2:$A$1001,B1056)&gt;0,"Valid","Invalid")</f>
        <v>Valid</v>
      </c>
      <c r="R1056" t="str">
        <f>IF(COUNTIF(Branches!$A$2:$A$11,F1056)&gt;0,"Valid","Invalid")</f>
        <v>Valid</v>
      </c>
    </row>
    <row r="1057" spans="1:18" x14ac:dyDescent="0.25">
      <c r="A1057" t="s">
        <v>3128</v>
      </c>
      <c r="B1057" t="s">
        <v>893</v>
      </c>
      <c r="C1057" s="8">
        <v>46049</v>
      </c>
      <c r="D1057" t="s">
        <v>2058</v>
      </c>
      <c r="E1057" t="s">
        <v>2059</v>
      </c>
      <c r="F1057" t="s">
        <v>53</v>
      </c>
      <c r="G1057">
        <v>229.88</v>
      </c>
      <c r="H1057" t="s">
        <v>2060</v>
      </c>
      <c r="I1057" t="str">
        <f>VLOOKUP(B1057,Customers!A:G,7,FALSE)</f>
        <v>Corporate</v>
      </c>
      <c r="Q1057" t="str">
        <f>IF(COUNTIF(Customers!$A$2:$A$1001,B1057)&gt;0,"Valid","Invalid")</f>
        <v>Valid</v>
      </c>
      <c r="R1057" t="str">
        <f>IF(COUNTIF(Branches!$A$2:$A$11,F1057)&gt;0,"Valid","Invalid")</f>
        <v>Valid</v>
      </c>
    </row>
    <row r="1058" spans="1:18" x14ac:dyDescent="0.25">
      <c r="A1058" t="s">
        <v>3129</v>
      </c>
      <c r="B1058" t="s">
        <v>396</v>
      </c>
      <c r="C1058" s="8">
        <v>46030</v>
      </c>
      <c r="D1058" t="s">
        <v>2062</v>
      </c>
      <c r="E1058" t="s">
        <v>2063</v>
      </c>
      <c r="F1058" t="s">
        <v>27</v>
      </c>
      <c r="G1058">
        <v>216.47</v>
      </c>
      <c r="H1058" t="s">
        <v>2060</v>
      </c>
      <c r="I1058" t="str">
        <f>VLOOKUP(B1058,Customers!A:G,7,FALSE)</f>
        <v>Student</v>
      </c>
      <c r="Q1058" t="str">
        <f>IF(COUNTIF(Customers!$A$2:$A$1001,B1058)&gt;0,"Valid","Invalid")</f>
        <v>Valid</v>
      </c>
      <c r="R1058" t="str">
        <f>IF(COUNTIF(Branches!$A$2:$A$11,F1058)&gt;0,"Valid","Invalid")</f>
        <v>Valid</v>
      </c>
    </row>
    <row r="1059" spans="1:18" x14ac:dyDescent="0.25">
      <c r="A1059" t="s">
        <v>3130</v>
      </c>
      <c r="B1059" t="s">
        <v>646</v>
      </c>
      <c r="C1059" s="8">
        <v>46223</v>
      </c>
      <c r="D1059" t="s">
        <v>2070</v>
      </c>
      <c r="E1059" t="s">
        <v>2076</v>
      </c>
      <c r="F1059" t="s">
        <v>53</v>
      </c>
      <c r="G1059">
        <v>361.07</v>
      </c>
      <c r="H1059" t="s">
        <v>2060</v>
      </c>
      <c r="I1059" t="str">
        <f>VLOOKUP(B1059,Customers!A:G,7,FALSE)</f>
        <v>SME</v>
      </c>
      <c r="Q1059" t="str">
        <f>IF(COUNTIF(Customers!$A$2:$A$1001,B1059)&gt;0,"Valid","Invalid")</f>
        <v>Valid</v>
      </c>
      <c r="R1059" t="str">
        <f>IF(COUNTIF(Branches!$A$2:$A$11,F1059)&gt;0,"Valid","Invalid")</f>
        <v>Valid</v>
      </c>
    </row>
    <row r="1060" spans="1:18" x14ac:dyDescent="0.25">
      <c r="A1060" t="s">
        <v>3131</v>
      </c>
      <c r="B1060" t="s">
        <v>979</v>
      </c>
      <c r="C1060" s="8">
        <v>46050</v>
      </c>
      <c r="D1060" t="s">
        <v>2065</v>
      </c>
      <c r="E1060" t="s">
        <v>2073</v>
      </c>
      <c r="F1060" t="s">
        <v>45</v>
      </c>
      <c r="G1060">
        <v>814.13</v>
      </c>
      <c r="H1060" t="s">
        <v>2060</v>
      </c>
      <c r="I1060" t="str">
        <f>VLOOKUP(B1060,Customers!A:G,7,FALSE)</f>
        <v>Individual</v>
      </c>
      <c r="Q1060" t="str">
        <f>IF(COUNTIF(Customers!$A$2:$A$1001,B1060)&gt;0,"Valid","Invalid")</f>
        <v>Valid</v>
      </c>
      <c r="R1060" t="str">
        <f>IF(COUNTIF(Branches!$A$2:$A$11,F1060)&gt;0,"Valid","Invalid")</f>
        <v>Valid</v>
      </c>
    </row>
    <row r="1061" spans="1:18" x14ac:dyDescent="0.25">
      <c r="A1061" t="s">
        <v>3132</v>
      </c>
      <c r="B1061" t="s">
        <v>408</v>
      </c>
      <c r="C1061" s="8">
        <v>46229</v>
      </c>
      <c r="D1061" t="s">
        <v>2065</v>
      </c>
      <c r="E1061" t="s">
        <v>2073</v>
      </c>
      <c r="F1061" t="s">
        <v>11</v>
      </c>
      <c r="G1061">
        <v>1296.44</v>
      </c>
      <c r="H1061" t="s">
        <v>2060</v>
      </c>
      <c r="I1061" t="str">
        <f>VLOOKUP(B1061,Customers!A:G,7,FALSE)</f>
        <v>Individual</v>
      </c>
      <c r="Q1061" t="str">
        <f>IF(COUNTIF(Customers!$A$2:$A$1001,B1061)&gt;0,"Valid","Invalid")</f>
        <v>Valid</v>
      </c>
      <c r="R1061" t="str">
        <f>IF(COUNTIF(Branches!$A$2:$A$11,F1061)&gt;0,"Valid","Invalid")</f>
        <v>Valid</v>
      </c>
    </row>
    <row r="1062" spans="1:18" x14ac:dyDescent="0.25">
      <c r="A1062" t="s">
        <v>3133</v>
      </c>
      <c r="B1062" t="s">
        <v>264</v>
      </c>
      <c r="C1062" s="8">
        <v>46216</v>
      </c>
      <c r="D1062" t="s">
        <v>2065</v>
      </c>
      <c r="E1062" t="s">
        <v>2063</v>
      </c>
      <c r="F1062" t="s">
        <v>35</v>
      </c>
      <c r="G1062">
        <v>584.61</v>
      </c>
      <c r="H1062" t="s">
        <v>2060</v>
      </c>
      <c r="I1062" t="str">
        <f>VLOOKUP(B1062,Customers!A:G,7,FALSE)</f>
        <v>Individual</v>
      </c>
      <c r="Q1062" t="str">
        <f>IF(COUNTIF(Customers!$A$2:$A$1001,B1062)&gt;0,"Valid","Invalid")</f>
        <v>Valid</v>
      </c>
      <c r="R1062" t="str">
        <f>IF(COUNTIF(Branches!$A$2:$A$11,F1062)&gt;0,"Valid","Invalid")</f>
        <v>Valid</v>
      </c>
    </row>
    <row r="1063" spans="1:18" x14ac:dyDescent="0.25">
      <c r="A1063" t="s">
        <v>3134</v>
      </c>
      <c r="B1063" t="s">
        <v>743</v>
      </c>
      <c r="C1063" s="8">
        <v>46221</v>
      </c>
      <c r="D1063" t="s">
        <v>2062</v>
      </c>
      <c r="E1063" t="s">
        <v>2068</v>
      </c>
      <c r="F1063" t="s">
        <v>11</v>
      </c>
      <c r="G1063">
        <v>1193.92</v>
      </c>
      <c r="H1063" t="s">
        <v>2060</v>
      </c>
      <c r="I1063" t="str">
        <f>VLOOKUP(B1063,Customers!A:G,7,FALSE)</f>
        <v>Individual</v>
      </c>
      <c r="Q1063" t="str">
        <f>IF(COUNTIF(Customers!$A$2:$A$1001,B1063)&gt;0,"Valid","Invalid")</f>
        <v>Valid</v>
      </c>
      <c r="R1063" t="str">
        <f>IF(COUNTIF(Branches!$A$2:$A$11,F1063)&gt;0,"Valid","Invalid")</f>
        <v>Valid</v>
      </c>
    </row>
    <row r="1064" spans="1:18" x14ac:dyDescent="0.25">
      <c r="A1064" t="s">
        <v>3135</v>
      </c>
      <c r="B1064" t="s">
        <v>341</v>
      </c>
      <c r="C1064" s="8">
        <v>46069</v>
      </c>
      <c r="D1064" t="s">
        <v>2062</v>
      </c>
      <c r="E1064" t="s">
        <v>2059</v>
      </c>
      <c r="F1064" t="s">
        <v>39</v>
      </c>
      <c r="G1064">
        <v>524.76</v>
      </c>
      <c r="H1064" t="s">
        <v>2060</v>
      </c>
      <c r="I1064" t="str">
        <f>VLOOKUP(B1064,Customers!A:G,7,FALSE)</f>
        <v>SME</v>
      </c>
      <c r="Q1064" t="str">
        <f>IF(COUNTIF(Customers!$A$2:$A$1001,B1064)&gt;0,"Valid","Invalid")</f>
        <v>Valid</v>
      </c>
      <c r="R1064" t="str">
        <f>IF(COUNTIF(Branches!$A$2:$A$11,F1064)&gt;0,"Valid","Invalid")</f>
        <v>Valid</v>
      </c>
    </row>
    <row r="1065" spans="1:18" x14ac:dyDescent="0.25">
      <c r="A1065" t="s">
        <v>3136</v>
      </c>
      <c r="B1065" t="s">
        <v>864</v>
      </c>
      <c r="C1065" s="8">
        <v>46232</v>
      </c>
      <c r="D1065" t="s">
        <v>2058</v>
      </c>
      <c r="E1065" t="s">
        <v>2063</v>
      </c>
      <c r="F1065" t="s">
        <v>29</v>
      </c>
      <c r="G1065">
        <v>2762.58</v>
      </c>
      <c r="H1065" t="s">
        <v>2060</v>
      </c>
      <c r="I1065" t="str">
        <f>VLOOKUP(B1065,Customers!A:G,7,FALSE)</f>
        <v>Individual</v>
      </c>
      <c r="Q1065" t="str">
        <f>IF(COUNTIF(Customers!$A$2:$A$1001,B1065)&gt;0,"Valid","Invalid")</f>
        <v>Valid</v>
      </c>
      <c r="R1065" t="str">
        <f>IF(COUNTIF(Branches!$A$2:$A$11,F1065)&gt;0,"Valid","Invalid")</f>
        <v>Valid</v>
      </c>
    </row>
    <row r="1066" spans="1:18" x14ac:dyDescent="0.25">
      <c r="A1066" t="s">
        <v>3137</v>
      </c>
      <c r="B1066" t="s">
        <v>427</v>
      </c>
      <c r="C1066" s="8">
        <v>46108</v>
      </c>
      <c r="D1066" t="s">
        <v>2065</v>
      </c>
      <c r="E1066" t="s">
        <v>2063</v>
      </c>
      <c r="F1066" t="s">
        <v>47</v>
      </c>
      <c r="G1066">
        <v>10423.73</v>
      </c>
      <c r="H1066" t="s">
        <v>2060</v>
      </c>
      <c r="I1066" t="str">
        <f>VLOOKUP(B1066,Customers!A:G,7,FALSE)</f>
        <v>Individual</v>
      </c>
      <c r="Q1066" t="str">
        <f>IF(COUNTIF(Customers!$A$2:$A$1001,B1066)&gt;0,"Valid","Invalid")</f>
        <v>Valid</v>
      </c>
      <c r="R1066" t="str">
        <f>IF(COUNTIF(Branches!$A$2:$A$11,F1066)&gt;0,"Valid","Invalid")</f>
        <v>Valid</v>
      </c>
    </row>
    <row r="1067" spans="1:18" x14ac:dyDescent="0.25">
      <c r="A1067" t="s">
        <v>3138</v>
      </c>
      <c r="B1067" t="s">
        <v>415</v>
      </c>
      <c r="C1067" s="8">
        <v>46264</v>
      </c>
      <c r="D1067" t="s">
        <v>2065</v>
      </c>
      <c r="E1067" t="s">
        <v>2063</v>
      </c>
      <c r="F1067" t="s">
        <v>21</v>
      </c>
      <c r="G1067">
        <v>548.61</v>
      </c>
      <c r="H1067" t="s">
        <v>2060</v>
      </c>
      <c r="I1067" t="str">
        <f>VLOOKUP(B1067,Customers!A:G,7,FALSE)</f>
        <v>Individual</v>
      </c>
      <c r="Q1067" t="str">
        <f>IF(COUNTIF(Customers!$A$2:$A$1001,B1067)&gt;0,"Valid","Invalid")</f>
        <v>Valid</v>
      </c>
      <c r="R1067" t="str">
        <f>IF(COUNTIF(Branches!$A$2:$A$11,F1067)&gt;0,"Valid","Invalid")</f>
        <v>Valid</v>
      </c>
    </row>
    <row r="1068" spans="1:18" x14ac:dyDescent="0.25">
      <c r="A1068" t="s">
        <v>3139</v>
      </c>
      <c r="B1068" t="s">
        <v>1011</v>
      </c>
      <c r="C1068" s="8">
        <v>46032</v>
      </c>
      <c r="D1068" t="s">
        <v>2067</v>
      </c>
      <c r="E1068" t="s">
        <v>2059</v>
      </c>
      <c r="F1068" t="s">
        <v>29</v>
      </c>
      <c r="G1068">
        <v>1312.82</v>
      </c>
      <c r="H1068" t="s">
        <v>2060</v>
      </c>
      <c r="I1068" t="str">
        <f>VLOOKUP(B1068,Customers!A:G,7,FALSE)</f>
        <v>Individual</v>
      </c>
      <c r="Q1068" t="str">
        <f>IF(COUNTIF(Customers!$A$2:$A$1001,B1068)&gt;0,"Valid","Invalid")</f>
        <v>Valid</v>
      </c>
      <c r="R1068" t="str">
        <f>IF(COUNTIF(Branches!$A$2:$A$11,F1068)&gt;0,"Valid","Invalid")</f>
        <v>Valid</v>
      </c>
    </row>
    <row r="1069" spans="1:18" x14ac:dyDescent="0.25">
      <c r="A1069" t="s">
        <v>3140</v>
      </c>
      <c r="B1069" t="s">
        <v>154</v>
      </c>
      <c r="C1069" s="8">
        <v>46136</v>
      </c>
      <c r="D1069" t="s">
        <v>2058</v>
      </c>
      <c r="E1069" t="s">
        <v>2076</v>
      </c>
      <c r="F1069" t="s">
        <v>16</v>
      </c>
      <c r="G1069">
        <v>1210.04</v>
      </c>
      <c r="H1069" t="s">
        <v>2060</v>
      </c>
      <c r="I1069" t="str">
        <f>VLOOKUP(B1069,Customers!A:G,7,FALSE)</f>
        <v>Individual</v>
      </c>
      <c r="Q1069" t="str">
        <f>IF(COUNTIF(Customers!$A$2:$A$1001,B1069)&gt;0,"Valid","Invalid")</f>
        <v>Valid</v>
      </c>
      <c r="R1069" t="str">
        <f>IF(COUNTIF(Branches!$A$2:$A$11,F1069)&gt;0,"Valid","Invalid")</f>
        <v>Valid</v>
      </c>
    </row>
    <row r="1070" spans="1:18" x14ac:dyDescent="0.25">
      <c r="A1070" t="s">
        <v>3141</v>
      </c>
      <c r="B1070" t="s">
        <v>28</v>
      </c>
      <c r="C1070" s="8">
        <v>46055</v>
      </c>
      <c r="D1070" t="s">
        <v>2065</v>
      </c>
      <c r="E1070" t="s">
        <v>2076</v>
      </c>
      <c r="F1070" t="s">
        <v>47</v>
      </c>
      <c r="G1070">
        <v>933.27</v>
      </c>
      <c r="H1070" t="s">
        <v>2060</v>
      </c>
      <c r="I1070" t="str">
        <f>VLOOKUP(B1070,Customers!A:G,7,FALSE)</f>
        <v>SME</v>
      </c>
      <c r="Q1070" t="str">
        <f>IF(COUNTIF(Customers!$A$2:$A$1001,B1070)&gt;0,"Valid","Invalid")</f>
        <v>Valid</v>
      </c>
      <c r="R1070" t="str">
        <f>IF(COUNTIF(Branches!$A$2:$A$11,F1070)&gt;0,"Valid","Invalid")</f>
        <v>Valid</v>
      </c>
    </row>
    <row r="1071" spans="1:18" x14ac:dyDescent="0.25">
      <c r="A1071" t="s">
        <v>3142</v>
      </c>
      <c r="B1071" t="s">
        <v>482</v>
      </c>
      <c r="C1071" s="8">
        <v>46157</v>
      </c>
      <c r="D1071" t="s">
        <v>2065</v>
      </c>
      <c r="E1071" t="s">
        <v>2063</v>
      </c>
      <c r="F1071" t="s">
        <v>35</v>
      </c>
      <c r="G1071">
        <v>1561.26</v>
      </c>
      <c r="H1071" t="s">
        <v>2060</v>
      </c>
      <c r="I1071" t="str">
        <f>VLOOKUP(B1071,Customers!A:G,7,FALSE)</f>
        <v>Individual</v>
      </c>
      <c r="Q1071" t="str">
        <f>IF(COUNTIF(Customers!$A$2:$A$1001,B1071)&gt;0,"Valid","Invalid")</f>
        <v>Valid</v>
      </c>
      <c r="R1071" t="str">
        <f>IF(COUNTIF(Branches!$A$2:$A$11,F1071)&gt;0,"Valid","Invalid")</f>
        <v>Valid</v>
      </c>
    </row>
    <row r="1072" spans="1:18" x14ac:dyDescent="0.25">
      <c r="A1072" t="s">
        <v>3143</v>
      </c>
      <c r="B1072" t="s">
        <v>390</v>
      </c>
      <c r="C1072" s="8">
        <v>46153</v>
      </c>
      <c r="D1072" t="s">
        <v>2062</v>
      </c>
      <c r="E1072" t="s">
        <v>2063</v>
      </c>
      <c r="F1072" t="s">
        <v>27</v>
      </c>
      <c r="G1072">
        <v>1311.36</v>
      </c>
      <c r="H1072" t="s">
        <v>2060</v>
      </c>
      <c r="I1072" t="str">
        <f>VLOOKUP(B1072,Customers!A:G,7,FALSE)</f>
        <v>Individual</v>
      </c>
      <c r="Q1072" t="str">
        <f>IF(COUNTIF(Customers!$A$2:$A$1001,B1072)&gt;0,"Valid","Invalid")</f>
        <v>Valid</v>
      </c>
      <c r="R1072" t="str">
        <f>IF(COUNTIF(Branches!$A$2:$A$11,F1072)&gt;0,"Valid","Invalid")</f>
        <v>Valid</v>
      </c>
    </row>
    <row r="1073" spans="1:18" x14ac:dyDescent="0.25">
      <c r="A1073" t="s">
        <v>3144</v>
      </c>
      <c r="B1073" t="s">
        <v>793</v>
      </c>
      <c r="C1073" s="8">
        <v>46036</v>
      </c>
      <c r="D1073" t="s">
        <v>2067</v>
      </c>
      <c r="E1073" t="s">
        <v>2063</v>
      </c>
      <c r="F1073" t="s">
        <v>27</v>
      </c>
      <c r="G1073">
        <v>507.22</v>
      </c>
      <c r="H1073" t="s">
        <v>2060</v>
      </c>
      <c r="I1073" t="str">
        <f>VLOOKUP(B1073,Customers!A:G,7,FALSE)</f>
        <v>SME</v>
      </c>
      <c r="Q1073" t="str">
        <f>IF(COUNTIF(Customers!$A$2:$A$1001,B1073)&gt;0,"Valid","Invalid")</f>
        <v>Valid</v>
      </c>
      <c r="R1073" t="str">
        <f>IF(COUNTIF(Branches!$A$2:$A$11,F1073)&gt;0,"Valid","Invalid")</f>
        <v>Valid</v>
      </c>
    </row>
    <row r="1074" spans="1:18" x14ac:dyDescent="0.25">
      <c r="A1074" t="s">
        <v>3145</v>
      </c>
      <c r="B1074" t="s">
        <v>571</v>
      </c>
      <c r="C1074" s="8">
        <v>46194</v>
      </c>
      <c r="D1074" t="s">
        <v>2067</v>
      </c>
      <c r="E1074" t="s">
        <v>2059</v>
      </c>
      <c r="F1074" t="s">
        <v>29</v>
      </c>
      <c r="G1074">
        <v>3030.69</v>
      </c>
      <c r="H1074" t="s">
        <v>2060</v>
      </c>
      <c r="I1074" t="str">
        <f>VLOOKUP(B1074,Customers!A:G,7,FALSE)</f>
        <v>Individual</v>
      </c>
      <c r="Q1074" t="str">
        <f>IF(COUNTIF(Customers!$A$2:$A$1001,B1074)&gt;0,"Valid","Invalid")</f>
        <v>Valid</v>
      </c>
      <c r="R1074" t="str">
        <f>IF(COUNTIF(Branches!$A$2:$A$11,F1074)&gt;0,"Valid","Invalid")</f>
        <v>Valid</v>
      </c>
    </row>
    <row r="1075" spans="1:18" x14ac:dyDescent="0.25">
      <c r="A1075" t="s">
        <v>3146</v>
      </c>
      <c r="B1075" t="s">
        <v>702</v>
      </c>
      <c r="C1075" s="8">
        <v>46068</v>
      </c>
      <c r="D1075" t="s">
        <v>2065</v>
      </c>
      <c r="E1075" t="s">
        <v>2073</v>
      </c>
      <c r="F1075" t="s">
        <v>11</v>
      </c>
      <c r="G1075">
        <v>993.93</v>
      </c>
      <c r="H1075" t="s">
        <v>2060</v>
      </c>
      <c r="I1075" t="str">
        <f>VLOOKUP(B1075,Customers!A:G,7,FALSE)</f>
        <v>Individual</v>
      </c>
      <c r="Q1075" t="str">
        <f>IF(COUNTIF(Customers!$A$2:$A$1001,B1075)&gt;0,"Valid","Invalid")</f>
        <v>Valid</v>
      </c>
      <c r="R1075" t="str">
        <f>IF(COUNTIF(Branches!$A$2:$A$11,F1075)&gt;0,"Valid","Invalid")</f>
        <v>Valid</v>
      </c>
    </row>
    <row r="1076" spans="1:18" x14ac:dyDescent="0.25">
      <c r="A1076" t="s">
        <v>3147</v>
      </c>
      <c r="B1076" t="s">
        <v>678</v>
      </c>
      <c r="C1076" s="8">
        <v>46083</v>
      </c>
      <c r="D1076" t="s">
        <v>2062</v>
      </c>
      <c r="E1076" t="s">
        <v>2068</v>
      </c>
      <c r="F1076" t="s">
        <v>29</v>
      </c>
      <c r="G1076">
        <v>552.91</v>
      </c>
      <c r="H1076" t="s">
        <v>2060</v>
      </c>
      <c r="I1076" t="str">
        <f>VLOOKUP(B1076,Customers!A:G,7,FALSE)</f>
        <v>SME</v>
      </c>
      <c r="Q1076" t="str">
        <f>IF(COUNTIF(Customers!$A$2:$A$1001,B1076)&gt;0,"Valid","Invalid")</f>
        <v>Valid</v>
      </c>
      <c r="R1076" t="str">
        <f>IF(COUNTIF(Branches!$A$2:$A$11,F1076)&gt;0,"Valid","Invalid")</f>
        <v>Valid</v>
      </c>
    </row>
    <row r="1077" spans="1:18" x14ac:dyDescent="0.25">
      <c r="A1077" t="s">
        <v>3148</v>
      </c>
      <c r="B1077" t="s">
        <v>160</v>
      </c>
      <c r="C1077" s="8">
        <v>46186</v>
      </c>
      <c r="D1077" t="s">
        <v>2058</v>
      </c>
      <c r="E1077" t="s">
        <v>2073</v>
      </c>
      <c r="F1077" t="s">
        <v>27</v>
      </c>
      <c r="G1077">
        <v>9350.66</v>
      </c>
      <c r="H1077" t="s">
        <v>2060</v>
      </c>
      <c r="I1077" t="str">
        <f>VLOOKUP(B1077,Customers!A:G,7,FALSE)</f>
        <v>Individual</v>
      </c>
      <c r="Q1077" t="str">
        <f>IF(COUNTIF(Customers!$A$2:$A$1001,B1077)&gt;0,"Valid","Invalid")</f>
        <v>Valid</v>
      </c>
      <c r="R1077" t="str">
        <f>IF(COUNTIF(Branches!$A$2:$A$11,F1077)&gt;0,"Valid","Invalid")</f>
        <v>Valid</v>
      </c>
    </row>
    <row r="1078" spans="1:18" x14ac:dyDescent="0.25">
      <c r="A1078" t="s">
        <v>3149</v>
      </c>
      <c r="B1078" t="s">
        <v>696</v>
      </c>
      <c r="C1078" s="8">
        <v>46035</v>
      </c>
      <c r="D1078" t="s">
        <v>2062</v>
      </c>
      <c r="E1078" t="s">
        <v>2076</v>
      </c>
      <c r="F1078" t="s">
        <v>27</v>
      </c>
      <c r="G1078">
        <v>723.27</v>
      </c>
      <c r="H1078" t="s">
        <v>2060</v>
      </c>
      <c r="I1078" t="str">
        <f>VLOOKUP(B1078,Customers!A:G,7,FALSE)</f>
        <v>Individual</v>
      </c>
      <c r="Q1078" t="str">
        <f>IF(COUNTIF(Customers!$A$2:$A$1001,B1078)&gt;0,"Valid","Invalid")</f>
        <v>Valid</v>
      </c>
      <c r="R1078" t="str">
        <f>IF(COUNTIF(Branches!$A$2:$A$11,F1078)&gt;0,"Valid","Invalid")</f>
        <v>Valid</v>
      </c>
    </row>
    <row r="1079" spans="1:18" x14ac:dyDescent="0.25">
      <c r="A1079" t="s">
        <v>3150</v>
      </c>
      <c r="B1079" t="s">
        <v>315</v>
      </c>
      <c r="C1079" s="8">
        <v>46038</v>
      </c>
      <c r="D1079" t="s">
        <v>2058</v>
      </c>
      <c r="E1079" t="s">
        <v>2059</v>
      </c>
      <c r="F1079" t="s">
        <v>39</v>
      </c>
      <c r="G1079">
        <v>1048.32</v>
      </c>
      <c r="H1079" t="s">
        <v>2060</v>
      </c>
      <c r="I1079" t="str">
        <f>VLOOKUP(B1079,Customers!A:G,7,FALSE)</f>
        <v>SME</v>
      </c>
      <c r="Q1079" t="str">
        <f>IF(COUNTIF(Customers!$A$2:$A$1001,B1079)&gt;0,"Valid","Invalid")</f>
        <v>Valid</v>
      </c>
      <c r="R1079" t="str">
        <f>IF(COUNTIF(Branches!$A$2:$A$11,F1079)&gt;0,"Valid","Invalid")</f>
        <v>Valid</v>
      </c>
    </row>
    <row r="1080" spans="1:18" x14ac:dyDescent="0.25">
      <c r="A1080" t="s">
        <v>3151</v>
      </c>
      <c r="B1080" t="s">
        <v>860</v>
      </c>
      <c r="C1080" s="8">
        <v>46230</v>
      </c>
      <c r="D1080" t="s">
        <v>2070</v>
      </c>
      <c r="E1080" t="s">
        <v>2059</v>
      </c>
      <c r="F1080" t="s">
        <v>35</v>
      </c>
      <c r="G1080">
        <v>968.2</v>
      </c>
      <c r="H1080" t="s">
        <v>2060</v>
      </c>
      <c r="I1080" t="str">
        <f>VLOOKUP(B1080,Customers!A:G,7,FALSE)</f>
        <v>Individual</v>
      </c>
      <c r="Q1080" t="str">
        <f>IF(COUNTIF(Customers!$A$2:$A$1001,B1080)&gt;0,"Valid","Invalid")</f>
        <v>Valid</v>
      </c>
      <c r="R1080" t="str">
        <f>IF(COUNTIF(Branches!$A$2:$A$11,F1080)&gt;0,"Valid","Invalid")</f>
        <v>Valid</v>
      </c>
    </row>
    <row r="1081" spans="1:18" x14ac:dyDescent="0.25">
      <c r="A1081" t="s">
        <v>3152</v>
      </c>
      <c r="B1081" t="s">
        <v>432</v>
      </c>
      <c r="C1081" s="8">
        <v>46155</v>
      </c>
      <c r="D1081" t="s">
        <v>2062</v>
      </c>
      <c r="E1081" t="s">
        <v>2059</v>
      </c>
      <c r="F1081" t="s">
        <v>53</v>
      </c>
      <c r="G1081">
        <v>713.45</v>
      </c>
      <c r="H1081" t="s">
        <v>2060</v>
      </c>
      <c r="I1081" t="str">
        <f>VLOOKUP(B1081,Customers!A:G,7,FALSE)</f>
        <v>SME</v>
      </c>
      <c r="Q1081" t="str">
        <f>IF(COUNTIF(Customers!$A$2:$A$1001,B1081)&gt;0,"Valid","Invalid")</f>
        <v>Valid</v>
      </c>
      <c r="R1081" t="str">
        <f>IF(COUNTIF(Branches!$A$2:$A$11,F1081)&gt;0,"Valid","Invalid")</f>
        <v>Valid</v>
      </c>
    </row>
    <row r="1082" spans="1:18" x14ac:dyDescent="0.25">
      <c r="A1082" t="s">
        <v>3153</v>
      </c>
      <c r="B1082" t="s">
        <v>702</v>
      </c>
      <c r="C1082" s="8">
        <v>46239</v>
      </c>
      <c r="D1082" t="s">
        <v>2058</v>
      </c>
      <c r="E1082" t="s">
        <v>2059</v>
      </c>
      <c r="F1082" t="s">
        <v>47</v>
      </c>
      <c r="G1082">
        <v>1272.4100000000001</v>
      </c>
      <c r="H1082" t="s">
        <v>2060</v>
      </c>
      <c r="I1082" t="str">
        <f>VLOOKUP(B1082,Customers!A:G,7,FALSE)</f>
        <v>Individual</v>
      </c>
      <c r="Q1082" t="str">
        <f>IF(COUNTIF(Customers!$A$2:$A$1001,B1082)&gt;0,"Valid","Invalid")</f>
        <v>Valid</v>
      </c>
      <c r="R1082" t="str">
        <f>IF(COUNTIF(Branches!$A$2:$A$11,F1082)&gt;0,"Valid","Invalid")</f>
        <v>Valid</v>
      </c>
    </row>
    <row r="1083" spans="1:18" x14ac:dyDescent="0.25">
      <c r="A1083" t="s">
        <v>3154</v>
      </c>
      <c r="B1083" t="s">
        <v>398</v>
      </c>
      <c r="C1083" s="8">
        <v>46060</v>
      </c>
      <c r="D1083" t="s">
        <v>2070</v>
      </c>
      <c r="E1083" t="s">
        <v>2068</v>
      </c>
      <c r="F1083" t="s">
        <v>11</v>
      </c>
      <c r="G1083">
        <v>348.97</v>
      </c>
      <c r="H1083" t="s">
        <v>2060</v>
      </c>
      <c r="I1083" t="str">
        <f>VLOOKUP(B1083,Customers!A:G,7,FALSE)</f>
        <v>Individual</v>
      </c>
      <c r="Q1083" t="str">
        <f>IF(COUNTIF(Customers!$A$2:$A$1001,B1083)&gt;0,"Valid","Invalid")</f>
        <v>Valid</v>
      </c>
      <c r="R1083" t="str">
        <f>IF(COUNTIF(Branches!$A$2:$A$11,F1083)&gt;0,"Valid","Invalid")</f>
        <v>Valid</v>
      </c>
    </row>
    <row r="1084" spans="1:18" x14ac:dyDescent="0.25">
      <c r="A1084" t="s">
        <v>3155</v>
      </c>
      <c r="B1084" t="s">
        <v>661</v>
      </c>
      <c r="C1084" s="8">
        <v>46252</v>
      </c>
      <c r="D1084" t="s">
        <v>2067</v>
      </c>
      <c r="E1084" t="s">
        <v>2059</v>
      </c>
      <c r="F1084" t="s">
        <v>45</v>
      </c>
      <c r="G1084">
        <v>1475.19</v>
      </c>
      <c r="H1084" t="s">
        <v>2060</v>
      </c>
      <c r="I1084" t="str">
        <f>VLOOKUP(B1084,Customers!A:G,7,FALSE)</f>
        <v>SME</v>
      </c>
      <c r="Q1084" t="str">
        <f>IF(COUNTIF(Customers!$A$2:$A$1001,B1084)&gt;0,"Valid","Invalid")</f>
        <v>Valid</v>
      </c>
      <c r="R1084" t="str">
        <f>IF(COUNTIF(Branches!$A$2:$A$11,F1084)&gt;0,"Valid","Invalid")</f>
        <v>Valid</v>
      </c>
    </row>
    <row r="1085" spans="1:18" x14ac:dyDescent="0.25">
      <c r="A1085" t="s">
        <v>3156</v>
      </c>
      <c r="B1085" t="s">
        <v>507</v>
      </c>
      <c r="C1085" s="8">
        <v>46200</v>
      </c>
      <c r="D1085" t="s">
        <v>2067</v>
      </c>
      <c r="E1085" t="s">
        <v>2063</v>
      </c>
      <c r="F1085" t="s">
        <v>29</v>
      </c>
      <c r="G1085">
        <v>140</v>
      </c>
      <c r="H1085" t="s">
        <v>2060</v>
      </c>
      <c r="I1085" t="str">
        <f>VLOOKUP(B1085,Customers!A:G,7,FALSE)</f>
        <v>Individual</v>
      </c>
      <c r="Q1085" t="str">
        <f>IF(COUNTIF(Customers!$A$2:$A$1001,B1085)&gt;0,"Valid","Invalid")</f>
        <v>Valid</v>
      </c>
      <c r="R1085" t="str">
        <f>IF(COUNTIF(Branches!$A$2:$A$11,F1085)&gt;0,"Valid","Invalid")</f>
        <v>Valid</v>
      </c>
    </row>
    <row r="1086" spans="1:18" x14ac:dyDescent="0.25">
      <c r="A1086" t="s">
        <v>3157</v>
      </c>
      <c r="B1086" t="s">
        <v>1023</v>
      </c>
      <c r="C1086" s="8">
        <v>46060</v>
      </c>
      <c r="D1086" t="s">
        <v>2065</v>
      </c>
      <c r="E1086" t="s">
        <v>2068</v>
      </c>
      <c r="F1086" t="s">
        <v>39</v>
      </c>
      <c r="G1086">
        <v>221.83</v>
      </c>
      <c r="H1086" t="s">
        <v>2060</v>
      </c>
      <c r="I1086" t="str">
        <f>VLOOKUP(B1086,Customers!A:G,7,FALSE)</f>
        <v>SME</v>
      </c>
      <c r="Q1086" t="str">
        <f>IF(COUNTIF(Customers!$A$2:$A$1001,B1086)&gt;0,"Valid","Invalid")</f>
        <v>Valid</v>
      </c>
      <c r="R1086" t="str">
        <f>IF(COUNTIF(Branches!$A$2:$A$11,F1086)&gt;0,"Valid","Invalid")</f>
        <v>Valid</v>
      </c>
    </row>
    <row r="1087" spans="1:18" x14ac:dyDescent="0.25">
      <c r="A1087" t="s">
        <v>3158</v>
      </c>
      <c r="B1087" t="s">
        <v>666</v>
      </c>
      <c r="C1087" s="8">
        <v>46125</v>
      </c>
      <c r="D1087" t="s">
        <v>2058</v>
      </c>
      <c r="E1087" t="s">
        <v>2068</v>
      </c>
      <c r="F1087" t="s">
        <v>29</v>
      </c>
      <c r="G1087">
        <v>5042.84</v>
      </c>
      <c r="H1087" t="s">
        <v>2060</v>
      </c>
      <c r="I1087" t="str">
        <f>VLOOKUP(B1087,Customers!A:G,7,FALSE)</f>
        <v>SME</v>
      </c>
      <c r="Q1087" t="str">
        <f>IF(COUNTIF(Customers!$A$2:$A$1001,B1087)&gt;0,"Valid","Invalid")</f>
        <v>Valid</v>
      </c>
      <c r="R1087" t="str">
        <f>IF(COUNTIF(Branches!$A$2:$A$11,F1087)&gt;0,"Valid","Invalid")</f>
        <v>Valid</v>
      </c>
    </row>
    <row r="1088" spans="1:18" x14ac:dyDescent="0.25">
      <c r="A1088" t="s">
        <v>3159</v>
      </c>
      <c r="B1088" t="s">
        <v>738</v>
      </c>
      <c r="C1088" s="8">
        <v>46078</v>
      </c>
      <c r="D1088" t="s">
        <v>2062</v>
      </c>
      <c r="E1088" t="s">
        <v>2059</v>
      </c>
      <c r="F1088" t="s">
        <v>47</v>
      </c>
      <c r="G1088">
        <v>231.32</v>
      </c>
      <c r="H1088" t="s">
        <v>2060</v>
      </c>
      <c r="I1088" t="str">
        <f>VLOOKUP(B1088,Customers!A:G,7,FALSE)</f>
        <v>Individual</v>
      </c>
      <c r="Q1088" t="str">
        <f>IF(COUNTIF(Customers!$A$2:$A$1001,B1088)&gt;0,"Valid","Invalid")</f>
        <v>Valid</v>
      </c>
      <c r="R1088" t="str">
        <f>IF(COUNTIF(Branches!$A$2:$A$11,F1088)&gt;0,"Valid","Invalid")</f>
        <v>Valid</v>
      </c>
    </row>
    <row r="1089" spans="1:18" x14ac:dyDescent="0.25">
      <c r="A1089" t="s">
        <v>3160</v>
      </c>
      <c r="B1089" t="s">
        <v>93</v>
      </c>
      <c r="C1089" s="8">
        <v>46085</v>
      </c>
      <c r="D1089" t="s">
        <v>2062</v>
      </c>
      <c r="E1089" t="s">
        <v>2076</v>
      </c>
      <c r="F1089" t="s">
        <v>27</v>
      </c>
      <c r="G1089">
        <v>114.44</v>
      </c>
      <c r="H1089" t="s">
        <v>2060</v>
      </c>
      <c r="I1089" t="str">
        <f>VLOOKUP(B1089,Customers!A:G,7,FALSE)</f>
        <v>Student</v>
      </c>
      <c r="Q1089" t="str">
        <f>IF(COUNTIF(Customers!$A$2:$A$1001,B1089)&gt;0,"Valid","Invalid")</f>
        <v>Valid</v>
      </c>
      <c r="R1089" t="str">
        <f>IF(COUNTIF(Branches!$A$2:$A$11,F1089)&gt;0,"Valid","Invalid")</f>
        <v>Valid</v>
      </c>
    </row>
    <row r="1090" spans="1:18" x14ac:dyDescent="0.25">
      <c r="A1090" t="s">
        <v>3161</v>
      </c>
      <c r="B1090" t="s">
        <v>289</v>
      </c>
      <c r="C1090" s="8">
        <v>46142</v>
      </c>
      <c r="D1090" t="s">
        <v>2065</v>
      </c>
      <c r="E1090" t="s">
        <v>2063</v>
      </c>
      <c r="F1090" t="s">
        <v>53</v>
      </c>
      <c r="G1090">
        <v>237.12</v>
      </c>
      <c r="H1090" t="s">
        <v>2060</v>
      </c>
      <c r="I1090" t="str">
        <f>VLOOKUP(B1090,Customers!A:G,7,FALSE)</f>
        <v>Student</v>
      </c>
      <c r="Q1090" t="str">
        <f>IF(COUNTIF(Customers!$A$2:$A$1001,B1090)&gt;0,"Valid","Invalid")</f>
        <v>Valid</v>
      </c>
      <c r="R1090" t="str">
        <f>IF(COUNTIF(Branches!$A$2:$A$11,F1090)&gt;0,"Valid","Invalid")</f>
        <v>Valid</v>
      </c>
    </row>
    <row r="1091" spans="1:18" x14ac:dyDescent="0.25">
      <c r="A1091" t="s">
        <v>3162</v>
      </c>
      <c r="B1091" t="s">
        <v>934</v>
      </c>
      <c r="C1091" s="8">
        <v>46070</v>
      </c>
      <c r="D1091" t="s">
        <v>2067</v>
      </c>
      <c r="E1091" t="s">
        <v>2059</v>
      </c>
      <c r="F1091" t="s">
        <v>53</v>
      </c>
      <c r="G1091">
        <v>4628.82</v>
      </c>
      <c r="H1091" t="s">
        <v>2060</v>
      </c>
      <c r="I1091" t="str">
        <f>VLOOKUP(B1091,Customers!A:G,7,FALSE)</f>
        <v>Individual</v>
      </c>
      <c r="Q1091" t="str">
        <f>IF(COUNTIF(Customers!$A$2:$A$1001,B1091)&gt;0,"Valid","Invalid")</f>
        <v>Valid</v>
      </c>
      <c r="R1091" t="str">
        <f>IF(COUNTIF(Branches!$A$2:$A$11,F1091)&gt;0,"Valid","Invalid")</f>
        <v>Valid</v>
      </c>
    </row>
    <row r="1092" spans="1:18" x14ac:dyDescent="0.25">
      <c r="A1092" t="s">
        <v>3163</v>
      </c>
      <c r="B1092" t="s">
        <v>957</v>
      </c>
      <c r="C1092" s="8">
        <v>46127</v>
      </c>
      <c r="D1092" t="s">
        <v>2065</v>
      </c>
      <c r="E1092" t="s">
        <v>2063</v>
      </c>
      <c r="F1092" t="s">
        <v>39</v>
      </c>
      <c r="G1092">
        <v>135.38999999999999</v>
      </c>
      <c r="H1092" t="s">
        <v>2060</v>
      </c>
      <c r="I1092" t="str">
        <f>VLOOKUP(B1092,Customers!A:G,7,FALSE)</f>
        <v>Individual</v>
      </c>
      <c r="Q1092" t="str">
        <f>IF(COUNTIF(Customers!$A$2:$A$1001,B1092)&gt;0,"Valid","Invalid")</f>
        <v>Valid</v>
      </c>
      <c r="R1092" t="str">
        <f>IF(COUNTIF(Branches!$A$2:$A$11,F1092)&gt;0,"Valid","Invalid")</f>
        <v>Valid</v>
      </c>
    </row>
    <row r="1093" spans="1:18" x14ac:dyDescent="0.25">
      <c r="A1093" t="s">
        <v>3164</v>
      </c>
      <c r="B1093" t="s">
        <v>186</v>
      </c>
      <c r="C1093" s="8">
        <v>46240</v>
      </c>
      <c r="D1093" t="s">
        <v>2058</v>
      </c>
      <c r="E1093" t="s">
        <v>2063</v>
      </c>
      <c r="F1093" t="s">
        <v>47</v>
      </c>
      <c r="G1093">
        <v>312.37</v>
      </c>
      <c r="H1093" t="s">
        <v>2060</v>
      </c>
      <c r="I1093" t="str">
        <f>VLOOKUP(B1093,Customers!A:G,7,FALSE)</f>
        <v>SME</v>
      </c>
      <c r="Q1093" t="str">
        <f>IF(COUNTIF(Customers!$A$2:$A$1001,B1093)&gt;0,"Valid","Invalid")</f>
        <v>Valid</v>
      </c>
      <c r="R1093" t="str">
        <f>IF(COUNTIF(Branches!$A$2:$A$11,F1093)&gt;0,"Valid","Invalid")</f>
        <v>Valid</v>
      </c>
    </row>
    <row r="1094" spans="1:18" x14ac:dyDescent="0.25">
      <c r="A1094" t="s">
        <v>3165</v>
      </c>
      <c r="B1094" t="s">
        <v>490</v>
      </c>
      <c r="C1094" s="8">
        <v>46081</v>
      </c>
      <c r="D1094" t="s">
        <v>2065</v>
      </c>
      <c r="E1094" t="s">
        <v>2076</v>
      </c>
      <c r="F1094" t="s">
        <v>11</v>
      </c>
      <c r="G1094">
        <v>189.01</v>
      </c>
      <c r="H1094" t="s">
        <v>2060</v>
      </c>
      <c r="I1094" t="str">
        <f>VLOOKUP(B1094,Customers!A:G,7,FALSE)</f>
        <v>Individual</v>
      </c>
      <c r="Q1094" t="str">
        <f>IF(COUNTIF(Customers!$A$2:$A$1001,B1094)&gt;0,"Valid","Invalid")</f>
        <v>Valid</v>
      </c>
      <c r="R1094" t="str">
        <f>IF(COUNTIF(Branches!$A$2:$A$11,F1094)&gt;0,"Valid","Invalid")</f>
        <v>Valid</v>
      </c>
    </row>
    <row r="1095" spans="1:18" x14ac:dyDescent="0.25">
      <c r="A1095" t="s">
        <v>3166</v>
      </c>
      <c r="B1095" t="s">
        <v>198</v>
      </c>
      <c r="C1095" s="8">
        <v>46099</v>
      </c>
      <c r="D1095" t="s">
        <v>2062</v>
      </c>
      <c r="E1095" t="s">
        <v>2063</v>
      </c>
      <c r="F1095" t="s">
        <v>39</v>
      </c>
      <c r="G1095">
        <v>617.62</v>
      </c>
      <c r="H1095" t="s">
        <v>2060</v>
      </c>
      <c r="I1095" t="str">
        <f>VLOOKUP(B1095,Customers!A:G,7,FALSE)</f>
        <v>Individual</v>
      </c>
      <c r="Q1095" t="str">
        <f>IF(COUNTIF(Customers!$A$2:$A$1001,B1095)&gt;0,"Valid","Invalid")</f>
        <v>Valid</v>
      </c>
      <c r="R1095" t="str">
        <f>IF(COUNTIF(Branches!$A$2:$A$11,F1095)&gt;0,"Valid","Invalid")</f>
        <v>Valid</v>
      </c>
    </row>
    <row r="1096" spans="1:18" x14ac:dyDescent="0.25">
      <c r="A1096" t="s">
        <v>3167</v>
      </c>
      <c r="B1096" t="s">
        <v>156</v>
      </c>
      <c r="C1096" s="8">
        <v>46194</v>
      </c>
      <c r="D1096" t="s">
        <v>2065</v>
      </c>
      <c r="E1096" t="s">
        <v>2076</v>
      </c>
      <c r="F1096" t="s">
        <v>27</v>
      </c>
      <c r="G1096">
        <v>525.30999999999995</v>
      </c>
      <c r="H1096" t="s">
        <v>2115</v>
      </c>
      <c r="I1096" t="str">
        <f>VLOOKUP(B1096,Customers!A:G,7,FALSE)</f>
        <v>Individual</v>
      </c>
      <c r="Q1096" t="str">
        <f>IF(COUNTIF(Customers!$A$2:$A$1001,B1096)&gt;0,"Valid","Invalid")</f>
        <v>Valid</v>
      </c>
      <c r="R1096" t="str">
        <f>IF(COUNTIF(Branches!$A$2:$A$11,F1096)&gt;0,"Valid","Invalid")</f>
        <v>Valid</v>
      </c>
    </row>
    <row r="1097" spans="1:18" x14ac:dyDescent="0.25">
      <c r="A1097" t="s">
        <v>3168</v>
      </c>
      <c r="B1097" t="s">
        <v>620</v>
      </c>
      <c r="C1097" s="8">
        <v>46265</v>
      </c>
      <c r="D1097" t="s">
        <v>2067</v>
      </c>
      <c r="E1097" t="s">
        <v>2068</v>
      </c>
      <c r="F1097" t="s">
        <v>29</v>
      </c>
      <c r="G1097">
        <v>502.32</v>
      </c>
      <c r="H1097" t="s">
        <v>2060</v>
      </c>
      <c r="I1097" t="str">
        <f>VLOOKUP(B1097,Customers!A:G,7,FALSE)</f>
        <v>Student</v>
      </c>
      <c r="Q1097" t="str">
        <f>IF(COUNTIF(Customers!$A$2:$A$1001,B1097)&gt;0,"Valid","Invalid")</f>
        <v>Valid</v>
      </c>
      <c r="R1097" t="str">
        <f>IF(COUNTIF(Branches!$A$2:$A$11,F1097)&gt;0,"Valid","Invalid")</f>
        <v>Valid</v>
      </c>
    </row>
    <row r="1098" spans="1:18" x14ac:dyDescent="0.25">
      <c r="A1098" t="s">
        <v>3169</v>
      </c>
      <c r="B1098" t="s">
        <v>962</v>
      </c>
      <c r="C1098" s="8">
        <v>46240</v>
      </c>
      <c r="D1098" t="s">
        <v>2062</v>
      </c>
      <c r="E1098" t="s">
        <v>2063</v>
      </c>
      <c r="F1098" t="s">
        <v>39</v>
      </c>
      <c r="G1098">
        <v>5198.54</v>
      </c>
      <c r="H1098" t="s">
        <v>2060</v>
      </c>
      <c r="I1098" t="str">
        <f>VLOOKUP(B1098,Customers!A:G,7,FALSE)</f>
        <v>Individual</v>
      </c>
      <c r="Q1098" t="str">
        <f>IF(COUNTIF(Customers!$A$2:$A$1001,B1098)&gt;0,"Valid","Invalid")</f>
        <v>Valid</v>
      </c>
      <c r="R1098" t="str">
        <f>IF(COUNTIF(Branches!$A$2:$A$11,F1098)&gt;0,"Valid","Invalid")</f>
        <v>Valid</v>
      </c>
    </row>
    <row r="1099" spans="1:18" x14ac:dyDescent="0.25">
      <c r="A1099" t="s">
        <v>3170</v>
      </c>
      <c r="B1099" t="s">
        <v>389</v>
      </c>
      <c r="C1099" s="8">
        <v>46149</v>
      </c>
      <c r="D1099" t="s">
        <v>2067</v>
      </c>
      <c r="E1099" t="s">
        <v>2076</v>
      </c>
      <c r="F1099" t="s">
        <v>39</v>
      </c>
      <c r="G1099">
        <v>244.92</v>
      </c>
      <c r="H1099" t="s">
        <v>2060</v>
      </c>
      <c r="I1099" t="str">
        <f>VLOOKUP(B1099,Customers!A:G,7,FALSE)</f>
        <v>Individual</v>
      </c>
      <c r="Q1099" t="str">
        <f>IF(COUNTIF(Customers!$A$2:$A$1001,B1099)&gt;0,"Valid","Invalid")</f>
        <v>Valid</v>
      </c>
      <c r="R1099" t="str">
        <f>IF(COUNTIF(Branches!$A$2:$A$11,F1099)&gt;0,"Valid","Invalid")</f>
        <v>Valid</v>
      </c>
    </row>
    <row r="1100" spans="1:18" x14ac:dyDescent="0.25">
      <c r="A1100" t="s">
        <v>3171</v>
      </c>
      <c r="B1100" t="s">
        <v>135</v>
      </c>
      <c r="C1100" s="8">
        <v>46077</v>
      </c>
      <c r="D1100" t="s">
        <v>2065</v>
      </c>
      <c r="E1100" t="s">
        <v>2059</v>
      </c>
      <c r="F1100" t="s">
        <v>29</v>
      </c>
      <c r="G1100">
        <v>733.49</v>
      </c>
      <c r="H1100" t="s">
        <v>2060</v>
      </c>
      <c r="I1100" t="str">
        <f>VLOOKUP(B1100,Customers!A:G,7,FALSE)</f>
        <v>Individual</v>
      </c>
      <c r="Q1100" t="str">
        <f>IF(COUNTIF(Customers!$A$2:$A$1001,B1100)&gt;0,"Valid","Invalid")</f>
        <v>Valid</v>
      </c>
      <c r="R1100" t="str">
        <f>IF(COUNTIF(Branches!$A$2:$A$11,F1100)&gt;0,"Valid","Invalid")</f>
        <v>Valid</v>
      </c>
    </row>
    <row r="1101" spans="1:18" x14ac:dyDescent="0.25">
      <c r="A1101" t="s">
        <v>3172</v>
      </c>
      <c r="B1101" t="s">
        <v>203</v>
      </c>
      <c r="C1101" s="8">
        <v>46077</v>
      </c>
      <c r="D1101" t="s">
        <v>2058</v>
      </c>
      <c r="E1101" t="s">
        <v>2063</v>
      </c>
      <c r="F1101" t="s">
        <v>21</v>
      </c>
      <c r="G1101">
        <v>1139.79</v>
      </c>
      <c r="H1101" t="s">
        <v>2060</v>
      </c>
      <c r="I1101" t="str">
        <f>VLOOKUP(B1101,Customers!A:G,7,FALSE)</f>
        <v>Student</v>
      </c>
      <c r="Q1101" t="str">
        <f>IF(COUNTIF(Customers!$A$2:$A$1001,B1101)&gt;0,"Valid","Invalid")</f>
        <v>Valid</v>
      </c>
      <c r="R1101" t="str">
        <f>IF(COUNTIF(Branches!$A$2:$A$11,F1101)&gt;0,"Valid","Invalid")</f>
        <v>Valid</v>
      </c>
    </row>
    <row r="1102" spans="1:18" x14ac:dyDescent="0.25">
      <c r="A1102" t="s">
        <v>3173</v>
      </c>
      <c r="B1102" t="s">
        <v>848</v>
      </c>
      <c r="C1102" s="8">
        <v>46151</v>
      </c>
      <c r="D1102" t="s">
        <v>2065</v>
      </c>
      <c r="E1102" t="s">
        <v>2076</v>
      </c>
      <c r="F1102" t="s">
        <v>27</v>
      </c>
      <c r="G1102">
        <v>304.83999999999997</v>
      </c>
      <c r="H1102" t="s">
        <v>2060</v>
      </c>
      <c r="I1102" t="str">
        <f>VLOOKUP(B1102,Customers!A:G,7,FALSE)</f>
        <v>Individual</v>
      </c>
      <c r="Q1102" t="str">
        <f>IF(COUNTIF(Customers!$A$2:$A$1001,B1102)&gt;0,"Valid","Invalid")</f>
        <v>Valid</v>
      </c>
      <c r="R1102" t="str">
        <f>IF(COUNTIF(Branches!$A$2:$A$11,F1102)&gt;0,"Valid","Invalid")</f>
        <v>Valid</v>
      </c>
    </row>
    <row r="1103" spans="1:18" x14ac:dyDescent="0.25">
      <c r="A1103" t="s">
        <v>3174</v>
      </c>
      <c r="B1103" t="s">
        <v>701</v>
      </c>
      <c r="C1103" s="8">
        <v>46158</v>
      </c>
      <c r="D1103" t="s">
        <v>2070</v>
      </c>
      <c r="E1103" t="s">
        <v>2076</v>
      </c>
      <c r="F1103" t="s">
        <v>47</v>
      </c>
      <c r="G1103">
        <v>1321.59</v>
      </c>
      <c r="H1103" t="s">
        <v>2060</v>
      </c>
      <c r="I1103" t="str">
        <f>VLOOKUP(B1103,Customers!A:G,7,FALSE)</f>
        <v>Individual</v>
      </c>
      <c r="Q1103" t="str">
        <f>IF(COUNTIF(Customers!$A$2:$A$1001,B1103)&gt;0,"Valid","Invalid")</f>
        <v>Valid</v>
      </c>
      <c r="R1103" t="str">
        <f>IF(COUNTIF(Branches!$A$2:$A$11,F1103)&gt;0,"Valid","Invalid")</f>
        <v>Valid</v>
      </c>
    </row>
    <row r="1104" spans="1:18" x14ac:dyDescent="0.25">
      <c r="A1104" t="s">
        <v>3175</v>
      </c>
      <c r="B1104" t="s">
        <v>876</v>
      </c>
      <c r="C1104" s="8">
        <v>46149</v>
      </c>
      <c r="D1104" t="s">
        <v>2058</v>
      </c>
      <c r="E1104" t="s">
        <v>2059</v>
      </c>
      <c r="F1104" t="s">
        <v>27</v>
      </c>
      <c r="G1104">
        <v>544.67999999999995</v>
      </c>
      <c r="H1104" t="s">
        <v>2060</v>
      </c>
      <c r="I1104" t="str">
        <f>VLOOKUP(B1104,Customers!A:G,7,FALSE)</f>
        <v>Individual</v>
      </c>
      <c r="Q1104" t="str">
        <f>IF(COUNTIF(Customers!$A$2:$A$1001,B1104)&gt;0,"Valid","Invalid")</f>
        <v>Valid</v>
      </c>
      <c r="R1104" t="str">
        <f>IF(COUNTIF(Branches!$A$2:$A$11,F1104)&gt;0,"Valid","Invalid")</f>
        <v>Valid</v>
      </c>
    </row>
    <row r="1105" spans="1:18" x14ac:dyDescent="0.25">
      <c r="A1105" t="s">
        <v>3176</v>
      </c>
      <c r="B1105" t="s">
        <v>1014</v>
      </c>
      <c r="C1105" s="8">
        <v>46154</v>
      </c>
      <c r="D1105" t="s">
        <v>2065</v>
      </c>
      <c r="E1105" t="s">
        <v>2073</v>
      </c>
      <c r="F1105" t="s">
        <v>27</v>
      </c>
      <c r="G1105">
        <v>1181.23</v>
      </c>
      <c r="H1105" t="s">
        <v>2060</v>
      </c>
      <c r="I1105" t="str">
        <f>VLOOKUP(B1105,Customers!A:G,7,FALSE)</f>
        <v>SME</v>
      </c>
      <c r="Q1105" t="str">
        <f>IF(COUNTIF(Customers!$A$2:$A$1001,B1105)&gt;0,"Valid","Invalid")</f>
        <v>Valid</v>
      </c>
      <c r="R1105" t="str">
        <f>IF(COUNTIF(Branches!$A$2:$A$11,F1105)&gt;0,"Valid","Invalid")</f>
        <v>Valid</v>
      </c>
    </row>
    <row r="1106" spans="1:18" x14ac:dyDescent="0.25">
      <c r="A1106" t="s">
        <v>3177</v>
      </c>
      <c r="B1106" t="s">
        <v>552</v>
      </c>
      <c r="C1106" s="8">
        <v>46107</v>
      </c>
      <c r="D1106" t="s">
        <v>2058</v>
      </c>
      <c r="E1106" t="s">
        <v>2059</v>
      </c>
      <c r="F1106" t="s">
        <v>35</v>
      </c>
      <c r="G1106">
        <v>729.24</v>
      </c>
      <c r="H1106" t="s">
        <v>2060</v>
      </c>
      <c r="I1106" t="str">
        <f>VLOOKUP(B1106,Customers!A:G,7,FALSE)</f>
        <v>Individual</v>
      </c>
      <c r="Q1106" t="str">
        <f>IF(COUNTIF(Customers!$A$2:$A$1001,B1106)&gt;0,"Valid","Invalid")</f>
        <v>Valid</v>
      </c>
      <c r="R1106" t="str">
        <f>IF(COUNTIF(Branches!$A$2:$A$11,F1106)&gt;0,"Valid","Invalid")</f>
        <v>Valid</v>
      </c>
    </row>
    <row r="1107" spans="1:18" x14ac:dyDescent="0.25">
      <c r="A1107" t="s">
        <v>3178</v>
      </c>
      <c r="B1107" t="s">
        <v>702</v>
      </c>
      <c r="C1107" s="8">
        <v>46236</v>
      </c>
      <c r="D1107" t="s">
        <v>2065</v>
      </c>
      <c r="E1107" t="s">
        <v>2073</v>
      </c>
      <c r="F1107" t="s">
        <v>21</v>
      </c>
      <c r="G1107">
        <v>104.53</v>
      </c>
      <c r="H1107" t="s">
        <v>2060</v>
      </c>
      <c r="I1107" t="str">
        <f>VLOOKUP(B1107,Customers!A:G,7,FALSE)</f>
        <v>Individual</v>
      </c>
      <c r="Q1107" t="str">
        <f>IF(COUNTIF(Customers!$A$2:$A$1001,B1107)&gt;0,"Valid","Invalid")</f>
        <v>Valid</v>
      </c>
      <c r="R1107" t="str">
        <f>IF(COUNTIF(Branches!$A$2:$A$11,F1107)&gt;0,"Valid","Invalid")</f>
        <v>Valid</v>
      </c>
    </row>
    <row r="1108" spans="1:18" x14ac:dyDescent="0.25">
      <c r="A1108" t="s">
        <v>3179</v>
      </c>
      <c r="B1108" t="s">
        <v>439</v>
      </c>
      <c r="C1108" s="8">
        <v>46137</v>
      </c>
      <c r="D1108" t="s">
        <v>2062</v>
      </c>
      <c r="E1108" t="s">
        <v>2059</v>
      </c>
      <c r="F1108" t="s">
        <v>11</v>
      </c>
      <c r="G1108">
        <v>2999.19</v>
      </c>
      <c r="H1108" t="s">
        <v>2060</v>
      </c>
      <c r="I1108" t="str">
        <f>VLOOKUP(B1108,Customers!A:G,7,FALSE)</f>
        <v>Individual</v>
      </c>
      <c r="Q1108" t="str">
        <f>IF(COUNTIF(Customers!$A$2:$A$1001,B1108)&gt;0,"Valid","Invalid")</f>
        <v>Valid</v>
      </c>
      <c r="R1108" t="str">
        <f>IF(COUNTIF(Branches!$A$2:$A$11,F1108)&gt;0,"Valid","Invalid")</f>
        <v>Valid</v>
      </c>
    </row>
    <row r="1109" spans="1:18" x14ac:dyDescent="0.25">
      <c r="A1109" t="s">
        <v>3180</v>
      </c>
      <c r="B1109" t="s">
        <v>403</v>
      </c>
      <c r="C1109" s="8">
        <v>46203</v>
      </c>
      <c r="D1109" t="s">
        <v>2070</v>
      </c>
      <c r="E1109" t="s">
        <v>2063</v>
      </c>
      <c r="F1109" t="s">
        <v>29</v>
      </c>
      <c r="G1109">
        <v>6441.12</v>
      </c>
      <c r="H1109" t="s">
        <v>2060</v>
      </c>
      <c r="I1109" t="str">
        <f>VLOOKUP(B1109,Customers!A:G,7,FALSE)</f>
        <v>SME</v>
      </c>
      <c r="Q1109" t="str">
        <f>IF(COUNTIF(Customers!$A$2:$A$1001,B1109)&gt;0,"Valid","Invalid")</f>
        <v>Valid</v>
      </c>
      <c r="R1109" t="str">
        <f>IF(COUNTIF(Branches!$A$2:$A$11,F1109)&gt;0,"Valid","Invalid")</f>
        <v>Valid</v>
      </c>
    </row>
    <row r="1110" spans="1:18" x14ac:dyDescent="0.25">
      <c r="A1110" t="s">
        <v>3181</v>
      </c>
      <c r="B1110" t="s">
        <v>615</v>
      </c>
      <c r="C1110" s="8">
        <v>46080</v>
      </c>
      <c r="D1110" t="s">
        <v>2062</v>
      </c>
      <c r="E1110" t="s">
        <v>2059</v>
      </c>
      <c r="F1110" t="s">
        <v>35</v>
      </c>
      <c r="G1110">
        <v>680.78</v>
      </c>
      <c r="H1110" t="s">
        <v>2060</v>
      </c>
      <c r="I1110" t="str">
        <f>VLOOKUP(B1110,Customers!A:G,7,FALSE)</f>
        <v>Student</v>
      </c>
      <c r="Q1110" t="str">
        <f>IF(COUNTIF(Customers!$A$2:$A$1001,B1110)&gt;0,"Valid","Invalid")</f>
        <v>Valid</v>
      </c>
      <c r="R1110" t="str">
        <f>IF(COUNTIF(Branches!$A$2:$A$11,F1110)&gt;0,"Valid","Invalid")</f>
        <v>Valid</v>
      </c>
    </row>
    <row r="1111" spans="1:18" x14ac:dyDescent="0.25">
      <c r="A1111" t="s">
        <v>3182</v>
      </c>
      <c r="B1111" t="s">
        <v>364</v>
      </c>
      <c r="C1111" s="8">
        <v>46059</v>
      </c>
      <c r="D1111" t="s">
        <v>2067</v>
      </c>
      <c r="E1111" t="s">
        <v>2063</v>
      </c>
      <c r="F1111" t="s">
        <v>45</v>
      </c>
      <c r="G1111">
        <v>330.98</v>
      </c>
      <c r="H1111" t="s">
        <v>2060</v>
      </c>
      <c r="I1111" t="str">
        <f>VLOOKUP(B1111,Customers!A:G,7,FALSE)</f>
        <v>Student</v>
      </c>
      <c r="Q1111" t="str">
        <f>IF(COUNTIF(Customers!$A$2:$A$1001,B1111)&gt;0,"Valid","Invalid")</f>
        <v>Valid</v>
      </c>
      <c r="R1111" t="str">
        <f>IF(COUNTIF(Branches!$A$2:$A$11,F1111)&gt;0,"Valid","Invalid")</f>
        <v>Valid</v>
      </c>
    </row>
    <row r="1112" spans="1:18" x14ac:dyDescent="0.25">
      <c r="A1112" t="s">
        <v>3183</v>
      </c>
      <c r="B1112" t="s">
        <v>619</v>
      </c>
      <c r="C1112" s="8">
        <v>46071</v>
      </c>
      <c r="D1112" t="s">
        <v>2067</v>
      </c>
      <c r="E1112" t="s">
        <v>2076</v>
      </c>
      <c r="F1112" t="s">
        <v>47</v>
      </c>
      <c r="G1112">
        <v>3662.91</v>
      </c>
      <c r="H1112" t="s">
        <v>2060</v>
      </c>
      <c r="I1112" t="str">
        <f>VLOOKUP(B1112,Customers!A:G,7,FALSE)</f>
        <v>Individual</v>
      </c>
      <c r="Q1112" t="str">
        <f>IF(COUNTIF(Customers!$A$2:$A$1001,B1112)&gt;0,"Valid","Invalid")</f>
        <v>Valid</v>
      </c>
      <c r="R1112" t="str">
        <f>IF(COUNTIF(Branches!$A$2:$A$11,F1112)&gt;0,"Valid","Invalid")</f>
        <v>Valid</v>
      </c>
    </row>
    <row r="1113" spans="1:18" x14ac:dyDescent="0.25">
      <c r="A1113" t="s">
        <v>3184</v>
      </c>
      <c r="B1113" t="s">
        <v>671</v>
      </c>
      <c r="C1113" s="8">
        <v>46089</v>
      </c>
      <c r="D1113" t="s">
        <v>2065</v>
      </c>
      <c r="E1113" t="s">
        <v>2076</v>
      </c>
      <c r="F1113" t="s">
        <v>29</v>
      </c>
      <c r="G1113">
        <v>5379.67</v>
      </c>
      <c r="H1113" t="s">
        <v>2060</v>
      </c>
      <c r="I1113" t="str">
        <f>VLOOKUP(B1113,Customers!A:G,7,FALSE)</f>
        <v>Individual</v>
      </c>
      <c r="Q1113" t="str">
        <f>IF(COUNTIF(Customers!$A$2:$A$1001,B1113)&gt;0,"Valid","Invalid")</f>
        <v>Valid</v>
      </c>
      <c r="R1113" t="str">
        <f>IF(COUNTIF(Branches!$A$2:$A$11,F1113)&gt;0,"Valid","Invalid")</f>
        <v>Valid</v>
      </c>
    </row>
    <row r="1114" spans="1:18" x14ac:dyDescent="0.25">
      <c r="A1114" t="s">
        <v>3185</v>
      </c>
      <c r="B1114" t="s">
        <v>659</v>
      </c>
      <c r="C1114" s="8">
        <v>46041</v>
      </c>
      <c r="D1114" t="s">
        <v>2058</v>
      </c>
      <c r="E1114" t="s">
        <v>2059</v>
      </c>
      <c r="F1114" t="s">
        <v>21</v>
      </c>
      <c r="G1114">
        <v>686.22</v>
      </c>
      <c r="H1114" t="s">
        <v>2060</v>
      </c>
      <c r="I1114" t="str">
        <f>VLOOKUP(B1114,Customers!A:G,7,FALSE)</f>
        <v>SME</v>
      </c>
      <c r="Q1114" t="str">
        <f>IF(COUNTIF(Customers!$A$2:$A$1001,B1114)&gt;0,"Valid","Invalid")</f>
        <v>Valid</v>
      </c>
      <c r="R1114" t="str">
        <f>IF(COUNTIF(Branches!$A$2:$A$11,F1114)&gt;0,"Valid","Invalid")</f>
        <v>Valid</v>
      </c>
    </row>
    <row r="1115" spans="1:18" x14ac:dyDescent="0.25">
      <c r="A1115" t="s">
        <v>3186</v>
      </c>
      <c r="B1115" t="s">
        <v>866</v>
      </c>
      <c r="C1115" s="8">
        <v>46151</v>
      </c>
      <c r="D1115" t="s">
        <v>2058</v>
      </c>
      <c r="E1115" t="s">
        <v>2063</v>
      </c>
      <c r="F1115" t="s">
        <v>21</v>
      </c>
      <c r="G1115">
        <v>652.83000000000004</v>
      </c>
      <c r="H1115" t="s">
        <v>2107</v>
      </c>
      <c r="I1115" t="str">
        <f>VLOOKUP(B1115,Customers!A:G,7,FALSE)</f>
        <v>Individual</v>
      </c>
      <c r="Q1115" t="str">
        <f>IF(COUNTIF(Customers!$A$2:$A$1001,B1115)&gt;0,"Valid","Invalid")</f>
        <v>Valid</v>
      </c>
      <c r="R1115" t="str">
        <f>IF(COUNTIF(Branches!$A$2:$A$11,F1115)&gt;0,"Valid","Invalid")</f>
        <v>Valid</v>
      </c>
    </row>
    <row r="1116" spans="1:18" x14ac:dyDescent="0.25">
      <c r="A1116" t="s">
        <v>3187</v>
      </c>
      <c r="B1116" t="s">
        <v>285</v>
      </c>
      <c r="C1116" s="8">
        <v>46051</v>
      </c>
      <c r="D1116" t="s">
        <v>2067</v>
      </c>
      <c r="E1116" t="s">
        <v>2059</v>
      </c>
      <c r="F1116" t="s">
        <v>47</v>
      </c>
      <c r="G1116">
        <v>750.01</v>
      </c>
      <c r="H1116" t="s">
        <v>2060</v>
      </c>
      <c r="I1116" t="str">
        <f>VLOOKUP(B1116,Customers!A:G,7,FALSE)</f>
        <v>Individual</v>
      </c>
      <c r="Q1116" t="str">
        <f>IF(COUNTIF(Customers!$A$2:$A$1001,B1116)&gt;0,"Valid","Invalid")</f>
        <v>Valid</v>
      </c>
      <c r="R1116" t="str">
        <f>IF(COUNTIF(Branches!$A$2:$A$11,F1116)&gt;0,"Valid","Invalid")</f>
        <v>Valid</v>
      </c>
    </row>
    <row r="1117" spans="1:18" x14ac:dyDescent="0.25">
      <c r="A1117" t="s">
        <v>3188</v>
      </c>
      <c r="B1117" t="s">
        <v>472</v>
      </c>
      <c r="C1117" s="8">
        <v>46109</v>
      </c>
      <c r="D1117" t="s">
        <v>2062</v>
      </c>
      <c r="E1117" t="s">
        <v>2063</v>
      </c>
      <c r="F1117" t="s">
        <v>39</v>
      </c>
      <c r="G1117">
        <v>152.24</v>
      </c>
      <c r="H1117" t="s">
        <v>2060</v>
      </c>
      <c r="I1117" t="str">
        <f>VLOOKUP(B1117,Customers!A:G,7,FALSE)</f>
        <v>Individual</v>
      </c>
      <c r="Q1117" t="str">
        <f>IF(COUNTIF(Customers!$A$2:$A$1001,B1117)&gt;0,"Valid","Invalid")</f>
        <v>Valid</v>
      </c>
      <c r="R1117" t="str">
        <f>IF(COUNTIF(Branches!$A$2:$A$11,F1117)&gt;0,"Valid","Invalid")</f>
        <v>Valid</v>
      </c>
    </row>
    <row r="1118" spans="1:18" x14ac:dyDescent="0.25">
      <c r="A1118" t="s">
        <v>3189</v>
      </c>
      <c r="B1118" t="s">
        <v>129</v>
      </c>
      <c r="C1118" s="8">
        <v>46055</v>
      </c>
      <c r="D1118" t="s">
        <v>2065</v>
      </c>
      <c r="E1118" t="s">
        <v>2076</v>
      </c>
      <c r="F1118" t="s">
        <v>47</v>
      </c>
      <c r="G1118">
        <v>607.21</v>
      </c>
      <c r="H1118" t="s">
        <v>2107</v>
      </c>
      <c r="I1118" t="str">
        <f>VLOOKUP(B1118,Customers!A:G,7,FALSE)</f>
        <v>Individual</v>
      </c>
      <c r="Q1118" t="str">
        <f>IF(COUNTIF(Customers!$A$2:$A$1001,B1118)&gt;0,"Valid","Invalid")</f>
        <v>Valid</v>
      </c>
      <c r="R1118" t="str">
        <f>IF(COUNTIF(Branches!$A$2:$A$11,F1118)&gt;0,"Valid","Invalid")</f>
        <v>Valid</v>
      </c>
    </row>
    <row r="1119" spans="1:18" x14ac:dyDescent="0.25">
      <c r="A1119" t="s">
        <v>3190</v>
      </c>
      <c r="B1119" t="s">
        <v>306</v>
      </c>
      <c r="C1119" s="8">
        <v>46141</v>
      </c>
      <c r="D1119" t="s">
        <v>2065</v>
      </c>
      <c r="E1119" t="s">
        <v>2068</v>
      </c>
      <c r="F1119" t="s">
        <v>47</v>
      </c>
      <c r="G1119">
        <v>4514.01</v>
      </c>
      <c r="H1119" t="s">
        <v>2060</v>
      </c>
      <c r="I1119" t="str">
        <f>VLOOKUP(B1119,Customers!A:G,7,FALSE)</f>
        <v>Individual</v>
      </c>
      <c r="Q1119" t="str">
        <f>IF(COUNTIF(Customers!$A$2:$A$1001,B1119)&gt;0,"Valid","Invalid")</f>
        <v>Valid</v>
      </c>
      <c r="R1119" t="str">
        <f>IF(COUNTIF(Branches!$A$2:$A$11,F1119)&gt;0,"Valid","Invalid")</f>
        <v>Valid</v>
      </c>
    </row>
    <row r="1120" spans="1:18" x14ac:dyDescent="0.25">
      <c r="A1120" t="s">
        <v>3191</v>
      </c>
      <c r="B1120" t="s">
        <v>653</v>
      </c>
      <c r="C1120" s="8">
        <v>46202</v>
      </c>
      <c r="D1120" t="s">
        <v>2065</v>
      </c>
      <c r="E1120" t="s">
        <v>2073</v>
      </c>
      <c r="F1120" t="s">
        <v>11</v>
      </c>
      <c r="G1120">
        <v>686.3</v>
      </c>
      <c r="H1120" t="s">
        <v>2060</v>
      </c>
      <c r="I1120" t="str">
        <f>VLOOKUP(B1120,Customers!A:G,7,FALSE)</f>
        <v>Individual</v>
      </c>
      <c r="Q1120" t="str">
        <f>IF(COUNTIF(Customers!$A$2:$A$1001,B1120)&gt;0,"Valid","Invalid")</f>
        <v>Valid</v>
      </c>
      <c r="R1120" t="str">
        <f>IF(COUNTIF(Branches!$A$2:$A$11,F1120)&gt;0,"Valid","Invalid")</f>
        <v>Valid</v>
      </c>
    </row>
    <row r="1121" spans="1:18" x14ac:dyDescent="0.25">
      <c r="A1121" t="s">
        <v>3192</v>
      </c>
      <c r="B1121" t="s">
        <v>981</v>
      </c>
      <c r="C1121" s="8">
        <v>46191</v>
      </c>
      <c r="D1121" t="s">
        <v>2065</v>
      </c>
      <c r="E1121" t="s">
        <v>2063</v>
      </c>
      <c r="F1121" t="s">
        <v>27</v>
      </c>
      <c r="G1121">
        <v>287.14</v>
      </c>
      <c r="H1121" t="s">
        <v>2060</v>
      </c>
      <c r="I1121" t="str">
        <f>VLOOKUP(B1121,Customers!A:G,7,FALSE)</f>
        <v>Individual</v>
      </c>
      <c r="Q1121" t="str">
        <f>IF(COUNTIF(Customers!$A$2:$A$1001,B1121)&gt;0,"Valid","Invalid")</f>
        <v>Valid</v>
      </c>
      <c r="R1121" t="str">
        <f>IF(COUNTIF(Branches!$A$2:$A$11,F1121)&gt;0,"Valid","Invalid")</f>
        <v>Valid</v>
      </c>
    </row>
    <row r="1122" spans="1:18" x14ac:dyDescent="0.25">
      <c r="A1122" t="s">
        <v>3193</v>
      </c>
      <c r="B1122" t="s">
        <v>1001</v>
      </c>
      <c r="C1122" s="8">
        <v>46173</v>
      </c>
      <c r="D1122" t="s">
        <v>2065</v>
      </c>
      <c r="E1122" t="s">
        <v>2059</v>
      </c>
      <c r="F1122" t="s">
        <v>45</v>
      </c>
      <c r="G1122">
        <v>1335</v>
      </c>
      <c r="H1122" t="s">
        <v>2060</v>
      </c>
      <c r="I1122" t="str">
        <f>VLOOKUP(B1122,Customers!A:G,7,FALSE)</f>
        <v>Individual</v>
      </c>
      <c r="Q1122" t="str">
        <f>IF(COUNTIF(Customers!$A$2:$A$1001,B1122)&gt;0,"Valid","Invalid")</f>
        <v>Valid</v>
      </c>
      <c r="R1122" t="str">
        <f>IF(COUNTIF(Branches!$A$2:$A$11,F1122)&gt;0,"Valid","Invalid")</f>
        <v>Valid</v>
      </c>
    </row>
    <row r="1123" spans="1:18" x14ac:dyDescent="0.25">
      <c r="A1123" t="s">
        <v>3194</v>
      </c>
      <c r="B1123" t="s">
        <v>662</v>
      </c>
      <c r="C1123" s="8">
        <v>46155</v>
      </c>
      <c r="D1123" t="s">
        <v>2058</v>
      </c>
      <c r="E1123" t="s">
        <v>2059</v>
      </c>
      <c r="F1123" t="s">
        <v>53</v>
      </c>
      <c r="G1123">
        <v>416.88</v>
      </c>
      <c r="H1123" t="s">
        <v>2060</v>
      </c>
      <c r="I1123" t="str">
        <f>VLOOKUP(B1123,Customers!A:G,7,FALSE)</f>
        <v>SME</v>
      </c>
      <c r="Q1123" t="str">
        <f>IF(COUNTIF(Customers!$A$2:$A$1001,B1123)&gt;0,"Valid","Invalid")</f>
        <v>Valid</v>
      </c>
      <c r="R1123" t="str">
        <f>IF(COUNTIF(Branches!$A$2:$A$11,F1123)&gt;0,"Valid","Invalid")</f>
        <v>Valid</v>
      </c>
    </row>
    <row r="1124" spans="1:18" x14ac:dyDescent="0.25">
      <c r="A1124" t="s">
        <v>3195</v>
      </c>
      <c r="B1124" t="s">
        <v>359</v>
      </c>
      <c r="C1124" s="8">
        <v>46093</v>
      </c>
      <c r="D1124" t="s">
        <v>2067</v>
      </c>
      <c r="E1124" t="s">
        <v>2073</v>
      </c>
      <c r="F1124" t="s">
        <v>11</v>
      </c>
      <c r="G1124">
        <v>760.17</v>
      </c>
      <c r="H1124" t="s">
        <v>2060</v>
      </c>
      <c r="I1124" t="str">
        <f>VLOOKUP(B1124,Customers!A:G,7,FALSE)</f>
        <v>SME</v>
      </c>
      <c r="Q1124" t="str">
        <f>IF(COUNTIF(Customers!$A$2:$A$1001,B1124)&gt;0,"Valid","Invalid")</f>
        <v>Valid</v>
      </c>
      <c r="R1124" t="str">
        <f>IF(COUNTIF(Branches!$A$2:$A$11,F1124)&gt;0,"Valid","Invalid")</f>
        <v>Valid</v>
      </c>
    </row>
    <row r="1125" spans="1:18" x14ac:dyDescent="0.25">
      <c r="A1125" t="s">
        <v>3196</v>
      </c>
      <c r="B1125" t="s">
        <v>961</v>
      </c>
      <c r="C1125" s="8">
        <v>46207</v>
      </c>
      <c r="D1125" t="s">
        <v>2065</v>
      </c>
      <c r="E1125" t="s">
        <v>2076</v>
      </c>
      <c r="F1125" t="s">
        <v>35</v>
      </c>
      <c r="G1125">
        <v>228.41</v>
      </c>
      <c r="H1125" t="s">
        <v>2060</v>
      </c>
      <c r="I1125" t="str">
        <f>VLOOKUP(B1125,Customers!A:G,7,FALSE)</f>
        <v>SME</v>
      </c>
      <c r="Q1125" t="str">
        <f>IF(COUNTIF(Customers!$A$2:$A$1001,B1125)&gt;0,"Valid","Invalid")</f>
        <v>Valid</v>
      </c>
      <c r="R1125" t="str">
        <f>IF(COUNTIF(Branches!$A$2:$A$11,F1125)&gt;0,"Valid","Invalid")</f>
        <v>Valid</v>
      </c>
    </row>
    <row r="1126" spans="1:18" x14ac:dyDescent="0.25">
      <c r="A1126" t="s">
        <v>3197</v>
      </c>
      <c r="B1126" t="s">
        <v>854</v>
      </c>
      <c r="C1126" s="8">
        <v>46156</v>
      </c>
      <c r="D1126" t="s">
        <v>2062</v>
      </c>
      <c r="E1126" t="s">
        <v>2063</v>
      </c>
      <c r="F1126" t="s">
        <v>29</v>
      </c>
      <c r="G1126">
        <v>288.12</v>
      </c>
      <c r="H1126" t="s">
        <v>2060</v>
      </c>
      <c r="I1126" t="str">
        <f>VLOOKUP(B1126,Customers!A:G,7,FALSE)</f>
        <v>Individual</v>
      </c>
      <c r="Q1126" t="str">
        <f>IF(COUNTIF(Customers!$A$2:$A$1001,B1126)&gt;0,"Valid","Invalid")</f>
        <v>Valid</v>
      </c>
      <c r="R1126" t="str">
        <f>IF(COUNTIF(Branches!$A$2:$A$11,F1126)&gt;0,"Valid","Invalid")</f>
        <v>Valid</v>
      </c>
    </row>
    <row r="1127" spans="1:18" x14ac:dyDescent="0.25">
      <c r="A1127" t="s">
        <v>3198</v>
      </c>
      <c r="B1127" t="s">
        <v>894</v>
      </c>
      <c r="C1127" s="8">
        <v>46199</v>
      </c>
      <c r="D1127" t="s">
        <v>2065</v>
      </c>
      <c r="E1127" t="s">
        <v>2059</v>
      </c>
      <c r="F1127" t="s">
        <v>45</v>
      </c>
      <c r="G1127">
        <v>1698.77</v>
      </c>
      <c r="H1127" t="s">
        <v>2060</v>
      </c>
      <c r="I1127" t="str">
        <f>VLOOKUP(B1127,Customers!A:G,7,FALSE)</f>
        <v>Individual</v>
      </c>
      <c r="Q1127" t="str">
        <f>IF(COUNTIF(Customers!$A$2:$A$1001,B1127)&gt;0,"Valid","Invalid")</f>
        <v>Valid</v>
      </c>
      <c r="R1127" t="str">
        <f>IF(COUNTIF(Branches!$A$2:$A$11,F1127)&gt;0,"Valid","Invalid")</f>
        <v>Valid</v>
      </c>
    </row>
    <row r="1128" spans="1:18" x14ac:dyDescent="0.25">
      <c r="A1128" t="s">
        <v>3199</v>
      </c>
      <c r="B1128" t="s">
        <v>98</v>
      </c>
      <c r="C1128" s="8">
        <v>46044</v>
      </c>
      <c r="D1128" t="s">
        <v>2058</v>
      </c>
      <c r="E1128" t="s">
        <v>2076</v>
      </c>
      <c r="F1128" t="s">
        <v>45</v>
      </c>
      <c r="G1128">
        <v>912.21</v>
      </c>
      <c r="H1128" t="s">
        <v>2060</v>
      </c>
      <c r="I1128" t="str">
        <f>VLOOKUP(B1128,Customers!A:G,7,FALSE)</f>
        <v>Individual</v>
      </c>
      <c r="Q1128" t="str">
        <f>IF(COUNTIF(Customers!$A$2:$A$1001,B1128)&gt;0,"Valid","Invalid")</f>
        <v>Valid</v>
      </c>
      <c r="R1128" t="str">
        <f>IF(COUNTIF(Branches!$A$2:$A$11,F1128)&gt;0,"Valid","Invalid")</f>
        <v>Valid</v>
      </c>
    </row>
    <row r="1129" spans="1:18" x14ac:dyDescent="0.25">
      <c r="A1129" t="s">
        <v>3200</v>
      </c>
      <c r="B1129" t="s">
        <v>338</v>
      </c>
      <c r="C1129" s="8">
        <v>46263</v>
      </c>
      <c r="D1129" t="s">
        <v>2067</v>
      </c>
      <c r="E1129" t="s">
        <v>2076</v>
      </c>
      <c r="F1129" t="s">
        <v>47</v>
      </c>
      <c r="G1129">
        <v>373.88</v>
      </c>
      <c r="H1129" t="s">
        <v>2060</v>
      </c>
      <c r="I1129" t="str">
        <f>VLOOKUP(B1129,Customers!A:G,7,FALSE)</f>
        <v>Individual</v>
      </c>
      <c r="Q1129" t="str">
        <f>IF(COUNTIF(Customers!$A$2:$A$1001,B1129)&gt;0,"Valid","Invalid")</f>
        <v>Valid</v>
      </c>
      <c r="R1129" t="str">
        <f>IF(COUNTIF(Branches!$A$2:$A$11,F1129)&gt;0,"Valid","Invalid")</f>
        <v>Valid</v>
      </c>
    </row>
    <row r="1130" spans="1:18" x14ac:dyDescent="0.25">
      <c r="A1130" t="s">
        <v>3201</v>
      </c>
      <c r="B1130" t="s">
        <v>441</v>
      </c>
      <c r="C1130" s="8">
        <v>46099</v>
      </c>
      <c r="D1130" t="s">
        <v>2058</v>
      </c>
      <c r="E1130" t="s">
        <v>2068</v>
      </c>
      <c r="F1130" t="s">
        <v>47</v>
      </c>
      <c r="G1130">
        <v>915.56</v>
      </c>
      <c r="H1130" t="s">
        <v>2060</v>
      </c>
      <c r="I1130" t="str">
        <f>VLOOKUP(B1130,Customers!A:G,7,FALSE)</f>
        <v>Individual</v>
      </c>
      <c r="Q1130" t="str">
        <f>IF(COUNTIF(Customers!$A$2:$A$1001,B1130)&gt;0,"Valid","Invalid")</f>
        <v>Valid</v>
      </c>
      <c r="R1130" t="str">
        <f>IF(COUNTIF(Branches!$A$2:$A$11,F1130)&gt;0,"Valid","Invalid")</f>
        <v>Valid</v>
      </c>
    </row>
    <row r="1131" spans="1:18" x14ac:dyDescent="0.25">
      <c r="A1131" t="s">
        <v>3202</v>
      </c>
      <c r="B1131" t="s">
        <v>993</v>
      </c>
      <c r="C1131" s="8">
        <v>46226</v>
      </c>
      <c r="D1131" t="s">
        <v>2070</v>
      </c>
      <c r="E1131" t="s">
        <v>2063</v>
      </c>
      <c r="F1131" t="s">
        <v>35</v>
      </c>
      <c r="G1131">
        <v>442.68</v>
      </c>
      <c r="H1131" t="s">
        <v>2060</v>
      </c>
      <c r="I1131" t="str">
        <f>VLOOKUP(B1131,Customers!A:G,7,FALSE)</f>
        <v>SME</v>
      </c>
      <c r="Q1131" t="str">
        <f>IF(COUNTIF(Customers!$A$2:$A$1001,B1131)&gt;0,"Valid","Invalid")</f>
        <v>Valid</v>
      </c>
      <c r="R1131" t="str">
        <f>IF(COUNTIF(Branches!$A$2:$A$11,F1131)&gt;0,"Valid","Invalid")</f>
        <v>Valid</v>
      </c>
    </row>
    <row r="1132" spans="1:18" x14ac:dyDescent="0.25">
      <c r="A1132" t="s">
        <v>3203</v>
      </c>
      <c r="B1132" t="s">
        <v>686</v>
      </c>
      <c r="C1132" s="8">
        <v>46026</v>
      </c>
      <c r="D1132" t="s">
        <v>2065</v>
      </c>
      <c r="E1132" t="s">
        <v>2073</v>
      </c>
      <c r="F1132" t="s">
        <v>27</v>
      </c>
      <c r="G1132">
        <v>371.01</v>
      </c>
      <c r="H1132" t="s">
        <v>2060</v>
      </c>
      <c r="I1132" t="str">
        <f>VLOOKUP(B1132,Customers!A:G,7,FALSE)</f>
        <v>SME</v>
      </c>
      <c r="Q1132" t="str">
        <f>IF(COUNTIF(Customers!$A$2:$A$1001,B1132)&gt;0,"Valid","Invalid")</f>
        <v>Valid</v>
      </c>
      <c r="R1132" t="str">
        <f>IF(COUNTIF(Branches!$A$2:$A$11,F1132)&gt;0,"Valid","Invalid")</f>
        <v>Valid</v>
      </c>
    </row>
    <row r="1133" spans="1:18" x14ac:dyDescent="0.25">
      <c r="A1133" t="s">
        <v>3204</v>
      </c>
      <c r="B1133" t="s">
        <v>605</v>
      </c>
      <c r="C1133" s="8">
        <v>46094</v>
      </c>
      <c r="D1133" t="s">
        <v>2058</v>
      </c>
      <c r="E1133" t="s">
        <v>2063</v>
      </c>
      <c r="F1133" t="s">
        <v>29</v>
      </c>
      <c r="G1133">
        <v>2602</v>
      </c>
      <c r="H1133" t="s">
        <v>2060</v>
      </c>
      <c r="I1133" t="str">
        <f>VLOOKUP(B1133,Customers!A:G,7,FALSE)</f>
        <v>SME</v>
      </c>
      <c r="Q1133" t="str">
        <f>IF(COUNTIF(Customers!$A$2:$A$1001,B1133)&gt;0,"Valid","Invalid")</f>
        <v>Valid</v>
      </c>
      <c r="R1133" t="str">
        <f>IF(COUNTIF(Branches!$A$2:$A$11,F1133)&gt;0,"Valid","Invalid")</f>
        <v>Valid</v>
      </c>
    </row>
    <row r="1134" spans="1:18" x14ac:dyDescent="0.25">
      <c r="A1134" t="s">
        <v>3205</v>
      </c>
      <c r="B1134" t="s">
        <v>658</v>
      </c>
      <c r="C1134" s="8">
        <v>46214</v>
      </c>
      <c r="D1134" t="s">
        <v>2062</v>
      </c>
      <c r="E1134" t="s">
        <v>2073</v>
      </c>
      <c r="F1134" t="s">
        <v>35</v>
      </c>
      <c r="G1134">
        <v>1777.35</v>
      </c>
      <c r="H1134" t="s">
        <v>2060</v>
      </c>
      <c r="I1134" t="str">
        <f>VLOOKUP(B1134,Customers!A:G,7,FALSE)</f>
        <v>Student</v>
      </c>
      <c r="Q1134" t="str">
        <f>IF(COUNTIF(Customers!$A$2:$A$1001,B1134)&gt;0,"Valid","Invalid")</f>
        <v>Valid</v>
      </c>
      <c r="R1134" t="str">
        <f>IF(COUNTIF(Branches!$A$2:$A$11,F1134)&gt;0,"Valid","Invalid")</f>
        <v>Valid</v>
      </c>
    </row>
    <row r="1135" spans="1:18" x14ac:dyDescent="0.25">
      <c r="A1135" t="s">
        <v>3206</v>
      </c>
      <c r="B1135" t="s">
        <v>341</v>
      </c>
      <c r="C1135" s="8">
        <v>46187</v>
      </c>
      <c r="D1135" t="s">
        <v>2058</v>
      </c>
      <c r="E1135" t="s">
        <v>2068</v>
      </c>
      <c r="F1135" t="s">
        <v>11</v>
      </c>
      <c r="G1135">
        <v>795.31</v>
      </c>
      <c r="H1135" t="s">
        <v>2060</v>
      </c>
      <c r="I1135" t="str">
        <f>VLOOKUP(B1135,Customers!A:G,7,FALSE)</f>
        <v>SME</v>
      </c>
      <c r="Q1135" t="str">
        <f>IF(COUNTIF(Customers!$A$2:$A$1001,B1135)&gt;0,"Valid","Invalid")</f>
        <v>Valid</v>
      </c>
      <c r="R1135" t="str">
        <f>IF(COUNTIF(Branches!$A$2:$A$11,F1135)&gt;0,"Valid","Invalid")</f>
        <v>Valid</v>
      </c>
    </row>
    <row r="1136" spans="1:18" x14ac:dyDescent="0.25">
      <c r="A1136" t="s">
        <v>3207</v>
      </c>
      <c r="B1136" t="s">
        <v>808</v>
      </c>
      <c r="C1136" s="8">
        <v>46181</v>
      </c>
      <c r="D1136" t="s">
        <v>2065</v>
      </c>
      <c r="E1136" t="s">
        <v>2076</v>
      </c>
      <c r="F1136" t="s">
        <v>11</v>
      </c>
      <c r="G1136">
        <v>938.55</v>
      </c>
      <c r="H1136" t="s">
        <v>2060</v>
      </c>
      <c r="I1136" t="str">
        <f>VLOOKUP(B1136,Customers!A:G,7,FALSE)</f>
        <v>Individual</v>
      </c>
      <c r="Q1136" t="str">
        <f>IF(COUNTIF(Customers!$A$2:$A$1001,B1136)&gt;0,"Valid","Invalid")</f>
        <v>Valid</v>
      </c>
      <c r="R1136" t="str">
        <f>IF(COUNTIF(Branches!$A$2:$A$11,F1136)&gt;0,"Valid","Invalid")</f>
        <v>Valid</v>
      </c>
    </row>
    <row r="1137" spans="1:18" x14ac:dyDescent="0.25">
      <c r="A1137" t="s">
        <v>3208</v>
      </c>
      <c r="B1137" t="s">
        <v>291</v>
      </c>
      <c r="C1137" s="8">
        <v>46187</v>
      </c>
      <c r="D1137" t="s">
        <v>2067</v>
      </c>
      <c r="E1137" t="s">
        <v>2076</v>
      </c>
      <c r="F1137" t="s">
        <v>39</v>
      </c>
      <c r="G1137">
        <v>805.61</v>
      </c>
      <c r="H1137" t="s">
        <v>2060</v>
      </c>
      <c r="I1137" t="str">
        <f>VLOOKUP(B1137,Customers!A:G,7,FALSE)</f>
        <v>Individual</v>
      </c>
      <c r="Q1137" t="str">
        <f>IF(COUNTIF(Customers!$A$2:$A$1001,B1137)&gt;0,"Valid","Invalid")</f>
        <v>Valid</v>
      </c>
      <c r="R1137" t="str">
        <f>IF(COUNTIF(Branches!$A$2:$A$11,F1137)&gt;0,"Valid","Invalid")</f>
        <v>Valid</v>
      </c>
    </row>
    <row r="1138" spans="1:18" x14ac:dyDescent="0.25">
      <c r="A1138" t="s">
        <v>3209</v>
      </c>
      <c r="B1138" t="s">
        <v>772</v>
      </c>
      <c r="C1138" s="8">
        <v>46150</v>
      </c>
      <c r="D1138" t="s">
        <v>2058</v>
      </c>
      <c r="E1138" t="s">
        <v>2063</v>
      </c>
      <c r="F1138" t="s">
        <v>39</v>
      </c>
      <c r="G1138">
        <v>1322.14</v>
      </c>
      <c r="H1138" t="s">
        <v>2060</v>
      </c>
      <c r="I1138" t="str">
        <f>VLOOKUP(B1138,Customers!A:G,7,FALSE)</f>
        <v>SME</v>
      </c>
      <c r="Q1138" t="str">
        <f>IF(COUNTIF(Customers!$A$2:$A$1001,B1138)&gt;0,"Valid","Invalid")</f>
        <v>Valid</v>
      </c>
      <c r="R1138" t="str">
        <f>IF(COUNTIF(Branches!$A$2:$A$11,F1138)&gt;0,"Valid","Invalid")</f>
        <v>Valid</v>
      </c>
    </row>
    <row r="1139" spans="1:18" x14ac:dyDescent="0.25">
      <c r="A1139" t="s">
        <v>3210</v>
      </c>
      <c r="B1139" t="s">
        <v>516</v>
      </c>
      <c r="C1139" s="8">
        <v>46067</v>
      </c>
      <c r="D1139" t="s">
        <v>2062</v>
      </c>
      <c r="E1139" t="s">
        <v>2063</v>
      </c>
      <c r="F1139" t="s">
        <v>11</v>
      </c>
      <c r="G1139">
        <v>365.22</v>
      </c>
      <c r="H1139" t="s">
        <v>2060</v>
      </c>
      <c r="I1139" t="str">
        <f>VLOOKUP(B1139,Customers!A:G,7,FALSE)</f>
        <v>SME</v>
      </c>
      <c r="Q1139" t="str">
        <f>IF(COUNTIF(Customers!$A$2:$A$1001,B1139)&gt;0,"Valid","Invalid")</f>
        <v>Valid</v>
      </c>
      <c r="R1139" t="str">
        <f>IF(COUNTIF(Branches!$A$2:$A$11,F1139)&gt;0,"Valid","Invalid")</f>
        <v>Valid</v>
      </c>
    </row>
    <row r="1140" spans="1:18" x14ac:dyDescent="0.25">
      <c r="A1140" t="s">
        <v>3211</v>
      </c>
      <c r="B1140" t="s">
        <v>407</v>
      </c>
      <c r="C1140" s="8">
        <v>46240</v>
      </c>
      <c r="D1140" t="s">
        <v>2065</v>
      </c>
      <c r="E1140" t="s">
        <v>2063</v>
      </c>
      <c r="F1140" t="s">
        <v>29</v>
      </c>
      <c r="G1140">
        <v>1924.66</v>
      </c>
      <c r="H1140" t="s">
        <v>2060</v>
      </c>
      <c r="I1140" t="str">
        <f>VLOOKUP(B1140,Customers!A:G,7,FALSE)</f>
        <v>Individual</v>
      </c>
      <c r="Q1140" t="str">
        <f>IF(COUNTIF(Customers!$A$2:$A$1001,B1140)&gt;0,"Valid","Invalid")</f>
        <v>Valid</v>
      </c>
      <c r="R1140" t="str">
        <f>IF(COUNTIF(Branches!$A$2:$A$11,F1140)&gt;0,"Valid","Invalid")</f>
        <v>Valid</v>
      </c>
    </row>
    <row r="1141" spans="1:18" x14ac:dyDescent="0.25">
      <c r="A1141" t="s">
        <v>3212</v>
      </c>
      <c r="B1141" t="s">
        <v>717</v>
      </c>
      <c r="C1141" s="8">
        <v>46257</v>
      </c>
      <c r="D1141" t="s">
        <v>2065</v>
      </c>
      <c r="E1141" t="s">
        <v>2063</v>
      </c>
      <c r="F1141" t="s">
        <v>27</v>
      </c>
      <c r="G1141">
        <v>1156.98</v>
      </c>
      <c r="H1141" t="s">
        <v>2060</v>
      </c>
      <c r="I1141" t="str">
        <f>VLOOKUP(B1141,Customers!A:G,7,FALSE)</f>
        <v>Individual</v>
      </c>
      <c r="Q1141" t="str">
        <f>IF(COUNTIF(Customers!$A$2:$A$1001,B1141)&gt;0,"Valid","Invalid")</f>
        <v>Valid</v>
      </c>
      <c r="R1141" t="str">
        <f>IF(COUNTIF(Branches!$A$2:$A$11,F1141)&gt;0,"Valid","Invalid")</f>
        <v>Valid</v>
      </c>
    </row>
    <row r="1142" spans="1:18" x14ac:dyDescent="0.25">
      <c r="A1142" t="s">
        <v>3213</v>
      </c>
      <c r="B1142" t="s">
        <v>979</v>
      </c>
      <c r="C1142" s="8">
        <v>46158</v>
      </c>
      <c r="D1142" t="s">
        <v>2067</v>
      </c>
      <c r="E1142" t="s">
        <v>2059</v>
      </c>
      <c r="F1142" t="s">
        <v>39</v>
      </c>
      <c r="G1142">
        <v>624.5</v>
      </c>
      <c r="H1142" t="s">
        <v>2060</v>
      </c>
      <c r="I1142" t="str">
        <f>VLOOKUP(B1142,Customers!A:G,7,FALSE)</f>
        <v>Individual</v>
      </c>
      <c r="Q1142" t="str">
        <f>IF(COUNTIF(Customers!$A$2:$A$1001,B1142)&gt;0,"Valid","Invalid")</f>
        <v>Valid</v>
      </c>
      <c r="R1142" t="str">
        <f>IF(COUNTIF(Branches!$A$2:$A$11,F1142)&gt;0,"Valid","Invalid")</f>
        <v>Valid</v>
      </c>
    </row>
    <row r="1143" spans="1:18" x14ac:dyDescent="0.25">
      <c r="A1143" t="s">
        <v>3214</v>
      </c>
      <c r="B1143" t="s">
        <v>196</v>
      </c>
      <c r="C1143" s="8">
        <v>46190</v>
      </c>
      <c r="D1143" t="s">
        <v>2065</v>
      </c>
      <c r="E1143" t="s">
        <v>2063</v>
      </c>
      <c r="F1143" t="s">
        <v>35</v>
      </c>
      <c r="G1143">
        <v>498.81</v>
      </c>
      <c r="H1143" t="s">
        <v>2060</v>
      </c>
      <c r="I1143" t="str">
        <f>VLOOKUP(B1143,Customers!A:G,7,FALSE)</f>
        <v>Individual</v>
      </c>
      <c r="Q1143" t="str">
        <f>IF(COUNTIF(Customers!$A$2:$A$1001,B1143)&gt;0,"Valid","Invalid")</f>
        <v>Valid</v>
      </c>
      <c r="R1143" t="str">
        <f>IF(COUNTIF(Branches!$A$2:$A$11,F1143)&gt;0,"Valid","Invalid")</f>
        <v>Valid</v>
      </c>
    </row>
    <row r="1144" spans="1:18" x14ac:dyDescent="0.25">
      <c r="A1144" t="s">
        <v>3215</v>
      </c>
      <c r="B1144" t="s">
        <v>999</v>
      </c>
      <c r="C1144" s="8">
        <v>46247</v>
      </c>
      <c r="D1144" t="s">
        <v>2065</v>
      </c>
      <c r="E1144" t="s">
        <v>2068</v>
      </c>
      <c r="F1144" t="s">
        <v>53</v>
      </c>
      <c r="G1144">
        <v>1883.96</v>
      </c>
      <c r="H1144" t="s">
        <v>2060</v>
      </c>
      <c r="I1144" t="str">
        <f>VLOOKUP(B1144,Customers!A:G,7,FALSE)</f>
        <v>Individual</v>
      </c>
      <c r="Q1144" t="str">
        <f>IF(COUNTIF(Customers!$A$2:$A$1001,B1144)&gt;0,"Valid","Invalid")</f>
        <v>Valid</v>
      </c>
      <c r="R1144" t="str">
        <f>IF(COUNTIF(Branches!$A$2:$A$11,F1144)&gt;0,"Valid","Invalid")</f>
        <v>Valid</v>
      </c>
    </row>
    <row r="1145" spans="1:18" x14ac:dyDescent="0.25">
      <c r="A1145" t="s">
        <v>3216</v>
      </c>
      <c r="B1145" t="s">
        <v>202</v>
      </c>
      <c r="C1145" s="8">
        <v>46259</v>
      </c>
      <c r="D1145" t="s">
        <v>2065</v>
      </c>
      <c r="E1145" t="s">
        <v>2059</v>
      </c>
      <c r="F1145" t="s">
        <v>39</v>
      </c>
      <c r="G1145">
        <v>698.9</v>
      </c>
      <c r="H1145" t="s">
        <v>2060</v>
      </c>
      <c r="I1145" t="str">
        <f>VLOOKUP(B1145,Customers!A:G,7,FALSE)</f>
        <v>Student</v>
      </c>
      <c r="Q1145" t="str">
        <f>IF(COUNTIF(Customers!$A$2:$A$1001,B1145)&gt;0,"Valid","Invalid")</f>
        <v>Valid</v>
      </c>
      <c r="R1145" t="str">
        <f>IF(COUNTIF(Branches!$A$2:$A$11,F1145)&gt;0,"Valid","Invalid")</f>
        <v>Valid</v>
      </c>
    </row>
    <row r="1146" spans="1:18" x14ac:dyDescent="0.25">
      <c r="A1146" t="s">
        <v>3217</v>
      </c>
      <c r="B1146" t="s">
        <v>242</v>
      </c>
      <c r="C1146" s="8">
        <v>46115</v>
      </c>
      <c r="D1146" t="s">
        <v>2065</v>
      </c>
      <c r="E1146" t="s">
        <v>2076</v>
      </c>
      <c r="F1146" t="s">
        <v>29</v>
      </c>
      <c r="G1146">
        <v>403.88</v>
      </c>
      <c r="H1146" t="s">
        <v>2060</v>
      </c>
      <c r="I1146" t="str">
        <f>VLOOKUP(B1146,Customers!A:G,7,FALSE)</f>
        <v>Individual</v>
      </c>
      <c r="Q1146" t="str">
        <f>IF(COUNTIF(Customers!$A$2:$A$1001,B1146)&gt;0,"Valid","Invalid")</f>
        <v>Valid</v>
      </c>
      <c r="R1146" t="str">
        <f>IF(COUNTIF(Branches!$A$2:$A$11,F1146)&gt;0,"Valid","Invalid")</f>
        <v>Valid</v>
      </c>
    </row>
    <row r="1147" spans="1:18" x14ac:dyDescent="0.25">
      <c r="A1147" t="s">
        <v>3218</v>
      </c>
      <c r="B1147" t="s">
        <v>305</v>
      </c>
      <c r="C1147" s="8">
        <v>46027</v>
      </c>
      <c r="D1147" t="s">
        <v>2065</v>
      </c>
      <c r="E1147" t="s">
        <v>2076</v>
      </c>
      <c r="F1147" t="s">
        <v>35</v>
      </c>
      <c r="G1147">
        <v>553.04</v>
      </c>
      <c r="H1147" t="s">
        <v>2060</v>
      </c>
      <c r="I1147" t="str">
        <f>VLOOKUP(B1147,Customers!A:G,7,FALSE)</f>
        <v>Individual</v>
      </c>
      <c r="Q1147" t="str">
        <f>IF(COUNTIF(Customers!$A$2:$A$1001,B1147)&gt;0,"Valid","Invalid")</f>
        <v>Valid</v>
      </c>
      <c r="R1147" t="str">
        <f>IF(COUNTIF(Branches!$A$2:$A$11,F1147)&gt;0,"Valid","Invalid")</f>
        <v>Valid</v>
      </c>
    </row>
    <row r="1148" spans="1:18" x14ac:dyDescent="0.25">
      <c r="A1148" t="s">
        <v>3219</v>
      </c>
      <c r="B1148" t="s">
        <v>174</v>
      </c>
      <c r="C1148" s="8">
        <v>46178</v>
      </c>
      <c r="D1148" t="s">
        <v>2070</v>
      </c>
      <c r="E1148" t="s">
        <v>2063</v>
      </c>
      <c r="F1148" t="s">
        <v>11</v>
      </c>
      <c r="G1148">
        <v>1753.21</v>
      </c>
      <c r="H1148" t="s">
        <v>2060</v>
      </c>
      <c r="I1148" t="str">
        <f>VLOOKUP(B1148,Customers!A:G,7,FALSE)</f>
        <v>Corporate</v>
      </c>
      <c r="Q1148" t="str">
        <f>IF(COUNTIF(Customers!$A$2:$A$1001,B1148)&gt;0,"Valid","Invalid")</f>
        <v>Valid</v>
      </c>
      <c r="R1148" t="str">
        <f>IF(COUNTIF(Branches!$A$2:$A$11,F1148)&gt;0,"Valid","Invalid")</f>
        <v>Valid</v>
      </c>
    </row>
    <row r="1149" spans="1:18" x14ac:dyDescent="0.25">
      <c r="A1149" t="s">
        <v>3220</v>
      </c>
      <c r="B1149" t="s">
        <v>406</v>
      </c>
      <c r="C1149" s="8">
        <v>46126</v>
      </c>
      <c r="D1149" t="s">
        <v>2065</v>
      </c>
      <c r="E1149" t="s">
        <v>2063</v>
      </c>
      <c r="F1149" t="s">
        <v>39</v>
      </c>
      <c r="G1149">
        <v>162.30000000000001</v>
      </c>
      <c r="H1149" t="s">
        <v>2060</v>
      </c>
      <c r="I1149" t="str">
        <f>VLOOKUP(B1149,Customers!A:G,7,FALSE)</f>
        <v>SME</v>
      </c>
      <c r="Q1149" t="str">
        <f>IF(COUNTIF(Customers!$A$2:$A$1001,B1149)&gt;0,"Valid","Invalid")</f>
        <v>Valid</v>
      </c>
      <c r="R1149" t="str">
        <f>IF(COUNTIF(Branches!$A$2:$A$11,F1149)&gt;0,"Valid","Invalid")</f>
        <v>Valid</v>
      </c>
    </row>
    <row r="1150" spans="1:18" x14ac:dyDescent="0.25">
      <c r="A1150" t="s">
        <v>3221</v>
      </c>
      <c r="B1150" t="s">
        <v>481</v>
      </c>
      <c r="C1150" s="8">
        <v>46103</v>
      </c>
      <c r="D1150" t="s">
        <v>2065</v>
      </c>
      <c r="E1150" t="s">
        <v>2059</v>
      </c>
      <c r="F1150" t="s">
        <v>35</v>
      </c>
      <c r="G1150">
        <v>569.4</v>
      </c>
      <c r="H1150" t="s">
        <v>2060</v>
      </c>
      <c r="I1150" t="str">
        <f>VLOOKUP(B1150,Customers!A:G,7,FALSE)</f>
        <v>Individual</v>
      </c>
      <c r="Q1150" t="str">
        <f>IF(COUNTIF(Customers!$A$2:$A$1001,B1150)&gt;0,"Valid","Invalid")</f>
        <v>Valid</v>
      </c>
      <c r="R1150" t="str">
        <f>IF(COUNTIF(Branches!$A$2:$A$11,F1150)&gt;0,"Valid","Invalid")</f>
        <v>Valid</v>
      </c>
    </row>
    <row r="1151" spans="1:18" x14ac:dyDescent="0.25">
      <c r="A1151" t="s">
        <v>3222</v>
      </c>
      <c r="B1151" t="s">
        <v>896</v>
      </c>
      <c r="C1151" s="8">
        <v>46109</v>
      </c>
      <c r="D1151" t="s">
        <v>2065</v>
      </c>
      <c r="E1151" t="s">
        <v>2068</v>
      </c>
      <c r="F1151" t="s">
        <v>45</v>
      </c>
      <c r="G1151">
        <v>2369.85</v>
      </c>
      <c r="H1151" t="s">
        <v>2107</v>
      </c>
      <c r="I1151" t="str">
        <f>VLOOKUP(B1151,Customers!A:G,7,FALSE)</f>
        <v>Student</v>
      </c>
      <c r="Q1151" t="str">
        <f>IF(COUNTIF(Customers!$A$2:$A$1001,B1151)&gt;0,"Valid","Invalid")</f>
        <v>Valid</v>
      </c>
      <c r="R1151" t="str">
        <f>IF(COUNTIF(Branches!$A$2:$A$11,F1151)&gt;0,"Valid","Invalid")</f>
        <v>Valid</v>
      </c>
    </row>
    <row r="1152" spans="1:18" x14ac:dyDescent="0.25">
      <c r="A1152" t="s">
        <v>3223</v>
      </c>
      <c r="B1152" t="s">
        <v>798</v>
      </c>
      <c r="C1152" s="8">
        <v>46259</v>
      </c>
      <c r="D1152" t="s">
        <v>2070</v>
      </c>
      <c r="E1152" t="s">
        <v>2059</v>
      </c>
      <c r="F1152" t="s">
        <v>39</v>
      </c>
      <c r="G1152">
        <v>686.62</v>
      </c>
      <c r="H1152" t="s">
        <v>2060</v>
      </c>
      <c r="I1152" t="str">
        <f>VLOOKUP(B1152,Customers!A:G,7,FALSE)</f>
        <v>Individual</v>
      </c>
      <c r="Q1152" t="str">
        <f>IF(COUNTIF(Customers!$A$2:$A$1001,B1152)&gt;0,"Valid","Invalid")</f>
        <v>Valid</v>
      </c>
      <c r="R1152" t="str">
        <f>IF(COUNTIF(Branches!$A$2:$A$11,F1152)&gt;0,"Valid","Invalid")</f>
        <v>Valid</v>
      </c>
    </row>
    <row r="1153" spans="1:18" x14ac:dyDescent="0.25">
      <c r="A1153" t="s">
        <v>3224</v>
      </c>
      <c r="B1153" t="s">
        <v>605</v>
      </c>
      <c r="C1153" s="8">
        <v>46159</v>
      </c>
      <c r="D1153" t="s">
        <v>2062</v>
      </c>
      <c r="E1153" t="s">
        <v>2063</v>
      </c>
      <c r="F1153" t="s">
        <v>39</v>
      </c>
      <c r="G1153">
        <v>1067.22</v>
      </c>
      <c r="H1153" t="s">
        <v>2060</v>
      </c>
      <c r="I1153" t="str">
        <f>VLOOKUP(B1153,Customers!A:G,7,FALSE)</f>
        <v>SME</v>
      </c>
      <c r="Q1153" t="str">
        <f>IF(COUNTIF(Customers!$A$2:$A$1001,B1153)&gt;0,"Valid","Invalid")</f>
        <v>Valid</v>
      </c>
      <c r="R1153" t="str">
        <f>IF(COUNTIF(Branches!$A$2:$A$11,F1153)&gt;0,"Valid","Invalid")</f>
        <v>Valid</v>
      </c>
    </row>
    <row r="1154" spans="1:18" x14ac:dyDescent="0.25">
      <c r="A1154" t="s">
        <v>3225</v>
      </c>
      <c r="B1154" t="s">
        <v>954</v>
      </c>
      <c r="C1154" s="8">
        <v>46152</v>
      </c>
      <c r="D1154" t="s">
        <v>2062</v>
      </c>
      <c r="E1154" t="s">
        <v>2068</v>
      </c>
      <c r="F1154" t="s">
        <v>35</v>
      </c>
      <c r="G1154">
        <v>2408.52</v>
      </c>
      <c r="H1154" t="s">
        <v>2060</v>
      </c>
      <c r="I1154" t="str">
        <f>VLOOKUP(B1154,Customers!A:G,7,FALSE)</f>
        <v>Individual</v>
      </c>
      <c r="Q1154" t="str">
        <f>IF(COUNTIF(Customers!$A$2:$A$1001,B1154)&gt;0,"Valid","Invalid")</f>
        <v>Valid</v>
      </c>
      <c r="R1154" t="str">
        <f>IF(COUNTIF(Branches!$A$2:$A$11,F1154)&gt;0,"Valid","Invalid")</f>
        <v>Valid</v>
      </c>
    </row>
    <row r="1155" spans="1:18" x14ac:dyDescent="0.25">
      <c r="A1155" t="s">
        <v>3226</v>
      </c>
      <c r="B1155" t="s">
        <v>759</v>
      </c>
      <c r="C1155" s="8">
        <v>46085</v>
      </c>
      <c r="D1155" t="s">
        <v>2065</v>
      </c>
      <c r="E1155" t="s">
        <v>2063</v>
      </c>
      <c r="F1155" t="s">
        <v>45</v>
      </c>
      <c r="G1155">
        <v>1982.93</v>
      </c>
      <c r="H1155" t="s">
        <v>2060</v>
      </c>
      <c r="I1155" t="str">
        <f>VLOOKUP(B1155,Customers!A:G,7,FALSE)</f>
        <v>Individual</v>
      </c>
      <c r="Q1155" t="str">
        <f>IF(COUNTIF(Customers!$A$2:$A$1001,B1155)&gt;0,"Valid","Invalid")</f>
        <v>Valid</v>
      </c>
      <c r="R1155" t="str">
        <f>IF(COUNTIF(Branches!$A$2:$A$11,F1155)&gt;0,"Valid","Invalid")</f>
        <v>Valid</v>
      </c>
    </row>
    <row r="1156" spans="1:18" x14ac:dyDescent="0.25">
      <c r="A1156" t="s">
        <v>3227</v>
      </c>
      <c r="B1156" t="s">
        <v>50</v>
      </c>
      <c r="C1156" s="8">
        <v>46246</v>
      </c>
      <c r="D1156" t="s">
        <v>2062</v>
      </c>
      <c r="E1156" t="s">
        <v>2076</v>
      </c>
      <c r="F1156" t="s">
        <v>27</v>
      </c>
      <c r="G1156">
        <v>523.19000000000005</v>
      </c>
      <c r="H1156" t="s">
        <v>2060</v>
      </c>
      <c r="I1156" t="str">
        <f>VLOOKUP(B1156,Customers!A:G,7,FALSE)</f>
        <v>SME</v>
      </c>
      <c r="Q1156" t="str">
        <f>IF(COUNTIF(Customers!$A$2:$A$1001,B1156)&gt;0,"Valid","Invalid")</f>
        <v>Valid</v>
      </c>
      <c r="R1156" t="str">
        <f>IF(COUNTIF(Branches!$A$2:$A$11,F1156)&gt;0,"Valid","Invalid")</f>
        <v>Valid</v>
      </c>
    </row>
    <row r="1157" spans="1:18" x14ac:dyDescent="0.25">
      <c r="A1157" t="s">
        <v>3228</v>
      </c>
      <c r="B1157" t="s">
        <v>104</v>
      </c>
      <c r="C1157" s="8">
        <v>46073</v>
      </c>
      <c r="D1157" t="s">
        <v>2067</v>
      </c>
      <c r="E1157" t="s">
        <v>2059</v>
      </c>
      <c r="F1157" t="s">
        <v>39</v>
      </c>
      <c r="G1157">
        <v>713.09</v>
      </c>
      <c r="H1157" t="s">
        <v>2060</v>
      </c>
      <c r="I1157" t="str">
        <f>VLOOKUP(B1157,Customers!A:G,7,FALSE)</f>
        <v>Student</v>
      </c>
      <c r="Q1157" t="str">
        <f>IF(COUNTIF(Customers!$A$2:$A$1001,B1157)&gt;0,"Valid","Invalid")</f>
        <v>Valid</v>
      </c>
      <c r="R1157" t="str">
        <f>IF(COUNTIF(Branches!$A$2:$A$11,F1157)&gt;0,"Valid","Invalid")</f>
        <v>Valid</v>
      </c>
    </row>
    <row r="1158" spans="1:18" x14ac:dyDescent="0.25">
      <c r="A1158" t="s">
        <v>3229</v>
      </c>
      <c r="B1158" t="s">
        <v>169</v>
      </c>
      <c r="C1158" s="8">
        <v>46138</v>
      </c>
      <c r="D1158" t="s">
        <v>2065</v>
      </c>
      <c r="E1158" t="s">
        <v>2076</v>
      </c>
      <c r="F1158" t="s">
        <v>29</v>
      </c>
      <c r="G1158">
        <v>2007.74</v>
      </c>
      <c r="H1158" t="s">
        <v>2060</v>
      </c>
      <c r="I1158" t="str">
        <f>VLOOKUP(B1158,Customers!A:G,7,FALSE)</f>
        <v>SME</v>
      </c>
      <c r="Q1158" t="str">
        <f>IF(COUNTIF(Customers!$A$2:$A$1001,B1158)&gt;0,"Valid","Invalid")</f>
        <v>Valid</v>
      </c>
      <c r="R1158" t="str">
        <f>IF(COUNTIF(Branches!$A$2:$A$11,F1158)&gt;0,"Valid","Invalid")</f>
        <v>Valid</v>
      </c>
    </row>
    <row r="1159" spans="1:18" x14ac:dyDescent="0.25">
      <c r="A1159" t="s">
        <v>3230</v>
      </c>
      <c r="B1159" t="s">
        <v>738</v>
      </c>
      <c r="C1159" s="8">
        <v>46135</v>
      </c>
      <c r="D1159" t="s">
        <v>2058</v>
      </c>
      <c r="E1159" t="s">
        <v>2073</v>
      </c>
      <c r="F1159" t="s">
        <v>53</v>
      </c>
      <c r="G1159">
        <v>2078.64</v>
      </c>
      <c r="H1159" t="s">
        <v>2060</v>
      </c>
      <c r="I1159" t="str">
        <f>VLOOKUP(B1159,Customers!A:G,7,FALSE)</f>
        <v>Individual</v>
      </c>
      <c r="Q1159" t="str">
        <f>IF(COUNTIF(Customers!$A$2:$A$1001,B1159)&gt;0,"Valid","Invalid")</f>
        <v>Valid</v>
      </c>
      <c r="R1159" t="str">
        <f>IF(COUNTIF(Branches!$A$2:$A$11,F1159)&gt;0,"Valid","Invalid")</f>
        <v>Valid</v>
      </c>
    </row>
    <row r="1160" spans="1:18" x14ac:dyDescent="0.25">
      <c r="A1160" t="s">
        <v>3231</v>
      </c>
      <c r="B1160" t="s">
        <v>957</v>
      </c>
      <c r="C1160" s="8">
        <v>46053</v>
      </c>
      <c r="D1160" t="s">
        <v>2062</v>
      </c>
      <c r="E1160" t="s">
        <v>2068</v>
      </c>
      <c r="F1160" t="s">
        <v>11</v>
      </c>
      <c r="G1160">
        <v>743.93</v>
      </c>
      <c r="H1160" t="s">
        <v>2060</v>
      </c>
      <c r="I1160" t="str">
        <f>VLOOKUP(B1160,Customers!A:G,7,FALSE)</f>
        <v>Individual</v>
      </c>
      <c r="Q1160" t="str">
        <f>IF(COUNTIF(Customers!$A$2:$A$1001,B1160)&gt;0,"Valid","Invalid")</f>
        <v>Valid</v>
      </c>
      <c r="R1160" t="str">
        <f>IF(COUNTIF(Branches!$A$2:$A$11,F1160)&gt;0,"Valid","Invalid")</f>
        <v>Valid</v>
      </c>
    </row>
    <row r="1161" spans="1:18" x14ac:dyDescent="0.25">
      <c r="A1161" t="s">
        <v>3232</v>
      </c>
      <c r="B1161" t="s">
        <v>468</v>
      </c>
      <c r="C1161" s="8">
        <v>46029</v>
      </c>
      <c r="D1161" t="s">
        <v>2062</v>
      </c>
      <c r="E1161" t="s">
        <v>2059</v>
      </c>
      <c r="F1161" t="s">
        <v>53</v>
      </c>
      <c r="G1161">
        <v>770.05</v>
      </c>
      <c r="H1161" t="s">
        <v>2060</v>
      </c>
      <c r="I1161" t="str">
        <f>VLOOKUP(B1161,Customers!A:G,7,FALSE)</f>
        <v>SME</v>
      </c>
      <c r="Q1161" t="str">
        <f>IF(COUNTIF(Customers!$A$2:$A$1001,B1161)&gt;0,"Valid","Invalid")</f>
        <v>Valid</v>
      </c>
      <c r="R1161" t="str">
        <f>IF(COUNTIF(Branches!$A$2:$A$11,F1161)&gt;0,"Valid","Invalid")</f>
        <v>Valid</v>
      </c>
    </row>
    <row r="1162" spans="1:18" x14ac:dyDescent="0.25">
      <c r="A1162" t="s">
        <v>3233</v>
      </c>
      <c r="B1162" t="s">
        <v>346</v>
      </c>
      <c r="C1162" s="8">
        <v>46180</v>
      </c>
      <c r="D1162" t="s">
        <v>2062</v>
      </c>
      <c r="E1162" t="s">
        <v>2063</v>
      </c>
      <c r="F1162" t="s">
        <v>39</v>
      </c>
      <c r="G1162">
        <v>1061.76</v>
      </c>
      <c r="H1162" t="s">
        <v>2060</v>
      </c>
      <c r="I1162" t="str">
        <f>VLOOKUP(B1162,Customers!A:G,7,FALSE)</f>
        <v>SME</v>
      </c>
      <c r="Q1162" t="str">
        <f>IF(COUNTIF(Customers!$A$2:$A$1001,B1162)&gt;0,"Valid","Invalid")</f>
        <v>Valid</v>
      </c>
      <c r="R1162" t="str">
        <f>IF(COUNTIF(Branches!$A$2:$A$11,F1162)&gt;0,"Valid","Invalid")</f>
        <v>Valid</v>
      </c>
    </row>
    <row r="1163" spans="1:18" x14ac:dyDescent="0.25">
      <c r="A1163" t="s">
        <v>3234</v>
      </c>
      <c r="B1163" t="s">
        <v>688</v>
      </c>
      <c r="C1163" s="8">
        <v>46208</v>
      </c>
      <c r="D1163" t="s">
        <v>2070</v>
      </c>
      <c r="E1163" t="s">
        <v>2068</v>
      </c>
      <c r="F1163" t="s">
        <v>29</v>
      </c>
      <c r="G1163">
        <v>3187.21</v>
      </c>
      <c r="H1163" t="s">
        <v>2060</v>
      </c>
      <c r="I1163" t="str">
        <f>VLOOKUP(B1163,Customers!A:G,7,FALSE)</f>
        <v>Corporate</v>
      </c>
      <c r="Q1163" t="str">
        <f>IF(COUNTIF(Customers!$A$2:$A$1001,B1163)&gt;0,"Valid","Invalid")</f>
        <v>Valid</v>
      </c>
      <c r="R1163" t="str">
        <f>IF(COUNTIF(Branches!$A$2:$A$11,F1163)&gt;0,"Valid","Invalid")</f>
        <v>Valid</v>
      </c>
    </row>
    <row r="1164" spans="1:18" x14ac:dyDescent="0.25">
      <c r="A1164" t="s">
        <v>3235</v>
      </c>
      <c r="B1164" t="s">
        <v>210</v>
      </c>
      <c r="C1164" s="8">
        <v>46025</v>
      </c>
      <c r="D1164" t="s">
        <v>2065</v>
      </c>
      <c r="E1164" t="s">
        <v>2059</v>
      </c>
      <c r="F1164" t="s">
        <v>29</v>
      </c>
      <c r="G1164">
        <v>2362.71</v>
      </c>
      <c r="H1164" t="s">
        <v>2060</v>
      </c>
      <c r="I1164" t="str">
        <f>VLOOKUP(B1164,Customers!A:G,7,FALSE)</f>
        <v>SME</v>
      </c>
      <c r="Q1164" t="str">
        <f>IF(COUNTIF(Customers!$A$2:$A$1001,B1164)&gt;0,"Valid","Invalid")</f>
        <v>Valid</v>
      </c>
      <c r="R1164" t="str">
        <f>IF(COUNTIF(Branches!$A$2:$A$11,F1164)&gt;0,"Valid","Invalid")</f>
        <v>Valid</v>
      </c>
    </row>
    <row r="1165" spans="1:18" x14ac:dyDescent="0.25">
      <c r="A1165" t="s">
        <v>3236</v>
      </c>
      <c r="B1165" t="s">
        <v>450</v>
      </c>
      <c r="C1165" s="8">
        <v>46073</v>
      </c>
      <c r="D1165" t="s">
        <v>2067</v>
      </c>
      <c r="E1165" t="s">
        <v>2063</v>
      </c>
      <c r="F1165" t="s">
        <v>11</v>
      </c>
      <c r="G1165">
        <v>1625.2</v>
      </c>
      <c r="H1165" t="s">
        <v>2060</v>
      </c>
      <c r="I1165" t="str">
        <f>VLOOKUP(B1165,Customers!A:G,7,FALSE)</f>
        <v>Individual</v>
      </c>
      <c r="Q1165" t="str">
        <f>IF(COUNTIF(Customers!$A$2:$A$1001,B1165)&gt;0,"Valid","Invalid")</f>
        <v>Valid</v>
      </c>
      <c r="R1165" t="str">
        <f>IF(COUNTIF(Branches!$A$2:$A$11,F1165)&gt;0,"Valid","Invalid")</f>
        <v>Valid</v>
      </c>
    </row>
    <row r="1166" spans="1:18" x14ac:dyDescent="0.25">
      <c r="A1166" t="s">
        <v>3237</v>
      </c>
      <c r="B1166" t="s">
        <v>133</v>
      </c>
      <c r="C1166" s="8">
        <v>46265</v>
      </c>
      <c r="D1166" t="s">
        <v>2065</v>
      </c>
      <c r="E1166" t="s">
        <v>2076</v>
      </c>
      <c r="F1166" t="s">
        <v>11</v>
      </c>
      <c r="G1166">
        <v>276.26</v>
      </c>
      <c r="H1166" t="s">
        <v>2115</v>
      </c>
      <c r="I1166" t="str">
        <f>VLOOKUP(B1166,Customers!A:G,7,FALSE)</f>
        <v>SME</v>
      </c>
      <c r="Q1166" t="str">
        <f>IF(COUNTIF(Customers!$A$2:$A$1001,B1166)&gt;0,"Valid","Invalid")</f>
        <v>Valid</v>
      </c>
      <c r="R1166" t="str">
        <f>IF(COUNTIF(Branches!$A$2:$A$11,F1166)&gt;0,"Valid","Invalid")</f>
        <v>Valid</v>
      </c>
    </row>
    <row r="1167" spans="1:18" x14ac:dyDescent="0.25">
      <c r="A1167" t="s">
        <v>3238</v>
      </c>
      <c r="B1167" t="s">
        <v>721</v>
      </c>
      <c r="C1167" s="8">
        <v>46078</v>
      </c>
      <c r="D1167" t="s">
        <v>2062</v>
      </c>
      <c r="E1167" t="s">
        <v>2063</v>
      </c>
      <c r="F1167" t="s">
        <v>53</v>
      </c>
      <c r="G1167">
        <v>617.17999999999995</v>
      </c>
      <c r="H1167" t="s">
        <v>2060</v>
      </c>
      <c r="I1167" t="str">
        <f>VLOOKUP(B1167,Customers!A:G,7,FALSE)</f>
        <v>SME</v>
      </c>
      <c r="Q1167" t="str">
        <f>IF(COUNTIF(Customers!$A$2:$A$1001,B1167)&gt;0,"Valid","Invalid")</f>
        <v>Valid</v>
      </c>
      <c r="R1167" t="str">
        <f>IF(COUNTIF(Branches!$A$2:$A$11,F1167)&gt;0,"Valid","Invalid")</f>
        <v>Valid</v>
      </c>
    </row>
    <row r="1168" spans="1:18" x14ac:dyDescent="0.25">
      <c r="A1168" t="s">
        <v>3239</v>
      </c>
      <c r="B1168" t="s">
        <v>190</v>
      </c>
      <c r="C1168" s="8">
        <v>46095</v>
      </c>
      <c r="D1168" t="s">
        <v>2065</v>
      </c>
      <c r="E1168" t="s">
        <v>2063</v>
      </c>
      <c r="F1168" t="s">
        <v>16</v>
      </c>
      <c r="G1168">
        <v>650.48</v>
      </c>
      <c r="H1168" t="s">
        <v>2060</v>
      </c>
      <c r="I1168" t="str">
        <f>VLOOKUP(B1168,Customers!A:G,7,FALSE)</f>
        <v>Corporate</v>
      </c>
      <c r="Q1168" t="str">
        <f>IF(COUNTIF(Customers!$A$2:$A$1001,B1168)&gt;0,"Valid","Invalid")</f>
        <v>Valid</v>
      </c>
      <c r="R1168" t="str">
        <f>IF(COUNTIF(Branches!$A$2:$A$11,F1168)&gt;0,"Valid","Invalid")</f>
        <v>Valid</v>
      </c>
    </row>
    <row r="1169" spans="1:18" x14ac:dyDescent="0.25">
      <c r="A1169" t="s">
        <v>3240</v>
      </c>
      <c r="B1169" t="s">
        <v>733</v>
      </c>
      <c r="C1169" s="8">
        <v>46032</v>
      </c>
      <c r="D1169" t="s">
        <v>2062</v>
      </c>
      <c r="E1169" t="s">
        <v>2073</v>
      </c>
      <c r="F1169" t="s">
        <v>39</v>
      </c>
      <c r="G1169">
        <v>3355.93</v>
      </c>
      <c r="H1169" t="s">
        <v>2060</v>
      </c>
      <c r="I1169" t="str">
        <f>VLOOKUP(B1169,Customers!A:G,7,FALSE)</f>
        <v>Individual</v>
      </c>
      <c r="Q1169" t="str">
        <f>IF(COUNTIF(Customers!$A$2:$A$1001,B1169)&gt;0,"Valid","Invalid")</f>
        <v>Valid</v>
      </c>
      <c r="R1169" t="str">
        <f>IF(COUNTIF(Branches!$A$2:$A$11,F1169)&gt;0,"Valid","Invalid")</f>
        <v>Valid</v>
      </c>
    </row>
    <row r="1170" spans="1:18" x14ac:dyDescent="0.25">
      <c r="A1170" t="s">
        <v>3241</v>
      </c>
      <c r="B1170" t="s">
        <v>280</v>
      </c>
      <c r="C1170" s="8">
        <v>46083</v>
      </c>
      <c r="D1170" t="s">
        <v>2067</v>
      </c>
      <c r="E1170" t="s">
        <v>2059</v>
      </c>
      <c r="F1170" t="s">
        <v>11</v>
      </c>
      <c r="G1170">
        <v>639.79</v>
      </c>
      <c r="H1170" t="s">
        <v>2060</v>
      </c>
      <c r="I1170" t="str">
        <f>VLOOKUP(B1170,Customers!A:G,7,FALSE)</f>
        <v>Individual</v>
      </c>
      <c r="Q1170" t="str">
        <f>IF(COUNTIF(Customers!$A$2:$A$1001,B1170)&gt;0,"Valid","Invalid")</f>
        <v>Valid</v>
      </c>
      <c r="R1170" t="str">
        <f>IF(COUNTIF(Branches!$A$2:$A$11,F1170)&gt;0,"Valid","Invalid")</f>
        <v>Valid</v>
      </c>
    </row>
    <row r="1171" spans="1:18" x14ac:dyDescent="0.25">
      <c r="A1171" t="s">
        <v>3242</v>
      </c>
      <c r="B1171" t="s">
        <v>342</v>
      </c>
      <c r="C1171" s="8">
        <v>46260</v>
      </c>
      <c r="D1171" t="s">
        <v>2067</v>
      </c>
      <c r="E1171" t="s">
        <v>2063</v>
      </c>
      <c r="F1171" t="s">
        <v>47</v>
      </c>
      <c r="G1171">
        <v>2845.35</v>
      </c>
      <c r="H1171" t="s">
        <v>2060</v>
      </c>
      <c r="I1171" t="str">
        <f>VLOOKUP(B1171,Customers!A:G,7,FALSE)</f>
        <v>Individual</v>
      </c>
      <c r="Q1171" t="str">
        <f>IF(COUNTIF(Customers!$A$2:$A$1001,B1171)&gt;0,"Valid","Invalid")</f>
        <v>Valid</v>
      </c>
      <c r="R1171" t="str">
        <f>IF(COUNTIF(Branches!$A$2:$A$11,F1171)&gt;0,"Valid","Invalid")</f>
        <v>Valid</v>
      </c>
    </row>
    <row r="1172" spans="1:18" x14ac:dyDescent="0.25">
      <c r="A1172" t="s">
        <v>3243</v>
      </c>
      <c r="B1172" t="s">
        <v>323</v>
      </c>
      <c r="C1172" s="8">
        <v>46072</v>
      </c>
      <c r="D1172" t="s">
        <v>2065</v>
      </c>
      <c r="E1172" t="s">
        <v>2076</v>
      </c>
      <c r="F1172" t="s">
        <v>39</v>
      </c>
      <c r="G1172">
        <v>459.12</v>
      </c>
      <c r="H1172" t="s">
        <v>2060</v>
      </c>
      <c r="I1172" t="str">
        <f>VLOOKUP(B1172,Customers!A:G,7,FALSE)</f>
        <v>SME</v>
      </c>
      <c r="Q1172" t="str">
        <f>IF(COUNTIF(Customers!$A$2:$A$1001,B1172)&gt;0,"Valid","Invalid")</f>
        <v>Valid</v>
      </c>
      <c r="R1172" t="str">
        <f>IF(COUNTIF(Branches!$A$2:$A$11,F1172)&gt;0,"Valid","Invalid")</f>
        <v>Valid</v>
      </c>
    </row>
    <row r="1173" spans="1:18" x14ac:dyDescent="0.25">
      <c r="A1173" t="s">
        <v>3244</v>
      </c>
      <c r="B1173" t="s">
        <v>61</v>
      </c>
      <c r="C1173" s="8">
        <v>46144</v>
      </c>
      <c r="D1173" t="s">
        <v>2067</v>
      </c>
      <c r="E1173" t="s">
        <v>2068</v>
      </c>
      <c r="F1173" t="s">
        <v>39</v>
      </c>
      <c r="G1173">
        <v>497.26</v>
      </c>
      <c r="H1173" t="s">
        <v>2060</v>
      </c>
      <c r="I1173" t="str">
        <f>VLOOKUP(B1173,Customers!A:G,7,FALSE)</f>
        <v>Student</v>
      </c>
      <c r="Q1173" t="str">
        <f>IF(COUNTIF(Customers!$A$2:$A$1001,B1173)&gt;0,"Valid","Invalid")</f>
        <v>Valid</v>
      </c>
      <c r="R1173" t="str">
        <f>IF(COUNTIF(Branches!$A$2:$A$11,F1173)&gt;0,"Valid","Invalid")</f>
        <v>Valid</v>
      </c>
    </row>
    <row r="1174" spans="1:18" x14ac:dyDescent="0.25">
      <c r="A1174" t="s">
        <v>3245</v>
      </c>
      <c r="B1174" t="s">
        <v>440</v>
      </c>
      <c r="C1174" s="8">
        <v>46197</v>
      </c>
      <c r="D1174" t="s">
        <v>2062</v>
      </c>
      <c r="E1174" t="s">
        <v>2063</v>
      </c>
      <c r="F1174" t="s">
        <v>53</v>
      </c>
      <c r="G1174">
        <v>1314.82</v>
      </c>
      <c r="H1174" t="s">
        <v>2060</v>
      </c>
      <c r="I1174" t="str">
        <f>VLOOKUP(B1174,Customers!A:G,7,FALSE)</f>
        <v>Individual</v>
      </c>
      <c r="Q1174" t="str">
        <f>IF(COUNTIF(Customers!$A$2:$A$1001,B1174)&gt;0,"Valid","Invalid")</f>
        <v>Valid</v>
      </c>
      <c r="R1174" t="str">
        <f>IF(COUNTIF(Branches!$A$2:$A$11,F1174)&gt;0,"Valid","Invalid")</f>
        <v>Valid</v>
      </c>
    </row>
    <row r="1175" spans="1:18" x14ac:dyDescent="0.25">
      <c r="A1175" t="s">
        <v>3246</v>
      </c>
      <c r="B1175" t="s">
        <v>398</v>
      </c>
      <c r="C1175" s="8">
        <v>46240</v>
      </c>
      <c r="D1175" t="s">
        <v>2065</v>
      </c>
      <c r="E1175" t="s">
        <v>2076</v>
      </c>
      <c r="F1175" t="s">
        <v>47</v>
      </c>
      <c r="G1175">
        <v>3897.72</v>
      </c>
      <c r="H1175" t="s">
        <v>2060</v>
      </c>
      <c r="I1175" t="str">
        <f>VLOOKUP(B1175,Customers!A:G,7,FALSE)</f>
        <v>Individual</v>
      </c>
      <c r="Q1175" t="str">
        <f>IF(COUNTIF(Customers!$A$2:$A$1001,B1175)&gt;0,"Valid","Invalid")</f>
        <v>Valid</v>
      </c>
      <c r="R1175" t="str">
        <f>IF(COUNTIF(Branches!$A$2:$A$11,F1175)&gt;0,"Valid","Invalid")</f>
        <v>Valid</v>
      </c>
    </row>
    <row r="1176" spans="1:18" x14ac:dyDescent="0.25">
      <c r="A1176" t="s">
        <v>3247</v>
      </c>
      <c r="B1176" t="s">
        <v>96</v>
      </c>
      <c r="C1176" s="8">
        <v>46023</v>
      </c>
      <c r="D1176" t="s">
        <v>2067</v>
      </c>
      <c r="E1176" t="s">
        <v>2068</v>
      </c>
      <c r="F1176" t="s">
        <v>29</v>
      </c>
      <c r="G1176">
        <v>657.35</v>
      </c>
      <c r="H1176" t="s">
        <v>2060</v>
      </c>
      <c r="I1176" t="str">
        <f>VLOOKUP(B1176,Customers!A:G,7,FALSE)</f>
        <v>Individual</v>
      </c>
      <c r="Q1176" t="str">
        <f>IF(COUNTIF(Customers!$A$2:$A$1001,B1176)&gt;0,"Valid","Invalid")</f>
        <v>Valid</v>
      </c>
      <c r="R1176" t="str">
        <f>IF(COUNTIF(Branches!$A$2:$A$11,F1176)&gt;0,"Valid","Invalid")</f>
        <v>Valid</v>
      </c>
    </row>
    <row r="1177" spans="1:18" x14ac:dyDescent="0.25">
      <c r="A1177" t="s">
        <v>3248</v>
      </c>
      <c r="B1177" t="s">
        <v>239</v>
      </c>
      <c r="C1177" s="8">
        <v>46244</v>
      </c>
      <c r="D1177" t="s">
        <v>2065</v>
      </c>
      <c r="E1177" t="s">
        <v>2063</v>
      </c>
      <c r="F1177" t="s">
        <v>47</v>
      </c>
      <c r="G1177">
        <v>62.63</v>
      </c>
      <c r="H1177" t="s">
        <v>2060</v>
      </c>
      <c r="I1177" t="str">
        <f>VLOOKUP(B1177,Customers!A:G,7,FALSE)</f>
        <v>SME</v>
      </c>
      <c r="Q1177" t="str">
        <f>IF(COUNTIF(Customers!$A$2:$A$1001,B1177)&gt;0,"Valid","Invalid")</f>
        <v>Valid</v>
      </c>
      <c r="R1177" t="str">
        <f>IF(COUNTIF(Branches!$A$2:$A$11,F1177)&gt;0,"Valid","Invalid")</f>
        <v>Valid</v>
      </c>
    </row>
    <row r="1178" spans="1:18" x14ac:dyDescent="0.25">
      <c r="A1178" t="s">
        <v>3249</v>
      </c>
      <c r="B1178" t="s">
        <v>800</v>
      </c>
      <c r="C1178" s="8">
        <v>46207</v>
      </c>
      <c r="D1178" t="s">
        <v>2067</v>
      </c>
      <c r="E1178" t="s">
        <v>2059</v>
      </c>
      <c r="F1178" t="s">
        <v>53</v>
      </c>
      <c r="G1178">
        <v>170</v>
      </c>
      <c r="H1178" t="s">
        <v>2060</v>
      </c>
      <c r="I1178" t="str">
        <f>VLOOKUP(B1178,Customers!A:G,7,FALSE)</f>
        <v>Individual</v>
      </c>
      <c r="Q1178" t="str">
        <f>IF(COUNTIF(Customers!$A$2:$A$1001,B1178)&gt;0,"Valid","Invalid")</f>
        <v>Valid</v>
      </c>
      <c r="R1178" t="str">
        <f>IF(COUNTIF(Branches!$A$2:$A$11,F1178)&gt;0,"Valid","Invalid")</f>
        <v>Valid</v>
      </c>
    </row>
    <row r="1179" spans="1:18" x14ac:dyDescent="0.25">
      <c r="A1179" t="s">
        <v>3250</v>
      </c>
      <c r="B1179" t="s">
        <v>912</v>
      </c>
      <c r="C1179" s="8">
        <v>46060</v>
      </c>
      <c r="D1179" t="s">
        <v>2065</v>
      </c>
      <c r="E1179" t="s">
        <v>2063</v>
      </c>
      <c r="F1179" t="s">
        <v>45</v>
      </c>
      <c r="G1179">
        <v>1094.4000000000001</v>
      </c>
      <c r="H1179" t="s">
        <v>2060</v>
      </c>
      <c r="I1179" t="str">
        <f>VLOOKUP(B1179,Customers!A:G,7,FALSE)</f>
        <v>Individual</v>
      </c>
      <c r="Q1179" t="str">
        <f>IF(COUNTIF(Customers!$A$2:$A$1001,B1179)&gt;0,"Valid","Invalid")</f>
        <v>Valid</v>
      </c>
      <c r="R1179" t="str">
        <f>IF(COUNTIF(Branches!$A$2:$A$11,F1179)&gt;0,"Valid","Invalid")</f>
        <v>Valid</v>
      </c>
    </row>
    <row r="1180" spans="1:18" x14ac:dyDescent="0.25">
      <c r="A1180" t="s">
        <v>3251</v>
      </c>
      <c r="B1180" t="s">
        <v>619</v>
      </c>
      <c r="C1180" s="8">
        <v>46212</v>
      </c>
      <c r="D1180" t="s">
        <v>2065</v>
      </c>
      <c r="E1180" t="s">
        <v>2076</v>
      </c>
      <c r="F1180" t="s">
        <v>35</v>
      </c>
      <c r="G1180">
        <v>185.9</v>
      </c>
      <c r="H1180" t="s">
        <v>2060</v>
      </c>
      <c r="I1180" t="str">
        <f>VLOOKUP(B1180,Customers!A:G,7,FALSE)</f>
        <v>Individual</v>
      </c>
      <c r="Q1180" t="str">
        <f>IF(COUNTIF(Customers!$A$2:$A$1001,B1180)&gt;0,"Valid","Invalid")</f>
        <v>Valid</v>
      </c>
      <c r="R1180" t="str">
        <f>IF(COUNTIF(Branches!$A$2:$A$11,F1180)&gt;0,"Valid","Invalid")</f>
        <v>Valid</v>
      </c>
    </row>
    <row r="1181" spans="1:18" x14ac:dyDescent="0.25">
      <c r="A1181" t="s">
        <v>3252</v>
      </c>
      <c r="B1181" t="s">
        <v>1008</v>
      </c>
      <c r="C1181" s="8">
        <v>46101</v>
      </c>
      <c r="D1181" t="s">
        <v>2062</v>
      </c>
      <c r="E1181" t="s">
        <v>2068</v>
      </c>
      <c r="F1181" t="s">
        <v>53</v>
      </c>
      <c r="G1181">
        <v>341.87</v>
      </c>
      <c r="H1181" t="s">
        <v>2060</v>
      </c>
      <c r="I1181" t="str">
        <f>VLOOKUP(B1181,Customers!A:G,7,FALSE)</f>
        <v>Individual</v>
      </c>
      <c r="Q1181" t="str">
        <f>IF(COUNTIF(Customers!$A$2:$A$1001,B1181)&gt;0,"Valid","Invalid")</f>
        <v>Valid</v>
      </c>
      <c r="R1181" t="str">
        <f>IF(COUNTIF(Branches!$A$2:$A$11,F1181)&gt;0,"Valid","Invalid")</f>
        <v>Valid</v>
      </c>
    </row>
    <row r="1182" spans="1:18" x14ac:dyDescent="0.25">
      <c r="A1182" t="s">
        <v>3253</v>
      </c>
      <c r="B1182" t="s">
        <v>408</v>
      </c>
      <c r="C1182" s="8">
        <v>46111</v>
      </c>
      <c r="D1182" t="s">
        <v>2067</v>
      </c>
      <c r="E1182" t="s">
        <v>2063</v>
      </c>
      <c r="F1182" t="s">
        <v>45</v>
      </c>
      <c r="G1182">
        <v>822.49</v>
      </c>
      <c r="H1182" t="s">
        <v>2060</v>
      </c>
      <c r="I1182" t="str">
        <f>VLOOKUP(B1182,Customers!A:G,7,FALSE)</f>
        <v>Individual</v>
      </c>
      <c r="Q1182" t="str">
        <f>IF(COUNTIF(Customers!$A$2:$A$1001,B1182)&gt;0,"Valid","Invalid")</f>
        <v>Valid</v>
      </c>
      <c r="R1182" t="str">
        <f>IF(COUNTIF(Branches!$A$2:$A$11,F1182)&gt;0,"Valid","Invalid")</f>
        <v>Valid</v>
      </c>
    </row>
    <row r="1183" spans="1:18" x14ac:dyDescent="0.25">
      <c r="A1183" t="s">
        <v>3254</v>
      </c>
      <c r="B1183" t="s">
        <v>571</v>
      </c>
      <c r="C1183" s="8">
        <v>46220</v>
      </c>
      <c r="D1183" t="s">
        <v>2065</v>
      </c>
      <c r="E1183" t="s">
        <v>2068</v>
      </c>
      <c r="F1183" t="s">
        <v>16</v>
      </c>
      <c r="G1183">
        <v>70.150000000000006</v>
      </c>
      <c r="H1183" t="s">
        <v>2060</v>
      </c>
      <c r="I1183" t="str">
        <f>VLOOKUP(B1183,Customers!A:G,7,FALSE)</f>
        <v>Individual</v>
      </c>
      <c r="Q1183" t="str">
        <f>IF(COUNTIF(Customers!$A$2:$A$1001,B1183)&gt;0,"Valid","Invalid")</f>
        <v>Valid</v>
      </c>
      <c r="R1183" t="str">
        <f>IF(COUNTIF(Branches!$A$2:$A$11,F1183)&gt;0,"Valid","Invalid")</f>
        <v>Valid</v>
      </c>
    </row>
    <row r="1184" spans="1:18" x14ac:dyDescent="0.25">
      <c r="A1184" t="s">
        <v>3255</v>
      </c>
      <c r="B1184" t="s">
        <v>188</v>
      </c>
      <c r="C1184" s="8">
        <v>46104</v>
      </c>
      <c r="D1184" t="s">
        <v>2058</v>
      </c>
      <c r="E1184" t="s">
        <v>2068</v>
      </c>
      <c r="F1184" t="s">
        <v>21</v>
      </c>
      <c r="G1184">
        <v>555.73</v>
      </c>
      <c r="H1184" t="s">
        <v>2060</v>
      </c>
      <c r="I1184" t="str">
        <f>VLOOKUP(B1184,Customers!A:G,7,FALSE)</f>
        <v>Corporate</v>
      </c>
      <c r="Q1184" t="str">
        <f>IF(COUNTIF(Customers!$A$2:$A$1001,B1184)&gt;0,"Valid","Invalid")</f>
        <v>Valid</v>
      </c>
      <c r="R1184" t="str">
        <f>IF(COUNTIF(Branches!$A$2:$A$11,F1184)&gt;0,"Valid","Invalid")</f>
        <v>Valid</v>
      </c>
    </row>
    <row r="1185" spans="1:18" x14ac:dyDescent="0.25">
      <c r="A1185" t="s">
        <v>3256</v>
      </c>
      <c r="B1185" t="s">
        <v>138</v>
      </c>
      <c r="C1185" s="8">
        <v>46215</v>
      </c>
      <c r="D1185" t="s">
        <v>2065</v>
      </c>
      <c r="E1185" t="s">
        <v>2059</v>
      </c>
      <c r="F1185" t="s">
        <v>21</v>
      </c>
      <c r="G1185">
        <v>253.46</v>
      </c>
      <c r="H1185" t="s">
        <v>2060</v>
      </c>
      <c r="I1185" t="str">
        <f>VLOOKUP(B1185,Customers!A:G,7,FALSE)</f>
        <v>Individual</v>
      </c>
      <c r="Q1185" t="str">
        <f>IF(COUNTIF(Customers!$A$2:$A$1001,B1185)&gt;0,"Valid","Invalid")</f>
        <v>Valid</v>
      </c>
      <c r="R1185" t="str">
        <f>IF(COUNTIF(Branches!$A$2:$A$11,F1185)&gt;0,"Valid","Invalid")</f>
        <v>Valid</v>
      </c>
    </row>
    <row r="1186" spans="1:18" x14ac:dyDescent="0.25">
      <c r="A1186" t="s">
        <v>3257</v>
      </c>
      <c r="B1186" t="s">
        <v>937</v>
      </c>
      <c r="C1186" s="8">
        <v>46212</v>
      </c>
      <c r="D1186" t="s">
        <v>2065</v>
      </c>
      <c r="E1186" t="s">
        <v>2076</v>
      </c>
      <c r="F1186" t="s">
        <v>35</v>
      </c>
      <c r="G1186">
        <v>181.42</v>
      </c>
      <c r="H1186" t="s">
        <v>2060</v>
      </c>
      <c r="I1186" t="str">
        <f>VLOOKUP(B1186,Customers!A:G,7,FALSE)</f>
        <v>SME</v>
      </c>
      <c r="Q1186" t="str">
        <f>IF(COUNTIF(Customers!$A$2:$A$1001,B1186)&gt;0,"Valid","Invalid")</f>
        <v>Valid</v>
      </c>
      <c r="R1186" t="str">
        <f>IF(COUNTIF(Branches!$A$2:$A$11,F1186)&gt;0,"Valid","Invalid")</f>
        <v>Valid</v>
      </c>
    </row>
    <row r="1187" spans="1:18" x14ac:dyDescent="0.25">
      <c r="A1187" t="s">
        <v>3258</v>
      </c>
      <c r="B1187" t="s">
        <v>1038</v>
      </c>
      <c r="C1187" s="8">
        <v>46206</v>
      </c>
      <c r="D1187" t="s">
        <v>2058</v>
      </c>
      <c r="E1187" t="s">
        <v>2063</v>
      </c>
      <c r="F1187" t="s">
        <v>11</v>
      </c>
      <c r="G1187">
        <v>364.24</v>
      </c>
      <c r="H1187" t="s">
        <v>2060</v>
      </c>
      <c r="I1187" t="str">
        <f>VLOOKUP(B1187,Customers!A:G,7,FALSE)</f>
        <v>Individual</v>
      </c>
      <c r="Q1187" t="str">
        <f>IF(COUNTIF(Customers!$A$2:$A$1001,B1187)&gt;0,"Valid","Invalid")</f>
        <v>Valid</v>
      </c>
      <c r="R1187" t="str">
        <f>IF(COUNTIF(Branches!$A$2:$A$11,F1187)&gt;0,"Valid","Invalid")</f>
        <v>Valid</v>
      </c>
    </row>
    <row r="1188" spans="1:18" x14ac:dyDescent="0.25">
      <c r="A1188" t="s">
        <v>3259</v>
      </c>
      <c r="B1188" t="s">
        <v>645</v>
      </c>
      <c r="C1188" s="8">
        <v>46089</v>
      </c>
      <c r="D1188" t="s">
        <v>2065</v>
      </c>
      <c r="E1188" t="s">
        <v>2073</v>
      </c>
      <c r="F1188" t="s">
        <v>29</v>
      </c>
      <c r="G1188">
        <v>278.88</v>
      </c>
      <c r="H1188" t="s">
        <v>2060</v>
      </c>
      <c r="I1188" t="str">
        <f>VLOOKUP(B1188,Customers!A:G,7,FALSE)</f>
        <v>Individual</v>
      </c>
      <c r="Q1188" t="str">
        <f>IF(COUNTIF(Customers!$A$2:$A$1001,B1188)&gt;0,"Valid","Invalid")</f>
        <v>Valid</v>
      </c>
      <c r="R1188" t="str">
        <f>IF(COUNTIF(Branches!$A$2:$A$11,F1188)&gt;0,"Valid","Invalid")</f>
        <v>Valid</v>
      </c>
    </row>
    <row r="1189" spans="1:18" x14ac:dyDescent="0.25">
      <c r="A1189" t="s">
        <v>3260</v>
      </c>
      <c r="B1189" t="s">
        <v>484</v>
      </c>
      <c r="C1189" s="8">
        <v>46039</v>
      </c>
      <c r="D1189" t="s">
        <v>2058</v>
      </c>
      <c r="E1189" t="s">
        <v>2059</v>
      </c>
      <c r="F1189" t="s">
        <v>16</v>
      </c>
      <c r="G1189">
        <v>1299.17</v>
      </c>
      <c r="H1189" t="s">
        <v>2060</v>
      </c>
      <c r="I1189" t="str">
        <f>VLOOKUP(B1189,Customers!A:G,7,FALSE)</f>
        <v>Student</v>
      </c>
      <c r="Q1189" t="str">
        <f>IF(COUNTIF(Customers!$A$2:$A$1001,B1189)&gt;0,"Valid","Invalid")</f>
        <v>Valid</v>
      </c>
      <c r="R1189" t="str">
        <f>IF(COUNTIF(Branches!$A$2:$A$11,F1189)&gt;0,"Valid","Invalid")</f>
        <v>Valid</v>
      </c>
    </row>
    <row r="1190" spans="1:18" x14ac:dyDescent="0.25">
      <c r="A1190" t="s">
        <v>3261</v>
      </c>
      <c r="B1190" t="s">
        <v>911</v>
      </c>
      <c r="C1190" s="8">
        <v>46149</v>
      </c>
      <c r="D1190" t="s">
        <v>2058</v>
      </c>
      <c r="E1190" t="s">
        <v>2076</v>
      </c>
      <c r="F1190" t="s">
        <v>53</v>
      </c>
      <c r="G1190">
        <v>2687.93</v>
      </c>
      <c r="H1190" t="s">
        <v>2060</v>
      </c>
      <c r="I1190" t="str">
        <f>VLOOKUP(B1190,Customers!A:G,7,FALSE)</f>
        <v>Individual</v>
      </c>
      <c r="Q1190" t="str">
        <f>IF(COUNTIF(Customers!$A$2:$A$1001,B1190)&gt;0,"Valid","Invalid")</f>
        <v>Valid</v>
      </c>
      <c r="R1190" t="str">
        <f>IF(COUNTIF(Branches!$A$2:$A$11,F1190)&gt;0,"Valid","Invalid")</f>
        <v>Valid</v>
      </c>
    </row>
    <row r="1191" spans="1:18" x14ac:dyDescent="0.25">
      <c r="A1191" t="s">
        <v>3262</v>
      </c>
      <c r="B1191" t="s">
        <v>266</v>
      </c>
      <c r="C1191" s="8">
        <v>46134</v>
      </c>
      <c r="D1191" t="s">
        <v>2062</v>
      </c>
      <c r="E1191" t="s">
        <v>2076</v>
      </c>
      <c r="F1191" t="s">
        <v>45</v>
      </c>
      <c r="G1191">
        <v>564.29</v>
      </c>
      <c r="H1191" t="s">
        <v>2060</v>
      </c>
      <c r="I1191" t="str">
        <f>VLOOKUP(B1191,Customers!A:G,7,FALSE)</f>
        <v>Individual</v>
      </c>
      <c r="Q1191" t="str">
        <f>IF(COUNTIF(Customers!$A$2:$A$1001,B1191)&gt;0,"Valid","Invalid")</f>
        <v>Valid</v>
      </c>
      <c r="R1191" t="str">
        <f>IF(COUNTIF(Branches!$A$2:$A$11,F1191)&gt;0,"Valid","Invalid")</f>
        <v>Valid</v>
      </c>
    </row>
    <row r="1192" spans="1:18" x14ac:dyDescent="0.25">
      <c r="A1192" t="s">
        <v>3263</v>
      </c>
      <c r="B1192" t="s">
        <v>161</v>
      </c>
      <c r="C1192" s="8">
        <v>46158</v>
      </c>
      <c r="D1192" t="s">
        <v>2070</v>
      </c>
      <c r="E1192" t="s">
        <v>2059</v>
      </c>
      <c r="F1192" t="s">
        <v>45</v>
      </c>
      <c r="G1192">
        <v>447.59</v>
      </c>
      <c r="H1192" t="s">
        <v>2060</v>
      </c>
      <c r="I1192" t="str">
        <f>VLOOKUP(B1192,Customers!A:G,7,FALSE)</f>
        <v>Student</v>
      </c>
      <c r="Q1192" t="str">
        <f>IF(COUNTIF(Customers!$A$2:$A$1001,B1192)&gt;0,"Valid","Invalid")</f>
        <v>Valid</v>
      </c>
      <c r="R1192" t="str">
        <f>IF(COUNTIF(Branches!$A$2:$A$11,F1192)&gt;0,"Valid","Invalid")</f>
        <v>Valid</v>
      </c>
    </row>
    <row r="1193" spans="1:18" x14ac:dyDescent="0.25">
      <c r="A1193" t="s">
        <v>3264</v>
      </c>
      <c r="B1193" t="s">
        <v>808</v>
      </c>
      <c r="C1193" s="8">
        <v>46082</v>
      </c>
      <c r="D1193" t="s">
        <v>2065</v>
      </c>
      <c r="E1193" t="s">
        <v>2068</v>
      </c>
      <c r="F1193" t="s">
        <v>11</v>
      </c>
      <c r="G1193">
        <v>536.89</v>
      </c>
      <c r="H1193" t="s">
        <v>2060</v>
      </c>
      <c r="I1193" t="str">
        <f>VLOOKUP(B1193,Customers!A:G,7,FALSE)</f>
        <v>Individual</v>
      </c>
      <c r="Q1193" t="str">
        <f>IF(COUNTIF(Customers!$A$2:$A$1001,B1193)&gt;0,"Valid","Invalid")</f>
        <v>Valid</v>
      </c>
      <c r="R1193" t="str">
        <f>IF(COUNTIF(Branches!$A$2:$A$11,F1193)&gt;0,"Valid","Invalid")</f>
        <v>Valid</v>
      </c>
    </row>
    <row r="1194" spans="1:18" x14ac:dyDescent="0.25">
      <c r="A1194" t="s">
        <v>3265</v>
      </c>
      <c r="B1194" t="s">
        <v>872</v>
      </c>
      <c r="C1194" s="8">
        <v>46263</v>
      </c>
      <c r="D1194" t="s">
        <v>2067</v>
      </c>
      <c r="E1194" t="s">
        <v>2076</v>
      </c>
      <c r="F1194" t="s">
        <v>27</v>
      </c>
      <c r="G1194">
        <v>268.22000000000003</v>
      </c>
      <c r="H1194" t="s">
        <v>2060</v>
      </c>
      <c r="I1194" t="str">
        <f>VLOOKUP(B1194,Customers!A:G,7,FALSE)</f>
        <v>Individual</v>
      </c>
      <c r="Q1194" t="str">
        <f>IF(COUNTIF(Customers!$A$2:$A$1001,B1194)&gt;0,"Valid","Invalid")</f>
        <v>Valid</v>
      </c>
      <c r="R1194" t="str">
        <f>IF(COUNTIF(Branches!$A$2:$A$11,F1194)&gt;0,"Valid","Invalid")</f>
        <v>Valid</v>
      </c>
    </row>
    <row r="1195" spans="1:18" x14ac:dyDescent="0.25">
      <c r="A1195" t="s">
        <v>3266</v>
      </c>
      <c r="B1195" t="s">
        <v>1037</v>
      </c>
      <c r="C1195" s="8">
        <v>46062</v>
      </c>
      <c r="D1195" t="s">
        <v>2067</v>
      </c>
      <c r="E1195" t="s">
        <v>2073</v>
      </c>
      <c r="F1195" t="s">
        <v>27</v>
      </c>
      <c r="G1195">
        <v>223.91</v>
      </c>
      <c r="H1195" t="s">
        <v>2060</v>
      </c>
      <c r="I1195" t="str">
        <f>VLOOKUP(B1195,Customers!A:G,7,FALSE)</f>
        <v>SME</v>
      </c>
      <c r="Q1195" t="str">
        <f>IF(COUNTIF(Customers!$A$2:$A$1001,B1195)&gt;0,"Valid","Invalid")</f>
        <v>Valid</v>
      </c>
      <c r="R1195" t="str">
        <f>IF(COUNTIF(Branches!$A$2:$A$11,F1195)&gt;0,"Valid","Invalid")</f>
        <v>Valid</v>
      </c>
    </row>
    <row r="1196" spans="1:18" x14ac:dyDescent="0.25">
      <c r="A1196" t="s">
        <v>3267</v>
      </c>
      <c r="B1196" t="s">
        <v>919</v>
      </c>
      <c r="C1196" s="8">
        <v>46231</v>
      </c>
      <c r="D1196" t="s">
        <v>2065</v>
      </c>
      <c r="E1196" t="s">
        <v>2059</v>
      </c>
      <c r="F1196" t="s">
        <v>47</v>
      </c>
      <c r="G1196">
        <v>156.72</v>
      </c>
      <c r="H1196" t="s">
        <v>2060</v>
      </c>
      <c r="I1196" t="str">
        <f>VLOOKUP(B1196,Customers!A:G,7,FALSE)</f>
        <v>Individual</v>
      </c>
      <c r="Q1196" t="str">
        <f>IF(COUNTIF(Customers!$A$2:$A$1001,B1196)&gt;0,"Valid","Invalid")</f>
        <v>Valid</v>
      </c>
      <c r="R1196" t="str">
        <f>IF(COUNTIF(Branches!$A$2:$A$11,F1196)&gt;0,"Valid","Invalid")</f>
        <v>Valid</v>
      </c>
    </row>
    <row r="1197" spans="1:18" x14ac:dyDescent="0.25">
      <c r="A1197" t="s">
        <v>3268</v>
      </c>
      <c r="B1197" t="s">
        <v>976</v>
      </c>
      <c r="C1197" s="8">
        <v>46111</v>
      </c>
      <c r="D1197" t="s">
        <v>2062</v>
      </c>
      <c r="E1197" t="s">
        <v>2063</v>
      </c>
      <c r="F1197" t="s">
        <v>29</v>
      </c>
      <c r="G1197">
        <v>214.97</v>
      </c>
      <c r="H1197" t="s">
        <v>2060</v>
      </c>
      <c r="I1197" t="str">
        <f>VLOOKUP(B1197,Customers!A:G,7,FALSE)</f>
        <v>Individual</v>
      </c>
      <c r="Q1197" t="str">
        <f>IF(COUNTIF(Customers!$A$2:$A$1001,B1197)&gt;0,"Valid","Invalid")</f>
        <v>Valid</v>
      </c>
      <c r="R1197" t="str">
        <f>IF(COUNTIF(Branches!$A$2:$A$11,F1197)&gt;0,"Valid","Invalid")</f>
        <v>Valid</v>
      </c>
    </row>
    <row r="1198" spans="1:18" x14ac:dyDescent="0.25">
      <c r="A1198" t="s">
        <v>3269</v>
      </c>
      <c r="B1198" t="s">
        <v>274</v>
      </c>
      <c r="C1198" s="8">
        <v>46212</v>
      </c>
      <c r="D1198" t="s">
        <v>2062</v>
      </c>
      <c r="E1198" t="s">
        <v>2073</v>
      </c>
      <c r="F1198" t="s">
        <v>27</v>
      </c>
      <c r="G1198">
        <v>4154.68</v>
      </c>
      <c r="H1198" t="s">
        <v>2060</v>
      </c>
      <c r="I1198" t="str">
        <f>VLOOKUP(B1198,Customers!A:G,7,FALSE)</f>
        <v>Individual</v>
      </c>
      <c r="Q1198" t="str">
        <f>IF(COUNTIF(Customers!$A$2:$A$1001,B1198)&gt;0,"Valid","Invalid")</f>
        <v>Valid</v>
      </c>
      <c r="R1198" t="str">
        <f>IF(COUNTIF(Branches!$A$2:$A$11,F1198)&gt;0,"Valid","Invalid")</f>
        <v>Valid</v>
      </c>
    </row>
    <row r="1199" spans="1:18" x14ac:dyDescent="0.25">
      <c r="A1199" t="s">
        <v>3270</v>
      </c>
      <c r="B1199" t="s">
        <v>198</v>
      </c>
      <c r="C1199" s="8">
        <v>46063</v>
      </c>
      <c r="D1199" t="s">
        <v>2058</v>
      </c>
      <c r="E1199" t="s">
        <v>2076</v>
      </c>
      <c r="F1199" t="s">
        <v>29</v>
      </c>
      <c r="G1199">
        <v>407.31</v>
      </c>
      <c r="H1199" t="s">
        <v>2060</v>
      </c>
      <c r="I1199" t="str">
        <f>VLOOKUP(B1199,Customers!A:G,7,FALSE)</f>
        <v>Individual</v>
      </c>
      <c r="Q1199" t="str">
        <f>IF(COUNTIF(Customers!$A$2:$A$1001,B1199)&gt;0,"Valid","Invalid")</f>
        <v>Valid</v>
      </c>
      <c r="R1199" t="str">
        <f>IF(COUNTIF(Branches!$A$2:$A$11,F1199)&gt;0,"Valid","Invalid")</f>
        <v>Valid</v>
      </c>
    </row>
    <row r="1200" spans="1:18" x14ac:dyDescent="0.25">
      <c r="A1200" t="s">
        <v>3271</v>
      </c>
      <c r="B1200" t="s">
        <v>592</v>
      </c>
      <c r="C1200" s="8">
        <v>46162</v>
      </c>
      <c r="D1200" t="s">
        <v>2058</v>
      </c>
      <c r="E1200" t="s">
        <v>2076</v>
      </c>
      <c r="F1200" t="s">
        <v>11</v>
      </c>
      <c r="G1200">
        <v>42.88</v>
      </c>
      <c r="H1200" t="s">
        <v>2060</v>
      </c>
      <c r="I1200" t="str">
        <f>VLOOKUP(B1200,Customers!A:G,7,FALSE)</f>
        <v>SME</v>
      </c>
      <c r="Q1200" t="str">
        <f>IF(COUNTIF(Customers!$A$2:$A$1001,B1200)&gt;0,"Valid","Invalid")</f>
        <v>Valid</v>
      </c>
      <c r="R1200" t="str">
        <f>IF(COUNTIF(Branches!$A$2:$A$11,F1200)&gt;0,"Valid","Invalid")</f>
        <v>Valid</v>
      </c>
    </row>
    <row r="1201" spans="1:18" x14ac:dyDescent="0.25">
      <c r="A1201" t="s">
        <v>3272</v>
      </c>
      <c r="B1201" t="s">
        <v>826</v>
      </c>
      <c r="C1201" s="8">
        <v>46243</v>
      </c>
      <c r="D1201" t="s">
        <v>2065</v>
      </c>
      <c r="E1201" t="s">
        <v>2073</v>
      </c>
      <c r="F1201" t="s">
        <v>47</v>
      </c>
      <c r="G1201">
        <v>451.67</v>
      </c>
      <c r="H1201" t="s">
        <v>2060</v>
      </c>
      <c r="I1201" t="str">
        <f>VLOOKUP(B1201,Customers!A:G,7,FALSE)</f>
        <v>SME</v>
      </c>
      <c r="Q1201" t="str">
        <f>IF(COUNTIF(Customers!$A$2:$A$1001,B1201)&gt;0,"Valid","Invalid")</f>
        <v>Valid</v>
      </c>
      <c r="R1201" t="str">
        <f>IF(COUNTIF(Branches!$A$2:$A$11,F1201)&gt;0,"Valid","Invalid")</f>
        <v>Valid</v>
      </c>
    </row>
    <row r="1202" spans="1:18" x14ac:dyDescent="0.25">
      <c r="A1202" t="s">
        <v>3273</v>
      </c>
      <c r="B1202" t="s">
        <v>391</v>
      </c>
      <c r="C1202" s="8">
        <v>46239</v>
      </c>
      <c r="D1202" t="s">
        <v>2058</v>
      </c>
      <c r="E1202" t="s">
        <v>2063</v>
      </c>
      <c r="F1202" t="s">
        <v>39</v>
      </c>
      <c r="G1202">
        <v>165.6</v>
      </c>
      <c r="H1202" t="s">
        <v>2060</v>
      </c>
      <c r="I1202" t="str">
        <f>VLOOKUP(B1202,Customers!A:G,7,FALSE)</f>
        <v>Individual</v>
      </c>
      <c r="Q1202" t="str">
        <f>IF(COUNTIF(Customers!$A$2:$A$1001,B1202)&gt;0,"Valid","Invalid")</f>
        <v>Valid</v>
      </c>
      <c r="R1202" t="str">
        <f>IF(COUNTIF(Branches!$A$2:$A$11,F1202)&gt;0,"Valid","Invalid")</f>
        <v>Valid</v>
      </c>
    </row>
    <row r="1203" spans="1:18" x14ac:dyDescent="0.25">
      <c r="A1203" t="s">
        <v>3274</v>
      </c>
      <c r="B1203" t="s">
        <v>104</v>
      </c>
      <c r="C1203" s="8">
        <v>46137</v>
      </c>
      <c r="D1203" t="s">
        <v>2062</v>
      </c>
      <c r="E1203" t="s">
        <v>2059</v>
      </c>
      <c r="F1203" t="s">
        <v>35</v>
      </c>
      <c r="G1203">
        <v>862.2</v>
      </c>
      <c r="H1203" t="s">
        <v>2060</v>
      </c>
      <c r="I1203" t="str">
        <f>VLOOKUP(B1203,Customers!A:G,7,FALSE)</f>
        <v>Student</v>
      </c>
      <c r="Q1203" t="str">
        <f>IF(COUNTIF(Customers!$A$2:$A$1001,B1203)&gt;0,"Valid","Invalid")</f>
        <v>Valid</v>
      </c>
      <c r="R1203" t="str">
        <f>IF(COUNTIF(Branches!$A$2:$A$11,F1203)&gt;0,"Valid","Invalid")</f>
        <v>Valid</v>
      </c>
    </row>
    <row r="1204" spans="1:18" x14ac:dyDescent="0.25">
      <c r="A1204" t="s">
        <v>3275</v>
      </c>
      <c r="B1204" t="s">
        <v>209</v>
      </c>
      <c r="C1204" s="8">
        <v>46122</v>
      </c>
      <c r="D1204" t="s">
        <v>2058</v>
      </c>
      <c r="E1204" t="s">
        <v>2063</v>
      </c>
      <c r="F1204" t="s">
        <v>27</v>
      </c>
      <c r="G1204">
        <v>774.06</v>
      </c>
      <c r="H1204" t="s">
        <v>2060</v>
      </c>
      <c r="I1204" t="str">
        <f>VLOOKUP(B1204,Customers!A:G,7,FALSE)</f>
        <v>Individual</v>
      </c>
      <c r="Q1204" t="str">
        <f>IF(COUNTIF(Customers!$A$2:$A$1001,B1204)&gt;0,"Valid","Invalid")</f>
        <v>Valid</v>
      </c>
      <c r="R1204" t="str">
        <f>IF(COUNTIF(Branches!$A$2:$A$11,F1204)&gt;0,"Valid","Invalid")</f>
        <v>Valid</v>
      </c>
    </row>
    <row r="1205" spans="1:18" x14ac:dyDescent="0.25">
      <c r="A1205" t="s">
        <v>3276</v>
      </c>
      <c r="B1205" t="s">
        <v>881</v>
      </c>
      <c r="C1205" s="8">
        <v>46139</v>
      </c>
      <c r="D1205" t="s">
        <v>2065</v>
      </c>
      <c r="E1205" t="s">
        <v>2076</v>
      </c>
      <c r="F1205" t="s">
        <v>53</v>
      </c>
      <c r="G1205">
        <v>859.1</v>
      </c>
      <c r="H1205" t="s">
        <v>2060</v>
      </c>
      <c r="I1205" t="str">
        <f>VLOOKUP(B1205,Customers!A:G,7,FALSE)</f>
        <v>Individual</v>
      </c>
      <c r="Q1205" t="str">
        <f>IF(COUNTIF(Customers!$A$2:$A$1001,B1205)&gt;0,"Valid","Invalid")</f>
        <v>Valid</v>
      </c>
      <c r="R1205" t="str">
        <f>IF(COUNTIF(Branches!$A$2:$A$11,F1205)&gt;0,"Valid","Invalid")</f>
        <v>Valid</v>
      </c>
    </row>
    <row r="1206" spans="1:18" x14ac:dyDescent="0.25">
      <c r="A1206" t="s">
        <v>3277</v>
      </c>
      <c r="B1206" t="s">
        <v>675</v>
      </c>
      <c r="C1206" s="8">
        <v>46204</v>
      </c>
      <c r="D1206" t="s">
        <v>2058</v>
      </c>
      <c r="E1206" t="s">
        <v>2068</v>
      </c>
      <c r="F1206" t="s">
        <v>16</v>
      </c>
      <c r="G1206">
        <v>779.98</v>
      </c>
      <c r="H1206" t="s">
        <v>2060</v>
      </c>
      <c r="I1206" t="str">
        <f>VLOOKUP(B1206,Customers!A:G,7,FALSE)</f>
        <v>SME</v>
      </c>
      <c r="Q1206" t="str">
        <f>IF(COUNTIF(Customers!$A$2:$A$1001,B1206)&gt;0,"Valid","Invalid")</f>
        <v>Valid</v>
      </c>
      <c r="R1206" t="str">
        <f>IF(COUNTIF(Branches!$A$2:$A$11,F1206)&gt;0,"Valid","Invalid")</f>
        <v>Valid</v>
      </c>
    </row>
    <row r="1207" spans="1:18" x14ac:dyDescent="0.25">
      <c r="A1207" t="s">
        <v>3278</v>
      </c>
      <c r="B1207" t="s">
        <v>720</v>
      </c>
      <c r="C1207" s="8">
        <v>46111</v>
      </c>
      <c r="D1207" t="s">
        <v>2067</v>
      </c>
      <c r="E1207" t="s">
        <v>2073</v>
      </c>
      <c r="F1207" t="s">
        <v>29</v>
      </c>
      <c r="G1207">
        <v>559.64</v>
      </c>
      <c r="H1207" t="s">
        <v>2060</v>
      </c>
      <c r="I1207" t="str">
        <f>VLOOKUP(B1207,Customers!A:G,7,FALSE)</f>
        <v>Individual</v>
      </c>
      <c r="Q1207" t="str">
        <f>IF(COUNTIF(Customers!$A$2:$A$1001,B1207)&gt;0,"Valid","Invalid")</f>
        <v>Valid</v>
      </c>
      <c r="R1207" t="str">
        <f>IF(COUNTIF(Branches!$A$2:$A$11,F1207)&gt;0,"Valid","Invalid")</f>
        <v>Valid</v>
      </c>
    </row>
    <row r="1208" spans="1:18" x14ac:dyDescent="0.25">
      <c r="A1208" t="s">
        <v>3279</v>
      </c>
      <c r="B1208" t="s">
        <v>597</v>
      </c>
      <c r="C1208" s="8">
        <v>46115</v>
      </c>
      <c r="D1208" t="s">
        <v>2058</v>
      </c>
      <c r="E1208" t="s">
        <v>2059</v>
      </c>
      <c r="F1208" t="s">
        <v>11</v>
      </c>
      <c r="G1208">
        <v>189.45</v>
      </c>
      <c r="H1208" t="s">
        <v>2060</v>
      </c>
      <c r="I1208" t="str">
        <f>VLOOKUP(B1208,Customers!A:G,7,FALSE)</f>
        <v>Individual</v>
      </c>
      <c r="Q1208" t="str">
        <f>IF(COUNTIF(Customers!$A$2:$A$1001,B1208)&gt;0,"Valid","Invalid")</f>
        <v>Valid</v>
      </c>
      <c r="R1208" t="str">
        <f>IF(COUNTIF(Branches!$A$2:$A$11,F1208)&gt;0,"Valid","Invalid")</f>
        <v>Valid</v>
      </c>
    </row>
    <row r="1209" spans="1:18" x14ac:dyDescent="0.25">
      <c r="A1209" t="s">
        <v>3280</v>
      </c>
      <c r="B1209" t="s">
        <v>299</v>
      </c>
      <c r="C1209" s="8">
        <v>46161</v>
      </c>
      <c r="D1209" t="s">
        <v>2058</v>
      </c>
      <c r="E1209" t="s">
        <v>2068</v>
      </c>
      <c r="F1209" t="s">
        <v>47</v>
      </c>
      <c r="G1209">
        <v>753.96</v>
      </c>
      <c r="H1209" t="s">
        <v>2060</v>
      </c>
      <c r="I1209" t="str">
        <f>VLOOKUP(B1209,Customers!A:G,7,FALSE)</f>
        <v>SME</v>
      </c>
      <c r="Q1209" t="str">
        <f>IF(COUNTIF(Customers!$A$2:$A$1001,B1209)&gt;0,"Valid","Invalid")</f>
        <v>Valid</v>
      </c>
      <c r="R1209" t="str">
        <f>IF(COUNTIF(Branches!$A$2:$A$11,F1209)&gt;0,"Valid","Invalid")</f>
        <v>Valid</v>
      </c>
    </row>
    <row r="1210" spans="1:18" x14ac:dyDescent="0.25">
      <c r="A1210" t="s">
        <v>3281</v>
      </c>
      <c r="B1210" t="s">
        <v>254</v>
      </c>
      <c r="C1210" s="8">
        <v>46082</v>
      </c>
      <c r="D1210" t="s">
        <v>2067</v>
      </c>
      <c r="E1210" t="s">
        <v>2073</v>
      </c>
      <c r="F1210" t="s">
        <v>11</v>
      </c>
      <c r="G1210">
        <v>2250.54</v>
      </c>
      <c r="H1210" t="s">
        <v>2060</v>
      </c>
      <c r="I1210" t="str">
        <f>VLOOKUP(B1210,Customers!A:G,7,FALSE)</f>
        <v>Individual</v>
      </c>
      <c r="Q1210" t="str">
        <f>IF(COUNTIF(Customers!$A$2:$A$1001,B1210)&gt;0,"Valid","Invalid")</f>
        <v>Valid</v>
      </c>
      <c r="R1210" t="str">
        <f>IF(COUNTIF(Branches!$A$2:$A$11,F1210)&gt;0,"Valid","Invalid")</f>
        <v>Valid</v>
      </c>
    </row>
    <row r="1211" spans="1:18" x14ac:dyDescent="0.25">
      <c r="A1211" t="s">
        <v>3282</v>
      </c>
      <c r="B1211" t="s">
        <v>855</v>
      </c>
      <c r="C1211" s="8">
        <v>46090</v>
      </c>
      <c r="D1211" t="s">
        <v>2062</v>
      </c>
      <c r="E1211" t="s">
        <v>2076</v>
      </c>
      <c r="F1211" t="s">
        <v>47</v>
      </c>
      <c r="G1211">
        <v>4982.43</v>
      </c>
      <c r="H1211" t="s">
        <v>2115</v>
      </c>
      <c r="I1211" t="str">
        <f>VLOOKUP(B1211,Customers!A:G,7,FALSE)</f>
        <v>SME</v>
      </c>
      <c r="Q1211" t="str">
        <f>IF(COUNTIF(Customers!$A$2:$A$1001,B1211)&gt;0,"Valid","Invalid")</f>
        <v>Valid</v>
      </c>
      <c r="R1211" t="str">
        <f>IF(COUNTIF(Branches!$A$2:$A$11,F1211)&gt;0,"Valid","Invalid")</f>
        <v>Valid</v>
      </c>
    </row>
    <row r="1212" spans="1:18" x14ac:dyDescent="0.25">
      <c r="A1212" t="s">
        <v>3283</v>
      </c>
      <c r="B1212" t="s">
        <v>160</v>
      </c>
      <c r="C1212" s="8">
        <v>46100</v>
      </c>
      <c r="D1212" t="s">
        <v>2062</v>
      </c>
      <c r="E1212" t="s">
        <v>2063</v>
      </c>
      <c r="F1212" t="s">
        <v>47</v>
      </c>
      <c r="G1212">
        <v>640.35</v>
      </c>
      <c r="H1212" t="s">
        <v>2060</v>
      </c>
      <c r="I1212" t="str">
        <f>VLOOKUP(B1212,Customers!A:G,7,FALSE)</f>
        <v>Individual</v>
      </c>
      <c r="Q1212" t="str">
        <f>IF(COUNTIF(Customers!$A$2:$A$1001,B1212)&gt;0,"Valid","Invalid")</f>
        <v>Valid</v>
      </c>
      <c r="R1212" t="str">
        <f>IF(COUNTIF(Branches!$A$2:$A$11,F1212)&gt;0,"Valid","Invalid")</f>
        <v>Valid</v>
      </c>
    </row>
    <row r="1213" spans="1:18" x14ac:dyDescent="0.25">
      <c r="A1213" t="s">
        <v>3284</v>
      </c>
      <c r="B1213" t="s">
        <v>843</v>
      </c>
      <c r="C1213" s="8">
        <v>46068</v>
      </c>
      <c r="D1213" t="s">
        <v>2065</v>
      </c>
      <c r="E1213" t="s">
        <v>2076</v>
      </c>
      <c r="F1213" t="s">
        <v>47</v>
      </c>
      <c r="G1213">
        <v>713.65</v>
      </c>
      <c r="H1213" t="s">
        <v>2060</v>
      </c>
      <c r="I1213" t="str">
        <f>VLOOKUP(B1213,Customers!A:G,7,FALSE)</f>
        <v>Individual</v>
      </c>
      <c r="Q1213" t="str">
        <f>IF(COUNTIF(Customers!$A$2:$A$1001,B1213)&gt;0,"Valid","Invalid")</f>
        <v>Valid</v>
      </c>
      <c r="R1213" t="str">
        <f>IF(COUNTIF(Branches!$A$2:$A$11,F1213)&gt;0,"Valid","Invalid")</f>
        <v>Valid</v>
      </c>
    </row>
    <row r="1214" spans="1:18" x14ac:dyDescent="0.25">
      <c r="A1214" t="s">
        <v>3285</v>
      </c>
      <c r="B1214" t="s">
        <v>198</v>
      </c>
      <c r="C1214" s="8">
        <v>46060</v>
      </c>
      <c r="D1214" t="s">
        <v>2070</v>
      </c>
      <c r="E1214" t="s">
        <v>2073</v>
      </c>
      <c r="F1214" t="s">
        <v>27</v>
      </c>
      <c r="G1214">
        <v>1340</v>
      </c>
      <c r="H1214" t="s">
        <v>2060</v>
      </c>
      <c r="I1214" t="str">
        <f>VLOOKUP(B1214,Customers!A:G,7,FALSE)</f>
        <v>Individual</v>
      </c>
      <c r="Q1214" t="str">
        <f>IF(COUNTIF(Customers!$A$2:$A$1001,B1214)&gt;0,"Valid","Invalid")</f>
        <v>Valid</v>
      </c>
      <c r="R1214" t="str">
        <f>IF(COUNTIF(Branches!$A$2:$A$11,F1214)&gt;0,"Valid","Invalid")</f>
        <v>Valid</v>
      </c>
    </row>
    <row r="1215" spans="1:18" x14ac:dyDescent="0.25">
      <c r="A1215" t="s">
        <v>3286</v>
      </c>
      <c r="B1215" t="s">
        <v>238</v>
      </c>
      <c r="C1215" s="8">
        <v>46211</v>
      </c>
      <c r="D1215" t="s">
        <v>2058</v>
      </c>
      <c r="E1215" t="s">
        <v>2073</v>
      </c>
      <c r="F1215" t="s">
        <v>11</v>
      </c>
      <c r="G1215">
        <v>3616.43</v>
      </c>
      <c r="H1215" t="s">
        <v>2060</v>
      </c>
      <c r="I1215" t="str">
        <f>VLOOKUP(B1215,Customers!A:G,7,FALSE)</f>
        <v>Individual</v>
      </c>
      <c r="Q1215" t="str">
        <f>IF(COUNTIF(Customers!$A$2:$A$1001,B1215)&gt;0,"Valid","Invalid")</f>
        <v>Valid</v>
      </c>
      <c r="R1215" t="str">
        <f>IF(COUNTIF(Branches!$A$2:$A$11,F1215)&gt;0,"Valid","Invalid")</f>
        <v>Valid</v>
      </c>
    </row>
    <row r="1216" spans="1:18" x14ac:dyDescent="0.25">
      <c r="A1216" t="s">
        <v>3287</v>
      </c>
      <c r="B1216" t="s">
        <v>492</v>
      </c>
      <c r="C1216" s="8">
        <v>46039</v>
      </c>
      <c r="D1216" t="s">
        <v>2062</v>
      </c>
      <c r="E1216" t="s">
        <v>2076</v>
      </c>
      <c r="F1216" t="s">
        <v>39</v>
      </c>
      <c r="G1216">
        <v>499.55</v>
      </c>
      <c r="H1216" t="s">
        <v>2060</v>
      </c>
      <c r="I1216" t="str">
        <f>VLOOKUP(B1216,Customers!A:G,7,FALSE)</f>
        <v>Individual</v>
      </c>
      <c r="Q1216" t="str">
        <f>IF(COUNTIF(Customers!$A$2:$A$1001,B1216)&gt;0,"Valid","Invalid")</f>
        <v>Valid</v>
      </c>
      <c r="R1216" t="str">
        <f>IF(COUNTIF(Branches!$A$2:$A$11,F1216)&gt;0,"Valid","Invalid")</f>
        <v>Valid</v>
      </c>
    </row>
    <row r="1217" spans="1:18" x14ac:dyDescent="0.25">
      <c r="A1217" t="s">
        <v>3288</v>
      </c>
      <c r="B1217" t="s">
        <v>440</v>
      </c>
      <c r="C1217" s="8">
        <v>46088</v>
      </c>
      <c r="D1217" t="s">
        <v>2062</v>
      </c>
      <c r="E1217" t="s">
        <v>2068</v>
      </c>
      <c r="F1217" t="s">
        <v>27</v>
      </c>
      <c r="G1217">
        <v>1624.01</v>
      </c>
      <c r="H1217" t="s">
        <v>2060</v>
      </c>
      <c r="I1217" t="str">
        <f>VLOOKUP(B1217,Customers!A:G,7,FALSE)</f>
        <v>Individual</v>
      </c>
      <c r="Q1217" t="str">
        <f>IF(COUNTIF(Customers!$A$2:$A$1001,B1217)&gt;0,"Valid","Invalid")</f>
        <v>Valid</v>
      </c>
      <c r="R1217" t="str">
        <f>IF(COUNTIF(Branches!$A$2:$A$11,F1217)&gt;0,"Valid","Invalid")</f>
        <v>Valid</v>
      </c>
    </row>
    <row r="1218" spans="1:18" x14ac:dyDescent="0.25">
      <c r="A1218" t="s">
        <v>3289</v>
      </c>
      <c r="B1218" t="s">
        <v>500</v>
      </c>
      <c r="C1218" s="8">
        <v>46222</v>
      </c>
      <c r="D1218" t="s">
        <v>2067</v>
      </c>
      <c r="E1218" t="s">
        <v>2063</v>
      </c>
      <c r="F1218" t="s">
        <v>47</v>
      </c>
      <c r="G1218">
        <v>356.8</v>
      </c>
      <c r="H1218" t="s">
        <v>2060</v>
      </c>
      <c r="I1218" t="str">
        <f>VLOOKUP(B1218,Customers!A:G,7,FALSE)</f>
        <v>Student</v>
      </c>
      <c r="Q1218" t="str">
        <f>IF(COUNTIF(Customers!$A$2:$A$1001,B1218)&gt;0,"Valid","Invalid")</f>
        <v>Valid</v>
      </c>
      <c r="R1218" t="str">
        <f>IF(COUNTIF(Branches!$A$2:$A$11,F1218)&gt;0,"Valid","Invalid")</f>
        <v>Valid</v>
      </c>
    </row>
    <row r="1219" spans="1:18" x14ac:dyDescent="0.25">
      <c r="A1219" t="s">
        <v>3290</v>
      </c>
      <c r="B1219" t="s">
        <v>313</v>
      </c>
      <c r="C1219" s="8">
        <v>46058</v>
      </c>
      <c r="D1219" t="s">
        <v>2062</v>
      </c>
      <c r="E1219" t="s">
        <v>2063</v>
      </c>
      <c r="F1219" t="s">
        <v>45</v>
      </c>
      <c r="G1219">
        <v>1129.8599999999999</v>
      </c>
      <c r="H1219" t="s">
        <v>2060</v>
      </c>
      <c r="I1219" t="str">
        <f>VLOOKUP(B1219,Customers!A:G,7,FALSE)</f>
        <v>SME</v>
      </c>
      <c r="Q1219" t="str">
        <f>IF(COUNTIF(Customers!$A$2:$A$1001,B1219)&gt;0,"Valid","Invalid")</f>
        <v>Valid</v>
      </c>
      <c r="R1219" t="str">
        <f>IF(COUNTIF(Branches!$A$2:$A$11,F1219)&gt;0,"Valid","Invalid")</f>
        <v>Valid</v>
      </c>
    </row>
    <row r="1220" spans="1:18" x14ac:dyDescent="0.25">
      <c r="A1220" t="s">
        <v>3291</v>
      </c>
      <c r="B1220" t="s">
        <v>243</v>
      </c>
      <c r="C1220" s="8">
        <v>46096</v>
      </c>
      <c r="D1220" t="s">
        <v>2065</v>
      </c>
      <c r="E1220" t="s">
        <v>2073</v>
      </c>
      <c r="F1220" t="s">
        <v>53</v>
      </c>
      <c r="G1220">
        <v>2144.38</v>
      </c>
      <c r="H1220" t="s">
        <v>2060</v>
      </c>
      <c r="I1220" t="str">
        <f>VLOOKUP(B1220,Customers!A:G,7,FALSE)</f>
        <v>Student</v>
      </c>
      <c r="Q1220" t="str">
        <f>IF(COUNTIF(Customers!$A$2:$A$1001,B1220)&gt;0,"Valid","Invalid")</f>
        <v>Valid</v>
      </c>
      <c r="R1220" t="str">
        <f>IF(COUNTIF(Branches!$A$2:$A$11,F1220)&gt;0,"Valid","Invalid")</f>
        <v>Valid</v>
      </c>
    </row>
    <row r="1221" spans="1:18" x14ac:dyDescent="0.25">
      <c r="A1221" t="s">
        <v>3292</v>
      </c>
      <c r="B1221" t="s">
        <v>74</v>
      </c>
      <c r="C1221" s="8">
        <v>46029</v>
      </c>
      <c r="D1221" t="s">
        <v>2065</v>
      </c>
      <c r="E1221" t="s">
        <v>2063</v>
      </c>
      <c r="F1221" t="s">
        <v>29</v>
      </c>
      <c r="G1221">
        <v>223.44</v>
      </c>
      <c r="H1221" t="s">
        <v>2115</v>
      </c>
      <c r="I1221" t="str">
        <f>VLOOKUP(B1221,Customers!A:G,7,FALSE)</f>
        <v>Individual</v>
      </c>
      <c r="Q1221" t="str">
        <f>IF(COUNTIF(Customers!$A$2:$A$1001,B1221)&gt;0,"Valid","Invalid")</f>
        <v>Valid</v>
      </c>
      <c r="R1221" t="str">
        <f>IF(COUNTIF(Branches!$A$2:$A$11,F1221)&gt;0,"Valid","Invalid")</f>
        <v>Valid</v>
      </c>
    </row>
    <row r="1222" spans="1:18" x14ac:dyDescent="0.25">
      <c r="A1222" t="s">
        <v>3293</v>
      </c>
      <c r="B1222" t="s">
        <v>311</v>
      </c>
      <c r="C1222" s="8">
        <v>46250</v>
      </c>
      <c r="D1222" t="s">
        <v>2058</v>
      </c>
      <c r="E1222" t="s">
        <v>2063</v>
      </c>
      <c r="F1222" t="s">
        <v>47</v>
      </c>
      <c r="G1222">
        <v>480.51</v>
      </c>
      <c r="H1222" t="s">
        <v>2060</v>
      </c>
      <c r="I1222" t="str">
        <f>VLOOKUP(B1222,Customers!A:G,7,FALSE)</f>
        <v>Individual</v>
      </c>
      <c r="Q1222" t="str">
        <f>IF(COUNTIF(Customers!$A$2:$A$1001,B1222)&gt;0,"Valid","Invalid")</f>
        <v>Valid</v>
      </c>
      <c r="R1222" t="str">
        <f>IF(COUNTIF(Branches!$A$2:$A$11,F1222)&gt;0,"Valid","Invalid")</f>
        <v>Valid</v>
      </c>
    </row>
    <row r="1223" spans="1:18" x14ac:dyDescent="0.25">
      <c r="A1223" t="s">
        <v>3294</v>
      </c>
      <c r="B1223" t="s">
        <v>738</v>
      </c>
      <c r="C1223" s="8">
        <v>46038</v>
      </c>
      <c r="D1223" t="s">
        <v>2062</v>
      </c>
      <c r="E1223" t="s">
        <v>2059</v>
      </c>
      <c r="F1223" t="s">
        <v>45</v>
      </c>
      <c r="G1223">
        <v>2110.7199999999998</v>
      </c>
      <c r="H1223" t="s">
        <v>2060</v>
      </c>
      <c r="I1223" t="str">
        <f>VLOOKUP(B1223,Customers!A:G,7,FALSE)</f>
        <v>Individual</v>
      </c>
      <c r="Q1223" t="str">
        <f>IF(COUNTIF(Customers!$A$2:$A$1001,B1223)&gt;0,"Valid","Invalid")</f>
        <v>Valid</v>
      </c>
      <c r="R1223" t="str">
        <f>IF(COUNTIF(Branches!$A$2:$A$11,F1223)&gt;0,"Valid","Invalid")</f>
        <v>Valid</v>
      </c>
    </row>
    <row r="1224" spans="1:18" x14ac:dyDescent="0.25">
      <c r="A1224" t="s">
        <v>3295</v>
      </c>
      <c r="B1224" t="s">
        <v>905</v>
      </c>
      <c r="C1224" s="8">
        <v>46036</v>
      </c>
      <c r="D1224" t="s">
        <v>2062</v>
      </c>
      <c r="E1224" t="s">
        <v>2059</v>
      </c>
      <c r="F1224" t="s">
        <v>39</v>
      </c>
      <c r="G1224">
        <v>1504.42</v>
      </c>
      <c r="H1224" t="s">
        <v>2060</v>
      </c>
      <c r="I1224" t="str">
        <f>VLOOKUP(B1224,Customers!A:G,7,FALSE)</f>
        <v>Student</v>
      </c>
      <c r="Q1224" t="str">
        <f>IF(COUNTIF(Customers!$A$2:$A$1001,B1224)&gt;0,"Valid","Invalid")</f>
        <v>Valid</v>
      </c>
      <c r="R1224" t="str">
        <f>IF(COUNTIF(Branches!$A$2:$A$11,F1224)&gt;0,"Valid","Invalid")</f>
        <v>Valid</v>
      </c>
    </row>
    <row r="1225" spans="1:18" x14ac:dyDescent="0.25">
      <c r="A1225" t="s">
        <v>3296</v>
      </c>
      <c r="B1225" t="s">
        <v>129</v>
      </c>
      <c r="C1225" s="8">
        <v>46102</v>
      </c>
      <c r="D1225" t="s">
        <v>2058</v>
      </c>
      <c r="E1225" t="s">
        <v>2076</v>
      </c>
      <c r="F1225" t="s">
        <v>27</v>
      </c>
      <c r="G1225">
        <v>2289.17</v>
      </c>
      <c r="H1225" t="s">
        <v>2060</v>
      </c>
      <c r="I1225" t="str">
        <f>VLOOKUP(B1225,Customers!A:G,7,FALSE)</f>
        <v>Individual</v>
      </c>
      <c r="Q1225" t="str">
        <f>IF(COUNTIF(Customers!$A$2:$A$1001,B1225)&gt;0,"Valid","Invalid")</f>
        <v>Valid</v>
      </c>
      <c r="R1225" t="str">
        <f>IF(COUNTIF(Branches!$A$2:$A$11,F1225)&gt;0,"Valid","Invalid")</f>
        <v>Valid</v>
      </c>
    </row>
    <row r="1226" spans="1:18" x14ac:dyDescent="0.25">
      <c r="A1226" t="s">
        <v>3297</v>
      </c>
      <c r="B1226" t="s">
        <v>76</v>
      </c>
      <c r="C1226" s="8">
        <v>46047</v>
      </c>
      <c r="D1226" t="s">
        <v>2058</v>
      </c>
      <c r="E1226" t="s">
        <v>2063</v>
      </c>
      <c r="F1226" t="s">
        <v>11</v>
      </c>
      <c r="G1226">
        <v>1897.78</v>
      </c>
      <c r="H1226" t="s">
        <v>2060</v>
      </c>
      <c r="I1226" t="str">
        <f>VLOOKUP(B1226,Customers!A:G,7,FALSE)</f>
        <v>Individual</v>
      </c>
      <c r="Q1226" t="str">
        <f>IF(COUNTIF(Customers!$A$2:$A$1001,B1226)&gt;0,"Valid","Invalid")</f>
        <v>Valid</v>
      </c>
      <c r="R1226" t="str">
        <f>IF(COUNTIF(Branches!$A$2:$A$11,F1226)&gt;0,"Valid","Invalid")</f>
        <v>Valid</v>
      </c>
    </row>
    <row r="1227" spans="1:18" x14ac:dyDescent="0.25">
      <c r="A1227" t="s">
        <v>3298</v>
      </c>
      <c r="B1227" t="s">
        <v>503</v>
      </c>
      <c r="C1227" s="8">
        <v>46127</v>
      </c>
      <c r="D1227" t="s">
        <v>2067</v>
      </c>
      <c r="E1227" t="s">
        <v>2073</v>
      </c>
      <c r="F1227" t="s">
        <v>53</v>
      </c>
      <c r="G1227">
        <v>577.61</v>
      </c>
      <c r="H1227" t="s">
        <v>2060</v>
      </c>
      <c r="I1227" t="str">
        <f>VLOOKUP(B1227,Customers!A:G,7,FALSE)</f>
        <v>SME</v>
      </c>
      <c r="Q1227" t="str">
        <f>IF(COUNTIF(Customers!$A$2:$A$1001,B1227)&gt;0,"Valid","Invalid")</f>
        <v>Valid</v>
      </c>
      <c r="R1227" t="str">
        <f>IF(COUNTIF(Branches!$A$2:$A$11,F1227)&gt;0,"Valid","Invalid")</f>
        <v>Valid</v>
      </c>
    </row>
    <row r="1228" spans="1:18" x14ac:dyDescent="0.25">
      <c r="A1228" t="s">
        <v>3299</v>
      </c>
      <c r="B1228" t="s">
        <v>417</v>
      </c>
      <c r="C1228" s="8">
        <v>46026</v>
      </c>
      <c r="D1228" t="s">
        <v>2070</v>
      </c>
      <c r="E1228" t="s">
        <v>2073</v>
      </c>
      <c r="F1228" t="s">
        <v>39</v>
      </c>
      <c r="G1228">
        <v>7326.04</v>
      </c>
      <c r="H1228" t="s">
        <v>2060</v>
      </c>
      <c r="I1228" t="str">
        <f>VLOOKUP(B1228,Customers!A:G,7,FALSE)</f>
        <v>Individual</v>
      </c>
      <c r="Q1228" t="str">
        <f>IF(COUNTIF(Customers!$A$2:$A$1001,B1228)&gt;0,"Valid","Invalid")</f>
        <v>Valid</v>
      </c>
      <c r="R1228" t="str">
        <f>IF(COUNTIF(Branches!$A$2:$A$11,F1228)&gt;0,"Valid","Invalid")</f>
        <v>Valid</v>
      </c>
    </row>
    <row r="1229" spans="1:18" x14ac:dyDescent="0.25">
      <c r="A1229" t="s">
        <v>3300</v>
      </c>
      <c r="B1229" t="s">
        <v>143</v>
      </c>
      <c r="C1229" s="8">
        <v>46179</v>
      </c>
      <c r="D1229" t="s">
        <v>2067</v>
      </c>
      <c r="E1229" t="s">
        <v>2059</v>
      </c>
      <c r="F1229" t="s">
        <v>35</v>
      </c>
      <c r="G1229">
        <v>931.61</v>
      </c>
      <c r="H1229" t="s">
        <v>2060</v>
      </c>
      <c r="I1229" t="str">
        <f>VLOOKUP(B1229,Customers!A:G,7,FALSE)</f>
        <v>SME</v>
      </c>
      <c r="Q1229" t="str">
        <f>IF(COUNTIF(Customers!$A$2:$A$1001,B1229)&gt;0,"Valid","Invalid")</f>
        <v>Valid</v>
      </c>
      <c r="R1229" t="str">
        <f>IF(COUNTIF(Branches!$A$2:$A$11,F1229)&gt;0,"Valid","Invalid")</f>
        <v>Valid</v>
      </c>
    </row>
    <row r="1230" spans="1:18" x14ac:dyDescent="0.25">
      <c r="A1230" t="s">
        <v>3301</v>
      </c>
      <c r="B1230" t="s">
        <v>366</v>
      </c>
      <c r="C1230" s="8">
        <v>46149</v>
      </c>
      <c r="D1230" t="s">
        <v>2062</v>
      </c>
      <c r="E1230" t="s">
        <v>2059</v>
      </c>
      <c r="F1230" t="s">
        <v>27</v>
      </c>
      <c r="G1230">
        <v>38.26</v>
      </c>
      <c r="H1230" t="s">
        <v>2060</v>
      </c>
      <c r="I1230" t="str">
        <f>VLOOKUP(B1230,Customers!A:G,7,FALSE)</f>
        <v>Corporate</v>
      </c>
      <c r="Q1230" t="str">
        <f>IF(COUNTIF(Customers!$A$2:$A$1001,B1230)&gt;0,"Valid","Invalid")</f>
        <v>Valid</v>
      </c>
      <c r="R1230" t="str">
        <f>IF(COUNTIF(Branches!$A$2:$A$11,F1230)&gt;0,"Valid","Invalid")</f>
        <v>Valid</v>
      </c>
    </row>
    <row r="1231" spans="1:18" x14ac:dyDescent="0.25">
      <c r="A1231" t="s">
        <v>3302</v>
      </c>
      <c r="B1231" t="s">
        <v>101</v>
      </c>
      <c r="C1231" s="8">
        <v>46078</v>
      </c>
      <c r="D1231" t="s">
        <v>2058</v>
      </c>
      <c r="E1231" t="s">
        <v>2076</v>
      </c>
      <c r="F1231" t="s">
        <v>47</v>
      </c>
      <c r="G1231">
        <v>612.55999999999995</v>
      </c>
      <c r="H1231" t="s">
        <v>2060</v>
      </c>
      <c r="I1231" t="str">
        <f>VLOOKUP(B1231,Customers!A:G,7,FALSE)</f>
        <v>Individual</v>
      </c>
      <c r="Q1231" t="str">
        <f>IF(COUNTIF(Customers!$A$2:$A$1001,B1231)&gt;0,"Valid","Invalid")</f>
        <v>Valid</v>
      </c>
      <c r="R1231" t="str">
        <f>IF(COUNTIF(Branches!$A$2:$A$11,F1231)&gt;0,"Valid","Invalid")</f>
        <v>Valid</v>
      </c>
    </row>
    <row r="1232" spans="1:18" x14ac:dyDescent="0.25">
      <c r="A1232" t="s">
        <v>3303</v>
      </c>
      <c r="B1232" t="s">
        <v>403</v>
      </c>
      <c r="C1232" s="8">
        <v>46028</v>
      </c>
      <c r="D1232" t="s">
        <v>2058</v>
      </c>
      <c r="E1232" t="s">
        <v>2076</v>
      </c>
      <c r="F1232" t="s">
        <v>29</v>
      </c>
      <c r="G1232">
        <v>508.18</v>
      </c>
      <c r="H1232" t="s">
        <v>2060</v>
      </c>
      <c r="I1232" t="str">
        <f>VLOOKUP(B1232,Customers!A:G,7,FALSE)</f>
        <v>SME</v>
      </c>
      <c r="Q1232" t="str">
        <f>IF(COUNTIF(Customers!$A$2:$A$1001,B1232)&gt;0,"Valid","Invalid")</f>
        <v>Valid</v>
      </c>
      <c r="R1232" t="str">
        <f>IF(COUNTIF(Branches!$A$2:$A$11,F1232)&gt;0,"Valid","Invalid")</f>
        <v>Valid</v>
      </c>
    </row>
    <row r="1233" spans="1:18" x14ac:dyDescent="0.25">
      <c r="A1233" t="s">
        <v>3304</v>
      </c>
      <c r="B1233" t="s">
        <v>859</v>
      </c>
      <c r="C1233" s="8">
        <v>46151</v>
      </c>
      <c r="D1233" t="s">
        <v>2067</v>
      </c>
      <c r="E1233" t="s">
        <v>2059</v>
      </c>
      <c r="F1233" t="s">
        <v>47</v>
      </c>
      <c r="G1233">
        <v>1799.47</v>
      </c>
      <c r="H1233" t="s">
        <v>2060</v>
      </c>
      <c r="I1233" t="str">
        <f>VLOOKUP(B1233,Customers!A:G,7,FALSE)</f>
        <v>Individual</v>
      </c>
      <c r="Q1233" t="str">
        <f>IF(COUNTIF(Customers!$A$2:$A$1001,B1233)&gt;0,"Valid","Invalid")</f>
        <v>Valid</v>
      </c>
      <c r="R1233" t="str">
        <f>IF(COUNTIF(Branches!$A$2:$A$11,F1233)&gt;0,"Valid","Invalid")</f>
        <v>Valid</v>
      </c>
    </row>
    <row r="1234" spans="1:18" x14ac:dyDescent="0.25">
      <c r="A1234" t="s">
        <v>3305</v>
      </c>
      <c r="B1234" t="s">
        <v>522</v>
      </c>
      <c r="C1234" s="8">
        <v>46189</v>
      </c>
      <c r="D1234" t="s">
        <v>2070</v>
      </c>
      <c r="E1234" t="s">
        <v>2059</v>
      </c>
      <c r="F1234" t="s">
        <v>39</v>
      </c>
      <c r="G1234">
        <v>517.4</v>
      </c>
      <c r="H1234" t="s">
        <v>2060</v>
      </c>
      <c r="I1234" t="str">
        <f>VLOOKUP(B1234,Customers!A:G,7,FALSE)</f>
        <v>Individual</v>
      </c>
      <c r="Q1234" t="str">
        <f>IF(COUNTIF(Customers!$A$2:$A$1001,B1234)&gt;0,"Valid","Invalid")</f>
        <v>Valid</v>
      </c>
      <c r="R1234" t="str">
        <f>IF(COUNTIF(Branches!$A$2:$A$11,F1234)&gt;0,"Valid","Invalid")</f>
        <v>Valid</v>
      </c>
    </row>
    <row r="1235" spans="1:18" x14ac:dyDescent="0.25">
      <c r="A1235" t="s">
        <v>3306</v>
      </c>
      <c r="B1235" t="s">
        <v>685</v>
      </c>
      <c r="C1235" s="8">
        <v>46151</v>
      </c>
      <c r="D1235" t="s">
        <v>2058</v>
      </c>
      <c r="E1235" t="s">
        <v>2059</v>
      </c>
      <c r="F1235" t="s">
        <v>47</v>
      </c>
      <c r="G1235">
        <v>2438.09</v>
      </c>
      <c r="H1235" t="s">
        <v>2060</v>
      </c>
      <c r="I1235" t="str">
        <f>VLOOKUP(B1235,Customers!A:G,7,FALSE)</f>
        <v>Individual</v>
      </c>
      <c r="Q1235" t="str">
        <f>IF(COUNTIF(Customers!$A$2:$A$1001,B1235)&gt;0,"Valid","Invalid")</f>
        <v>Valid</v>
      </c>
      <c r="R1235" t="str">
        <f>IF(COUNTIF(Branches!$A$2:$A$11,F1235)&gt;0,"Valid","Invalid")</f>
        <v>Valid</v>
      </c>
    </row>
    <row r="1236" spans="1:18" x14ac:dyDescent="0.25">
      <c r="A1236" t="s">
        <v>3307</v>
      </c>
      <c r="B1236" t="s">
        <v>939</v>
      </c>
      <c r="C1236" s="8">
        <v>46137</v>
      </c>
      <c r="D1236" t="s">
        <v>2070</v>
      </c>
      <c r="E1236" t="s">
        <v>2063</v>
      </c>
      <c r="F1236" t="s">
        <v>53</v>
      </c>
      <c r="G1236">
        <v>1419.56</v>
      </c>
      <c r="H1236" t="s">
        <v>2060</v>
      </c>
      <c r="I1236" t="str">
        <f>VLOOKUP(B1236,Customers!A:G,7,FALSE)</f>
        <v>Individual</v>
      </c>
      <c r="Q1236" t="str">
        <f>IF(COUNTIF(Customers!$A$2:$A$1001,B1236)&gt;0,"Valid","Invalid")</f>
        <v>Valid</v>
      </c>
      <c r="R1236" t="str">
        <f>IF(COUNTIF(Branches!$A$2:$A$11,F1236)&gt;0,"Valid","Invalid")</f>
        <v>Valid</v>
      </c>
    </row>
    <row r="1237" spans="1:18" x14ac:dyDescent="0.25">
      <c r="A1237" t="s">
        <v>3308</v>
      </c>
      <c r="B1237" t="s">
        <v>58</v>
      </c>
      <c r="C1237" s="8">
        <v>46254</v>
      </c>
      <c r="D1237" t="s">
        <v>2065</v>
      </c>
      <c r="E1237" t="s">
        <v>2059</v>
      </c>
      <c r="F1237" t="s">
        <v>39</v>
      </c>
      <c r="G1237">
        <v>298.83999999999997</v>
      </c>
      <c r="H1237" t="s">
        <v>2060</v>
      </c>
      <c r="I1237" t="str">
        <f>VLOOKUP(B1237,Customers!A:G,7,FALSE)</f>
        <v>Individual</v>
      </c>
      <c r="Q1237" t="str">
        <f>IF(COUNTIF(Customers!$A$2:$A$1001,B1237)&gt;0,"Valid","Invalid")</f>
        <v>Valid</v>
      </c>
      <c r="R1237" t="str">
        <f>IF(COUNTIF(Branches!$A$2:$A$11,F1237)&gt;0,"Valid","Invalid")</f>
        <v>Valid</v>
      </c>
    </row>
    <row r="1238" spans="1:18" x14ac:dyDescent="0.25">
      <c r="A1238" t="s">
        <v>3309</v>
      </c>
      <c r="B1238" t="s">
        <v>578</v>
      </c>
      <c r="C1238" s="8">
        <v>46213</v>
      </c>
      <c r="D1238" t="s">
        <v>2058</v>
      </c>
      <c r="E1238" t="s">
        <v>2076</v>
      </c>
      <c r="F1238" t="s">
        <v>11</v>
      </c>
      <c r="G1238">
        <v>706.01</v>
      </c>
      <c r="H1238" t="s">
        <v>2060</v>
      </c>
      <c r="I1238" t="str">
        <f>VLOOKUP(B1238,Customers!A:G,7,FALSE)</f>
        <v>SME</v>
      </c>
      <c r="Q1238" t="str">
        <f>IF(COUNTIF(Customers!$A$2:$A$1001,B1238)&gt;0,"Valid","Invalid")</f>
        <v>Valid</v>
      </c>
      <c r="R1238" t="str">
        <f>IF(COUNTIF(Branches!$A$2:$A$11,F1238)&gt;0,"Valid","Invalid")</f>
        <v>Valid</v>
      </c>
    </row>
    <row r="1239" spans="1:18" x14ac:dyDescent="0.25">
      <c r="A1239" t="s">
        <v>3310</v>
      </c>
      <c r="B1239" t="s">
        <v>98</v>
      </c>
      <c r="C1239" s="8">
        <v>46079</v>
      </c>
      <c r="D1239" t="s">
        <v>2062</v>
      </c>
      <c r="E1239" t="s">
        <v>2076</v>
      </c>
      <c r="F1239" t="s">
        <v>39</v>
      </c>
      <c r="G1239">
        <v>374.08</v>
      </c>
      <c r="H1239" t="s">
        <v>2060</v>
      </c>
      <c r="I1239" t="str">
        <f>VLOOKUP(B1239,Customers!A:G,7,FALSE)</f>
        <v>Individual</v>
      </c>
      <c r="Q1239" t="str">
        <f>IF(COUNTIF(Customers!$A$2:$A$1001,B1239)&gt;0,"Valid","Invalid")</f>
        <v>Valid</v>
      </c>
      <c r="R1239" t="str">
        <f>IF(COUNTIF(Branches!$A$2:$A$11,F1239)&gt;0,"Valid","Invalid")</f>
        <v>Valid</v>
      </c>
    </row>
    <row r="1240" spans="1:18" x14ac:dyDescent="0.25">
      <c r="A1240" t="s">
        <v>3311</v>
      </c>
      <c r="B1240" t="s">
        <v>529</v>
      </c>
      <c r="C1240" s="8">
        <v>46217</v>
      </c>
      <c r="D1240" t="s">
        <v>2062</v>
      </c>
      <c r="E1240" t="s">
        <v>2068</v>
      </c>
      <c r="F1240" t="s">
        <v>27</v>
      </c>
      <c r="G1240">
        <v>977.27</v>
      </c>
      <c r="H1240" t="s">
        <v>2060</v>
      </c>
      <c r="I1240" t="str">
        <f>VLOOKUP(B1240,Customers!A:G,7,FALSE)</f>
        <v>Individual</v>
      </c>
      <c r="Q1240" t="str">
        <f>IF(COUNTIF(Customers!$A$2:$A$1001,B1240)&gt;0,"Valid","Invalid")</f>
        <v>Valid</v>
      </c>
      <c r="R1240" t="str">
        <f>IF(COUNTIF(Branches!$A$2:$A$11,F1240)&gt;0,"Valid","Invalid")</f>
        <v>Valid</v>
      </c>
    </row>
    <row r="1241" spans="1:18" x14ac:dyDescent="0.25">
      <c r="A1241" t="s">
        <v>3312</v>
      </c>
      <c r="B1241" t="s">
        <v>311</v>
      </c>
      <c r="C1241" s="8">
        <v>46087</v>
      </c>
      <c r="D1241" t="s">
        <v>2062</v>
      </c>
      <c r="E1241" t="s">
        <v>2059</v>
      </c>
      <c r="F1241" t="s">
        <v>53</v>
      </c>
      <c r="G1241">
        <v>371.86</v>
      </c>
      <c r="H1241" t="s">
        <v>2060</v>
      </c>
      <c r="I1241" t="str">
        <f>VLOOKUP(B1241,Customers!A:G,7,FALSE)</f>
        <v>Individual</v>
      </c>
      <c r="Q1241" t="str">
        <f>IF(COUNTIF(Customers!$A$2:$A$1001,B1241)&gt;0,"Valid","Invalid")</f>
        <v>Valid</v>
      </c>
      <c r="R1241" t="str">
        <f>IF(COUNTIF(Branches!$A$2:$A$11,F1241)&gt;0,"Valid","Invalid")</f>
        <v>Valid</v>
      </c>
    </row>
    <row r="1242" spans="1:18" x14ac:dyDescent="0.25">
      <c r="A1242" t="s">
        <v>3313</v>
      </c>
      <c r="B1242" t="s">
        <v>266</v>
      </c>
      <c r="C1242" s="8">
        <v>46087</v>
      </c>
      <c r="D1242" t="s">
        <v>2065</v>
      </c>
      <c r="E1242" t="s">
        <v>2068</v>
      </c>
      <c r="F1242" t="s">
        <v>35</v>
      </c>
      <c r="G1242">
        <v>875.18</v>
      </c>
      <c r="H1242" t="s">
        <v>2060</v>
      </c>
      <c r="I1242" t="str">
        <f>VLOOKUP(B1242,Customers!A:G,7,FALSE)</f>
        <v>Individual</v>
      </c>
      <c r="Q1242" t="str">
        <f>IF(COUNTIF(Customers!$A$2:$A$1001,B1242)&gt;0,"Valid","Invalid")</f>
        <v>Valid</v>
      </c>
      <c r="R1242" t="str">
        <f>IF(COUNTIF(Branches!$A$2:$A$11,F1242)&gt;0,"Valid","Invalid")</f>
        <v>Valid</v>
      </c>
    </row>
    <row r="1243" spans="1:18" x14ac:dyDescent="0.25">
      <c r="A1243" t="s">
        <v>3314</v>
      </c>
      <c r="B1243" t="s">
        <v>54</v>
      </c>
      <c r="C1243" s="8">
        <v>46125</v>
      </c>
      <c r="D1243" t="s">
        <v>2065</v>
      </c>
      <c r="E1243" t="s">
        <v>2063</v>
      </c>
      <c r="F1243" t="s">
        <v>39</v>
      </c>
      <c r="G1243">
        <v>618.75</v>
      </c>
      <c r="H1243" t="s">
        <v>2060</v>
      </c>
      <c r="I1243" t="str">
        <f>VLOOKUP(B1243,Customers!A:G,7,FALSE)</f>
        <v>Individual</v>
      </c>
      <c r="Q1243" t="str">
        <f>IF(COUNTIF(Customers!$A$2:$A$1001,B1243)&gt;0,"Valid","Invalid")</f>
        <v>Valid</v>
      </c>
      <c r="R1243" t="str">
        <f>IF(COUNTIF(Branches!$A$2:$A$11,F1243)&gt;0,"Valid","Invalid")</f>
        <v>Valid</v>
      </c>
    </row>
    <row r="1244" spans="1:18" x14ac:dyDescent="0.25">
      <c r="A1244" t="s">
        <v>3315</v>
      </c>
      <c r="B1244" t="s">
        <v>18</v>
      </c>
      <c r="C1244" s="8">
        <v>46043</v>
      </c>
      <c r="D1244" t="s">
        <v>2067</v>
      </c>
      <c r="E1244" t="s">
        <v>2059</v>
      </c>
      <c r="F1244" t="s">
        <v>11</v>
      </c>
      <c r="G1244">
        <v>697.69</v>
      </c>
      <c r="H1244" t="s">
        <v>2060</v>
      </c>
      <c r="I1244" t="str">
        <f>VLOOKUP(B1244,Customers!A:G,7,FALSE)</f>
        <v>SME</v>
      </c>
      <c r="Q1244" t="str">
        <f>IF(COUNTIF(Customers!$A$2:$A$1001,B1244)&gt;0,"Valid","Invalid")</f>
        <v>Valid</v>
      </c>
      <c r="R1244" t="str">
        <f>IF(COUNTIF(Branches!$A$2:$A$11,F1244)&gt;0,"Valid","Invalid")</f>
        <v>Valid</v>
      </c>
    </row>
    <row r="1245" spans="1:18" x14ac:dyDescent="0.25">
      <c r="A1245" t="s">
        <v>3316</v>
      </c>
      <c r="B1245" t="s">
        <v>459</v>
      </c>
      <c r="C1245" s="8">
        <v>46259</v>
      </c>
      <c r="D1245" t="s">
        <v>2065</v>
      </c>
      <c r="E1245" t="s">
        <v>2068</v>
      </c>
      <c r="F1245" t="s">
        <v>45</v>
      </c>
      <c r="G1245">
        <v>6316.63</v>
      </c>
      <c r="H1245" t="s">
        <v>2060</v>
      </c>
      <c r="I1245" t="str">
        <f>VLOOKUP(B1245,Customers!A:G,7,FALSE)</f>
        <v>Individual</v>
      </c>
      <c r="Q1245" t="str">
        <f>IF(COUNTIF(Customers!$A$2:$A$1001,B1245)&gt;0,"Valid","Invalid")</f>
        <v>Valid</v>
      </c>
      <c r="R1245" t="str">
        <f>IF(COUNTIF(Branches!$A$2:$A$11,F1245)&gt;0,"Valid","Invalid")</f>
        <v>Valid</v>
      </c>
    </row>
    <row r="1246" spans="1:18" x14ac:dyDescent="0.25">
      <c r="A1246" t="s">
        <v>3317</v>
      </c>
      <c r="B1246" t="s">
        <v>768</v>
      </c>
      <c r="C1246" s="8">
        <v>46180</v>
      </c>
      <c r="D1246" t="s">
        <v>2070</v>
      </c>
      <c r="E1246" t="s">
        <v>2076</v>
      </c>
      <c r="F1246" t="s">
        <v>21</v>
      </c>
      <c r="G1246">
        <v>566.52</v>
      </c>
      <c r="H1246" t="s">
        <v>2060</v>
      </c>
      <c r="I1246" t="str">
        <f>VLOOKUP(B1246,Customers!A:G,7,FALSE)</f>
        <v>Individual</v>
      </c>
      <c r="Q1246" t="str">
        <f>IF(COUNTIF(Customers!$A$2:$A$1001,B1246)&gt;0,"Valid","Invalid")</f>
        <v>Valid</v>
      </c>
      <c r="R1246" t="str">
        <f>IF(COUNTIF(Branches!$A$2:$A$11,F1246)&gt;0,"Valid","Invalid")</f>
        <v>Valid</v>
      </c>
    </row>
    <row r="1247" spans="1:18" x14ac:dyDescent="0.25">
      <c r="A1247" t="s">
        <v>3318</v>
      </c>
      <c r="B1247" t="s">
        <v>949</v>
      </c>
      <c r="C1247" s="8">
        <v>46246</v>
      </c>
      <c r="D1247" t="s">
        <v>2065</v>
      </c>
      <c r="E1247" t="s">
        <v>2059</v>
      </c>
      <c r="F1247" t="s">
        <v>45</v>
      </c>
      <c r="G1247">
        <v>117.4</v>
      </c>
      <c r="H1247" t="s">
        <v>2060</v>
      </c>
      <c r="I1247" t="str">
        <f>VLOOKUP(B1247,Customers!A:G,7,FALSE)</f>
        <v>Student</v>
      </c>
      <c r="Q1247" t="str">
        <f>IF(COUNTIF(Customers!$A$2:$A$1001,B1247)&gt;0,"Valid","Invalid")</f>
        <v>Valid</v>
      </c>
      <c r="R1247" t="str">
        <f>IF(COUNTIF(Branches!$A$2:$A$11,F1247)&gt;0,"Valid","Invalid")</f>
        <v>Valid</v>
      </c>
    </row>
    <row r="1248" spans="1:18" x14ac:dyDescent="0.25">
      <c r="A1248" t="s">
        <v>3319</v>
      </c>
      <c r="B1248" t="s">
        <v>345</v>
      </c>
      <c r="C1248" s="8">
        <v>46055</v>
      </c>
      <c r="D1248" t="s">
        <v>2067</v>
      </c>
      <c r="E1248" t="s">
        <v>2076</v>
      </c>
      <c r="F1248" t="s">
        <v>39</v>
      </c>
      <c r="G1248">
        <v>2243.58</v>
      </c>
      <c r="H1248" t="s">
        <v>2060</v>
      </c>
      <c r="I1248" t="str">
        <f>VLOOKUP(B1248,Customers!A:G,7,FALSE)</f>
        <v>Individual</v>
      </c>
      <c r="Q1248" t="str">
        <f>IF(COUNTIF(Customers!$A$2:$A$1001,B1248)&gt;0,"Valid","Invalid")</f>
        <v>Valid</v>
      </c>
      <c r="R1248" t="str">
        <f>IF(COUNTIF(Branches!$A$2:$A$11,F1248)&gt;0,"Valid","Invalid")</f>
        <v>Valid</v>
      </c>
    </row>
    <row r="1249" spans="1:18" x14ac:dyDescent="0.25">
      <c r="A1249" t="s">
        <v>3320</v>
      </c>
      <c r="B1249" t="s">
        <v>470</v>
      </c>
      <c r="C1249" s="8">
        <v>46198</v>
      </c>
      <c r="D1249" t="s">
        <v>2065</v>
      </c>
      <c r="E1249" t="s">
        <v>2073</v>
      </c>
      <c r="F1249" t="s">
        <v>11</v>
      </c>
      <c r="G1249">
        <v>2225.9899999999998</v>
      </c>
      <c r="H1249" t="s">
        <v>2115</v>
      </c>
      <c r="I1249" t="str">
        <f>VLOOKUP(B1249,Customers!A:G,7,FALSE)</f>
        <v>Individual</v>
      </c>
      <c r="Q1249" t="str">
        <f>IF(COUNTIF(Customers!$A$2:$A$1001,B1249)&gt;0,"Valid","Invalid")</f>
        <v>Valid</v>
      </c>
      <c r="R1249" t="str">
        <f>IF(COUNTIF(Branches!$A$2:$A$11,F1249)&gt;0,"Valid","Invalid")</f>
        <v>Valid</v>
      </c>
    </row>
    <row r="1250" spans="1:18" x14ac:dyDescent="0.25">
      <c r="A1250" t="s">
        <v>3321</v>
      </c>
      <c r="B1250" t="s">
        <v>172</v>
      </c>
      <c r="C1250" s="8">
        <v>46044</v>
      </c>
      <c r="D1250" t="s">
        <v>2058</v>
      </c>
      <c r="E1250" t="s">
        <v>2059</v>
      </c>
      <c r="F1250" t="s">
        <v>11</v>
      </c>
      <c r="G1250">
        <v>112.29</v>
      </c>
      <c r="H1250" t="s">
        <v>2060</v>
      </c>
      <c r="I1250" t="str">
        <f>VLOOKUP(B1250,Customers!A:G,7,FALSE)</f>
        <v>Individual</v>
      </c>
      <c r="Q1250" t="str">
        <f>IF(COUNTIF(Customers!$A$2:$A$1001,B1250)&gt;0,"Valid","Invalid")</f>
        <v>Valid</v>
      </c>
      <c r="R1250" t="str">
        <f>IF(COUNTIF(Branches!$A$2:$A$11,F1250)&gt;0,"Valid","Invalid")</f>
        <v>Valid</v>
      </c>
    </row>
    <row r="1251" spans="1:18" x14ac:dyDescent="0.25">
      <c r="A1251" t="s">
        <v>3322</v>
      </c>
      <c r="B1251" t="s">
        <v>947</v>
      </c>
      <c r="C1251" s="8">
        <v>46244</v>
      </c>
      <c r="D1251" t="s">
        <v>2067</v>
      </c>
      <c r="E1251" t="s">
        <v>2068</v>
      </c>
      <c r="F1251" t="s">
        <v>39</v>
      </c>
      <c r="G1251">
        <v>403.07</v>
      </c>
      <c r="H1251" t="s">
        <v>2060</v>
      </c>
      <c r="I1251" t="str">
        <f>VLOOKUP(B1251,Customers!A:G,7,FALSE)</f>
        <v>Individual</v>
      </c>
      <c r="Q1251" t="str">
        <f>IF(COUNTIF(Customers!$A$2:$A$1001,B1251)&gt;0,"Valid","Invalid")</f>
        <v>Valid</v>
      </c>
      <c r="R1251" t="str">
        <f>IF(COUNTIF(Branches!$A$2:$A$11,F1251)&gt;0,"Valid","Invalid")</f>
        <v>Valid</v>
      </c>
    </row>
    <row r="1252" spans="1:18" x14ac:dyDescent="0.25">
      <c r="A1252" t="s">
        <v>3323</v>
      </c>
      <c r="B1252" t="s">
        <v>982</v>
      </c>
      <c r="C1252" s="8">
        <v>46204</v>
      </c>
      <c r="D1252" t="s">
        <v>2065</v>
      </c>
      <c r="E1252" t="s">
        <v>2073</v>
      </c>
      <c r="F1252" t="s">
        <v>29</v>
      </c>
      <c r="G1252">
        <v>1256.1500000000001</v>
      </c>
      <c r="H1252" t="s">
        <v>2060</v>
      </c>
      <c r="I1252" t="str">
        <f>VLOOKUP(B1252,Customers!A:G,7,FALSE)</f>
        <v>Individual</v>
      </c>
      <c r="Q1252" t="str">
        <f>IF(COUNTIF(Customers!$A$2:$A$1001,B1252)&gt;0,"Valid","Invalid")</f>
        <v>Valid</v>
      </c>
      <c r="R1252" t="str">
        <f>IF(COUNTIF(Branches!$A$2:$A$11,F1252)&gt;0,"Valid","Invalid")</f>
        <v>Valid</v>
      </c>
    </row>
    <row r="1253" spans="1:18" x14ac:dyDescent="0.25">
      <c r="A1253" t="s">
        <v>3324</v>
      </c>
      <c r="B1253" t="s">
        <v>553</v>
      </c>
      <c r="C1253" s="8">
        <v>46132</v>
      </c>
      <c r="D1253" t="s">
        <v>2067</v>
      </c>
      <c r="E1253" t="s">
        <v>2076</v>
      </c>
      <c r="F1253" t="s">
        <v>45</v>
      </c>
      <c r="G1253">
        <v>1372.24</v>
      </c>
      <c r="H1253" t="s">
        <v>2060</v>
      </c>
      <c r="I1253" t="str">
        <f>VLOOKUP(B1253,Customers!A:G,7,FALSE)</f>
        <v>SME</v>
      </c>
      <c r="Q1253" t="str">
        <f>IF(COUNTIF(Customers!$A$2:$A$1001,B1253)&gt;0,"Valid","Invalid")</f>
        <v>Valid</v>
      </c>
      <c r="R1253" t="str">
        <f>IF(COUNTIF(Branches!$A$2:$A$11,F1253)&gt;0,"Valid","Invalid")</f>
        <v>Valid</v>
      </c>
    </row>
    <row r="1254" spans="1:18" x14ac:dyDescent="0.25">
      <c r="A1254" t="s">
        <v>3325</v>
      </c>
      <c r="B1254" t="s">
        <v>230</v>
      </c>
      <c r="C1254" s="8">
        <v>46026</v>
      </c>
      <c r="D1254" t="s">
        <v>2067</v>
      </c>
      <c r="E1254" t="s">
        <v>2059</v>
      </c>
      <c r="F1254" t="s">
        <v>11</v>
      </c>
      <c r="G1254">
        <v>808.58</v>
      </c>
      <c r="H1254" t="s">
        <v>2060</v>
      </c>
      <c r="I1254" t="str">
        <f>VLOOKUP(B1254,Customers!A:G,7,FALSE)</f>
        <v>Individual</v>
      </c>
      <c r="Q1254" t="str">
        <f>IF(COUNTIF(Customers!$A$2:$A$1001,B1254)&gt;0,"Valid","Invalid")</f>
        <v>Valid</v>
      </c>
      <c r="R1254" t="str">
        <f>IF(COUNTIF(Branches!$A$2:$A$11,F1254)&gt;0,"Valid","Invalid")</f>
        <v>Valid</v>
      </c>
    </row>
    <row r="1255" spans="1:18" x14ac:dyDescent="0.25">
      <c r="A1255" t="s">
        <v>3326</v>
      </c>
      <c r="B1255" t="s">
        <v>623</v>
      </c>
      <c r="C1255" s="8">
        <v>46237</v>
      </c>
      <c r="D1255" t="s">
        <v>2070</v>
      </c>
      <c r="E1255" t="s">
        <v>2063</v>
      </c>
      <c r="F1255" t="s">
        <v>39</v>
      </c>
      <c r="G1255">
        <v>827.02</v>
      </c>
      <c r="H1255" t="s">
        <v>2060</v>
      </c>
      <c r="I1255" t="str">
        <f>VLOOKUP(B1255,Customers!A:G,7,FALSE)</f>
        <v>Individual</v>
      </c>
      <c r="Q1255" t="str">
        <f>IF(COUNTIF(Customers!$A$2:$A$1001,B1255)&gt;0,"Valid","Invalid")</f>
        <v>Valid</v>
      </c>
      <c r="R1255" t="str">
        <f>IF(COUNTIF(Branches!$A$2:$A$11,F1255)&gt;0,"Valid","Invalid")</f>
        <v>Valid</v>
      </c>
    </row>
    <row r="1256" spans="1:18" x14ac:dyDescent="0.25">
      <c r="A1256" t="s">
        <v>3327</v>
      </c>
      <c r="B1256" t="s">
        <v>453</v>
      </c>
      <c r="C1256" s="8">
        <v>46205</v>
      </c>
      <c r="D1256" t="s">
        <v>2065</v>
      </c>
      <c r="E1256" t="s">
        <v>2059</v>
      </c>
      <c r="F1256" t="s">
        <v>53</v>
      </c>
      <c r="G1256">
        <v>317.8</v>
      </c>
      <c r="H1256" t="s">
        <v>2060</v>
      </c>
      <c r="I1256" t="str">
        <f>VLOOKUP(B1256,Customers!A:G,7,FALSE)</f>
        <v>Student</v>
      </c>
      <c r="Q1256" t="str">
        <f>IF(COUNTIF(Customers!$A$2:$A$1001,B1256)&gt;0,"Valid","Invalid")</f>
        <v>Valid</v>
      </c>
      <c r="R1256" t="str">
        <f>IF(COUNTIF(Branches!$A$2:$A$11,F1256)&gt;0,"Valid","Invalid")</f>
        <v>Valid</v>
      </c>
    </row>
    <row r="1257" spans="1:18" x14ac:dyDescent="0.25">
      <c r="A1257" t="s">
        <v>3328</v>
      </c>
      <c r="B1257" t="s">
        <v>911</v>
      </c>
      <c r="C1257" s="8">
        <v>46194</v>
      </c>
      <c r="D1257" t="s">
        <v>2058</v>
      </c>
      <c r="E1257" t="s">
        <v>2059</v>
      </c>
      <c r="F1257" t="s">
        <v>27</v>
      </c>
      <c r="G1257">
        <v>73.709999999999994</v>
      </c>
      <c r="H1257" t="s">
        <v>2060</v>
      </c>
      <c r="I1257" t="str">
        <f>VLOOKUP(B1257,Customers!A:G,7,FALSE)</f>
        <v>Individual</v>
      </c>
      <c r="Q1257" t="str">
        <f>IF(COUNTIF(Customers!$A$2:$A$1001,B1257)&gt;0,"Valid","Invalid")</f>
        <v>Valid</v>
      </c>
      <c r="R1257" t="str">
        <f>IF(COUNTIF(Branches!$A$2:$A$11,F1257)&gt;0,"Valid","Invalid")</f>
        <v>Valid</v>
      </c>
    </row>
    <row r="1258" spans="1:18" x14ac:dyDescent="0.25">
      <c r="A1258" t="s">
        <v>3329</v>
      </c>
      <c r="B1258" t="s">
        <v>154</v>
      </c>
      <c r="C1258" s="8">
        <v>46239</v>
      </c>
      <c r="D1258" t="s">
        <v>2070</v>
      </c>
      <c r="E1258" t="s">
        <v>2068</v>
      </c>
      <c r="F1258" t="s">
        <v>21</v>
      </c>
      <c r="G1258">
        <v>6307.58</v>
      </c>
      <c r="H1258" t="s">
        <v>2060</v>
      </c>
      <c r="I1258" t="str">
        <f>VLOOKUP(B1258,Customers!A:G,7,FALSE)</f>
        <v>Individual</v>
      </c>
      <c r="Q1258" t="str">
        <f>IF(COUNTIF(Customers!$A$2:$A$1001,B1258)&gt;0,"Valid","Invalid")</f>
        <v>Valid</v>
      </c>
      <c r="R1258" t="str">
        <f>IF(COUNTIF(Branches!$A$2:$A$11,F1258)&gt;0,"Valid","Invalid")</f>
        <v>Valid</v>
      </c>
    </row>
    <row r="1259" spans="1:18" x14ac:dyDescent="0.25">
      <c r="A1259" t="s">
        <v>3330</v>
      </c>
      <c r="B1259" t="s">
        <v>704</v>
      </c>
      <c r="C1259" s="8">
        <v>46162</v>
      </c>
      <c r="D1259" t="s">
        <v>2062</v>
      </c>
      <c r="E1259" t="s">
        <v>2059</v>
      </c>
      <c r="F1259" t="s">
        <v>39</v>
      </c>
      <c r="G1259">
        <v>308.38</v>
      </c>
      <c r="H1259" t="s">
        <v>2060</v>
      </c>
      <c r="I1259" t="str">
        <f>VLOOKUP(B1259,Customers!A:G,7,FALSE)</f>
        <v>Student</v>
      </c>
      <c r="Q1259" t="str">
        <f>IF(COUNTIF(Customers!$A$2:$A$1001,B1259)&gt;0,"Valid","Invalid")</f>
        <v>Valid</v>
      </c>
      <c r="R1259" t="str">
        <f>IF(COUNTIF(Branches!$A$2:$A$11,F1259)&gt;0,"Valid","Invalid")</f>
        <v>Valid</v>
      </c>
    </row>
    <row r="1260" spans="1:18" x14ac:dyDescent="0.25">
      <c r="A1260" t="s">
        <v>3331</v>
      </c>
      <c r="B1260" t="s">
        <v>246</v>
      </c>
      <c r="C1260" s="8">
        <v>46231</v>
      </c>
      <c r="D1260" t="s">
        <v>2070</v>
      </c>
      <c r="E1260" t="s">
        <v>2073</v>
      </c>
      <c r="F1260" t="s">
        <v>47</v>
      </c>
      <c r="G1260">
        <v>969.23</v>
      </c>
      <c r="H1260" t="s">
        <v>2060</v>
      </c>
      <c r="I1260" t="str">
        <f>VLOOKUP(B1260,Customers!A:G,7,FALSE)</f>
        <v>SME</v>
      </c>
      <c r="Q1260" t="str">
        <f>IF(COUNTIF(Customers!$A$2:$A$1001,B1260)&gt;0,"Valid","Invalid")</f>
        <v>Valid</v>
      </c>
      <c r="R1260" t="str">
        <f>IF(COUNTIF(Branches!$A$2:$A$11,F1260)&gt;0,"Valid","Invalid")</f>
        <v>Valid</v>
      </c>
    </row>
    <row r="1261" spans="1:18" x14ac:dyDescent="0.25">
      <c r="A1261" t="s">
        <v>3332</v>
      </c>
      <c r="B1261" t="s">
        <v>990</v>
      </c>
      <c r="C1261" s="8">
        <v>46229</v>
      </c>
      <c r="D1261" t="s">
        <v>2070</v>
      </c>
      <c r="E1261" t="s">
        <v>2063</v>
      </c>
      <c r="F1261" t="s">
        <v>29</v>
      </c>
      <c r="G1261">
        <v>693.08</v>
      </c>
      <c r="H1261" t="s">
        <v>2060</v>
      </c>
      <c r="I1261" t="str">
        <f>VLOOKUP(B1261,Customers!A:G,7,FALSE)</f>
        <v>Individual</v>
      </c>
      <c r="Q1261" t="str">
        <f>IF(COUNTIF(Customers!$A$2:$A$1001,B1261)&gt;0,"Valid","Invalid")</f>
        <v>Valid</v>
      </c>
      <c r="R1261" t="str">
        <f>IF(COUNTIF(Branches!$A$2:$A$11,F1261)&gt;0,"Valid","Invalid")</f>
        <v>Valid</v>
      </c>
    </row>
    <row r="1262" spans="1:18" x14ac:dyDescent="0.25">
      <c r="A1262" t="s">
        <v>3333</v>
      </c>
      <c r="B1262" t="s">
        <v>68</v>
      </c>
      <c r="C1262" s="8">
        <v>46096</v>
      </c>
      <c r="D1262" t="s">
        <v>2058</v>
      </c>
      <c r="E1262" t="s">
        <v>2076</v>
      </c>
      <c r="F1262" t="s">
        <v>45</v>
      </c>
      <c r="G1262">
        <v>1992.6</v>
      </c>
      <c r="H1262" t="s">
        <v>2060</v>
      </c>
      <c r="I1262" t="str">
        <f>VLOOKUP(B1262,Customers!A:G,7,FALSE)</f>
        <v>Student</v>
      </c>
      <c r="Q1262" t="str">
        <f>IF(COUNTIF(Customers!$A$2:$A$1001,B1262)&gt;0,"Valid","Invalid")</f>
        <v>Valid</v>
      </c>
      <c r="R1262" t="str">
        <f>IF(COUNTIF(Branches!$A$2:$A$11,F1262)&gt;0,"Valid","Invalid")</f>
        <v>Valid</v>
      </c>
    </row>
    <row r="1263" spans="1:18" x14ac:dyDescent="0.25">
      <c r="A1263" t="s">
        <v>3334</v>
      </c>
      <c r="B1263" t="s">
        <v>687</v>
      </c>
      <c r="C1263" s="8">
        <v>46249</v>
      </c>
      <c r="D1263" t="s">
        <v>2058</v>
      </c>
      <c r="E1263" t="s">
        <v>2059</v>
      </c>
      <c r="F1263" t="s">
        <v>35</v>
      </c>
      <c r="G1263">
        <v>911.32</v>
      </c>
      <c r="H1263" t="s">
        <v>2060</v>
      </c>
      <c r="I1263" t="str">
        <f>VLOOKUP(B1263,Customers!A:G,7,FALSE)</f>
        <v>Individual</v>
      </c>
      <c r="Q1263" t="str">
        <f>IF(COUNTIF(Customers!$A$2:$A$1001,B1263)&gt;0,"Valid","Invalid")</f>
        <v>Valid</v>
      </c>
      <c r="R1263" t="str">
        <f>IF(COUNTIF(Branches!$A$2:$A$11,F1263)&gt;0,"Valid","Invalid")</f>
        <v>Valid</v>
      </c>
    </row>
    <row r="1264" spans="1:18" x14ac:dyDescent="0.25">
      <c r="A1264" t="s">
        <v>3335</v>
      </c>
      <c r="B1264" t="s">
        <v>356</v>
      </c>
      <c r="C1264" s="8">
        <v>46141</v>
      </c>
      <c r="D1264" t="s">
        <v>2065</v>
      </c>
      <c r="E1264" t="s">
        <v>2059</v>
      </c>
      <c r="F1264" t="s">
        <v>47</v>
      </c>
      <c r="G1264">
        <v>947.13</v>
      </c>
      <c r="H1264" t="s">
        <v>2060</v>
      </c>
      <c r="I1264" t="str">
        <f>VLOOKUP(B1264,Customers!A:G,7,FALSE)</f>
        <v>Individual</v>
      </c>
      <c r="Q1264" t="str">
        <f>IF(COUNTIF(Customers!$A$2:$A$1001,B1264)&gt;0,"Valid","Invalid")</f>
        <v>Valid</v>
      </c>
      <c r="R1264" t="str">
        <f>IF(COUNTIF(Branches!$A$2:$A$11,F1264)&gt;0,"Valid","Invalid")</f>
        <v>Valid</v>
      </c>
    </row>
    <row r="1265" spans="1:18" x14ac:dyDescent="0.25">
      <c r="A1265" t="s">
        <v>3336</v>
      </c>
      <c r="B1265" t="s">
        <v>156</v>
      </c>
      <c r="C1265" s="8">
        <v>46202</v>
      </c>
      <c r="D1265" t="s">
        <v>2067</v>
      </c>
      <c r="E1265" t="s">
        <v>2068</v>
      </c>
      <c r="F1265" t="s">
        <v>11</v>
      </c>
      <c r="G1265">
        <v>58.3</v>
      </c>
      <c r="H1265" t="s">
        <v>2060</v>
      </c>
      <c r="I1265" t="str">
        <f>VLOOKUP(B1265,Customers!A:G,7,FALSE)</f>
        <v>Individual</v>
      </c>
      <c r="Q1265" t="str">
        <f>IF(COUNTIF(Customers!$A$2:$A$1001,B1265)&gt;0,"Valid","Invalid")</f>
        <v>Valid</v>
      </c>
      <c r="R1265" t="str">
        <f>IF(COUNTIF(Branches!$A$2:$A$11,F1265)&gt;0,"Valid","Invalid")</f>
        <v>Valid</v>
      </c>
    </row>
    <row r="1266" spans="1:18" x14ac:dyDescent="0.25">
      <c r="A1266" t="s">
        <v>3337</v>
      </c>
      <c r="B1266" t="s">
        <v>665</v>
      </c>
      <c r="C1266" s="8">
        <v>46115</v>
      </c>
      <c r="D1266" t="s">
        <v>2062</v>
      </c>
      <c r="E1266" t="s">
        <v>2063</v>
      </c>
      <c r="F1266" t="s">
        <v>11</v>
      </c>
      <c r="G1266">
        <v>353.07</v>
      </c>
      <c r="H1266" t="s">
        <v>2060</v>
      </c>
      <c r="I1266" t="str">
        <f>VLOOKUP(B1266,Customers!A:G,7,FALSE)</f>
        <v>Individual</v>
      </c>
      <c r="Q1266" t="str">
        <f>IF(COUNTIF(Customers!$A$2:$A$1001,B1266)&gt;0,"Valid","Invalid")</f>
        <v>Valid</v>
      </c>
      <c r="R1266" t="str">
        <f>IF(COUNTIF(Branches!$A$2:$A$11,F1266)&gt;0,"Valid","Invalid")</f>
        <v>Valid</v>
      </c>
    </row>
    <row r="1267" spans="1:18" x14ac:dyDescent="0.25">
      <c r="A1267" t="s">
        <v>3338</v>
      </c>
      <c r="B1267" t="s">
        <v>563</v>
      </c>
      <c r="C1267" s="8">
        <v>46226</v>
      </c>
      <c r="D1267" t="s">
        <v>2058</v>
      </c>
      <c r="E1267" t="s">
        <v>2063</v>
      </c>
      <c r="F1267" t="s">
        <v>16</v>
      </c>
      <c r="G1267">
        <v>1710.66</v>
      </c>
      <c r="H1267" t="s">
        <v>2060</v>
      </c>
      <c r="I1267" t="str">
        <f>VLOOKUP(B1267,Customers!A:G,7,FALSE)</f>
        <v>Individual</v>
      </c>
      <c r="Q1267" t="str">
        <f>IF(COUNTIF(Customers!$A$2:$A$1001,B1267)&gt;0,"Valid","Invalid")</f>
        <v>Valid</v>
      </c>
      <c r="R1267" t="str">
        <f>IF(COUNTIF(Branches!$A$2:$A$11,F1267)&gt;0,"Valid","Invalid")</f>
        <v>Valid</v>
      </c>
    </row>
    <row r="1268" spans="1:18" x14ac:dyDescent="0.25">
      <c r="A1268" t="s">
        <v>3339</v>
      </c>
      <c r="B1268" t="s">
        <v>619</v>
      </c>
      <c r="C1268" s="8">
        <v>46087</v>
      </c>
      <c r="D1268" t="s">
        <v>2062</v>
      </c>
      <c r="E1268" t="s">
        <v>2059</v>
      </c>
      <c r="F1268" t="s">
        <v>47</v>
      </c>
      <c r="G1268">
        <v>1563.48</v>
      </c>
      <c r="H1268" t="s">
        <v>2060</v>
      </c>
      <c r="I1268" t="str">
        <f>VLOOKUP(B1268,Customers!A:G,7,FALSE)</f>
        <v>Individual</v>
      </c>
      <c r="Q1268" t="str">
        <f>IF(COUNTIF(Customers!$A$2:$A$1001,B1268)&gt;0,"Valid","Invalid")</f>
        <v>Valid</v>
      </c>
      <c r="R1268" t="str">
        <f>IF(COUNTIF(Branches!$A$2:$A$11,F1268)&gt;0,"Valid","Invalid")</f>
        <v>Valid</v>
      </c>
    </row>
    <row r="1269" spans="1:18" x14ac:dyDescent="0.25">
      <c r="A1269" t="s">
        <v>3340</v>
      </c>
      <c r="B1269" t="s">
        <v>975</v>
      </c>
      <c r="C1269" s="8">
        <v>46087</v>
      </c>
      <c r="D1269" t="s">
        <v>2062</v>
      </c>
      <c r="E1269" t="s">
        <v>2059</v>
      </c>
      <c r="F1269" t="s">
        <v>47</v>
      </c>
      <c r="G1269">
        <v>313.67</v>
      </c>
      <c r="H1269" t="s">
        <v>2060</v>
      </c>
      <c r="I1269" t="str">
        <f>VLOOKUP(B1269,Customers!A:G,7,FALSE)</f>
        <v>Individual</v>
      </c>
      <c r="Q1269" t="str">
        <f>IF(COUNTIF(Customers!$A$2:$A$1001,B1269)&gt;0,"Valid","Invalid")</f>
        <v>Valid</v>
      </c>
      <c r="R1269" t="str">
        <f>IF(COUNTIF(Branches!$A$2:$A$11,F1269)&gt;0,"Valid","Invalid")</f>
        <v>Valid</v>
      </c>
    </row>
    <row r="1270" spans="1:18" x14ac:dyDescent="0.25">
      <c r="A1270" t="s">
        <v>3341</v>
      </c>
      <c r="B1270" t="s">
        <v>883</v>
      </c>
      <c r="C1270" s="8">
        <v>46032</v>
      </c>
      <c r="D1270" t="s">
        <v>2065</v>
      </c>
      <c r="E1270" t="s">
        <v>2068</v>
      </c>
      <c r="F1270" t="s">
        <v>47</v>
      </c>
      <c r="G1270">
        <v>167.67</v>
      </c>
      <c r="H1270" t="s">
        <v>2060</v>
      </c>
      <c r="I1270" t="str">
        <f>VLOOKUP(B1270,Customers!A:G,7,FALSE)</f>
        <v>SME</v>
      </c>
      <c r="Q1270" t="str">
        <f>IF(COUNTIF(Customers!$A$2:$A$1001,B1270)&gt;0,"Valid","Invalid")</f>
        <v>Valid</v>
      </c>
      <c r="R1270" t="str">
        <f>IF(COUNTIF(Branches!$A$2:$A$11,F1270)&gt;0,"Valid","Invalid")</f>
        <v>Valid</v>
      </c>
    </row>
    <row r="1271" spans="1:18" x14ac:dyDescent="0.25">
      <c r="A1271" t="s">
        <v>3342</v>
      </c>
      <c r="B1271" t="s">
        <v>807</v>
      </c>
      <c r="C1271" s="8">
        <v>46168</v>
      </c>
      <c r="D1271" t="s">
        <v>2062</v>
      </c>
      <c r="E1271" t="s">
        <v>2073</v>
      </c>
      <c r="F1271" t="s">
        <v>21</v>
      </c>
      <c r="G1271">
        <v>922.03</v>
      </c>
      <c r="H1271" t="s">
        <v>2060</v>
      </c>
      <c r="I1271" t="str">
        <f>VLOOKUP(B1271,Customers!A:G,7,FALSE)</f>
        <v>SME</v>
      </c>
      <c r="Q1271" t="str">
        <f>IF(COUNTIF(Customers!$A$2:$A$1001,B1271)&gt;0,"Valid","Invalid")</f>
        <v>Valid</v>
      </c>
      <c r="R1271" t="str">
        <f>IF(COUNTIF(Branches!$A$2:$A$11,F1271)&gt;0,"Valid","Invalid")</f>
        <v>Valid</v>
      </c>
    </row>
    <row r="1272" spans="1:18" x14ac:dyDescent="0.25">
      <c r="A1272" t="s">
        <v>3343</v>
      </c>
      <c r="B1272" t="s">
        <v>125</v>
      </c>
      <c r="C1272" s="8">
        <v>46069</v>
      </c>
      <c r="D1272" t="s">
        <v>2067</v>
      </c>
      <c r="E1272" t="s">
        <v>2063</v>
      </c>
      <c r="F1272" t="s">
        <v>35</v>
      </c>
      <c r="G1272">
        <v>44.4</v>
      </c>
      <c r="H1272" t="s">
        <v>2107</v>
      </c>
      <c r="I1272" t="str">
        <f>VLOOKUP(B1272,Customers!A:G,7,FALSE)</f>
        <v>Individual</v>
      </c>
      <c r="Q1272" t="str">
        <f>IF(COUNTIF(Customers!$A$2:$A$1001,B1272)&gt;0,"Valid","Invalid")</f>
        <v>Valid</v>
      </c>
      <c r="R1272" t="str">
        <f>IF(COUNTIF(Branches!$A$2:$A$11,F1272)&gt;0,"Valid","Invalid")</f>
        <v>Valid</v>
      </c>
    </row>
    <row r="1273" spans="1:18" x14ac:dyDescent="0.25">
      <c r="A1273" t="s">
        <v>3344</v>
      </c>
      <c r="B1273" t="s">
        <v>550</v>
      </c>
      <c r="C1273" s="8">
        <v>46088</v>
      </c>
      <c r="D1273" t="s">
        <v>2065</v>
      </c>
      <c r="E1273" t="s">
        <v>2076</v>
      </c>
      <c r="F1273" t="s">
        <v>11</v>
      </c>
      <c r="G1273">
        <v>257.58</v>
      </c>
      <c r="H1273" t="s">
        <v>2060</v>
      </c>
      <c r="I1273" t="str">
        <f>VLOOKUP(B1273,Customers!A:G,7,FALSE)</f>
        <v>Individual</v>
      </c>
      <c r="Q1273" t="str">
        <f>IF(COUNTIF(Customers!$A$2:$A$1001,B1273)&gt;0,"Valid","Invalid")</f>
        <v>Valid</v>
      </c>
      <c r="R1273" t="str">
        <f>IF(COUNTIF(Branches!$A$2:$A$11,F1273)&gt;0,"Valid","Invalid")</f>
        <v>Valid</v>
      </c>
    </row>
    <row r="1274" spans="1:18" x14ac:dyDescent="0.25">
      <c r="A1274" t="s">
        <v>3345</v>
      </c>
      <c r="B1274" t="s">
        <v>83</v>
      </c>
      <c r="C1274" s="8">
        <v>46071</v>
      </c>
      <c r="D1274" t="s">
        <v>2062</v>
      </c>
      <c r="E1274" t="s">
        <v>2076</v>
      </c>
      <c r="F1274" t="s">
        <v>29</v>
      </c>
      <c r="G1274">
        <v>4722.82</v>
      </c>
      <c r="H1274" t="s">
        <v>2060</v>
      </c>
      <c r="I1274" t="str">
        <f>VLOOKUP(B1274,Customers!A:G,7,FALSE)</f>
        <v>SME</v>
      </c>
      <c r="Q1274" t="str">
        <f>IF(COUNTIF(Customers!$A$2:$A$1001,B1274)&gt;0,"Valid","Invalid")</f>
        <v>Valid</v>
      </c>
      <c r="R1274" t="str">
        <f>IF(COUNTIF(Branches!$A$2:$A$11,F1274)&gt;0,"Valid","Invalid")</f>
        <v>Valid</v>
      </c>
    </row>
    <row r="1275" spans="1:18" x14ac:dyDescent="0.25">
      <c r="A1275" t="s">
        <v>3346</v>
      </c>
      <c r="B1275" t="s">
        <v>810</v>
      </c>
      <c r="C1275" s="8">
        <v>46222</v>
      </c>
      <c r="D1275" t="s">
        <v>2067</v>
      </c>
      <c r="E1275" t="s">
        <v>2073</v>
      </c>
      <c r="F1275" t="s">
        <v>27</v>
      </c>
      <c r="G1275">
        <v>3446.34</v>
      </c>
      <c r="H1275" t="s">
        <v>2060</v>
      </c>
      <c r="I1275" t="str">
        <f>VLOOKUP(B1275,Customers!A:G,7,FALSE)</f>
        <v>Student</v>
      </c>
      <c r="Q1275" t="str">
        <f>IF(COUNTIF(Customers!$A$2:$A$1001,B1275)&gt;0,"Valid","Invalid")</f>
        <v>Valid</v>
      </c>
      <c r="R1275" t="str">
        <f>IF(COUNTIF(Branches!$A$2:$A$11,F1275)&gt;0,"Valid","Invalid")</f>
        <v>Valid</v>
      </c>
    </row>
    <row r="1276" spans="1:18" x14ac:dyDescent="0.25">
      <c r="A1276" t="s">
        <v>3347</v>
      </c>
      <c r="B1276" t="s">
        <v>778</v>
      </c>
      <c r="C1276" s="8">
        <v>46044</v>
      </c>
      <c r="D1276" t="s">
        <v>2062</v>
      </c>
      <c r="E1276" t="s">
        <v>2073</v>
      </c>
      <c r="F1276" t="s">
        <v>47</v>
      </c>
      <c r="G1276">
        <v>1322.46</v>
      </c>
      <c r="H1276" t="s">
        <v>2060</v>
      </c>
      <c r="I1276" t="str">
        <f>VLOOKUP(B1276,Customers!A:G,7,FALSE)</f>
        <v>SME</v>
      </c>
      <c r="Q1276" t="str">
        <f>IF(COUNTIF(Customers!$A$2:$A$1001,B1276)&gt;0,"Valid","Invalid")</f>
        <v>Valid</v>
      </c>
      <c r="R1276" t="str">
        <f>IF(COUNTIF(Branches!$A$2:$A$11,F1276)&gt;0,"Valid","Invalid")</f>
        <v>Valid</v>
      </c>
    </row>
    <row r="1277" spans="1:18" x14ac:dyDescent="0.25">
      <c r="A1277" t="s">
        <v>3348</v>
      </c>
      <c r="B1277" t="s">
        <v>997</v>
      </c>
      <c r="C1277" s="8">
        <v>46108</v>
      </c>
      <c r="D1277" t="s">
        <v>2058</v>
      </c>
      <c r="E1277" t="s">
        <v>2076</v>
      </c>
      <c r="F1277" t="s">
        <v>29</v>
      </c>
      <c r="G1277">
        <v>1104.71</v>
      </c>
      <c r="H1277" t="s">
        <v>2060</v>
      </c>
      <c r="I1277" t="str">
        <f>VLOOKUP(B1277,Customers!A:G,7,FALSE)</f>
        <v>Individual</v>
      </c>
      <c r="Q1277" t="str">
        <f>IF(COUNTIF(Customers!$A$2:$A$1001,B1277)&gt;0,"Valid","Invalid")</f>
        <v>Valid</v>
      </c>
      <c r="R1277" t="str">
        <f>IF(COUNTIF(Branches!$A$2:$A$11,F1277)&gt;0,"Valid","Invalid")</f>
        <v>Valid</v>
      </c>
    </row>
    <row r="1278" spans="1:18" x14ac:dyDescent="0.25">
      <c r="A1278" t="s">
        <v>3349</v>
      </c>
      <c r="B1278" t="s">
        <v>730</v>
      </c>
      <c r="C1278" s="8">
        <v>46048</v>
      </c>
      <c r="D1278" t="s">
        <v>2067</v>
      </c>
      <c r="E1278" t="s">
        <v>2059</v>
      </c>
      <c r="F1278" t="s">
        <v>35</v>
      </c>
      <c r="G1278">
        <v>115.56</v>
      </c>
      <c r="H1278" t="s">
        <v>2060</v>
      </c>
      <c r="I1278" t="str">
        <f>VLOOKUP(B1278,Customers!A:G,7,FALSE)</f>
        <v>Individual</v>
      </c>
      <c r="Q1278" t="str">
        <f>IF(COUNTIF(Customers!$A$2:$A$1001,B1278)&gt;0,"Valid","Invalid")</f>
        <v>Valid</v>
      </c>
      <c r="R1278" t="str">
        <f>IF(COUNTIF(Branches!$A$2:$A$11,F1278)&gt;0,"Valid","Invalid")</f>
        <v>Valid</v>
      </c>
    </row>
    <row r="1279" spans="1:18" x14ac:dyDescent="0.25">
      <c r="A1279" t="s">
        <v>3350</v>
      </c>
      <c r="B1279" t="s">
        <v>560</v>
      </c>
      <c r="C1279" s="8">
        <v>46240</v>
      </c>
      <c r="D1279" t="s">
        <v>2062</v>
      </c>
      <c r="E1279" t="s">
        <v>2063</v>
      </c>
      <c r="F1279" t="s">
        <v>35</v>
      </c>
      <c r="G1279">
        <v>387.35</v>
      </c>
      <c r="H1279" t="s">
        <v>2060</v>
      </c>
      <c r="I1279" t="str">
        <f>VLOOKUP(B1279,Customers!A:G,7,FALSE)</f>
        <v>Individual</v>
      </c>
      <c r="Q1279" t="str">
        <f>IF(COUNTIF(Customers!$A$2:$A$1001,B1279)&gt;0,"Valid","Invalid")</f>
        <v>Valid</v>
      </c>
      <c r="R1279" t="str">
        <f>IF(COUNTIF(Branches!$A$2:$A$11,F1279)&gt;0,"Valid","Invalid")</f>
        <v>Valid</v>
      </c>
    </row>
    <row r="1280" spans="1:18" x14ac:dyDescent="0.25">
      <c r="A1280" t="s">
        <v>3351</v>
      </c>
      <c r="B1280" t="s">
        <v>322</v>
      </c>
      <c r="C1280" s="8">
        <v>46159</v>
      </c>
      <c r="D1280" t="s">
        <v>2058</v>
      </c>
      <c r="E1280" t="s">
        <v>2059</v>
      </c>
      <c r="F1280" t="s">
        <v>16</v>
      </c>
      <c r="G1280">
        <v>604.76</v>
      </c>
      <c r="H1280" t="s">
        <v>2060</v>
      </c>
      <c r="I1280" t="str">
        <f>VLOOKUP(B1280,Customers!A:G,7,FALSE)</f>
        <v>Individual</v>
      </c>
      <c r="Q1280" t="str">
        <f>IF(COUNTIF(Customers!$A$2:$A$1001,B1280)&gt;0,"Valid","Invalid")</f>
        <v>Valid</v>
      </c>
      <c r="R1280" t="str">
        <f>IF(COUNTIF(Branches!$A$2:$A$11,F1280)&gt;0,"Valid","Invalid")</f>
        <v>Valid</v>
      </c>
    </row>
    <row r="1281" spans="1:18" x14ac:dyDescent="0.25">
      <c r="A1281" t="s">
        <v>3352</v>
      </c>
      <c r="B1281" t="s">
        <v>415</v>
      </c>
      <c r="C1281" s="8">
        <v>46171</v>
      </c>
      <c r="D1281" t="s">
        <v>2067</v>
      </c>
      <c r="E1281" t="s">
        <v>2059</v>
      </c>
      <c r="F1281" t="s">
        <v>53</v>
      </c>
      <c r="G1281">
        <v>395.67</v>
      </c>
      <c r="H1281" t="s">
        <v>2115</v>
      </c>
      <c r="I1281" t="str">
        <f>VLOOKUP(B1281,Customers!A:G,7,FALSE)</f>
        <v>Individual</v>
      </c>
      <c r="Q1281" t="str">
        <f>IF(COUNTIF(Customers!$A$2:$A$1001,B1281)&gt;0,"Valid","Invalid")</f>
        <v>Valid</v>
      </c>
      <c r="R1281" t="str">
        <f>IF(COUNTIF(Branches!$A$2:$A$11,F1281)&gt;0,"Valid","Invalid")</f>
        <v>Valid</v>
      </c>
    </row>
    <row r="1282" spans="1:18" x14ac:dyDescent="0.25">
      <c r="A1282" t="s">
        <v>3353</v>
      </c>
      <c r="B1282" t="s">
        <v>676</v>
      </c>
      <c r="C1282" s="8">
        <v>46117</v>
      </c>
      <c r="D1282" t="s">
        <v>2065</v>
      </c>
      <c r="E1282" t="s">
        <v>2076</v>
      </c>
      <c r="F1282" t="s">
        <v>11</v>
      </c>
      <c r="G1282">
        <v>572.35</v>
      </c>
      <c r="H1282" t="s">
        <v>2060</v>
      </c>
      <c r="I1282" t="str">
        <f>VLOOKUP(B1282,Customers!A:G,7,FALSE)</f>
        <v>Individual</v>
      </c>
      <c r="Q1282" t="str">
        <f>IF(COUNTIF(Customers!$A$2:$A$1001,B1282)&gt;0,"Valid","Invalid")</f>
        <v>Valid</v>
      </c>
      <c r="R1282" t="str">
        <f>IF(COUNTIF(Branches!$A$2:$A$11,F1282)&gt;0,"Valid","Invalid")</f>
        <v>Valid</v>
      </c>
    </row>
    <row r="1283" spans="1:18" x14ac:dyDescent="0.25">
      <c r="A1283" t="s">
        <v>3354</v>
      </c>
      <c r="B1283" t="s">
        <v>170</v>
      </c>
      <c r="C1283" s="8">
        <v>46213</v>
      </c>
      <c r="D1283" t="s">
        <v>2062</v>
      </c>
      <c r="E1283" t="s">
        <v>2076</v>
      </c>
      <c r="F1283" t="s">
        <v>21</v>
      </c>
      <c r="G1283">
        <v>2978.65</v>
      </c>
      <c r="H1283" t="s">
        <v>2060</v>
      </c>
      <c r="I1283" t="str">
        <f>VLOOKUP(B1283,Customers!A:G,7,FALSE)</f>
        <v>Individual</v>
      </c>
      <c r="Q1283" t="str">
        <f>IF(COUNTIF(Customers!$A$2:$A$1001,B1283)&gt;0,"Valid","Invalid")</f>
        <v>Valid</v>
      </c>
      <c r="R1283" t="str">
        <f>IF(COUNTIF(Branches!$A$2:$A$11,F1283)&gt;0,"Valid","Invalid")</f>
        <v>Valid</v>
      </c>
    </row>
    <row r="1284" spans="1:18" x14ac:dyDescent="0.25">
      <c r="A1284" t="s">
        <v>3355</v>
      </c>
      <c r="B1284" t="s">
        <v>705</v>
      </c>
      <c r="C1284" s="8">
        <v>46129</v>
      </c>
      <c r="D1284" t="s">
        <v>2065</v>
      </c>
      <c r="E1284" t="s">
        <v>2076</v>
      </c>
      <c r="F1284" t="s">
        <v>47</v>
      </c>
      <c r="G1284">
        <v>472.57</v>
      </c>
      <c r="H1284" t="s">
        <v>2060</v>
      </c>
      <c r="I1284" t="str">
        <f>VLOOKUP(B1284,Customers!A:G,7,FALSE)</f>
        <v>SME</v>
      </c>
      <c r="Q1284" t="str">
        <f>IF(COUNTIF(Customers!$A$2:$A$1001,B1284)&gt;0,"Valid","Invalid")</f>
        <v>Valid</v>
      </c>
      <c r="R1284" t="str">
        <f>IF(COUNTIF(Branches!$A$2:$A$11,F1284)&gt;0,"Valid","Invalid")</f>
        <v>Valid</v>
      </c>
    </row>
    <row r="1285" spans="1:18" x14ac:dyDescent="0.25">
      <c r="A1285" t="s">
        <v>3356</v>
      </c>
      <c r="B1285" t="s">
        <v>286</v>
      </c>
      <c r="C1285" s="8">
        <v>46156</v>
      </c>
      <c r="D1285" t="s">
        <v>2062</v>
      </c>
      <c r="E1285" t="s">
        <v>2059</v>
      </c>
      <c r="F1285" t="s">
        <v>47</v>
      </c>
      <c r="G1285">
        <v>577.70000000000005</v>
      </c>
      <c r="H1285" t="s">
        <v>2060</v>
      </c>
      <c r="I1285" t="str">
        <f>VLOOKUP(B1285,Customers!A:G,7,FALSE)</f>
        <v>Student</v>
      </c>
      <c r="Q1285" t="str">
        <f>IF(COUNTIF(Customers!$A$2:$A$1001,B1285)&gt;0,"Valid","Invalid")</f>
        <v>Valid</v>
      </c>
      <c r="R1285" t="str">
        <f>IF(COUNTIF(Branches!$A$2:$A$11,F1285)&gt;0,"Valid","Invalid")</f>
        <v>Valid</v>
      </c>
    </row>
    <row r="1286" spans="1:18" x14ac:dyDescent="0.25">
      <c r="A1286" t="s">
        <v>3357</v>
      </c>
      <c r="B1286" t="s">
        <v>690</v>
      </c>
      <c r="C1286" s="8">
        <v>46036</v>
      </c>
      <c r="D1286" t="s">
        <v>2067</v>
      </c>
      <c r="E1286" t="s">
        <v>2076</v>
      </c>
      <c r="F1286" t="s">
        <v>47</v>
      </c>
      <c r="G1286">
        <v>1701.95</v>
      </c>
      <c r="H1286" t="s">
        <v>2060</v>
      </c>
      <c r="I1286" t="str">
        <f>VLOOKUP(B1286,Customers!A:G,7,FALSE)</f>
        <v>Individual</v>
      </c>
      <c r="Q1286" t="str">
        <f>IF(COUNTIF(Customers!$A$2:$A$1001,B1286)&gt;0,"Valid","Invalid")</f>
        <v>Valid</v>
      </c>
      <c r="R1286" t="str">
        <f>IF(COUNTIF(Branches!$A$2:$A$11,F1286)&gt;0,"Valid","Invalid")</f>
        <v>Valid</v>
      </c>
    </row>
    <row r="1287" spans="1:18" x14ac:dyDescent="0.25">
      <c r="A1287" t="s">
        <v>3358</v>
      </c>
      <c r="B1287" t="s">
        <v>356</v>
      </c>
      <c r="C1287" s="8">
        <v>46183</v>
      </c>
      <c r="D1287" t="s">
        <v>2058</v>
      </c>
      <c r="E1287" t="s">
        <v>2063</v>
      </c>
      <c r="F1287" t="s">
        <v>16</v>
      </c>
      <c r="G1287">
        <v>196.47</v>
      </c>
      <c r="H1287" t="s">
        <v>2060</v>
      </c>
      <c r="I1287" t="str">
        <f>VLOOKUP(B1287,Customers!A:G,7,FALSE)</f>
        <v>Individual</v>
      </c>
      <c r="Q1287" t="str">
        <f>IF(COUNTIF(Customers!$A$2:$A$1001,B1287)&gt;0,"Valid","Invalid")</f>
        <v>Valid</v>
      </c>
      <c r="R1287" t="str">
        <f>IF(COUNTIF(Branches!$A$2:$A$11,F1287)&gt;0,"Valid","Invalid")</f>
        <v>Valid</v>
      </c>
    </row>
    <row r="1288" spans="1:18" x14ac:dyDescent="0.25">
      <c r="A1288" t="s">
        <v>3359</v>
      </c>
      <c r="B1288" t="s">
        <v>474</v>
      </c>
      <c r="C1288" s="8">
        <v>46093</v>
      </c>
      <c r="D1288" t="s">
        <v>2070</v>
      </c>
      <c r="E1288" t="s">
        <v>2063</v>
      </c>
      <c r="F1288" t="s">
        <v>21</v>
      </c>
      <c r="G1288">
        <v>350.65</v>
      </c>
      <c r="H1288" t="s">
        <v>2060</v>
      </c>
      <c r="I1288" t="str">
        <f>VLOOKUP(B1288,Customers!A:G,7,FALSE)</f>
        <v>Student</v>
      </c>
      <c r="Q1288" t="str">
        <f>IF(COUNTIF(Customers!$A$2:$A$1001,B1288)&gt;0,"Valid","Invalid")</f>
        <v>Valid</v>
      </c>
      <c r="R1288" t="str">
        <f>IF(COUNTIF(Branches!$A$2:$A$11,F1288)&gt;0,"Valid","Invalid")</f>
        <v>Valid</v>
      </c>
    </row>
    <row r="1289" spans="1:18" x14ac:dyDescent="0.25">
      <c r="A1289" t="s">
        <v>3360</v>
      </c>
      <c r="B1289" t="s">
        <v>212</v>
      </c>
      <c r="C1289" s="8">
        <v>46174</v>
      </c>
      <c r="D1289" t="s">
        <v>2065</v>
      </c>
      <c r="E1289" t="s">
        <v>2063</v>
      </c>
      <c r="F1289" t="s">
        <v>29</v>
      </c>
      <c r="G1289">
        <v>388.49</v>
      </c>
      <c r="H1289" t="s">
        <v>2060</v>
      </c>
      <c r="I1289" t="str">
        <f>VLOOKUP(B1289,Customers!A:G,7,FALSE)</f>
        <v>Student</v>
      </c>
      <c r="Q1289" t="str">
        <f>IF(COUNTIF(Customers!$A$2:$A$1001,B1289)&gt;0,"Valid","Invalid")</f>
        <v>Valid</v>
      </c>
      <c r="R1289" t="str">
        <f>IF(COUNTIF(Branches!$A$2:$A$11,F1289)&gt;0,"Valid","Invalid")</f>
        <v>Valid</v>
      </c>
    </row>
    <row r="1290" spans="1:18" x14ac:dyDescent="0.25">
      <c r="A1290" t="s">
        <v>3361</v>
      </c>
      <c r="B1290" t="s">
        <v>873</v>
      </c>
      <c r="C1290" s="8">
        <v>46223</v>
      </c>
      <c r="D1290" t="s">
        <v>2058</v>
      </c>
      <c r="E1290" t="s">
        <v>2068</v>
      </c>
      <c r="F1290" t="s">
        <v>29</v>
      </c>
      <c r="G1290">
        <v>858.85</v>
      </c>
      <c r="H1290" t="s">
        <v>2060</v>
      </c>
      <c r="I1290" t="str">
        <f>VLOOKUP(B1290,Customers!A:G,7,FALSE)</f>
        <v>Individual</v>
      </c>
      <c r="Q1290" t="str">
        <f>IF(COUNTIF(Customers!$A$2:$A$1001,B1290)&gt;0,"Valid","Invalid")</f>
        <v>Valid</v>
      </c>
      <c r="R1290" t="str">
        <f>IF(COUNTIF(Branches!$A$2:$A$11,F1290)&gt;0,"Valid","Invalid")</f>
        <v>Valid</v>
      </c>
    </row>
    <row r="1291" spans="1:18" x14ac:dyDescent="0.25">
      <c r="A1291" t="s">
        <v>3362</v>
      </c>
      <c r="B1291" t="s">
        <v>724</v>
      </c>
      <c r="C1291" s="8">
        <v>46097</v>
      </c>
      <c r="D1291" t="s">
        <v>2062</v>
      </c>
      <c r="E1291" t="s">
        <v>2063</v>
      </c>
      <c r="F1291" t="s">
        <v>45</v>
      </c>
      <c r="G1291">
        <v>575.38</v>
      </c>
      <c r="H1291" t="s">
        <v>2060</v>
      </c>
      <c r="I1291" t="str">
        <f>VLOOKUP(B1291,Customers!A:G,7,FALSE)</f>
        <v>SME</v>
      </c>
      <c r="Q1291" t="str">
        <f>IF(COUNTIF(Customers!$A$2:$A$1001,B1291)&gt;0,"Valid","Invalid")</f>
        <v>Valid</v>
      </c>
      <c r="R1291" t="str">
        <f>IF(COUNTIF(Branches!$A$2:$A$11,F1291)&gt;0,"Valid","Invalid")</f>
        <v>Valid</v>
      </c>
    </row>
    <row r="1292" spans="1:18" x14ac:dyDescent="0.25">
      <c r="A1292" t="s">
        <v>3363</v>
      </c>
      <c r="B1292" t="s">
        <v>1031</v>
      </c>
      <c r="C1292" s="8">
        <v>46142</v>
      </c>
      <c r="D1292" t="s">
        <v>2062</v>
      </c>
      <c r="E1292" t="s">
        <v>2068</v>
      </c>
      <c r="F1292" t="s">
        <v>45</v>
      </c>
      <c r="G1292">
        <v>593.87</v>
      </c>
      <c r="H1292" t="s">
        <v>2060</v>
      </c>
      <c r="I1292" t="str">
        <f>VLOOKUP(B1292,Customers!A:G,7,FALSE)</f>
        <v>SME</v>
      </c>
      <c r="Q1292" t="str">
        <f>IF(COUNTIF(Customers!$A$2:$A$1001,B1292)&gt;0,"Valid","Invalid")</f>
        <v>Valid</v>
      </c>
      <c r="R1292" t="str">
        <f>IF(COUNTIF(Branches!$A$2:$A$11,F1292)&gt;0,"Valid","Invalid")</f>
        <v>Valid</v>
      </c>
    </row>
    <row r="1293" spans="1:18" x14ac:dyDescent="0.25">
      <c r="A1293" t="s">
        <v>3364</v>
      </c>
      <c r="B1293" t="s">
        <v>624</v>
      </c>
      <c r="C1293" s="8">
        <v>46237</v>
      </c>
      <c r="D1293" t="s">
        <v>2058</v>
      </c>
      <c r="E1293" t="s">
        <v>2063</v>
      </c>
      <c r="F1293" t="s">
        <v>39</v>
      </c>
      <c r="G1293">
        <v>417.86</v>
      </c>
      <c r="H1293" t="s">
        <v>2060</v>
      </c>
      <c r="I1293" t="str">
        <f>VLOOKUP(B1293,Customers!A:G,7,FALSE)</f>
        <v>Corporate</v>
      </c>
      <c r="Q1293" t="str">
        <f>IF(COUNTIF(Customers!$A$2:$A$1001,B1293)&gt;0,"Valid","Invalid")</f>
        <v>Valid</v>
      </c>
      <c r="R1293" t="str">
        <f>IF(COUNTIF(Branches!$A$2:$A$11,F1293)&gt;0,"Valid","Invalid")</f>
        <v>Valid</v>
      </c>
    </row>
    <row r="1294" spans="1:18" x14ac:dyDescent="0.25">
      <c r="A1294" t="s">
        <v>3365</v>
      </c>
      <c r="B1294" t="s">
        <v>389</v>
      </c>
      <c r="C1294" s="8">
        <v>46134</v>
      </c>
      <c r="D1294" t="s">
        <v>2058</v>
      </c>
      <c r="E1294" t="s">
        <v>2059</v>
      </c>
      <c r="F1294" t="s">
        <v>47</v>
      </c>
      <c r="G1294">
        <v>278.43</v>
      </c>
      <c r="H1294" t="s">
        <v>2060</v>
      </c>
      <c r="I1294" t="str">
        <f>VLOOKUP(B1294,Customers!A:G,7,FALSE)</f>
        <v>Individual</v>
      </c>
      <c r="Q1294" t="str">
        <f>IF(COUNTIF(Customers!$A$2:$A$1001,B1294)&gt;0,"Valid","Invalid")</f>
        <v>Valid</v>
      </c>
      <c r="R1294" t="str">
        <f>IF(COUNTIF(Branches!$A$2:$A$11,F1294)&gt;0,"Valid","Invalid")</f>
        <v>Valid</v>
      </c>
    </row>
    <row r="1295" spans="1:18" x14ac:dyDescent="0.25">
      <c r="A1295" t="s">
        <v>3366</v>
      </c>
      <c r="B1295" t="s">
        <v>179</v>
      </c>
      <c r="C1295" s="8">
        <v>46073</v>
      </c>
      <c r="D1295" t="s">
        <v>2062</v>
      </c>
      <c r="E1295" t="s">
        <v>2073</v>
      </c>
      <c r="F1295" t="s">
        <v>53</v>
      </c>
      <c r="G1295">
        <v>1493.9</v>
      </c>
      <c r="H1295" t="s">
        <v>2060</v>
      </c>
      <c r="I1295" t="str">
        <f>VLOOKUP(B1295,Customers!A:G,7,FALSE)</f>
        <v>Individual</v>
      </c>
      <c r="Q1295" t="str">
        <f>IF(COUNTIF(Customers!$A$2:$A$1001,B1295)&gt;0,"Valid","Invalid")</f>
        <v>Valid</v>
      </c>
      <c r="R1295" t="str">
        <f>IF(COUNTIF(Branches!$A$2:$A$11,F1295)&gt;0,"Valid","Invalid")</f>
        <v>Valid</v>
      </c>
    </row>
    <row r="1296" spans="1:18" x14ac:dyDescent="0.25">
      <c r="A1296" t="s">
        <v>3367</v>
      </c>
      <c r="B1296" t="s">
        <v>1005</v>
      </c>
      <c r="C1296" s="8">
        <v>46152</v>
      </c>
      <c r="D1296" t="s">
        <v>2062</v>
      </c>
      <c r="E1296" t="s">
        <v>2059</v>
      </c>
      <c r="F1296" t="s">
        <v>27</v>
      </c>
      <c r="G1296">
        <v>579.52</v>
      </c>
      <c r="H1296" t="s">
        <v>2060</v>
      </c>
      <c r="I1296" t="str">
        <f>VLOOKUP(B1296,Customers!A:G,7,FALSE)</f>
        <v>SME</v>
      </c>
      <c r="Q1296" t="str">
        <f>IF(COUNTIF(Customers!$A$2:$A$1001,B1296)&gt;0,"Valid","Invalid")</f>
        <v>Valid</v>
      </c>
      <c r="R1296" t="str">
        <f>IF(COUNTIF(Branches!$A$2:$A$11,F1296)&gt;0,"Valid","Invalid")</f>
        <v>Valid</v>
      </c>
    </row>
    <row r="1297" spans="1:18" x14ac:dyDescent="0.25">
      <c r="A1297" t="s">
        <v>3368</v>
      </c>
      <c r="B1297" t="s">
        <v>842</v>
      </c>
      <c r="C1297" s="8">
        <v>46165</v>
      </c>
      <c r="D1297" t="s">
        <v>2062</v>
      </c>
      <c r="E1297" t="s">
        <v>2063</v>
      </c>
      <c r="F1297" t="s">
        <v>16</v>
      </c>
      <c r="G1297">
        <v>1508.72</v>
      </c>
      <c r="H1297" t="s">
        <v>2060</v>
      </c>
      <c r="I1297" t="str">
        <f>VLOOKUP(B1297,Customers!A:G,7,FALSE)</f>
        <v>Individual</v>
      </c>
      <c r="Q1297" t="str">
        <f>IF(COUNTIF(Customers!$A$2:$A$1001,B1297)&gt;0,"Valid","Invalid")</f>
        <v>Valid</v>
      </c>
      <c r="R1297" t="str">
        <f>IF(COUNTIF(Branches!$A$2:$A$11,F1297)&gt;0,"Valid","Invalid")</f>
        <v>Valid</v>
      </c>
    </row>
    <row r="1298" spans="1:18" x14ac:dyDescent="0.25">
      <c r="A1298" t="s">
        <v>3369</v>
      </c>
      <c r="B1298" t="s">
        <v>436</v>
      </c>
      <c r="C1298" s="8">
        <v>46185</v>
      </c>
      <c r="D1298" t="s">
        <v>2067</v>
      </c>
      <c r="E1298" t="s">
        <v>2063</v>
      </c>
      <c r="F1298" t="s">
        <v>47</v>
      </c>
      <c r="G1298">
        <v>267.3</v>
      </c>
      <c r="H1298" t="s">
        <v>2060</v>
      </c>
      <c r="I1298" t="str">
        <f>VLOOKUP(B1298,Customers!A:G,7,FALSE)</f>
        <v>Individual</v>
      </c>
      <c r="Q1298" t="str">
        <f>IF(COUNTIF(Customers!$A$2:$A$1001,B1298)&gt;0,"Valid","Invalid")</f>
        <v>Valid</v>
      </c>
      <c r="R1298" t="str">
        <f>IF(COUNTIF(Branches!$A$2:$A$11,F1298)&gt;0,"Valid","Invalid")</f>
        <v>Valid</v>
      </c>
    </row>
    <row r="1299" spans="1:18" x14ac:dyDescent="0.25">
      <c r="A1299" t="s">
        <v>3370</v>
      </c>
      <c r="B1299" t="s">
        <v>662</v>
      </c>
      <c r="C1299" s="8">
        <v>46058</v>
      </c>
      <c r="D1299" t="s">
        <v>2070</v>
      </c>
      <c r="E1299" t="s">
        <v>2073</v>
      </c>
      <c r="F1299" t="s">
        <v>27</v>
      </c>
      <c r="G1299">
        <v>417.7</v>
      </c>
      <c r="H1299" t="s">
        <v>2060</v>
      </c>
      <c r="I1299" t="str">
        <f>VLOOKUP(B1299,Customers!A:G,7,FALSE)</f>
        <v>SME</v>
      </c>
      <c r="Q1299" t="str">
        <f>IF(COUNTIF(Customers!$A$2:$A$1001,B1299)&gt;0,"Valid","Invalid")</f>
        <v>Valid</v>
      </c>
      <c r="R1299" t="str">
        <f>IF(COUNTIF(Branches!$A$2:$A$11,F1299)&gt;0,"Valid","Invalid")</f>
        <v>Valid</v>
      </c>
    </row>
    <row r="1300" spans="1:18" x14ac:dyDescent="0.25">
      <c r="A1300" t="s">
        <v>3371</v>
      </c>
      <c r="B1300" t="s">
        <v>756</v>
      </c>
      <c r="C1300" s="8">
        <v>46140</v>
      </c>
      <c r="D1300" t="s">
        <v>2067</v>
      </c>
      <c r="E1300" t="s">
        <v>2059</v>
      </c>
      <c r="F1300" t="s">
        <v>29</v>
      </c>
      <c r="G1300">
        <v>651.20000000000005</v>
      </c>
      <c r="H1300" t="s">
        <v>2060</v>
      </c>
      <c r="I1300" t="str">
        <f>VLOOKUP(B1300,Customers!A:G,7,FALSE)</f>
        <v>Individual</v>
      </c>
      <c r="Q1300" t="str">
        <f>IF(COUNTIF(Customers!$A$2:$A$1001,B1300)&gt;0,"Valid","Invalid")</f>
        <v>Valid</v>
      </c>
      <c r="R1300" t="str">
        <f>IF(COUNTIF(Branches!$A$2:$A$11,F1300)&gt;0,"Valid","Invalid")</f>
        <v>Valid</v>
      </c>
    </row>
    <row r="1301" spans="1:18" x14ac:dyDescent="0.25">
      <c r="A1301" t="s">
        <v>3372</v>
      </c>
      <c r="B1301" t="s">
        <v>681</v>
      </c>
      <c r="C1301" s="8">
        <v>46242</v>
      </c>
      <c r="D1301" t="s">
        <v>2065</v>
      </c>
      <c r="E1301" t="s">
        <v>2059</v>
      </c>
      <c r="F1301" t="s">
        <v>53</v>
      </c>
      <c r="G1301">
        <v>714.89</v>
      </c>
      <c r="H1301" t="s">
        <v>2060</v>
      </c>
      <c r="I1301" t="str">
        <f>VLOOKUP(B1301,Customers!A:G,7,FALSE)</f>
        <v>Corporate</v>
      </c>
      <c r="Q1301" t="str">
        <f>IF(COUNTIF(Customers!$A$2:$A$1001,B1301)&gt;0,"Valid","Invalid")</f>
        <v>Valid</v>
      </c>
      <c r="R1301" t="str">
        <f>IF(COUNTIF(Branches!$A$2:$A$11,F1301)&gt;0,"Valid","Invalid")</f>
        <v>Valid</v>
      </c>
    </row>
    <row r="1302" spans="1:18" x14ac:dyDescent="0.25">
      <c r="A1302" t="s">
        <v>3373</v>
      </c>
      <c r="B1302" t="s">
        <v>407</v>
      </c>
      <c r="C1302" s="8">
        <v>46189</v>
      </c>
      <c r="D1302" t="s">
        <v>2067</v>
      </c>
      <c r="E1302" t="s">
        <v>2059</v>
      </c>
      <c r="F1302" t="s">
        <v>47</v>
      </c>
      <c r="G1302">
        <v>1727.39</v>
      </c>
      <c r="H1302" t="s">
        <v>2060</v>
      </c>
      <c r="I1302" t="str">
        <f>VLOOKUP(B1302,Customers!A:G,7,FALSE)</f>
        <v>Individual</v>
      </c>
      <c r="Q1302" t="str">
        <f>IF(COUNTIF(Customers!$A$2:$A$1001,B1302)&gt;0,"Valid","Invalid")</f>
        <v>Valid</v>
      </c>
      <c r="R1302" t="str">
        <f>IF(COUNTIF(Branches!$A$2:$A$11,F1302)&gt;0,"Valid","Invalid")</f>
        <v>Valid</v>
      </c>
    </row>
    <row r="1303" spans="1:18" x14ac:dyDescent="0.25">
      <c r="A1303" t="s">
        <v>3374</v>
      </c>
      <c r="B1303" t="s">
        <v>539</v>
      </c>
      <c r="C1303" s="8">
        <v>46258</v>
      </c>
      <c r="D1303" t="s">
        <v>2065</v>
      </c>
      <c r="E1303" t="s">
        <v>2059</v>
      </c>
      <c r="F1303" t="s">
        <v>45</v>
      </c>
      <c r="G1303">
        <v>528.21</v>
      </c>
      <c r="H1303" t="s">
        <v>2060</v>
      </c>
      <c r="I1303" t="str">
        <f>VLOOKUP(B1303,Customers!A:G,7,FALSE)</f>
        <v>SME</v>
      </c>
      <c r="Q1303" t="str">
        <f>IF(COUNTIF(Customers!$A$2:$A$1001,B1303)&gt;0,"Valid","Invalid")</f>
        <v>Valid</v>
      </c>
      <c r="R1303" t="str">
        <f>IF(COUNTIF(Branches!$A$2:$A$11,F1303)&gt;0,"Valid","Invalid")</f>
        <v>Valid</v>
      </c>
    </row>
    <row r="1304" spans="1:18" x14ac:dyDescent="0.25">
      <c r="A1304" t="s">
        <v>3375</v>
      </c>
      <c r="B1304" t="s">
        <v>660</v>
      </c>
      <c r="C1304" s="8">
        <v>46026</v>
      </c>
      <c r="D1304" t="s">
        <v>2065</v>
      </c>
      <c r="E1304" t="s">
        <v>2063</v>
      </c>
      <c r="F1304" t="s">
        <v>47</v>
      </c>
      <c r="G1304">
        <v>1714.27</v>
      </c>
      <c r="H1304" t="s">
        <v>2060</v>
      </c>
      <c r="I1304" t="str">
        <f>VLOOKUP(B1304,Customers!A:G,7,FALSE)</f>
        <v>Individual</v>
      </c>
      <c r="Q1304" t="str">
        <f>IF(COUNTIF(Customers!$A$2:$A$1001,B1304)&gt;0,"Valid","Invalid")</f>
        <v>Valid</v>
      </c>
      <c r="R1304" t="str">
        <f>IF(COUNTIF(Branches!$A$2:$A$11,F1304)&gt;0,"Valid","Invalid")</f>
        <v>Valid</v>
      </c>
    </row>
    <row r="1305" spans="1:18" x14ac:dyDescent="0.25">
      <c r="A1305" t="s">
        <v>3376</v>
      </c>
      <c r="B1305" t="s">
        <v>408</v>
      </c>
      <c r="C1305" s="8">
        <v>46214</v>
      </c>
      <c r="D1305" t="s">
        <v>2067</v>
      </c>
      <c r="E1305" t="s">
        <v>2076</v>
      </c>
      <c r="F1305" t="s">
        <v>53</v>
      </c>
      <c r="G1305">
        <v>1181.98</v>
      </c>
      <c r="H1305" t="s">
        <v>2060</v>
      </c>
      <c r="I1305" t="str">
        <f>VLOOKUP(B1305,Customers!A:G,7,FALSE)</f>
        <v>Individual</v>
      </c>
      <c r="Q1305" t="str">
        <f>IF(COUNTIF(Customers!$A$2:$A$1001,B1305)&gt;0,"Valid","Invalid")</f>
        <v>Valid</v>
      </c>
      <c r="R1305" t="str">
        <f>IF(COUNTIF(Branches!$A$2:$A$11,F1305)&gt;0,"Valid","Invalid")</f>
        <v>Valid</v>
      </c>
    </row>
    <row r="1306" spans="1:18" x14ac:dyDescent="0.25">
      <c r="A1306" t="s">
        <v>3377</v>
      </c>
      <c r="B1306" t="s">
        <v>617</v>
      </c>
      <c r="C1306" s="8">
        <v>46224</v>
      </c>
      <c r="D1306" t="s">
        <v>2065</v>
      </c>
      <c r="E1306" t="s">
        <v>2076</v>
      </c>
      <c r="F1306" t="s">
        <v>11</v>
      </c>
      <c r="G1306">
        <v>730.08</v>
      </c>
      <c r="H1306" t="s">
        <v>2060</v>
      </c>
      <c r="I1306" t="str">
        <f>VLOOKUP(B1306,Customers!A:G,7,FALSE)</f>
        <v>Individual</v>
      </c>
      <c r="Q1306" t="str">
        <f>IF(COUNTIF(Customers!$A$2:$A$1001,B1306)&gt;0,"Valid","Invalid")</f>
        <v>Valid</v>
      </c>
      <c r="R1306" t="str">
        <f>IF(COUNTIF(Branches!$A$2:$A$11,F1306)&gt;0,"Valid","Invalid")</f>
        <v>Valid</v>
      </c>
    </row>
    <row r="1307" spans="1:18" x14ac:dyDescent="0.25">
      <c r="A1307" t="s">
        <v>3378</v>
      </c>
      <c r="B1307" t="s">
        <v>420</v>
      </c>
      <c r="C1307" s="8">
        <v>46028</v>
      </c>
      <c r="D1307" t="s">
        <v>2058</v>
      </c>
      <c r="E1307" t="s">
        <v>2063</v>
      </c>
      <c r="F1307" t="s">
        <v>35</v>
      </c>
      <c r="G1307">
        <v>313.77999999999997</v>
      </c>
      <c r="H1307" t="s">
        <v>2060</v>
      </c>
      <c r="I1307" t="str">
        <f>VLOOKUP(B1307,Customers!A:G,7,FALSE)</f>
        <v>Student</v>
      </c>
      <c r="Q1307" t="str">
        <f>IF(COUNTIF(Customers!$A$2:$A$1001,B1307)&gt;0,"Valid","Invalid")</f>
        <v>Valid</v>
      </c>
      <c r="R1307" t="str">
        <f>IF(COUNTIF(Branches!$A$2:$A$11,F1307)&gt;0,"Valid","Invalid")</f>
        <v>Valid</v>
      </c>
    </row>
    <row r="1308" spans="1:18" x14ac:dyDescent="0.25">
      <c r="A1308" t="s">
        <v>3379</v>
      </c>
      <c r="B1308" t="s">
        <v>122</v>
      </c>
      <c r="C1308" s="8">
        <v>46207</v>
      </c>
      <c r="D1308" t="s">
        <v>2065</v>
      </c>
      <c r="E1308" t="s">
        <v>2068</v>
      </c>
      <c r="F1308" t="s">
        <v>21</v>
      </c>
      <c r="G1308">
        <v>1731.73</v>
      </c>
      <c r="H1308" t="s">
        <v>2060</v>
      </c>
      <c r="I1308" t="str">
        <f>VLOOKUP(B1308,Customers!A:G,7,FALSE)</f>
        <v>Individual</v>
      </c>
      <c r="Q1308" t="str">
        <f>IF(COUNTIF(Customers!$A$2:$A$1001,B1308)&gt;0,"Valid","Invalid")</f>
        <v>Valid</v>
      </c>
      <c r="R1308" t="str">
        <f>IF(COUNTIF(Branches!$A$2:$A$11,F1308)&gt;0,"Valid","Invalid")</f>
        <v>Valid</v>
      </c>
    </row>
    <row r="1309" spans="1:18" x14ac:dyDescent="0.25">
      <c r="A1309" t="s">
        <v>3380</v>
      </c>
      <c r="B1309" t="s">
        <v>825</v>
      </c>
      <c r="C1309" s="8">
        <v>46180</v>
      </c>
      <c r="D1309" t="s">
        <v>2065</v>
      </c>
      <c r="E1309" t="s">
        <v>2068</v>
      </c>
      <c r="F1309" t="s">
        <v>29</v>
      </c>
      <c r="G1309">
        <v>321.70999999999998</v>
      </c>
      <c r="H1309" t="s">
        <v>2060</v>
      </c>
      <c r="I1309" t="str">
        <f>VLOOKUP(B1309,Customers!A:G,7,FALSE)</f>
        <v>SME</v>
      </c>
      <c r="Q1309" t="str">
        <f>IF(COUNTIF(Customers!$A$2:$A$1001,B1309)&gt;0,"Valid","Invalid")</f>
        <v>Valid</v>
      </c>
      <c r="R1309" t="str">
        <f>IF(COUNTIF(Branches!$A$2:$A$11,F1309)&gt;0,"Valid","Invalid")</f>
        <v>Valid</v>
      </c>
    </row>
    <row r="1310" spans="1:18" x14ac:dyDescent="0.25">
      <c r="A1310" t="s">
        <v>3381</v>
      </c>
      <c r="B1310" t="s">
        <v>777</v>
      </c>
      <c r="C1310" s="8">
        <v>46132</v>
      </c>
      <c r="D1310" t="s">
        <v>2065</v>
      </c>
      <c r="E1310" t="s">
        <v>2073</v>
      </c>
      <c r="F1310" t="s">
        <v>29</v>
      </c>
      <c r="G1310">
        <v>795.3</v>
      </c>
      <c r="H1310" t="s">
        <v>2060</v>
      </c>
      <c r="I1310" t="str">
        <f>VLOOKUP(B1310,Customers!A:G,7,FALSE)</f>
        <v>Individual</v>
      </c>
      <c r="Q1310" t="str">
        <f>IF(COUNTIF(Customers!$A$2:$A$1001,B1310)&gt;0,"Valid","Invalid")</f>
        <v>Valid</v>
      </c>
      <c r="R1310" t="str">
        <f>IF(COUNTIF(Branches!$A$2:$A$11,F1310)&gt;0,"Valid","Invalid")</f>
        <v>Valid</v>
      </c>
    </row>
    <row r="1311" spans="1:18" x14ac:dyDescent="0.25">
      <c r="A1311" t="s">
        <v>3382</v>
      </c>
      <c r="B1311" t="s">
        <v>498</v>
      </c>
      <c r="C1311" s="8">
        <v>46121</v>
      </c>
      <c r="D1311" t="s">
        <v>2065</v>
      </c>
      <c r="E1311" t="s">
        <v>2063</v>
      </c>
      <c r="F1311" t="s">
        <v>27</v>
      </c>
      <c r="G1311">
        <v>769.75</v>
      </c>
      <c r="H1311" t="s">
        <v>2060</v>
      </c>
      <c r="I1311" t="str">
        <f>VLOOKUP(B1311,Customers!A:G,7,FALSE)</f>
        <v>Individual</v>
      </c>
      <c r="Q1311" t="str">
        <f>IF(COUNTIF(Customers!$A$2:$A$1001,B1311)&gt;0,"Valid","Invalid")</f>
        <v>Valid</v>
      </c>
      <c r="R1311" t="str">
        <f>IF(COUNTIF(Branches!$A$2:$A$11,F1311)&gt;0,"Valid","Invalid")</f>
        <v>Valid</v>
      </c>
    </row>
    <row r="1312" spans="1:18" x14ac:dyDescent="0.25">
      <c r="A1312" t="s">
        <v>3383</v>
      </c>
      <c r="B1312" t="s">
        <v>988</v>
      </c>
      <c r="C1312" s="8">
        <v>46263</v>
      </c>
      <c r="D1312" t="s">
        <v>2065</v>
      </c>
      <c r="E1312" t="s">
        <v>2063</v>
      </c>
      <c r="F1312" t="s">
        <v>53</v>
      </c>
      <c r="G1312">
        <v>660.44</v>
      </c>
      <c r="H1312" t="s">
        <v>2060</v>
      </c>
      <c r="I1312" t="str">
        <f>VLOOKUP(B1312,Customers!A:G,7,FALSE)</f>
        <v>Individual</v>
      </c>
      <c r="Q1312" t="str">
        <f>IF(COUNTIF(Customers!$A$2:$A$1001,B1312)&gt;0,"Valid","Invalid")</f>
        <v>Valid</v>
      </c>
      <c r="R1312" t="str">
        <f>IF(COUNTIF(Branches!$A$2:$A$11,F1312)&gt;0,"Valid","Invalid")</f>
        <v>Valid</v>
      </c>
    </row>
    <row r="1313" spans="1:18" x14ac:dyDescent="0.25">
      <c r="A1313" t="s">
        <v>3384</v>
      </c>
      <c r="B1313" t="s">
        <v>363</v>
      </c>
      <c r="C1313" s="8">
        <v>46257</v>
      </c>
      <c r="D1313" t="s">
        <v>2058</v>
      </c>
      <c r="E1313" t="s">
        <v>2068</v>
      </c>
      <c r="F1313" t="s">
        <v>47</v>
      </c>
      <c r="G1313">
        <v>550.41999999999996</v>
      </c>
      <c r="H1313" t="s">
        <v>2060</v>
      </c>
      <c r="I1313" t="str">
        <f>VLOOKUP(B1313,Customers!A:G,7,FALSE)</f>
        <v>SME</v>
      </c>
      <c r="Q1313" t="str">
        <f>IF(COUNTIF(Customers!$A$2:$A$1001,B1313)&gt;0,"Valid","Invalid")</f>
        <v>Valid</v>
      </c>
      <c r="R1313" t="str">
        <f>IF(COUNTIF(Branches!$A$2:$A$11,F1313)&gt;0,"Valid","Invalid")</f>
        <v>Valid</v>
      </c>
    </row>
    <row r="1314" spans="1:18" x14ac:dyDescent="0.25">
      <c r="A1314" t="s">
        <v>3385</v>
      </c>
      <c r="B1314" t="s">
        <v>560</v>
      </c>
      <c r="C1314" s="8">
        <v>46224</v>
      </c>
      <c r="D1314" t="s">
        <v>2070</v>
      </c>
      <c r="E1314" t="s">
        <v>2063</v>
      </c>
      <c r="F1314" t="s">
        <v>45</v>
      </c>
      <c r="G1314">
        <v>357.07</v>
      </c>
      <c r="H1314" t="s">
        <v>2115</v>
      </c>
      <c r="I1314" t="str">
        <f>VLOOKUP(B1314,Customers!A:G,7,FALSE)</f>
        <v>Individual</v>
      </c>
      <c r="Q1314" t="str">
        <f>IF(COUNTIF(Customers!$A$2:$A$1001,B1314)&gt;0,"Valid","Invalid")</f>
        <v>Valid</v>
      </c>
      <c r="R1314" t="str">
        <f>IF(COUNTIF(Branches!$A$2:$A$11,F1314)&gt;0,"Valid","Invalid")</f>
        <v>Valid</v>
      </c>
    </row>
    <row r="1315" spans="1:18" x14ac:dyDescent="0.25">
      <c r="A1315" t="s">
        <v>3386</v>
      </c>
      <c r="B1315" t="s">
        <v>527</v>
      </c>
      <c r="C1315" s="8">
        <v>46144</v>
      </c>
      <c r="D1315" t="s">
        <v>2062</v>
      </c>
      <c r="E1315" t="s">
        <v>2063</v>
      </c>
      <c r="F1315" t="s">
        <v>29</v>
      </c>
      <c r="G1315">
        <v>161.27000000000001</v>
      </c>
      <c r="H1315" t="s">
        <v>2060</v>
      </c>
      <c r="I1315" t="str">
        <f>VLOOKUP(B1315,Customers!A:G,7,FALSE)</f>
        <v>Individual</v>
      </c>
      <c r="Q1315" t="str">
        <f>IF(COUNTIF(Customers!$A$2:$A$1001,B1315)&gt;0,"Valid","Invalid")</f>
        <v>Valid</v>
      </c>
      <c r="R1315" t="str">
        <f>IF(COUNTIF(Branches!$A$2:$A$11,F1315)&gt;0,"Valid","Invalid")</f>
        <v>Valid</v>
      </c>
    </row>
    <row r="1316" spans="1:18" x14ac:dyDescent="0.25">
      <c r="A1316" t="s">
        <v>3387</v>
      </c>
      <c r="B1316" t="s">
        <v>967</v>
      </c>
      <c r="C1316" s="8">
        <v>46139</v>
      </c>
      <c r="D1316" t="s">
        <v>2062</v>
      </c>
      <c r="E1316" t="s">
        <v>2068</v>
      </c>
      <c r="F1316" t="s">
        <v>16</v>
      </c>
      <c r="G1316">
        <v>3307.03</v>
      </c>
      <c r="H1316" t="s">
        <v>2060</v>
      </c>
      <c r="I1316" t="str">
        <f>VLOOKUP(B1316,Customers!A:G,7,FALSE)</f>
        <v>Individual</v>
      </c>
      <c r="Q1316" t="str">
        <f>IF(COUNTIF(Customers!$A$2:$A$1001,B1316)&gt;0,"Valid","Invalid")</f>
        <v>Valid</v>
      </c>
      <c r="R1316" t="str">
        <f>IF(COUNTIF(Branches!$A$2:$A$11,F1316)&gt;0,"Valid","Invalid")</f>
        <v>Valid</v>
      </c>
    </row>
    <row r="1317" spans="1:18" x14ac:dyDescent="0.25">
      <c r="A1317" t="s">
        <v>3388</v>
      </c>
      <c r="B1317" t="s">
        <v>435</v>
      </c>
      <c r="C1317" s="8">
        <v>46118</v>
      </c>
      <c r="D1317" t="s">
        <v>2065</v>
      </c>
      <c r="E1317" t="s">
        <v>2063</v>
      </c>
      <c r="F1317" t="s">
        <v>29</v>
      </c>
      <c r="G1317">
        <v>496.84</v>
      </c>
      <c r="H1317" t="s">
        <v>2060</v>
      </c>
      <c r="I1317" t="str">
        <f>VLOOKUP(B1317,Customers!A:G,7,FALSE)</f>
        <v>Individual</v>
      </c>
      <c r="Q1317" t="str">
        <f>IF(COUNTIF(Customers!$A$2:$A$1001,B1317)&gt;0,"Valid","Invalid")</f>
        <v>Valid</v>
      </c>
      <c r="R1317" t="str">
        <f>IF(COUNTIF(Branches!$A$2:$A$11,F1317)&gt;0,"Valid","Invalid")</f>
        <v>Valid</v>
      </c>
    </row>
    <row r="1318" spans="1:18" x14ac:dyDescent="0.25">
      <c r="A1318" t="s">
        <v>3389</v>
      </c>
      <c r="B1318" t="s">
        <v>934</v>
      </c>
      <c r="C1318" s="8">
        <v>46256</v>
      </c>
      <c r="D1318" t="s">
        <v>2065</v>
      </c>
      <c r="E1318" t="s">
        <v>2059</v>
      </c>
      <c r="F1318" t="s">
        <v>29</v>
      </c>
      <c r="G1318">
        <v>714.72</v>
      </c>
      <c r="H1318" t="s">
        <v>2060</v>
      </c>
      <c r="I1318" t="str">
        <f>VLOOKUP(B1318,Customers!A:G,7,FALSE)</f>
        <v>Individual</v>
      </c>
      <c r="Q1318" t="str">
        <f>IF(COUNTIF(Customers!$A$2:$A$1001,B1318)&gt;0,"Valid","Invalid")</f>
        <v>Valid</v>
      </c>
      <c r="R1318" t="str">
        <f>IF(COUNTIF(Branches!$A$2:$A$11,F1318)&gt;0,"Valid","Invalid")</f>
        <v>Valid</v>
      </c>
    </row>
    <row r="1319" spans="1:18" x14ac:dyDescent="0.25">
      <c r="A1319" t="s">
        <v>3390</v>
      </c>
      <c r="B1319" t="s">
        <v>393</v>
      </c>
      <c r="C1319" s="8">
        <v>46256</v>
      </c>
      <c r="D1319" t="s">
        <v>2065</v>
      </c>
      <c r="E1319" t="s">
        <v>2059</v>
      </c>
      <c r="F1319" t="s">
        <v>11</v>
      </c>
      <c r="G1319">
        <v>710.36</v>
      </c>
      <c r="H1319" t="s">
        <v>2060</v>
      </c>
      <c r="I1319" t="str">
        <f>VLOOKUP(B1319,Customers!A:G,7,FALSE)</f>
        <v>SME</v>
      </c>
      <c r="Q1319" t="str">
        <f>IF(COUNTIF(Customers!$A$2:$A$1001,B1319)&gt;0,"Valid","Invalid")</f>
        <v>Valid</v>
      </c>
      <c r="R1319" t="str">
        <f>IF(COUNTIF(Branches!$A$2:$A$11,F1319)&gt;0,"Valid","Invalid")</f>
        <v>Valid</v>
      </c>
    </row>
    <row r="1320" spans="1:18" x14ac:dyDescent="0.25">
      <c r="A1320" t="s">
        <v>3391</v>
      </c>
      <c r="B1320" t="s">
        <v>985</v>
      </c>
      <c r="C1320" s="8">
        <v>46089</v>
      </c>
      <c r="D1320" t="s">
        <v>2062</v>
      </c>
      <c r="E1320" t="s">
        <v>2068</v>
      </c>
      <c r="F1320" t="s">
        <v>27</v>
      </c>
      <c r="G1320">
        <v>2429.9</v>
      </c>
      <c r="H1320" t="s">
        <v>2060</v>
      </c>
      <c r="I1320" t="str">
        <f>VLOOKUP(B1320,Customers!A:G,7,FALSE)</f>
        <v>Individual</v>
      </c>
      <c r="Q1320" t="str">
        <f>IF(COUNTIF(Customers!$A$2:$A$1001,B1320)&gt;0,"Valid","Invalid")</f>
        <v>Valid</v>
      </c>
      <c r="R1320" t="str">
        <f>IF(COUNTIF(Branches!$A$2:$A$11,F1320)&gt;0,"Valid","Invalid")</f>
        <v>Valid</v>
      </c>
    </row>
    <row r="1321" spans="1:18" x14ac:dyDescent="0.25">
      <c r="A1321" t="s">
        <v>3392</v>
      </c>
      <c r="B1321" t="s">
        <v>326</v>
      </c>
      <c r="C1321" s="8">
        <v>46142</v>
      </c>
      <c r="D1321" t="s">
        <v>2065</v>
      </c>
      <c r="E1321" t="s">
        <v>2063</v>
      </c>
      <c r="F1321" t="s">
        <v>47</v>
      </c>
      <c r="G1321">
        <v>5614.99</v>
      </c>
      <c r="H1321" t="s">
        <v>2107</v>
      </c>
      <c r="I1321" t="str">
        <f>VLOOKUP(B1321,Customers!A:G,7,FALSE)</f>
        <v>Student</v>
      </c>
      <c r="Q1321" t="str">
        <f>IF(COUNTIF(Customers!$A$2:$A$1001,B1321)&gt;0,"Valid","Invalid")</f>
        <v>Valid</v>
      </c>
      <c r="R1321" t="str">
        <f>IF(COUNTIF(Branches!$A$2:$A$11,F1321)&gt;0,"Valid","Invalid")</f>
        <v>Valid</v>
      </c>
    </row>
    <row r="1322" spans="1:18" x14ac:dyDescent="0.25">
      <c r="A1322" t="s">
        <v>3393</v>
      </c>
      <c r="B1322" t="s">
        <v>497</v>
      </c>
      <c r="C1322" s="8">
        <v>46240</v>
      </c>
      <c r="D1322" t="s">
        <v>2058</v>
      </c>
      <c r="E1322" t="s">
        <v>2068</v>
      </c>
      <c r="F1322" t="s">
        <v>21</v>
      </c>
      <c r="G1322">
        <v>953.22</v>
      </c>
      <c r="H1322" t="s">
        <v>2060</v>
      </c>
      <c r="I1322" t="str">
        <f>VLOOKUP(B1322,Customers!A:G,7,FALSE)</f>
        <v>Individual</v>
      </c>
      <c r="Q1322" t="str">
        <f>IF(COUNTIF(Customers!$A$2:$A$1001,B1322)&gt;0,"Valid","Invalid")</f>
        <v>Valid</v>
      </c>
      <c r="R1322" t="str">
        <f>IF(COUNTIF(Branches!$A$2:$A$11,F1322)&gt;0,"Valid","Invalid")</f>
        <v>Valid</v>
      </c>
    </row>
    <row r="1323" spans="1:18" x14ac:dyDescent="0.25">
      <c r="A1323" t="s">
        <v>3394</v>
      </c>
      <c r="B1323" t="s">
        <v>662</v>
      </c>
      <c r="C1323" s="8">
        <v>46037</v>
      </c>
      <c r="D1323" t="s">
        <v>2065</v>
      </c>
      <c r="E1323" t="s">
        <v>2076</v>
      </c>
      <c r="F1323" t="s">
        <v>11</v>
      </c>
      <c r="G1323">
        <v>694.36</v>
      </c>
      <c r="H1323" t="s">
        <v>2060</v>
      </c>
      <c r="I1323" t="str">
        <f>VLOOKUP(B1323,Customers!A:G,7,FALSE)</f>
        <v>SME</v>
      </c>
      <c r="Q1323" t="str">
        <f>IF(COUNTIF(Customers!$A$2:$A$1001,B1323)&gt;0,"Valid","Invalid")</f>
        <v>Valid</v>
      </c>
      <c r="R1323" t="str">
        <f>IF(COUNTIF(Branches!$A$2:$A$11,F1323)&gt;0,"Valid","Invalid")</f>
        <v>Valid</v>
      </c>
    </row>
    <row r="1324" spans="1:18" x14ac:dyDescent="0.25">
      <c r="A1324" t="s">
        <v>3395</v>
      </c>
      <c r="B1324" t="s">
        <v>1036</v>
      </c>
      <c r="C1324" s="8">
        <v>46039</v>
      </c>
      <c r="D1324" t="s">
        <v>2065</v>
      </c>
      <c r="E1324" t="s">
        <v>2059</v>
      </c>
      <c r="F1324" t="s">
        <v>29</v>
      </c>
      <c r="G1324">
        <v>264.16000000000003</v>
      </c>
      <c r="H1324" t="s">
        <v>2060</v>
      </c>
      <c r="I1324" t="str">
        <f>VLOOKUP(B1324,Customers!A:G,7,FALSE)</f>
        <v>Corporate</v>
      </c>
      <c r="Q1324" t="str">
        <f>IF(COUNTIF(Customers!$A$2:$A$1001,B1324)&gt;0,"Valid","Invalid")</f>
        <v>Valid</v>
      </c>
      <c r="R1324" t="str">
        <f>IF(COUNTIF(Branches!$A$2:$A$11,F1324)&gt;0,"Valid","Invalid")</f>
        <v>Valid</v>
      </c>
    </row>
    <row r="1325" spans="1:18" x14ac:dyDescent="0.25">
      <c r="A1325" t="s">
        <v>3396</v>
      </c>
      <c r="B1325" t="s">
        <v>574</v>
      </c>
      <c r="C1325" s="8">
        <v>46241</v>
      </c>
      <c r="D1325" t="s">
        <v>2070</v>
      </c>
      <c r="E1325" t="s">
        <v>2063</v>
      </c>
      <c r="F1325" t="s">
        <v>35</v>
      </c>
      <c r="G1325">
        <v>191.79</v>
      </c>
      <c r="H1325" t="s">
        <v>2060</v>
      </c>
      <c r="I1325" t="str">
        <f>VLOOKUP(B1325,Customers!A:G,7,FALSE)</f>
        <v>Individual</v>
      </c>
      <c r="Q1325" t="str">
        <f>IF(COUNTIF(Customers!$A$2:$A$1001,B1325)&gt;0,"Valid","Invalid")</f>
        <v>Valid</v>
      </c>
      <c r="R1325" t="str">
        <f>IF(COUNTIF(Branches!$A$2:$A$11,F1325)&gt;0,"Valid","Invalid")</f>
        <v>Valid</v>
      </c>
    </row>
    <row r="1326" spans="1:18" x14ac:dyDescent="0.25">
      <c r="A1326" t="s">
        <v>3397</v>
      </c>
      <c r="B1326" t="s">
        <v>329</v>
      </c>
      <c r="C1326" s="8">
        <v>46040</v>
      </c>
      <c r="D1326" t="s">
        <v>2062</v>
      </c>
      <c r="E1326" t="s">
        <v>2063</v>
      </c>
      <c r="F1326" t="s">
        <v>16</v>
      </c>
      <c r="G1326">
        <v>137.83000000000001</v>
      </c>
      <c r="H1326" t="s">
        <v>2060</v>
      </c>
      <c r="I1326" t="str">
        <f>VLOOKUP(B1326,Customers!A:G,7,FALSE)</f>
        <v>Individual</v>
      </c>
      <c r="Q1326" t="str">
        <f>IF(COUNTIF(Customers!$A$2:$A$1001,B1326)&gt;0,"Valid","Invalid")</f>
        <v>Valid</v>
      </c>
      <c r="R1326" t="str">
        <f>IF(COUNTIF(Branches!$A$2:$A$11,F1326)&gt;0,"Valid","Invalid")</f>
        <v>Valid</v>
      </c>
    </row>
    <row r="1327" spans="1:18" x14ac:dyDescent="0.25">
      <c r="A1327" t="s">
        <v>3398</v>
      </c>
      <c r="B1327" t="s">
        <v>889</v>
      </c>
      <c r="C1327" s="8">
        <v>46137</v>
      </c>
      <c r="D1327" t="s">
        <v>2062</v>
      </c>
      <c r="E1327" t="s">
        <v>2076</v>
      </c>
      <c r="F1327" t="s">
        <v>39</v>
      </c>
      <c r="G1327">
        <v>366.56</v>
      </c>
      <c r="H1327" t="s">
        <v>2060</v>
      </c>
      <c r="I1327" t="str">
        <f>VLOOKUP(B1327,Customers!A:G,7,FALSE)</f>
        <v>Corporate</v>
      </c>
      <c r="Q1327" t="str">
        <f>IF(COUNTIF(Customers!$A$2:$A$1001,B1327)&gt;0,"Valid","Invalid")</f>
        <v>Valid</v>
      </c>
      <c r="R1327" t="str">
        <f>IF(COUNTIF(Branches!$A$2:$A$11,F1327)&gt;0,"Valid","Invalid")</f>
        <v>Valid</v>
      </c>
    </row>
    <row r="1328" spans="1:18" x14ac:dyDescent="0.25">
      <c r="A1328" t="s">
        <v>3399</v>
      </c>
      <c r="B1328" t="s">
        <v>876</v>
      </c>
      <c r="C1328" s="8">
        <v>46169</v>
      </c>
      <c r="D1328" t="s">
        <v>2058</v>
      </c>
      <c r="E1328" t="s">
        <v>2059</v>
      </c>
      <c r="F1328" t="s">
        <v>45</v>
      </c>
      <c r="G1328">
        <v>100.4</v>
      </c>
      <c r="H1328" t="s">
        <v>2060</v>
      </c>
      <c r="I1328" t="str">
        <f>VLOOKUP(B1328,Customers!A:G,7,FALSE)</f>
        <v>Individual</v>
      </c>
      <c r="Q1328" t="str">
        <f>IF(COUNTIF(Customers!$A$2:$A$1001,B1328)&gt;0,"Valid","Invalid")</f>
        <v>Valid</v>
      </c>
      <c r="R1328" t="str">
        <f>IF(COUNTIF(Branches!$A$2:$A$11,F1328)&gt;0,"Valid","Invalid")</f>
        <v>Valid</v>
      </c>
    </row>
    <row r="1329" spans="1:18" x14ac:dyDescent="0.25">
      <c r="A1329" t="s">
        <v>3400</v>
      </c>
      <c r="B1329" t="s">
        <v>204</v>
      </c>
      <c r="C1329" s="8">
        <v>46098</v>
      </c>
      <c r="D1329" t="s">
        <v>2062</v>
      </c>
      <c r="E1329" t="s">
        <v>2073</v>
      </c>
      <c r="F1329" t="s">
        <v>29</v>
      </c>
      <c r="G1329">
        <v>2389.48</v>
      </c>
      <c r="H1329" t="s">
        <v>2060</v>
      </c>
      <c r="I1329" t="str">
        <f>VLOOKUP(B1329,Customers!A:G,7,FALSE)</f>
        <v>Individual</v>
      </c>
      <c r="Q1329" t="str">
        <f>IF(COUNTIF(Customers!$A$2:$A$1001,B1329)&gt;0,"Valid","Invalid")</f>
        <v>Valid</v>
      </c>
      <c r="R1329" t="str">
        <f>IF(COUNTIF(Branches!$A$2:$A$11,F1329)&gt;0,"Valid","Invalid")</f>
        <v>Valid</v>
      </c>
    </row>
    <row r="1330" spans="1:18" x14ac:dyDescent="0.25">
      <c r="A1330" t="s">
        <v>3401</v>
      </c>
      <c r="B1330" t="s">
        <v>988</v>
      </c>
      <c r="C1330" s="8">
        <v>46110</v>
      </c>
      <c r="D1330" t="s">
        <v>2058</v>
      </c>
      <c r="E1330" t="s">
        <v>2059</v>
      </c>
      <c r="F1330" t="s">
        <v>47</v>
      </c>
      <c r="G1330">
        <v>1240.28</v>
      </c>
      <c r="H1330" t="s">
        <v>2060</v>
      </c>
      <c r="I1330" t="str">
        <f>VLOOKUP(B1330,Customers!A:G,7,FALSE)</f>
        <v>Individual</v>
      </c>
      <c r="Q1330" t="str">
        <f>IF(COUNTIF(Customers!$A$2:$A$1001,B1330)&gt;0,"Valid","Invalid")</f>
        <v>Valid</v>
      </c>
      <c r="R1330" t="str">
        <f>IF(COUNTIF(Branches!$A$2:$A$11,F1330)&gt;0,"Valid","Invalid")</f>
        <v>Valid</v>
      </c>
    </row>
    <row r="1331" spans="1:18" x14ac:dyDescent="0.25">
      <c r="A1331" t="s">
        <v>3402</v>
      </c>
      <c r="B1331" t="s">
        <v>659</v>
      </c>
      <c r="C1331" s="8">
        <v>46219</v>
      </c>
      <c r="D1331" t="s">
        <v>2070</v>
      </c>
      <c r="E1331" t="s">
        <v>2059</v>
      </c>
      <c r="F1331" t="s">
        <v>11</v>
      </c>
      <c r="G1331">
        <v>631.66999999999996</v>
      </c>
      <c r="H1331" t="s">
        <v>2060</v>
      </c>
      <c r="I1331" t="str">
        <f>VLOOKUP(B1331,Customers!A:G,7,FALSE)</f>
        <v>SME</v>
      </c>
      <c r="Q1331" t="str">
        <f>IF(COUNTIF(Customers!$A$2:$A$1001,B1331)&gt;0,"Valid","Invalid")</f>
        <v>Valid</v>
      </c>
      <c r="R1331" t="str">
        <f>IF(COUNTIF(Branches!$A$2:$A$11,F1331)&gt;0,"Valid","Invalid")</f>
        <v>Valid</v>
      </c>
    </row>
    <row r="1332" spans="1:18" x14ac:dyDescent="0.25">
      <c r="A1332" t="s">
        <v>3403</v>
      </c>
      <c r="B1332" t="s">
        <v>466</v>
      </c>
      <c r="C1332" s="8">
        <v>46174</v>
      </c>
      <c r="D1332" t="s">
        <v>2067</v>
      </c>
      <c r="E1332" t="s">
        <v>2059</v>
      </c>
      <c r="F1332" t="s">
        <v>16</v>
      </c>
      <c r="G1332">
        <v>2463.61</v>
      </c>
      <c r="H1332" t="s">
        <v>2060</v>
      </c>
      <c r="I1332" t="str">
        <f>VLOOKUP(B1332,Customers!A:G,7,FALSE)</f>
        <v>Corporate</v>
      </c>
      <c r="Q1332" t="str">
        <f>IF(COUNTIF(Customers!$A$2:$A$1001,B1332)&gt;0,"Valid","Invalid")</f>
        <v>Valid</v>
      </c>
      <c r="R1332" t="str">
        <f>IF(COUNTIF(Branches!$A$2:$A$11,F1332)&gt;0,"Valid","Invalid")</f>
        <v>Valid</v>
      </c>
    </row>
    <row r="1333" spans="1:18" x14ac:dyDescent="0.25">
      <c r="A1333" t="s">
        <v>3404</v>
      </c>
      <c r="B1333" t="s">
        <v>740</v>
      </c>
      <c r="C1333" s="8">
        <v>46113</v>
      </c>
      <c r="D1333" t="s">
        <v>2058</v>
      </c>
      <c r="E1333" t="s">
        <v>2068</v>
      </c>
      <c r="F1333" t="s">
        <v>27</v>
      </c>
      <c r="G1333">
        <v>278.33999999999997</v>
      </c>
      <c r="H1333" t="s">
        <v>2060</v>
      </c>
      <c r="I1333" t="str">
        <f>VLOOKUP(B1333,Customers!A:G,7,FALSE)</f>
        <v>Individual</v>
      </c>
      <c r="Q1333" t="str">
        <f>IF(COUNTIF(Customers!$A$2:$A$1001,B1333)&gt;0,"Valid","Invalid")</f>
        <v>Valid</v>
      </c>
      <c r="R1333" t="str">
        <f>IF(COUNTIF(Branches!$A$2:$A$11,F1333)&gt;0,"Valid","Invalid")</f>
        <v>Valid</v>
      </c>
    </row>
    <row r="1334" spans="1:18" x14ac:dyDescent="0.25">
      <c r="A1334" t="s">
        <v>3405</v>
      </c>
      <c r="B1334" t="s">
        <v>528</v>
      </c>
      <c r="C1334" s="8">
        <v>46070</v>
      </c>
      <c r="D1334" t="s">
        <v>2058</v>
      </c>
      <c r="E1334" t="s">
        <v>2059</v>
      </c>
      <c r="F1334" t="s">
        <v>29</v>
      </c>
      <c r="G1334">
        <v>357.82</v>
      </c>
      <c r="H1334" t="s">
        <v>2060</v>
      </c>
      <c r="I1334" t="str">
        <f>VLOOKUP(B1334,Customers!A:G,7,FALSE)</f>
        <v>SME</v>
      </c>
      <c r="Q1334" t="str">
        <f>IF(COUNTIF(Customers!$A$2:$A$1001,B1334)&gt;0,"Valid","Invalid")</f>
        <v>Valid</v>
      </c>
      <c r="R1334" t="str">
        <f>IF(COUNTIF(Branches!$A$2:$A$11,F1334)&gt;0,"Valid","Invalid")</f>
        <v>Valid</v>
      </c>
    </row>
    <row r="1335" spans="1:18" x14ac:dyDescent="0.25">
      <c r="A1335" t="s">
        <v>3406</v>
      </c>
      <c r="B1335" t="s">
        <v>393</v>
      </c>
      <c r="C1335" s="8">
        <v>46180</v>
      </c>
      <c r="D1335" t="s">
        <v>2067</v>
      </c>
      <c r="E1335" t="s">
        <v>2063</v>
      </c>
      <c r="F1335" t="s">
        <v>11</v>
      </c>
      <c r="G1335">
        <v>117.47</v>
      </c>
      <c r="H1335" t="s">
        <v>2060</v>
      </c>
      <c r="I1335" t="str">
        <f>VLOOKUP(B1335,Customers!A:G,7,FALSE)</f>
        <v>SME</v>
      </c>
      <c r="Q1335" t="str">
        <f>IF(COUNTIF(Customers!$A$2:$A$1001,B1335)&gt;0,"Valid","Invalid")</f>
        <v>Valid</v>
      </c>
      <c r="R1335" t="str">
        <f>IF(COUNTIF(Branches!$A$2:$A$11,F1335)&gt;0,"Valid","Invalid")</f>
        <v>Valid</v>
      </c>
    </row>
    <row r="1336" spans="1:18" x14ac:dyDescent="0.25">
      <c r="A1336" t="s">
        <v>3407</v>
      </c>
      <c r="B1336" t="s">
        <v>233</v>
      </c>
      <c r="C1336" s="8">
        <v>46037</v>
      </c>
      <c r="D1336" t="s">
        <v>2062</v>
      </c>
      <c r="E1336" t="s">
        <v>2068</v>
      </c>
      <c r="F1336" t="s">
        <v>29</v>
      </c>
      <c r="G1336">
        <v>1762.26</v>
      </c>
      <c r="H1336" t="s">
        <v>2060</v>
      </c>
      <c r="I1336" t="str">
        <f>VLOOKUP(B1336,Customers!A:G,7,FALSE)</f>
        <v>Individual</v>
      </c>
      <c r="Q1336" t="str">
        <f>IF(COUNTIF(Customers!$A$2:$A$1001,B1336)&gt;0,"Valid","Invalid")</f>
        <v>Valid</v>
      </c>
      <c r="R1336" t="str">
        <f>IF(COUNTIF(Branches!$A$2:$A$11,F1336)&gt;0,"Valid","Invalid")</f>
        <v>Valid</v>
      </c>
    </row>
    <row r="1337" spans="1:18" x14ac:dyDescent="0.25">
      <c r="A1337" t="s">
        <v>3408</v>
      </c>
      <c r="B1337" t="s">
        <v>583</v>
      </c>
      <c r="C1337" s="8">
        <v>46197</v>
      </c>
      <c r="D1337" t="s">
        <v>2070</v>
      </c>
      <c r="E1337" t="s">
        <v>2076</v>
      </c>
      <c r="F1337" t="s">
        <v>47</v>
      </c>
      <c r="G1337">
        <v>361.28</v>
      </c>
      <c r="H1337" t="s">
        <v>2060</v>
      </c>
      <c r="I1337" t="str">
        <f>VLOOKUP(B1337,Customers!A:G,7,FALSE)</f>
        <v>Corporate</v>
      </c>
      <c r="Q1337" t="str">
        <f>IF(COUNTIF(Customers!$A$2:$A$1001,B1337)&gt;0,"Valid","Invalid")</f>
        <v>Valid</v>
      </c>
      <c r="R1337" t="str">
        <f>IF(COUNTIF(Branches!$A$2:$A$11,F1337)&gt;0,"Valid","Invalid")</f>
        <v>Valid</v>
      </c>
    </row>
    <row r="1338" spans="1:18" x14ac:dyDescent="0.25">
      <c r="A1338" t="s">
        <v>3409</v>
      </c>
      <c r="B1338" t="s">
        <v>755</v>
      </c>
      <c r="C1338" s="8">
        <v>46145</v>
      </c>
      <c r="D1338" t="s">
        <v>2058</v>
      </c>
      <c r="E1338" t="s">
        <v>2076</v>
      </c>
      <c r="F1338" t="s">
        <v>53</v>
      </c>
      <c r="G1338">
        <v>825.26</v>
      </c>
      <c r="H1338" t="s">
        <v>2060</v>
      </c>
      <c r="I1338" t="str">
        <f>VLOOKUP(B1338,Customers!A:G,7,FALSE)</f>
        <v>Individual</v>
      </c>
      <c r="Q1338" t="str">
        <f>IF(COUNTIF(Customers!$A$2:$A$1001,B1338)&gt;0,"Valid","Invalid")</f>
        <v>Valid</v>
      </c>
      <c r="R1338" t="str">
        <f>IF(COUNTIF(Branches!$A$2:$A$11,F1338)&gt;0,"Valid","Invalid")</f>
        <v>Valid</v>
      </c>
    </row>
    <row r="1339" spans="1:18" x14ac:dyDescent="0.25">
      <c r="A1339" t="s">
        <v>3410</v>
      </c>
      <c r="B1339" t="s">
        <v>862</v>
      </c>
      <c r="C1339" s="8">
        <v>46252</v>
      </c>
      <c r="D1339" t="s">
        <v>2067</v>
      </c>
      <c r="E1339" t="s">
        <v>2076</v>
      </c>
      <c r="F1339" t="s">
        <v>11</v>
      </c>
      <c r="G1339">
        <v>2214.04</v>
      </c>
      <c r="H1339" t="s">
        <v>2060</v>
      </c>
      <c r="I1339" t="str">
        <f>VLOOKUP(B1339,Customers!A:G,7,FALSE)</f>
        <v>SME</v>
      </c>
      <c r="Q1339" t="str">
        <f>IF(COUNTIF(Customers!$A$2:$A$1001,B1339)&gt;0,"Valid","Invalid")</f>
        <v>Valid</v>
      </c>
      <c r="R1339" t="str">
        <f>IF(COUNTIF(Branches!$A$2:$A$11,F1339)&gt;0,"Valid","Invalid")</f>
        <v>Valid</v>
      </c>
    </row>
    <row r="1340" spans="1:18" x14ac:dyDescent="0.25">
      <c r="A1340" t="s">
        <v>3411</v>
      </c>
      <c r="B1340" t="s">
        <v>970</v>
      </c>
      <c r="C1340" s="8">
        <v>46149</v>
      </c>
      <c r="D1340" t="s">
        <v>2067</v>
      </c>
      <c r="E1340" t="s">
        <v>2076</v>
      </c>
      <c r="F1340" t="s">
        <v>29</v>
      </c>
      <c r="G1340">
        <v>3199.82</v>
      </c>
      <c r="H1340" t="s">
        <v>2060</v>
      </c>
      <c r="I1340" t="str">
        <f>VLOOKUP(B1340,Customers!A:G,7,FALSE)</f>
        <v>SME</v>
      </c>
      <c r="Q1340" t="str">
        <f>IF(COUNTIF(Customers!$A$2:$A$1001,B1340)&gt;0,"Valid","Invalid")</f>
        <v>Valid</v>
      </c>
      <c r="R1340" t="str">
        <f>IF(COUNTIF(Branches!$A$2:$A$11,F1340)&gt;0,"Valid","Invalid")</f>
        <v>Valid</v>
      </c>
    </row>
    <row r="1341" spans="1:18" x14ac:dyDescent="0.25">
      <c r="A1341" t="s">
        <v>3412</v>
      </c>
      <c r="B1341" t="s">
        <v>732</v>
      </c>
      <c r="C1341" s="8">
        <v>46194</v>
      </c>
      <c r="D1341" t="s">
        <v>2062</v>
      </c>
      <c r="E1341" t="s">
        <v>2063</v>
      </c>
      <c r="F1341" t="s">
        <v>29</v>
      </c>
      <c r="G1341">
        <v>789.07</v>
      </c>
      <c r="H1341" t="s">
        <v>2060</v>
      </c>
      <c r="I1341" t="str">
        <f>VLOOKUP(B1341,Customers!A:G,7,FALSE)</f>
        <v>SME</v>
      </c>
      <c r="Q1341" t="str">
        <f>IF(COUNTIF(Customers!$A$2:$A$1001,B1341)&gt;0,"Valid","Invalid")</f>
        <v>Valid</v>
      </c>
      <c r="R1341" t="str">
        <f>IF(COUNTIF(Branches!$A$2:$A$11,F1341)&gt;0,"Valid","Invalid")</f>
        <v>Valid</v>
      </c>
    </row>
    <row r="1342" spans="1:18" x14ac:dyDescent="0.25">
      <c r="A1342" t="s">
        <v>3413</v>
      </c>
      <c r="B1342" t="s">
        <v>697</v>
      </c>
      <c r="C1342" s="8">
        <v>46120</v>
      </c>
      <c r="D1342" t="s">
        <v>2058</v>
      </c>
      <c r="E1342" t="s">
        <v>2063</v>
      </c>
      <c r="F1342" t="s">
        <v>27</v>
      </c>
      <c r="G1342">
        <v>1193.01</v>
      </c>
      <c r="H1342" t="s">
        <v>2060</v>
      </c>
      <c r="I1342" t="str">
        <f>VLOOKUP(B1342,Customers!A:G,7,FALSE)</f>
        <v>SME</v>
      </c>
      <c r="Q1342" t="str">
        <f>IF(COUNTIF(Customers!$A$2:$A$1001,B1342)&gt;0,"Valid","Invalid")</f>
        <v>Valid</v>
      </c>
      <c r="R1342" t="str">
        <f>IF(COUNTIF(Branches!$A$2:$A$11,F1342)&gt;0,"Valid","Invalid")</f>
        <v>Valid</v>
      </c>
    </row>
    <row r="1343" spans="1:18" x14ac:dyDescent="0.25">
      <c r="A1343" t="s">
        <v>3414</v>
      </c>
      <c r="B1343" t="s">
        <v>977</v>
      </c>
      <c r="C1343" s="8">
        <v>46177</v>
      </c>
      <c r="D1343" t="s">
        <v>2065</v>
      </c>
      <c r="E1343" t="s">
        <v>2068</v>
      </c>
      <c r="F1343" t="s">
        <v>39</v>
      </c>
      <c r="G1343">
        <v>329.03</v>
      </c>
      <c r="H1343" t="s">
        <v>2060</v>
      </c>
      <c r="I1343" t="str">
        <f>VLOOKUP(B1343,Customers!A:G,7,FALSE)</f>
        <v>Corporate</v>
      </c>
      <c r="Q1343" t="str">
        <f>IF(COUNTIF(Customers!$A$2:$A$1001,B1343)&gt;0,"Valid","Invalid")</f>
        <v>Valid</v>
      </c>
      <c r="R1343" t="str">
        <f>IF(COUNTIF(Branches!$A$2:$A$11,F1343)&gt;0,"Valid","Invalid")</f>
        <v>Valid</v>
      </c>
    </row>
    <row r="1344" spans="1:18" x14ac:dyDescent="0.25">
      <c r="A1344" t="s">
        <v>3415</v>
      </c>
      <c r="B1344" t="s">
        <v>818</v>
      </c>
      <c r="C1344" s="8">
        <v>46106</v>
      </c>
      <c r="D1344" t="s">
        <v>2058</v>
      </c>
      <c r="E1344" t="s">
        <v>2063</v>
      </c>
      <c r="F1344" t="s">
        <v>11</v>
      </c>
      <c r="G1344">
        <v>4373.74</v>
      </c>
      <c r="H1344" t="s">
        <v>2060</v>
      </c>
      <c r="I1344" t="str">
        <f>VLOOKUP(B1344,Customers!A:G,7,FALSE)</f>
        <v>Corporate</v>
      </c>
      <c r="Q1344" t="str">
        <f>IF(COUNTIF(Customers!$A$2:$A$1001,B1344)&gt;0,"Valid","Invalid")</f>
        <v>Valid</v>
      </c>
      <c r="R1344" t="str">
        <f>IF(COUNTIF(Branches!$A$2:$A$11,F1344)&gt;0,"Valid","Invalid")</f>
        <v>Valid</v>
      </c>
    </row>
    <row r="1345" spans="1:18" x14ac:dyDescent="0.25">
      <c r="A1345" t="s">
        <v>3416</v>
      </c>
      <c r="B1345" t="s">
        <v>40</v>
      </c>
      <c r="C1345" s="8">
        <v>46214</v>
      </c>
      <c r="D1345" t="s">
        <v>2065</v>
      </c>
      <c r="E1345" t="s">
        <v>2076</v>
      </c>
      <c r="F1345" t="s">
        <v>21</v>
      </c>
      <c r="G1345">
        <v>688.04</v>
      </c>
      <c r="H1345" t="s">
        <v>2060</v>
      </c>
      <c r="I1345" t="str">
        <f>VLOOKUP(B1345,Customers!A:G,7,FALSE)</f>
        <v>Individual</v>
      </c>
      <c r="Q1345" t="str">
        <f>IF(COUNTIF(Customers!$A$2:$A$1001,B1345)&gt;0,"Valid","Invalid")</f>
        <v>Valid</v>
      </c>
      <c r="R1345" t="str">
        <f>IF(COUNTIF(Branches!$A$2:$A$11,F1345)&gt;0,"Valid","Invalid")</f>
        <v>Valid</v>
      </c>
    </row>
    <row r="1346" spans="1:18" x14ac:dyDescent="0.25">
      <c r="A1346" t="s">
        <v>3417</v>
      </c>
      <c r="B1346" t="s">
        <v>620</v>
      </c>
      <c r="C1346" s="8">
        <v>46063</v>
      </c>
      <c r="D1346" t="s">
        <v>2062</v>
      </c>
      <c r="E1346" t="s">
        <v>2063</v>
      </c>
      <c r="F1346" t="s">
        <v>47</v>
      </c>
      <c r="G1346">
        <v>880.32</v>
      </c>
      <c r="H1346" t="s">
        <v>2060</v>
      </c>
      <c r="I1346" t="str">
        <f>VLOOKUP(B1346,Customers!A:G,7,FALSE)</f>
        <v>Student</v>
      </c>
      <c r="Q1346" t="str">
        <f>IF(COUNTIF(Customers!$A$2:$A$1001,B1346)&gt;0,"Valid","Invalid")</f>
        <v>Valid</v>
      </c>
      <c r="R1346" t="str">
        <f>IF(COUNTIF(Branches!$A$2:$A$11,F1346)&gt;0,"Valid","Invalid")</f>
        <v>Valid</v>
      </c>
    </row>
    <row r="1347" spans="1:18" x14ac:dyDescent="0.25">
      <c r="A1347" t="s">
        <v>3418</v>
      </c>
      <c r="B1347" t="s">
        <v>294</v>
      </c>
      <c r="C1347" s="8">
        <v>46118</v>
      </c>
      <c r="D1347" t="s">
        <v>2067</v>
      </c>
      <c r="E1347" t="s">
        <v>2059</v>
      </c>
      <c r="F1347" t="s">
        <v>29</v>
      </c>
      <c r="G1347">
        <v>540.85</v>
      </c>
      <c r="H1347" t="s">
        <v>2060</v>
      </c>
      <c r="I1347" t="str">
        <f>VLOOKUP(B1347,Customers!A:G,7,FALSE)</f>
        <v>Individual</v>
      </c>
      <c r="Q1347" t="str">
        <f>IF(COUNTIF(Customers!$A$2:$A$1001,B1347)&gt;0,"Valid","Invalid")</f>
        <v>Valid</v>
      </c>
      <c r="R1347" t="str">
        <f>IF(COUNTIF(Branches!$A$2:$A$11,F1347)&gt;0,"Valid","Invalid")</f>
        <v>Valid</v>
      </c>
    </row>
    <row r="1348" spans="1:18" x14ac:dyDescent="0.25">
      <c r="A1348" t="s">
        <v>3419</v>
      </c>
      <c r="B1348" t="s">
        <v>434</v>
      </c>
      <c r="C1348" s="8">
        <v>46090</v>
      </c>
      <c r="D1348" t="s">
        <v>2067</v>
      </c>
      <c r="E1348" t="s">
        <v>2063</v>
      </c>
      <c r="F1348" t="s">
        <v>45</v>
      </c>
      <c r="G1348">
        <v>2695.26</v>
      </c>
      <c r="H1348" t="s">
        <v>2060</v>
      </c>
      <c r="I1348" t="str">
        <f>VLOOKUP(B1348,Customers!A:G,7,FALSE)</f>
        <v>Individual</v>
      </c>
      <c r="Q1348" t="str">
        <f>IF(COUNTIF(Customers!$A$2:$A$1001,B1348)&gt;0,"Valid","Invalid")</f>
        <v>Valid</v>
      </c>
      <c r="R1348" t="str">
        <f>IF(COUNTIF(Branches!$A$2:$A$11,F1348)&gt;0,"Valid","Invalid")</f>
        <v>Valid</v>
      </c>
    </row>
    <row r="1349" spans="1:18" x14ac:dyDescent="0.25">
      <c r="A1349" t="s">
        <v>3420</v>
      </c>
      <c r="B1349" t="s">
        <v>769</v>
      </c>
      <c r="C1349" s="8">
        <v>46027</v>
      </c>
      <c r="D1349" t="s">
        <v>2062</v>
      </c>
      <c r="E1349" t="s">
        <v>2059</v>
      </c>
      <c r="F1349" t="s">
        <v>11</v>
      </c>
      <c r="G1349">
        <v>991.87</v>
      </c>
      <c r="H1349" t="s">
        <v>2060</v>
      </c>
      <c r="I1349" t="str">
        <f>VLOOKUP(B1349,Customers!A:G,7,FALSE)</f>
        <v>Student</v>
      </c>
      <c r="Q1349" t="str">
        <f>IF(COUNTIF(Customers!$A$2:$A$1001,B1349)&gt;0,"Valid","Invalid")</f>
        <v>Valid</v>
      </c>
      <c r="R1349" t="str">
        <f>IF(COUNTIF(Branches!$A$2:$A$11,F1349)&gt;0,"Valid","Invalid")</f>
        <v>Valid</v>
      </c>
    </row>
    <row r="1350" spans="1:18" x14ac:dyDescent="0.25">
      <c r="A1350" t="s">
        <v>3421</v>
      </c>
      <c r="B1350" t="s">
        <v>847</v>
      </c>
      <c r="C1350" s="8">
        <v>46075</v>
      </c>
      <c r="D1350" t="s">
        <v>2065</v>
      </c>
      <c r="E1350" t="s">
        <v>2076</v>
      </c>
      <c r="F1350" t="s">
        <v>53</v>
      </c>
      <c r="G1350">
        <v>1738.77</v>
      </c>
      <c r="H1350" t="s">
        <v>2060</v>
      </c>
      <c r="I1350" t="str">
        <f>VLOOKUP(B1350,Customers!A:G,7,FALSE)</f>
        <v>Individual</v>
      </c>
      <c r="Q1350" t="str">
        <f>IF(COUNTIF(Customers!$A$2:$A$1001,B1350)&gt;0,"Valid","Invalid")</f>
        <v>Valid</v>
      </c>
      <c r="R1350" t="str">
        <f>IF(COUNTIF(Branches!$A$2:$A$11,F1350)&gt;0,"Valid","Invalid")</f>
        <v>Valid</v>
      </c>
    </row>
    <row r="1351" spans="1:18" x14ac:dyDescent="0.25">
      <c r="A1351" t="s">
        <v>3422</v>
      </c>
      <c r="B1351" t="s">
        <v>447</v>
      </c>
      <c r="C1351" s="8">
        <v>46144</v>
      </c>
      <c r="D1351" t="s">
        <v>2065</v>
      </c>
      <c r="E1351" t="s">
        <v>2063</v>
      </c>
      <c r="F1351" t="s">
        <v>16</v>
      </c>
      <c r="G1351">
        <v>1157.43</v>
      </c>
      <c r="H1351" t="s">
        <v>2060</v>
      </c>
      <c r="I1351" t="str">
        <f>VLOOKUP(B1351,Customers!A:G,7,FALSE)</f>
        <v>Individual</v>
      </c>
      <c r="Q1351" t="str">
        <f>IF(COUNTIF(Customers!$A$2:$A$1001,B1351)&gt;0,"Valid","Invalid")</f>
        <v>Valid</v>
      </c>
      <c r="R1351" t="str">
        <f>IF(COUNTIF(Branches!$A$2:$A$11,F1351)&gt;0,"Valid","Invalid")</f>
        <v>Valid</v>
      </c>
    </row>
    <row r="1352" spans="1:18" x14ac:dyDescent="0.25">
      <c r="A1352" t="s">
        <v>3423</v>
      </c>
      <c r="B1352" t="s">
        <v>400</v>
      </c>
      <c r="C1352" s="8">
        <v>46158</v>
      </c>
      <c r="D1352" t="s">
        <v>2067</v>
      </c>
      <c r="E1352" t="s">
        <v>2059</v>
      </c>
      <c r="F1352" t="s">
        <v>53</v>
      </c>
      <c r="G1352">
        <v>651.70000000000005</v>
      </c>
      <c r="H1352" t="s">
        <v>2060</v>
      </c>
      <c r="I1352" t="str">
        <f>VLOOKUP(B1352,Customers!A:G,7,FALSE)</f>
        <v>Individual</v>
      </c>
      <c r="Q1352" t="str">
        <f>IF(COUNTIF(Customers!$A$2:$A$1001,B1352)&gt;0,"Valid","Invalid")</f>
        <v>Valid</v>
      </c>
      <c r="R1352" t="str">
        <f>IF(COUNTIF(Branches!$A$2:$A$11,F1352)&gt;0,"Valid","Invalid")</f>
        <v>Valid</v>
      </c>
    </row>
    <row r="1353" spans="1:18" x14ac:dyDescent="0.25">
      <c r="A1353" t="s">
        <v>3424</v>
      </c>
      <c r="B1353" t="s">
        <v>297</v>
      </c>
      <c r="C1353" s="8">
        <v>46044</v>
      </c>
      <c r="D1353" t="s">
        <v>2065</v>
      </c>
      <c r="E1353" t="s">
        <v>2073</v>
      </c>
      <c r="F1353" t="s">
        <v>29</v>
      </c>
      <c r="G1353">
        <v>2057.96</v>
      </c>
      <c r="H1353" t="s">
        <v>2060</v>
      </c>
      <c r="I1353" t="str">
        <f>VLOOKUP(B1353,Customers!A:G,7,FALSE)</f>
        <v>Individual</v>
      </c>
      <c r="Q1353" t="str">
        <f>IF(COUNTIF(Customers!$A$2:$A$1001,B1353)&gt;0,"Valid","Invalid")</f>
        <v>Valid</v>
      </c>
      <c r="R1353" t="str">
        <f>IF(COUNTIF(Branches!$A$2:$A$11,F1353)&gt;0,"Valid","Invalid")</f>
        <v>Valid</v>
      </c>
    </row>
    <row r="1354" spans="1:18" x14ac:dyDescent="0.25">
      <c r="A1354" t="s">
        <v>3425</v>
      </c>
      <c r="B1354" t="s">
        <v>18</v>
      </c>
      <c r="C1354" s="8">
        <v>46128</v>
      </c>
      <c r="D1354" t="s">
        <v>2067</v>
      </c>
      <c r="E1354" t="s">
        <v>2059</v>
      </c>
      <c r="F1354" t="s">
        <v>16</v>
      </c>
      <c r="G1354">
        <v>1147.47</v>
      </c>
      <c r="H1354" t="s">
        <v>2060</v>
      </c>
      <c r="I1354" t="str">
        <f>VLOOKUP(B1354,Customers!A:G,7,FALSE)</f>
        <v>SME</v>
      </c>
      <c r="Q1354" t="str">
        <f>IF(COUNTIF(Customers!$A$2:$A$1001,B1354)&gt;0,"Valid","Invalid")</f>
        <v>Valid</v>
      </c>
      <c r="R1354" t="str">
        <f>IF(COUNTIF(Branches!$A$2:$A$11,F1354)&gt;0,"Valid","Invalid")</f>
        <v>Valid</v>
      </c>
    </row>
    <row r="1355" spans="1:18" x14ac:dyDescent="0.25">
      <c r="A1355" t="s">
        <v>3426</v>
      </c>
      <c r="B1355" t="s">
        <v>120</v>
      </c>
      <c r="C1355" s="8">
        <v>46029</v>
      </c>
      <c r="D1355" t="s">
        <v>2070</v>
      </c>
      <c r="E1355" t="s">
        <v>2068</v>
      </c>
      <c r="F1355" t="s">
        <v>29</v>
      </c>
      <c r="G1355">
        <v>310.76</v>
      </c>
      <c r="H1355" t="s">
        <v>2115</v>
      </c>
      <c r="I1355" t="str">
        <f>VLOOKUP(B1355,Customers!A:G,7,FALSE)</f>
        <v>SME</v>
      </c>
      <c r="Q1355" t="str">
        <f>IF(COUNTIF(Customers!$A$2:$A$1001,B1355)&gt;0,"Valid","Invalid")</f>
        <v>Valid</v>
      </c>
      <c r="R1355" t="str">
        <f>IF(COUNTIF(Branches!$A$2:$A$11,F1355)&gt;0,"Valid","Invalid")</f>
        <v>Valid</v>
      </c>
    </row>
    <row r="1356" spans="1:18" x14ac:dyDescent="0.25">
      <c r="A1356" t="s">
        <v>3427</v>
      </c>
      <c r="B1356" t="s">
        <v>192</v>
      </c>
      <c r="C1356" s="8">
        <v>46172</v>
      </c>
      <c r="D1356" t="s">
        <v>2062</v>
      </c>
      <c r="E1356" t="s">
        <v>2073</v>
      </c>
      <c r="F1356" t="s">
        <v>39</v>
      </c>
      <c r="G1356">
        <v>302.11</v>
      </c>
      <c r="H1356" t="s">
        <v>2060</v>
      </c>
      <c r="I1356" t="str">
        <f>VLOOKUP(B1356,Customers!A:G,7,FALSE)</f>
        <v>Individual</v>
      </c>
      <c r="Q1356" t="str">
        <f>IF(COUNTIF(Customers!$A$2:$A$1001,B1356)&gt;0,"Valid","Invalid")</f>
        <v>Valid</v>
      </c>
      <c r="R1356" t="str">
        <f>IF(COUNTIF(Branches!$A$2:$A$11,F1356)&gt;0,"Valid","Invalid")</f>
        <v>Valid</v>
      </c>
    </row>
    <row r="1357" spans="1:18" x14ac:dyDescent="0.25">
      <c r="A1357" t="s">
        <v>3428</v>
      </c>
      <c r="B1357" t="s">
        <v>701</v>
      </c>
      <c r="C1357" s="8">
        <v>46068</v>
      </c>
      <c r="D1357" t="s">
        <v>2062</v>
      </c>
      <c r="E1357" t="s">
        <v>2073</v>
      </c>
      <c r="F1357" t="s">
        <v>11</v>
      </c>
      <c r="G1357">
        <v>942.77</v>
      </c>
      <c r="H1357" t="s">
        <v>2060</v>
      </c>
      <c r="I1357" t="str">
        <f>VLOOKUP(B1357,Customers!A:G,7,FALSE)</f>
        <v>Individual</v>
      </c>
      <c r="Q1357" t="str">
        <f>IF(COUNTIF(Customers!$A$2:$A$1001,B1357)&gt;0,"Valid","Invalid")</f>
        <v>Valid</v>
      </c>
      <c r="R1357" t="str">
        <f>IF(COUNTIF(Branches!$A$2:$A$11,F1357)&gt;0,"Valid","Invalid")</f>
        <v>Valid</v>
      </c>
    </row>
    <row r="1358" spans="1:18" x14ac:dyDescent="0.25">
      <c r="A1358" t="s">
        <v>3429</v>
      </c>
      <c r="B1358" t="s">
        <v>212</v>
      </c>
      <c r="C1358" s="8">
        <v>46052</v>
      </c>
      <c r="D1358" t="s">
        <v>2070</v>
      </c>
      <c r="E1358" t="s">
        <v>2068</v>
      </c>
      <c r="F1358" t="s">
        <v>53</v>
      </c>
      <c r="G1358">
        <v>2013.15</v>
      </c>
      <c r="H1358" t="s">
        <v>2060</v>
      </c>
      <c r="I1358" t="str">
        <f>VLOOKUP(B1358,Customers!A:G,7,FALSE)</f>
        <v>Student</v>
      </c>
      <c r="Q1358" t="str">
        <f>IF(COUNTIF(Customers!$A$2:$A$1001,B1358)&gt;0,"Valid","Invalid")</f>
        <v>Valid</v>
      </c>
      <c r="R1358" t="str">
        <f>IF(COUNTIF(Branches!$A$2:$A$11,F1358)&gt;0,"Valid","Invalid")</f>
        <v>Valid</v>
      </c>
    </row>
    <row r="1359" spans="1:18" x14ac:dyDescent="0.25">
      <c r="A1359" t="s">
        <v>3430</v>
      </c>
      <c r="B1359" t="s">
        <v>745</v>
      </c>
      <c r="C1359" s="8">
        <v>46148</v>
      </c>
      <c r="D1359" t="s">
        <v>2067</v>
      </c>
      <c r="E1359" t="s">
        <v>2063</v>
      </c>
      <c r="F1359" t="s">
        <v>27</v>
      </c>
      <c r="G1359">
        <v>4185.66</v>
      </c>
      <c r="H1359" t="s">
        <v>2060</v>
      </c>
      <c r="I1359" t="str">
        <f>VLOOKUP(B1359,Customers!A:G,7,FALSE)</f>
        <v>SME</v>
      </c>
      <c r="Q1359" t="str">
        <f>IF(COUNTIF(Customers!$A$2:$A$1001,B1359)&gt;0,"Valid","Invalid")</f>
        <v>Valid</v>
      </c>
      <c r="R1359" t="str">
        <f>IF(COUNTIF(Branches!$A$2:$A$11,F1359)&gt;0,"Valid","Invalid")</f>
        <v>Valid</v>
      </c>
    </row>
    <row r="1360" spans="1:18" x14ac:dyDescent="0.25">
      <c r="A1360" t="s">
        <v>3431</v>
      </c>
      <c r="B1360" t="s">
        <v>976</v>
      </c>
      <c r="C1360" s="8">
        <v>46123</v>
      </c>
      <c r="D1360" t="s">
        <v>2067</v>
      </c>
      <c r="E1360" t="s">
        <v>2073</v>
      </c>
      <c r="F1360" t="s">
        <v>11</v>
      </c>
      <c r="G1360">
        <v>137.38</v>
      </c>
      <c r="H1360" t="s">
        <v>2060</v>
      </c>
      <c r="I1360" t="str">
        <f>VLOOKUP(B1360,Customers!A:G,7,FALSE)</f>
        <v>Individual</v>
      </c>
      <c r="Q1360" t="str">
        <f>IF(COUNTIF(Customers!$A$2:$A$1001,B1360)&gt;0,"Valid","Invalid")</f>
        <v>Valid</v>
      </c>
      <c r="R1360" t="str">
        <f>IF(COUNTIF(Branches!$A$2:$A$11,F1360)&gt;0,"Valid","Invalid")</f>
        <v>Valid</v>
      </c>
    </row>
    <row r="1361" spans="1:18" x14ac:dyDescent="0.25">
      <c r="A1361" t="s">
        <v>3432</v>
      </c>
      <c r="B1361" t="s">
        <v>510</v>
      </c>
      <c r="C1361" s="8">
        <v>46166</v>
      </c>
      <c r="D1361" t="s">
        <v>2065</v>
      </c>
      <c r="E1361" t="s">
        <v>2068</v>
      </c>
      <c r="F1361" t="s">
        <v>21</v>
      </c>
      <c r="G1361">
        <v>833.52</v>
      </c>
      <c r="H1361" t="s">
        <v>2060</v>
      </c>
      <c r="I1361" t="str">
        <f>VLOOKUP(B1361,Customers!A:G,7,FALSE)</f>
        <v>Individual</v>
      </c>
      <c r="Q1361" t="str">
        <f>IF(COUNTIF(Customers!$A$2:$A$1001,B1361)&gt;0,"Valid","Invalid")</f>
        <v>Valid</v>
      </c>
      <c r="R1361" t="str">
        <f>IF(COUNTIF(Branches!$A$2:$A$11,F1361)&gt;0,"Valid","Invalid")</f>
        <v>Valid</v>
      </c>
    </row>
    <row r="1362" spans="1:18" x14ac:dyDescent="0.25">
      <c r="A1362" t="s">
        <v>3433</v>
      </c>
      <c r="B1362" t="s">
        <v>657</v>
      </c>
      <c r="C1362" s="8">
        <v>46101</v>
      </c>
      <c r="D1362" t="s">
        <v>2062</v>
      </c>
      <c r="E1362" t="s">
        <v>2068</v>
      </c>
      <c r="F1362" t="s">
        <v>16</v>
      </c>
      <c r="G1362">
        <v>1325.64</v>
      </c>
      <c r="H1362" t="s">
        <v>2060</v>
      </c>
      <c r="I1362" t="str">
        <f>VLOOKUP(B1362,Customers!A:G,7,FALSE)</f>
        <v>Individual</v>
      </c>
      <c r="Q1362" t="str">
        <f>IF(COUNTIF(Customers!$A$2:$A$1001,B1362)&gt;0,"Valid","Invalid")</f>
        <v>Valid</v>
      </c>
      <c r="R1362" t="str">
        <f>IF(COUNTIF(Branches!$A$2:$A$11,F1362)&gt;0,"Valid","Invalid")</f>
        <v>Valid</v>
      </c>
    </row>
    <row r="1363" spans="1:18" x14ac:dyDescent="0.25">
      <c r="A1363" t="s">
        <v>3434</v>
      </c>
      <c r="B1363" t="s">
        <v>462</v>
      </c>
      <c r="C1363" s="8">
        <v>46155</v>
      </c>
      <c r="D1363" t="s">
        <v>2058</v>
      </c>
      <c r="E1363" t="s">
        <v>2063</v>
      </c>
      <c r="F1363" t="s">
        <v>29</v>
      </c>
      <c r="G1363">
        <v>1091.8900000000001</v>
      </c>
      <c r="H1363" t="s">
        <v>2060</v>
      </c>
      <c r="I1363" t="str">
        <f>VLOOKUP(B1363,Customers!A:G,7,FALSE)</f>
        <v>SME</v>
      </c>
      <c r="Q1363" t="str">
        <f>IF(COUNTIF(Customers!$A$2:$A$1001,B1363)&gt;0,"Valid","Invalid")</f>
        <v>Valid</v>
      </c>
      <c r="R1363" t="str">
        <f>IF(COUNTIF(Branches!$A$2:$A$11,F1363)&gt;0,"Valid","Invalid")</f>
        <v>Valid</v>
      </c>
    </row>
    <row r="1364" spans="1:18" x14ac:dyDescent="0.25">
      <c r="A1364" t="s">
        <v>3435</v>
      </c>
      <c r="B1364" t="s">
        <v>170</v>
      </c>
      <c r="C1364" s="8">
        <v>46089</v>
      </c>
      <c r="D1364" t="s">
        <v>2065</v>
      </c>
      <c r="E1364" t="s">
        <v>2073</v>
      </c>
      <c r="F1364" t="s">
        <v>45</v>
      </c>
      <c r="G1364">
        <v>2229.04</v>
      </c>
      <c r="H1364" t="s">
        <v>2060</v>
      </c>
      <c r="I1364" t="str">
        <f>VLOOKUP(B1364,Customers!A:G,7,FALSE)</f>
        <v>Individual</v>
      </c>
      <c r="Q1364" t="str">
        <f>IF(COUNTIF(Customers!$A$2:$A$1001,B1364)&gt;0,"Valid","Invalid")</f>
        <v>Valid</v>
      </c>
      <c r="R1364" t="str">
        <f>IF(COUNTIF(Branches!$A$2:$A$11,F1364)&gt;0,"Valid","Invalid")</f>
        <v>Valid</v>
      </c>
    </row>
    <row r="1365" spans="1:18" x14ac:dyDescent="0.25">
      <c r="A1365" t="s">
        <v>3436</v>
      </c>
      <c r="B1365" t="s">
        <v>826</v>
      </c>
      <c r="C1365" s="8">
        <v>46045</v>
      </c>
      <c r="D1365" t="s">
        <v>2067</v>
      </c>
      <c r="E1365" t="s">
        <v>2068</v>
      </c>
      <c r="F1365" t="s">
        <v>29</v>
      </c>
      <c r="G1365">
        <v>1564.83</v>
      </c>
      <c r="H1365" t="s">
        <v>2060</v>
      </c>
      <c r="I1365" t="str">
        <f>VLOOKUP(B1365,Customers!A:G,7,FALSE)</f>
        <v>SME</v>
      </c>
      <c r="Q1365" t="str">
        <f>IF(COUNTIF(Customers!$A$2:$A$1001,B1365)&gt;0,"Valid","Invalid")</f>
        <v>Valid</v>
      </c>
      <c r="R1365" t="str">
        <f>IF(COUNTIF(Branches!$A$2:$A$11,F1365)&gt;0,"Valid","Invalid")</f>
        <v>Valid</v>
      </c>
    </row>
    <row r="1366" spans="1:18" x14ac:dyDescent="0.25">
      <c r="A1366" t="s">
        <v>3437</v>
      </c>
      <c r="B1366" t="s">
        <v>945</v>
      </c>
      <c r="C1366" s="8">
        <v>46211</v>
      </c>
      <c r="D1366" t="s">
        <v>2058</v>
      </c>
      <c r="E1366" t="s">
        <v>2068</v>
      </c>
      <c r="F1366" t="s">
        <v>29</v>
      </c>
      <c r="G1366">
        <v>303.23</v>
      </c>
      <c r="H1366" t="s">
        <v>2060</v>
      </c>
      <c r="I1366" t="str">
        <f>VLOOKUP(B1366,Customers!A:G,7,FALSE)</f>
        <v>Student</v>
      </c>
      <c r="Q1366" t="str">
        <f>IF(COUNTIF(Customers!$A$2:$A$1001,B1366)&gt;0,"Valid","Invalid")</f>
        <v>Valid</v>
      </c>
      <c r="R1366" t="str">
        <f>IF(COUNTIF(Branches!$A$2:$A$11,F1366)&gt;0,"Valid","Invalid")</f>
        <v>Valid</v>
      </c>
    </row>
    <row r="1367" spans="1:18" x14ac:dyDescent="0.25">
      <c r="A1367" t="s">
        <v>3438</v>
      </c>
      <c r="B1367" t="s">
        <v>902</v>
      </c>
      <c r="C1367" s="8">
        <v>46096</v>
      </c>
      <c r="D1367" t="s">
        <v>2058</v>
      </c>
      <c r="E1367" t="s">
        <v>2063</v>
      </c>
      <c r="F1367" t="s">
        <v>16</v>
      </c>
      <c r="G1367">
        <v>294.48</v>
      </c>
      <c r="H1367" t="s">
        <v>2060</v>
      </c>
      <c r="I1367" t="str">
        <f>VLOOKUP(B1367,Customers!A:G,7,FALSE)</f>
        <v>SME</v>
      </c>
      <c r="Q1367" t="str">
        <f>IF(COUNTIF(Customers!$A$2:$A$1001,B1367)&gt;0,"Valid","Invalid")</f>
        <v>Valid</v>
      </c>
      <c r="R1367" t="str">
        <f>IF(COUNTIF(Branches!$A$2:$A$11,F1367)&gt;0,"Valid","Invalid")</f>
        <v>Valid</v>
      </c>
    </row>
    <row r="1368" spans="1:18" x14ac:dyDescent="0.25">
      <c r="A1368" t="s">
        <v>3439</v>
      </c>
      <c r="B1368" t="s">
        <v>418</v>
      </c>
      <c r="C1368" s="8">
        <v>46027</v>
      </c>
      <c r="D1368" t="s">
        <v>2062</v>
      </c>
      <c r="E1368" t="s">
        <v>2063</v>
      </c>
      <c r="F1368" t="s">
        <v>53</v>
      </c>
      <c r="G1368">
        <v>1110.3800000000001</v>
      </c>
      <c r="H1368" t="s">
        <v>2060</v>
      </c>
      <c r="I1368" t="str">
        <f>VLOOKUP(B1368,Customers!A:G,7,FALSE)</f>
        <v>Individual</v>
      </c>
      <c r="Q1368" t="str">
        <f>IF(COUNTIF(Customers!$A$2:$A$1001,B1368)&gt;0,"Valid","Invalid")</f>
        <v>Valid</v>
      </c>
      <c r="R1368" t="str">
        <f>IF(COUNTIF(Branches!$A$2:$A$11,F1368)&gt;0,"Valid","Invalid")</f>
        <v>Valid</v>
      </c>
    </row>
    <row r="1369" spans="1:18" x14ac:dyDescent="0.25">
      <c r="A1369" t="s">
        <v>3440</v>
      </c>
      <c r="B1369" t="s">
        <v>705</v>
      </c>
      <c r="C1369" s="8">
        <v>46173</v>
      </c>
      <c r="D1369" t="s">
        <v>2067</v>
      </c>
      <c r="E1369" t="s">
        <v>2073</v>
      </c>
      <c r="F1369" t="s">
        <v>29</v>
      </c>
      <c r="G1369">
        <v>2187.48</v>
      </c>
      <c r="H1369" t="s">
        <v>2060</v>
      </c>
      <c r="I1369" t="str">
        <f>VLOOKUP(B1369,Customers!A:G,7,FALSE)</f>
        <v>SME</v>
      </c>
      <c r="Q1369" t="str">
        <f>IF(COUNTIF(Customers!$A$2:$A$1001,B1369)&gt;0,"Valid","Invalid")</f>
        <v>Valid</v>
      </c>
      <c r="R1369" t="str">
        <f>IF(COUNTIF(Branches!$A$2:$A$11,F1369)&gt;0,"Valid","Invalid")</f>
        <v>Valid</v>
      </c>
    </row>
    <row r="1370" spans="1:18" x14ac:dyDescent="0.25">
      <c r="A1370" t="s">
        <v>3441</v>
      </c>
      <c r="B1370" t="s">
        <v>315</v>
      </c>
      <c r="C1370" s="8">
        <v>46229</v>
      </c>
      <c r="D1370" t="s">
        <v>2062</v>
      </c>
      <c r="E1370" t="s">
        <v>2059</v>
      </c>
      <c r="F1370" t="s">
        <v>27</v>
      </c>
      <c r="G1370">
        <v>937.69</v>
      </c>
      <c r="H1370" t="s">
        <v>2060</v>
      </c>
      <c r="I1370" t="str">
        <f>VLOOKUP(B1370,Customers!A:G,7,FALSE)</f>
        <v>SME</v>
      </c>
      <c r="Q1370" t="str">
        <f>IF(COUNTIF(Customers!$A$2:$A$1001,B1370)&gt;0,"Valid","Invalid")</f>
        <v>Valid</v>
      </c>
      <c r="R1370" t="str">
        <f>IF(COUNTIF(Branches!$A$2:$A$11,F1370)&gt;0,"Valid","Invalid")</f>
        <v>Valid</v>
      </c>
    </row>
    <row r="1371" spans="1:18" x14ac:dyDescent="0.25">
      <c r="A1371" t="s">
        <v>3442</v>
      </c>
      <c r="B1371" t="s">
        <v>274</v>
      </c>
      <c r="C1371" s="8">
        <v>46104</v>
      </c>
      <c r="D1371" t="s">
        <v>2067</v>
      </c>
      <c r="E1371" t="s">
        <v>2059</v>
      </c>
      <c r="F1371" t="s">
        <v>47</v>
      </c>
      <c r="G1371">
        <v>167.68</v>
      </c>
      <c r="H1371" t="s">
        <v>2060</v>
      </c>
      <c r="I1371" t="str">
        <f>VLOOKUP(B1371,Customers!A:G,7,FALSE)</f>
        <v>Individual</v>
      </c>
      <c r="Q1371" t="str">
        <f>IF(COUNTIF(Customers!$A$2:$A$1001,B1371)&gt;0,"Valid","Invalid")</f>
        <v>Valid</v>
      </c>
      <c r="R1371" t="str">
        <f>IF(COUNTIF(Branches!$A$2:$A$11,F1371)&gt;0,"Valid","Invalid")</f>
        <v>Valid</v>
      </c>
    </row>
    <row r="1372" spans="1:18" x14ac:dyDescent="0.25">
      <c r="A1372" t="s">
        <v>3443</v>
      </c>
      <c r="B1372" t="s">
        <v>790</v>
      </c>
      <c r="C1372" s="8">
        <v>46047</v>
      </c>
      <c r="D1372" t="s">
        <v>2062</v>
      </c>
      <c r="E1372" t="s">
        <v>2068</v>
      </c>
      <c r="F1372" t="s">
        <v>53</v>
      </c>
      <c r="G1372">
        <v>285.10000000000002</v>
      </c>
      <c r="H1372" t="s">
        <v>2060</v>
      </c>
      <c r="I1372" t="str">
        <f>VLOOKUP(B1372,Customers!A:G,7,FALSE)</f>
        <v>Individual</v>
      </c>
      <c r="Q1372" t="str">
        <f>IF(COUNTIF(Customers!$A$2:$A$1001,B1372)&gt;0,"Valid","Invalid")</f>
        <v>Valid</v>
      </c>
      <c r="R1372" t="str">
        <f>IF(COUNTIF(Branches!$A$2:$A$11,F1372)&gt;0,"Valid","Invalid")</f>
        <v>Valid</v>
      </c>
    </row>
    <row r="1373" spans="1:18" x14ac:dyDescent="0.25">
      <c r="A1373" t="s">
        <v>3444</v>
      </c>
      <c r="B1373" t="s">
        <v>920</v>
      </c>
      <c r="C1373" s="8">
        <v>46030</v>
      </c>
      <c r="D1373" t="s">
        <v>2070</v>
      </c>
      <c r="E1373" t="s">
        <v>2063</v>
      </c>
      <c r="F1373" t="s">
        <v>39</v>
      </c>
      <c r="G1373">
        <v>1622.16</v>
      </c>
      <c r="H1373" t="s">
        <v>2060</v>
      </c>
      <c r="I1373" t="str">
        <f>VLOOKUP(B1373,Customers!A:G,7,FALSE)</f>
        <v>Individual</v>
      </c>
      <c r="Q1373" t="str">
        <f>IF(COUNTIF(Customers!$A$2:$A$1001,B1373)&gt;0,"Valid","Invalid")</f>
        <v>Valid</v>
      </c>
      <c r="R1373" t="str">
        <f>IF(COUNTIF(Branches!$A$2:$A$11,F1373)&gt;0,"Valid","Invalid")</f>
        <v>Valid</v>
      </c>
    </row>
    <row r="1374" spans="1:18" x14ac:dyDescent="0.25">
      <c r="A1374" t="s">
        <v>3445</v>
      </c>
      <c r="B1374" t="s">
        <v>42</v>
      </c>
      <c r="C1374" s="8">
        <v>46245</v>
      </c>
      <c r="D1374" t="s">
        <v>2062</v>
      </c>
      <c r="E1374" t="s">
        <v>2059</v>
      </c>
      <c r="F1374" t="s">
        <v>35</v>
      </c>
      <c r="G1374">
        <v>573.27</v>
      </c>
      <c r="H1374" t="s">
        <v>2060</v>
      </c>
      <c r="I1374" t="str">
        <f>VLOOKUP(B1374,Customers!A:G,7,FALSE)</f>
        <v>Individual</v>
      </c>
      <c r="Q1374" t="str">
        <f>IF(COUNTIF(Customers!$A$2:$A$1001,B1374)&gt;0,"Valid","Invalid")</f>
        <v>Valid</v>
      </c>
      <c r="R1374" t="str">
        <f>IF(COUNTIF(Branches!$A$2:$A$11,F1374)&gt;0,"Valid","Invalid")</f>
        <v>Valid</v>
      </c>
    </row>
    <row r="1375" spans="1:18" x14ac:dyDescent="0.25">
      <c r="A1375" t="s">
        <v>3446</v>
      </c>
      <c r="B1375" t="s">
        <v>380</v>
      </c>
      <c r="C1375" s="8">
        <v>46171</v>
      </c>
      <c r="D1375" t="s">
        <v>2065</v>
      </c>
      <c r="E1375" t="s">
        <v>2059</v>
      </c>
      <c r="F1375" t="s">
        <v>29</v>
      </c>
      <c r="G1375">
        <v>914.12</v>
      </c>
      <c r="H1375" t="s">
        <v>2107</v>
      </c>
      <c r="I1375" t="str">
        <f>VLOOKUP(B1375,Customers!A:G,7,FALSE)</f>
        <v>Individual</v>
      </c>
      <c r="Q1375" t="str">
        <f>IF(COUNTIF(Customers!$A$2:$A$1001,B1375)&gt;0,"Valid","Invalid")</f>
        <v>Valid</v>
      </c>
      <c r="R1375" t="str">
        <f>IF(COUNTIF(Branches!$A$2:$A$11,F1375)&gt;0,"Valid","Invalid")</f>
        <v>Valid</v>
      </c>
    </row>
    <row r="1376" spans="1:18" x14ac:dyDescent="0.25">
      <c r="A1376" t="s">
        <v>3447</v>
      </c>
      <c r="B1376" t="s">
        <v>69</v>
      </c>
      <c r="C1376" s="8">
        <v>46024</v>
      </c>
      <c r="D1376" t="s">
        <v>2065</v>
      </c>
      <c r="E1376" t="s">
        <v>2059</v>
      </c>
      <c r="F1376" t="s">
        <v>47</v>
      </c>
      <c r="G1376">
        <v>2357.64</v>
      </c>
      <c r="H1376" t="s">
        <v>2060</v>
      </c>
      <c r="I1376" t="str">
        <f>VLOOKUP(B1376,Customers!A:G,7,FALSE)</f>
        <v>Individual</v>
      </c>
      <c r="Q1376" t="str">
        <f>IF(COUNTIF(Customers!$A$2:$A$1001,B1376)&gt;0,"Valid","Invalid")</f>
        <v>Valid</v>
      </c>
      <c r="R1376" t="str">
        <f>IF(COUNTIF(Branches!$A$2:$A$11,F1376)&gt;0,"Valid","Invalid")</f>
        <v>Valid</v>
      </c>
    </row>
    <row r="1377" spans="1:18" x14ac:dyDescent="0.25">
      <c r="A1377" t="s">
        <v>3448</v>
      </c>
      <c r="B1377" t="s">
        <v>597</v>
      </c>
      <c r="C1377" s="8">
        <v>46044</v>
      </c>
      <c r="D1377" t="s">
        <v>2067</v>
      </c>
      <c r="E1377" t="s">
        <v>2063</v>
      </c>
      <c r="F1377" t="s">
        <v>29</v>
      </c>
      <c r="G1377">
        <v>244.15</v>
      </c>
      <c r="H1377" t="s">
        <v>2060</v>
      </c>
      <c r="I1377" t="str">
        <f>VLOOKUP(B1377,Customers!A:G,7,FALSE)</f>
        <v>Individual</v>
      </c>
      <c r="Q1377" t="str">
        <f>IF(COUNTIF(Customers!$A$2:$A$1001,B1377)&gt;0,"Valid","Invalid")</f>
        <v>Valid</v>
      </c>
      <c r="R1377" t="str">
        <f>IF(COUNTIF(Branches!$A$2:$A$11,F1377)&gt;0,"Valid","Invalid")</f>
        <v>Valid</v>
      </c>
    </row>
    <row r="1378" spans="1:18" x14ac:dyDescent="0.25">
      <c r="A1378" t="s">
        <v>3449</v>
      </c>
      <c r="B1378" t="s">
        <v>251</v>
      </c>
      <c r="C1378" s="8">
        <v>46094</v>
      </c>
      <c r="D1378" t="s">
        <v>2067</v>
      </c>
      <c r="E1378" t="s">
        <v>2063</v>
      </c>
      <c r="F1378" t="s">
        <v>29</v>
      </c>
      <c r="G1378">
        <v>536.87</v>
      </c>
      <c r="H1378" t="s">
        <v>2060</v>
      </c>
      <c r="I1378" t="str">
        <f>VLOOKUP(B1378,Customers!A:G,7,FALSE)</f>
        <v>Individual</v>
      </c>
      <c r="Q1378" t="str">
        <f>IF(COUNTIF(Customers!$A$2:$A$1001,B1378)&gt;0,"Valid","Invalid")</f>
        <v>Valid</v>
      </c>
      <c r="R1378" t="str">
        <f>IF(COUNTIF(Branches!$A$2:$A$11,F1378)&gt;0,"Valid","Invalid")</f>
        <v>Valid</v>
      </c>
    </row>
    <row r="1379" spans="1:18" x14ac:dyDescent="0.25">
      <c r="A1379" t="s">
        <v>3450</v>
      </c>
      <c r="B1379" t="s">
        <v>450</v>
      </c>
      <c r="C1379" s="8">
        <v>46109</v>
      </c>
      <c r="D1379" t="s">
        <v>2058</v>
      </c>
      <c r="E1379" t="s">
        <v>2063</v>
      </c>
      <c r="F1379" t="s">
        <v>16</v>
      </c>
      <c r="G1379">
        <v>481.61</v>
      </c>
      <c r="H1379" t="s">
        <v>2060</v>
      </c>
      <c r="I1379" t="str">
        <f>VLOOKUP(B1379,Customers!A:G,7,FALSE)</f>
        <v>Individual</v>
      </c>
      <c r="Q1379" t="str">
        <f>IF(COUNTIF(Customers!$A$2:$A$1001,B1379)&gt;0,"Valid","Invalid")</f>
        <v>Valid</v>
      </c>
      <c r="R1379" t="str">
        <f>IF(COUNTIF(Branches!$A$2:$A$11,F1379)&gt;0,"Valid","Invalid")</f>
        <v>Valid</v>
      </c>
    </row>
    <row r="1380" spans="1:18" x14ac:dyDescent="0.25">
      <c r="A1380" t="s">
        <v>3451</v>
      </c>
      <c r="B1380" t="s">
        <v>443</v>
      </c>
      <c r="C1380" s="8">
        <v>46246</v>
      </c>
      <c r="D1380" t="s">
        <v>2070</v>
      </c>
      <c r="E1380" t="s">
        <v>2076</v>
      </c>
      <c r="F1380" t="s">
        <v>16</v>
      </c>
      <c r="G1380">
        <v>1159.0999999999999</v>
      </c>
      <c r="H1380" t="s">
        <v>2060</v>
      </c>
      <c r="I1380" t="str">
        <f>VLOOKUP(B1380,Customers!A:G,7,FALSE)</f>
        <v>Individual</v>
      </c>
      <c r="Q1380" t="str">
        <f>IF(COUNTIF(Customers!$A$2:$A$1001,B1380)&gt;0,"Valid","Invalid")</f>
        <v>Valid</v>
      </c>
      <c r="R1380" t="str">
        <f>IF(COUNTIF(Branches!$A$2:$A$11,F1380)&gt;0,"Valid","Invalid")</f>
        <v>Valid</v>
      </c>
    </row>
    <row r="1381" spans="1:18" x14ac:dyDescent="0.25">
      <c r="A1381" t="s">
        <v>3452</v>
      </c>
      <c r="B1381" t="s">
        <v>532</v>
      </c>
      <c r="C1381" s="8">
        <v>46094</v>
      </c>
      <c r="D1381" t="s">
        <v>2065</v>
      </c>
      <c r="E1381" t="s">
        <v>2073</v>
      </c>
      <c r="F1381" t="s">
        <v>21</v>
      </c>
      <c r="G1381">
        <v>1759.68</v>
      </c>
      <c r="H1381" t="s">
        <v>2060</v>
      </c>
      <c r="I1381" t="str">
        <f>VLOOKUP(B1381,Customers!A:G,7,FALSE)</f>
        <v>Individual</v>
      </c>
      <c r="Q1381" t="str">
        <f>IF(COUNTIF(Customers!$A$2:$A$1001,B1381)&gt;0,"Valid","Invalid")</f>
        <v>Valid</v>
      </c>
      <c r="R1381" t="str">
        <f>IF(COUNTIF(Branches!$A$2:$A$11,F1381)&gt;0,"Valid","Invalid")</f>
        <v>Valid</v>
      </c>
    </row>
    <row r="1382" spans="1:18" x14ac:dyDescent="0.25">
      <c r="A1382" t="s">
        <v>3453</v>
      </c>
      <c r="B1382" t="s">
        <v>696</v>
      </c>
      <c r="C1382" s="8">
        <v>46090</v>
      </c>
      <c r="D1382" t="s">
        <v>2067</v>
      </c>
      <c r="E1382" t="s">
        <v>2059</v>
      </c>
      <c r="F1382" t="s">
        <v>39</v>
      </c>
      <c r="G1382">
        <v>184.88</v>
      </c>
      <c r="H1382" t="s">
        <v>2060</v>
      </c>
      <c r="I1382" t="str">
        <f>VLOOKUP(B1382,Customers!A:G,7,FALSE)</f>
        <v>Individual</v>
      </c>
      <c r="Q1382" t="str">
        <f>IF(COUNTIF(Customers!$A$2:$A$1001,B1382)&gt;0,"Valid","Invalid")</f>
        <v>Valid</v>
      </c>
      <c r="R1382" t="str">
        <f>IF(COUNTIF(Branches!$A$2:$A$11,F1382)&gt;0,"Valid","Invalid")</f>
        <v>Valid</v>
      </c>
    </row>
    <row r="1383" spans="1:18" x14ac:dyDescent="0.25">
      <c r="A1383" t="s">
        <v>3454</v>
      </c>
      <c r="B1383" t="s">
        <v>195</v>
      </c>
      <c r="C1383" s="8">
        <v>46086</v>
      </c>
      <c r="D1383" t="s">
        <v>2065</v>
      </c>
      <c r="E1383" t="s">
        <v>2063</v>
      </c>
      <c r="F1383" t="s">
        <v>45</v>
      </c>
      <c r="G1383">
        <v>807.92</v>
      </c>
      <c r="H1383" t="s">
        <v>2060</v>
      </c>
      <c r="I1383" t="str">
        <f>VLOOKUP(B1383,Customers!A:G,7,FALSE)</f>
        <v>Individual</v>
      </c>
      <c r="Q1383" t="str">
        <f>IF(COUNTIF(Customers!$A$2:$A$1001,B1383)&gt;0,"Valid","Invalid")</f>
        <v>Valid</v>
      </c>
      <c r="R1383" t="str">
        <f>IF(COUNTIF(Branches!$A$2:$A$11,F1383)&gt;0,"Valid","Invalid")</f>
        <v>Valid</v>
      </c>
    </row>
    <row r="1384" spans="1:18" x14ac:dyDescent="0.25">
      <c r="A1384" t="s">
        <v>3455</v>
      </c>
      <c r="B1384" t="s">
        <v>994</v>
      </c>
      <c r="C1384" s="8">
        <v>46116</v>
      </c>
      <c r="D1384" t="s">
        <v>2062</v>
      </c>
      <c r="E1384" t="s">
        <v>2063</v>
      </c>
      <c r="F1384" t="s">
        <v>29</v>
      </c>
      <c r="G1384">
        <v>1937.84</v>
      </c>
      <c r="H1384" t="s">
        <v>2060</v>
      </c>
      <c r="I1384" t="str">
        <f>VLOOKUP(B1384,Customers!A:G,7,FALSE)</f>
        <v>Individual</v>
      </c>
      <c r="Q1384" t="str">
        <f>IF(COUNTIF(Customers!$A$2:$A$1001,B1384)&gt;0,"Valid","Invalid")</f>
        <v>Valid</v>
      </c>
      <c r="R1384" t="str">
        <f>IF(COUNTIF(Branches!$A$2:$A$11,F1384)&gt;0,"Valid","Invalid")</f>
        <v>Valid</v>
      </c>
    </row>
    <row r="1385" spans="1:18" x14ac:dyDescent="0.25">
      <c r="A1385" t="s">
        <v>3456</v>
      </c>
      <c r="B1385" t="s">
        <v>675</v>
      </c>
      <c r="C1385" s="8">
        <v>46041</v>
      </c>
      <c r="D1385" t="s">
        <v>2070</v>
      </c>
      <c r="E1385" t="s">
        <v>2068</v>
      </c>
      <c r="F1385" t="s">
        <v>29</v>
      </c>
      <c r="G1385">
        <v>127.13</v>
      </c>
      <c r="H1385" t="s">
        <v>2060</v>
      </c>
      <c r="I1385" t="str">
        <f>VLOOKUP(B1385,Customers!A:G,7,FALSE)</f>
        <v>SME</v>
      </c>
      <c r="Q1385" t="str">
        <f>IF(COUNTIF(Customers!$A$2:$A$1001,B1385)&gt;0,"Valid","Invalid")</f>
        <v>Valid</v>
      </c>
      <c r="R1385" t="str">
        <f>IF(COUNTIF(Branches!$A$2:$A$11,F1385)&gt;0,"Valid","Invalid")</f>
        <v>Valid</v>
      </c>
    </row>
    <row r="1386" spans="1:18" x14ac:dyDescent="0.25">
      <c r="A1386" t="s">
        <v>3457</v>
      </c>
      <c r="B1386" t="s">
        <v>146</v>
      </c>
      <c r="C1386" s="8">
        <v>46150</v>
      </c>
      <c r="D1386" t="s">
        <v>2067</v>
      </c>
      <c r="E1386" t="s">
        <v>2073</v>
      </c>
      <c r="F1386" t="s">
        <v>11</v>
      </c>
      <c r="G1386">
        <v>761.74</v>
      </c>
      <c r="H1386" t="s">
        <v>2060</v>
      </c>
      <c r="I1386" t="str">
        <f>VLOOKUP(B1386,Customers!A:G,7,FALSE)</f>
        <v>Student</v>
      </c>
      <c r="Q1386" t="str">
        <f>IF(COUNTIF(Customers!$A$2:$A$1001,B1386)&gt;0,"Valid","Invalid")</f>
        <v>Valid</v>
      </c>
      <c r="R1386" t="str">
        <f>IF(COUNTIF(Branches!$A$2:$A$11,F1386)&gt;0,"Valid","Invalid")</f>
        <v>Valid</v>
      </c>
    </row>
    <row r="1387" spans="1:18" x14ac:dyDescent="0.25">
      <c r="A1387" t="s">
        <v>3458</v>
      </c>
      <c r="B1387" t="s">
        <v>587</v>
      </c>
      <c r="C1387" s="8">
        <v>46109</v>
      </c>
      <c r="D1387" t="s">
        <v>2065</v>
      </c>
      <c r="E1387" t="s">
        <v>2059</v>
      </c>
      <c r="F1387" t="s">
        <v>45</v>
      </c>
      <c r="G1387">
        <v>240.86</v>
      </c>
      <c r="H1387" t="s">
        <v>2060</v>
      </c>
      <c r="I1387" t="str">
        <f>VLOOKUP(B1387,Customers!A:G,7,FALSE)</f>
        <v>Individual</v>
      </c>
      <c r="Q1387" t="str">
        <f>IF(COUNTIF(Customers!$A$2:$A$1001,B1387)&gt;0,"Valid","Invalid")</f>
        <v>Valid</v>
      </c>
      <c r="R1387" t="str">
        <f>IF(COUNTIF(Branches!$A$2:$A$11,F1387)&gt;0,"Valid","Invalid")</f>
        <v>Valid</v>
      </c>
    </row>
    <row r="1388" spans="1:18" x14ac:dyDescent="0.25">
      <c r="A1388" t="s">
        <v>3459</v>
      </c>
      <c r="B1388" t="s">
        <v>827</v>
      </c>
      <c r="C1388" s="8">
        <v>46104</v>
      </c>
      <c r="D1388" t="s">
        <v>2062</v>
      </c>
      <c r="E1388" t="s">
        <v>2063</v>
      </c>
      <c r="F1388" t="s">
        <v>53</v>
      </c>
      <c r="G1388">
        <v>427.7</v>
      </c>
      <c r="H1388" t="s">
        <v>2060</v>
      </c>
      <c r="I1388" t="str">
        <f>VLOOKUP(B1388,Customers!A:G,7,FALSE)</f>
        <v>Individual</v>
      </c>
      <c r="Q1388" t="str">
        <f>IF(COUNTIF(Customers!$A$2:$A$1001,B1388)&gt;0,"Valid","Invalid")</f>
        <v>Valid</v>
      </c>
      <c r="R1388" t="str">
        <f>IF(COUNTIF(Branches!$A$2:$A$11,F1388)&gt;0,"Valid","Invalid")</f>
        <v>Valid</v>
      </c>
    </row>
    <row r="1389" spans="1:18" x14ac:dyDescent="0.25">
      <c r="A1389" t="s">
        <v>3460</v>
      </c>
      <c r="B1389" t="s">
        <v>564</v>
      </c>
      <c r="C1389" s="8">
        <v>46203</v>
      </c>
      <c r="D1389" t="s">
        <v>2058</v>
      </c>
      <c r="E1389" t="s">
        <v>2076</v>
      </c>
      <c r="F1389" t="s">
        <v>27</v>
      </c>
      <c r="G1389">
        <v>66.349999999999994</v>
      </c>
      <c r="H1389" t="s">
        <v>2060</v>
      </c>
      <c r="I1389" t="str">
        <f>VLOOKUP(B1389,Customers!A:G,7,FALSE)</f>
        <v>SME</v>
      </c>
      <c r="Q1389" t="str">
        <f>IF(COUNTIF(Customers!$A$2:$A$1001,B1389)&gt;0,"Valid","Invalid")</f>
        <v>Valid</v>
      </c>
      <c r="R1389" t="str">
        <f>IF(COUNTIF(Branches!$A$2:$A$11,F1389)&gt;0,"Valid","Invalid")</f>
        <v>Valid</v>
      </c>
    </row>
    <row r="1390" spans="1:18" x14ac:dyDescent="0.25">
      <c r="A1390" t="s">
        <v>3461</v>
      </c>
      <c r="B1390" t="s">
        <v>1023</v>
      </c>
      <c r="C1390" s="8">
        <v>46243</v>
      </c>
      <c r="D1390" t="s">
        <v>2067</v>
      </c>
      <c r="E1390" t="s">
        <v>2068</v>
      </c>
      <c r="F1390" t="s">
        <v>47</v>
      </c>
      <c r="G1390">
        <v>3270.62</v>
      </c>
      <c r="H1390" t="s">
        <v>2060</v>
      </c>
      <c r="I1390" t="str">
        <f>VLOOKUP(B1390,Customers!A:G,7,FALSE)</f>
        <v>SME</v>
      </c>
      <c r="Q1390" t="str">
        <f>IF(COUNTIF(Customers!$A$2:$A$1001,B1390)&gt;0,"Valid","Invalid")</f>
        <v>Valid</v>
      </c>
      <c r="R1390" t="str">
        <f>IF(COUNTIF(Branches!$A$2:$A$11,F1390)&gt;0,"Valid","Invalid")</f>
        <v>Valid</v>
      </c>
    </row>
    <row r="1391" spans="1:18" x14ac:dyDescent="0.25">
      <c r="A1391" t="s">
        <v>3462</v>
      </c>
      <c r="B1391" t="s">
        <v>385</v>
      </c>
      <c r="C1391" s="8">
        <v>46109</v>
      </c>
      <c r="D1391" t="s">
        <v>2062</v>
      </c>
      <c r="E1391" t="s">
        <v>2059</v>
      </c>
      <c r="F1391" t="s">
        <v>39</v>
      </c>
      <c r="G1391">
        <v>569.16999999999996</v>
      </c>
      <c r="H1391" t="s">
        <v>2115</v>
      </c>
      <c r="I1391" t="str">
        <f>VLOOKUP(B1391,Customers!A:G,7,FALSE)</f>
        <v>Individual</v>
      </c>
      <c r="Q1391" t="str">
        <f>IF(COUNTIF(Customers!$A$2:$A$1001,B1391)&gt;0,"Valid","Invalid")</f>
        <v>Valid</v>
      </c>
      <c r="R1391" t="str">
        <f>IF(COUNTIF(Branches!$A$2:$A$11,F1391)&gt;0,"Valid","Invalid")</f>
        <v>Valid</v>
      </c>
    </row>
    <row r="1392" spans="1:18" x14ac:dyDescent="0.25">
      <c r="A1392" t="s">
        <v>3463</v>
      </c>
      <c r="B1392" t="s">
        <v>782</v>
      </c>
      <c r="C1392" s="8">
        <v>46119</v>
      </c>
      <c r="D1392" t="s">
        <v>2070</v>
      </c>
      <c r="E1392" t="s">
        <v>2076</v>
      </c>
      <c r="F1392" t="s">
        <v>35</v>
      </c>
      <c r="G1392">
        <v>362.42</v>
      </c>
      <c r="H1392" t="s">
        <v>2060</v>
      </c>
      <c r="I1392" t="str">
        <f>VLOOKUP(B1392,Customers!A:G,7,FALSE)</f>
        <v>Corporate</v>
      </c>
      <c r="Q1392" t="str">
        <f>IF(COUNTIF(Customers!$A$2:$A$1001,B1392)&gt;0,"Valid","Invalid")</f>
        <v>Valid</v>
      </c>
      <c r="R1392" t="str">
        <f>IF(COUNTIF(Branches!$A$2:$A$11,F1392)&gt;0,"Valid","Invalid")</f>
        <v>Valid</v>
      </c>
    </row>
    <row r="1393" spans="1:18" x14ac:dyDescent="0.25">
      <c r="A1393" t="s">
        <v>3464</v>
      </c>
      <c r="B1393" t="s">
        <v>866</v>
      </c>
      <c r="C1393" s="8">
        <v>46074</v>
      </c>
      <c r="D1393" t="s">
        <v>2058</v>
      </c>
      <c r="E1393" t="s">
        <v>2076</v>
      </c>
      <c r="F1393" t="s">
        <v>11</v>
      </c>
      <c r="G1393">
        <v>1128.07</v>
      </c>
      <c r="H1393" t="s">
        <v>2060</v>
      </c>
      <c r="I1393" t="str">
        <f>VLOOKUP(B1393,Customers!A:G,7,FALSE)</f>
        <v>Individual</v>
      </c>
      <c r="Q1393" t="str">
        <f>IF(COUNTIF(Customers!$A$2:$A$1001,B1393)&gt;0,"Valid","Invalid")</f>
        <v>Valid</v>
      </c>
      <c r="R1393" t="str">
        <f>IF(COUNTIF(Branches!$A$2:$A$11,F1393)&gt;0,"Valid","Invalid")</f>
        <v>Valid</v>
      </c>
    </row>
    <row r="1394" spans="1:18" x14ac:dyDescent="0.25">
      <c r="A1394" t="s">
        <v>3465</v>
      </c>
      <c r="B1394" t="s">
        <v>674</v>
      </c>
      <c r="C1394" s="8">
        <v>46197</v>
      </c>
      <c r="D1394" t="s">
        <v>2058</v>
      </c>
      <c r="E1394" t="s">
        <v>2073</v>
      </c>
      <c r="F1394" t="s">
        <v>39</v>
      </c>
      <c r="G1394">
        <v>286.49</v>
      </c>
      <c r="H1394" t="s">
        <v>2060</v>
      </c>
      <c r="I1394" t="str">
        <f>VLOOKUP(B1394,Customers!A:G,7,FALSE)</f>
        <v>SME</v>
      </c>
      <c r="Q1394" t="str">
        <f>IF(COUNTIF(Customers!$A$2:$A$1001,B1394)&gt;0,"Valid","Invalid")</f>
        <v>Valid</v>
      </c>
      <c r="R1394" t="str">
        <f>IF(COUNTIF(Branches!$A$2:$A$11,F1394)&gt;0,"Valid","Invalid")</f>
        <v>Valid</v>
      </c>
    </row>
    <row r="1395" spans="1:18" x14ac:dyDescent="0.25">
      <c r="A1395" t="s">
        <v>3466</v>
      </c>
      <c r="B1395" t="s">
        <v>317</v>
      </c>
      <c r="C1395" s="8">
        <v>46104</v>
      </c>
      <c r="D1395" t="s">
        <v>2067</v>
      </c>
      <c r="E1395" t="s">
        <v>2063</v>
      </c>
      <c r="F1395" t="s">
        <v>11</v>
      </c>
      <c r="G1395">
        <v>260.54000000000002</v>
      </c>
      <c r="H1395" t="s">
        <v>2060</v>
      </c>
      <c r="I1395" t="str">
        <f>VLOOKUP(B1395,Customers!A:G,7,FALSE)</f>
        <v>Individual</v>
      </c>
      <c r="Q1395" t="str">
        <f>IF(COUNTIF(Customers!$A$2:$A$1001,B1395)&gt;0,"Valid","Invalid")</f>
        <v>Valid</v>
      </c>
      <c r="R1395" t="str">
        <f>IF(COUNTIF(Branches!$A$2:$A$11,F1395)&gt;0,"Valid","Invalid")</f>
        <v>Valid</v>
      </c>
    </row>
    <row r="1396" spans="1:18" x14ac:dyDescent="0.25">
      <c r="A1396" t="s">
        <v>3467</v>
      </c>
      <c r="B1396" t="s">
        <v>517</v>
      </c>
      <c r="C1396" s="8">
        <v>46204</v>
      </c>
      <c r="D1396" t="s">
        <v>2058</v>
      </c>
      <c r="E1396" t="s">
        <v>2073</v>
      </c>
      <c r="F1396" t="s">
        <v>45</v>
      </c>
      <c r="G1396">
        <v>3678.75</v>
      </c>
      <c r="H1396" t="s">
        <v>2060</v>
      </c>
      <c r="I1396" t="str">
        <f>VLOOKUP(B1396,Customers!A:G,7,FALSE)</f>
        <v>SME</v>
      </c>
      <c r="Q1396" t="str">
        <f>IF(COUNTIF(Customers!$A$2:$A$1001,B1396)&gt;0,"Valid","Invalid")</f>
        <v>Valid</v>
      </c>
      <c r="R1396" t="str">
        <f>IF(COUNTIF(Branches!$A$2:$A$11,F1396)&gt;0,"Valid","Invalid")</f>
        <v>Valid</v>
      </c>
    </row>
    <row r="1397" spans="1:18" x14ac:dyDescent="0.25">
      <c r="A1397" t="s">
        <v>3468</v>
      </c>
      <c r="B1397" t="s">
        <v>147</v>
      </c>
      <c r="C1397" s="8">
        <v>46194</v>
      </c>
      <c r="D1397" t="s">
        <v>2067</v>
      </c>
      <c r="E1397" t="s">
        <v>2059</v>
      </c>
      <c r="F1397" t="s">
        <v>53</v>
      </c>
      <c r="G1397">
        <v>4957.53</v>
      </c>
      <c r="H1397" t="s">
        <v>2060</v>
      </c>
      <c r="I1397" t="str">
        <f>VLOOKUP(B1397,Customers!A:G,7,FALSE)</f>
        <v>Individual</v>
      </c>
      <c r="Q1397" t="str">
        <f>IF(COUNTIF(Customers!$A$2:$A$1001,B1397)&gt;0,"Valid","Invalid")</f>
        <v>Valid</v>
      </c>
      <c r="R1397" t="str">
        <f>IF(COUNTIF(Branches!$A$2:$A$11,F1397)&gt;0,"Valid","Invalid")</f>
        <v>Valid</v>
      </c>
    </row>
    <row r="1398" spans="1:18" x14ac:dyDescent="0.25">
      <c r="A1398" t="s">
        <v>3469</v>
      </c>
      <c r="B1398" t="s">
        <v>674</v>
      </c>
      <c r="C1398" s="8">
        <v>46119</v>
      </c>
      <c r="D1398" t="s">
        <v>2067</v>
      </c>
      <c r="E1398" t="s">
        <v>2076</v>
      </c>
      <c r="F1398" t="s">
        <v>11</v>
      </c>
      <c r="G1398">
        <v>449.41</v>
      </c>
      <c r="H1398" t="s">
        <v>2060</v>
      </c>
      <c r="I1398" t="str">
        <f>VLOOKUP(B1398,Customers!A:G,7,FALSE)</f>
        <v>SME</v>
      </c>
      <c r="Q1398" t="str">
        <f>IF(COUNTIF(Customers!$A$2:$A$1001,B1398)&gt;0,"Valid","Invalid")</f>
        <v>Valid</v>
      </c>
      <c r="R1398" t="str">
        <f>IF(COUNTIF(Branches!$A$2:$A$11,F1398)&gt;0,"Valid","Invalid")</f>
        <v>Valid</v>
      </c>
    </row>
    <row r="1399" spans="1:18" x14ac:dyDescent="0.25">
      <c r="A1399" t="s">
        <v>3470</v>
      </c>
      <c r="B1399" t="s">
        <v>963</v>
      </c>
      <c r="C1399" s="8">
        <v>46157</v>
      </c>
      <c r="D1399" t="s">
        <v>2065</v>
      </c>
      <c r="E1399" t="s">
        <v>2059</v>
      </c>
      <c r="F1399" t="s">
        <v>53</v>
      </c>
      <c r="G1399">
        <v>2362.21</v>
      </c>
      <c r="H1399" t="s">
        <v>2060</v>
      </c>
      <c r="I1399" t="str">
        <f>VLOOKUP(B1399,Customers!A:G,7,FALSE)</f>
        <v>Individual</v>
      </c>
      <c r="Q1399" t="str">
        <f>IF(COUNTIF(Customers!$A$2:$A$1001,B1399)&gt;0,"Valid","Invalid")</f>
        <v>Valid</v>
      </c>
      <c r="R1399" t="str">
        <f>IF(COUNTIF(Branches!$A$2:$A$11,F1399)&gt;0,"Valid","Invalid")</f>
        <v>Valid</v>
      </c>
    </row>
    <row r="1400" spans="1:18" x14ac:dyDescent="0.25">
      <c r="A1400" t="s">
        <v>3471</v>
      </c>
      <c r="B1400" t="s">
        <v>469</v>
      </c>
      <c r="C1400" s="8">
        <v>46137</v>
      </c>
      <c r="D1400" t="s">
        <v>2065</v>
      </c>
      <c r="E1400" t="s">
        <v>2059</v>
      </c>
      <c r="F1400" t="s">
        <v>29</v>
      </c>
      <c r="G1400">
        <v>1159.8399999999999</v>
      </c>
      <c r="H1400" t="s">
        <v>2060</v>
      </c>
      <c r="I1400" t="str">
        <f>VLOOKUP(B1400,Customers!A:G,7,FALSE)</f>
        <v>Individual</v>
      </c>
      <c r="Q1400" t="str">
        <f>IF(COUNTIF(Customers!$A$2:$A$1001,B1400)&gt;0,"Valid","Invalid")</f>
        <v>Valid</v>
      </c>
      <c r="R1400" t="str">
        <f>IF(COUNTIF(Branches!$A$2:$A$11,F1400)&gt;0,"Valid","Invalid")</f>
        <v>Valid</v>
      </c>
    </row>
    <row r="1401" spans="1:18" x14ac:dyDescent="0.25">
      <c r="A1401" t="s">
        <v>3472</v>
      </c>
      <c r="B1401" t="s">
        <v>580</v>
      </c>
      <c r="C1401" s="8">
        <v>46114</v>
      </c>
      <c r="D1401" t="s">
        <v>2065</v>
      </c>
      <c r="E1401" t="s">
        <v>2076</v>
      </c>
      <c r="F1401" t="s">
        <v>35</v>
      </c>
      <c r="G1401">
        <v>197.58</v>
      </c>
      <c r="H1401" t="s">
        <v>2060</v>
      </c>
      <c r="I1401" t="str">
        <f>VLOOKUP(B1401,Customers!A:G,7,FALSE)</f>
        <v>Individual</v>
      </c>
      <c r="Q1401" t="str">
        <f>IF(COUNTIF(Customers!$A$2:$A$1001,B1401)&gt;0,"Valid","Invalid")</f>
        <v>Valid</v>
      </c>
      <c r="R1401" t="str">
        <f>IF(COUNTIF(Branches!$A$2:$A$11,F1401)&gt;0,"Valid","Invalid")</f>
        <v>Valid</v>
      </c>
    </row>
    <row r="1402" spans="1:18" x14ac:dyDescent="0.25">
      <c r="A1402" t="s">
        <v>3473</v>
      </c>
      <c r="B1402" t="s">
        <v>151</v>
      </c>
      <c r="C1402" s="8">
        <v>46023</v>
      </c>
      <c r="D1402" t="s">
        <v>2058</v>
      </c>
      <c r="E1402" t="s">
        <v>2059</v>
      </c>
      <c r="F1402" t="s">
        <v>16</v>
      </c>
      <c r="G1402">
        <v>321.14</v>
      </c>
      <c r="H1402" t="s">
        <v>2060</v>
      </c>
      <c r="I1402" t="str">
        <f>VLOOKUP(B1402,Customers!A:G,7,FALSE)</f>
        <v>Individual</v>
      </c>
      <c r="Q1402" t="str">
        <f>IF(COUNTIF(Customers!$A$2:$A$1001,B1402)&gt;0,"Valid","Invalid")</f>
        <v>Valid</v>
      </c>
      <c r="R1402" t="str">
        <f>IF(COUNTIF(Branches!$A$2:$A$11,F1402)&gt;0,"Valid","Invalid")</f>
        <v>Valid</v>
      </c>
    </row>
    <row r="1403" spans="1:18" x14ac:dyDescent="0.25">
      <c r="A1403" t="s">
        <v>3474</v>
      </c>
      <c r="B1403" t="s">
        <v>126</v>
      </c>
      <c r="C1403" s="8">
        <v>46085</v>
      </c>
      <c r="D1403" t="s">
        <v>2058</v>
      </c>
      <c r="E1403" t="s">
        <v>2063</v>
      </c>
      <c r="F1403" t="s">
        <v>53</v>
      </c>
      <c r="G1403">
        <v>3831.84</v>
      </c>
      <c r="H1403" t="s">
        <v>2060</v>
      </c>
      <c r="I1403" t="str">
        <f>VLOOKUP(B1403,Customers!A:G,7,FALSE)</f>
        <v>Individual</v>
      </c>
      <c r="Q1403" t="str">
        <f>IF(COUNTIF(Customers!$A$2:$A$1001,B1403)&gt;0,"Valid","Invalid")</f>
        <v>Valid</v>
      </c>
      <c r="R1403" t="str">
        <f>IF(COUNTIF(Branches!$A$2:$A$11,F1403)&gt;0,"Valid","Invalid")</f>
        <v>Valid</v>
      </c>
    </row>
    <row r="1404" spans="1:18" x14ac:dyDescent="0.25">
      <c r="A1404" t="s">
        <v>3475</v>
      </c>
      <c r="B1404" t="s">
        <v>249</v>
      </c>
      <c r="C1404" s="8">
        <v>46253</v>
      </c>
      <c r="D1404" t="s">
        <v>2058</v>
      </c>
      <c r="E1404" t="s">
        <v>2059</v>
      </c>
      <c r="F1404" t="s">
        <v>47</v>
      </c>
      <c r="G1404">
        <v>195.04</v>
      </c>
      <c r="H1404" t="s">
        <v>2060</v>
      </c>
      <c r="I1404" t="str">
        <f>VLOOKUP(B1404,Customers!A:G,7,FALSE)</f>
        <v>Individual</v>
      </c>
      <c r="Q1404" t="str">
        <f>IF(COUNTIF(Customers!$A$2:$A$1001,B1404)&gt;0,"Valid","Invalid")</f>
        <v>Valid</v>
      </c>
      <c r="R1404" t="str">
        <f>IF(COUNTIF(Branches!$A$2:$A$11,F1404)&gt;0,"Valid","Invalid")</f>
        <v>Valid</v>
      </c>
    </row>
    <row r="1405" spans="1:18" x14ac:dyDescent="0.25">
      <c r="A1405" t="s">
        <v>3476</v>
      </c>
      <c r="B1405" t="s">
        <v>588</v>
      </c>
      <c r="C1405" s="8">
        <v>46248</v>
      </c>
      <c r="D1405" t="s">
        <v>2067</v>
      </c>
      <c r="E1405" t="s">
        <v>2059</v>
      </c>
      <c r="F1405" t="s">
        <v>39</v>
      </c>
      <c r="G1405">
        <v>7950.57</v>
      </c>
      <c r="H1405" t="s">
        <v>2060</v>
      </c>
      <c r="I1405" t="str">
        <f>VLOOKUP(B1405,Customers!A:G,7,FALSE)</f>
        <v>Individual</v>
      </c>
      <c r="Q1405" t="str">
        <f>IF(COUNTIF(Customers!$A$2:$A$1001,B1405)&gt;0,"Valid","Invalid")</f>
        <v>Valid</v>
      </c>
      <c r="R1405" t="str">
        <f>IF(COUNTIF(Branches!$A$2:$A$11,F1405)&gt;0,"Valid","Invalid")</f>
        <v>Valid</v>
      </c>
    </row>
    <row r="1406" spans="1:18" x14ac:dyDescent="0.25">
      <c r="A1406" t="s">
        <v>3477</v>
      </c>
      <c r="B1406" t="s">
        <v>633</v>
      </c>
      <c r="C1406" s="8">
        <v>46189</v>
      </c>
      <c r="D1406" t="s">
        <v>2067</v>
      </c>
      <c r="E1406" t="s">
        <v>2063</v>
      </c>
      <c r="F1406" t="s">
        <v>53</v>
      </c>
      <c r="G1406">
        <v>458.81</v>
      </c>
      <c r="H1406" t="s">
        <v>2060</v>
      </c>
      <c r="I1406" t="str">
        <f>VLOOKUP(B1406,Customers!A:G,7,FALSE)</f>
        <v>Individual</v>
      </c>
      <c r="Q1406" t="str">
        <f>IF(COUNTIF(Customers!$A$2:$A$1001,B1406)&gt;0,"Valid","Invalid")</f>
        <v>Valid</v>
      </c>
      <c r="R1406" t="str">
        <f>IF(COUNTIF(Branches!$A$2:$A$11,F1406)&gt;0,"Valid","Invalid")</f>
        <v>Valid</v>
      </c>
    </row>
    <row r="1407" spans="1:18" x14ac:dyDescent="0.25">
      <c r="A1407" t="s">
        <v>3478</v>
      </c>
      <c r="B1407" t="s">
        <v>577</v>
      </c>
      <c r="C1407" s="8">
        <v>46041</v>
      </c>
      <c r="D1407" t="s">
        <v>2062</v>
      </c>
      <c r="E1407" t="s">
        <v>2073</v>
      </c>
      <c r="F1407" t="s">
        <v>47</v>
      </c>
      <c r="G1407">
        <v>3947.41</v>
      </c>
      <c r="H1407" t="s">
        <v>2060</v>
      </c>
      <c r="I1407" t="str">
        <f>VLOOKUP(B1407,Customers!A:G,7,FALSE)</f>
        <v>Individual</v>
      </c>
      <c r="Q1407" t="str">
        <f>IF(COUNTIF(Customers!$A$2:$A$1001,B1407)&gt;0,"Valid","Invalid")</f>
        <v>Valid</v>
      </c>
      <c r="R1407" t="str">
        <f>IF(COUNTIF(Branches!$A$2:$A$11,F1407)&gt;0,"Valid","Invalid")</f>
        <v>Valid</v>
      </c>
    </row>
    <row r="1408" spans="1:18" x14ac:dyDescent="0.25">
      <c r="A1408" t="s">
        <v>3479</v>
      </c>
      <c r="B1408" t="s">
        <v>767</v>
      </c>
      <c r="C1408" s="8">
        <v>46053</v>
      </c>
      <c r="D1408" t="s">
        <v>2067</v>
      </c>
      <c r="E1408" t="s">
        <v>2063</v>
      </c>
      <c r="F1408" t="s">
        <v>29</v>
      </c>
      <c r="G1408">
        <v>598.51</v>
      </c>
      <c r="H1408" t="s">
        <v>2060</v>
      </c>
      <c r="I1408" t="str">
        <f>VLOOKUP(B1408,Customers!A:G,7,FALSE)</f>
        <v>Individual</v>
      </c>
      <c r="Q1408" t="str">
        <f>IF(COUNTIF(Customers!$A$2:$A$1001,B1408)&gt;0,"Valid","Invalid")</f>
        <v>Valid</v>
      </c>
      <c r="R1408" t="str">
        <f>IF(COUNTIF(Branches!$A$2:$A$11,F1408)&gt;0,"Valid","Invalid")</f>
        <v>Valid</v>
      </c>
    </row>
    <row r="1409" spans="1:18" x14ac:dyDescent="0.25">
      <c r="A1409" t="s">
        <v>3480</v>
      </c>
      <c r="B1409" t="s">
        <v>398</v>
      </c>
      <c r="C1409" s="8">
        <v>46099</v>
      </c>
      <c r="D1409" t="s">
        <v>2070</v>
      </c>
      <c r="E1409" t="s">
        <v>2059</v>
      </c>
      <c r="F1409" t="s">
        <v>35</v>
      </c>
      <c r="G1409">
        <v>1807.87</v>
      </c>
      <c r="H1409" t="s">
        <v>2115</v>
      </c>
      <c r="I1409" t="str">
        <f>VLOOKUP(B1409,Customers!A:G,7,FALSE)</f>
        <v>Individual</v>
      </c>
      <c r="Q1409" t="str">
        <f>IF(COUNTIF(Customers!$A$2:$A$1001,B1409)&gt;0,"Valid","Invalid")</f>
        <v>Valid</v>
      </c>
      <c r="R1409" t="str">
        <f>IF(COUNTIF(Branches!$A$2:$A$11,F1409)&gt;0,"Valid","Invalid")</f>
        <v>Valid</v>
      </c>
    </row>
    <row r="1410" spans="1:18" x14ac:dyDescent="0.25">
      <c r="A1410" t="s">
        <v>3481</v>
      </c>
      <c r="B1410" t="s">
        <v>524</v>
      </c>
      <c r="C1410" s="8">
        <v>46143</v>
      </c>
      <c r="D1410" t="s">
        <v>2067</v>
      </c>
      <c r="E1410" t="s">
        <v>2063</v>
      </c>
      <c r="F1410" t="s">
        <v>45</v>
      </c>
      <c r="G1410">
        <v>3278.15</v>
      </c>
      <c r="H1410" t="s">
        <v>2060</v>
      </c>
      <c r="I1410" t="str">
        <f>VLOOKUP(B1410,Customers!A:G,7,FALSE)</f>
        <v>SME</v>
      </c>
      <c r="Q1410" t="str">
        <f>IF(COUNTIF(Customers!$A$2:$A$1001,B1410)&gt;0,"Valid","Invalid")</f>
        <v>Valid</v>
      </c>
      <c r="R1410" t="str">
        <f>IF(COUNTIF(Branches!$A$2:$A$11,F1410)&gt;0,"Valid","Invalid")</f>
        <v>Valid</v>
      </c>
    </row>
    <row r="1411" spans="1:18" x14ac:dyDescent="0.25">
      <c r="A1411" t="s">
        <v>3482</v>
      </c>
      <c r="B1411" t="s">
        <v>410</v>
      </c>
      <c r="C1411" s="8">
        <v>46046</v>
      </c>
      <c r="D1411" t="s">
        <v>2058</v>
      </c>
      <c r="E1411" t="s">
        <v>2059</v>
      </c>
      <c r="F1411" t="s">
        <v>45</v>
      </c>
      <c r="G1411">
        <v>3261.54</v>
      </c>
      <c r="H1411" t="s">
        <v>2060</v>
      </c>
      <c r="I1411" t="str">
        <f>VLOOKUP(B1411,Customers!A:G,7,FALSE)</f>
        <v>Individual</v>
      </c>
      <c r="Q1411" t="str">
        <f>IF(COUNTIF(Customers!$A$2:$A$1001,B1411)&gt;0,"Valid","Invalid")</f>
        <v>Valid</v>
      </c>
      <c r="R1411" t="str">
        <f>IF(COUNTIF(Branches!$A$2:$A$11,F1411)&gt;0,"Valid","Invalid")</f>
        <v>Valid</v>
      </c>
    </row>
    <row r="1412" spans="1:18" x14ac:dyDescent="0.25">
      <c r="A1412" t="s">
        <v>3483</v>
      </c>
      <c r="B1412" t="s">
        <v>252</v>
      </c>
      <c r="C1412" s="8">
        <v>46091</v>
      </c>
      <c r="D1412" t="s">
        <v>2065</v>
      </c>
      <c r="E1412" t="s">
        <v>2063</v>
      </c>
      <c r="F1412" t="s">
        <v>53</v>
      </c>
      <c r="G1412">
        <v>452.88</v>
      </c>
      <c r="H1412" t="s">
        <v>2060</v>
      </c>
      <c r="I1412" t="str">
        <f>VLOOKUP(B1412,Customers!A:G,7,FALSE)</f>
        <v>Individual</v>
      </c>
      <c r="Q1412" t="str">
        <f>IF(COUNTIF(Customers!$A$2:$A$1001,B1412)&gt;0,"Valid","Invalid")</f>
        <v>Valid</v>
      </c>
      <c r="R1412" t="str">
        <f>IF(COUNTIF(Branches!$A$2:$A$11,F1412)&gt;0,"Valid","Invalid")</f>
        <v>Valid</v>
      </c>
    </row>
    <row r="1413" spans="1:18" x14ac:dyDescent="0.25">
      <c r="A1413" t="s">
        <v>3484</v>
      </c>
      <c r="B1413" t="s">
        <v>771</v>
      </c>
      <c r="C1413" s="8">
        <v>46237</v>
      </c>
      <c r="D1413" t="s">
        <v>2058</v>
      </c>
      <c r="E1413" t="s">
        <v>2059</v>
      </c>
      <c r="F1413" t="s">
        <v>21</v>
      </c>
      <c r="G1413">
        <v>344.68</v>
      </c>
      <c r="H1413" t="s">
        <v>2060</v>
      </c>
      <c r="I1413" t="str">
        <f>VLOOKUP(B1413,Customers!A:G,7,FALSE)</f>
        <v>Student</v>
      </c>
      <c r="Q1413" t="str">
        <f>IF(COUNTIF(Customers!$A$2:$A$1001,B1413)&gt;0,"Valid","Invalid")</f>
        <v>Valid</v>
      </c>
      <c r="R1413" t="str">
        <f>IF(COUNTIF(Branches!$A$2:$A$11,F1413)&gt;0,"Valid","Invalid")</f>
        <v>Valid</v>
      </c>
    </row>
    <row r="1414" spans="1:18" x14ac:dyDescent="0.25">
      <c r="A1414" t="s">
        <v>3485</v>
      </c>
      <c r="B1414" t="s">
        <v>48</v>
      </c>
      <c r="C1414" s="8">
        <v>46233</v>
      </c>
      <c r="D1414" t="s">
        <v>2062</v>
      </c>
      <c r="E1414" t="s">
        <v>2063</v>
      </c>
      <c r="F1414" t="s">
        <v>27</v>
      </c>
      <c r="G1414">
        <v>749.04</v>
      </c>
      <c r="H1414" t="s">
        <v>2115</v>
      </c>
      <c r="I1414" t="str">
        <f>VLOOKUP(B1414,Customers!A:G,7,FALSE)</f>
        <v>Individual</v>
      </c>
      <c r="Q1414" t="str">
        <f>IF(COUNTIF(Customers!$A$2:$A$1001,B1414)&gt;0,"Valid","Invalid")</f>
        <v>Valid</v>
      </c>
      <c r="R1414" t="str">
        <f>IF(COUNTIF(Branches!$A$2:$A$11,F1414)&gt;0,"Valid","Invalid")</f>
        <v>Valid</v>
      </c>
    </row>
    <row r="1415" spans="1:18" x14ac:dyDescent="0.25">
      <c r="A1415" t="s">
        <v>3486</v>
      </c>
      <c r="B1415" t="s">
        <v>993</v>
      </c>
      <c r="C1415" s="8">
        <v>46215</v>
      </c>
      <c r="D1415" t="s">
        <v>2070</v>
      </c>
      <c r="E1415" t="s">
        <v>2063</v>
      </c>
      <c r="F1415" t="s">
        <v>11</v>
      </c>
      <c r="G1415">
        <v>221.3</v>
      </c>
      <c r="H1415" t="s">
        <v>2107</v>
      </c>
      <c r="I1415" t="str">
        <f>VLOOKUP(B1415,Customers!A:G,7,FALSE)</f>
        <v>SME</v>
      </c>
      <c r="Q1415" t="str">
        <f>IF(COUNTIF(Customers!$A$2:$A$1001,B1415)&gt;0,"Valid","Invalid")</f>
        <v>Valid</v>
      </c>
      <c r="R1415" t="str">
        <f>IF(COUNTIF(Branches!$A$2:$A$11,F1415)&gt;0,"Valid","Invalid")</f>
        <v>Valid</v>
      </c>
    </row>
    <row r="1416" spans="1:18" x14ac:dyDescent="0.25">
      <c r="A1416" t="s">
        <v>3487</v>
      </c>
      <c r="B1416" t="s">
        <v>297</v>
      </c>
      <c r="C1416" s="8">
        <v>46183</v>
      </c>
      <c r="D1416" t="s">
        <v>2070</v>
      </c>
      <c r="E1416" t="s">
        <v>2068</v>
      </c>
      <c r="F1416" t="s">
        <v>45</v>
      </c>
      <c r="G1416">
        <v>1032.01</v>
      </c>
      <c r="H1416" t="s">
        <v>2060</v>
      </c>
      <c r="I1416" t="str">
        <f>VLOOKUP(B1416,Customers!A:G,7,FALSE)</f>
        <v>Individual</v>
      </c>
      <c r="Q1416" t="str">
        <f>IF(COUNTIF(Customers!$A$2:$A$1001,B1416)&gt;0,"Valid","Invalid")</f>
        <v>Valid</v>
      </c>
      <c r="R1416" t="str">
        <f>IF(COUNTIF(Branches!$A$2:$A$11,F1416)&gt;0,"Valid","Invalid")</f>
        <v>Valid</v>
      </c>
    </row>
    <row r="1417" spans="1:18" x14ac:dyDescent="0.25">
      <c r="A1417" t="s">
        <v>3488</v>
      </c>
      <c r="B1417" t="s">
        <v>816</v>
      </c>
      <c r="C1417" s="8">
        <v>46081</v>
      </c>
      <c r="D1417" t="s">
        <v>2067</v>
      </c>
      <c r="E1417" t="s">
        <v>2076</v>
      </c>
      <c r="F1417" t="s">
        <v>16</v>
      </c>
      <c r="G1417">
        <v>357.52</v>
      </c>
      <c r="H1417" t="s">
        <v>2060</v>
      </c>
      <c r="I1417" t="str">
        <f>VLOOKUP(B1417,Customers!A:G,7,FALSE)</f>
        <v>Individual</v>
      </c>
      <c r="Q1417" t="str">
        <f>IF(COUNTIF(Customers!$A$2:$A$1001,B1417)&gt;0,"Valid","Invalid")</f>
        <v>Valid</v>
      </c>
      <c r="R1417" t="str">
        <f>IF(COUNTIF(Branches!$A$2:$A$11,F1417)&gt;0,"Valid","Invalid")</f>
        <v>Valid</v>
      </c>
    </row>
    <row r="1418" spans="1:18" x14ac:dyDescent="0.25">
      <c r="A1418" t="s">
        <v>3489</v>
      </c>
      <c r="B1418" t="s">
        <v>501</v>
      </c>
      <c r="C1418" s="8">
        <v>46136</v>
      </c>
      <c r="D1418" t="s">
        <v>2058</v>
      </c>
      <c r="E1418" t="s">
        <v>2059</v>
      </c>
      <c r="F1418" t="s">
        <v>35</v>
      </c>
      <c r="G1418">
        <v>2398.77</v>
      </c>
      <c r="H1418" t="s">
        <v>2060</v>
      </c>
      <c r="I1418" t="str">
        <f>VLOOKUP(B1418,Customers!A:G,7,FALSE)</f>
        <v>Individual</v>
      </c>
      <c r="Q1418" t="str">
        <f>IF(COUNTIF(Customers!$A$2:$A$1001,B1418)&gt;0,"Valid","Invalid")</f>
        <v>Valid</v>
      </c>
      <c r="R1418" t="str">
        <f>IF(COUNTIF(Branches!$A$2:$A$11,F1418)&gt;0,"Valid","Invalid")</f>
        <v>Valid</v>
      </c>
    </row>
    <row r="1419" spans="1:18" x14ac:dyDescent="0.25">
      <c r="A1419" t="s">
        <v>3490</v>
      </c>
      <c r="B1419" t="s">
        <v>156</v>
      </c>
      <c r="C1419" s="8">
        <v>46183</v>
      </c>
      <c r="D1419" t="s">
        <v>2067</v>
      </c>
      <c r="E1419" t="s">
        <v>2063</v>
      </c>
      <c r="F1419" t="s">
        <v>21</v>
      </c>
      <c r="G1419">
        <v>459.38</v>
      </c>
      <c r="H1419" t="s">
        <v>2060</v>
      </c>
      <c r="I1419" t="str">
        <f>VLOOKUP(B1419,Customers!A:G,7,FALSE)</f>
        <v>Individual</v>
      </c>
      <c r="Q1419" t="str">
        <f>IF(COUNTIF(Customers!$A$2:$A$1001,B1419)&gt;0,"Valid","Invalid")</f>
        <v>Valid</v>
      </c>
      <c r="R1419" t="str">
        <f>IF(COUNTIF(Branches!$A$2:$A$11,F1419)&gt;0,"Valid","Invalid")</f>
        <v>Valid</v>
      </c>
    </row>
    <row r="1420" spans="1:18" x14ac:dyDescent="0.25">
      <c r="A1420" t="s">
        <v>3491</v>
      </c>
      <c r="B1420" t="s">
        <v>1014</v>
      </c>
      <c r="C1420" s="8">
        <v>46182</v>
      </c>
      <c r="D1420" t="s">
        <v>2058</v>
      </c>
      <c r="E1420" t="s">
        <v>2068</v>
      </c>
      <c r="F1420" t="s">
        <v>21</v>
      </c>
      <c r="G1420">
        <v>142.27000000000001</v>
      </c>
      <c r="H1420" t="s">
        <v>2060</v>
      </c>
      <c r="I1420" t="str">
        <f>VLOOKUP(B1420,Customers!A:G,7,FALSE)</f>
        <v>SME</v>
      </c>
      <c r="Q1420" t="str">
        <f>IF(COUNTIF(Customers!$A$2:$A$1001,B1420)&gt;0,"Valid","Invalid")</f>
        <v>Valid</v>
      </c>
      <c r="R1420" t="str">
        <f>IF(COUNTIF(Branches!$A$2:$A$11,F1420)&gt;0,"Valid","Invalid")</f>
        <v>Valid</v>
      </c>
    </row>
    <row r="1421" spans="1:18" x14ac:dyDescent="0.25">
      <c r="A1421" t="s">
        <v>3492</v>
      </c>
      <c r="B1421" t="s">
        <v>951</v>
      </c>
      <c r="C1421" s="8">
        <v>46209</v>
      </c>
      <c r="D1421" t="s">
        <v>2065</v>
      </c>
      <c r="E1421" t="s">
        <v>2063</v>
      </c>
      <c r="F1421" t="s">
        <v>39</v>
      </c>
      <c r="G1421">
        <v>3297.48</v>
      </c>
      <c r="H1421" t="s">
        <v>2060</v>
      </c>
      <c r="I1421" t="str">
        <f>VLOOKUP(B1421,Customers!A:G,7,FALSE)</f>
        <v>Individual</v>
      </c>
      <c r="Q1421" t="str">
        <f>IF(COUNTIF(Customers!$A$2:$A$1001,B1421)&gt;0,"Valid","Invalid")</f>
        <v>Valid</v>
      </c>
      <c r="R1421" t="str">
        <f>IF(COUNTIF(Branches!$A$2:$A$11,F1421)&gt;0,"Valid","Invalid")</f>
        <v>Valid</v>
      </c>
    </row>
    <row r="1422" spans="1:18" x14ac:dyDescent="0.25">
      <c r="A1422" t="s">
        <v>3493</v>
      </c>
      <c r="B1422" t="s">
        <v>164</v>
      </c>
      <c r="C1422" s="8">
        <v>46242</v>
      </c>
      <c r="D1422" t="s">
        <v>2062</v>
      </c>
      <c r="E1422" t="s">
        <v>2073</v>
      </c>
      <c r="F1422" t="s">
        <v>35</v>
      </c>
      <c r="G1422">
        <v>975.91</v>
      </c>
      <c r="H1422" t="s">
        <v>2060</v>
      </c>
      <c r="I1422" t="str">
        <f>VLOOKUP(B1422,Customers!A:G,7,FALSE)</f>
        <v>Individual</v>
      </c>
      <c r="Q1422" t="str">
        <f>IF(COUNTIF(Customers!$A$2:$A$1001,B1422)&gt;0,"Valid","Invalid")</f>
        <v>Valid</v>
      </c>
      <c r="R1422" t="str">
        <f>IF(COUNTIF(Branches!$A$2:$A$11,F1422)&gt;0,"Valid","Invalid")</f>
        <v>Valid</v>
      </c>
    </row>
    <row r="1423" spans="1:18" x14ac:dyDescent="0.25">
      <c r="A1423" t="s">
        <v>3494</v>
      </c>
      <c r="B1423" t="s">
        <v>761</v>
      </c>
      <c r="C1423" s="8">
        <v>46123</v>
      </c>
      <c r="D1423" t="s">
        <v>2062</v>
      </c>
      <c r="E1423" t="s">
        <v>2059</v>
      </c>
      <c r="F1423" t="s">
        <v>53</v>
      </c>
      <c r="G1423">
        <v>836.42</v>
      </c>
      <c r="H1423" t="s">
        <v>2060</v>
      </c>
      <c r="I1423" t="str">
        <f>VLOOKUP(B1423,Customers!A:G,7,FALSE)</f>
        <v>SME</v>
      </c>
      <c r="Q1423" t="str">
        <f>IF(COUNTIF(Customers!$A$2:$A$1001,B1423)&gt;0,"Valid","Invalid")</f>
        <v>Valid</v>
      </c>
      <c r="R1423" t="str">
        <f>IF(COUNTIF(Branches!$A$2:$A$11,F1423)&gt;0,"Valid","Invalid")</f>
        <v>Valid</v>
      </c>
    </row>
    <row r="1424" spans="1:18" x14ac:dyDescent="0.25">
      <c r="A1424" t="s">
        <v>3495</v>
      </c>
      <c r="B1424" t="s">
        <v>561</v>
      </c>
      <c r="C1424" s="8">
        <v>46191</v>
      </c>
      <c r="D1424" t="s">
        <v>2067</v>
      </c>
      <c r="E1424" t="s">
        <v>2059</v>
      </c>
      <c r="F1424" t="s">
        <v>47</v>
      </c>
      <c r="G1424">
        <v>2426.96</v>
      </c>
      <c r="H1424" t="s">
        <v>2060</v>
      </c>
      <c r="I1424" t="str">
        <f>VLOOKUP(B1424,Customers!A:G,7,FALSE)</f>
        <v>Student</v>
      </c>
      <c r="Q1424" t="str">
        <f>IF(COUNTIF(Customers!$A$2:$A$1001,B1424)&gt;0,"Valid","Invalid")</f>
        <v>Valid</v>
      </c>
      <c r="R1424" t="str">
        <f>IF(COUNTIF(Branches!$A$2:$A$11,F1424)&gt;0,"Valid","Invalid")</f>
        <v>Valid</v>
      </c>
    </row>
    <row r="1425" spans="1:18" x14ac:dyDescent="0.25">
      <c r="A1425" t="s">
        <v>3496</v>
      </c>
      <c r="B1425" t="s">
        <v>726</v>
      </c>
      <c r="C1425" s="8">
        <v>46034</v>
      </c>
      <c r="D1425" t="s">
        <v>2067</v>
      </c>
      <c r="E1425" t="s">
        <v>2076</v>
      </c>
      <c r="F1425" t="s">
        <v>21</v>
      </c>
      <c r="G1425">
        <v>1942.2</v>
      </c>
      <c r="H1425" t="s">
        <v>2060</v>
      </c>
      <c r="I1425" t="str">
        <f>VLOOKUP(B1425,Customers!A:G,7,FALSE)</f>
        <v>Individual</v>
      </c>
      <c r="Q1425" t="str">
        <f>IF(COUNTIF(Customers!$A$2:$A$1001,B1425)&gt;0,"Valid","Invalid")</f>
        <v>Valid</v>
      </c>
      <c r="R1425" t="str">
        <f>IF(COUNTIF(Branches!$A$2:$A$11,F1425)&gt;0,"Valid","Invalid")</f>
        <v>Valid</v>
      </c>
    </row>
    <row r="1426" spans="1:18" x14ac:dyDescent="0.25">
      <c r="A1426" t="s">
        <v>3497</v>
      </c>
      <c r="B1426" t="s">
        <v>683</v>
      </c>
      <c r="C1426" s="8">
        <v>46223</v>
      </c>
      <c r="D1426" t="s">
        <v>2065</v>
      </c>
      <c r="E1426" t="s">
        <v>2068</v>
      </c>
      <c r="F1426" t="s">
        <v>35</v>
      </c>
      <c r="G1426">
        <v>379.23</v>
      </c>
      <c r="H1426" t="s">
        <v>2060</v>
      </c>
      <c r="I1426" t="str">
        <f>VLOOKUP(B1426,Customers!A:G,7,FALSE)</f>
        <v>Individual</v>
      </c>
      <c r="Q1426" t="str">
        <f>IF(COUNTIF(Customers!$A$2:$A$1001,B1426)&gt;0,"Valid","Invalid")</f>
        <v>Valid</v>
      </c>
      <c r="R1426" t="str">
        <f>IF(COUNTIF(Branches!$A$2:$A$11,F1426)&gt;0,"Valid","Invalid")</f>
        <v>Valid</v>
      </c>
    </row>
    <row r="1427" spans="1:18" x14ac:dyDescent="0.25">
      <c r="A1427" t="s">
        <v>3498</v>
      </c>
      <c r="B1427" t="s">
        <v>363</v>
      </c>
      <c r="C1427" s="8">
        <v>46264</v>
      </c>
      <c r="D1427" t="s">
        <v>2058</v>
      </c>
      <c r="E1427" t="s">
        <v>2059</v>
      </c>
      <c r="F1427" t="s">
        <v>11</v>
      </c>
      <c r="G1427">
        <v>518.13</v>
      </c>
      <c r="H1427" t="s">
        <v>2060</v>
      </c>
      <c r="I1427" t="str">
        <f>VLOOKUP(B1427,Customers!A:G,7,FALSE)</f>
        <v>SME</v>
      </c>
      <c r="Q1427" t="str">
        <f>IF(COUNTIF(Customers!$A$2:$A$1001,B1427)&gt;0,"Valid","Invalid")</f>
        <v>Valid</v>
      </c>
      <c r="R1427" t="str">
        <f>IF(COUNTIF(Branches!$A$2:$A$11,F1427)&gt;0,"Valid","Invalid")</f>
        <v>Valid</v>
      </c>
    </row>
    <row r="1428" spans="1:18" x14ac:dyDescent="0.25">
      <c r="A1428" t="s">
        <v>3499</v>
      </c>
      <c r="B1428" t="s">
        <v>358</v>
      </c>
      <c r="C1428" s="8">
        <v>46141</v>
      </c>
      <c r="D1428" t="s">
        <v>2067</v>
      </c>
      <c r="E1428" t="s">
        <v>2059</v>
      </c>
      <c r="F1428" t="s">
        <v>45</v>
      </c>
      <c r="G1428">
        <v>266.95</v>
      </c>
      <c r="H1428" t="s">
        <v>2060</v>
      </c>
      <c r="I1428" t="str">
        <f>VLOOKUP(B1428,Customers!A:G,7,FALSE)</f>
        <v>Individual</v>
      </c>
      <c r="Q1428" t="str">
        <f>IF(COUNTIF(Customers!$A$2:$A$1001,B1428)&gt;0,"Valid","Invalid")</f>
        <v>Valid</v>
      </c>
      <c r="R1428" t="str">
        <f>IF(COUNTIF(Branches!$A$2:$A$11,F1428)&gt;0,"Valid","Invalid")</f>
        <v>Valid</v>
      </c>
    </row>
    <row r="1429" spans="1:18" x14ac:dyDescent="0.25">
      <c r="A1429" t="s">
        <v>3500</v>
      </c>
      <c r="B1429" t="s">
        <v>544</v>
      </c>
      <c r="C1429" s="8">
        <v>46161</v>
      </c>
      <c r="D1429" t="s">
        <v>2062</v>
      </c>
      <c r="E1429" t="s">
        <v>2059</v>
      </c>
      <c r="F1429" t="s">
        <v>47</v>
      </c>
      <c r="G1429">
        <v>187.83</v>
      </c>
      <c r="H1429" t="s">
        <v>2060</v>
      </c>
      <c r="I1429" t="str">
        <f>VLOOKUP(B1429,Customers!A:G,7,FALSE)</f>
        <v>Student</v>
      </c>
      <c r="Q1429" t="str">
        <f>IF(COUNTIF(Customers!$A$2:$A$1001,B1429)&gt;0,"Valid","Invalid")</f>
        <v>Valid</v>
      </c>
      <c r="R1429" t="str">
        <f>IF(COUNTIF(Branches!$A$2:$A$11,F1429)&gt;0,"Valid","Invalid")</f>
        <v>Valid</v>
      </c>
    </row>
    <row r="1430" spans="1:18" x14ac:dyDescent="0.25">
      <c r="A1430" t="s">
        <v>3501</v>
      </c>
      <c r="B1430" t="s">
        <v>564</v>
      </c>
      <c r="C1430" s="8">
        <v>46119</v>
      </c>
      <c r="D1430" t="s">
        <v>2058</v>
      </c>
      <c r="E1430" t="s">
        <v>2073</v>
      </c>
      <c r="F1430" t="s">
        <v>16</v>
      </c>
      <c r="G1430">
        <v>1448.95</v>
      </c>
      <c r="H1430" t="s">
        <v>2060</v>
      </c>
      <c r="I1430" t="str">
        <f>VLOOKUP(B1430,Customers!A:G,7,FALSE)</f>
        <v>SME</v>
      </c>
      <c r="Q1430" t="str">
        <f>IF(COUNTIF(Customers!$A$2:$A$1001,B1430)&gt;0,"Valid","Invalid")</f>
        <v>Valid</v>
      </c>
      <c r="R1430" t="str">
        <f>IF(COUNTIF(Branches!$A$2:$A$11,F1430)&gt;0,"Valid","Invalid")</f>
        <v>Valid</v>
      </c>
    </row>
    <row r="1431" spans="1:18" x14ac:dyDescent="0.25">
      <c r="A1431" t="s">
        <v>3502</v>
      </c>
      <c r="B1431" t="s">
        <v>86</v>
      </c>
      <c r="C1431" s="8">
        <v>46169</v>
      </c>
      <c r="D1431" t="s">
        <v>2058</v>
      </c>
      <c r="E1431" t="s">
        <v>2076</v>
      </c>
      <c r="F1431" t="s">
        <v>39</v>
      </c>
      <c r="G1431">
        <v>1202.53</v>
      </c>
      <c r="H1431" t="s">
        <v>2060</v>
      </c>
      <c r="I1431" t="str">
        <f>VLOOKUP(B1431,Customers!A:G,7,FALSE)</f>
        <v>Corporate</v>
      </c>
      <c r="Q1431" t="str">
        <f>IF(COUNTIF(Customers!$A$2:$A$1001,B1431)&gt;0,"Valid","Invalid")</f>
        <v>Valid</v>
      </c>
      <c r="R1431" t="str">
        <f>IF(COUNTIF(Branches!$A$2:$A$11,F1431)&gt;0,"Valid","Invalid")</f>
        <v>Valid</v>
      </c>
    </row>
    <row r="1432" spans="1:18" x14ac:dyDescent="0.25">
      <c r="A1432" t="s">
        <v>3503</v>
      </c>
      <c r="B1432" t="s">
        <v>960</v>
      </c>
      <c r="C1432" s="8">
        <v>46204</v>
      </c>
      <c r="D1432" t="s">
        <v>2058</v>
      </c>
      <c r="E1432" t="s">
        <v>2063</v>
      </c>
      <c r="F1432" t="s">
        <v>27</v>
      </c>
      <c r="G1432">
        <v>1738.59</v>
      </c>
      <c r="H1432" t="s">
        <v>2060</v>
      </c>
      <c r="I1432" t="str">
        <f>VLOOKUP(B1432,Customers!A:G,7,FALSE)</f>
        <v>Corporate</v>
      </c>
      <c r="Q1432" t="str">
        <f>IF(COUNTIF(Customers!$A$2:$A$1001,B1432)&gt;0,"Valid","Invalid")</f>
        <v>Valid</v>
      </c>
      <c r="R1432" t="str">
        <f>IF(COUNTIF(Branches!$A$2:$A$11,F1432)&gt;0,"Valid","Invalid")</f>
        <v>Valid</v>
      </c>
    </row>
    <row r="1433" spans="1:18" x14ac:dyDescent="0.25">
      <c r="A1433" t="s">
        <v>3504</v>
      </c>
      <c r="B1433" t="s">
        <v>622</v>
      </c>
      <c r="C1433" s="8">
        <v>46079</v>
      </c>
      <c r="D1433" t="s">
        <v>2065</v>
      </c>
      <c r="E1433" t="s">
        <v>2063</v>
      </c>
      <c r="F1433" t="s">
        <v>21</v>
      </c>
      <c r="G1433">
        <v>2926.63</v>
      </c>
      <c r="H1433" t="s">
        <v>2060</v>
      </c>
      <c r="I1433" t="str">
        <f>VLOOKUP(B1433,Customers!A:G,7,FALSE)</f>
        <v>Individual</v>
      </c>
      <c r="Q1433" t="str">
        <f>IF(COUNTIF(Customers!$A$2:$A$1001,B1433)&gt;0,"Valid","Invalid")</f>
        <v>Valid</v>
      </c>
      <c r="R1433" t="str">
        <f>IF(COUNTIF(Branches!$A$2:$A$11,F1433)&gt;0,"Valid","Invalid")</f>
        <v>Valid</v>
      </c>
    </row>
    <row r="1434" spans="1:18" x14ac:dyDescent="0.25">
      <c r="A1434" t="s">
        <v>3505</v>
      </c>
      <c r="B1434" t="s">
        <v>105</v>
      </c>
      <c r="C1434" s="8">
        <v>46064</v>
      </c>
      <c r="D1434" t="s">
        <v>2070</v>
      </c>
      <c r="E1434" t="s">
        <v>2063</v>
      </c>
      <c r="F1434" t="s">
        <v>45</v>
      </c>
      <c r="G1434">
        <v>1762.48</v>
      </c>
      <c r="H1434" t="s">
        <v>2107</v>
      </c>
      <c r="I1434" t="str">
        <f>VLOOKUP(B1434,Customers!A:G,7,FALSE)</f>
        <v>SME</v>
      </c>
      <c r="Q1434" t="str">
        <f>IF(COUNTIF(Customers!$A$2:$A$1001,B1434)&gt;0,"Valid","Invalid")</f>
        <v>Valid</v>
      </c>
      <c r="R1434" t="str">
        <f>IF(COUNTIF(Branches!$A$2:$A$11,F1434)&gt;0,"Valid","Invalid")</f>
        <v>Valid</v>
      </c>
    </row>
    <row r="1435" spans="1:18" x14ac:dyDescent="0.25">
      <c r="A1435" t="s">
        <v>3506</v>
      </c>
      <c r="B1435" t="s">
        <v>429</v>
      </c>
      <c r="C1435" s="8">
        <v>46120</v>
      </c>
      <c r="D1435" t="s">
        <v>2058</v>
      </c>
      <c r="E1435" t="s">
        <v>2063</v>
      </c>
      <c r="F1435" t="s">
        <v>35</v>
      </c>
      <c r="G1435">
        <v>1926.5</v>
      </c>
      <c r="H1435" t="s">
        <v>2060</v>
      </c>
      <c r="I1435" t="str">
        <f>VLOOKUP(B1435,Customers!A:G,7,FALSE)</f>
        <v>Student</v>
      </c>
      <c r="Q1435" t="str">
        <f>IF(COUNTIF(Customers!$A$2:$A$1001,B1435)&gt;0,"Valid","Invalid")</f>
        <v>Valid</v>
      </c>
      <c r="R1435" t="str">
        <f>IF(COUNTIF(Branches!$A$2:$A$11,F1435)&gt;0,"Valid","Invalid")</f>
        <v>Valid</v>
      </c>
    </row>
    <row r="1436" spans="1:18" x14ac:dyDescent="0.25">
      <c r="A1436" t="s">
        <v>3507</v>
      </c>
      <c r="B1436" t="s">
        <v>421</v>
      </c>
      <c r="C1436" s="8">
        <v>46221</v>
      </c>
      <c r="D1436" t="s">
        <v>2070</v>
      </c>
      <c r="E1436" t="s">
        <v>2063</v>
      </c>
      <c r="F1436" t="s">
        <v>35</v>
      </c>
      <c r="G1436">
        <v>101.7</v>
      </c>
      <c r="H1436" t="s">
        <v>2060</v>
      </c>
      <c r="I1436" t="str">
        <f>VLOOKUP(B1436,Customers!A:G,7,FALSE)</f>
        <v>Individual</v>
      </c>
      <c r="Q1436" t="str">
        <f>IF(COUNTIF(Customers!$A$2:$A$1001,B1436)&gt;0,"Valid","Invalid")</f>
        <v>Valid</v>
      </c>
      <c r="R1436" t="str">
        <f>IF(COUNTIF(Branches!$A$2:$A$11,F1436)&gt;0,"Valid","Invalid")</f>
        <v>Valid</v>
      </c>
    </row>
    <row r="1437" spans="1:18" x14ac:dyDescent="0.25">
      <c r="A1437" t="s">
        <v>3508</v>
      </c>
      <c r="B1437" t="s">
        <v>49</v>
      </c>
      <c r="C1437" s="8">
        <v>46053</v>
      </c>
      <c r="D1437" t="s">
        <v>2058</v>
      </c>
      <c r="E1437" t="s">
        <v>2076</v>
      </c>
      <c r="F1437" t="s">
        <v>29</v>
      </c>
      <c r="G1437">
        <v>597.66</v>
      </c>
      <c r="H1437" t="s">
        <v>2060</v>
      </c>
      <c r="I1437" t="str">
        <f>VLOOKUP(B1437,Customers!A:G,7,FALSE)</f>
        <v>Individual</v>
      </c>
      <c r="Q1437" t="str">
        <f>IF(COUNTIF(Customers!$A$2:$A$1001,B1437)&gt;0,"Valid","Invalid")</f>
        <v>Valid</v>
      </c>
      <c r="R1437" t="str">
        <f>IF(COUNTIF(Branches!$A$2:$A$11,F1437)&gt;0,"Valid","Invalid")</f>
        <v>Valid</v>
      </c>
    </row>
    <row r="1438" spans="1:18" x14ac:dyDescent="0.25">
      <c r="A1438" t="s">
        <v>3509</v>
      </c>
      <c r="B1438" t="s">
        <v>477</v>
      </c>
      <c r="C1438" s="8">
        <v>46202</v>
      </c>
      <c r="D1438" t="s">
        <v>2062</v>
      </c>
      <c r="E1438" t="s">
        <v>2063</v>
      </c>
      <c r="F1438" t="s">
        <v>29</v>
      </c>
      <c r="G1438">
        <v>2131.4899999999998</v>
      </c>
      <c r="H1438" t="s">
        <v>2060</v>
      </c>
      <c r="I1438" t="str">
        <f>VLOOKUP(B1438,Customers!A:G,7,FALSE)</f>
        <v>Individual</v>
      </c>
      <c r="Q1438" t="str">
        <f>IF(COUNTIF(Customers!$A$2:$A$1001,B1438)&gt;0,"Valid","Invalid")</f>
        <v>Valid</v>
      </c>
      <c r="R1438" t="str">
        <f>IF(COUNTIF(Branches!$A$2:$A$11,F1438)&gt;0,"Valid","Invalid")</f>
        <v>Valid</v>
      </c>
    </row>
    <row r="1439" spans="1:18" x14ac:dyDescent="0.25">
      <c r="A1439" t="s">
        <v>3510</v>
      </c>
      <c r="B1439" t="s">
        <v>884</v>
      </c>
      <c r="C1439" s="8">
        <v>46024</v>
      </c>
      <c r="D1439" t="s">
        <v>2065</v>
      </c>
      <c r="E1439" t="s">
        <v>2059</v>
      </c>
      <c r="F1439" t="s">
        <v>45</v>
      </c>
      <c r="G1439">
        <v>252.6</v>
      </c>
      <c r="H1439" t="s">
        <v>2060</v>
      </c>
      <c r="I1439" t="str">
        <f>VLOOKUP(B1439,Customers!A:G,7,FALSE)</f>
        <v>SME</v>
      </c>
      <c r="Q1439" t="str">
        <f>IF(COUNTIF(Customers!$A$2:$A$1001,B1439)&gt;0,"Valid","Invalid")</f>
        <v>Valid</v>
      </c>
      <c r="R1439" t="str">
        <f>IF(COUNTIF(Branches!$A$2:$A$11,F1439)&gt;0,"Valid","Invalid")</f>
        <v>Valid</v>
      </c>
    </row>
    <row r="1440" spans="1:18" x14ac:dyDescent="0.25">
      <c r="A1440" t="s">
        <v>3511</v>
      </c>
      <c r="B1440" t="s">
        <v>907</v>
      </c>
      <c r="C1440" s="8">
        <v>46233</v>
      </c>
      <c r="D1440" t="s">
        <v>2058</v>
      </c>
      <c r="E1440" t="s">
        <v>2076</v>
      </c>
      <c r="F1440" t="s">
        <v>16</v>
      </c>
      <c r="G1440">
        <v>890.4</v>
      </c>
      <c r="H1440" t="s">
        <v>2060</v>
      </c>
      <c r="I1440" t="str">
        <f>VLOOKUP(B1440,Customers!A:G,7,FALSE)</f>
        <v>Individual</v>
      </c>
      <c r="Q1440" t="str">
        <f>IF(COUNTIF(Customers!$A$2:$A$1001,B1440)&gt;0,"Valid","Invalid")</f>
        <v>Valid</v>
      </c>
      <c r="R1440" t="str">
        <f>IF(COUNTIF(Branches!$A$2:$A$11,F1440)&gt;0,"Valid","Invalid")</f>
        <v>Valid</v>
      </c>
    </row>
    <row r="1441" spans="1:18" x14ac:dyDescent="0.25">
      <c r="A1441" t="s">
        <v>3512</v>
      </c>
      <c r="B1441" t="s">
        <v>606</v>
      </c>
      <c r="C1441" s="8">
        <v>46188</v>
      </c>
      <c r="D1441" t="s">
        <v>2062</v>
      </c>
      <c r="E1441" t="s">
        <v>2063</v>
      </c>
      <c r="F1441" t="s">
        <v>11</v>
      </c>
      <c r="G1441">
        <v>1365.76</v>
      </c>
      <c r="H1441" t="s">
        <v>2060</v>
      </c>
      <c r="I1441" t="str">
        <f>VLOOKUP(B1441,Customers!A:G,7,FALSE)</f>
        <v>SME</v>
      </c>
      <c r="Q1441" t="str">
        <f>IF(COUNTIF(Customers!$A$2:$A$1001,B1441)&gt;0,"Valid","Invalid")</f>
        <v>Valid</v>
      </c>
      <c r="R1441" t="str">
        <f>IF(COUNTIF(Branches!$A$2:$A$11,F1441)&gt;0,"Valid","Invalid")</f>
        <v>Valid</v>
      </c>
    </row>
    <row r="1442" spans="1:18" x14ac:dyDescent="0.25">
      <c r="A1442" t="s">
        <v>3513</v>
      </c>
      <c r="B1442" t="s">
        <v>655</v>
      </c>
      <c r="C1442" s="8">
        <v>46054</v>
      </c>
      <c r="D1442" t="s">
        <v>2062</v>
      </c>
      <c r="E1442" t="s">
        <v>2063</v>
      </c>
      <c r="F1442" t="s">
        <v>29</v>
      </c>
      <c r="G1442">
        <v>1265.03</v>
      </c>
      <c r="H1442" t="s">
        <v>2060</v>
      </c>
      <c r="I1442" t="str">
        <f>VLOOKUP(B1442,Customers!A:G,7,FALSE)</f>
        <v>Individual</v>
      </c>
      <c r="Q1442" t="str">
        <f>IF(COUNTIF(Customers!$A$2:$A$1001,B1442)&gt;0,"Valid","Invalid")</f>
        <v>Valid</v>
      </c>
      <c r="R1442" t="str">
        <f>IF(COUNTIF(Branches!$A$2:$A$11,F1442)&gt;0,"Valid","Invalid")</f>
        <v>Valid</v>
      </c>
    </row>
    <row r="1443" spans="1:18" x14ac:dyDescent="0.25">
      <c r="A1443" t="s">
        <v>3514</v>
      </c>
      <c r="B1443" t="s">
        <v>168</v>
      </c>
      <c r="C1443" s="8">
        <v>46160</v>
      </c>
      <c r="D1443" t="s">
        <v>2062</v>
      </c>
      <c r="E1443" t="s">
        <v>2063</v>
      </c>
      <c r="F1443" t="s">
        <v>11</v>
      </c>
      <c r="G1443">
        <v>1174.73</v>
      </c>
      <c r="H1443" t="s">
        <v>2060</v>
      </c>
      <c r="I1443" t="str">
        <f>VLOOKUP(B1443,Customers!A:G,7,FALSE)</f>
        <v>SME</v>
      </c>
      <c r="Q1443" t="str">
        <f>IF(COUNTIF(Customers!$A$2:$A$1001,B1443)&gt;0,"Valid","Invalid")</f>
        <v>Valid</v>
      </c>
      <c r="R1443" t="str">
        <f>IF(COUNTIF(Branches!$A$2:$A$11,F1443)&gt;0,"Valid","Invalid")</f>
        <v>Valid</v>
      </c>
    </row>
    <row r="1444" spans="1:18" x14ac:dyDescent="0.25">
      <c r="A1444" t="s">
        <v>3515</v>
      </c>
      <c r="B1444" t="s">
        <v>1034</v>
      </c>
      <c r="C1444" s="8">
        <v>46127</v>
      </c>
      <c r="D1444" t="s">
        <v>2065</v>
      </c>
      <c r="E1444" t="s">
        <v>2063</v>
      </c>
      <c r="F1444" t="s">
        <v>11</v>
      </c>
      <c r="G1444">
        <v>1478.69</v>
      </c>
      <c r="H1444" t="s">
        <v>2060</v>
      </c>
      <c r="I1444" t="str">
        <f>VLOOKUP(B1444,Customers!A:G,7,FALSE)</f>
        <v>Individual</v>
      </c>
      <c r="Q1444" t="str">
        <f>IF(COUNTIF(Customers!$A$2:$A$1001,B1444)&gt;0,"Valid","Invalid")</f>
        <v>Valid</v>
      </c>
      <c r="R1444" t="str">
        <f>IF(COUNTIF(Branches!$A$2:$A$11,F1444)&gt;0,"Valid","Invalid")</f>
        <v>Valid</v>
      </c>
    </row>
    <row r="1445" spans="1:18" x14ac:dyDescent="0.25">
      <c r="A1445" t="s">
        <v>3516</v>
      </c>
      <c r="B1445" t="s">
        <v>598</v>
      </c>
      <c r="C1445" s="8">
        <v>46158</v>
      </c>
      <c r="D1445" t="s">
        <v>2070</v>
      </c>
      <c r="E1445" t="s">
        <v>2068</v>
      </c>
      <c r="F1445" t="s">
        <v>21</v>
      </c>
      <c r="G1445">
        <v>973.35</v>
      </c>
      <c r="H1445" t="s">
        <v>2060</v>
      </c>
      <c r="I1445" t="str">
        <f>VLOOKUP(B1445,Customers!A:G,7,FALSE)</f>
        <v>Individual</v>
      </c>
      <c r="Q1445" t="str">
        <f>IF(COUNTIF(Customers!$A$2:$A$1001,B1445)&gt;0,"Valid","Invalid")</f>
        <v>Valid</v>
      </c>
      <c r="R1445" t="str">
        <f>IF(COUNTIF(Branches!$A$2:$A$11,F1445)&gt;0,"Valid","Invalid")</f>
        <v>Valid</v>
      </c>
    </row>
    <row r="1446" spans="1:18" x14ac:dyDescent="0.25">
      <c r="A1446" t="s">
        <v>3517</v>
      </c>
      <c r="B1446" t="s">
        <v>286</v>
      </c>
      <c r="C1446" s="8">
        <v>46240</v>
      </c>
      <c r="D1446" t="s">
        <v>2070</v>
      </c>
      <c r="E1446" t="s">
        <v>2076</v>
      </c>
      <c r="F1446" t="s">
        <v>29</v>
      </c>
      <c r="G1446">
        <v>188.12</v>
      </c>
      <c r="H1446" t="s">
        <v>2060</v>
      </c>
      <c r="I1446" t="str">
        <f>VLOOKUP(B1446,Customers!A:G,7,FALSE)</f>
        <v>Student</v>
      </c>
      <c r="Q1446" t="str">
        <f>IF(COUNTIF(Customers!$A$2:$A$1001,B1446)&gt;0,"Valid","Invalid")</f>
        <v>Valid</v>
      </c>
      <c r="R1446" t="str">
        <f>IF(COUNTIF(Branches!$A$2:$A$11,F1446)&gt;0,"Valid","Invalid")</f>
        <v>Valid</v>
      </c>
    </row>
    <row r="1447" spans="1:18" x14ac:dyDescent="0.25">
      <c r="A1447" t="s">
        <v>3518</v>
      </c>
      <c r="B1447" t="s">
        <v>311</v>
      </c>
      <c r="C1447" s="8">
        <v>46244</v>
      </c>
      <c r="D1447" t="s">
        <v>2065</v>
      </c>
      <c r="E1447" t="s">
        <v>2063</v>
      </c>
      <c r="F1447" t="s">
        <v>47</v>
      </c>
      <c r="G1447">
        <v>1348.78</v>
      </c>
      <c r="H1447" t="s">
        <v>2060</v>
      </c>
      <c r="I1447" t="str">
        <f>VLOOKUP(B1447,Customers!A:G,7,FALSE)</f>
        <v>Individual</v>
      </c>
      <c r="Q1447" t="str">
        <f>IF(COUNTIF(Customers!$A$2:$A$1001,B1447)&gt;0,"Valid","Invalid")</f>
        <v>Valid</v>
      </c>
      <c r="R1447" t="str">
        <f>IF(COUNTIF(Branches!$A$2:$A$11,F1447)&gt;0,"Valid","Invalid")</f>
        <v>Valid</v>
      </c>
    </row>
    <row r="1448" spans="1:18" x14ac:dyDescent="0.25">
      <c r="A1448" t="s">
        <v>3519</v>
      </c>
      <c r="B1448" t="s">
        <v>661</v>
      </c>
      <c r="C1448" s="8">
        <v>46097</v>
      </c>
      <c r="D1448" t="s">
        <v>2070</v>
      </c>
      <c r="E1448" t="s">
        <v>2059</v>
      </c>
      <c r="F1448" t="s">
        <v>35</v>
      </c>
      <c r="G1448">
        <v>1080.03</v>
      </c>
      <c r="H1448" t="s">
        <v>2060</v>
      </c>
      <c r="I1448" t="str">
        <f>VLOOKUP(B1448,Customers!A:G,7,FALSE)</f>
        <v>SME</v>
      </c>
      <c r="Q1448" t="str">
        <f>IF(COUNTIF(Customers!$A$2:$A$1001,B1448)&gt;0,"Valid","Invalid")</f>
        <v>Valid</v>
      </c>
      <c r="R1448" t="str">
        <f>IF(COUNTIF(Branches!$A$2:$A$11,F1448)&gt;0,"Valid","Invalid")</f>
        <v>Valid</v>
      </c>
    </row>
    <row r="1449" spans="1:18" x14ac:dyDescent="0.25">
      <c r="A1449" t="s">
        <v>3520</v>
      </c>
      <c r="B1449" t="s">
        <v>970</v>
      </c>
      <c r="C1449" s="8">
        <v>46127</v>
      </c>
      <c r="D1449" t="s">
        <v>2067</v>
      </c>
      <c r="E1449" t="s">
        <v>2063</v>
      </c>
      <c r="F1449" t="s">
        <v>29</v>
      </c>
      <c r="G1449">
        <v>190.61</v>
      </c>
      <c r="H1449" t="s">
        <v>2060</v>
      </c>
      <c r="I1449" t="str">
        <f>VLOOKUP(B1449,Customers!A:G,7,FALSE)</f>
        <v>SME</v>
      </c>
      <c r="Q1449" t="str">
        <f>IF(COUNTIF(Customers!$A$2:$A$1001,B1449)&gt;0,"Valid","Invalid")</f>
        <v>Valid</v>
      </c>
      <c r="R1449" t="str">
        <f>IF(COUNTIF(Branches!$A$2:$A$11,F1449)&gt;0,"Valid","Invalid")</f>
        <v>Valid</v>
      </c>
    </row>
    <row r="1450" spans="1:18" x14ac:dyDescent="0.25">
      <c r="A1450" t="s">
        <v>3521</v>
      </c>
      <c r="B1450" t="s">
        <v>876</v>
      </c>
      <c r="C1450" s="8">
        <v>46170</v>
      </c>
      <c r="D1450" t="s">
        <v>2058</v>
      </c>
      <c r="E1450" t="s">
        <v>2059</v>
      </c>
      <c r="F1450" t="s">
        <v>21</v>
      </c>
      <c r="G1450">
        <v>3228.38</v>
      </c>
      <c r="H1450" t="s">
        <v>2060</v>
      </c>
      <c r="I1450" t="str">
        <f>VLOOKUP(B1450,Customers!A:G,7,FALSE)</f>
        <v>Individual</v>
      </c>
      <c r="Q1450" t="str">
        <f>IF(COUNTIF(Customers!$A$2:$A$1001,B1450)&gt;0,"Valid","Invalid")</f>
        <v>Valid</v>
      </c>
      <c r="R1450" t="str">
        <f>IF(COUNTIF(Branches!$A$2:$A$11,F1450)&gt;0,"Valid","Invalid")</f>
        <v>Valid</v>
      </c>
    </row>
    <row r="1451" spans="1:18" x14ac:dyDescent="0.25">
      <c r="A1451" t="s">
        <v>3522</v>
      </c>
      <c r="B1451" t="s">
        <v>886</v>
      </c>
      <c r="C1451" s="8">
        <v>46170</v>
      </c>
      <c r="D1451" t="s">
        <v>2067</v>
      </c>
      <c r="E1451" t="s">
        <v>2059</v>
      </c>
      <c r="F1451" t="s">
        <v>11</v>
      </c>
      <c r="G1451">
        <v>1385.53</v>
      </c>
      <c r="H1451" t="s">
        <v>2107</v>
      </c>
      <c r="I1451" t="str">
        <f>VLOOKUP(B1451,Customers!A:G,7,FALSE)</f>
        <v>SME</v>
      </c>
      <c r="Q1451" t="str">
        <f>IF(COUNTIF(Customers!$A$2:$A$1001,B1451)&gt;0,"Valid","Invalid")</f>
        <v>Valid</v>
      </c>
      <c r="R1451" t="str">
        <f>IF(COUNTIF(Branches!$A$2:$A$11,F1451)&gt;0,"Valid","Invalid")</f>
        <v>Valid</v>
      </c>
    </row>
    <row r="1452" spans="1:18" x14ac:dyDescent="0.25">
      <c r="A1452" t="s">
        <v>3523</v>
      </c>
      <c r="B1452" t="s">
        <v>387</v>
      </c>
      <c r="C1452" s="8">
        <v>46149</v>
      </c>
      <c r="D1452" t="s">
        <v>2070</v>
      </c>
      <c r="E1452" t="s">
        <v>2059</v>
      </c>
      <c r="F1452" t="s">
        <v>39</v>
      </c>
      <c r="G1452">
        <v>204.31</v>
      </c>
      <c r="H1452" t="s">
        <v>2060</v>
      </c>
      <c r="I1452" t="str">
        <f>VLOOKUP(B1452,Customers!A:G,7,FALSE)</f>
        <v>Individual</v>
      </c>
      <c r="Q1452" t="str">
        <f>IF(COUNTIF(Customers!$A$2:$A$1001,B1452)&gt;0,"Valid","Invalid")</f>
        <v>Valid</v>
      </c>
      <c r="R1452" t="str">
        <f>IF(COUNTIF(Branches!$A$2:$A$11,F1452)&gt;0,"Valid","Invalid")</f>
        <v>Valid</v>
      </c>
    </row>
    <row r="1453" spans="1:18" x14ac:dyDescent="0.25">
      <c r="A1453" t="s">
        <v>3524</v>
      </c>
      <c r="B1453" t="s">
        <v>522</v>
      </c>
      <c r="C1453" s="8">
        <v>46031</v>
      </c>
      <c r="D1453" t="s">
        <v>2065</v>
      </c>
      <c r="E1453" t="s">
        <v>2063</v>
      </c>
      <c r="F1453" t="s">
        <v>29</v>
      </c>
      <c r="G1453">
        <v>358.8</v>
      </c>
      <c r="H1453" t="s">
        <v>2060</v>
      </c>
      <c r="I1453" t="str">
        <f>VLOOKUP(B1453,Customers!A:G,7,FALSE)</f>
        <v>Individual</v>
      </c>
      <c r="Q1453" t="str">
        <f>IF(COUNTIF(Customers!$A$2:$A$1001,B1453)&gt;0,"Valid","Invalid")</f>
        <v>Valid</v>
      </c>
      <c r="R1453" t="str">
        <f>IF(COUNTIF(Branches!$A$2:$A$11,F1453)&gt;0,"Valid","Invalid")</f>
        <v>Valid</v>
      </c>
    </row>
    <row r="1454" spans="1:18" x14ac:dyDescent="0.25">
      <c r="A1454" t="s">
        <v>3525</v>
      </c>
      <c r="B1454" t="s">
        <v>588</v>
      </c>
      <c r="C1454" s="8">
        <v>46222</v>
      </c>
      <c r="D1454" t="s">
        <v>2058</v>
      </c>
      <c r="E1454" t="s">
        <v>2063</v>
      </c>
      <c r="F1454" t="s">
        <v>11</v>
      </c>
      <c r="G1454">
        <v>462.18</v>
      </c>
      <c r="H1454" t="s">
        <v>2060</v>
      </c>
      <c r="I1454" t="str">
        <f>VLOOKUP(B1454,Customers!A:G,7,FALSE)</f>
        <v>Individual</v>
      </c>
      <c r="Q1454" t="str">
        <f>IF(COUNTIF(Customers!$A$2:$A$1001,B1454)&gt;0,"Valid","Invalid")</f>
        <v>Valid</v>
      </c>
      <c r="R1454" t="str">
        <f>IF(COUNTIF(Branches!$A$2:$A$11,F1454)&gt;0,"Valid","Invalid")</f>
        <v>Valid</v>
      </c>
    </row>
    <row r="1455" spans="1:18" x14ac:dyDescent="0.25">
      <c r="A1455" t="s">
        <v>3526</v>
      </c>
      <c r="B1455" t="s">
        <v>395</v>
      </c>
      <c r="C1455" s="8">
        <v>46037</v>
      </c>
      <c r="D1455" t="s">
        <v>2067</v>
      </c>
      <c r="E1455" t="s">
        <v>2076</v>
      </c>
      <c r="F1455" t="s">
        <v>53</v>
      </c>
      <c r="G1455">
        <v>461.85</v>
      </c>
      <c r="H1455" t="s">
        <v>2060</v>
      </c>
      <c r="I1455" t="str">
        <f>VLOOKUP(B1455,Customers!A:G,7,FALSE)</f>
        <v>Individual</v>
      </c>
      <c r="Q1455" t="str">
        <f>IF(COUNTIF(Customers!$A$2:$A$1001,B1455)&gt;0,"Valid","Invalid")</f>
        <v>Valid</v>
      </c>
      <c r="R1455" t="str">
        <f>IF(COUNTIF(Branches!$A$2:$A$11,F1455)&gt;0,"Valid","Invalid")</f>
        <v>Valid</v>
      </c>
    </row>
    <row r="1456" spans="1:18" x14ac:dyDescent="0.25">
      <c r="A1456" t="s">
        <v>3527</v>
      </c>
      <c r="B1456" t="s">
        <v>790</v>
      </c>
      <c r="C1456" s="8">
        <v>46248</v>
      </c>
      <c r="D1456" t="s">
        <v>2067</v>
      </c>
      <c r="E1456" t="s">
        <v>2068</v>
      </c>
      <c r="F1456" t="s">
        <v>35</v>
      </c>
      <c r="G1456">
        <v>1089.04</v>
      </c>
      <c r="H1456" t="s">
        <v>2060</v>
      </c>
      <c r="I1456" t="str">
        <f>VLOOKUP(B1456,Customers!A:G,7,FALSE)</f>
        <v>Individual</v>
      </c>
      <c r="Q1456" t="str">
        <f>IF(COUNTIF(Customers!$A$2:$A$1001,B1456)&gt;0,"Valid","Invalid")</f>
        <v>Valid</v>
      </c>
      <c r="R1456" t="str">
        <f>IF(COUNTIF(Branches!$A$2:$A$11,F1456)&gt;0,"Valid","Invalid")</f>
        <v>Valid</v>
      </c>
    </row>
    <row r="1457" spans="1:18" x14ac:dyDescent="0.25">
      <c r="A1457" t="s">
        <v>3528</v>
      </c>
      <c r="B1457" t="s">
        <v>356</v>
      </c>
      <c r="C1457" s="8">
        <v>46238</v>
      </c>
      <c r="D1457" t="s">
        <v>2058</v>
      </c>
      <c r="E1457" t="s">
        <v>2073</v>
      </c>
      <c r="F1457" t="s">
        <v>27</v>
      </c>
      <c r="G1457">
        <v>306.02</v>
      </c>
      <c r="H1457" t="s">
        <v>2060</v>
      </c>
      <c r="I1457" t="str">
        <f>VLOOKUP(B1457,Customers!A:G,7,FALSE)</f>
        <v>Individual</v>
      </c>
      <c r="Q1457" t="str">
        <f>IF(COUNTIF(Customers!$A$2:$A$1001,B1457)&gt;0,"Valid","Invalid")</f>
        <v>Valid</v>
      </c>
      <c r="R1457" t="str">
        <f>IF(COUNTIF(Branches!$A$2:$A$11,F1457)&gt;0,"Valid","Invalid")</f>
        <v>Valid</v>
      </c>
    </row>
    <row r="1458" spans="1:18" x14ac:dyDescent="0.25">
      <c r="A1458" t="s">
        <v>3529</v>
      </c>
      <c r="B1458" t="s">
        <v>671</v>
      </c>
      <c r="C1458" s="8">
        <v>46119</v>
      </c>
      <c r="D1458" t="s">
        <v>2065</v>
      </c>
      <c r="E1458" t="s">
        <v>2063</v>
      </c>
      <c r="F1458" t="s">
        <v>29</v>
      </c>
      <c r="G1458">
        <v>2510.25</v>
      </c>
      <c r="H1458" t="s">
        <v>2060</v>
      </c>
      <c r="I1458" t="str">
        <f>VLOOKUP(B1458,Customers!A:G,7,FALSE)</f>
        <v>Individual</v>
      </c>
      <c r="Q1458" t="str">
        <f>IF(COUNTIF(Customers!$A$2:$A$1001,B1458)&gt;0,"Valid","Invalid")</f>
        <v>Valid</v>
      </c>
      <c r="R1458" t="str">
        <f>IF(COUNTIF(Branches!$A$2:$A$11,F1458)&gt;0,"Valid","Invalid")</f>
        <v>Valid</v>
      </c>
    </row>
    <row r="1459" spans="1:18" x14ac:dyDescent="0.25">
      <c r="A1459" t="s">
        <v>3530</v>
      </c>
      <c r="B1459" t="s">
        <v>84</v>
      </c>
      <c r="C1459" s="8">
        <v>46127</v>
      </c>
      <c r="D1459" t="s">
        <v>2062</v>
      </c>
      <c r="E1459" t="s">
        <v>2076</v>
      </c>
      <c r="F1459" t="s">
        <v>45</v>
      </c>
      <c r="G1459">
        <v>2311.85</v>
      </c>
      <c r="H1459" t="s">
        <v>2060</v>
      </c>
      <c r="I1459" t="str">
        <f>VLOOKUP(B1459,Customers!A:G,7,FALSE)</f>
        <v>SME</v>
      </c>
      <c r="Q1459" t="str">
        <f>IF(COUNTIF(Customers!$A$2:$A$1001,B1459)&gt;0,"Valid","Invalid")</f>
        <v>Valid</v>
      </c>
      <c r="R1459" t="str">
        <f>IF(COUNTIF(Branches!$A$2:$A$11,F1459)&gt;0,"Valid","Invalid")</f>
        <v>Valid</v>
      </c>
    </row>
    <row r="1460" spans="1:18" x14ac:dyDescent="0.25">
      <c r="A1460" t="s">
        <v>3531</v>
      </c>
      <c r="B1460" t="s">
        <v>37</v>
      </c>
      <c r="C1460" s="8">
        <v>46255</v>
      </c>
      <c r="D1460" t="s">
        <v>2070</v>
      </c>
      <c r="E1460" t="s">
        <v>2076</v>
      </c>
      <c r="F1460" t="s">
        <v>29</v>
      </c>
      <c r="G1460">
        <v>1509.17</v>
      </c>
      <c r="H1460" t="s">
        <v>2060</v>
      </c>
      <c r="I1460" t="str">
        <f>VLOOKUP(B1460,Customers!A:G,7,FALSE)</f>
        <v>SME</v>
      </c>
      <c r="Q1460" t="str">
        <f>IF(COUNTIF(Customers!$A$2:$A$1001,B1460)&gt;0,"Valid","Invalid")</f>
        <v>Valid</v>
      </c>
      <c r="R1460" t="str">
        <f>IF(COUNTIF(Branches!$A$2:$A$11,F1460)&gt;0,"Valid","Invalid")</f>
        <v>Valid</v>
      </c>
    </row>
    <row r="1461" spans="1:18" x14ac:dyDescent="0.25">
      <c r="A1461" t="s">
        <v>3532</v>
      </c>
      <c r="B1461" t="s">
        <v>271</v>
      </c>
      <c r="C1461" s="8">
        <v>46259</v>
      </c>
      <c r="D1461" t="s">
        <v>2062</v>
      </c>
      <c r="E1461" t="s">
        <v>2073</v>
      </c>
      <c r="F1461" t="s">
        <v>16</v>
      </c>
      <c r="G1461">
        <v>849.16</v>
      </c>
      <c r="H1461" t="s">
        <v>2060</v>
      </c>
      <c r="I1461" t="str">
        <f>VLOOKUP(B1461,Customers!A:G,7,FALSE)</f>
        <v>Student</v>
      </c>
      <c r="Q1461" t="str">
        <f>IF(COUNTIF(Customers!$A$2:$A$1001,B1461)&gt;0,"Valid","Invalid")</f>
        <v>Valid</v>
      </c>
      <c r="R1461" t="str">
        <f>IF(COUNTIF(Branches!$A$2:$A$11,F1461)&gt;0,"Valid","Invalid")</f>
        <v>Valid</v>
      </c>
    </row>
    <row r="1462" spans="1:18" x14ac:dyDescent="0.25">
      <c r="A1462" t="s">
        <v>3533</v>
      </c>
      <c r="B1462" t="s">
        <v>70</v>
      </c>
      <c r="C1462" s="8">
        <v>46085</v>
      </c>
      <c r="D1462" t="s">
        <v>2062</v>
      </c>
      <c r="E1462" t="s">
        <v>2063</v>
      </c>
      <c r="F1462" t="s">
        <v>47</v>
      </c>
      <c r="G1462">
        <v>2074.44</v>
      </c>
      <c r="H1462" t="s">
        <v>2060</v>
      </c>
      <c r="I1462" t="str">
        <f>VLOOKUP(B1462,Customers!A:G,7,FALSE)</f>
        <v>Individual</v>
      </c>
      <c r="Q1462" t="str">
        <f>IF(COUNTIF(Customers!$A$2:$A$1001,B1462)&gt;0,"Valid","Invalid")</f>
        <v>Valid</v>
      </c>
      <c r="R1462" t="str">
        <f>IF(COUNTIF(Branches!$A$2:$A$11,F1462)&gt;0,"Valid","Invalid")</f>
        <v>Valid</v>
      </c>
    </row>
    <row r="1463" spans="1:18" x14ac:dyDescent="0.25">
      <c r="A1463" t="s">
        <v>3534</v>
      </c>
      <c r="B1463" t="s">
        <v>451</v>
      </c>
      <c r="C1463" s="8">
        <v>46254</v>
      </c>
      <c r="D1463" t="s">
        <v>2067</v>
      </c>
      <c r="E1463" t="s">
        <v>2076</v>
      </c>
      <c r="F1463" t="s">
        <v>53</v>
      </c>
      <c r="G1463">
        <v>616.5</v>
      </c>
      <c r="H1463" t="s">
        <v>2060</v>
      </c>
      <c r="I1463" t="str">
        <f>VLOOKUP(B1463,Customers!A:G,7,FALSE)</f>
        <v>Individual</v>
      </c>
      <c r="Q1463" t="str">
        <f>IF(COUNTIF(Customers!$A$2:$A$1001,B1463)&gt;0,"Valid","Invalid")</f>
        <v>Valid</v>
      </c>
      <c r="R1463" t="str">
        <f>IF(COUNTIF(Branches!$A$2:$A$11,F1463)&gt;0,"Valid","Invalid")</f>
        <v>Valid</v>
      </c>
    </row>
    <row r="1464" spans="1:18" x14ac:dyDescent="0.25">
      <c r="A1464" t="s">
        <v>3535</v>
      </c>
      <c r="B1464" t="s">
        <v>500</v>
      </c>
      <c r="C1464" s="8">
        <v>46241</v>
      </c>
      <c r="D1464" t="s">
        <v>2067</v>
      </c>
      <c r="E1464" t="s">
        <v>2063</v>
      </c>
      <c r="F1464" t="s">
        <v>29</v>
      </c>
      <c r="G1464">
        <v>393.67</v>
      </c>
      <c r="H1464" t="s">
        <v>2060</v>
      </c>
      <c r="I1464" t="str">
        <f>VLOOKUP(B1464,Customers!A:G,7,FALSE)</f>
        <v>Student</v>
      </c>
      <c r="Q1464" t="str">
        <f>IF(COUNTIF(Customers!$A$2:$A$1001,B1464)&gt;0,"Valid","Invalid")</f>
        <v>Valid</v>
      </c>
      <c r="R1464" t="str">
        <f>IF(COUNTIF(Branches!$A$2:$A$11,F1464)&gt;0,"Valid","Invalid")</f>
        <v>Valid</v>
      </c>
    </row>
    <row r="1465" spans="1:18" x14ac:dyDescent="0.25">
      <c r="A1465" t="s">
        <v>3536</v>
      </c>
      <c r="B1465" t="s">
        <v>23</v>
      </c>
      <c r="C1465" s="8">
        <v>46043</v>
      </c>
      <c r="D1465" t="s">
        <v>2058</v>
      </c>
      <c r="E1465" t="s">
        <v>2076</v>
      </c>
      <c r="F1465" t="s">
        <v>27</v>
      </c>
      <c r="G1465">
        <v>2670.74</v>
      </c>
      <c r="H1465" t="s">
        <v>2060</v>
      </c>
      <c r="I1465" t="str">
        <f>VLOOKUP(B1465,Customers!A:G,7,FALSE)</f>
        <v>Individual</v>
      </c>
      <c r="Q1465" t="str">
        <f>IF(COUNTIF(Customers!$A$2:$A$1001,B1465)&gt;0,"Valid","Invalid")</f>
        <v>Valid</v>
      </c>
      <c r="R1465" t="str">
        <f>IF(COUNTIF(Branches!$A$2:$A$11,F1465)&gt;0,"Valid","Invalid")</f>
        <v>Valid</v>
      </c>
    </row>
    <row r="1466" spans="1:18" x14ac:dyDescent="0.25">
      <c r="A1466" t="s">
        <v>3537</v>
      </c>
      <c r="B1466" t="s">
        <v>79</v>
      </c>
      <c r="C1466" s="8">
        <v>46027</v>
      </c>
      <c r="D1466" t="s">
        <v>2065</v>
      </c>
      <c r="E1466" t="s">
        <v>2059</v>
      </c>
      <c r="F1466" t="s">
        <v>53</v>
      </c>
      <c r="G1466">
        <v>1116.04</v>
      </c>
      <c r="H1466" t="s">
        <v>2060</v>
      </c>
      <c r="I1466" t="str">
        <f>VLOOKUP(B1466,Customers!A:G,7,FALSE)</f>
        <v>Individual</v>
      </c>
      <c r="Q1466" t="str">
        <f>IF(COUNTIF(Customers!$A$2:$A$1001,B1466)&gt;0,"Valid","Invalid")</f>
        <v>Valid</v>
      </c>
      <c r="R1466" t="str">
        <f>IF(COUNTIF(Branches!$A$2:$A$11,F1466)&gt;0,"Valid","Invalid")</f>
        <v>Valid</v>
      </c>
    </row>
    <row r="1467" spans="1:18" x14ac:dyDescent="0.25">
      <c r="A1467" t="s">
        <v>3538</v>
      </c>
      <c r="B1467" t="s">
        <v>606</v>
      </c>
      <c r="C1467" s="8">
        <v>46147</v>
      </c>
      <c r="D1467" t="s">
        <v>2070</v>
      </c>
      <c r="E1467" t="s">
        <v>2068</v>
      </c>
      <c r="F1467" t="s">
        <v>53</v>
      </c>
      <c r="G1467">
        <v>409.91</v>
      </c>
      <c r="H1467" t="s">
        <v>2060</v>
      </c>
      <c r="I1467" t="str">
        <f>VLOOKUP(B1467,Customers!A:G,7,FALSE)</f>
        <v>SME</v>
      </c>
      <c r="Q1467" t="str">
        <f>IF(COUNTIF(Customers!$A$2:$A$1001,B1467)&gt;0,"Valid","Invalid")</f>
        <v>Valid</v>
      </c>
      <c r="R1467" t="str">
        <f>IF(COUNTIF(Branches!$A$2:$A$11,F1467)&gt;0,"Valid","Invalid")</f>
        <v>Valid</v>
      </c>
    </row>
    <row r="1468" spans="1:18" x14ac:dyDescent="0.25">
      <c r="A1468" t="s">
        <v>3539</v>
      </c>
      <c r="B1468" t="s">
        <v>592</v>
      </c>
      <c r="C1468" s="8">
        <v>46185</v>
      </c>
      <c r="D1468" t="s">
        <v>2065</v>
      </c>
      <c r="E1468" t="s">
        <v>2068</v>
      </c>
      <c r="F1468" t="s">
        <v>29</v>
      </c>
      <c r="G1468">
        <v>535</v>
      </c>
      <c r="H1468" t="s">
        <v>2060</v>
      </c>
      <c r="I1468" t="str">
        <f>VLOOKUP(B1468,Customers!A:G,7,FALSE)</f>
        <v>SME</v>
      </c>
      <c r="Q1468" t="str">
        <f>IF(COUNTIF(Customers!$A$2:$A$1001,B1468)&gt;0,"Valid","Invalid")</f>
        <v>Valid</v>
      </c>
      <c r="R1468" t="str">
        <f>IF(COUNTIF(Branches!$A$2:$A$11,F1468)&gt;0,"Valid","Invalid")</f>
        <v>Valid</v>
      </c>
    </row>
    <row r="1469" spans="1:18" x14ac:dyDescent="0.25">
      <c r="A1469" t="s">
        <v>3540</v>
      </c>
      <c r="B1469" t="s">
        <v>293</v>
      </c>
      <c r="C1469" s="8">
        <v>46107</v>
      </c>
      <c r="D1469" t="s">
        <v>2062</v>
      </c>
      <c r="E1469" t="s">
        <v>2059</v>
      </c>
      <c r="F1469" t="s">
        <v>35</v>
      </c>
      <c r="G1469">
        <v>389</v>
      </c>
      <c r="H1469" t="s">
        <v>2060</v>
      </c>
      <c r="I1469" t="str">
        <f>VLOOKUP(B1469,Customers!A:G,7,FALSE)</f>
        <v>Corporate</v>
      </c>
      <c r="Q1469" t="str">
        <f>IF(COUNTIF(Customers!$A$2:$A$1001,B1469)&gt;0,"Valid","Invalid")</f>
        <v>Valid</v>
      </c>
      <c r="R1469" t="str">
        <f>IF(COUNTIF(Branches!$A$2:$A$11,F1469)&gt;0,"Valid","Invalid")</f>
        <v>Valid</v>
      </c>
    </row>
    <row r="1470" spans="1:18" x14ac:dyDescent="0.25">
      <c r="A1470" t="s">
        <v>3541</v>
      </c>
      <c r="B1470" t="s">
        <v>778</v>
      </c>
      <c r="C1470" s="8">
        <v>46218</v>
      </c>
      <c r="D1470" t="s">
        <v>2065</v>
      </c>
      <c r="E1470" t="s">
        <v>2059</v>
      </c>
      <c r="F1470" t="s">
        <v>45</v>
      </c>
      <c r="G1470">
        <v>6137.51</v>
      </c>
      <c r="H1470" t="s">
        <v>2060</v>
      </c>
      <c r="I1470" t="str">
        <f>VLOOKUP(B1470,Customers!A:G,7,FALSE)</f>
        <v>SME</v>
      </c>
      <c r="Q1470" t="str">
        <f>IF(COUNTIF(Customers!$A$2:$A$1001,B1470)&gt;0,"Valid","Invalid")</f>
        <v>Valid</v>
      </c>
      <c r="R1470" t="str">
        <f>IF(COUNTIF(Branches!$A$2:$A$11,F1470)&gt;0,"Valid","Invalid")</f>
        <v>Valid</v>
      </c>
    </row>
    <row r="1471" spans="1:18" x14ac:dyDescent="0.25">
      <c r="A1471" t="s">
        <v>3542</v>
      </c>
      <c r="B1471" t="s">
        <v>150</v>
      </c>
      <c r="C1471" s="8">
        <v>46135</v>
      </c>
      <c r="D1471" t="s">
        <v>2062</v>
      </c>
      <c r="E1471" t="s">
        <v>2063</v>
      </c>
      <c r="F1471" t="s">
        <v>39</v>
      </c>
      <c r="G1471">
        <v>815.74</v>
      </c>
      <c r="H1471" t="s">
        <v>2060</v>
      </c>
      <c r="I1471" t="str">
        <f>VLOOKUP(B1471,Customers!A:G,7,FALSE)</f>
        <v>Corporate</v>
      </c>
      <c r="Q1471" t="str">
        <f>IF(COUNTIF(Customers!$A$2:$A$1001,B1471)&gt;0,"Valid","Invalid")</f>
        <v>Valid</v>
      </c>
      <c r="R1471" t="str">
        <f>IF(COUNTIF(Branches!$A$2:$A$11,F1471)&gt;0,"Valid","Invalid")</f>
        <v>Valid</v>
      </c>
    </row>
    <row r="1472" spans="1:18" x14ac:dyDescent="0.25">
      <c r="A1472" t="s">
        <v>3543</v>
      </c>
      <c r="B1472" t="s">
        <v>787</v>
      </c>
      <c r="C1472" s="8">
        <v>46198</v>
      </c>
      <c r="D1472" t="s">
        <v>2065</v>
      </c>
      <c r="E1472" t="s">
        <v>2059</v>
      </c>
      <c r="F1472" t="s">
        <v>27</v>
      </c>
      <c r="G1472">
        <v>951.24</v>
      </c>
      <c r="H1472" t="s">
        <v>2060</v>
      </c>
      <c r="I1472" t="str">
        <f>VLOOKUP(B1472,Customers!A:G,7,FALSE)</f>
        <v>Student</v>
      </c>
      <c r="Q1472" t="str">
        <f>IF(COUNTIF(Customers!$A$2:$A$1001,B1472)&gt;0,"Valid","Invalid")</f>
        <v>Valid</v>
      </c>
      <c r="R1472" t="str">
        <f>IF(COUNTIF(Branches!$A$2:$A$11,F1472)&gt;0,"Valid","Invalid")</f>
        <v>Valid</v>
      </c>
    </row>
    <row r="1473" spans="1:18" x14ac:dyDescent="0.25">
      <c r="A1473" t="s">
        <v>3544</v>
      </c>
      <c r="B1473" t="s">
        <v>435</v>
      </c>
      <c r="C1473" s="8">
        <v>46102</v>
      </c>
      <c r="D1473" t="s">
        <v>2065</v>
      </c>
      <c r="E1473" t="s">
        <v>2059</v>
      </c>
      <c r="F1473" t="s">
        <v>39</v>
      </c>
      <c r="G1473">
        <v>1671.07</v>
      </c>
      <c r="H1473" t="s">
        <v>2060</v>
      </c>
      <c r="I1473" t="str">
        <f>VLOOKUP(B1473,Customers!A:G,7,FALSE)</f>
        <v>Individual</v>
      </c>
      <c r="Q1473" t="str">
        <f>IF(COUNTIF(Customers!$A$2:$A$1001,B1473)&gt;0,"Valid","Invalid")</f>
        <v>Valid</v>
      </c>
      <c r="R1473" t="str">
        <f>IF(COUNTIF(Branches!$A$2:$A$11,F1473)&gt;0,"Valid","Invalid")</f>
        <v>Valid</v>
      </c>
    </row>
    <row r="1474" spans="1:18" x14ac:dyDescent="0.25">
      <c r="A1474" t="s">
        <v>3545</v>
      </c>
      <c r="B1474" t="s">
        <v>210</v>
      </c>
      <c r="C1474" s="8">
        <v>46245</v>
      </c>
      <c r="D1474" t="s">
        <v>2062</v>
      </c>
      <c r="E1474" t="s">
        <v>2063</v>
      </c>
      <c r="F1474" t="s">
        <v>29</v>
      </c>
      <c r="G1474">
        <v>240.96</v>
      </c>
      <c r="H1474" t="s">
        <v>2060</v>
      </c>
      <c r="I1474" t="str">
        <f>VLOOKUP(B1474,Customers!A:G,7,FALSE)</f>
        <v>SME</v>
      </c>
      <c r="Q1474" t="str">
        <f>IF(COUNTIF(Customers!$A$2:$A$1001,B1474)&gt;0,"Valid","Invalid")</f>
        <v>Valid</v>
      </c>
      <c r="R1474" t="str">
        <f>IF(COUNTIF(Branches!$A$2:$A$11,F1474)&gt;0,"Valid","Invalid")</f>
        <v>Valid</v>
      </c>
    </row>
    <row r="1475" spans="1:18" x14ac:dyDescent="0.25">
      <c r="A1475" t="s">
        <v>3546</v>
      </c>
      <c r="B1475" t="s">
        <v>293</v>
      </c>
      <c r="C1475" s="8">
        <v>46240</v>
      </c>
      <c r="D1475" t="s">
        <v>2067</v>
      </c>
      <c r="E1475" t="s">
        <v>2068</v>
      </c>
      <c r="F1475" t="s">
        <v>16</v>
      </c>
      <c r="G1475">
        <v>2432.19</v>
      </c>
      <c r="H1475" t="s">
        <v>2060</v>
      </c>
      <c r="I1475" t="str">
        <f>VLOOKUP(B1475,Customers!A:G,7,FALSE)</f>
        <v>Corporate</v>
      </c>
      <c r="Q1475" t="str">
        <f>IF(COUNTIF(Customers!$A$2:$A$1001,B1475)&gt;0,"Valid","Invalid")</f>
        <v>Valid</v>
      </c>
      <c r="R1475" t="str">
        <f>IF(COUNTIF(Branches!$A$2:$A$11,F1475)&gt;0,"Valid","Invalid")</f>
        <v>Valid</v>
      </c>
    </row>
    <row r="1476" spans="1:18" x14ac:dyDescent="0.25">
      <c r="A1476" t="s">
        <v>3547</v>
      </c>
      <c r="B1476" t="s">
        <v>504</v>
      </c>
      <c r="C1476" s="8">
        <v>46212</v>
      </c>
      <c r="D1476" t="s">
        <v>2062</v>
      </c>
      <c r="E1476" t="s">
        <v>2063</v>
      </c>
      <c r="F1476" t="s">
        <v>11</v>
      </c>
      <c r="G1476">
        <v>442.37</v>
      </c>
      <c r="H1476" t="s">
        <v>2060</v>
      </c>
      <c r="I1476" t="str">
        <f>VLOOKUP(B1476,Customers!A:G,7,FALSE)</f>
        <v>Student</v>
      </c>
      <c r="Q1476" t="str">
        <f>IF(COUNTIF(Customers!$A$2:$A$1001,B1476)&gt;0,"Valid","Invalid")</f>
        <v>Valid</v>
      </c>
      <c r="R1476" t="str">
        <f>IF(COUNTIF(Branches!$A$2:$A$11,F1476)&gt;0,"Valid","Invalid")</f>
        <v>Valid</v>
      </c>
    </row>
    <row r="1477" spans="1:18" x14ac:dyDescent="0.25">
      <c r="A1477" t="s">
        <v>3548</v>
      </c>
      <c r="B1477" t="s">
        <v>967</v>
      </c>
      <c r="C1477" s="8">
        <v>46138</v>
      </c>
      <c r="D1477" t="s">
        <v>2058</v>
      </c>
      <c r="E1477" t="s">
        <v>2076</v>
      </c>
      <c r="F1477" t="s">
        <v>39</v>
      </c>
      <c r="G1477">
        <v>5064.53</v>
      </c>
      <c r="H1477" t="s">
        <v>2060</v>
      </c>
      <c r="I1477" t="str">
        <f>VLOOKUP(B1477,Customers!A:G,7,FALSE)</f>
        <v>Individual</v>
      </c>
      <c r="Q1477" t="str">
        <f>IF(COUNTIF(Customers!$A$2:$A$1001,B1477)&gt;0,"Valid","Invalid")</f>
        <v>Valid</v>
      </c>
      <c r="R1477" t="str">
        <f>IF(COUNTIF(Branches!$A$2:$A$11,F1477)&gt;0,"Valid","Invalid")</f>
        <v>Valid</v>
      </c>
    </row>
    <row r="1478" spans="1:18" x14ac:dyDescent="0.25">
      <c r="A1478" t="s">
        <v>3549</v>
      </c>
      <c r="B1478" t="s">
        <v>315</v>
      </c>
      <c r="C1478" s="8">
        <v>46185</v>
      </c>
      <c r="D1478" t="s">
        <v>2065</v>
      </c>
      <c r="E1478" t="s">
        <v>2068</v>
      </c>
      <c r="F1478" t="s">
        <v>27</v>
      </c>
      <c r="G1478">
        <v>594.27</v>
      </c>
      <c r="H1478" t="s">
        <v>2115</v>
      </c>
      <c r="I1478" t="str">
        <f>VLOOKUP(B1478,Customers!A:G,7,FALSE)</f>
        <v>SME</v>
      </c>
      <c r="Q1478" t="str">
        <f>IF(COUNTIF(Customers!$A$2:$A$1001,B1478)&gt;0,"Valid","Invalid")</f>
        <v>Valid</v>
      </c>
      <c r="R1478" t="str">
        <f>IF(COUNTIF(Branches!$A$2:$A$11,F1478)&gt;0,"Valid","Invalid")</f>
        <v>Valid</v>
      </c>
    </row>
    <row r="1479" spans="1:18" x14ac:dyDescent="0.25">
      <c r="A1479" t="s">
        <v>3550</v>
      </c>
      <c r="B1479" t="s">
        <v>502</v>
      </c>
      <c r="C1479" s="8">
        <v>46220</v>
      </c>
      <c r="D1479" t="s">
        <v>2070</v>
      </c>
      <c r="E1479" t="s">
        <v>2073</v>
      </c>
      <c r="F1479" t="s">
        <v>39</v>
      </c>
      <c r="G1479">
        <v>2293.0500000000002</v>
      </c>
      <c r="H1479" t="s">
        <v>2060</v>
      </c>
      <c r="I1479" t="str">
        <f>VLOOKUP(B1479,Customers!A:G,7,FALSE)</f>
        <v>SME</v>
      </c>
      <c r="Q1479" t="str">
        <f>IF(COUNTIF(Customers!$A$2:$A$1001,B1479)&gt;0,"Valid","Invalid")</f>
        <v>Valid</v>
      </c>
      <c r="R1479" t="str">
        <f>IF(COUNTIF(Branches!$A$2:$A$11,F1479)&gt;0,"Valid","Invalid")</f>
        <v>Valid</v>
      </c>
    </row>
    <row r="1480" spans="1:18" x14ac:dyDescent="0.25">
      <c r="A1480" t="s">
        <v>3551</v>
      </c>
      <c r="B1480" t="s">
        <v>885</v>
      </c>
      <c r="C1480" s="8">
        <v>46119</v>
      </c>
      <c r="D1480" t="s">
        <v>2067</v>
      </c>
      <c r="E1480" t="s">
        <v>2068</v>
      </c>
      <c r="F1480" t="s">
        <v>35</v>
      </c>
      <c r="G1480">
        <v>66.900000000000006</v>
      </c>
      <c r="H1480" t="s">
        <v>2060</v>
      </c>
      <c r="I1480" t="str">
        <f>VLOOKUP(B1480,Customers!A:G,7,FALSE)</f>
        <v>Individual</v>
      </c>
      <c r="Q1480" t="str">
        <f>IF(COUNTIF(Customers!$A$2:$A$1001,B1480)&gt;0,"Valid","Invalid")</f>
        <v>Valid</v>
      </c>
      <c r="R1480" t="str">
        <f>IF(COUNTIF(Branches!$A$2:$A$11,F1480)&gt;0,"Valid","Invalid")</f>
        <v>Valid</v>
      </c>
    </row>
    <row r="1481" spans="1:18" x14ac:dyDescent="0.25">
      <c r="A1481" t="s">
        <v>3552</v>
      </c>
      <c r="B1481" t="s">
        <v>540</v>
      </c>
      <c r="C1481" s="8">
        <v>46043</v>
      </c>
      <c r="D1481" t="s">
        <v>2062</v>
      </c>
      <c r="E1481" t="s">
        <v>2063</v>
      </c>
      <c r="F1481" t="s">
        <v>11</v>
      </c>
      <c r="G1481">
        <v>250.85</v>
      </c>
      <c r="H1481" t="s">
        <v>2060</v>
      </c>
      <c r="I1481" t="str">
        <f>VLOOKUP(B1481,Customers!A:G,7,FALSE)</f>
        <v>Individual</v>
      </c>
      <c r="Q1481" t="str">
        <f>IF(COUNTIF(Customers!$A$2:$A$1001,B1481)&gt;0,"Valid","Invalid")</f>
        <v>Valid</v>
      </c>
      <c r="R1481" t="str">
        <f>IF(COUNTIF(Branches!$A$2:$A$11,F1481)&gt;0,"Valid","Invalid")</f>
        <v>Valid</v>
      </c>
    </row>
    <row r="1482" spans="1:18" x14ac:dyDescent="0.25">
      <c r="A1482" t="s">
        <v>3553</v>
      </c>
      <c r="B1482" t="s">
        <v>479</v>
      </c>
      <c r="C1482" s="8">
        <v>46102</v>
      </c>
      <c r="D1482" t="s">
        <v>2058</v>
      </c>
      <c r="E1482" t="s">
        <v>2068</v>
      </c>
      <c r="F1482" t="s">
        <v>21</v>
      </c>
      <c r="G1482">
        <v>605.70000000000005</v>
      </c>
      <c r="H1482" t="s">
        <v>2060</v>
      </c>
      <c r="I1482" t="str">
        <f>VLOOKUP(B1482,Customers!A:G,7,FALSE)</f>
        <v>Individual</v>
      </c>
      <c r="Q1482" t="str">
        <f>IF(COUNTIF(Customers!$A$2:$A$1001,B1482)&gt;0,"Valid","Invalid")</f>
        <v>Valid</v>
      </c>
      <c r="R1482" t="str">
        <f>IF(COUNTIF(Branches!$A$2:$A$11,F1482)&gt;0,"Valid","Invalid")</f>
        <v>Valid</v>
      </c>
    </row>
    <row r="1483" spans="1:18" x14ac:dyDescent="0.25">
      <c r="A1483" t="s">
        <v>3554</v>
      </c>
      <c r="B1483" t="s">
        <v>105</v>
      </c>
      <c r="C1483" s="8">
        <v>46261</v>
      </c>
      <c r="D1483" t="s">
        <v>2058</v>
      </c>
      <c r="E1483" t="s">
        <v>2063</v>
      </c>
      <c r="F1483" t="s">
        <v>27</v>
      </c>
      <c r="G1483">
        <v>106.61</v>
      </c>
      <c r="H1483" t="s">
        <v>2060</v>
      </c>
      <c r="I1483" t="str">
        <f>VLOOKUP(B1483,Customers!A:G,7,FALSE)</f>
        <v>SME</v>
      </c>
      <c r="Q1483" t="str">
        <f>IF(COUNTIF(Customers!$A$2:$A$1001,B1483)&gt;0,"Valid","Invalid")</f>
        <v>Valid</v>
      </c>
      <c r="R1483" t="str">
        <f>IF(COUNTIF(Branches!$A$2:$A$11,F1483)&gt;0,"Valid","Invalid")</f>
        <v>Valid</v>
      </c>
    </row>
    <row r="1484" spans="1:18" x14ac:dyDescent="0.25">
      <c r="A1484" t="s">
        <v>3555</v>
      </c>
      <c r="B1484" t="s">
        <v>547</v>
      </c>
      <c r="C1484" s="8">
        <v>46061</v>
      </c>
      <c r="D1484" t="s">
        <v>2067</v>
      </c>
      <c r="E1484" t="s">
        <v>2073</v>
      </c>
      <c r="F1484" t="s">
        <v>29</v>
      </c>
      <c r="G1484">
        <v>1481.61</v>
      </c>
      <c r="H1484" t="s">
        <v>2060</v>
      </c>
      <c r="I1484" t="str">
        <f>VLOOKUP(B1484,Customers!A:G,7,FALSE)</f>
        <v>Individual</v>
      </c>
      <c r="Q1484" t="str">
        <f>IF(COUNTIF(Customers!$A$2:$A$1001,B1484)&gt;0,"Valid","Invalid")</f>
        <v>Valid</v>
      </c>
      <c r="R1484" t="str">
        <f>IF(COUNTIF(Branches!$A$2:$A$11,F1484)&gt;0,"Valid","Invalid")</f>
        <v>Valid</v>
      </c>
    </row>
    <row r="1485" spans="1:18" x14ac:dyDescent="0.25">
      <c r="A1485" t="s">
        <v>3556</v>
      </c>
      <c r="B1485" t="s">
        <v>364</v>
      </c>
      <c r="C1485" s="8">
        <v>46184</v>
      </c>
      <c r="D1485" t="s">
        <v>2065</v>
      </c>
      <c r="E1485" t="s">
        <v>2076</v>
      </c>
      <c r="F1485" t="s">
        <v>53</v>
      </c>
      <c r="G1485">
        <v>1110.94</v>
      </c>
      <c r="H1485" t="s">
        <v>2060</v>
      </c>
      <c r="I1485" t="str">
        <f>VLOOKUP(B1485,Customers!A:G,7,FALSE)</f>
        <v>Student</v>
      </c>
      <c r="Q1485" t="str">
        <f>IF(COUNTIF(Customers!$A$2:$A$1001,B1485)&gt;0,"Valid","Invalid")</f>
        <v>Valid</v>
      </c>
      <c r="R1485" t="str">
        <f>IF(COUNTIF(Branches!$A$2:$A$11,F1485)&gt;0,"Valid","Invalid")</f>
        <v>Valid</v>
      </c>
    </row>
    <row r="1486" spans="1:18" x14ac:dyDescent="0.25">
      <c r="A1486" t="s">
        <v>3557</v>
      </c>
      <c r="B1486" t="s">
        <v>780</v>
      </c>
      <c r="C1486" s="8">
        <v>46256</v>
      </c>
      <c r="D1486" t="s">
        <v>2058</v>
      </c>
      <c r="E1486" t="s">
        <v>2068</v>
      </c>
      <c r="F1486" t="s">
        <v>45</v>
      </c>
      <c r="G1486">
        <v>301.62</v>
      </c>
      <c r="H1486" t="s">
        <v>2107</v>
      </c>
      <c r="I1486" t="str">
        <f>VLOOKUP(B1486,Customers!A:G,7,FALSE)</f>
        <v>Individual</v>
      </c>
      <c r="Q1486" t="str">
        <f>IF(COUNTIF(Customers!$A$2:$A$1001,B1486)&gt;0,"Valid","Invalid")</f>
        <v>Valid</v>
      </c>
      <c r="R1486" t="str">
        <f>IF(COUNTIF(Branches!$A$2:$A$11,F1486)&gt;0,"Valid","Invalid")</f>
        <v>Valid</v>
      </c>
    </row>
    <row r="1487" spans="1:18" x14ac:dyDescent="0.25">
      <c r="A1487" t="s">
        <v>3558</v>
      </c>
      <c r="B1487" t="s">
        <v>103</v>
      </c>
      <c r="C1487" s="8">
        <v>46143</v>
      </c>
      <c r="D1487" t="s">
        <v>2067</v>
      </c>
      <c r="E1487" t="s">
        <v>2063</v>
      </c>
      <c r="F1487" t="s">
        <v>11</v>
      </c>
      <c r="G1487">
        <v>799.54</v>
      </c>
      <c r="H1487" t="s">
        <v>2107</v>
      </c>
      <c r="I1487" t="str">
        <f>VLOOKUP(B1487,Customers!A:G,7,FALSE)</f>
        <v>SME</v>
      </c>
      <c r="Q1487" t="str">
        <f>IF(COUNTIF(Customers!$A$2:$A$1001,B1487)&gt;0,"Valid","Invalid")</f>
        <v>Valid</v>
      </c>
      <c r="R1487" t="str">
        <f>IF(COUNTIF(Branches!$A$2:$A$11,F1487)&gt;0,"Valid","Invalid")</f>
        <v>Valid</v>
      </c>
    </row>
    <row r="1488" spans="1:18" x14ac:dyDescent="0.25">
      <c r="A1488" t="s">
        <v>3559</v>
      </c>
      <c r="B1488" t="s">
        <v>342</v>
      </c>
      <c r="C1488" s="8">
        <v>46146</v>
      </c>
      <c r="D1488" t="s">
        <v>2067</v>
      </c>
      <c r="E1488" t="s">
        <v>2059</v>
      </c>
      <c r="F1488" t="s">
        <v>53</v>
      </c>
      <c r="G1488">
        <v>1819.79</v>
      </c>
      <c r="H1488" t="s">
        <v>2060</v>
      </c>
      <c r="I1488" t="str">
        <f>VLOOKUP(B1488,Customers!A:G,7,FALSE)</f>
        <v>Individual</v>
      </c>
      <c r="Q1488" t="str">
        <f>IF(COUNTIF(Customers!$A$2:$A$1001,B1488)&gt;0,"Valid","Invalid")</f>
        <v>Valid</v>
      </c>
      <c r="R1488" t="str">
        <f>IF(COUNTIF(Branches!$A$2:$A$11,F1488)&gt;0,"Valid","Invalid")</f>
        <v>Valid</v>
      </c>
    </row>
    <row r="1489" spans="1:18" x14ac:dyDescent="0.25">
      <c r="A1489" t="s">
        <v>3560</v>
      </c>
      <c r="B1489" t="s">
        <v>1010</v>
      </c>
      <c r="C1489" s="8">
        <v>46165</v>
      </c>
      <c r="D1489" t="s">
        <v>2058</v>
      </c>
      <c r="E1489" t="s">
        <v>2068</v>
      </c>
      <c r="F1489" t="s">
        <v>53</v>
      </c>
      <c r="G1489">
        <v>99.18</v>
      </c>
      <c r="H1489" t="s">
        <v>2060</v>
      </c>
      <c r="I1489" t="str">
        <f>VLOOKUP(B1489,Customers!A:G,7,FALSE)</f>
        <v>SME</v>
      </c>
      <c r="Q1489" t="str">
        <f>IF(COUNTIF(Customers!$A$2:$A$1001,B1489)&gt;0,"Valid","Invalid")</f>
        <v>Valid</v>
      </c>
      <c r="R1489" t="str">
        <f>IF(COUNTIF(Branches!$A$2:$A$11,F1489)&gt;0,"Valid","Invalid")</f>
        <v>Valid</v>
      </c>
    </row>
    <row r="1490" spans="1:18" x14ac:dyDescent="0.25">
      <c r="A1490" t="s">
        <v>3561</v>
      </c>
      <c r="B1490" t="s">
        <v>522</v>
      </c>
      <c r="C1490" s="8">
        <v>46028</v>
      </c>
      <c r="D1490" t="s">
        <v>2058</v>
      </c>
      <c r="E1490" t="s">
        <v>2068</v>
      </c>
      <c r="F1490" t="s">
        <v>39</v>
      </c>
      <c r="G1490">
        <v>227.35</v>
      </c>
      <c r="H1490" t="s">
        <v>2060</v>
      </c>
      <c r="I1490" t="str">
        <f>VLOOKUP(B1490,Customers!A:G,7,FALSE)</f>
        <v>Individual</v>
      </c>
      <c r="Q1490" t="str">
        <f>IF(COUNTIF(Customers!$A$2:$A$1001,B1490)&gt;0,"Valid","Invalid")</f>
        <v>Valid</v>
      </c>
      <c r="R1490" t="str">
        <f>IF(COUNTIF(Branches!$A$2:$A$11,F1490)&gt;0,"Valid","Invalid")</f>
        <v>Valid</v>
      </c>
    </row>
    <row r="1491" spans="1:18" x14ac:dyDescent="0.25">
      <c r="A1491" t="s">
        <v>3562</v>
      </c>
      <c r="B1491" t="s">
        <v>967</v>
      </c>
      <c r="C1491" s="8">
        <v>46216</v>
      </c>
      <c r="D1491" t="s">
        <v>2065</v>
      </c>
      <c r="E1491" t="s">
        <v>2063</v>
      </c>
      <c r="F1491" t="s">
        <v>35</v>
      </c>
      <c r="G1491">
        <v>581.09</v>
      </c>
      <c r="H1491" t="s">
        <v>2060</v>
      </c>
      <c r="I1491" t="str">
        <f>VLOOKUP(B1491,Customers!A:G,7,FALSE)</f>
        <v>Individual</v>
      </c>
      <c r="Q1491" t="str">
        <f>IF(COUNTIF(Customers!$A$2:$A$1001,B1491)&gt;0,"Valid","Invalid")</f>
        <v>Valid</v>
      </c>
      <c r="R1491" t="str">
        <f>IF(COUNTIF(Branches!$A$2:$A$11,F1491)&gt;0,"Valid","Invalid")</f>
        <v>Valid</v>
      </c>
    </row>
    <row r="1492" spans="1:18" x14ac:dyDescent="0.25">
      <c r="A1492" t="s">
        <v>3563</v>
      </c>
      <c r="B1492" t="s">
        <v>586</v>
      </c>
      <c r="C1492" s="8">
        <v>46238</v>
      </c>
      <c r="D1492" t="s">
        <v>2067</v>
      </c>
      <c r="E1492" t="s">
        <v>2073</v>
      </c>
      <c r="F1492" t="s">
        <v>47</v>
      </c>
      <c r="G1492">
        <v>831.91</v>
      </c>
      <c r="H1492" t="s">
        <v>2060</v>
      </c>
      <c r="I1492" t="str">
        <f>VLOOKUP(B1492,Customers!A:G,7,FALSE)</f>
        <v>Individual</v>
      </c>
      <c r="Q1492" t="str">
        <f>IF(COUNTIF(Customers!$A$2:$A$1001,B1492)&gt;0,"Valid","Invalid")</f>
        <v>Valid</v>
      </c>
      <c r="R1492" t="str">
        <f>IF(COUNTIF(Branches!$A$2:$A$11,F1492)&gt;0,"Valid","Invalid")</f>
        <v>Valid</v>
      </c>
    </row>
    <row r="1493" spans="1:18" x14ac:dyDescent="0.25">
      <c r="A1493" t="s">
        <v>3564</v>
      </c>
      <c r="B1493" t="s">
        <v>455</v>
      </c>
      <c r="C1493" s="8">
        <v>46078</v>
      </c>
      <c r="D1493" t="s">
        <v>2067</v>
      </c>
      <c r="E1493" t="s">
        <v>2063</v>
      </c>
      <c r="F1493" t="s">
        <v>27</v>
      </c>
      <c r="G1493">
        <v>766.16</v>
      </c>
      <c r="H1493" t="s">
        <v>2107</v>
      </c>
      <c r="I1493" t="str">
        <f>VLOOKUP(B1493,Customers!A:G,7,FALSE)</f>
        <v>Individual</v>
      </c>
      <c r="Q1493" t="str">
        <f>IF(COUNTIF(Customers!$A$2:$A$1001,B1493)&gt;0,"Valid","Invalid")</f>
        <v>Valid</v>
      </c>
      <c r="R1493" t="str">
        <f>IF(COUNTIF(Branches!$A$2:$A$11,F1493)&gt;0,"Valid","Invalid")</f>
        <v>Valid</v>
      </c>
    </row>
    <row r="1494" spans="1:18" x14ac:dyDescent="0.25">
      <c r="A1494" t="s">
        <v>3565</v>
      </c>
      <c r="B1494" t="s">
        <v>195</v>
      </c>
      <c r="C1494" s="8">
        <v>46071</v>
      </c>
      <c r="D1494" t="s">
        <v>2065</v>
      </c>
      <c r="E1494" t="s">
        <v>2076</v>
      </c>
      <c r="F1494" t="s">
        <v>53</v>
      </c>
      <c r="G1494">
        <v>1976.92</v>
      </c>
      <c r="H1494" t="s">
        <v>2060</v>
      </c>
      <c r="I1494" t="str">
        <f>VLOOKUP(B1494,Customers!A:G,7,FALSE)</f>
        <v>Individual</v>
      </c>
      <c r="Q1494" t="str">
        <f>IF(COUNTIF(Customers!$A$2:$A$1001,B1494)&gt;0,"Valid","Invalid")</f>
        <v>Valid</v>
      </c>
      <c r="R1494" t="str">
        <f>IF(COUNTIF(Branches!$A$2:$A$11,F1494)&gt;0,"Valid","Invalid")</f>
        <v>Valid</v>
      </c>
    </row>
    <row r="1495" spans="1:18" x14ac:dyDescent="0.25">
      <c r="A1495" t="s">
        <v>3566</v>
      </c>
      <c r="B1495" t="s">
        <v>185</v>
      </c>
      <c r="C1495" s="8">
        <v>46114</v>
      </c>
      <c r="D1495" t="s">
        <v>2065</v>
      </c>
      <c r="E1495" t="s">
        <v>2076</v>
      </c>
      <c r="F1495" t="s">
        <v>11</v>
      </c>
      <c r="G1495">
        <v>1309.25</v>
      </c>
      <c r="H1495" t="s">
        <v>2060</v>
      </c>
      <c r="I1495" t="str">
        <f>VLOOKUP(B1495,Customers!A:G,7,FALSE)</f>
        <v>SME</v>
      </c>
      <c r="Q1495" t="str">
        <f>IF(COUNTIF(Customers!$A$2:$A$1001,B1495)&gt;0,"Valid","Invalid")</f>
        <v>Valid</v>
      </c>
      <c r="R1495" t="str">
        <f>IF(COUNTIF(Branches!$A$2:$A$11,F1495)&gt;0,"Valid","Invalid")</f>
        <v>Valid</v>
      </c>
    </row>
    <row r="1496" spans="1:18" x14ac:dyDescent="0.25">
      <c r="A1496" t="s">
        <v>3567</v>
      </c>
      <c r="B1496" t="s">
        <v>61</v>
      </c>
      <c r="C1496" s="8">
        <v>46151</v>
      </c>
      <c r="D1496" t="s">
        <v>2065</v>
      </c>
      <c r="E1496" t="s">
        <v>2063</v>
      </c>
      <c r="F1496" t="s">
        <v>35</v>
      </c>
      <c r="G1496">
        <v>1630.49</v>
      </c>
      <c r="H1496" t="s">
        <v>2060</v>
      </c>
      <c r="I1496" t="str">
        <f>VLOOKUP(B1496,Customers!A:G,7,FALSE)</f>
        <v>Student</v>
      </c>
      <c r="Q1496" t="str">
        <f>IF(COUNTIF(Customers!$A$2:$A$1001,B1496)&gt;0,"Valid","Invalid")</f>
        <v>Valid</v>
      </c>
      <c r="R1496" t="str">
        <f>IF(COUNTIF(Branches!$A$2:$A$11,F1496)&gt;0,"Valid","Invalid")</f>
        <v>Valid</v>
      </c>
    </row>
    <row r="1497" spans="1:18" x14ac:dyDescent="0.25">
      <c r="A1497" t="s">
        <v>3568</v>
      </c>
      <c r="B1497" t="s">
        <v>1025</v>
      </c>
      <c r="C1497" s="8">
        <v>46087</v>
      </c>
      <c r="D1497" t="s">
        <v>2070</v>
      </c>
      <c r="E1497" t="s">
        <v>2063</v>
      </c>
      <c r="F1497" t="s">
        <v>29</v>
      </c>
      <c r="G1497">
        <v>202.38</v>
      </c>
      <c r="H1497" t="s">
        <v>2060</v>
      </c>
      <c r="I1497" t="str">
        <f>VLOOKUP(B1497,Customers!A:G,7,FALSE)</f>
        <v>Individual</v>
      </c>
      <c r="Q1497" t="str">
        <f>IF(COUNTIF(Customers!$A$2:$A$1001,B1497)&gt;0,"Valid","Invalid")</f>
        <v>Valid</v>
      </c>
      <c r="R1497" t="str">
        <f>IF(COUNTIF(Branches!$A$2:$A$11,F1497)&gt;0,"Valid","Invalid")</f>
        <v>Valid</v>
      </c>
    </row>
    <row r="1498" spans="1:18" x14ac:dyDescent="0.25">
      <c r="A1498" t="s">
        <v>3569</v>
      </c>
      <c r="B1498" t="s">
        <v>622</v>
      </c>
      <c r="C1498" s="8">
        <v>46050</v>
      </c>
      <c r="D1498" t="s">
        <v>2062</v>
      </c>
      <c r="E1498" t="s">
        <v>2068</v>
      </c>
      <c r="F1498" t="s">
        <v>29</v>
      </c>
      <c r="G1498">
        <v>939.01</v>
      </c>
      <c r="H1498" t="s">
        <v>2060</v>
      </c>
      <c r="I1498" t="str">
        <f>VLOOKUP(B1498,Customers!A:G,7,FALSE)</f>
        <v>Individual</v>
      </c>
      <c r="Q1498" t="str">
        <f>IF(COUNTIF(Customers!$A$2:$A$1001,B1498)&gt;0,"Valid","Invalid")</f>
        <v>Valid</v>
      </c>
      <c r="R1498" t="str">
        <f>IF(COUNTIF(Branches!$A$2:$A$11,F1498)&gt;0,"Valid","Invalid")</f>
        <v>Valid</v>
      </c>
    </row>
    <row r="1499" spans="1:18" x14ac:dyDescent="0.25">
      <c r="A1499" t="s">
        <v>3570</v>
      </c>
      <c r="B1499" t="s">
        <v>286</v>
      </c>
      <c r="C1499" s="8">
        <v>46122</v>
      </c>
      <c r="D1499" t="s">
        <v>2065</v>
      </c>
      <c r="E1499" t="s">
        <v>2059</v>
      </c>
      <c r="F1499" t="s">
        <v>21</v>
      </c>
      <c r="G1499">
        <v>597.55999999999995</v>
      </c>
      <c r="H1499" t="s">
        <v>2060</v>
      </c>
      <c r="I1499" t="str">
        <f>VLOOKUP(B1499,Customers!A:G,7,FALSE)</f>
        <v>Student</v>
      </c>
      <c r="Q1499" t="str">
        <f>IF(COUNTIF(Customers!$A$2:$A$1001,B1499)&gt;0,"Valid","Invalid")</f>
        <v>Valid</v>
      </c>
      <c r="R1499" t="str">
        <f>IF(COUNTIF(Branches!$A$2:$A$11,F1499)&gt;0,"Valid","Invalid")</f>
        <v>Valid</v>
      </c>
    </row>
    <row r="1500" spans="1:18" x14ac:dyDescent="0.25">
      <c r="A1500" t="s">
        <v>3571</v>
      </c>
      <c r="B1500" t="s">
        <v>137</v>
      </c>
      <c r="C1500" s="8">
        <v>46170</v>
      </c>
      <c r="D1500" t="s">
        <v>2065</v>
      </c>
      <c r="E1500" t="s">
        <v>2063</v>
      </c>
      <c r="F1500" t="s">
        <v>47</v>
      </c>
      <c r="G1500">
        <v>3505.44</v>
      </c>
      <c r="H1500" t="s">
        <v>2060</v>
      </c>
      <c r="I1500" t="str">
        <f>VLOOKUP(B1500,Customers!A:G,7,FALSE)</f>
        <v>Individual</v>
      </c>
      <c r="Q1500" t="str">
        <f>IF(COUNTIF(Customers!$A$2:$A$1001,B1500)&gt;0,"Valid","Invalid")</f>
        <v>Valid</v>
      </c>
      <c r="R1500" t="str">
        <f>IF(COUNTIF(Branches!$A$2:$A$11,F1500)&gt;0,"Valid","Invalid")</f>
        <v>Valid</v>
      </c>
    </row>
    <row r="1501" spans="1:18" x14ac:dyDescent="0.25">
      <c r="A1501" t="s">
        <v>3572</v>
      </c>
      <c r="B1501" t="s">
        <v>740</v>
      </c>
      <c r="C1501" s="8">
        <v>46198</v>
      </c>
      <c r="D1501" t="s">
        <v>2062</v>
      </c>
      <c r="E1501" t="s">
        <v>2068</v>
      </c>
      <c r="F1501" t="s">
        <v>21</v>
      </c>
      <c r="G1501">
        <v>967.19</v>
      </c>
      <c r="H1501" t="s">
        <v>2060</v>
      </c>
      <c r="I1501" t="str">
        <f>VLOOKUP(B1501,Customers!A:G,7,FALSE)</f>
        <v>Individual</v>
      </c>
      <c r="Q1501" t="str">
        <f>IF(COUNTIF(Customers!$A$2:$A$1001,B1501)&gt;0,"Valid","Invalid")</f>
        <v>Valid</v>
      </c>
      <c r="R1501" t="str">
        <f>IF(COUNTIF(Branches!$A$2:$A$11,F1501)&gt;0,"Valid","Invalid")</f>
        <v>Valid</v>
      </c>
    </row>
    <row r="1502" spans="1:18" x14ac:dyDescent="0.25">
      <c r="A1502" t="s">
        <v>3573</v>
      </c>
      <c r="B1502" t="s">
        <v>132</v>
      </c>
      <c r="C1502" s="8">
        <v>46094</v>
      </c>
      <c r="D1502" t="s">
        <v>2067</v>
      </c>
      <c r="E1502" t="s">
        <v>2068</v>
      </c>
      <c r="F1502" t="s">
        <v>45</v>
      </c>
      <c r="G1502">
        <v>416.11</v>
      </c>
      <c r="H1502" t="s">
        <v>2060</v>
      </c>
      <c r="I1502" t="str">
        <f>VLOOKUP(B1502,Customers!A:G,7,FALSE)</f>
        <v>Individual</v>
      </c>
      <c r="Q1502" t="str">
        <f>IF(COUNTIF(Customers!$A$2:$A$1001,B1502)&gt;0,"Valid","Invalid")</f>
        <v>Valid</v>
      </c>
      <c r="R1502" t="str">
        <f>IF(COUNTIF(Branches!$A$2:$A$11,F1502)&gt;0,"Valid","Invalid")</f>
        <v>Valid</v>
      </c>
    </row>
    <row r="1503" spans="1:18" x14ac:dyDescent="0.25">
      <c r="A1503" t="s">
        <v>3574</v>
      </c>
      <c r="B1503" t="s">
        <v>422</v>
      </c>
      <c r="C1503" s="8">
        <v>46087</v>
      </c>
      <c r="D1503" t="s">
        <v>2062</v>
      </c>
      <c r="E1503" t="s">
        <v>2059</v>
      </c>
      <c r="F1503" t="s">
        <v>47</v>
      </c>
      <c r="G1503">
        <v>1905.5</v>
      </c>
      <c r="H1503" t="s">
        <v>2060</v>
      </c>
      <c r="I1503" t="str">
        <f>VLOOKUP(B1503,Customers!A:G,7,FALSE)</f>
        <v>Individual</v>
      </c>
      <c r="Q1503" t="str">
        <f>IF(COUNTIF(Customers!$A$2:$A$1001,B1503)&gt;0,"Valid","Invalid")</f>
        <v>Valid</v>
      </c>
      <c r="R1503" t="str">
        <f>IF(COUNTIF(Branches!$A$2:$A$11,F1503)&gt;0,"Valid","Invalid")</f>
        <v>Valid</v>
      </c>
    </row>
    <row r="1504" spans="1:18" x14ac:dyDescent="0.25">
      <c r="A1504" t="s">
        <v>3575</v>
      </c>
      <c r="B1504" t="s">
        <v>320</v>
      </c>
      <c r="C1504" s="8">
        <v>46240</v>
      </c>
      <c r="D1504" t="s">
        <v>2070</v>
      </c>
      <c r="E1504" t="s">
        <v>2063</v>
      </c>
      <c r="F1504" t="s">
        <v>47</v>
      </c>
      <c r="G1504">
        <v>1426.95</v>
      </c>
      <c r="H1504" t="s">
        <v>2060</v>
      </c>
      <c r="I1504" t="str">
        <f>VLOOKUP(B1504,Customers!A:G,7,FALSE)</f>
        <v>Individual</v>
      </c>
      <c r="Q1504" t="str">
        <f>IF(COUNTIF(Customers!$A$2:$A$1001,B1504)&gt;0,"Valid","Invalid")</f>
        <v>Valid</v>
      </c>
      <c r="R1504" t="str">
        <f>IF(COUNTIF(Branches!$A$2:$A$11,F1504)&gt;0,"Valid","Invalid")</f>
        <v>Valid</v>
      </c>
    </row>
    <row r="1505" spans="1:18" x14ac:dyDescent="0.25">
      <c r="A1505" t="s">
        <v>3576</v>
      </c>
      <c r="B1505" t="s">
        <v>360</v>
      </c>
      <c r="C1505" s="8">
        <v>46073</v>
      </c>
      <c r="D1505" t="s">
        <v>2058</v>
      </c>
      <c r="E1505" t="s">
        <v>2063</v>
      </c>
      <c r="F1505" t="s">
        <v>29</v>
      </c>
      <c r="G1505">
        <v>357.24</v>
      </c>
      <c r="H1505" t="s">
        <v>2060</v>
      </c>
      <c r="I1505" t="str">
        <f>VLOOKUP(B1505,Customers!A:G,7,FALSE)</f>
        <v>SME</v>
      </c>
      <c r="Q1505" t="str">
        <f>IF(COUNTIF(Customers!$A$2:$A$1001,B1505)&gt;0,"Valid","Invalid")</f>
        <v>Valid</v>
      </c>
      <c r="R1505" t="str">
        <f>IF(COUNTIF(Branches!$A$2:$A$11,F1505)&gt;0,"Valid","Invalid")</f>
        <v>Valid</v>
      </c>
    </row>
    <row r="1506" spans="1:18" x14ac:dyDescent="0.25">
      <c r="A1506" t="s">
        <v>3577</v>
      </c>
      <c r="B1506" t="s">
        <v>434</v>
      </c>
      <c r="C1506" s="8">
        <v>46193</v>
      </c>
      <c r="D1506" t="s">
        <v>2065</v>
      </c>
      <c r="E1506" t="s">
        <v>2076</v>
      </c>
      <c r="F1506" t="s">
        <v>47</v>
      </c>
      <c r="G1506">
        <v>573.36</v>
      </c>
      <c r="H1506" t="s">
        <v>2060</v>
      </c>
      <c r="I1506" t="str">
        <f>VLOOKUP(B1506,Customers!A:G,7,FALSE)</f>
        <v>Individual</v>
      </c>
      <c r="Q1506" t="str">
        <f>IF(COUNTIF(Customers!$A$2:$A$1001,B1506)&gt;0,"Valid","Invalid")</f>
        <v>Valid</v>
      </c>
      <c r="R1506" t="str">
        <f>IF(COUNTIF(Branches!$A$2:$A$11,F1506)&gt;0,"Valid","Invalid")</f>
        <v>Valid</v>
      </c>
    </row>
    <row r="1507" spans="1:18" x14ac:dyDescent="0.25">
      <c r="A1507" t="s">
        <v>3578</v>
      </c>
      <c r="B1507" t="s">
        <v>316</v>
      </c>
      <c r="C1507" s="8">
        <v>46071</v>
      </c>
      <c r="D1507" t="s">
        <v>2062</v>
      </c>
      <c r="E1507" t="s">
        <v>2059</v>
      </c>
      <c r="F1507" t="s">
        <v>47</v>
      </c>
      <c r="G1507">
        <v>583.21</v>
      </c>
      <c r="H1507" t="s">
        <v>2060</v>
      </c>
      <c r="I1507" t="str">
        <f>VLOOKUP(B1507,Customers!A:G,7,FALSE)</f>
        <v>Individual</v>
      </c>
      <c r="Q1507" t="str">
        <f>IF(COUNTIF(Customers!$A$2:$A$1001,B1507)&gt;0,"Valid","Invalid")</f>
        <v>Valid</v>
      </c>
      <c r="R1507" t="str">
        <f>IF(COUNTIF(Branches!$A$2:$A$11,F1507)&gt;0,"Valid","Invalid")</f>
        <v>Valid</v>
      </c>
    </row>
    <row r="1508" spans="1:18" x14ac:dyDescent="0.25">
      <c r="A1508" t="s">
        <v>3579</v>
      </c>
      <c r="B1508" t="s">
        <v>567</v>
      </c>
      <c r="C1508" s="8">
        <v>46175</v>
      </c>
      <c r="D1508" t="s">
        <v>2070</v>
      </c>
      <c r="E1508" t="s">
        <v>2076</v>
      </c>
      <c r="F1508" t="s">
        <v>35</v>
      </c>
      <c r="G1508">
        <v>2772.38</v>
      </c>
      <c r="H1508" t="s">
        <v>2060</v>
      </c>
      <c r="I1508" t="str">
        <f>VLOOKUP(B1508,Customers!A:G,7,FALSE)</f>
        <v>Student</v>
      </c>
      <c r="Q1508" t="str">
        <f>IF(COUNTIF(Customers!$A$2:$A$1001,B1508)&gt;0,"Valid","Invalid")</f>
        <v>Valid</v>
      </c>
      <c r="R1508" t="str">
        <f>IF(COUNTIF(Branches!$A$2:$A$11,F1508)&gt;0,"Valid","Invalid")</f>
        <v>Valid</v>
      </c>
    </row>
    <row r="1509" spans="1:18" x14ac:dyDescent="0.25">
      <c r="A1509" t="s">
        <v>3580</v>
      </c>
      <c r="B1509" t="s">
        <v>301</v>
      </c>
      <c r="C1509" s="8">
        <v>46096</v>
      </c>
      <c r="D1509" t="s">
        <v>2058</v>
      </c>
      <c r="E1509" t="s">
        <v>2068</v>
      </c>
      <c r="F1509" t="s">
        <v>21</v>
      </c>
      <c r="G1509">
        <v>995.5</v>
      </c>
      <c r="H1509" t="s">
        <v>2060</v>
      </c>
      <c r="I1509" t="str">
        <f>VLOOKUP(B1509,Customers!A:G,7,FALSE)</f>
        <v>Individual</v>
      </c>
      <c r="Q1509" t="str">
        <f>IF(COUNTIF(Customers!$A$2:$A$1001,B1509)&gt;0,"Valid","Invalid")</f>
        <v>Valid</v>
      </c>
      <c r="R1509" t="str">
        <f>IF(COUNTIF(Branches!$A$2:$A$11,F1509)&gt;0,"Valid","Invalid")</f>
        <v>Valid</v>
      </c>
    </row>
    <row r="1510" spans="1:18" x14ac:dyDescent="0.25">
      <c r="A1510" t="s">
        <v>3581</v>
      </c>
      <c r="B1510" t="s">
        <v>657</v>
      </c>
      <c r="C1510" s="8">
        <v>46226</v>
      </c>
      <c r="D1510" t="s">
        <v>2058</v>
      </c>
      <c r="E1510" t="s">
        <v>2059</v>
      </c>
      <c r="F1510" t="s">
        <v>29</v>
      </c>
      <c r="G1510">
        <v>1680.39</v>
      </c>
      <c r="H1510" t="s">
        <v>2060</v>
      </c>
      <c r="I1510" t="str">
        <f>VLOOKUP(B1510,Customers!A:G,7,FALSE)</f>
        <v>Individual</v>
      </c>
      <c r="Q1510" t="str">
        <f>IF(COUNTIF(Customers!$A$2:$A$1001,B1510)&gt;0,"Valid","Invalid")</f>
        <v>Valid</v>
      </c>
      <c r="R1510" t="str">
        <f>IF(COUNTIF(Branches!$A$2:$A$11,F1510)&gt;0,"Valid","Invalid")</f>
        <v>Valid</v>
      </c>
    </row>
    <row r="1511" spans="1:18" x14ac:dyDescent="0.25">
      <c r="A1511" t="s">
        <v>3582</v>
      </c>
      <c r="B1511" t="s">
        <v>618</v>
      </c>
      <c r="C1511" s="8">
        <v>46191</v>
      </c>
      <c r="D1511" t="s">
        <v>2067</v>
      </c>
      <c r="E1511" t="s">
        <v>2063</v>
      </c>
      <c r="F1511" t="s">
        <v>35</v>
      </c>
      <c r="G1511">
        <v>496.08</v>
      </c>
      <c r="H1511" t="s">
        <v>2060</v>
      </c>
      <c r="I1511" t="str">
        <f>VLOOKUP(B1511,Customers!A:G,7,FALSE)</f>
        <v>Individual</v>
      </c>
      <c r="Q1511" t="str">
        <f>IF(COUNTIF(Customers!$A$2:$A$1001,B1511)&gt;0,"Valid","Invalid")</f>
        <v>Valid</v>
      </c>
      <c r="R1511" t="str">
        <f>IF(COUNTIF(Branches!$A$2:$A$11,F1511)&gt;0,"Valid","Invalid")</f>
        <v>Valid</v>
      </c>
    </row>
    <row r="1512" spans="1:18" x14ac:dyDescent="0.25">
      <c r="A1512" t="s">
        <v>3583</v>
      </c>
      <c r="B1512" t="s">
        <v>678</v>
      </c>
      <c r="C1512" s="8">
        <v>46221</v>
      </c>
      <c r="D1512" t="s">
        <v>2067</v>
      </c>
      <c r="E1512" t="s">
        <v>2073</v>
      </c>
      <c r="F1512" t="s">
        <v>29</v>
      </c>
      <c r="G1512">
        <v>1135.47</v>
      </c>
      <c r="H1512" t="s">
        <v>2060</v>
      </c>
      <c r="I1512" t="str">
        <f>VLOOKUP(B1512,Customers!A:G,7,FALSE)</f>
        <v>SME</v>
      </c>
      <c r="Q1512" t="str">
        <f>IF(COUNTIF(Customers!$A$2:$A$1001,B1512)&gt;0,"Valid","Invalid")</f>
        <v>Valid</v>
      </c>
      <c r="R1512" t="str">
        <f>IF(COUNTIF(Branches!$A$2:$A$11,F1512)&gt;0,"Valid","Invalid")</f>
        <v>Valid</v>
      </c>
    </row>
    <row r="1513" spans="1:18" x14ac:dyDescent="0.25">
      <c r="A1513" t="s">
        <v>3584</v>
      </c>
      <c r="B1513" t="s">
        <v>331</v>
      </c>
      <c r="C1513" s="8">
        <v>46214</v>
      </c>
      <c r="D1513" t="s">
        <v>2062</v>
      </c>
      <c r="E1513" t="s">
        <v>2059</v>
      </c>
      <c r="F1513" t="s">
        <v>39</v>
      </c>
      <c r="G1513">
        <v>2990.99</v>
      </c>
      <c r="H1513" t="s">
        <v>2060</v>
      </c>
      <c r="I1513" t="str">
        <f>VLOOKUP(B1513,Customers!A:G,7,FALSE)</f>
        <v>SME</v>
      </c>
      <c r="Q1513" t="str">
        <f>IF(COUNTIF(Customers!$A$2:$A$1001,B1513)&gt;0,"Valid","Invalid")</f>
        <v>Valid</v>
      </c>
      <c r="R1513" t="str">
        <f>IF(COUNTIF(Branches!$A$2:$A$11,F1513)&gt;0,"Valid","Invalid")</f>
        <v>Valid</v>
      </c>
    </row>
    <row r="1514" spans="1:18" x14ac:dyDescent="0.25">
      <c r="A1514" t="s">
        <v>3585</v>
      </c>
      <c r="B1514" t="s">
        <v>332</v>
      </c>
      <c r="C1514" s="8">
        <v>46211</v>
      </c>
      <c r="D1514" t="s">
        <v>2070</v>
      </c>
      <c r="E1514" t="s">
        <v>2076</v>
      </c>
      <c r="F1514" t="s">
        <v>29</v>
      </c>
      <c r="G1514">
        <v>566.19000000000005</v>
      </c>
      <c r="H1514" t="s">
        <v>2060</v>
      </c>
      <c r="I1514" t="str">
        <f>VLOOKUP(B1514,Customers!A:G,7,FALSE)</f>
        <v>Student</v>
      </c>
      <c r="Q1514" t="str">
        <f>IF(COUNTIF(Customers!$A$2:$A$1001,B1514)&gt;0,"Valid","Invalid")</f>
        <v>Valid</v>
      </c>
      <c r="R1514" t="str">
        <f>IF(COUNTIF(Branches!$A$2:$A$11,F1514)&gt;0,"Valid","Invalid")</f>
        <v>Valid</v>
      </c>
    </row>
    <row r="1515" spans="1:18" x14ac:dyDescent="0.25">
      <c r="A1515" t="s">
        <v>3586</v>
      </c>
      <c r="B1515" t="s">
        <v>646</v>
      </c>
      <c r="C1515" s="8">
        <v>46034</v>
      </c>
      <c r="D1515" t="s">
        <v>2058</v>
      </c>
      <c r="E1515" t="s">
        <v>2073</v>
      </c>
      <c r="F1515" t="s">
        <v>29</v>
      </c>
      <c r="G1515">
        <v>911.56</v>
      </c>
      <c r="H1515" t="s">
        <v>2060</v>
      </c>
      <c r="I1515" t="str">
        <f>VLOOKUP(B1515,Customers!A:G,7,FALSE)</f>
        <v>SME</v>
      </c>
      <c r="Q1515" t="str">
        <f>IF(COUNTIF(Customers!$A$2:$A$1001,B1515)&gt;0,"Valid","Invalid")</f>
        <v>Valid</v>
      </c>
      <c r="R1515" t="str">
        <f>IF(COUNTIF(Branches!$A$2:$A$11,F1515)&gt;0,"Valid","Invalid")</f>
        <v>Valid</v>
      </c>
    </row>
    <row r="1516" spans="1:18" x14ac:dyDescent="0.25">
      <c r="A1516" t="s">
        <v>3587</v>
      </c>
      <c r="B1516" t="s">
        <v>433</v>
      </c>
      <c r="C1516" s="8">
        <v>46261</v>
      </c>
      <c r="D1516" t="s">
        <v>2062</v>
      </c>
      <c r="E1516" t="s">
        <v>2073</v>
      </c>
      <c r="F1516" t="s">
        <v>21</v>
      </c>
      <c r="G1516">
        <v>207.82</v>
      </c>
      <c r="H1516" t="s">
        <v>2060</v>
      </c>
      <c r="I1516" t="str">
        <f>VLOOKUP(B1516,Customers!A:G,7,FALSE)</f>
        <v>Individual</v>
      </c>
      <c r="Q1516" t="str">
        <f>IF(COUNTIF(Customers!$A$2:$A$1001,B1516)&gt;0,"Valid","Invalid")</f>
        <v>Valid</v>
      </c>
      <c r="R1516" t="str">
        <f>IF(COUNTIF(Branches!$A$2:$A$11,F1516)&gt;0,"Valid","Invalid")</f>
        <v>Valid</v>
      </c>
    </row>
    <row r="1517" spans="1:18" x14ac:dyDescent="0.25">
      <c r="A1517" t="s">
        <v>3588</v>
      </c>
      <c r="B1517" t="s">
        <v>551</v>
      </c>
      <c r="C1517" s="8">
        <v>46126</v>
      </c>
      <c r="D1517" t="s">
        <v>2065</v>
      </c>
      <c r="E1517" t="s">
        <v>2059</v>
      </c>
      <c r="F1517" t="s">
        <v>53</v>
      </c>
      <c r="G1517">
        <v>377.83</v>
      </c>
      <c r="H1517" t="s">
        <v>2060</v>
      </c>
      <c r="I1517" t="str">
        <f>VLOOKUP(B1517,Customers!A:G,7,FALSE)</f>
        <v>Student</v>
      </c>
      <c r="Q1517" t="str">
        <f>IF(COUNTIF(Customers!$A$2:$A$1001,B1517)&gt;0,"Valid","Invalid")</f>
        <v>Valid</v>
      </c>
      <c r="R1517" t="str">
        <f>IF(COUNTIF(Branches!$A$2:$A$11,F1517)&gt;0,"Valid","Invalid")</f>
        <v>Valid</v>
      </c>
    </row>
    <row r="1518" spans="1:18" x14ac:dyDescent="0.25">
      <c r="A1518" t="s">
        <v>3589</v>
      </c>
      <c r="B1518" t="s">
        <v>959</v>
      </c>
      <c r="C1518" s="8">
        <v>46103</v>
      </c>
      <c r="D1518" t="s">
        <v>2065</v>
      </c>
      <c r="E1518" t="s">
        <v>2063</v>
      </c>
      <c r="F1518" t="s">
        <v>27</v>
      </c>
      <c r="G1518">
        <v>581.47</v>
      </c>
      <c r="H1518" t="s">
        <v>2060</v>
      </c>
      <c r="I1518" t="str">
        <f>VLOOKUP(B1518,Customers!A:G,7,FALSE)</f>
        <v>SME</v>
      </c>
      <c r="Q1518" t="str">
        <f>IF(COUNTIF(Customers!$A$2:$A$1001,B1518)&gt;0,"Valid","Invalid")</f>
        <v>Valid</v>
      </c>
      <c r="R1518" t="str">
        <f>IF(COUNTIF(Branches!$A$2:$A$11,F1518)&gt;0,"Valid","Invalid")</f>
        <v>Valid</v>
      </c>
    </row>
    <row r="1519" spans="1:18" x14ac:dyDescent="0.25">
      <c r="A1519" t="s">
        <v>3590</v>
      </c>
      <c r="B1519" t="s">
        <v>848</v>
      </c>
      <c r="C1519" s="8">
        <v>46219</v>
      </c>
      <c r="D1519" t="s">
        <v>2058</v>
      </c>
      <c r="E1519" t="s">
        <v>2073</v>
      </c>
      <c r="F1519" t="s">
        <v>53</v>
      </c>
      <c r="G1519">
        <v>281.23</v>
      </c>
      <c r="H1519" t="s">
        <v>2060</v>
      </c>
      <c r="I1519" t="str">
        <f>VLOOKUP(B1519,Customers!A:G,7,FALSE)</f>
        <v>Individual</v>
      </c>
      <c r="Q1519" t="str">
        <f>IF(COUNTIF(Customers!$A$2:$A$1001,B1519)&gt;0,"Valid","Invalid")</f>
        <v>Valid</v>
      </c>
      <c r="R1519" t="str">
        <f>IF(COUNTIF(Branches!$A$2:$A$11,F1519)&gt;0,"Valid","Invalid")</f>
        <v>Valid</v>
      </c>
    </row>
    <row r="1520" spans="1:18" x14ac:dyDescent="0.25">
      <c r="A1520" t="s">
        <v>3591</v>
      </c>
      <c r="B1520" t="s">
        <v>217</v>
      </c>
      <c r="C1520" s="8">
        <v>46149</v>
      </c>
      <c r="D1520" t="s">
        <v>2065</v>
      </c>
      <c r="E1520" t="s">
        <v>2076</v>
      </c>
      <c r="F1520" t="s">
        <v>29</v>
      </c>
      <c r="G1520">
        <v>3047.19</v>
      </c>
      <c r="H1520" t="s">
        <v>2060</v>
      </c>
      <c r="I1520" t="str">
        <f>VLOOKUP(B1520,Customers!A:G,7,FALSE)</f>
        <v>Individual</v>
      </c>
      <c r="Q1520" t="str">
        <f>IF(COUNTIF(Customers!$A$2:$A$1001,B1520)&gt;0,"Valid","Invalid")</f>
        <v>Valid</v>
      </c>
      <c r="R1520" t="str">
        <f>IF(COUNTIF(Branches!$A$2:$A$11,F1520)&gt;0,"Valid","Invalid")</f>
        <v>Valid</v>
      </c>
    </row>
    <row r="1521" spans="1:18" x14ac:dyDescent="0.25">
      <c r="A1521" t="s">
        <v>3592</v>
      </c>
      <c r="B1521" t="s">
        <v>958</v>
      </c>
      <c r="C1521" s="8">
        <v>46036</v>
      </c>
      <c r="D1521" t="s">
        <v>2058</v>
      </c>
      <c r="E1521" t="s">
        <v>2059</v>
      </c>
      <c r="F1521" t="s">
        <v>21</v>
      </c>
      <c r="G1521">
        <v>351.42</v>
      </c>
      <c r="H1521" t="s">
        <v>2060</v>
      </c>
      <c r="I1521" t="str">
        <f>VLOOKUP(B1521,Customers!A:G,7,FALSE)</f>
        <v>Individual</v>
      </c>
      <c r="Q1521" t="str">
        <f>IF(COUNTIF(Customers!$A$2:$A$1001,B1521)&gt;0,"Valid","Invalid")</f>
        <v>Valid</v>
      </c>
      <c r="R1521" t="str">
        <f>IF(COUNTIF(Branches!$A$2:$A$11,F1521)&gt;0,"Valid","Invalid")</f>
        <v>Valid</v>
      </c>
    </row>
    <row r="1522" spans="1:18" x14ac:dyDescent="0.25">
      <c r="A1522" t="s">
        <v>3593</v>
      </c>
      <c r="B1522" t="s">
        <v>731</v>
      </c>
      <c r="C1522" s="8">
        <v>46056</v>
      </c>
      <c r="D1522" t="s">
        <v>2067</v>
      </c>
      <c r="E1522" t="s">
        <v>2059</v>
      </c>
      <c r="F1522" t="s">
        <v>45</v>
      </c>
      <c r="G1522">
        <v>1784.33</v>
      </c>
      <c r="H1522" t="s">
        <v>2060</v>
      </c>
      <c r="I1522" t="str">
        <f>VLOOKUP(B1522,Customers!A:G,7,FALSE)</f>
        <v>Individual</v>
      </c>
      <c r="Q1522" t="str">
        <f>IF(COUNTIF(Customers!$A$2:$A$1001,B1522)&gt;0,"Valid","Invalid")</f>
        <v>Valid</v>
      </c>
      <c r="R1522" t="str">
        <f>IF(COUNTIF(Branches!$A$2:$A$11,F1522)&gt;0,"Valid","Invalid")</f>
        <v>Valid</v>
      </c>
    </row>
    <row r="1523" spans="1:18" x14ac:dyDescent="0.25">
      <c r="A1523" t="s">
        <v>3594</v>
      </c>
      <c r="B1523" t="s">
        <v>273</v>
      </c>
      <c r="C1523" s="8">
        <v>46070</v>
      </c>
      <c r="D1523" t="s">
        <v>2062</v>
      </c>
      <c r="E1523" t="s">
        <v>2059</v>
      </c>
      <c r="F1523" t="s">
        <v>29</v>
      </c>
      <c r="G1523">
        <v>979.3</v>
      </c>
      <c r="H1523" t="s">
        <v>2060</v>
      </c>
      <c r="I1523" t="str">
        <f>VLOOKUP(B1523,Customers!A:G,7,FALSE)</f>
        <v>Individual</v>
      </c>
      <c r="Q1523" t="str">
        <f>IF(COUNTIF(Customers!$A$2:$A$1001,B1523)&gt;0,"Valid","Invalid")</f>
        <v>Valid</v>
      </c>
      <c r="R1523" t="str">
        <f>IF(COUNTIF(Branches!$A$2:$A$11,F1523)&gt;0,"Valid","Invalid")</f>
        <v>Valid</v>
      </c>
    </row>
    <row r="1524" spans="1:18" x14ac:dyDescent="0.25">
      <c r="A1524" t="s">
        <v>3595</v>
      </c>
      <c r="B1524" t="s">
        <v>990</v>
      </c>
      <c r="C1524" s="8">
        <v>46083</v>
      </c>
      <c r="D1524" t="s">
        <v>2062</v>
      </c>
      <c r="E1524" t="s">
        <v>2068</v>
      </c>
      <c r="F1524" t="s">
        <v>11</v>
      </c>
      <c r="G1524">
        <v>837.86</v>
      </c>
      <c r="H1524" t="s">
        <v>2060</v>
      </c>
      <c r="I1524" t="str">
        <f>VLOOKUP(B1524,Customers!A:G,7,FALSE)</f>
        <v>Individual</v>
      </c>
      <c r="Q1524" t="str">
        <f>IF(COUNTIF(Customers!$A$2:$A$1001,B1524)&gt;0,"Valid","Invalid")</f>
        <v>Valid</v>
      </c>
      <c r="R1524" t="str">
        <f>IF(COUNTIF(Branches!$A$2:$A$11,F1524)&gt;0,"Valid","Invalid")</f>
        <v>Valid</v>
      </c>
    </row>
    <row r="1525" spans="1:18" x14ac:dyDescent="0.25">
      <c r="A1525" t="s">
        <v>3596</v>
      </c>
      <c r="B1525" t="s">
        <v>869</v>
      </c>
      <c r="C1525" s="8">
        <v>46231</v>
      </c>
      <c r="D1525" t="s">
        <v>2067</v>
      </c>
      <c r="E1525" t="s">
        <v>2059</v>
      </c>
      <c r="F1525" t="s">
        <v>27</v>
      </c>
      <c r="G1525">
        <v>3590.92</v>
      </c>
      <c r="H1525" t="s">
        <v>2060</v>
      </c>
      <c r="I1525" t="str">
        <f>VLOOKUP(B1525,Customers!A:G,7,FALSE)</f>
        <v>Individual</v>
      </c>
      <c r="Q1525" t="str">
        <f>IF(COUNTIF(Customers!$A$2:$A$1001,B1525)&gt;0,"Valid","Invalid")</f>
        <v>Valid</v>
      </c>
      <c r="R1525" t="str">
        <f>IF(COUNTIF(Branches!$A$2:$A$11,F1525)&gt;0,"Valid","Invalid")</f>
        <v>Valid</v>
      </c>
    </row>
    <row r="1526" spans="1:18" x14ac:dyDescent="0.25">
      <c r="A1526" t="s">
        <v>3597</v>
      </c>
      <c r="B1526" t="s">
        <v>375</v>
      </c>
      <c r="C1526" s="8">
        <v>46057</v>
      </c>
      <c r="D1526" t="s">
        <v>2065</v>
      </c>
      <c r="E1526" t="s">
        <v>2068</v>
      </c>
      <c r="F1526" t="s">
        <v>27</v>
      </c>
      <c r="G1526">
        <v>84.72</v>
      </c>
      <c r="H1526" t="s">
        <v>2060</v>
      </c>
      <c r="I1526" t="str">
        <f>VLOOKUP(B1526,Customers!A:G,7,FALSE)</f>
        <v>SME</v>
      </c>
      <c r="Q1526" t="str">
        <f>IF(COUNTIF(Customers!$A$2:$A$1001,B1526)&gt;0,"Valid","Invalid")</f>
        <v>Valid</v>
      </c>
      <c r="R1526" t="str">
        <f>IF(COUNTIF(Branches!$A$2:$A$11,F1526)&gt;0,"Valid","Invalid")</f>
        <v>Valid</v>
      </c>
    </row>
    <row r="1527" spans="1:18" x14ac:dyDescent="0.25">
      <c r="A1527" t="s">
        <v>3598</v>
      </c>
      <c r="B1527" t="s">
        <v>32</v>
      </c>
      <c r="C1527" s="8">
        <v>46141</v>
      </c>
      <c r="D1527" t="s">
        <v>2058</v>
      </c>
      <c r="E1527" t="s">
        <v>2068</v>
      </c>
      <c r="F1527" t="s">
        <v>27</v>
      </c>
      <c r="G1527">
        <v>667.67</v>
      </c>
      <c r="H1527" t="s">
        <v>2115</v>
      </c>
      <c r="I1527" t="str">
        <f>VLOOKUP(B1527,Customers!A:G,7,FALSE)</f>
        <v>Individual</v>
      </c>
      <c r="Q1527" t="str">
        <f>IF(COUNTIF(Customers!$A$2:$A$1001,B1527)&gt;0,"Valid","Invalid")</f>
        <v>Valid</v>
      </c>
      <c r="R1527" t="str">
        <f>IF(COUNTIF(Branches!$A$2:$A$11,F1527)&gt;0,"Valid","Invalid")</f>
        <v>Valid</v>
      </c>
    </row>
    <row r="1528" spans="1:18" x14ac:dyDescent="0.25">
      <c r="A1528" t="s">
        <v>3599</v>
      </c>
      <c r="B1528" t="s">
        <v>481</v>
      </c>
      <c r="C1528" s="8">
        <v>46087</v>
      </c>
      <c r="D1528" t="s">
        <v>2070</v>
      </c>
      <c r="E1528" t="s">
        <v>2068</v>
      </c>
      <c r="F1528" t="s">
        <v>39</v>
      </c>
      <c r="G1528">
        <v>275.77999999999997</v>
      </c>
      <c r="H1528" t="s">
        <v>2060</v>
      </c>
      <c r="I1528" t="str">
        <f>VLOOKUP(B1528,Customers!A:G,7,FALSE)</f>
        <v>Individual</v>
      </c>
      <c r="Q1528" t="str">
        <f>IF(COUNTIF(Customers!$A$2:$A$1001,B1528)&gt;0,"Valid","Invalid")</f>
        <v>Valid</v>
      </c>
      <c r="R1528" t="str">
        <f>IF(COUNTIF(Branches!$A$2:$A$11,F1528)&gt;0,"Valid","Invalid")</f>
        <v>Valid</v>
      </c>
    </row>
    <row r="1529" spans="1:18" x14ac:dyDescent="0.25">
      <c r="A1529" t="s">
        <v>3600</v>
      </c>
      <c r="B1529" t="s">
        <v>979</v>
      </c>
      <c r="C1529" s="8">
        <v>46081</v>
      </c>
      <c r="D1529" t="s">
        <v>2058</v>
      </c>
      <c r="E1529" t="s">
        <v>2076</v>
      </c>
      <c r="F1529" t="s">
        <v>16</v>
      </c>
      <c r="G1529">
        <v>114.27</v>
      </c>
      <c r="H1529" t="s">
        <v>2060</v>
      </c>
      <c r="I1529" t="str">
        <f>VLOOKUP(B1529,Customers!A:G,7,FALSE)</f>
        <v>Individual</v>
      </c>
      <c r="Q1529" t="str">
        <f>IF(COUNTIF(Customers!$A$2:$A$1001,B1529)&gt;0,"Valid","Invalid")</f>
        <v>Valid</v>
      </c>
      <c r="R1529" t="str">
        <f>IF(COUNTIF(Branches!$A$2:$A$11,F1529)&gt;0,"Valid","Invalid")</f>
        <v>Valid</v>
      </c>
    </row>
    <row r="1530" spans="1:18" x14ac:dyDescent="0.25">
      <c r="A1530" t="s">
        <v>3601</v>
      </c>
      <c r="B1530" t="s">
        <v>577</v>
      </c>
      <c r="C1530" s="8">
        <v>46264</v>
      </c>
      <c r="D1530" t="s">
        <v>2065</v>
      </c>
      <c r="E1530" t="s">
        <v>2068</v>
      </c>
      <c r="F1530" t="s">
        <v>11</v>
      </c>
      <c r="G1530">
        <v>245.98</v>
      </c>
      <c r="H1530" t="s">
        <v>2060</v>
      </c>
      <c r="I1530" t="str">
        <f>VLOOKUP(B1530,Customers!A:G,7,FALSE)</f>
        <v>Individual</v>
      </c>
      <c r="Q1530" t="str">
        <f>IF(COUNTIF(Customers!$A$2:$A$1001,B1530)&gt;0,"Valid","Invalid")</f>
        <v>Valid</v>
      </c>
      <c r="R1530" t="str">
        <f>IF(COUNTIF(Branches!$A$2:$A$11,F1530)&gt;0,"Valid","Invalid")</f>
        <v>Valid</v>
      </c>
    </row>
    <row r="1531" spans="1:18" x14ac:dyDescent="0.25">
      <c r="A1531" t="s">
        <v>3602</v>
      </c>
      <c r="B1531" t="s">
        <v>858</v>
      </c>
      <c r="C1531" s="8">
        <v>46264</v>
      </c>
      <c r="D1531" t="s">
        <v>2065</v>
      </c>
      <c r="E1531" t="s">
        <v>2059</v>
      </c>
      <c r="F1531" t="s">
        <v>27</v>
      </c>
      <c r="G1531">
        <v>826.53</v>
      </c>
      <c r="H1531" t="s">
        <v>2060</v>
      </c>
      <c r="I1531" t="str">
        <f>VLOOKUP(B1531,Customers!A:G,7,FALSE)</f>
        <v>SME</v>
      </c>
      <c r="Q1531" t="str">
        <f>IF(COUNTIF(Customers!$A$2:$A$1001,B1531)&gt;0,"Valid","Invalid")</f>
        <v>Valid</v>
      </c>
      <c r="R1531" t="str">
        <f>IF(COUNTIF(Branches!$A$2:$A$11,F1531)&gt;0,"Valid","Invalid")</f>
        <v>Valid</v>
      </c>
    </row>
    <row r="1532" spans="1:18" x14ac:dyDescent="0.25">
      <c r="A1532" t="s">
        <v>3603</v>
      </c>
      <c r="B1532" t="s">
        <v>696</v>
      </c>
      <c r="C1532" s="8">
        <v>46058</v>
      </c>
      <c r="D1532" t="s">
        <v>2067</v>
      </c>
      <c r="E1532" t="s">
        <v>2063</v>
      </c>
      <c r="F1532" t="s">
        <v>39</v>
      </c>
      <c r="G1532">
        <v>393.33</v>
      </c>
      <c r="H1532" t="s">
        <v>2060</v>
      </c>
      <c r="I1532" t="str">
        <f>VLOOKUP(B1532,Customers!A:G,7,FALSE)</f>
        <v>Individual</v>
      </c>
      <c r="Q1532" t="str">
        <f>IF(COUNTIF(Customers!$A$2:$A$1001,B1532)&gt;0,"Valid","Invalid")</f>
        <v>Valid</v>
      </c>
      <c r="R1532" t="str">
        <f>IF(COUNTIF(Branches!$A$2:$A$11,F1532)&gt;0,"Valid","Invalid")</f>
        <v>Valid</v>
      </c>
    </row>
    <row r="1533" spans="1:18" x14ac:dyDescent="0.25">
      <c r="A1533" t="s">
        <v>3604</v>
      </c>
      <c r="B1533" t="s">
        <v>127</v>
      </c>
      <c r="C1533" s="8">
        <v>46229</v>
      </c>
      <c r="D1533" t="s">
        <v>2065</v>
      </c>
      <c r="E1533" t="s">
        <v>2068</v>
      </c>
      <c r="F1533" t="s">
        <v>27</v>
      </c>
      <c r="G1533">
        <v>1991.44</v>
      </c>
      <c r="H1533" t="s">
        <v>2060</v>
      </c>
      <c r="I1533" t="str">
        <f>VLOOKUP(B1533,Customers!A:G,7,FALSE)</f>
        <v>Individual</v>
      </c>
      <c r="Q1533" t="str">
        <f>IF(COUNTIF(Customers!$A$2:$A$1001,B1533)&gt;0,"Valid","Invalid")</f>
        <v>Valid</v>
      </c>
      <c r="R1533" t="str">
        <f>IF(COUNTIF(Branches!$A$2:$A$11,F1533)&gt;0,"Valid","Invalid")</f>
        <v>Valid</v>
      </c>
    </row>
    <row r="1534" spans="1:18" x14ac:dyDescent="0.25">
      <c r="A1534" t="s">
        <v>3605</v>
      </c>
      <c r="B1534" t="s">
        <v>892</v>
      </c>
      <c r="C1534" s="8">
        <v>46169</v>
      </c>
      <c r="D1534" t="s">
        <v>2062</v>
      </c>
      <c r="E1534" t="s">
        <v>2059</v>
      </c>
      <c r="F1534" t="s">
        <v>11</v>
      </c>
      <c r="G1534">
        <v>656</v>
      </c>
      <c r="H1534" t="s">
        <v>2060</v>
      </c>
      <c r="I1534" t="str">
        <f>VLOOKUP(B1534,Customers!A:G,7,FALSE)</f>
        <v>Individual</v>
      </c>
      <c r="Q1534" t="str">
        <f>IF(COUNTIF(Customers!$A$2:$A$1001,B1534)&gt;0,"Valid","Invalid")</f>
        <v>Valid</v>
      </c>
      <c r="R1534" t="str">
        <f>IF(COUNTIF(Branches!$A$2:$A$11,F1534)&gt;0,"Valid","Invalid")</f>
        <v>Valid</v>
      </c>
    </row>
    <row r="1535" spans="1:18" x14ac:dyDescent="0.25">
      <c r="A1535" t="s">
        <v>3606</v>
      </c>
      <c r="B1535" t="s">
        <v>310</v>
      </c>
      <c r="C1535" s="8">
        <v>46265</v>
      </c>
      <c r="D1535" t="s">
        <v>2062</v>
      </c>
      <c r="E1535" t="s">
        <v>2063</v>
      </c>
      <c r="F1535" t="s">
        <v>39</v>
      </c>
      <c r="G1535">
        <v>587.14</v>
      </c>
      <c r="H1535" t="s">
        <v>2060</v>
      </c>
      <c r="I1535" t="str">
        <f>VLOOKUP(B1535,Customers!A:G,7,FALSE)</f>
        <v>Individual</v>
      </c>
      <c r="Q1535" t="str">
        <f>IF(COUNTIF(Customers!$A$2:$A$1001,B1535)&gt;0,"Valid","Invalid")</f>
        <v>Valid</v>
      </c>
      <c r="R1535" t="str">
        <f>IF(COUNTIF(Branches!$A$2:$A$11,F1535)&gt;0,"Valid","Invalid")</f>
        <v>Valid</v>
      </c>
    </row>
    <row r="1536" spans="1:18" x14ac:dyDescent="0.25">
      <c r="A1536" t="s">
        <v>3607</v>
      </c>
      <c r="B1536" t="s">
        <v>872</v>
      </c>
      <c r="C1536" s="8">
        <v>46064</v>
      </c>
      <c r="D1536" t="s">
        <v>2065</v>
      </c>
      <c r="E1536" t="s">
        <v>2063</v>
      </c>
      <c r="F1536" t="s">
        <v>39</v>
      </c>
      <c r="G1536">
        <v>589.76</v>
      </c>
      <c r="H1536" t="s">
        <v>2060</v>
      </c>
      <c r="I1536" t="str">
        <f>VLOOKUP(B1536,Customers!A:G,7,FALSE)</f>
        <v>Individual</v>
      </c>
      <c r="Q1536" t="str">
        <f>IF(COUNTIF(Customers!$A$2:$A$1001,B1536)&gt;0,"Valid","Invalid")</f>
        <v>Valid</v>
      </c>
      <c r="R1536" t="str">
        <f>IF(COUNTIF(Branches!$A$2:$A$11,F1536)&gt;0,"Valid","Invalid")</f>
        <v>Valid</v>
      </c>
    </row>
    <row r="1537" spans="1:18" x14ac:dyDescent="0.25">
      <c r="A1537" t="s">
        <v>3608</v>
      </c>
      <c r="B1537" t="s">
        <v>28</v>
      </c>
      <c r="C1537" s="8">
        <v>46091</v>
      </c>
      <c r="D1537" t="s">
        <v>2067</v>
      </c>
      <c r="E1537" t="s">
        <v>2063</v>
      </c>
      <c r="F1537" t="s">
        <v>27</v>
      </c>
      <c r="G1537">
        <v>736.2</v>
      </c>
      <c r="H1537" t="s">
        <v>2060</v>
      </c>
      <c r="I1537" t="str">
        <f>VLOOKUP(B1537,Customers!A:G,7,FALSE)</f>
        <v>SME</v>
      </c>
      <c r="Q1537" t="str">
        <f>IF(COUNTIF(Customers!$A$2:$A$1001,B1537)&gt;0,"Valid","Invalid")</f>
        <v>Valid</v>
      </c>
      <c r="R1537" t="str">
        <f>IF(COUNTIF(Branches!$A$2:$A$11,F1537)&gt;0,"Valid","Invalid")</f>
        <v>Valid</v>
      </c>
    </row>
    <row r="1538" spans="1:18" x14ac:dyDescent="0.25">
      <c r="A1538" t="s">
        <v>3609</v>
      </c>
      <c r="B1538" t="s">
        <v>632</v>
      </c>
      <c r="C1538" s="8">
        <v>46169</v>
      </c>
      <c r="D1538" t="s">
        <v>2065</v>
      </c>
      <c r="E1538" t="s">
        <v>2068</v>
      </c>
      <c r="F1538" t="s">
        <v>47</v>
      </c>
      <c r="G1538">
        <v>534.6</v>
      </c>
      <c r="H1538" t="s">
        <v>2060</v>
      </c>
      <c r="I1538" t="str">
        <f>VLOOKUP(B1538,Customers!A:G,7,FALSE)</f>
        <v>Individual</v>
      </c>
      <c r="Q1538" t="str">
        <f>IF(COUNTIF(Customers!$A$2:$A$1001,B1538)&gt;0,"Valid","Invalid")</f>
        <v>Valid</v>
      </c>
      <c r="R1538" t="str">
        <f>IF(COUNTIF(Branches!$A$2:$A$11,F1538)&gt;0,"Valid","Invalid")</f>
        <v>Valid</v>
      </c>
    </row>
    <row r="1539" spans="1:18" x14ac:dyDescent="0.25">
      <c r="A1539" t="s">
        <v>3610</v>
      </c>
      <c r="B1539" t="s">
        <v>937</v>
      </c>
      <c r="C1539" s="8">
        <v>46129</v>
      </c>
      <c r="D1539" t="s">
        <v>2062</v>
      </c>
      <c r="E1539" t="s">
        <v>2076</v>
      </c>
      <c r="F1539" t="s">
        <v>27</v>
      </c>
      <c r="G1539">
        <v>346.8</v>
      </c>
      <c r="H1539" t="s">
        <v>2060</v>
      </c>
      <c r="I1539" t="str">
        <f>VLOOKUP(B1539,Customers!A:G,7,FALSE)</f>
        <v>SME</v>
      </c>
      <c r="Q1539" t="str">
        <f>IF(COUNTIF(Customers!$A$2:$A$1001,B1539)&gt;0,"Valid","Invalid")</f>
        <v>Valid</v>
      </c>
      <c r="R1539" t="str">
        <f>IF(COUNTIF(Branches!$A$2:$A$11,F1539)&gt;0,"Valid","Invalid")</f>
        <v>Valid</v>
      </c>
    </row>
    <row r="1540" spans="1:18" x14ac:dyDescent="0.25">
      <c r="A1540" t="s">
        <v>3611</v>
      </c>
      <c r="B1540" t="s">
        <v>256</v>
      </c>
      <c r="C1540" s="8">
        <v>46061</v>
      </c>
      <c r="D1540" t="s">
        <v>2058</v>
      </c>
      <c r="E1540" t="s">
        <v>2063</v>
      </c>
      <c r="F1540" t="s">
        <v>35</v>
      </c>
      <c r="G1540">
        <v>2184.59</v>
      </c>
      <c r="H1540" t="s">
        <v>2060</v>
      </c>
      <c r="I1540" t="str">
        <f>VLOOKUP(B1540,Customers!A:G,7,FALSE)</f>
        <v>SME</v>
      </c>
      <c r="Q1540" t="str">
        <f>IF(COUNTIF(Customers!$A$2:$A$1001,B1540)&gt;0,"Valid","Invalid")</f>
        <v>Valid</v>
      </c>
      <c r="R1540" t="str">
        <f>IF(COUNTIF(Branches!$A$2:$A$11,F1540)&gt;0,"Valid","Invalid")</f>
        <v>Valid</v>
      </c>
    </row>
    <row r="1541" spans="1:18" x14ac:dyDescent="0.25">
      <c r="A1541" t="s">
        <v>3612</v>
      </c>
      <c r="B1541" t="s">
        <v>154</v>
      </c>
      <c r="C1541" s="8">
        <v>46091</v>
      </c>
      <c r="D1541" t="s">
        <v>2058</v>
      </c>
      <c r="E1541" t="s">
        <v>2068</v>
      </c>
      <c r="F1541" t="s">
        <v>35</v>
      </c>
      <c r="G1541">
        <v>435.24</v>
      </c>
      <c r="H1541" t="s">
        <v>2060</v>
      </c>
      <c r="I1541" t="str">
        <f>VLOOKUP(B1541,Customers!A:G,7,FALSE)</f>
        <v>Individual</v>
      </c>
      <c r="Q1541" t="str">
        <f>IF(COUNTIF(Customers!$A$2:$A$1001,B1541)&gt;0,"Valid","Invalid")</f>
        <v>Valid</v>
      </c>
      <c r="R1541" t="str">
        <f>IF(COUNTIF(Branches!$A$2:$A$11,F1541)&gt;0,"Valid","Invalid")</f>
        <v>Valid</v>
      </c>
    </row>
    <row r="1542" spans="1:18" x14ac:dyDescent="0.25">
      <c r="A1542" t="s">
        <v>3613</v>
      </c>
      <c r="B1542" t="s">
        <v>631</v>
      </c>
      <c r="C1542" s="8">
        <v>46202</v>
      </c>
      <c r="D1542" t="s">
        <v>2067</v>
      </c>
      <c r="E1542" t="s">
        <v>2063</v>
      </c>
      <c r="F1542" t="s">
        <v>21</v>
      </c>
      <c r="G1542">
        <v>553.62</v>
      </c>
      <c r="H1542" t="s">
        <v>2060</v>
      </c>
      <c r="I1542" t="str">
        <f>VLOOKUP(B1542,Customers!A:G,7,FALSE)</f>
        <v>SME</v>
      </c>
      <c r="Q1542" t="str">
        <f>IF(COUNTIF(Customers!$A$2:$A$1001,B1542)&gt;0,"Valid","Invalid")</f>
        <v>Valid</v>
      </c>
      <c r="R1542" t="str">
        <f>IF(COUNTIF(Branches!$A$2:$A$11,F1542)&gt;0,"Valid","Invalid")</f>
        <v>Valid</v>
      </c>
    </row>
    <row r="1543" spans="1:18" x14ac:dyDescent="0.25">
      <c r="A1543" t="s">
        <v>3614</v>
      </c>
      <c r="B1543" t="s">
        <v>1014</v>
      </c>
      <c r="C1543" s="8">
        <v>46034</v>
      </c>
      <c r="D1543" t="s">
        <v>2058</v>
      </c>
      <c r="E1543" t="s">
        <v>2068</v>
      </c>
      <c r="F1543" t="s">
        <v>39</v>
      </c>
      <c r="G1543">
        <v>1248.1300000000001</v>
      </c>
      <c r="H1543" t="s">
        <v>2060</v>
      </c>
      <c r="I1543" t="str">
        <f>VLOOKUP(B1543,Customers!A:G,7,FALSE)</f>
        <v>SME</v>
      </c>
      <c r="Q1543" t="str">
        <f>IF(COUNTIF(Customers!$A$2:$A$1001,B1543)&gt;0,"Valid","Invalid")</f>
        <v>Valid</v>
      </c>
      <c r="R1543" t="str">
        <f>IF(COUNTIF(Branches!$A$2:$A$11,F1543)&gt;0,"Valid","Invalid")</f>
        <v>Valid</v>
      </c>
    </row>
    <row r="1544" spans="1:18" x14ac:dyDescent="0.25">
      <c r="A1544" t="s">
        <v>3615</v>
      </c>
      <c r="B1544" t="s">
        <v>620</v>
      </c>
      <c r="C1544" s="8">
        <v>46105</v>
      </c>
      <c r="D1544" t="s">
        <v>2067</v>
      </c>
      <c r="E1544" t="s">
        <v>2059</v>
      </c>
      <c r="F1544" t="s">
        <v>29</v>
      </c>
      <c r="G1544">
        <v>1117.3800000000001</v>
      </c>
      <c r="H1544" t="s">
        <v>2060</v>
      </c>
      <c r="I1544" t="str">
        <f>VLOOKUP(B1544,Customers!A:G,7,FALSE)</f>
        <v>Student</v>
      </c>
      <c r="Q1544" t="str">
        <f>IF(COUNTIF(Customers!$A$2:$A$1001,B1544)&gt;0,"Valid","Invalid")</f>
        <v>Valid</v>
      </c>
      <c r="R1544" t="str">
        <f>IF(COUNTIF(Branches!$A$2:$A$11,F1544)&gt;0,"Valid","Invalid")</f>
        <v>Valid</v>
      </c>
    </row>
    <row r="1545" spans="1:18" x14ac:dyDescent="0.25">
      <c r="A1545" t="s">
        <v>3616</v>
      </c>
      <c r="B1545" t="s">
        <v>151</v>
      </c>
      <c r="C1545" s="8">
        <v>46197</v>
      </c>
      <c r="D1545" t="s">
        <v>2067</v>
      </c>
      <c r="E1545" t="s">
        <v>2076</v>
      </c>
      <c r="F1545" t="s">
        <v>53</v>
      </c>
      <c r="G1545">
        <v>332.47</v>
      </c>
      <c r="H1545" t="s">
        <v>2060</v>
      </c>
      <c r="I1545" t="str">
        <f>VLOOKUP(B1545,Customers!A:G,7,FALSE)</f>
        <v>Individual</v>
      </c>
      <c r="Q1545" t="str">
        <f>IF(COUNTIF(Customers!$A$2:$A$1001,B1545)&gt;0,"Valid","Invalid")</f>
        <v>Valid</v>
      </c>
      <c r="R1545" t="str">
        <f>IF(COUNTIF(Branches!$A$2:$A$11,F1545)&gt;0,"Valid","Invalid")</f>
        <v>Valid</v>
      </c>
    </row>
    <row r="1546" spans="1:18" x14ac:dyDescent="0.25">
      <c r="A1546" t="s">
        <v>3617</v>
      </c>
      <c r="B1546" t="s">
        <v>301</v>
      </c>
      <c r="C1546" s="8">
        <v>46226</v>
      </c>
      <c r="D1546" t="s">
        <v>2058</v>
      </c>
      <c r="E1546" t="s">
        <v>2059</v>
      </c>
      <c r="F1546" t="s">
        <v>29</v>
      </c>
      <c r="G1546">
        <v>1728.45</v>
      </c>
      <c r="H1546" t="s">
        <v>2060</v>
      </c>
      <c r="I1546" t="str">
        <f>VLOOKUP(B1546,Customers!A:G,7,FALSE)</f>
        <v>Individual</v>
      </c>
      <c r="Q1546" t="str">
        <f>IF(COUNTIF(Customers!$A$2:$A$1001,B1546)&gt;0,"Valid","Invalid")</f>
        <v>Valid</v>
      </c>
      <c r="R1546" t="str">
        <f>IF(COUNTIF(Branches!$A$2:$A$11,F1546)&gt;0,"Valid","Invalid")</f>
        <v>Valid</v>
      </c>
    </row>
    <row r="1547" spans="1:18" x14ac:dyDescent="0.25">
      <c r="A1547" t="s">
        <v>3618</v>
      </c>
      <c r="B1547" t="s">
        <v>344</v>
      </c>
      <c r="C1547" s="8">
        <v>46058</v>
      </c>
      <c r="D1547" t="s">
        <v>2058</v>
      </c>
      <c r="E1547" t="s">
        <v>2059</v>
      </c>
      <c r="F1547" t="s">
        <v>45</v>
      </c>
      <c r="G1547">
        <v>1390.85</v>
      </c>
      <c r="H1547" t="s">
        <v>2060</v>
      </c>
      <c r="I1547" t="str">
        <f>VLOOKUP(B1547,Customers!A:G,7,FALSE)</f>
        <v>SME</v>
      </c>
      <c r="Q1547" t="str">
        <f>IF(COUNTIF(Customers!$A$2:$A$1001,B1547)&gt;0,"Valid","Invalid")</f>
        <v>Valid</v>
      </c>
      <c r="R1547" t="str">
        <f>IF(COUNTIF(Branches!$A$2:$A$11,F1547)&gt;0,"Valid","Invalid")</f>
        <v>Valid</v>
      </c>
    </row>
    <row r="1548" spans="1:18" x14ac:dyDescent="0.25">
      <c r="A1548" t="s">
        <v>3619</v>
      </c>
      <c r="B1548" t="s">
        <v>692</v>
      </c>
      <c r="C1548" s="8">
        <v>46148</v>
      </c>
      <c r="D1548" t="s">
        <v>2067</v>
      </c>
      <c r="E1548" t="s">
        <v>2068</v>
      </c>
      <c r="F1548" t="s">
        <v>11</v>
      </c>
      <c r="G1548">
        <v>970.66</v>
      </c>
      <c r="H1548" t="s">
        <v>2060</v>
      </c>
      <c r="I1548" t="str">
        <f>VLOOKUP(B1548,Customers!A:G,7,FALSE)</f>
        <v>Individual</v>
      </c>
      <c r="Q1548" t="str">
        <f>IF(COUNTIF(Customers!$A$2:$A$1001,B1548)&gt;0,"Valid","Invalid")</f>
        <v>Valid</v>
      </c>
      <c r="R1548" t="str">
        <f>IF(COUNTIF(Branches!$A$2:$A$11,F1548)&gt;0,"Valid","Invalid")</f>
        <v>Valid</v>
      </c>
    </row>
    <row r="1549" spans="1:18" x14ac:dyDescent="0.25">
      <c r="A1549" t="s">
        <v>3620</v>
      </c>
      <c r="B1549" t="s">
        <v>460</v>
      </c>
      <c r="C1549" s="8">
        <v>46085</v>
      </c>
      <c r="D1549" t="s">
        <v>2065</v>
      </c>
      <c r="E1549" t="s">
        <v>2063</v>
      </c>
      <c r="F1549" t="s">
        <v>21</v>
      </c>
      <c r="G1549">
        <v>527.78</v>
      </c>
      <c r="H1549" t="s">
        <v>2060</v>
      </c>
      <c r="I1549" t="str">
        <f>VLOOKUP(B1549,Customers!A:G,7,FALSE)</f>
        <v>Individual</v>
      </c>
      <c r="Q1549" t="str">
        <f>IF(COUNTIF(Customers!$A$2:$A$1001,B1549)&gt;0,"Valid","Invalid")</f>
        <v>Valid</v>
      </c>
      <c r="R1549" t="str">
        <f>IF(COUNTIF(Branches!$A$2:$A$11,F1549)&gt;0,"Valid","Invalid")</f>
        <v>Valid</v>
      </c>
    </row>
    <row r="1550" spans="1:18" x14ac:dyDescent="0.25">
      <c r="A1550" t="s">
        <v>3621</v>
      </c>
      <c r="B1550" t="s">
        <v>1038</v>
      </c>
      <c r="C1550" s="8">
        <v>46098</v>
      </c>
      <c r="D1550" t="s">
        <v>2067</v>
      </c>
      <c r="E1550" t="s">
        <v>2073</v>
      </c>
      <c r="F1550" t="s">
        <v>45</v>
      </c>
      <c r="G1550">
        <v>540.91999999999996</v>
      </c>
      <c r="H1550" t="s">
        <v>2060</v>
      </c>
      <c r="I1550" t="str">
        <f>VLOOKUP(B1550,Customers!A:G,7,FALSE)</f>
        <v>Individual</v>
      </c>
      <c r="Q1550" t="str">
        <f>IF(COUNTIF(Customers!$A$2:$A$1001,B1550)&gt;0,"Valid","Invalid")</f>
        <v>Valid</v>
      </c>
      <c r="R1550" t="str">
        <f>IF(COUNTIF(Branches!$A$2:$A$11,F1550)&gt;0,"Valid","Invalid")</f>
        <v>Valid</v>
      </c>
    </row>
    <row r="1551" spans="1:18" x14ac:dyDescent="0.25">
      <c r="A1551" t="s">
        <v>3622</v>
      </c>
      <c r="B1551" t="s">
        <v>244</v>
      </c>
      <c r="C1551" s="8">
        <v>46104</v>
      </c>
      <c r="D1551" t="s">
        <v>2067</v>
      </c>
      <c r="E1551" t="s">
        <v>2076</v>
      </c>
      <c r="F1551" t="s">
        <v>35</v>
      </c>
      <c r="G1551">
        <v>663.95</v>
      </c>
      <c r="H1551" t="s">
        <v>2060</v>
      </c>
      <c r="I1551" t="str">
        <f>VLOOKUP(B1551,Customers!A:G,7,FALSE)</f>
        <v>Student</v>
      </c>
      <c r="Q1551" t="str">
        <f>IF(COUNTIF(Customers!$A$2:$A$1001,B1551)&gt;0,"Valid","Invalid")</f>
        <v>Valid</v>
      </c>
      <c r="R1551" t="str">
        <f>IF(COUNTIF(Branches!$A$2:$A$11,F1551)&gt;0,"Valid","Invalid")</f>
        <v>Valid</v>
      </c>
    </row>
    <row r="1552" spans="1:18" x14ac:dyDescent="0.25">
      <c r="A1552" t="s">
        <v>3623</v>
      </c>
      <c r="B1552" t="s">
        <v>661</v>
      </c>
      <c r="C1552" s="8">
        <v>46263</v>
      </c>
      <c r="D1552" t="s">
        <v>2058</v>
      </c>
      <c r="E1552" t="s">
        <v>2059</v>
      </c>
      <c r="F1552" t="s">
        <v>21</v>
      </c>
      <c r="G1552">
        <v>237.03</v>
      </c>
      <c r="H1552" t="s">
        <v>2060</v>
      </c>
      <c r="I1552" t="str">
        <f>VLOOKUP(B1552,Customers!A:G,7,FALSE)</f>
        <v>SME</v>
      </c>
      <c r="Q1552" t="str">
        <f>IF(COUNTIF(Customers!$A$2:$A$1001,B1552)&gt;0,"Valid","Invalid")</f>
        <v>Valid</v>
      </c>
      <c r="R1552" t="str">
        <f>IF(COUNTIF(Branches!$A$2:$A$11,F1552)&gt;0,"Valid","Invalid")</f>
        <v>Valid</v>
      </c>
    </row>
    <row r="1553" spans="1:18" x14ac:dyDescent="0.25">
      <c r="A1553" t="s">
        <v>3624</v>
      </c>
      <c r="B1553" t="s">
        <v>341</v>
      </c>
      <c r="C1553" s="8">
        <v>46073</v>
      </c>
      <c r="D1553" t="s">
        <v>2062</v>
      </c>
      <c r="E1553" t="s">
        <v>2076</v>
      </c>
      <c r="F1553" t="s">
        <v>27</v>
      </c>
      <c r="G1553">
        <v>781.12</v>
      </c>
      <c r="H1553" t="s">
        <v>2060</v>
      </c>
      <c r="I1553" t="str">
        <f>VLOOKUP(B1553,Customers!A:G,7,FALSE)</f>
        <v>SME</v>
      </c>
      <c r="Q1553" t="str">
        <f>IF(COUNTIF(Customers!$A$2:$A$1001,B1553)&gt;0,"Valid","Invalid")</f>
        <v>Valid</v>
      </c>
      <c r="R1553" t="str">
        <f>IF(COUNTIF(Branches!$A$2:$A$11,F1553)&gt;0,"Valid","Invalid")</f>
        <v>Valid</v>
      </c>
    </row>
    <row r="1554" spans="1:18" x14ac:dyDescent="0.25">
      <c r="A1554" t="s">
        <v>3625</v>
      </c>
      <c r="B1554" t="s">
        <v>148</v>
      </c>
      <c r="C1554" s="8">
        <v>46262</v>
      </c>
      <c r="D1554" t="s">
        <v>2065</v>
      </c>
      <c r="E1554" t="s">
        <v>2063</v>
      </c>
      <c r="F1554" t="s">
        <v>27</v>
      </c>
      <c r="G1554">
        <v>1982.48</v>
      </c>
      <c r="H1554" t="s">
        <v>2060</v>
      </c>
      <c r="I1554" t="str">
        <f>VLOOKUP(B1554,Customers!A:G,7,FALSE)</f>
        <v>Individual</v>
      </c>
      <c r="Q1554" t="str">
        <f>IF(COUNTIF(Customers!$A$2:$A$1001,B1554)&gt;0,"Valid","Invalid")</f>
        <v>Valid</v>
      </c>
      <c r="R1554" t="str">
        <f>IF(COUNTIF(Branches!$A$2:$A$11,F1554)&gt;0,"Valid","Invalid")</f>
        <v>Valid</v>
      </c>
    </row>
    <row r="1555" spans="1:18" x14ac:dyDescent="0.25">
      <c r="A1555" t="s">
        <v>3626</v>
      </c>
      <c r="B1555" t="s">
        <v>455</v>
      </c>
      <c r="C1555" s="8">
        <v>46065</v>
      </c>
      <c r="D1555" t="s">
        <v>2065</v>
      </c>
      <c r="E1555" t="s">
        <v>2059</v>
      </c>
      <c r="F1555" t="s">
        <v>11</v>
      </c>
      <c r="G1555">
        <v>1951.53</v>
      </c>
      <c r="H1555" t="s">
        <v>2060</v>
      </c>
      <c r="I1555" t="str">
        <f>VLOOKUP(B1555,Customers!A:G,7,FALSE)</f>
        <v>Individual</v>
      </c>
      <c r="Q1555" t="str">
        <f>IF(COUNTIF(Customers!$A$2:$A$1001,B1555)&gt;0,"Valid","Invalid")</f>
        <v>Valid</v>
      </c>
      <c r="R1555" t="str">
        <f>IF(COUNTIF(Branches!$A$2:$A$11,F1555)&gt;0,"Valid","Invalid")</f>
        <v>Valid</v>
      </c>
    </row>
    <row r="1556" spans="1:18" x14ac:dyDescent="0.25">
      <c r="A1556" t="s">
        <v>3627</v>
      </c>
      <c r="B1556" t="s">
        <v>593</v>
      </c>
      <c r="C1556" s="8">
        <v>46056</v>
      </c>
      <c r="D1556" t="s">
        <v>2065</v>
      </c>
      <c r="E1556" t="s">
        <v>2073</v>
      </c>
      <c r="F1556" t="s">
        <v>47</v>
      </c>
      <c r="G1556">
        <v>555.1</v>
      </c>
      <c r="H1556" t="s">
        <v>2060</v>
      </c>
      <c r="I1556" t="str">
        <f>VLOOKUP(B1556,Customers!A:G,7,FALSE)</f>
        <v>SME</v>
      </c>
      <c r="Q1556" t="str">
        <f>IF(COUNTIF(Customers!$A$2:$A$1001,B1556)&gt;0,"Valid","Invalid")</f>
        <v>Valid</v>
      </c>
      <c r="R1556" t="str">
        <f>IF(COUNTIF(Branches!$A$2:$A$11,F1556)&gt;0,"Valid","Invalid")</f>
        <v>Valid</v>
      </c>
    </row>
    <row r="1557" spans="1:18" x14ac:dyDescent="0.25">
      <c r="A1557" t="s">
        <v>3628</v>
      </c>
      <c r="B1557" t="s">
        <v>897</v>
      </c>
      <c r="C1557" s="8">
        <v>46262</v>
      </c>
      <c r="D1557" t="s">
        <v>2058</v>
      </c>
      <c r="E1557" t="s">
        <v>2063</v>
      </c>
      <c r="F1557" t="s">
        <v>29</v>
      </c>
      <c r="G1557">
        <v>2354.5</v>
      </c>
      <c r="H1557" t="s">
        <v>2060</v>
      </c>
      <c r="I1557" t="str">
        <f>VLOOKUP(B1557,Customers!A:G,7,FALSE)</f>
        <v>Individual</v>
      </c>
      <c r="Q1557" t="str">
        <f>IF(COUNTIF(Customers!$A$2:$A$1001,B1557)&gt;0,"Valid","Invalid")</f>
        <v>Valid</v>
      </c>
      <c r="R1557" t="str">
        <f>IF(COUNTIF(Branches!$A$2:$A$11,F1557)&gt;0,"Valid","Invalid")</f>
        <v>Valid</v>
      </c>
    </row>
    <row r="1558" spans="1:18" x14ac:dyDescent="0.25">
      <c r="A1558" t="s">
        <v>3629</v>
      </c>
      <c r="B1558" t="s">
        <v>323</v>
      </c>
      <c r="C1558" s="8">
        <v>46119</v>
      </c>
      <c r="D1558" t="s">
        <v>2067</v>
      </c>
      <c r="E1558" t="s">
        <v>2076</v>
      </c>
      <c r="F1558" t="s">
        <v>47</v>
      </c>
      <c r="G1558">
        <v>5463.83</v>
      </c>
      <c r="H1558" t="s">
        <v>2060</v>
      </c>
      <c r="I1558" t="str">
        <f>VLOOKUP(B1558,Customers!A:G,7,FALSE)</f>
        <v>SME</v>
      </c>
      <c r="Q1558" t="str">
        <f>IF(COUNTIF(Customers!$A$2:$A$1001,B1558)&gt;0,"Valid","Invalid")</f>
        <v>Valid</v>
      </c>
      <c r="R1558" t="str">
        <f>IF(COUNTIF(Branches!$A$2:$A$11,F1558)&gt;0,"Valid","Invalid")</f>
        <v>Valid</v>
      </c>
    </row>
    <row r="1559" spans="1:18" x14ac:dyDescent="0.25">
      <c r="A1559" t="s">
        <v>3630</v>
      </c>
      <c r="B1559" t="s">
        <v>678</v>
      </c>
      <c r="C1559" s="8">
        <v>46071</v>
      </c>
      <c r="D1559" t="s">
        <v>2062</v>
      </c>
      <c r="E1559" t="s">
        <v>2059</v>
      </c>
      <c r="F1559" t="s">
        <v>16</v>
      </c>
      <c r="G1559">
        <v>592.16999999999996</v>
      </c>
      <c r="H1559" t="s">
        <v>2060</v>
      </c>
      <c r="I1559" t="str">
        <f>VLOOKUP(B1559,Customers!A:G,7,FALSE)</f>
        <v>SME</v>
      </c>
      <c r="Q1559" t="str">
        <f>IF(COUNTIF(Customers!$A$2:$A$1001,B1559)&gt;0,"Valid","Invalid")</f>
        <v>Valid</v>
      </c>
      <c r="R1559" t="str">
        <f>IF(COUNTIF(Branches!$A$2:$A$11,F1559)&gt;0,"Valid","Invalid")</f>
        <v>Valid</v>
      </c>
    </row>
    <row r="1560" spans="1:18" x14ac:dyDescent="0.25">
      <c r="A1560" t="s">
        <v>3631</v>
      </c>
      <c r="B1560" t="s">
        <v>222</v>
      </c>
      <c r="C1560" s="8">
        <v>46168</v>
      </c>
      <c r="D1560" t="s">
        <v>2065</v>
      </c>
      <c r="E1560" t="s">
        <v>2076</v>
      </c>
      <c r="F1560" t="s">
        <v>47</v>
      </c>
      <c r="G1560">
        <v>1622.16</v>
      </c>
      <c r="H1560" t="s">
        <v>2060</v>
      </c>
      <c r="I1560" t="str">
        <f>VLOOKUP(B1560,Customers!A:G,7,FALSE)</f>
        <v>Corporate</v>
      </c>
      <c r="Q1560" t="str">
        <f>IF(COUNTIF(Customers!$A$2:$A$1001,B1560)&gt;0,"Valid","Invalid")</f>
        <v>Valid</v>
      </c>
      <c r="R1560" t="str">
        <f>IF(COUNTIF(Branches!$A$2:$A$11,F1560)&gt;0,"Valid","Invalid")</f>
        <v>Valid</v>
      </c>
    </row>
    <row r="1561" spans="1:18" x14ac:dyDescent="0.25">
      <c r="A1561" t="s">
        <v>3632</v>
      </c>
      <c r="B1561" t="s">
        <v>779</v>
      </c>
      <c r="C1561" s="8">
        <v>46147</v>
      </c>
      <c r="D1561" t="s">
        <v>2058</v>
      </c>
      <c r="E1561" t="s">
        <v>2063</v>
      </c>
      <c r="F1561" t="s">
        <v>21</v>
      </c>
      <c r="G1561">
        <v>84.54</v>
      </c>
      <c r="H1561" t="s">
        <v>2060</v>
      </c>
      <c r="I1561" t="str">
        <f>VLOOKUP(B1561,Customers!A:G,7,FALSE)</f>
        <v>SME</v>
      </c>
      <c r="Q1561" t="str">
        <f>IF(COUNTIF(Customers!$A$2:$A$1001,B1561)&gt;0,"Valid","Invalid")</f>
        <v>Valid</v>
      </c>
      <c r="R1561" t="str">
        <f>IF(COUNTIF(Branches!$A$2:$A$11,F1561)&gt;0,"Valid","Invalid")</f>
        <v>Valid</v>
      </c>
    </row>
    <row r="1562" spans="1:18" x14ac:dyDescent="0.25">
      <c r="A1562" t="s">
        <v>3633</v>
      </c>
      <c r="B1562" t="s">
        <v>939</v>
      </c>
      <c r="C1562" s="8">
        <v>46211</v>
      </c>
      <c r="D1562" t="s">
        <v>2062</v>
      </c>
      <c r="E1562" t="s">
        <v>2059</v>
      </c>
      <c r="F1562" t="s">
        <v>47</v>
      </c>
      <c r="G1562">
        <v>230.87</v>
      </c>
      <c r="H1562" t="s">
        <v>2060</v>
      </c>
      <c r="I1562" t="str">
        <f>VLOOKUP(B1562,Customers!A:G,7,FALSE)</f>
        <v>Individual</v>
      </c>
      <c r="Q1562" t="str">
        <f>IF(COUNTIF(Customers!$A$2:$A$1001,B1562)&gt;0,"Valid","Invalid")</f>
        <v>Valid</v>
      </c>
      <c r="R1562" t="str">
        <f>IF(COUNTIF(Branches!$A$2:$A$11,F1562)&gt;0,"Valid","Invalid")</f>
        <v>Valid</v>
      </c>
    </row>
    <row r="1563" spans="1:18" x14ac:dyDescent="0.25">
      <c r="A1563" t="s">
        <v>3634</v>
      </c>
      <c r="B1563" t="s">
        <v>258</v>
      </c>
      <c r="C1563" s="8">
        <v>46079</v>
      </c>
      <c r="D1563" t="s">
        <v>2062</v>
      </c>
      <c r="E1563" t="s">
        <v>2073</v>
      </c>
      <c r="F1563" t="s">
        <v>16</v>
      </c>
      <c r="G1563">
        <v>889.91</v>
      </c>
      <c r="H1563" t="s">
        <v>2115</v>
      </c>
      <c r="I1563" t="str">
        <f>VLOOKUP(B1563,Customers!A:G,7,FALSE)</f>
        <v>SME</v>
      </c>
      <c r="Q1563" t="str">
        <f>IF(COUNTIF(Customers!$A$2:$A$1001,B1563)&gt;0,"Valid","Invalid")</f>
        <v>Valid</v>
      </c>
      <c r="R1563" t="str">
        <f>IF(COUNTIF(Branches!$A$2:$A$11,F1563)&gt;0,"Valid","Invalid")</f>
        <v>Valid</v>
      </c>
    </row>
    <row r="1564" spans="1:18" x14ac:dyDescent="0.25">
      <c r="A1564" t="s">
        <v>3635</v>
      </c>
      <c r="B1564" t="s">
        <v>902</v>
      </c>
      <c r="C1564" s="8">
        <v>46115</v>
      </c>
      <c r="D1564" t="s">
        <v>2070</v>
      </c>
      <c r="E1564" t="s">
        <v>2063</v>
      </c>
      <c r="F1564" t="s">
        <v>11</v>
      </c>
      <c r="G1564">
        <v>296.86</v>
      </c>
      <c r="H1564" t="s">
        <v>2060</v>
      </c>
      <c r="I1564" t="str">
        <f>VLOOKUP(B1564,Customers!A:G,7,FALSE)</f>
        <v>SME</v>
      </c>
      <c r="Q1564" t="str">
        <f>IF(COUNTIF(Customers!$A$2:$A$1001,B1564)&gt;0,"Valid","Invalid")</f>
        <v>Valid</v>
      </c>
      <c r="R1564" t="str">
        <f>IF(COUNTIF(Branches!$A$2:$A$11,F1564)&gt;0,"Valid","Invalid")</f>
        <v>Valid</v>
      </c>
    </row>
    <row r="1565" spans="1:18" x14ac:dyDescent="0.25">
      <c r="A1565" t="s">
        <v>3636</v>
      </c>
      <c r="B1565" t="s">
        <v>482</v>
      </c>
      <c r="C1565" s="8">
        <v>46131</v>
      </c>
      <c r="D1565" t="s">
        <v>2062</v>
      </c>
      <c r="E1565" t="s">
        <v>2076</v>
      </c>
      <c r="F1565" t="s">
        <v>53</v>
      </c>
      <c r="G1565">
        <v>6242.91</v>
      </c>
      <c r="H1565" t="s">
        <v>2060</v>
      </c>
      <c r="I1565" t="str">
        <f>VLOOKUP(B1565,Customers!A:G,7,FALSE)</f>
        <v>Individual</v>
      </c>
      <c r="Q1565" t="str">
        <f>IF(COUNTIF(Customers!$A$2:$A$1001,B1565)&gt;0,"Valid","Invalid")</f>
        <v>Valid</v>
      </c>
      <c r="R1565" t="str">
        <f>IF(COUNTIF(Branches!$A$2:$A$11,F1565)&gt;0,"Valid","Invalid")</f>
        <v>Valid</v>
      </c>
    </row>
    <row r="1566" spans="1:18" x14ac:dyDescent="0.25">
      <c r="A1566" t="s">
        <v>3637</v>
      </c>
      <c r="B1566" t="s">
        <v>153</v>
      </c>
      <c r="C1566" s="8">
        <v>46027</v>
      </c>
      <c r="D1566" t="s">
        <v>2062</v>
      </c>
      <c r="E1566" t="s">
        <v>2059</v>
      </c>
      <c r="F1566" t="s">
        <v>11</v>
      </c>
      <c r="G1566">
        <v>1477.16</v>
      </c>
      <c r="H1566" t="s">
        <v>2107</v>
      </c>
      <c r="I1566" t="str">
        <f>VLOOKUP(B1566,Customers!A:G,7,FALSE)</f>
        <v>Individual</v>
      </c>
      <c r="Q1566" t="str">
        <f>IF(COUNTIF(Customers!$A$2:$A$1001,B1566)&gt;0,"Valid","Invalid")</f>
        <v>Valid</v>
      </c>
      <c r="R1566" t="str">
        <f>IF(COUNTIF(Branches!$A$2:$A$11,F1566)&gt;0,"Valid","Invalid")</f>
        <v>Valid</v>
      </c>
    </row>
    <row r="1567" spans="1:18" x14ac:dyDescent="0.25">
      <c r="A1567" t="s">
        <v>3638</v>
      </c>
      <c r="B1567" t="s">
        <v>106</v>
      </c>
      <c r="C1567" s="8">
        <v>46239</v>
      </c>
      <c r="D1567" t="s">
        <v>2065</v>
      </c>
      <c r="E1567" t="s">
        <v>2059</v>
      </c>
      <c r="F1567" t="s">
        <v>45</v>
      </c>
      <c r="G1567">
        <v>2134.17</v>
      </c>
      <c r="H1567" t="s">
        <v>2060</v>
      </c>
      <c r="I1567" t="str">
        <f>VLOOKUP(B1567,Customers!A:G,7,FALSE)</f>
        <v>SME</v>
      </c>
      <c r="Q1567" t="str">
        <f>IF(COUNTIF(Customers!$A$2:$A$1001,B1567)&gt;0,"Valid","Invalid")</f>
        <v>Valid</v>
      </c>
      <c r="R1567" t="str">
        <f>IF(COUNTIF(Branches!$A$2:$A$11,F1567)&gt;0,"Valid","Invalid")</f>
        <v>Valid</v>
      </c>
    </row>
    <row r="1568" spans="1:18" x14ac:dyDescent="0.25">
      <c r="A1568" t="s">
        <v>3639</v>
      </c>
      <c r="B1568" t="s">
        <v>936</v>
      </c>
      <c r="C1568" s="8">
        <v>46046</v>
      </c>
      <c r="D1568" t="s">
        <v>2065</v>
      </c>
      <c r="E1568" t="s">
        <v>2076</v>
      </c>
      <c r="F1568" t="s">
        <v>47</v>
      </c>
      <c r="G1568">
        <v>789.16</v>
      </c>
      <c r="H1568" t="s">
        <v>2115</v>
      </c>
      <c r="I1568" t="str">
        <f>VLOOKUP(B1568,Customers!A:G,7,FALSE)</f>
        <v>Individual</v>
      </c>
      <c r="Q1568" t="str">
        <f>IF(COUNTIF(Customers!$A$2:$A$1001,B1568)&gt;0,"Valid","Invalid")</f>
        <v>Valid</v>
      </c>
      <c r="R1568" t="str">
        <f>IF(COUNTIF(Branches!$A$2:$A$11,F1568)&gt;0,"Valid","Invalid")</f>
        <v>Valid</v>
      </c>
    </row>
    <row r="1569" spans="1:18" x14ac:dyDescent="0.25">
      <c r="A1569" t="s">
        <v>3640</v>
      </c>
      <c r="B1569" t="s">
        <v>106</v>
      </c>
      <c r="C1569" s="8">
        <v>46243</v>
      </c>
      <c r="D1569" t="s">
        <v>2065</v>
      </c>
      <c r="E1569" t="s">
        <v>2059</v>
      </c>
      <c r="F1569" t="s">
        <v>45</v>
      </c>
      <c r="G1569">
        <v>297.91000000000003</v>
      </c>
      <c r="H1569" t="s">
        <v>2060</v>
      </c>
      <c r="I1569" t="str">
        <f>VLOOKUP(B1569,Customers!A:G,7,FALSE)</f>
        <v>SME</v>
      </c>
      <c r="Q1569" t="str">
        <f>IF(COUNTIF(Customers!$A$2:$A$1001,B1569)&gt;0,"Valid","Invalid")</f>
        <v>Valid</v>
      </c>
      <c r="R1569" t="str">
        <f>IF(COUNTIF(Branches!$A$2:$A$11,F1569)&gt;0,"Valid","Invalid")</f>
        <v>Valid</v>
      </c>
    </row>
    <row r="1570" spans="1:18" x14ac:dyDescent="0.25">
      <c r="A1570" t="s">
        <v>3641</v>
      </c>
      <c r="B1570" t="s">
        <v>660</v>
      </c>
      <c r="C1570" s="8">
        <v>46214</v>
      </c>
      <c r="D1570" t="s">
        <v>2062</v>
      </c>
      <c r="E1570" t="s">
        <v>2063</v>
      </c>
      <c r="F1570" t="s">
        <v>39</v>
      </c>
      <c r="G1570">
        <v>483.57</v>
      </c>
      <c r="H1570" t="s">
        <v>2060</v>
      </c>
      <c r="I1570" t="str">
        <f>VLOOKUP(B1570,Customers!A:G,7,FALSE)</f>
        <v>Individual</v>
      </c>
      <c r="Q1570" t="str">
        <f>IF(COUNTIF(Customers!$A$2:$A$1001,B1570)&gt;0,"Valid","Invalid")</f>
        <v>Valid</v>
      </c>
      <c r="R1570" t="str">
        <f>IF(COUNTIF(Branches!$A$2:$A$11,F1570)&gt;0,"Valid","Invalid")</f>
        <v>Valid</v>
      </c>
    </row>
    <row r="1571" spans="1:18" x14ac:dyDescent="0.25">
      <c r="A1571" t="s">
        <v>3642</v>
      </c>
      <c r="B1571" t="s">
        <v>465</v>
      </c>
      <c r="C1571" s="8">
        <v>46081</v>
      </c>
      <c r="D1571" t="s">
        <v>2070</v>
      </c>
      <c r="E1571" t="s">
        <v>2073</v>
      </c>
      <c r="F1571" t="s">
        <v>47</v>
      </c>
      <c r="G1571">
        <v>1047.73</v>
      </c>
      <c r="H1571" t="s">
        <v>2060</v>
      </c>
      <c r="I1571" t="str">
        <f>VLOOKUP(B1571,Customers!A:G,7,FALSE)</f>
        <v>Individual</v>
      </c>
      <c r="Q1571" t="str">
        <f>IF(COUNTIF(Customers!$A$2:$A$1001,B1571)&gt;0,"Valid","Invalid")</f>
        <v>Valid</v>
      </c>
      <c r="R1571" t="str">
        <f>IF(COUNTIF(Branches!$A$2:$A$11,F1571)&gt;0,"Valid","Invalid")</f>
        <v>Valid</v>
      </c>
    </row>
    <row r="1572" spans="1:18" x14ac:dyDescent="0.25">
      <c r="A1572" t="s">
        <v>3643</v>
      </c>
      <c r="B1572" t="s">
        <v>682</v>
      </c>
      <c r="C1572" s="8">
        <v>46060</v>
      </c>
      <c r="D1572" t="s">
        <v>2065</v>
      </c>
      <c r="E1572" t="s">
        <v>2068</v>
      </c>
      <c r="F1572" t="s">
        <v>29</v>
      </c>
      <c r="G1572">
        <v>429.27</v>
      </c>
      <c r="H1572" t="s">
        <v>2060</v>
      </c>
      <c r="I1572" t="str">
        <f>VLOOKUP(B1572,Customers!A:G,7,FALSE)</f>
        <v>Student</v>
      </c>
      <c r="Q1572" t="str">
        <f>IF(COUNTIF(Customers!$A$2:$A$1001,B1572)&gt;0,"Valid","Invalid")</f>
        <v>Valid</v>
      </c>
      <c r="R1572" t="str">
        <f>IF(COUNTIF(Branches!$A$2:$A$11,F1572)&gt;0,"Valid","Invalid")</f>
        <v>Valid</v>
      </c>
    </row>
    <row r="1573" spans="1:18" x14ac:dyDescent="0.25">
      <c r="A1573" t="s">
        <v>3644</v>
      </c>
      <c r="B1573" t="s">
        <v>606</v>
      </c>
      <c r="C1573" s="8">
        <v>46183</v>
      </c>
      <c r="D1573" t="s">
        <v>2058</v>
      </c>
      <c r="E1573" t="s">
        <v>2063</v>
      </c>
      <c r="F1573" t="s">
        <v>21</v>
      </c>
      <c r="G1573">
        <v>1589.53</v>
      </c>
      <c r="H1573" t="s">
        <v>2060</v>
      </c>
      <c r="I1573" t="str">
        <f>VLOOKUP(B1573,Customers!A:G,7,FALSE)</f>
        <v>SME</v>
      </c>
      <c r="Q1573" t="str">
        <f>IF(COUNTIF(Customers!$A$2:$A$1001,B1573)&gt;0,"Valid","Invalid")</f>
        <v>Valid</v>
      </c>
      <c r="R1573" t="str">
        <f>IF(COUNTIF(Branches!$A$2:$A$11,F1573)&gt;0,"Valid","Invalid")</f>
        <v>Valid</v>
      </c>
    </row>
    <row r="1574" spans="1:18" x14ac:dyDescent="0.25">
      <c r="A1574" t="s">
        <v>3645</v>
      </c>
      <c r="B1574" t="s">
        <v>1027</v>
      </c>
      <c r="C1574" s="8">
        <v>46032</v>
      </c>
      <c r="D1574" t="s">
        <v>2062</v>
      </c>
      <c r="E1574" t="s">
        <v>2059</v>
      </c>
      <c r="F1574" t="s">
        <v>47</v>
      </c>
      <c r="G1574">
        <v>1654.77</v>
      </c>
      <c r="H1574" t="s">
        <v>2060</v>
      </c>
      <c r="I1574" t="str">
        <f>VLOOKUP(B1574,Customers!A:G,7,FALSE)</f>
        <v>Individual</v>
      </c>
      <c r="Q1574" t="str">
        <f>IF(COUNTIF(Customers!$A$2:$A$1001,B1574)&gt;0,"Valid","Invalid")</f>
        <v>Valid</v>
      </c>
      <c r="R1574" t="str">
        <f>IF(COUNTIF(Branches!$A$2:$A$11,F1574)&gt;0,"Valid","Invalid")</f>
        <v>Valid</v>
      </c>
    </row>
    <row r="1575" spans="1:18" x14ac:dyDescent="0.25">
      <c r="A1575" t="s">
        <v>3646</v>
      </c>
      <c r="B1575" t="s">
        <v>481</v>
      </c>
      <c r="C1575" s="8">
        <v>46187</v>
      </c>
      <c r="D1575" t="s">
        <v>2070</v>
      </c>
      <c r="E1575" t="s">
        <v>2068</v>
      </c>
      <c r="F1575" t="s">
        <v>35</v>
      </c>
      <c r="G1575">
        <v>816.46</v>
      </c>
      <c r="H1575" t="s">
        <v>2060</v>
      </c>
      <c r="I1575" t="str">
        <f>VLOOKUP(B1575,Customers!A:G,7,FALSE)</f>
        <v>Individual</v>
      </c>
      <c r="Q1575" t="str">
        <f>IF(COUNTIF(Customers!$A$2:$A$1001,B1575)&gt;0,"Valid","Invalid")</f>
        <v>Valid</v>
      </c>
      <c r="R1575" t="str">
        <f>IF(COUNTIF(Branches!$A$2:$A$11,F1575)&gt;0,"Valid","Invalid")</f>
        <v>Valid</v>
      </c>
    </row>
    <row r="1576" spans="1:18" x14ac:dyDescent="0.25">
      <c r="A1576" t="s">
        <v>3647</v>
      </c>
      <c r="B1576" t="s">
        <v>639</v>
      </c>
      <c r="C1576" s="8">
        <v>46247</v>
      </c>
      <c r="D1576" t="s">
        <v>2058</v>
      </c>
      <c r="E1576" t="s">
        <v>2073</v>
      </c>
      <c r="F1576" t="s">
        <v>29</v>
      </c>
      <c r="G1576">
        <v>130.88999999999999</v>
      </c>
      <c r="H1576" t="s">
        <v>2060</v>
      </c>
      <c r="I1576" t="str">
        <f>VLOOKUP(B1576,Customers!A:G,7,FALSE)</f>
        <v>Individual</v>
      </c>
      <c r="Q1576" t="str">
        <f>IF(COUNTIF(Customers!$A$2:$A$1001,B1576)&gt;0,"Valid","Invalid")</f>
        <v>Valid</v>
      </c>
      <c r="R1576" t="str">
        <f>IF(COUNTIF(Branches!$A$2:$A$11,F1576)&gt;0,"Valid","Invalid")</f>
        <v>Valid</v>
      </c>
    </row>
    <row r="1577" spans="1:18" x14ac:dyDescent="0.25">
      <c r="A1577" t="s">
        <v>3648</v>
      </c>
      <c r="B1577" t="s">
        <v>173</v>
      </c>
      <c r="C1577" s="8">
        <v>46237</v>
      </c>
      <c r="D1577" t="s">
        <v>2070</v>
      </c>
      <c r="E1577" t="s">
        <v>2073</v>
      </c>
      <c r="F1577" t="s">
        <v>39</v>
      </c>
      <c r="G1577">
        <v>4513.3</v>
      </c>
      <c r="H1577" t="s">
        <v>2060</v>
      </c>
      <c r="I1577" t="str">
        <f>VLOOKUP(B1577,Customers!A:G,7,FALSE)</f>
        <v>Corporate</v>
      </c>
      <c r="Q1577" t="str">
        <f>IF(COUNTIF(Customers!$A$2:$A$1001,B1577)&gt;0,"Valid","Invalid")</f>
        <v>Valid</v>
      </c>
      <c r="R1577" t="str">
        <f>IF(COUNTIF(Branches!$A$2:$A$11,F1577)&gt;0,"Valid","Invalid")</f>
        <v>Valid</v>
      </c>
    </row>
    <row r="1578" spans="1:18" x14ac:dyDescent="0.25">
      <c r="A1578" t="s">
        <v>3649</v>
      </c>
      <c r="B1578" t="s">
        <v>542</v>
      </c>
      <c r="C1578" s="8">
        <v>46148</v>
      </c>
      <c r="D1578" t="s">
        <v>2067</v>
      </c>
      <c r="E1578" t="s">
        <v>2068</v>
      </c>
      <c r="F1578" t="s">
        <v>39</v>
      </c>
      <c r="G1578">
        <v>656.77</v>
      </c>
      <c r="H1578" t="s">
        <v>2060</v>
      </c>
      <c r="I1578" t="str">
        <f>VLOOKUP(B1578,Customers!A:G,7,FALSE)</f>
        <v>Individual</v>
      </c>
      <c r="Q1578" t="str">
        <f>IF(COUNTIF(Customers!$A$2:$A$1001,B1578)&gt;0,"Valid","Invalid")</f>
        <v>Valid</v>
      </c>
      <c r="R1578" t="str">
        <f>IF(COUNTIF(Branches!$A$2:$A$11,F1578)&gt;0,"Valid","Invalid")</f>
        <v>Valid</v>
      </c>
    </row>
    <row r="1579" spans="1:18" x14ac:dyDescent="0.25">
      <c r="A1579" t="s">
        <v>3650</v>
      </c>
      <c r="B1579" t="s">
        <v>167</v>
      </c>
      <c r="C1579" s="8">
        <v>46033</v>
      </c>
      <c r="D1579" t="s">
        <v>2067</v>
      </c>
      <c r="E1579" t="s">
        <v>2063</v>
      </c>
      <c r="F1579" t="s">
        <v>39</v>
      </c>
      <c r="G1579">
        <v>12201.04</v>
      </c>
      <c r="H1579" t="s">
        <v>2060</v>
      </c>
      <c r="I1579" t="str">
        <f>VLOOKUP(B1579,Customers!A:G,7,FALSE)</f>
        <v>Corporate</v>
      </c>
      <c r="Q1579" t="str">
        <f>IF(COUNTIF(Customers!$A$2:$A$1001,B1579)&gt;0,"Valid","Invalid")</f>
        <v>Valid</v>
      </c>
      <c r="R1579" t="str">
        <f>IF(COUNTIF(Branches!$A$2:$A$11,F1579)&gt;0,"Valid","Invalid")</f>
        <v>Valid</v>
      </c>
    </row>
    <row r="1580" spans="1:18" x14ac:dyDescent="0.25">
      <c r="A1580" t="s">
        <v>3651</v>
      </c>
      <c r="B1580" t="s">
        <v>255</v>
      </c>
      <c r="C1580" s="8">
        <v>46046</v>
      </c>
      <c r="D1580" t="s">
        <v>2058</v>
      </c>
      <c r="E1580" t="s">
        <v>2073</v>
      </c>
      <c r="F1580" t="s">
        <v>11</v>
      </c>
      <c r="G1580">
        <v>1560.15</v>
      </c>
      <c r="H1580" t="s">
        <v>2060</v>
      </c>
      <c r="I1580" t="str">
        <f>VLOOKUP(B1580,Customers!A:G,7,FALSE)</f>
        <v>Individual</v>
      </c>
      <c r="Q1580" t="str">
        <f>IF(COUNTIF(Customers!$A$2:$A$1001,B1580)&gt;0,"Valid","Invalid")</f>
        <v>Valid</v>
      </c>
      <c r="R1580" t="str">
        <f>IF(COUNTIF(Branches!$A$2:$A$11,F1580)&gt;0,"Valid","Invalid")</f>
        <v>Valid</v>
      </c>
    </row>
    <row r="1581" spans="1:18" x14ac:dyDescent="0.25">
      <c r="A1581" t="s">
        <v>3652</v>
      </c>
      <c r="B1581" t="s">
        <v>726</v>
      </c>
      <c r="C1581" s="8">
        <v>46110</v>
      </c>
      <c r="D1581" t="s">
        <v>2067</v>
      </c>
      <c r="E1581" t="s">
        <v>2068</v>
      </c>
      <c r="F1581" t="s">
        <v>35</v>
      </c>
      <c r="G1581">
        <v>658.55</v>
      </c>
      <c r="H1581" t="s">
        <v>2060</v>
      </c>
      <c r="I1581" t="str">
        <f>VLOOKUP(B1581,Customers!A:G,7,FALSE)</f>
        <v>Individual</v>
      </c>
      <c r="Q1581" t="str">
        <f>IF(COUNTIF(Customers!$A$2:$A$1001,B1581)&gt;0,"Valid","Invalid")</f>
        <v>Valid</v>
      </c>
      <c r="R1581" t="str">
        <f>IF(COUNTIF(Branches!$A$2:$A$11,F1581)&gt;0,"Valid","Invalid")</f>
        <v>Valid</v>
      </c>
    </row>
    <row r="1582" spans="1:18" x14ac:dyDescent="0.25">
      <c r="A1582" t="s">
        <v>3653</v>
      </c>
      <c r="B1582" t="s">
        <v>207</v>
      </c>
      <c r="C1582" s="8">
        <v>46221</v>
      </c>
      <c r="D1582" t="s">
        <v>2065</v>
      </c>
      <c r="E1582" t="s">
        <v>2059</v>
      </c>
      <c r="F1582" t="s">
        <v>21</v>
      </c>
      <c r="G1582">
        <v>1271.33</v>
      </c>
      <c r="H1582" t="s">
        <v>2060</v>
      </c>
      <c r="I1582" t="str">
        <f>VLOOKUP(B1582,Customers!A:G,7,FALSE)</f>
        <v>Individual</v>
      </c>
      <c r="Q1582" t="str">
        <f>IF(COUNTIF(Customers!$A$2:$A$1001,B1582)&gt;0,"Valid","Invalid")</f>
        <v>Valid</v>
      </c>
      <c r="R1582" t="str">
        <f>IF(COUNTIF(Branches!$A$2:$A$11,F1582)&gt;0,"Valid","Invalid")</f>
        <v>Valid</v>
      </c>
    </row>
    <row r="1583" spans="1:18" x14ac:dyDescent="0.25">
      <c r="A1583" t="s">
        <v>3654</v>
      </c>
      <c r="B1583" t="s">
        <v>513</v>
      </c>
      <c r="C1583" s="8">
        <v>46136</v>
      </c>
      <c r="D1583" t="s">
        <v>2062</v>
      </c>
      <c r="E1583" t="s">
        <v>2059</v>
      </c>
      <c r="F1583" t="s">
        <v>27</v>
      </c>
      <c r="G1583">
        <v>107.85</v>
      </c>
      <c r="H1583" t="s">
        <v>2060</v>
      </c>
      <c r="I1583" t="str">
        <f>VLOOKUP(B1583,Customers!A:G,7,FALSE)</f>
        <v>Individual</v>
      </c>
      <c r="Q1583" t="str">
        <f>IF(COUNTIF(Customers!$A$2:$A$1001,B1583)&gt;0,"Valid","Invalid")</f>
        <v>Valid</v>
      </c>
      <c r="R1583" t="str">
        <f>IF(COUNTIF(Branches!$A$2:$A$11,F1583)&gt;0,"Valid","Invalid")</f>
        <v>Valid</v>
      </c>
    </row>
    <row r="1584" spans="1:18" x14ac:dyDescent="0.25">
      <c r="A1584" t="s">
        <v>3655</v>
      </c>
      <c r="B1584" t="s">
        <v>650</v>
      </c>
      <c r="C1584" s="8">
        <v>46043</v>
      </c>
      <c r="D1584" t="s">
        <v>2062</v>
      </c>
      <c r="E1584" t="s">
        <v>2059</v>
      </c>
      <c r="F1584" t="s">
        <v>27</v>
      </c>
      <c r="G1584">
        <v>2266.84</v>
      </c>
      <c r="H1584" t="s">
        <v>2060</v>
      </c>
      <c r="I1584" t="str">
        <f>VLOOKUP(B1584,Customers!A:G,7,FALSE)</f>
        <v>Student</v>
      </c>
      <c r="Q1584" t="str">
        <f>IF(COUNTIF(Customers!$A$2:$A$1001,B1584)&gt;0,"Valid","Invalid")</f>
        <v>Valid</v>
      </c>
      <c r="R1584" t="str">
        <f>IF(COUNTIF(Branches!$A$2:$A$11,F1584)&gt;0,"Valid","Invalid")</f>
        <v>Valid</v>
      </c>
    </row>
    <row r="1585" spans="1:18" x14ac:dyDescent="0.25">
      <c r="A1585" t="s">
        <v>3656</v>
      </c>
      <c r="B1585" t="s">
        <v>1030</v>
      </c>
      <c r="C1585" s="8">
        <v>46170</v>
      </c>
      <c r="D1585" t="s">
        <v>2062</v>
      </c>
      <c r="E1585" t="s">
        <v>2076</v>
      </c>
      <c r="F1585" t="s">
        <v>27</v>
      </c>
      <c r="G1585">
        <v>10582.33</v>
      </c>
      <c r="H1585" t="s">
        <v>2060</v>
      </c>
      <c r="I1585" t="str">
        <f>VLOOKUP(B1585,Customers!A:G,7,FALSE)</f>
        <v>Individual</v>
      </c>
      <c r="Q1585" t="str">
        <f>IF(COUNTIF(Customers!$A$2:$A$1001,B1585)&gt;0,"Valid","Invalid")</f>
        <v>Valid</v>
      </c>
      <c r="R1585" t="str">
        <f>IF(COUNTIF(Branches!$A$2:$A$11,F1585)&gt;0,"Valid","Invalid")</f>
        <v>Valid</v>
      </c>
    </row>
    <row r="1586" spans="1:18" x14ac:dyDescent="0.25">
      <c r="A1586" t="s">
        <v>3657</v>
      </c>
      <c r="B1586" t="s">
        <v>165</v>
      </c>
      <c r="C1586" s="8">
        <v>46032</v>
      </c>
      <c r="D1586" t="s">
        <v>2067</v>
      </c>
      <c r="E1586" t="s">
        <v>2063</v>
      </c>
      <c r="F1586" t="s">
        <v>16</v>
      </c>
      <c r="G1586">
        <v>100.56</v>
      </c>
      <c r="H1586" t="s">
        <v>2060</v>
      </c>
      <c r="I1586" t="str">
        <f>VLOOKUP(B1586,Customers!A:G,7,FALSE)</f>
        <v>Student</v>
      </c>
      <c r="Q1586" t="str">
        <f>IF(COUNTIF(Customers!$A$2:$A$1001,B1586)&gt;0,"Valid","Invalid")</f>
        <v>Valid</v>
      </c>
      <c r="R1586" t="str">
        <f>IF(COUNTIF(Branches!$A$2:$A$11,F1586)&gt;0,"Valid","Invalid")</f>
        <v>Valid</v>
      </c>
    </row>
    <row r="1587" spans="1:18" x14ac:dyDescent="0.25">
      <c r="A1587" t="s">
        <v>3658</v>
      </c>
      <c r="B1587" t="s">
        <v>93</v>
      </c>
      <c r="C1587" s="8">
        <v>46239</v>
      </c>
      <c r="D1587" t="s">
        <v>2058</v>
      </c>
      <c r="E1587" t="s">
        <v>2063</v>
      </c>
      <c r="F1587" t="s">
        <v>35</v>
      </c>
      <c r="G1587">
        <v>609.47</v>
      </c>
      <c r="H1587" t="s">
        <v>2060</v>
      </c>
      <c r="I1587" t="str">
        <f>VLOOKUP(B1587,Customers!A:G,7,FALSE)</f>
        <v>Student</v>
      </c>
      <c r="Q1587" t="str">
        <f>IF(COUNTIF(Customers!$A$2:$A$1001,B1587)&gt;0,"Valid","Invalid")</f>
        <v>Valid</v>
      </c>
      <c r="R1587" t="str">
        <f>IF(COUNTIF(Branches!$A$2:$A$11,F1587)&gt;0,"Valid","Invalid")</f>
        <v>Valid</v>
      </c>
    </row>
    <row r="1588" spans="1:18" x14ac:dyDescent="0.25">
      <c r="A1588" t="s">
        <v>3659</v>
      </c>
      <c r="B1588" t="s">
        <v>218</v>
      </c>
      <c r="C1588" s="8">
        <v>46197</v>
      </c>
      <c r="D1588" t="s">
        <v>2067</v>
      </c>
      <c r="E1588" t="s">
        <v>2063</v>
      </c>
      <c r="F1588" t="s">
        <v>47</v>
      </c>
      <c r="G1588">
        <v>731.18</v>
      </c>
      <c r="H1588" t="s">
        <v>2060</v>
      </c>
      <c r="I1588" t="str">
        <f>VLOOKUP(B1588,Customers!A:G,7,FALSE)</f>
        <v>Student</v>
      </c>
      <c r="Q1588" t="str">
        <f>IF(COUNTIF(Customers!$A$2:$A$1001,B1588)&gt;0,"Valid","Invalid")</f>
        <v>Valid</v>
      </c>
      <c r="R1588" t="str">
        <f>IF(COUNTIF(Branches!$A$2:$A$11,F1588)&gt;0,"Valid","Invalid")</f>
        <v>Valid</v>
      </c>
    </row>
    <row r="1589" spans="1:18" x14ac:dyDescent="0.25">
      <c r="A1589" t="s">
        <v>3660</v>
      </c>
      <c r="B1589" t="s">
        <v>284</v>
      </c>
      <c r="C1589" s="8">
        <v>46250</v>
      </c>
      <c r="D1589" t="s">
        <v>2065</v>
      </c>
      <c r="E1589" t="s">
        <v>2059</v>
      </c>
      <c r="F1589" t="s">
        <v>47</v>
      </c>
      <c r="G1589">
        <v>1949.31</v>
      </c>
      <c r="H1589" t="s">
        <v>2060</v>
      </c>
      <c r="I1589" t="str">
        <f>VLOOKUP(B1589,Customers!A:G,7,FALSE)</f>
        <v>Individual</v>
      </c>
      <c r="Q1589" t="str">
        <f>IF(COUNTIF(Customers!$A$2:$A$1001,B1589)&gt;0,"Valid","Invalid")</f>
        <v>Valid</v>
      </c>
      <c r="R1589" t="str">
        <f>IF(COUNTIF(Branches!$A$2:$A$11,F1589)&gt;0,"Valid","Invalid")</f>
        <v>Valid</v>
      </c>
    </row>
    <row r="1590" spans="1:18" x14ac:dyDescent="0.25">
      <c r="A1590" t="s">
        <v>3661</v>
      </c>
      <c r="B1590" t="s">
        <v>180</v>
      </c>
      <c r="C1590" s="8">
        <v>46262</v>
      </c>
      <c r="D1590" t="s">
        <v>2058</v>
      </c>
      <c r="E1590" t="s">
        <v>2063</v>
      </c>
      <c r="F1590" t="s">
        <v>16</v>
      </c>
      <c r="G1590">
        <v>6674.01</v>
      </c>
      <c r="H1590" t="s">
        <v>2060</v>
      </c>
      <c r="I1590" t="str">
        <f>VLOOKUP(B1590,Customers!A:G,7,FALSE)</f>
        <v>Individual</v>
      </c>
      <c r="Q1590" t="str">
        <f>IF(COUNTIF(Customers!$A$2:$A$1001,B1590)&gt;0,"Valid","Invalid")</f>
        <v>Valid</v>
      </c>
      <c r="R1590" t="str">
        <f>IF(COUNTIF(Branches!$A$2:$A$11,F1590)&gt;0,"Valid","Invalid")</f>
        <v>Valid</v>
      </c>
    </row>
    <row r="1591" spans="1:18" x14ac:dyDescent="0.25">
      <c r="A1591" t="s">
        <v>3662</v>
      </c>
      <c r="B1591" t="s">
        <v>87</v>
      </c>
      <c r="C1591" s="8">
        <v>46197</v>
      </c>
      <c r="D1591" t="s">
        <v>2065</v>
      </c>
      <c r="E1591" t="s">
        <v>2068</v>
      </c>
      <c r="F1591" t="s">
        <v>47</v>
      </c>
      <c r="G1591">
        <v>1191.4000000000001</v>
      </c>
      <c r="H1591" t="s">
        <v>2060</v>
      </c>
      <c r="I1591" t="str">
        <f>VLOOKUP(B1591,Customers!A:G,7,FALSE)</f>
        <v>Individual</v>
      </c>
      <c r="Q1591" t="str">
        <f>IF(COUNTIF(Customers!$A$2:$A$1001,B1591)&gt;0,"Valid","Invalid")</f>
        <v>Valid</v>
      </c>
      <c r="R1591" t="str">
        <f>IF(COUNTIF(Branches!$A$2:$A$11,F1591)&gt;0,"Valid","Invalid")</f>
        <v>Valid</v>
      </c>
    </row>
    <row r="1592" spans="1:18" x14ac:dyDescent="0.25">
      <c r="A1592" t="s">
        <v>3663</v>
      </c>
      <c r="B1592" t="s">
        <v>406</v>
      </c>
      <c r="C1592" s="8">
        <v>46165</v>
      </c>
      <c r="D1592" t="s">
        <v>2065</v>
      </c>
      <c r="E1592" t="s">
        <v>2063</v>
      </c>
      <c r="F1592" t="s">
        <v>16</v>
      </c>
      <c r="G1592">
        <v>6917.38</v>
      </c>
      <c r="H1592" t="s">
        <v>2115</v>
      </c>
      <c r="I1592" t="str">
        <f>VLOOKUP(B1592,Customers!A:G,7,FALSE)</f>
        <v>SME</v>
      </c>
      <c r="Q1592" t="str">
        <f>IF(COUNTIF(Customers!$A$2:$A$1001,B1592)&gt;0,"Valid","Invalid")</f>
        <v>Valid</v>
      </c>
      <c r="R1592" t="str">
        <f>IF(COUNTIF(Branches!$A$2:$A$11,F1592)&gt;0,"Valid","Invalid")</f>
        <v>Valid</v>
      </c>
    </row>
    <row r="1593" spans="1:18" x14ac:dyDescent="0.25">
      <c r="A1593" t="s">
        <v>3664</v>
      </c>
      <c r="B1593" t="s">
        <v>497</v>
      </c>
      <c r="C1593" s="8">
        <v>46194</v>
      </c>
      <c r="D1593" t="s">
        <v>2062</v>
      </c>
      <c r="E1593" t="s">
        <v>2073</v>
      </c>
      <c r="F1593" t="s">
        <v>39</v>
      </c>
      <c r="G1593">
        <v>963.37</v>
      </c>
      <c r="H1593" t="s">
        <v>2060</v>
      </c>
      <c r="I1593" t="str">
        <f>VLOOKUP(B1593,Customers!A:G,7,FALSE)</f>
        <v>Individual</v>
      </c>
      <c r="Q1593" t="str">
        <f>IF(COUNTIF(Customers!$A$2:$A$1001,B1593)&gt;0,"Valid","Invalid")</f>
        <v>Valid</v>
      </c>
      <c r="R1593" t="str">
        <f>IF(COUNTIF(Branches!$A$2:$A$11,F1593)&gt;0,"Valid","Invalid")</f>
        <v>Valid</v>
      </c>
    </row>
    <row r="1594" spans="1:18" x14ac:dyDescent="0.25">
      <c r="A1594" t="s">
        <v>3665</v>
      </c>
      <c r="B1594" t="s">
        <v>255</v>
      </c>
      <c r="C1594" s="8">
        <v>46254</v>
      </c>
      <c r="D1594" t="s">
        <v>2065</v>
      </c>
      <c r="E1594" t="s">
        <v>2068</v>
      </c>
      <c r="F1594" t="s">
        <v>29</v>
      </c>
      <c r="G1594">
        <v>1275.92</v>
      </c>
      <c r="H1594" t="s">
        <v>2060</v>
      </c>
      <c r="I1594" t="str">
        <f>VLOOKUP(B1594,Customers!A:G,7,FALSE)</f>
        <v>Individual</v>
      </c>
      <c r="Q1594" t="str">
        <f>IF(COUNTIF(Customers!$A$2:$A$1001,B1594)&gt;0,"Valid","Invalid")</f>
        <v>Valid</v>
      </c>
      <c r="R1594" t="str">
        <f>IF(COUNTIF(Branches!$A$2:$A$11,F1594)&gt;0,"Valid","Invalid")</f>
        <v>Valid</v>
      </c>
    </row>
    <row r="1595" spans="1:18" x14ac:dyDescent="0.25">
      <c r="A1595" t="s">
        <v>3666</v>
      </c>
      <c r="B1595" t="s">
        <v>654</v>
      </c>
      <c r="C1595" s="8">
        <v>46254</v>
      </c>
      <c r="D1595" t="s">
        <v>2070</v>
      </c>
      <c r="E1595" t="s">
        <v>2073</v>
      </c>
      <c r="F1595" t="s">
        <v>11</v>
      </c>
      <c r="G1595">
        <v>1128.04</v>
      </c>
      <c r="H1595" t="s">
        <v>2060</v>
      </c>
      <c r="I1595" t="str">
        <f>VLOOKUP(B1595,Customers!A:G,7,FALSE)</f>
        <v>Individual</v>
      </c>
      <c r="Q1595" t="str">
        <f>IF(COUNTIF(Customers!$A$2:$A$1001,B1595)&gt;0,"Valid","Invalid")</f>
        <v>Valid</v>
      </c>
      <c r="R1595" t="str">
        <f>IF(COUNTIF(Branches!$A$2:$A$11,F1595)&gt;0,"Valid","Invalid")</f>
        <v>Valid</v>
      </c>
    </row>
    <row r="1596" spans="1:18" x14ac:dyDescent="0.25">
      <c r="A1596" t="s">
        <v>3667</v>
      </c>
      <c r="B1596" t="s">
        <v>933</v>
      </c>
      <c r="C1596" s="8">
        <v>46264</v>
      </c>
      <c r="D1596" t="s">
        <v>2058</v>
      </c>
      <c r="E1596" t="s">
        <v>2076</v>
      </c>
      <c r="F1596" t="s">
        <v>53</v>
      </c>
      <c r="G1596">
        <v>2752.6</v>
      </c>
      <c r="H1596" t="s">
        <v>2060</v>
      </c>
      <c r="I1596" t="str">
        <f>VLOOKUP(B1596,Customers!A:G,7,FALSE)</f>
        <v>Student</v>
      </c>
      <c r="Q1596" t="str">
        <f>IF(COUNTIF(Customers!$A$2:$A$1001,B1596)&gt;0,"Valid","Invalid")</f>
        <v>Valid</v>
      </c>
      <c r="R1596" t="str">
        <f>IF(COUNTIF(Branches!$A$2:$A$11,F1596)&gt;0,"Valid","Invalid")</f>
        <v>Valid</v>
      </c>
    </row>
    <row r="1597" spans="1:18" x14ac:dyDescent="0.25">
      <c r="A1597" t="s">
        <v>3668</v>
      </c>
      <c r="B1597" t="s">
        <v>605</v>
      </c>
      <c r="C1597" s="8">
        <v>46212</v>
      </c>
      <c r="D1597" t="s">
        <v>2070</v>
      </c>
      <c r="E1597" t="s">
        <v>2063</v>
      </c>
      <c r="F1597" t="s">
        <v>45</v>
      </c>
      <c r="G1597">
        <v>532.54999999999995</v>
      </c>
      <c r="H1597" t="s">
        <v>2060</v>
      </c>
      <c r="I1597" t="str">
        <f>VLOOKUP(B1597,Customers!A:G,7,FALSE)</f>
        <v>SME</v>
      </c>
      <c r="Q1597" t="str">
        <f>IF(COUNTIF(Customers!$A$2:$A$1001,B1597)&gt;0,"Valid","Invalid")</f>
        <v>Valid</v>
      </c>
      <c r="R1597" t="str">
        <f>IF(COUNTIF(Branches!$A$2:$A$11,F1597)&gt;0,"Valid","Invalid")</f>
        <v>Valid</v>
      </c>
    </row>
    <row r="1598" spans="1:18" x14ac:dyDescent="0.25">
      <c r="A1598" t="s">
        <v>3669</v>
      </c>
      <c r="B1598" t="s">
        <v>295</v>
      </c>
      <c r="C1598" s="8">
        <v>46156</v>
      </c>
      <c r="D1598" t="s">
        <v>2065</v>
      </c>
      <c r="E1598" t="s">
        <v>2059</v>
      </c>
      <c r="F1598" t="s">
        <v>11</v>
      </c>
      <c r="G1598">
        <v>1841.41</v>
      </c>
      <c r="H1598" t="s">
        <v>2060</v>
      </c>
      <c r="I1598" t="str">
        <f>VLOOKUP(B1598,Customers!A:G,7,FALSE)</f>
        <v>Individual</v>
      </c>
      <c r="Q1598" t="str">
        <f>IF(COUNTIF(Customers!$A$2:$A$1001,B1598)&gt;0,"Valid","Invalid")</f>
        <v>Valid</v>
      </c>
      <c r="R1598" t="str">
        <f>IF(COUNTIF(Branches!$A$2:$A$11,F1598)&gt;0,"Valid","Invalid")</f>
        <v>Valid</v>
      </c>
    </row>
    <row r="1599" spans="1:18" x14ac:dyDescent="0.25">
      <c r="A1599" t="s">
        <v>3670</v>
      </c>
      <c r="B1599" t="s">
        <v>896</v>
      </c>
      <c r="C1599" s="8">
        <v>46251</v>
      </c>
      <c r="D1599" t="s">
        <v>2058</v>
      </c>
      <c r="E1599" t="s">
        <v>2063</v>
      </c>
      <c r="F1599" t="s">
        <v>11</v>
      </c>
      <c r="G1599">
        <v>237.27</v>
      </c>
      <c r="H1599" t="s">
        <v>2060</v>
      </c>
      <c r="I1599" t="str">
        <f>VLOOKUP(B1599,Customers!A:G,7,FALSE)</f>
        <v>Student</v>
      </c>
      <c r="Q1599" t="str">
        <f>IF(COUNTIF(Customers!$A$2:$A$1001,B1599)&gt;0,"Valid","Invalid")</f>
        <v>Valid</v>
      </c>
      <c r="R1599" t="str">
        <f>IF(COUNTIF(Branches!$A$2:$A$11,F1599)&gt;0,"Valid","Invalid")</f>
        <v>Valid</v>
      </c>
    </row>
    <row r="1600" spans="1:18" x14ac:dyDescent="0.25">
      <c r="A1600" t="s">
        <v>3671</v>
      </c>
      <c r="B1600" t="s">
        <v>192</v>
      </c>
      <c r="C1600" s="8">
        <v>46088</v>
      </c>
      <c r="D1600" t="s">
        <v>2067</v>
      </c>
      <c r="E1600" t="s">
        <v>2073</v>
      </c>
      <c r="F1600" t="s">
        <v>35</v>
      </c>
      <c r="G1600">
        <v>611.24</v>
      </c>
      <c r="H1600" t="s">
        <v>2060</v>
      </c>
      <c r="I1600" t="str">
        <f>VLOOKUP(B1600,Customers!A:G,7,FALSE)</f>
        <v>Individual</v>
      </c>
      <c r="Q1600" t="str">
        <f>IF(COUNTIF(Customers!$A$2:$A$1001,B1600)&gt;0,"Valid","Invalid")</f>
        <v>Valid</v>
      </c>
      <c r="R1600" t="str">
        <f>IF(COUNTIF(Branches!$A$2:$A$11,F1600)&gt;0,"Valid","Invalid")</f>
        <v>Valid</v>
      </c>
    </row>
    <row r="1601" spans="1:18" x14ac:dyDescent="0.25">
      <c r="A1601" t="s">
        <v>3672</v>
      </c>
      <c r="B1601" t="s">
        <v>603</v>
      </c>
      <c r="C1601" s="8">
        <v>46226</v>
      </c>
      <c r="D1601" t="s">
        <v>2062</v>
      </c>
      <c r="E1601" t="s">
        <v>2063</v>
      </c>
      <c r="F1601" t="s">
        <v>29</v>
      </c>
      <c r="G1601">
        <v>429.77</v>
      </c>
      <c r="H1601" t="s">
        <v>2115</v>
      </c>
      <c r="I1601" t="str">
        <f>VLOOKUP(B1601,Customers!A:G,7,FALSE)</f>
        <v>Individual</v>
      </c>
      <c r="Q1601" t="str">
        <f>IF(COUNTIF(Customers!$A$2:$A$1001,B1601)&gt;0,"Valid","Invalid")</f>
        <v>Valid</v>
      </c>
      <c r="R1601" t="str">
        <f>IF(COUNTIF(Branches!$A$2:$A$11,F1601)&gt;0,"Valid","Invalid")</f>
        <v>Valid</v>
      </c>
    </row>
    <row r="1602" spans="1:18" x14ac:dyDescent="0.25">
      <c r="A1602" t="s">
        <v>3673</v>
      </c>
      <c r="B1602" t="s">
        <v>480</v>
      </c>
      <c r="C1602" s="8">
        <v>46144</v>
      </c>
      <c r="D1602" t="s">
        <v>2067</v>
      </c>
      <c r="E1602" t="s">
        <v>2059</v>
      </c>
      <c r="F1602" t="s">
        <v>27</v>
      </c>
      <c r="G1602">
        <v>887.1</v>
      </c>
      <c r="H1602" t="s">
        <v>2060</v>
      </c>
      <c r="I1602" t="str">
        <f>VLOOKUP(B1602,Customers!A:G,7,FALSE)</f>
        <v>SME</v>
      </c>
      <c r="Q1602" t="str">
        <f>IF(COUNTIF(Customers!$A$2:$A$1001,B1602)&gt;0,"Valid","Invalid")</f>
        <v>Valid</v>
      </c>
      <c r="R1602" t="str">
        <f>IF(COUNTIF(Branches!$A$2:$A$11,F1602)&gt;0,"Valid","Invalid")</f>
        <v>Valid</v>
      </c>
    </row>
    <row r="1603" spans="1:18" x14ac:dyDescent="0.25">
      <c r="A1603" t="s">
        <v>3674</v>
      </c>
      <c r="B1603" t="s">
        <v>879</v>
      </c>
      <c r="C1603" s="8">
        <v>46154</v>
      </c>
      <c r="D1603" t="s">
        <v>2065</v>
      </c>
      <c r="E1603" t="s">
        <v>2068</v>
      </c>
      <c r="F1603" t="s">
        <v>27</v>
      </c>
      <c r="G1603">
        <v>592.24</v>
      </c>
      <c r="H1603" t="s">
        <v>2060</v>
      </c>
      <c r="I1603" t="str">
        <f>VLOOKUP(B1603,Customers!A:G,7,FALSE)</f>
        <v>SME</v>
      </c>
      <c r="Q1603" t="str">
        <f>IF(COUNTIF(Customers!$A$2:$A$1001,B1603)&gt;0,"Valid","Invalid")</f>
        <v>Valid</v>
      </c>
      <c r="R1603" t="str">
        <f>IF(COUNTIF(Branches!$A$2:$A$11,F1603)&gt;0,"Valid","Invalid")</f>
        <v>Valid</v>
      </c>
    </row>
    <row r="1604" spans="1:18" x14ac:dyDescent="0.25">
      <c r="A1604" t="s">
        <v>3675</v>
      </c>
      <c r="B1604" t="s">
        <v>994</v>
      </c>
      <c r="C1604" s="8">
        <v>46045</v>
      </c>
      <c r="D1604" t="s">
        <v>2062</v>
      </c>
      <c r="E1604" t="s">
        <v>2073</v>
      </c>
      <c r="F1604" t="s">
        <v>29</v>
      </c>
      <c r="G1604">
        <v>2520.3000000000002</v>
      </c>
      <c r="H1604" t="s">
        <v>2115</v>
      </c>
      <c r="I1604" t="str">
        <f>VLOOKUP(B1604,Customers!A:G,7,FALSE)</f>
        <v>Individual</v>
      </c>
      <c r="Q1604" t="str">
        <f>IF(COUNTIF(Customers!$A$2:$A$1001,B1604)&gt;0,"Valid","Invalid")</f>
        <v>Valid</v>
      </c>
      <c r="R1604" t="str">
        <f>IF(COUNTIF(Branches!$A$2:$A$11,F1604)&gt;0,"Valid","Invalid")</f>
        <v>Valid</v>
      </c>
    </row>
    <row r="1605" spans="1:18" x14ac:dyDescent="0.25">
      <c r="A1605" t="s">
        <v>3676</v>
      </c>
      <c r="B1605" t="s">
        <v>737</v>
      </c>
      <c r="C1605" s="8">
        <v>46035</v>
      </c>
      <c r="D1605" t="s">
        <v>2067</v>
      </c>
      <c r="E1605" t="s">
        <v>2068</v>
      </c>
      <c r="F1605" t="s">
        <v>29</v>
      </c>
      <c r="G1605">
        <v>337.42</v>
      </c>
      <c r="H1605" t="s">
        <v>2060</v>
      </c>
      <c r="I1605" t="str">
        <f>VLOOKUP(B1605,Customers!A:G,7,FALSE)</f>
        <v>Individual</v>
      </c>
      <c r="Q1605" t="str">
        <f>IF(COUNTIF(Customers!$A$2:$A$1001,B1605)&gt;0,"Valid","Invalid")</f>
        <v>Valid</v>
      </c>
      <c r="R1605" t="str">
        <f>IF(COUNTIF(Branches!$A$2:$A$11,F1605)&gt;0,"Valid","Invalid")</f>
        <v>Valid</v>
      </c>
    </row>
    <row r="1606" spans="1:18" x14ac:dyDescent="0.25">
      <c r="A1606" t="s">
        <v>3677</v>
      </c>
      <c r="B1606" t="s">
        <v>914</v>
      </c>
      <c r="C1606" s="8">
        <v>46231</v>
      </c>
      <c r="D1606" t="s">
        <v>2065</v>
      </c>
      <c r="E1606" t="s">
        <v>2076</v>
      </c>
      <c r="F1606" t="s">
        <v>11</v>
      </c>
      <c r="G1606">
        <v>143.84</v>
      </c>
      <c r="H1606" t="s">
        <v>2060</v>
      </c>
      <c r="I1606" t="str">
        <f>VLOOKUP(B1606,Customers!A:G,7,FALSE)</f>
        <v>SME</v>
      </c>
      <c r="Q1606" t="str">
        <f>IF(COUNTIF(Customers!$A$2:$A$1001,B1606)&gt;0,"Valid","Invalid")</f>
        <v>Valid</v>
      </c>
      <c r="R1606" t="str">
        <f>IF(COUNTIF(Branches!$A$2:$A$11,F1606)&gt;0,"Valid","Invalid")</f>
        <v>Valid</v>
      </c>
    </row>
    <row r="1607" spans="1:18" x14ac:dyDescent="0.25">
      <c r="A1607" t="s">
        <v>3678</v>
      </c>
      <c r="B1607" t="s">
        <v>700</v>
      </c>
      <c r="C1607" s="8">
        <v>46181</v>
      </c>
      <c r="D1607" t="s">
        <v>2067</v>
      </c>
      <c r="E1607" t="s">
        <v>2059</v>
      </c>
      <c r="F1607" t="s">
        <v>29</v>
      </c>
      <c r="G1607">
        <v>209.08</v>
      </c>
      <c r="H1607" t="s">
        <v>2060</v>
      </c>
      <c r="I1607" t="str">
        <f>VLOOKUP(B1607,Customers!A:G,7,FALSE)</f>
        <v>Student</v>
      </c>
      <c r="Q1607" t="str">
        <f>IF(COUNTIF(Customers!$A$2:$A$1001,B1607)&gt;0,"Valid","Invalid")</f>
        <v>Valid</v>
      </c>
      <c r="R1607" t="str">
        <f>IF(COUNTIF(Branches!$A$2:$A$11,F1607)&gt;0,"Valid","Invalid")</f>
        <v>Valid</v>
      </c>
    </row>
    <row r="1608" spans="1:18" x14ac:dyDescent="0.25">
      <c r="A1608" t="s">
        <v>3679</v>
      </c>
      <c r="B1608" t="s">
        <v>814</v>
      </c>
      <c r="C1608" s="8">
        <v>46038</v>
      </c>
      <c r="D1608" t="s">
        <v>2058</v>
      </c>
      <c r="E1608" t="s">
        <v>2076</v>
      </c>
      <c r="F1608" t="s">
        <v>53</v>
      </c>
      <c r="G1608">
        <v>2195.5100000000002</v>
      </c>
      <c r="H1608" t="s">
        <v>2060</v>
      </c>
      <c r="I1608" t="str">
        <f>VLOOKUP(B1608,Customers!A:G,7,FALSE)</f>
        <v>Individual</v>
      </c>
      <c r="Q1608" t="str">
        <f>IF(COUNTIF(Customers!$A$2:$A$1001,B1608)&gt;0,"Valid","Invalid")</f>
        <v>Valid</v>
      </c>
      <c r="R1608" t="str">
        <f>IF(COUNTIF(Branches!$A$2:$A$11,F1608)&gt;0,"Valid","Invalid")</f>
        <v>Valid</v>
      </c>
    </row>
    <row r="1609" spans="1:18" x14ac:dyDescent="0.25">
      <c r="A1609" t="s">
        <v>3680</v>
      </c>
      <c r="B1609" t="s">
        <v>800</v>
      </c>
      <c r="C1609" s="8">
        <v>46063</v>
      </c>
      <c r="D1609" t="s">
        <v>2065</v>
      </c>
      <c r="E1609" t="s">
        <v>2063</v>
      </c>
      <c r="F1609" t="s">
        <v>27</v>
      </c>
      <c r="G1609">
        <v>308.11</v>
      </c>
      <c r="H1609" t="s">
        <v>2060</v>
      </c>
      <c r="I1609" t="str">
        <f>VLOOKUP(B1609,Customers!A:G,7,FALSE)</f>
        <v>Individual</v>
      </c>
      <c r="Q1609" t="str">
        <f>IF(COUNTIF(Customers!$A$2:$A$1001,B1609)&gt;0,"Valid","Invalid")</f>
        <v>Valid</v>
      </c>
      <c r="R1609" t="str">
        <f>IF(COUNTIF(Branches!$A$2:$A$11,F1609)&gt;0,"Valid","Invalid")</f>
        <v>Valid</v>
      </c>
    </row>
    <row r="1610" spans="1:18" x14ac:dyDescent="0.25">
      <c r="A1610" t="s">
        <v>3681</v>
      </c>
      <c r="B1610" t="s">
        <v>983</v>
      </c>
      <c r="C1610" s="8">
        <v>46240</v>
      </c>
      <c r="D1610" t="s">
        <v>2067</v>
      </c>
      <c r="E1610" t="s">
        <v>2068</v>
      </c>
      <c r="F1610" t="s">
        <v>39</v>
      </c>
      <c r="G1610">
        <v>1209.3599999999999</v>
      </c>
      <c r="H1610" t="s">
        <v>2060</v>
      </c>
      <c r="I1610" t="str">
        <f>VLOOKUP(B1610,Customers!A:G,7,FALSE)</f>
        <v>Individual</v>
      </c>
      <c r="Q1610" t="str">
        <f>IF(COUNTIF(Customers!$A$2:$A$1001,B1610)&gt;0,"Valid","Invalid")</f>
        <v>Valid</v>
      </c>
      <c r="R1610" t="str">
        <f>IF(COUNTIF(Branches!$A$2:$A$11,F1610)&gt;0,"Valid","Invalid")</f>
        <v>Valid</v>
      </c>
    </row>
    <row r="1611" spans="1:18" x14ac:dyDescent="0.25">
      <c r="A1611" t="s">
        <v>3682</v>
      </c>
      <c r="B1611" t="s">
        <v>848</v>
      </c>
      <c r="C1611" s="8">
        <v>46242</v>
      </c>
      <c r="D1611" t="s">
        <v>2065</v>
      </c>
      <c r="E1611" t="s">
        <v>2059</v>
      </c>
      <c r="F1611" t="s">
        <v>27</v>
      </c>
      <c r="G1611">
        <v>604.99</v>
      </c>
      <c r="H1611" t="s">
        <v>2060</v>
      </c>
      <c r="I1611" t="str">
        <f>VLOOKUP(B1611,Customers!A:G,7,FALSE)</f>
        <v>Individual</v>
      </c>
      <c r="Q1611" t="str">
        <f>IF(COUNTIF(Customers!$A$2:$A$1001,B1611)&gt;0,"Valid","Invalid")</f>
        <v>Valid</v>
      </c>
      <c r="R1611" t="str">
        <f>IF(COUNTIF(Branches!$A$2:$A$11,F1611)&gt;0,"Valid","Invalid")</f>
        <v>Valid</v>
      </c>
    </row>
    <row r="1612" spans="1:18" x14ac:dyDescent="0.25">
      <c r="A1612" t="s">
        <v>3683</v>
      </c>
      <c r="B1612" t="s">
        <v>961</v>
      </c>
      <c r="C1612" s="8">
        <v>46023</v>
      </c>
      <c r="D1612" t="s">
        <v>2058</v>
      </c>
      <c r="E1612" t="s">
        <v>2063</v>
      </c>
      <c r="F1612" t="s">
        <v>11</v>
      </c>
      <c r="G1612">
        <v>1852.41</v>
      </c>
      <c r="H1612" t="s">
        <v>2060</v>
      </c>
      <c r="I1612" t="str">
        <f>VLOOKUP(B1612,Customers!A:G,7,FALSE)</f>
        <v>SME</v>
      </c>
      <c r="Q1612" t="str">
        <f>IF(COUNTIF(Customers!$A$2:$A$1001,B1612)&gt;0,"Valid","Invalid")</f>
        <v>Valid</v>
      </c>
      <c r="R1612" t="str">
        <f>IF(COUNTIF(Branches!$A$2:$A$11,F1612)&gt;0,"Valid","Invalid")</f>
        <v>Valid</v>
      </c>
    </row>
    <row r="1613" spans="1:18" x14ac:dyDescent="0.25">
      <c r="A1613" t="s">
        <v>3684</v>
      </c>
      <c r="B1613" t="s">
        <v>973</v>
      </c>
      <c r="C1613" s="8">
        <v>46133</v>
      </c>
      <c r="D1613" t="s">
        <v>2062</v>
      </c>
      <c r="E1613" t="s">
        <v>2073</v>
      </c>
      <c r="F1613" t="s">
        <v>29</v>
      </c>
      <c r="G1613">
        <v>644.99</v>
      </c>
      <c r="H1613" t="s">
        <v>2060</v>
      </c>
      <c r="I1613" t="str">
        <f>VLOOKUP(B1613,Customers!A:G,7,FALSE)</f>
        <v>Individual</v>
      </c>
      <c r="Q1613" t="str">
        <f>IF(COUNTIF(Customers!$A$2:$A$1001,B1613)&gt;0,"Valid","Invalid")</f>
        <v>Valid</v>
      </c>
      <c r="R1613" t="str">
        <f>IF(COUNTIF(Branches!$A$2:$A$11,F1613)&gt;0,"Valid","Invalid")</f>
        <v>Valid</v>
      </c>
    </row>
    <row r="1614" spans="1:18" x14ac:dyDescent="0.25">
      <c r="A1614" t="s">
        <v>3685</v>
      </c>
      <c r="B1614" t="s">
        <v>761</v>
      </c>
      <c r="C1614" s="8">
        <v>46034</v>
      </c>
      <c r="D1614" t="s">
        <v>2067</v>
      </c>
      <c r="E1614" t="s">
        <v>2059</v>
      </c>
      <c r="F1614" t="s">
        <v>47</v>
      </c>
      <c r="G1614">
        <v>12891.82</v>
      </c>
      <c r="H1614" t="s">
        <v>2060</v>
      </c>
      <c r="I1614" t="str">
        <f>VLOOKUP(B1614,Customers!A:G,7,FALSE)</f>
        <v>SME</v>
      </c>
      <c r="Q1614" t="str">
        <f>IF(COUNTIF(Customers!$A$2:$A$1001,B1614)&gt;0,"Valid","Invalid")</f>
        <v>Valid</v>
      </c>
      <c r="R1614" t="str">
        <f>IF(COUNTIF(Branches!$A$2:$A$11,F1614)&gt;0,"Valid","Invalid")</f>
        <v>Valid</v>
      </c>
    </row>
    <row r="1615" spans="1:18" x14ac:dyDescent="0.25">
      <c r="A1615" t="s">
        <v>3686</v>
      </c>
      <c r="B1615" t="s">
        <v>59</v>
      </c>
      <c r="C1615" s="8">
        <v>46251</v>
      </c>
      <c r="D1615" t="s">
        <v>2067</v>
      </c>
      <c r="E1615" t="s">
        <v>2068</v>
      </c>
      <c r="F1615" t="s">
        <v>53</v>
      </c>
      <c r="G1615">
        <v>5421.44</v>
      </c>
      <c r="H1615" t="s">
        <v>2060</v>
      </c>
      <c r="I1615" t="str">
        <f>VLOOKUP(B1615,Customers!A:G,7,FALSE)</f>
        <v>Individual</v>
      </c>
      <c r="Q1615" t="str">
        <f>IF(COUNTIF(Customers!$A$2:$A$1001,B1615)&gt;0,"Valid","Invalid")</f>
        <v>Valid</v>
      </c>
      <c r="R1615" t="str">
        <f>IF(COUNTIF(Branches!$A$2:$A$11,F1615)&gt;0,"Valid","Invalid")</f>
        <v>Valid</v>
      </c>
    </row>
    <row r="1616" spans="1:18" x14ac:dyDescent="0.25">
      <c r="A1616" t="s">
        <v>3687</v>
      </c>
      <c r="B1616" t="s">
        <v>844</v>
      </c>
      <c r="C1616" s="8">
        <v>46141</v>
      </c>
      <c r="D1616" t="s">
        <v>2065</v>
      </c>
      <c r="E1616" t="s">
        <v>2068</v>
      </c>
      <c r="F1616" t="s">
        <v>35</v>
      </c>
      <c r="G1616">
        <v>592.76</v>
      </c>
      <c r="H1616" t="s">
        <v>2060</v>
      </c>
      <c r="I1616" t="str">
        <f>VLOOKUP(B1616,Customers!A:G,7,FALSE)</f>
        <v>Individual</v>
      </c>
      <c r="Q1616" t="str">
        <f>IF(COUNTIF(Customers!$A$2:$A$1001,B1616)&gt;0,"Valid","Invalid")</f>
        <v>Valid</v>
      </c>
      <c r="R1616" t="str">
        <f>IF(COUNTIF(Branches!$A$2:$A$11,F1616)&gt;0,"Valid","Invalid")</f>
        <v>Valid</v>
      </c>
    </row>
    <row r="1617" spans="1:18" x14ac:dyDescent="0.25">
      <c r="A1617" t="s">
        <v>3688</v>
      </c>
      <c r="B1617" t="s">
        <v>891</v>
      </c>
      <c r="C1617" s="8">
        <v>46206</v>
      </c>
      <c r="D1617" t="s">
        <v>2065</v>
      </c>
      <c r="E1617" t="s">
        <v>2068</v>
      </c>
      <c r="F1617" t="s">
        <v>47</v>
      </c>
      <c r="G1617">
        <v>516.91</v>
      </c>
      <c r="H1617" t="s">
        <v>2060</v>
      </c>
      <c r="I1617" t="str">
        <f>VLOOKUP(B1617,Customers!A:G,7,FALSE)</f>
        <v>SME</v>
      </c>
      <c r="Q1617" t="str">
        <f>IF(COUNTIF(Customers!$A$2:$A$1001,B1617)&gt;0,"Valid","Invalid")</f>
        <v>Valid</v>
      </c>
      <c r="R1617" t="str">
        <f>IF(COUNTIF(Branches!$A$2:$A$11,F1617)&gt;0,"Valid","Invalid")</f>
        <v>Valid</v>
      </c>
    </row>
    <row r="1618" spans="1:18" x14ac:dyDescent="0.25">
      <c r="A1618" t="s">
        <v>3689</v>
      </c>
      <c r="B1618" t="s">
        <v>702</v>
      </c>
      <c r="C1618" s="8">
        <v>46200</v>
      </c>
      <c r="D1618" t="s">
        <v>2065</v>
      </c>
      <c r="E1618" t="s">
        <v>2063</v>
      </c>
      <c r="F1618" t="s">
        <v>53</v>
      </c>
      <c r="G1618">
        <v>18626.23</v>
      </c>
      <c r="H1618" t="s">
        <v>2115</v>
      </c>
      <c r="I1618" t="str">
        <f>VLOOKUP(B1618,Customers!A:G,7,FALSE)</f>
        <v>Individual</v>
      </c>
      <c r="Q1618" t="str">
        <f>IF(COUNTIF(Customers!$A$2:$A$1001,B1618)&gt;0,"Valid","Invalid")</f>
        <v>Valid</v>
      </c>
      <c r="R1618" t="str">
        <f>IF(COUNTIF(Branches!$A$2:$A$11,F1618)&gt;0,"Valid","Invalid")</f>
        <v>Valid</v>
      </c>
    </row>
    <row r="1619" spans="1:18" x14ac:dyDescent="0.25">
      <c r="A1619" t="s">
        <v>3690</v>
      </c>
      <c r="B1619" t="s">
        <v>574</v>
      </c>
      <c r="C1619" s="8">
        <v>46042</v>
      </c>
      <c r="D1619" t="s">
        <v>2058</v>
      </c>
      <c r="E1619" t="s">
        <v>2063</v>
      </c>
      <c r="F1619" t="s">
        <v>21</v>
      </c>
      <c r="G1619">
        <v>276.20999999999998</v>
      </c>
      <c r="H1619" t="s">
        <v>2060</v>
      </c>
      <c r="I1619" t="str">
        <f>VLOOKUP(B1619,Customers!A:G,7,FALSE)</f>
        <v>Individual</v>
      </c>
      <c r="Q1619" t="str">
        <f>IF(COUNTIF(Customers!$A$2:$A$1001,B1619)&gt;0,"Valid","Invalid")</f>
        <v>Valid</v>
      </c>
      <c r="R1619" t="str">
        <f>IF(COUNTIF(Branches!$A$2:$A$11,F1619)&gt;0,"Valid","Invalid")</f>
        <v>Valid</v>
      </c>
    </row>
    <row r="1620" spans="1:18" x14ac:dyDescent="0.25">
      <c r="A1620" t="s">
        <v>3691</v>
      </c>
      <c r="B1620" t="s">
        <v>802</v>
      </c>
      <c r="C1620" s="8">
        <v>46216</v>
      </c>
      <c r="D1620" t="s">
        <v>2058</v>
      </c>
      <c r="E1620" t="s">
        <v>2068</v>
      </c>
      <c r="F1620" t="s">
        <v>39</v>
      </c>
      <c r="G1620">
        <v>768.91</v>
      </c>
      <c r="H1620" t="s">
        <v>2060</v>
      </c>
      <c r="I1620" t="str">
        <f>VLOOKUP(B1620,Customers!A:G,7,FALSE)</f>
        <v>Individual</v>
      </c>
      <c r="Q1620" t="str">
        <f>IF(COUNTIF(Customers!$A$2:$A$1001,B1620)&gt;0,"Valid","Invalid")</f>
        <v>Valid</v>
      </c>
      <c r="R1620" t="str">
        <f>IF(COUNTIF(Branches!$A$2:$A$11,F1620)&gt;0,"Valid","Invalid")</f>
        <v>Valid</v>
      </c>
    </row>
    <row r="1621" spans="1:18" x14ac:dyDescent="0.25">
      <c r="A1621" t="s">
        <v>3692</v>
      </c>
      <c r="B1621" t="s">
        <v>96</v>
      </c>
      <c r="C1621" s="8">
        <v>46058</v>
      </c>
      <c r="D1621" t="s">
        <v>2070</v>
      </c>
      <c r="E1621" t="s">
        <v>2068</v>
      </c>
      <c r="F1621" t="s">
        <v>16</v>
      </c>
      <c r="G1621">
        <v>830.85</v>
      </c>
      <c r="H1621" t="s">
        <v>2107</v>
      </c>
      <c r="I1621" t="str">
        <f>VLOOKUP(B1621,Customers!A:G,7,FALSE)</f>
        <v>Individual</v>
      </c>
      <c r="Q1621" t="str">
        <f>IF(COUNTIF(Customers!$A$2:$A$1001,B1621)&gt;0,"Valid","Invalid")</f>
        <v>Valid</v>
      </c>
      <c r="R1621" t="str">
        <f>IF(COUNTIF(Branches!$A$2:$A$11,F1621)&gt;0,"Valid","Invalid")</f>
        <v>Valid</v>
      </c>
    </row>
    <row r="1622" spans="1:18" x14ac:dyDescent="0.25">
      <c r="A1622" t="s">
        <v>3693</v>
      </c>
      <c r="B1622" t="s">
        <v>505</v>
      </c>
      <c r="C1622" s="8">
        <v>46101</v>
      </c>
      <c r="D1622" t="s">
        <v>2065</v>
      </c>
      <c r="E1622" t="s">
        <v>2059</v>
      </c>
      <c r="F1622" t="s">
        <v>47</v>
      </c>
      <c r="G1622">
        <v>810.51</v>
      </c>
      <c r="H1622" t="s">
        <v>2107</v>
      </c>
      <c r="I1622" t="str">
        <f>VLOOKUP(B1622,Customers!A:G,7,FALSE)</f>
        <v>Individual</v>
      </c>
      <c r="Q1622" t="str">
        <f>IF(COUNTIF(Customers!$A$2:$A$1001,B1622)&gt;0,"Valid","Invalid")</f>
        <v>Valid</v>
      </c>
      <c r="R1622" t="str">
        <f>IF(COUNTIF(Branches!$A$2:$A$11,F1622)&gt;0,"Valid","Invalid")</f>
        <v>Valid</v>
      </c>
    </row>
    <row r="1623" spans="1:18" x14ac:dyDescent="0.25">
      <c r="A1623" t="s">
        <v>3694</v>
      </c>
      <c r="B1623" t="s">
        <v>472</v>
      </c>
      <c r="C1623" s="8">
        <v>46188</v>
      </c>
      <c r="D1623" t="s">
        <v>2058</v>
      </c>
      <c r="E1623" t="s">
        <v>2059</v>
      </c>
      <c r="F1623" t="s">
        <v>29</v>
      </c>
      <c r="G1623">
        <v>142.78</v>
      </c>
      <c r="H1623" t="s">
        <v>2060</v>
      </c>
      <c r="I1623" t="str">
        <f>VLOOKUP(B1623,Customers!A:G,7,FALSE)</f>
        <v>Individual</v>
      </c>
      <c r="Q1623" t="str">
        <f>IF(COUNTIF(Customers!$A$2:$A$1001,B1623)&gt;0,"Valid","Invalid")</f>
        <v>Valid</v>
      </c>
      <c r="R1623" t="str">
        <f>IF(COUNTIF(Branches!$A$2:$A$11,F1623)&gt;0,"Valid","Invalid")</f>
        <v>Valid</v>
      </c>
    </row>
    <row r="1624" spans="1:18" x14ac:dyDescent="0.25">
      <c r="A1624" t="s">
        <v>3695</v>
      </c>
      <c r="B1624" t="s">
        <v>917</v>
      </c>
      <c r="C1624" s="8">
        <v>46172</v>
      </c>
      <c r="D1624" t="s">
        <v>2058</v>
      </c>
      <c r="E1624" t="s">
        <v>2063</v>
      </c>
      <c r="F1624" t="s">
        <v>11</v>
      </c>
      <c r="G1624">
        <v>1334.89</v>
      </c>
      <c r="H1624" t="s">
        <v>2060</v>
      </c>
      <c r="I1624" t="str">
        <f>VLOOKUP(B1624,Customers!A:G,7,FALSE)</f>
        <v>Individual</v>
      </c>
      <c r="Q1624" t="str">
        <f>IF(COUNTIF(Customers!$A$2:$A$1001,B1624)&gt;0,"Valid","Invalid")</f>
        <v>Valid</v>
      </c>
      <c r="R1624" t="str">
        <f>IF(COUNTIF(Branches!$A$2:$A$11,F1624)&gt;0,"Valid","Invalid")</f>
        <v>Valid</v>
      </c>
    </row>
    <row r="1625" spans="1:18" x14ac:dyDescent="0.25">
      <c r="A1625" t="s">
        <v>3696</v>
      </c>
      <c r="B1625" t="s">
        <v>102</v>
      </c>
      <c r="C1625" s="8">
        <v>46130</v>
      </c>
      <c r="D1625" t="s">
        <v>2058</v>
      </c>
      <c r="E1625" t="s">
        <v>2073</v>
      </c>
      <c r="F1625" t="s">
        <v>29</v>
      </c>
      <c r="G1625">
        <v>307.86</v>
      </c>
      <c r="H1625" t="s">
        <v>2115</v>
      </c>
      <c r="I1625" t="str">
        <f>VLOOKUP(B1625,Customers!A:G,7,FALSE)</f>
        <v>Corporate</v>
      </c>
      <c r="Q1625" t="str">
        <f>IF(COUNTIF(Customers!$A$2:$A$1001,B1625)&gt;0,"Valid","Invalid")</f>
        <v>Valid</v>
      </c>
      <c r="R1625" t="str">
        <f>IF(COUNTIF(Branches!$A$2:$A$11,F1625)&gt;0,"Valid","Invalid")</f>
        <v>Valid</v>
      </c>
    </row>
    <row r="1626" spans="1:18" x14ac:dyDescent="0.25">
      <c r="A1626" t="s">
        <v>3697</v>
      </c>
      <c r="B1626" t="s">
        <v>948</v>
      </c>
      <c r="C1626" s="8">
        <v>46211</v>
      </c>
      <c r="D1626" t="s">
        <v>2062</v>
      </c>
      <c r="E1626" t="s">
        <v>2063</v>
      </c>
      <c r="F1626" t="s">
        <v>27</v>
      </c>
      <c r="G1626">
        <v>3415.19</v>
      </c>
      <c r="H1626" t="s">
        <v>2060</v>
      </c>
      <c r="I1626" t="str">
        <f>VLOOKUP(B1626,Customers!A:G,7,FALSE)</f>
        <v>SME</v>
      </c>
      <c r="Q1626" t="str">
        <f>IF(COUNTIF(Customers!$A$2:$A$1001,B1626)&gt;0,"Valid","Invalid")</f>
        <v>Valid</v>
      </c>
      <c r="R1626" t="str">
        <f>IF(COUNTIF(Branches!$A$2:$A$11,F1626)&gt;0,"Valid","Invalid")</f>
        <v>Valid</v>
      </c>
    </row>
    <row r="1627" spans="1:18" x14ac:dyDescent="0.25">
      <c r="A1627" t="s">
        <v>3698</v>
      </c>
      <c r="B1627" t="s">
        <v>603</v>
      </c>
      <c r="C1627" s="8">
        <v>46200</v>
      </c>
      <c r="D1627" t="s">
        <v>2065</v>
      </c>
      <c r="E1627" t="s">
        <v>2063</v>
      </c>
      <c r="F1627" t="s">
        <v>35</v>
      </c>
      <c r="G1627">
        <v>189.43</v>
      </c>
      <c r="H1627" t="s">
        <v>2060</v>
      </c>
      <c r="I1627" t="str">
        <f>VLOOKUP(B1627,Customers!A:G,7,FALSE)</f>
        <v>Individual</v>
      </c>
      <c r="Q1627" t="str">
        <f>IF(COUNTIF(Customers!$A$2:$A$1001,B1627)&gt;0,"Valid","Invalid")</f>
        <v>Valid</v>
      </c>
      <c r="R1627" t="str">
        <f>IF(COUNTIF(Branches!$A$2:$A$11,F1627)&gt;0,"Valid","Invalid")</f>
        <v>Valid</v>
      </c>
    </row>
    <row r="1628" spans="1:18" x14ac:dyDescent="0.25">
      <c r="A1628" t="s">
        <v>3699</v>
      </c>
      <c r="B1628" t="s">
        <v>966</v>
      </c>
      <c r="C1628" s="8">
        <v>46118</v>
      </c>
      <c r="D1628" t="s">
        <v>2065</v>
      </c>
      <c r="E1628" t="s">
        <v>2076</v>
      </c>
      <c r="F1628" t="s">
        <v>39</v>
      </c>
      <c r="G1628">
        <v>862.18</v>
      </c>
      <c r="H1628" t="s">
        <v>2060</v>
      </c>
      <c r="I1628" t="str">
        <f>VLOOKUP(B1628,Customers!A:G,7,FALSE)</f>
        <v>Individual</v>
      </c>
      <c r="Q1628" t="str">
        <f>IF(COUNTIF(Customers!$A$2:$A$1001,B1628)&gt;0,"Valid","Invalid")</f>
        <v>Valid</v>
      </c>
      <c r="R1628" t="str">
        <f>IF(COUNTIF(Branches!$A$2:$A$11,F1628)&gt;0,"Valid","Invalid")</f>
        <v>Valid</v>
      </c>
    </row>
    <row r="1629" spans="1:18" x14ac:dyDescent="0.25">
      <c r="A1629" t="s">
        <v>3700</v>
      </c>
      <c r="B1629" t="s">
        <v>142</v>
      </c>
      <c r="C1629" s="8">
        <v>46081</v>
      </c>
      <c r="D1629" t="s">
        <v>2058</v>
      </c>
      <c r="E1629" t="s">
        <v>2063</v>
      </c>
      <c r="F1629" t="s">
        <v>29</v>
      </c>
      <c r="G1629">
        <v>88.58</v>
      </c>
      <c r="H1629" t="s">
        <v>2060</v>
      </c>
      <c r="I1629" t="str">
        <f>VLOOKUP(B1629,Customers!A:G,7,FALSE)</f>
        <v>SME</v>
      </c>
      <c r="Q1629" t="str">
        <f>IF(COUNTIF(Customers!$A$2:$A$1001,B1629)&gt;0,"Valid","Invalid")</f>
        <v>Valid</v>
      </c>
      <c r="R1629" t="str">
        <f>IF(COUNTIF(Branches!$A$2:$A$11,F1629)&gt;0,"Valid","Invalid")</f>
        <v>Valid</v>
      </c>
    </row>
    <row r="1630" spans="1:18" x14ac:dyDescent="0.25">
      <c r="A1630" t="s">
        <v>3701</v>
      </c>
      <c r="B1630" t="s">
        <v>132</v>
      </c>
      <c r="C1630" s="8">
        <v>46042</v>
      </c>
      <c r="D1630" t="s">
        <v>2067</v>
      </c>
      <c r="E1630" t="s">
        <v>2073</v>
      </c>
      <c r="F1630" t="s">
        <v>29</v>
      </c>
      <c r="G1630">
        <v>94.22</v>
      </c>
      <c r="H1630" t="s">
        <v>2060</v>
      </c>
      <c r="I1630" t="str">
        <f>VLOOKUP(B1630,Customers!A:G,7,FALSE)</f>
        <v>Individual</v>
      </c>
      <c r="Q1630" t="str">
        <f>IF(COUNTIF(Customers!$A$2:$A$1001,B1630)&gt;0,"Valid","Invalid")</f>
        <v>Valid</v>
      </c>
      <c r="R1630" t="str">
        <f>IF(COUNTIF(Branches!$A$2:$A$11,F1630)&gt;0,"Valid","Invalid")</f>
        <v>Valid</v>
      </c>
    </row>
    <row r="1631" spans="1:18" x14ac:dyDescent="0.25">
      <c r="A1631" t="s">
        <v>3702</v>
      </c>
      <c r="B1631" t="s">
        <v>1026</v>
      </c>
      <c r="C1631" s="8">
        <v>46186</v>
      </c>
      <c r="D1631" t="s">
        <v>2065</v>
      </c>
      <c r="E1631" t="s">
        <v>2063</v>
      </c>
      <c r="F1631" t="s">
        <v>35</v>
      </c>
      <c r="G1631">
        <v>350.95</v>
      </c>
      <c r="H1631" t="s">
        <v>2060</v>
      </c>
      <c r="I1631" t="str">
        <f>VLOOKUP(B1631,Customers!A:G,7,FALSE)</f>
        <v>Individual</v>
      </c>
      <c r="Q1631" t="str">
        <f>IF(COUNTIF(Customers!$A$2:$A$1001,B1631)&gt;0,"Valid","Invalid")</f>
        <v>Valid</v>
      </c>
      <c r="R1631" t="str">
        <f>IF(COUNTIF(Branches!$A$2:$A$11,F1631)&gt;0,"Valid","Invalid")</f>
        <v>Valid</v>
      </c>
    </row>
    <row r="1632" spans="1:18" x14ac:dyDescent="0.25">
      <c r="A1632" t="s">
        <v>3703</v>
      </c>
      <c r="B1632" t="s">
        <v>726</v>
      </c>
      <c r="C1632" s="8">
        <v>46148</v>
      </c>
      <c r="D1632" t="s">
        <v>2065</v>
      </c>
      <c r="E1632" t="s">
        <v>2063</v>
      </c>
      <c r="F1632" t="s">
        <v>53</v>
      </c>
      <c r="G1632">
        <v>404.15</v>
      </c>
      <c r="H1632" t="s">
        <v>2060</v>
      </c>
      <c r="I1632" t="str">
        <f>VLOOKUP(B1632,Customers!A:G,7,FALSE)</f>
        <v>Individual</v>
      </c>
      <c r="Q1632" t="str">
        <f>IF(COUNTIF(Customers!$A$2:$A$1001,B1632)&gt;0,"Valid","Invalid")</f>
        <v>Valid</v>
      </c>
      <c r="R1632" t="str">
        <f>IF(COUNTIF(Branches!$A$2:$A$11,F1632)&gt;0,"Valid","Invalid")</f>
        <v>Valid</v>
      </c>
    </row>
    <row r="1633" spans="1:18" x14ac:dyDescent="0.25">
      <c r="A1633" t="s">
        <v>3704</v>
      </c>
      <c r="B1633" t="s">
        <v>589</v>
      </c>
      <c r="C1633" s="8">
        <v>46119</v>
      </c>
      <c r="D1633" t="s">
        <v>2067</v>
      </c>
      <c r="E1633" t="s">
        <v>2059</v>
      </c>
      <c r="F1633" t="s">
        <v>35</v>
      </c>
      <c r="G1633">
        <v>3518.28</v>
      </c>
      <c r="H1633" t="s">
        <v>2060</v>
      </c>
      <c r="I1633" t="str">
        <f>VLOOKUP(B1633,Customers!A:G,7,FALSE)</f>
        <v>Individual</v>
      </c>
      <c r="Q1633" t="str">
        <f>IF(COUNTIF(Customers!$A$2:$A$1001,B1633)&gt;0,"Valid","Invalid")</f>
        <v>Valid</v>
      </c>
      <c r="R1633" t="str">
        <f>IF(COUNTIF(Branches!$A$2:$A$11,F1633)&gt;0,"Valid","Invalid")</f>
        <v>Valid</v>
      </c>
    </row>
    <row r="1634" spans="1:18" x14ac:dyDescent="0.25">
      <c r="A1634" t="s">
        <v>3705</v>
      </c>
      <c r="B1634" t="s">
        <v>204</v>
      </c>
      <c r="C1634" s="8">
        <v>46165</v>
      </c>
      <c r="D1634" t="s">
        <v>2058</v>
      </c>
      <c r="E1634" t="s">
        <v>2059</v>
      </c>
      <c r="F1634" t="s">
        <v>21</v>
      </c>
      <c r="G1634">
        <v>780.09</v>
      </c>
      <c r="H1634" t="s">
        <v>2060</v>
      </c>
      <c r="I1634" t="str">
        <f>VLOOKUP(B1634,Customers!A:G,7,FALSE)</f>
        <v>Individual</v>
      </c>
      <c r="Q1634" t="str">
        <f>IF(COUNTIF(Customers!$A$2:$A$1001,B1634)&gt;0,"Valid","Invalid")</f>
        <v>Valid</v>
      </c>
      <c r="R1634" t="str">
        <f>IF(COUNTIF(Branches!$A$2:$A$11,F1634)&gt;0,"Valid","Invalid")</f>
        <v>Valid</v>
      </c>
    </row>
    <row r="1635" spans="1:18" x14ac:dyDescent="0.25">
      <c r="A1635" t="s">
        <v>3706</v>
      </c>
      <c r="B1635" t="s">
        <v>76</v>
      </c>
      <c r="C1635" s="8">
        <v>46084</v>
      </c>
      <c r="D1635" t="s">
        <v>2065</v>
      </c>
      <c r="E1635" t="s">
        <v>2063</v>
      </c>
      <c r="F1635" t="s">
        <v>16</v>
      </c>
      <c r="G1635">
        <v>2958.41</v>
      </c>
      <c r="H1635" t="s">
        <v>2060</v>
      </c>
      <c r="I1635" t="str">
        <f>VLOOKUP(B1635,Customers!A:G,7,FALSE)</f>
        <v>Individual</v>
      </c>
      <c r="Q1635" t="str">
        <f>IF(COUNTIF(Customers!$A$2:$A$1001,B1635)&gt;0,"Valid","Invalid")</f>
        <v>Valid</v>
      </c>
      <c r="R1635" t="str">
        <f>IF(COUNTIF(Branches!$A$2:$A$11,F1635)&gt;0,"Valid","Invalid")</f>
        <v>Valid</v>
      </c>
    </row>
    <row r="1636" spans="1:18" x14ac:dyDescent="0.25">
      <c r="A1636" t="s">
        <v>3707</v>
      </c>
      <c r="B1636" t="s">
        <v>917</v>
      </c>
      <c r="C1636" s="8">
        <v>46264</v>
      </c>
      <c r="D1636" t="s">
        <v>2067</v>
      </c>
      <c r="E1636" t="s">
        <v>2059</v>
      </c>
      <c r="F1636" t="s">
        <v>35</v>
      </c>
      <c r="G1636">
        <v>555.69000000000005</v>
      </c>
      <c r="H1636" t="s">
        <v>2060</v>
      </c>
      <c r="I1636" t="str">
        <f>VLOOKUP(B1636,Customers!A:G,7,FALSE)</f>
        <v>Individual</v>
      </c>
      <c r="Q1636" t="str">
        <f>IF(COUNTIF(Customers!$A$2:$A$1001,B1636)&gt;0,"Valid","Invalid")</f>
        <v>Valid</v>
      </c>
      <c r="R1636" t="str">
        <f>IF(COUNTIF(Branches!$A$2:$A$11,F1636)&gt;0,"Valid","Invalid")</f>
        <v>Valid</v>
      </c>
    </row>
    <row r="1637" spans="1:18" x14ac:dyDescent="0.25">
      <c r="A1637" t="s">
        <v>3708</v>
      </c>
      <c r="B1637" t="s">
        <v>140</v>
      </c>
      <c r="C1637" s="8">
        <v>46260</v>
      </c>
      <c r="D1637" t="s">
        <v>2058</v>
      </c>
      <c r="E1637" t="s">
        <v>2059</v>
      </c>
      <c r="F1637" t="s">
        <v>53</v>
      </c>
      <c r="G1637">
        <v>1489.34</v>
      </c>
      <c r="H1637" t="s">
        <v>2060</v>
      </c>
      <c r="I1637" t="str">
        <f>VLOOKUP(B1637,Customers!A:G,7,FALSE)</f>
        <v>Individual</v>
      </c>
      <c r="Q1637" t="str">
        <f>IF(COUNTIF(Customers!$A$2:$A$1001,B1637)&gt;0,"Valid","Invalid")</f>
        <v>Valid</v>
      </c>
      <c r="R1637" t="str">
        <f>IF(COUNTIF(Branches!$A$2:$A$11,F1637)&gt;0,"Valid","Invalid")</f>
        <v>Valid</v>
      </c>
    </row>
    <row r="1638" spans="1:18" x14ac:dyDescent="0.25">
      <c r="A1638" t="s">
        <v>3709</v>
      </c>
      <c r="B1638" t="s">
        <v>883</v>
      </c>
      <c r="C1638" s="8">
        <v>46153</v>
      </c>
      <c r="D1638" t="s">
        <v>2067</v>
      </c>
      <c r="E1638" t="s">
        <v>2068</v>
      </c>
      <c r="F1638" t="s">
        <v>21</v>
      </c>
      <c r="G1638">
        <v>393.28</v>
      </c>
      <c r="H1638" t="s">
        <v>2060</v>
      </c>
      <c r="I1638" t="str">
        <f>VLOOKUP(B1638,Customers!A:G,7,FALSE)</f>
        <v>SME</v>
      </c>
      <c r="Q1638" t="str">
        <f>IF(COUNTIF(Customers!$A$2:$A$1001,B1638)&gt;0,"Valid","Invalid")</f>
        <v>Valid</v>
      </c>
      <c r="R1638" t="str">
        <f>IF(COUNTIF(Branches!$A$2:$A$11,F1638)&gt;0,"Valid","Invalid")</f>
        <v>Valid</v>
      </c>
    </row>
    <row r="1639" spans="1:18" x14ac:dyDescent="0.25">
      <c r="A1639" t="s">
        <v>3710</v>
      </c>
      <c r="B1639" t="s">
        <v>241</v>
      </c>
      <c r="C1639" s="8">
        <v>46115</v>
      </c>
      <c r="D1639" t="s">
        <v>2070</v>
      </c>
      <c r="E1639" t="s">
        <v>2063</v>
      </c>
      <c r="F1639" t="s">
        <v>53</v>
      </c>
      <c r="G1639">
        <v>367.43</v>
      </c>
      <c r="H1639" t="s">
        <v>2107</v>
      </c>
      <c r="I1639" t="str">
        <f>VLOOKUP(B1639,Customers!A:G,7,FALSE)</f>
        <v>Individual</v>
      </c>
      <c r="Q1639" t="str">
        <f>IF(COUNTIF(Customers!$A$2:$A$1001,B1639)&gt;0,"Valid","Invalid")</f>
        <v>Valid</v>
      </c>
      <c r="R1639" t="str">
        <f>IF(COUNTIF(Branches!$A$2:$A$11,F1639)&gt;0,"Valid","Invalid")</f>
        <v>Valid</v>
      </c>
    </row>
    <row r="1640" spans="1:18" x14ac:dyDescent="0.25">
      <c r="A1640" t="s">
        <v>3711</v>
      </c>
      <c r="B1640" t="s">
        <v>558</v>
      </c>
      <c r="C1640" s="8">
        <v>46261</v>
      </c>
      <c r="D1640" t="s">
        <v>2065</v>
      </c>
      <c r="E1640" t="s">
        <v>2073</v>
      </c>
      <c r="F1640" t="s">
        <v>47</v>
      </c>
      <c r="G1640">
        <v>131.52000000000001</v>
      </c>
      <c r="H1640" t="s">
        <v>2060</v>
      </c>
      <c r="I1640" t="str">
        <f>VLOOKUP(B1640,Customers!A:G,7,FALSE)</f>
        <v>Individual</v>
      </c>
      <c r="Q1640" t="str">
        <f>IF(COUNTIF(Customers!$A$2:$A$1001,B1640)&gt;0,"Valid","Invalid")</f>
        <v>Valid</v>
      </c>
      <c r="R1640" t="str">
        <f>IF(COUNTIF(Branches!$A$2:$A$11,F1640)&gt;0,"Valid","Invalid")</f>
        <v>Valid</v>
      </c>
    </row>
    <row r="1641" spans="1:18" x14ac:dyDescent="0.25">
      <c r="A1641" t="s">
        <v>3712</v>
      </c>
      <c r="B1641" t="s">
        <v>1013</v>
      </c>
      <c r="C1641" s="8">
        <v>46113</v>
      </c>
      <c r="D1641" t="s">
        <v>2070</v>
      </c>
      <c r="E1641" t="s">
        <v>2076</v>
      </c>
      <c r="F1641" t="s">
        <v>47</v>
      </c>
      <c r="G1641">
        <v>1136.55</v>
      </c>
      <c r="H1641" t="s">
        <v>2060</v>
      </c>
      <c r="I1641" t="str">
        <f>VLOOKUP(B1641,Customers!A:G,7,FALSE)</f>
        <v>Student</v>
      </c>
      <c r="Q1641" t="str">
        <f>IF(COUNTIF(Customers!$A$2:$A$1001,B1641)&gt;0,"Valid","Invalid")</f>
        <v>Valid</v>
      </c>
      <c r="R1641" t="str">
        <f>IF(COUNTIF(Branches!$A$2:$A$11,F1641)&gt;0,"Valid","Invalid")</f>
        <v>Valid</v>
      </c>
    </row>
    <row r="1642" spans="1:18" x14ac:dyDescent="0.25">
      <c r="A1642" t="s">
        <v>3713</v>
      </c>
      <c r="B1642" t="s">
        <v>320</v>
      </c>
      <c r="C1642" s="8">
        <v>46155</v>
      </c>
      <c r="D1642" t="s">
        <v>2058</v>
      </c>
      <c r="E1642" t="s">
        <v>2063</v>
      </c>
      <c r="F1642" t="s">
        <v>11</v>
      </c>
      <c r="G1642">
        <v>1055.83</v>
      </c>
      <c r="H1642" t="s">
        <v>2060</v>
      </c>
      <c r="I1642" t="str">
        <f>VLOOKUP(B1642,Customers!A:G,7,FALSE)</f>
        <v>Individual</v>
      </c>
      <c r="Q1642" t="str">
        <f>IF(COUNTIF(Customers!$A$2:$A$1001,B1642)&gt;0,"Valid","Invalid")</f>
        <v>Valid</v>
      </c>
      <c r="R1642" t="str">
        <f>IF(COUNTIF(Branches!$A$2:$A$11,F1642)&gt;0,"Valid","Invalid")</f>
        <v>Valid</v>
      </c>
    </row>
    <row r="1643" spans="1:18" x14ac:dyDescent="0.25">
      <c r="A1643" t="s">
        <v>3714</v>
      </c>
      <c r="B1643" t="s">
        <v>946</v>
      </c>
      <c r="C1643" s="8">
        <v>46145</v>
      </c>
      <c r="D1643" t="s">
        <v>2062</v>
      </c>
      <c r="E1643" t="s">
        <v>2063</v>
      </c>
      <c r="F1643" t="s">
        <v>29</v>
      </c>
      <c r="G1643">
        <v>1767.48</v>
      </c>
      <c r="H1643" t="s">
        <v>2060</v>
      </c>
      <c r="I1643" t="str">
        <f>VLOOKUP(B1643,Customers!A:G,7,FALSE)</f>
        <v>Individual</v>
      </c>
      <c r="Q1643" t="str">
        <f>IF(COUNTIF(Customers!$A$2:$A$1001,B1643)&gt;0,"Valid","Invalid")</f>
        <v>Valid</v>
      </c>
      <c r="R1643" t="str">
        <f>IF(COUNTIF(Branches!$A$2:$A$11,F1643)&gt;0,"Valid","Invalid")</f>
        <v>Valid</v>
      </c>
    </row>
    <row r="1644" spans="1:18" x14ac:dyDescent="0.25">
      <c r="A1644" t="s">
        <v>3715</v>
      </c>
      <c r="B1644" t="s">
        <v>77</v>
      </c>
      <c r="C1644" s="8">
        <v>46206</v>
      </c>
      <c r="D1644" t="s">
        <v>2067</v>
      </c>
      <c r="E1644" t="s">
        <v>2059</v>
      </c>
      <c r="F1644" t="s">
        <v>47</v>
      </c>
      <c r="G1644">
        <v>1007.19</v>
      </c>
      <c r="H1644" t="s">
        <v>2060</v>
      </c>
      <c r="I1644" t="str">
        <f>VLOOKUP(B1644,Customers!A:G,7,FALSE)</f>
        <v>Corporate</v>
      </c>
      <c r="Q1644" t="str">
        <f>IF(COUNTIF(Customers!$A$2:$A$1001,B1644)&gt;0,"Valid","Invalid")</f>
        <v>Valid</v>
      </c>
      <c r="R1644" t="str">
        <f>IF(COUNTIF(Branches!$A$2:$A$11,F1644)&gt;0,"Valid","Invalid")</f>
        <v>Valid</v>
      </c>
    </row>
    <row r="1645" spans="1:18" x14ac:dyDescent="0.25">
      <c r="A1645" t="s">
        <v>3716</v>
      </c>
      <c r="B1645" t="s">
        <v>985</v>
      </c>
      <c r="C1645" s="8">
        <v>46181</v>
      </c>
      <c r="D1645" t="s">
        <v>2067</v>
      </c>
      <c r="E1645" t="s">
        <v>2063</v>
      </c>
      <c r="F1645" t="s">
        <v>27</v>
      </c>
      <c r="G1645">
        <v>6162.24</v>
      </c>
      <c r="H1645" t="s">
        <v>2060</v>
      </c>
      <c r="I1645" t="str">
        <f>VLOOKUP(B1645,Customers!A:G,7,FALSE)</f>
        <v>Individual</v>
      </c>
      <c r="Q1645" t="str">
        <f>IF(COUNTIF(Customers!$A$2:$A$1001,B1645)&gt;0,"Valid","Invalid")</f>
        <v>Valid</v>
      </c>
      <c r="R1645" t="str">
        <f>IF(COUNTIF(Branches!$A$2:$A$11,F1645)&gt;0,"Valid","Invalid")</f>
        <v>Valid</v>
      </c>
    </row>
    <row r="1646" spans="1:18" x14ac:dyDescent="0.25">
      <c r="A1646" t="s">
        <v>3717</v>
      </c>
      <c r="B1646" t="s">
        <v>146</v>
      </c>
      <c r="C1646" s="8">
        <v>46108</v>
      </c>
      <c r="D1646" t="s">
        <v>2062</v>
      </c>
      <c r="E1646" t="s">
        <v>2063</v>
      </c>
      <c r="F1646" t="s">
        <v>16</v>
      </c>
      <c r="G1646">
        <v>968.77</v>
      </c>
      <c r="H1646" t="s">
        <v>2060</v>
      </c>
      <c r="I1646" t="str">
        <f>VLOOKUP(B1646,Customers!A:G,7,FALSE)</f>
        <v>Student</v>
      </c>
      <c r="Q1646" t="str">
        <f>IF(COUNTIF(Customers!$A$2:$A$1001,B1646)&gt;0,"Valid","Invalid")</f>
        <v>Valid</v>
      </c>
      <c r="R1646" t="str">
        <f>IF(COUNTIF(Branches!$A$2:$A$11,F1646)&gt;0,"Valid","Invalid")</f>
        <v>Valid</v>
      </c>
    </row>
    <row r="1647" spans="1:18" x14ac:dyDescent="0.25">
      <c r="A1647" t="s">
        <v>3718</v>
      </c>
      <c r="B1647" t="s">
        <v>1025</v>
      </c>
      <c r="C1647" s="8">
        <v>46185</v>
      </c>
      <c r="D1647" t="s">
        <v>2062</v>
      </c>
      <c r="E1647" t="s">
        <v>2063</v>
      </c>
      <c r="F1647" t="s">
        <v>27</v>
      </c>
      <c r="G1647">
        <v>2190.37</v>
      </c>
      <c r="H1647" t="s">
        <v>2060</v>
      </c>
      <c r="I1647" t="str">
        <f>VLOOKUP(B1647,Customers!A:G,7,FALSE)</f>
        <v>Individual</v>
      </c>
      <c r="Q1647" t="str">
        <f>IF(COUNTIF(Customers!$A$2:$A$1001,B1647)&gt;0,"Valid","Invalid")</f>
        <v>Valid</v>
      </c>
      <c r="R1647" t="str">
        <f>IF(COUNTIF(Branches!$A$2:$A$11,F1647)&gt;0,"Valid","Invalid")</f>
        <v>Valid</v>
      </c>
    </row>
    <row r="1648" spans="1:18" x14ac:dyDescent="0.25">
      <c r="A1648" t="s">
        <v>3719</v>
      </c>
      <c r="B1648" t="s">
        <v>247</v>
      </c>
      <c r="C1648" s="8">
        <v>46140</v>
      </c>
      <c r="D1648" t="s">
        <v>2065</v>
      </c>
      <c r="E1648" t="s">
        <v>2076</v>
      </c>
      <c r="F1648" t="s">
        <v>11</v>
      </c>
      <c r="G1648">
        <v>587.51</v>
      </c>
      <c r="H1648" t="s">
        <v>2060</v>
      </c>
      <c r="I1648" t="str">
        <f>VLOOKUP(B1648,Customers!A:G,7,FALSE)</f>
        <v>Individual</v>
      </c>
      <c r="Q1648" t="str">
        <f>IF(COUNTIF(Customers!$A$2:$A$1001,B1648)&gt;0,"Valid","Invalid")</f>
        <v>Valid</v>
      </c>
      <c r="R1648" t="str">
        <f>IF(COUNTIF(Branches!$A$2:$A$11,F1648)&gt;0,"Valid","Invalid")</f>
        <v>Valid</v>
      </c>
    </row>
    <row r="1649" spans="1:18" x14ac:dyDescent="0.25">
      <c r="A1649" t="s">
        <v>3720</v>
      </c>
      <c r="B1649" t="s">
        <v>787</v>
      </c>
      <c r="C1649" s="8">
        <v>46221</v>
      </c>
      <c r="D1649" t="s">
        <v>2065</v>
      </c>
      <c r="E1649" t="s">
        <v>2059</v>
      </c>
      <c r="F1649" t="s">
        <v>47</v>
      </c>
      <c r="G1649">
        <v>327.51</v>
      </c>
      <c r="H1649" t="s">
        <v>2060</v>
      </c>
      <c r="I1649" t="str">
        <f>VLOOKUP(B1649,Customers!A:G,7,FALSE)</f>
        <v>Student</v>
      </c>
      <c r="Q1649" t="str">
        <f>IF(COUNTIF(Customers!$A$2:$A$1001,B1649)&gt;0,"Valid","Invalid")</f>
        <v>Valid</v>
      </c>
      <c r="R1649" t="str">
        <f>IF(COUNTIF(Branches!$A$2:$A$11,F1649)&gt;0,"Valid","Invalid")</f>
        <v>Valid</v>
      </c>
    </row>
    <row r="1650" spans="1:18" x14ac:dyDescent="0.25">
      <c r="A1650" t="s">
        <v>3721</v>
      </c>
      <c r="B1650" t="s">
        <v>906</v>
      </c>
      <c r="C1650" s="8">
        <v>46220</v>
      </c>
      <c r="D1650" t="s">
        <v>2058</v>
      </c>
      <c r="E1650" t="s">
        <v>2063</v>
      </c>
      <c r="F1650" t="s">
        <v>47</v>
      </c>
      <c r="G1650">
        <v>1665.19</v>
      </c>
      <c r="H1650" t="s">
        <v>2060</v>
      </c>
      <c r="I1650" t="str">
        <f>VLOOKUP(B1650,Customers!A:G,7,FALSE)</f>
        <v>Individual</v>
      </c>
      <c r="Q1650" t="str">
        <f>IF(COUNTIF(Customers!$A$2:$A$1001,B1650)&gt;0,"Valid","Invalid")</f>
        <v>Valid</v>
      </c>
      <c r="R1650" t="str">
        <f>IF(COUNTIF(Branches!$A$2:$A$11,F1650)&gt;0,"Valid","Invalid")</f>
        <v>Valid</v>
      </c>
    </row>
    <row r="1651" spans="1:18" x14ac:dyDescent="0.25">
      <c r="A1651" t="s">
        <v>3722</v>
      </c>
      <c r="B1651" t="s">
        <v>869</v>
      </c>
      <c r="C1651" s="8">
        <v>46048</v>
      </c>
      <c r="D1651" t="s">
        <v>2062</v>
      </c>
      <c r="E1651" t="s">
        <v>2059</v>
      </c>
      <c r="F1651" t="s">
        <v>39</v>
      </c>
      <c r="G1651">
        <v>743.12</v>
      </c>
      <c r="H1651" t="s">
        <v>2060</v>
      </c>
      <c r="I1651" t="str">
        <f>VLOOKUP(B1651,Customers!A:G,7,FALSE)</f>
        <v>Individual</v>
      </c>
      <c r="Q1651" t="str">
        <f>IF(COUNTIF(Customers!$A$2:$A$1001,B1651)&gt;0,"Valid","Invalid")</f>
        <v>Valid</v>
      </c>
      <c r="R1651" t="str">
        <f>IF(COUNTIF(Branches!$A$2:$A$11,F1651)&gt;0,"Valid","Invalid")</f>
        <v>Valid</v>
      </c>
    </row>
    <row r="1652" spans="1:18" x14ac:dyDescent="0.25">
      <c r="A1652" t="s">
        <v>3723</v>
      </c>
      <c r="B1652" t="s">
        <v>85</v>
      </c>
      <c r="C1652" s="8">
        <v>46140</v>
      </c>
      <c r="D1652" t="s">
        <v>2067</v>
      </c>
      <c r="E1652" t="s">
        <v>2068</v>
      </c>
      <c r="F1652" t="s">
        <v>45</v>
      </c>
      <c r="G1652">
        <v>1866.92</v>
      </c>
      <c r="H1652" t="s">
        <v>2060</v>
      </c>
      <c r="I1652" t="str">
        <f>VLOOKUP(B1652,Customers!A:G,7,FALSE)</f>
        <v>Individual</v>
      </c>
      <c r="Q1652" t="str">
        <f>IF(COUNTIF(Customers!$A$2:$A$1001,B1652)&gt;0,"Valid","Invalid")</f>
        <v>Valid</v>
      </c>
      <c r="R1652" t="str">
        <f>IF(COUNTIF(Branches!$A$2:$A$11,F1652)&gt;0,"Valid","Invalid")</f>
        <v>Valid</v>
      </c>
    </row>
    <row r="1653" spans="1:18" x14ac:dyDescent="0.25">
      <c r="A1653" t="s">
        <v>3724</v>
      </c>
      <c r="B1653" t="s">
        <v>151</v>
      </c>
      <c r="C1653" s="8">
        <v>46023</v>
      </c>
      <c r="D1653" t="s">
        <v>2058</v>
      </c>
      <c r="E1653" t="s">
        <v>2063</v>
      </c>
      <c r="F1653" t="s">
        <v>11</v>
      </c>
      <c r="G1653">
        <v>1156.25</v>
      </c>
      <c r="H1653" t="s">
        <v>2060</v>
      </c>
      <c r="I1653" t="str">
        <f>VLOOKUP(B1653,Customers!A:G,7,FALSE)</f>
        <v>Individual</v>
      </c>
      <c r="Q1653" t="str">
        <f>IF(COUNTIF(Customers!$A$2:$A$1001,B1653)&gt;0,"Valid","Invalid")</f>
        <v>Valid</v>
      </c>
      <c r="R1653" t="str">
        <f>IF(COUNTIF(Branches!$A$2:$A$11,F1653)&gt;0,"Valid","Invalid")</f>
        <v>Valid</v>
      </c>
    </row>
    <row r="1654" spans="1:18" x14ac:dyDescent="0.25">
      <c r="A1654" t="s">
        <v>3725</v>
      </c>
      <c r="B1654" t="s">
        <v>191</v>
      </c>
      <c r="C1654" s="8">
        <v>46233</v>
      </c>
      <c r="D1654" t="s">
        <v>2062</v>
      </c>
      <c r="E1654" t="s">
        <v>2068</v>
      </c>
      <c r="F1654" t="s">
        <v>27</v>
      </c>
      <c r="G1654">
        <v>367.6</v>
      </c>
      <c r="H1654" t="s">
        <v>2115</v>
      </c>
      <c r="I1654" t="str">
        <f>VLOOKUP(B1654,Customers!A:G,7,FALSE)</f>
        <v>SME</v>
      </c>
      <c r="Q1654" t="str">
        <f>IF(COUNTIF(Customers!$A$2:$A$1001,B1654)&gt;0,"Valid","Invalid")</f>
        <v>Valid</v>
      </c>
      <c r="R1654" t="str">
        <f>IF(COUNTIF(Branches!$A$2:$A$11,F1654)&gt;0,"Valid","Invalid")</f>
        <v>Valid</v>
      </c>
    </row>
    <row r="1655" spans="1:18" x14ac:dyDescent="0.25">
      <c r="A1655" t="s">
        <v>3726</v>
      </c>
      <c r="B1655" t="s">
        <v>687</v>
      </c>
      <c r="C1655" s="8">
        <v>46029</v>
      </c>
      <c r="D1655" t="s">
        <v>2062</v>
      </c>
      <c r="E1655" t="s">
        <v>2059</v>
      </c>
      <c r="F1655" t="s">
        <v>39</v>
      </c>
      <c r="G1655">
        <v>2378.77</v>
      </c>
      <c r="H1655" t="s">
        <v>2060</v>
      </c>
      <c r="I1655" t="str">
        <f>VLOOKUP(B1655,Customers!A:G,7,FALSE)</f>
        <v>Individual</v>
      </c>
      <c r="Q1655" t="str">
        <f>IF(COUNTIF(Customers!$A$2:$A$1001,B1655)&gt;0,"Valid","Invalid")</f>
        <v>Valid</v>
      </c>
      <c r="R1655" t="str">
        <f>IF(COUNTIF(Branches!$A$2:$A$11,F1655)&gt;0,"Valid","Invalid")</f>
        <v>Valid</v>
      </c>
    </row>
    <row r="1656" spans="1:18" x14ac:dyDescent="0.25">
      <c r="A1656" t="s">
        <v>3727</v>
      </c>
      <c r="B1656" t="s">
        <v>541</v>
      </c>
      <c r="C1656" s="8">
        <v>46186</v>
      </c>
      <c r="D1656" t="s">
        <v>2058</v>
      </c>
      <c r="E1656" t="s">
        <v>2073</v>
      </c>
      <c r="F1656" t="s">
        <v>29</v>
      </c>
      <c r="G1656">
        <v>339.95</v>
      </c>
      <c r="H1656" t="s">
        <v>2060</v>
      </c>
      <c r="I1656" t="str">
        <f>VLOOKUP(B1656,Customers!A:G,7,FALSE)</f>
        <v>Individual</v>
      </c>
      <c r="Q1656" t="str">
        <f>IF(COUNTIF(Customers!$A$2:$A$1001,B1656)&gt;0,"Valid","Invalid")</f>
        <v>Valid</v>
      </c>
      <c r="R1656" t="str">
        <f>IF(COUNTIF(Branches!$A$2:$A$11,F1656)&gt;0,"Valid","Invalid")</f>
        <v>Valid</v>
      </c>
    </row>
    <row r="1657" spans="1:18" x14ac:dyDescent="0.25">
      <c r="A1657" t="s">
        <v>3728</v>
      </c>
      <c r="B1657" t="s">
        <v>717</v>
      </c>
      <c r="C1657" s="8">
        <v>46098</v>
      </c>
      <c r="D1657" t="s">
        <v>2067</v>
      </c>
      <c r="E1657" t="s">
        <v>2063</v>
      </c>
      <c r="F1657" t="s">
        <v>11</v>
      </c>
      <c r="G1657">
        <v>1518.27</v>
      </c>
      <c r="H1657" t="s">
        <v>2060</v>
      </c>
      <c r="I1657" t="str">
        <f>VLOOKUP(B1657,Customers!A:G,7,FALSE)</f>
        <v>Individual</v>
      </c>
      <c r="Q1657" t="str">
        <f>IF(COUNTIF(Customers!$A$2:$A$1001,B1657)&gt;0,"Valid","Invalid")</f>
        <v>Valid</v>
      </c>
      <c r="R1657" t="str">
        <f>IF(COUNTIF(Branches!$A$2:$A$11,F1657)&gt;0,"Valid","Invalid")</f>
        <v>Valid</v>
      </c>
    </row>
    <row r="1658" spans="1:18" x14ac:dyDescent="0.25">
      <c r="A1658" t="s">
        <v>3729</v>
      </c>
      <c r="B1658" t="s">
        <v>871</v>
      </c>
      <c r="C1658" s="8">
        <v>46234</v>
      </c>
      <c r="D1658" t="s">
        <v>2070</v>
      </c>
      <c r="E1658" t="s">
        <v>2073</v>
      </c>
      <c r="F1658" t="s">
        <v>21</v>
      </c>
      <c r="G1658">
        <v>2926.64</v>
      </c>
      <c r="H1658" t="s">
        <v>2060</v>
      </c>
      <c r="I1658" t="str">
        <f>VLOOKUP(B1658,Customers!A:G,7,FALSE)</f>
        <v>Individual</v>
      </c>
      <c r="Q1658" t="str">
        <f>IF(COUNTIF(Customers!$A$2:$A$1001,B1658)&gt;0,"Valid","Invalid")</f>
        <v>Valid</v>
      </c>
      <c r="R1658" t="str">
        <f>IF(COUNTIF(Branches!$A$2:$A$11,F1658)&gt;0,"Valid","Invalid")</f>
        <v>Valid</v>
      </c>
    </row>
    <row r="1659" spans="1:18" x14ac:dyDescent="0.25">
      <c r="A1659" t="s">
        <v>3730</v>
      </c>
      <c r="B1659" t="s">
        <v>749</v>
      </c>
      <c r="C1659" s="8">
        <v>46109</v>
      </c>
      <c r="D1659" t="s">
        <v>2058</v>
      </c>
      <c r="E1659" t="s">
        <v>2076</v>
      </c>
      <c r="F1659" t="s">
        <v>39</v>
      </c>
      <c r="G1659">
        <v>553.03</v>
      </c>
      <c r="H1659" t="s">
        <v>2060</v>
      </c>
      <c r="I1659" t="str">
        <f>VLOOKUP(B1659,Customers!A:G,7,FALSE)</f>
        <v>Individual</v>
      </c>
      <c r="Q1659" t="str">
        <f>IF(COUNTIF(Customers!$A$2:$A$1001,B1659)&gt;0,"Valid","Invalid")</f>
        <v>Valid</v>
      </c>
      <c r="R1659" t="str">
        <f>IF(COUNTIF(Branches!$A$2:$A$11,F1659)&gt;0,"Valid","Invalid")</f>
        <v>Valid</v>
      </c>
    </row>
    <row r="1660" spans="1:18" x14ac:dyDescent="0.25">
      <c r="A1660" t="s">
        <v>3731</v>
      </c>
      <c r="B1660" t="s">
        <v>1024</v>
      </c>
      <c r="C1660" s="8">
        <v>46175</v>
      </c>
      <c r="D1660" t="s">
        <v>2062</v>
      </c>
      <c r="E1660" t="s">
        <v>2059</v>
      </c>
      <c r="F1660" t="s">
        <v>29</v>
      </c>
      <c r="G1660">
        <v>2581.16</v>
      </c>
      <c r="H1660" t="s">
        <v>2060</v>
      </c>
      <c r="I1660" t="str">
        <f>VLOOKUP(B1660,Customers!A:G,7,FALSE)</f>
        <v>Student</v>
      </c>
      <c r="Q1660" t="str">
        <f>IF(COUNTIF(Customers!$A$2:$A$1001,B1660)&gt;0,"Valid","Invalid")</f>
        <v>Valid</v>
      </c>
      <c r="R1660" t="str">
        <f>IF(COUNTIF(Branches!$A$2:$A$11,F1660)&gt;0,"Valid","Invalid")</f>
        <v>Valid</v>
      </c>
    </row>
    <row r="1661" spans="1:18" x14ac:dyDescent="0.25">
      <c r="A1661" t="s">
        <v>3732</v>
      </c>
      <c r="B1661" t="s">
        <v>107</v>
      </c>
      <c r="C1661" s="8">
        <v>46116</v>
      </c>
      <c r="D1661" t="s">
        <v>2067</v>
      </c>
      <c r="E1661" t="s">
        <v>2059</v>
      </c>
      <c r="F1661" t="s">
        <v>47</v>
      </c>
      <c r="G1661">
        <v>1209.08</v>
      </c>
      <c r="H1661" t="s">
        <v>2060</v>
      </c>
      <c r="I1661" t="str">
        <f>VLOOKUP(B1661,Customers!A:G,7,FALSE)</f>
        <v>SME</v>
      </c>
      <c r="Q1661" t="str">
        <f>IF(COUNTIF(Customers!$A$2:$A$1001,B1661)&gt;0,"Valid","Invalid")</f>
        <v>Valid</v>
      </c>
      <c r="R1661" t="str">
        <f>IF(COUNTIF(Branches!$A$2:$A$11,F1661)&gt;0,"Valid","Invalid")</f>
        <v>Valid</v>
      </c>
    </row>
    <row r="1662" spans="1:18" x14ac:dyDescent="0.25">
      <c r="A1662" t="s">
        <v>3733</v>
      </c>
      <c r="B1662" t="s">
        <v>557</v>
      </c>
      <c r="C1662" s="8">
        <v>46209</v>
      </c>
      <c r="D1662" t="s">
        <v>2058</v>
      </c>
      <c r="E1662" t="s">
        <v>2063</v>
      </c>
      <c r="F1662" t="s">
        <v>39</v>
      </c>
      <c r="G1662">
        <v>1904.44</v>
      </c>
      <c r="H1662" t="s">
        <v>2060</v>
      </c>
      <c r="I1662" t="str">
        <f>VLOOKUP(B1662,Customers!A:G,7,FALSE)</f>
        <v>Individual</v>
      </c>
      <c r="Q1662" t="str">
        <f>IF(COUNTIF(Customers!$A$2:$A$1001,B1662)&gt;0,"Valid","Invalid")</f>
        <v>Valid</v>
      </c>
      <c r="R1662" t="str">
        <f>IF(COUNTIF(Branches!$A$2:$A$11,F1662)&gt;0,"Valid","Invalid")</f>
        <v>Valid</v>
      </c>
    </row>
    <row r="1663" spans="1:18" x14ac:dyDescent="0.25">
      <c r="A1663" t="s">
        <v>3734</v>
      </c>
      <c r="B1663" t="s">
        <v>750</v>
      </c>
      <c r="C1663" s="8">
        <v>46083</v>
      </c>
      <c r="D1663" t="s">
        <v>2065</v>
      </c>
      <c r="E1663" t="s">
        <v>2073</v>
      </c>
      <c r="F1663" t="s">
        <v>47</v>
      </c>
      <c r="G1663">
        <v>351.86</v>
      </c>
      <c r="H1663" t="s">
        <v>2060</v>
      </c>
      <c r="I1663" t="str">
        <f>VLOOKUP(B1663,Customers!A:G,7,FALSE)</f>
        <v>Individual</v>
      </c>
      <c r="Q1663" t="str">
        <f>IF(COUNTIF(Customers!$A$2:$A$1001,B1663)&gt;0,"Valid","Invalid")</f>
        <v>Valid</v>
      </c>
      <c r="R1663" t="str">
        <f>IF(COUNTIF(Branches!$A$2:$A$11,F1663)&gt;0,"Valid","Invalid")</f>
        <v>Valid</v>
      </c>
    </row>
    <row r="1664" spans="1:18" x14ac:dyDescent="0.25">
      <c r="A1664" t="s">
        <v>3735</v>
      </c>
      <c r="B1664" t="s">
        <v>374</v>
      </c>
      <c r="C1664" s="8">
        <v>46051</v>
      </c>
      <c r="D1664" t="s">
        <v>2065</v>
      </c>
      <c r="E1664" t="s">
        <v>2076</v>
      </c>
      <c r="F1664" t="s">
        <v>45</v>
      </c>
      <c r="G1664">
        <v>1006.57</v>
      </c>
      <c r="H1664" t="s">
        <v>2060</v>
      </c>
      <c r="I1664" t="str">
        <f>VLOOKUP(B1664,Customers!A:G,7,FALSE)</f>
        <v>Individual</v>
      </c>
      <c r="Q1664" t="str">
        <f>IF(COUNTIF(Customers!$A$2:$A$1001,B1664)&gt;0,"Valid","Invalid")</f>
        <v>Valid</v>
      </c>
      <c r="R1664" t="str">
        <f>IF(COUNTIF(Branches!$A$2:$A$11,F1664)&gt;0,"Valid","Invalid")</f>
        <v>Valid</v>
      </c>
    </row>
    <row r="1665" spans="1:18" x14ac:dyDescent="0.25">
      <c r="A1665" t="s">
        <v>3736</v>
      </c>
      <c r="B1665" t="s">
        <v>103</v>
      </c>
      <c r="C1665" s="8">
        <v>46117</v>
      </c>
      <c r="D1665" t="s">
        <v>2062</v>
      </c>
      <c r="E1665" t="s">
        <v>2063</v>
      </c>
      <c r="F1665" t="s">
        <v>29</v>
      </c>
      <c r="G1665">
        <v>198.72</v>
      </c>
      <c r="H1665" t="s">
        <v>2060</v>
      </c>
      <c r="I1665" t="str">
        <f>VLOOKUP(B1665,Customers!A:G,7,FALSE)</f>
        <v>SME</v>
      </c>
      <c r="Q1665" t="str">
        <f>IF(COUNTIF(Customers!$A$2:$A$1001,B1665)&gt;0,"Valid","Invalid")</f>
        <v>Valid</v>
      </c>
      <c r="R1665" t="str">
        <f>IF(COUNTIF(Branches!$A$2:$A$11,F1665)&gt;0,"Valid","Invalid")</f>
        <v>Valid</v>
      </c>
    </row>
    <row r="1666" spans="1:18" x14ac:dyDescent="0.25">
      <c r="A1666" t="s">
        <v>3737</v>
      </c>
      <c r="B1666" t="s">
        <v>531</v>
      </c>
      <c r="C1666" s="8">
        <v>46040</v>
      </c>
      <c r="D1666" t="s">
        <v>2058</v>
      </c>
      <c r="E1666" t="s">
        <v>2063</v>
      </c>
      <c r="F1666" t="s">
        <v>47</v>
      </c>
      <c r="G1666">
        <v>4497.6099999999997</v>
      </c>
      <c r="H1666" t="s">
        <v>2060</v>
      </c>
      <c r="I1666" t="str">
        <f>VLOOKUP(B1666,Customers!A:G,7,FALSE)</f>
        <v>Individual</v>
      </c>
      <c r="Q1666" t="str">
        <f>IF(COUNTIF(Customers!$A$2:$A$1001,B1666)&gt;0,"Valid","Invalid")</f>
        <v>Valid</v>
      </c>
      <c r="R1666" t="str">
        <f>IF(COUNTIF(Branches!$A$2:$A$11,F1666)&gt;0,"Valid","Invalid")</f>
        <v>Valid</v>
      </c>
    </row>
    <row r="1667" spans="1:18" x14ac:dyDescent="0.25">
      <c r="A1667" t="s">
        <v>3738</v>
      </c>
      <c r="B1667" t="s">
        <v>688</v>
      </c>
      <c r="C1667" s="8">
        <v>46063</v>
      </c>
      <c r="D1667" t="s">
        <v>2058</v>
      </c>
      <c r="E1667" t="s">
        <v>2063</v>
      </c>
      <c r="F1667" t="s">
        <v>11</v>
      </c>
      <c r="G1667">
        <v>108.42</v>
      </c>
      <c r="H1667" t="s">
        <v>2060</v>
      </c>
      <c r="I1667" t="str">
        <f>VLOOKUP(B1667,Customers!A:G,7,FALSE)</f>
        <v>Corporate</v>
      </c>
      <c r="Q1667" t="str">
        <f>IF(COUNTIF(Customers!$A$2:$A$1001,B1667)&gt;0,"Valid","Invalid")</f>
        <v>Valid</v>
      </c>
      <c r="R1667" t="str">
        <f>IF(COUNTIF(Branches!$A$2:$A$11,F1667)&gt;0,"Valid","Invalid")</f>
        <v>Valid</v>
      </c>
    </row>
    <row r="1668" spans="1:18" x14ac:dyDescent="0.25">
      <c r="A1668" t="s">
        <v>3739</v>
      </c>
      <c r="B1668" t="s">
        <v>792</v>
      </c>
      <c r="C1668" s="8">
        <v>46169</v>
      </c>
      <c r="D1668" t="s">
        <v>2065</v>
      </c>
      <c r="E1668" t="s">
        <v>2076</v>
      </c>
      <c r="F1668" t="s">
        <v>35</v>
      </c>
      <c r="G1668">
        <v>569.78</v>
      </c>
      <c r="H1668" t="s">
        <v>2060</v>
      </c>
      <c r="I1668" t="str">
        <f>VLOOKUP(B1668,Customers!A:G,7,FALSE)</f>
        <v>SME</v>
      </c>
      <c r="Q1668" t="str">
        <f>IF(COUNTIF(Customers!$A$2:$A$1001,B1668)&gt;0,"Valid","Invalid")</f>
        <v>Valid</v>
      </c>
      <c r="R1668" t="str">
        <f>IF(COUNTIF(Branches!$A$2:$A$11,F1668)&gt;0,"Valid","Invalid")</f>
        <v>Valid</v>
      </c>
    </row>
    <row r="1669" spans="1:18" x14ac:dyDescent="0.25">
      <c r="A1669" t="s">
        <v>3740</v>
      </c>
      <c r="B1669" t="s">
        <v>1005</v>
      </c>
      <c r="C1669" s="8">
        <v>46154</v>
      </c>
      <c r="D1669" t="s">
        <v>2058</v>
      </c>
      <c r="E1669" t="s">
        <v>2076</v>
      </c>
      <c r="F1669" t="s">
        <v>45</v>
      </c>
      <c r="G1669">
        <v>319.99</v>
      </c>
      <c r="H1669" t="s">
        <v>2060</v>
      </c>
      <c r="I1669" t="str">
        <f>VLOOKUP(B1669,Customers!A:G,7,FALSE)</f>
        <v>SME</v>
      </c>
      <c r="Q1669" t="str">
        <f>IF(COUNTIF(Customers!$A$2:$A$1001,B1669)&gt;0,"Valid","Invalid")</f>
        <v>Valid</v>
      </c>
      <c r="R1669" t="str">
        <f>IF(COUNTIF(Branches!$A$2:$A$11,F1669)&gt;0,"Valid","Invalid")</f>
        <v>Valid</v>
      </c>
    </row>
    <row r="1670" spans="1:18" x14ac:dyDescent="0.25">
      <c r="A1670" t="s">
        <v>3741</v>
      </c>
      <c r="B1670" t="s">
        <v>250</v>
      </c>
      <c r="C1670" s="8">
        <v>46215</v>
      </c>
      <c r="D1670" t="s">
        <v>2067</v>
      </c>
      <c r="E1670" t="s">
        <v>2059</v>
      </c>
      <c r="F1670" t="s">
        <v>35</v>
      </c>
      <c r="G1670">
        <v>1595.11</v>
      </c>
      <c r="H1670" t="s">
        <v>2060</v>
      </c>
      <c r="I1670" t="str">
        <f>VLOOKUP(B1670,Customers!A:G,7,FALSE)</f>
        <v>Individual</v>
      </c>
      <c r="Q1670" t="str">
        <f>IF(COUNTIF(Customers!$A$2:$A$1001,B1670)&gt;0,"Valid","Invalid")</f>
        <v>Valid</v>
      </c>
      <c r="R1670" t="str">
        <f>IF(COUNTIF(Branches!$A$2:$A$11,F1670)&gt;0,"Valid","Invalid")</f>
        <v>Valid</v>
      </c>
    </row>
    <row r="1671" spans="1:18" x14ac:dyDescent="0.25">
      <c r="A1671" t="s">
        <v>3742</v>
      </c>
      <c r="B1671" t="s">
        <v>218</v>
      </c>
      <c r="C1671" s="8">
        <v>46063</v>
      </c>
      <c r="D1671" t="s">
        <v>2058</v>
      </c>
      <c r="E1671" t="s">
        <v>2063</v>
      </c>
      <c r="F1671" t="s">
        <v>53</v>
      </c>
      <c r="G1671">
        <v>5563.3</v>
      </c>
      <c r="H1671" t="s">
        <v>2060</v>
      </c>
      <c r="I1671" t="str">
        <f>VLOOKUP(B1671,Customers!A:G,7,FALSE)</f>
        <v>Student</v>
      </c>
      <c r="Q1671" t="str">
        <f>IF(COUNTIF(Customers!$A$2:$A$1001,B1671)&gt;0,"Valid","Invalid")</f>
        <v>Valid</v>
      </c>
      <c r="R1671" t="str">
        <f>IF(COUNTIF(Branches!$A$2:$A$11,F1671)&gt;0,"Valid","Invalid")</f>
        <v>Valid</v>
      </c>
    </row>
    <row r="1672" spans="1:18" x14ac:dyDescent="0.25">
      <c r="A1672" t="s">
        <v>3743</v>
      </c>
      <c r="B1672" t="s">
        <v>804</v>
      </c>
      <c r="C1672" s="8">
        <v>46145</v>
      </c>
      <c r="D1672" t="s">
        <v>2067</v>
      </c>
      <c r="E1672" t="s">
        <v>2059</v>
      </c>
      <c r="F1672" t="s">
        <v>45</v>
      </c>
      <c r="G1672">
        <v>1563.86</v>
      </c>
      <c r="H1672" t="s">
        <v>2060</v>
      </c>
      <c r="I1672" t="str">
        <f>VLOOKUP(B1672,Customers!A:G,7,FALSE)</f>
        <v>Individual</v>
      </c>
      <c r="Q1672" t="str">
        <f>IF(COUNTIF(Customers!$A$2:$A$1001,B1672)&gt;0,"Valid","Invalid")</f>
        <v>Valid</v>
      </c>
      <c r="R1672" t="str">
        <f>IF(COUNTIF(Branches!$A$2:$A$11,F1672)&gt;0,"Valid","Invalid")</f>
        <v>Valid</v>
      </c>
    </row>
    <row r="1673" spans="1:18" x14ac:dyDescent="0.25">
      <c r="A1673" t="s">
        <v>3744</v>
      </c>
      <c r="B1673" t="s">
        <v>651</v>
      </c>
      <c r="C1673" s="8">
        <v>46165</v>
      </c>
      <c r="D1673" t="s">
        <v>2062</v>
      </c>
      <c r="E1673" t="s">
        <v>2059</v>
      </c>
      <c r="F1673" t="s">
        <v>35</v>
      </c>
      <c r="G1673">
        <v>15697.92</v>
      </c>
      <c r="H1673" t="s">
        <v>2060</v>
      </c>
      <c r="I1673" t="str">
        <f>VLOOKUP(B1673,Customers!A:G,7,FALSE)</f>
        <v>SME</v>
      </c>
      <c r="Q1673" t="str">
        <f>IF(COUNTIF(Customers!$A$2:$A$1001,B1673)&gt;0,"Valid","Invalid")</f>
        <v>Valid</v>
      </c>
      <c r="R1673" t="str">
        <f>IF(COUNTIF(Branches!$A$2:$A$11,F1673)&gt;0,"Valid","Invalid")</f>
        <v>Valid</v>
      </c>
    </row>
    <row r="1674" spans="1:18" x14ac:dyDescent="0.25">
      <c r="A1674" t="s">
        <v>3745</v>
      </c>
      <c r="B1674" t="s">
        <v>901</v>
      </c>
      <c r="C1674" s="8">
        <v>46204</v>
      </c>
      <c r="D1674" t="s">
        <v>2062</v>
      </c>
      <c r="E1674" t="s">
        <v>2063</v>
      </c>
      <c r="F1674" t="s">
        <v>11</v>
      </c>
      <c r="G1674">
        <v>204.81</v>
      </c>
      <c r="H1674" t="s">
        <v>2060</v>
      </c>
      <c r="I1674" t="str">
        <f>VLOOKUP(B1674,Customers!A:G,7,FALSE)</f>
        <v>SME</v>
      </c>
      <c r="Q1674" t="str">
        <f>IF(COUNTIF(Customers!$A$2:$A$1001,B1674)&gt;0,"Valid","Invalid")</f>
        <v>Valid</v>
      </c>
      <c r="R1674" t="str">
        <f>IF(COUNTIF(Branches!$A$2:$A$11,F1674)&gt;0,"Valid","Invalid")</f>
        <v>Valid</v>
      </c>
    </row>
    <row r="1675" spans="1:18" x14ac:dyDescent="0.25">
      <c r="A1675" t="s">
        <v>3746</v>
      </c>
      <c r="B1675" t="s">
        <v>637</v>
      </c>
      <c r="C1675" s="8">
        <v>46214</v>
      </c>
      <c r="D1675" t="s">
        <v>2065</v>
      </c>
      <c r="E1675" t="s">
        <v>2063</v>
      </c>
      <c r="F1675" t="s">
        <v>16</v>
      </c>
      <c r="G1675">
        <v>221.14</v>
      </c>
      <c r="H1675" t="s">
        <v>2060</v>
      </c>
      <c r="I1675" t="str">
        <f>VLOOKUP(B1675,Customers!A:G,7,FALSE)</f>
        <v>Individual</v>
      </c>
      <c r="Q1675" t="str">
        <f>IF(COUNTIF(Customers!$A$2:$A$1001,B1675)&gt;0,"Valid","Invalid")</f>
        <v>Valid</v>
      </c>
      <c r="R1675" t="str">
        <f>IF(COUNTIF(Branches!$A$2:$A$11,F1675)&gt;0,"Valid","Invalid")</f>
        <v>Valid</v>
      </c>
    </row>
    <row r="1676" spans="1:18" x14ac:dyDescent="0.25">
      <c r="A1676" t="s">
        <v>3747</v>
      </c>
      <c r="B1676" t="s">
        <v>735</v>
      </c>
      <c r="C1676" s="8">
        <v>46222</v>
      </c>
      <c r="D1676" t="s">
        <v>2067</v>
      </c>
      <c r="E1676" t="s">
        <v>2063</v>
      </c>
      <c r="F1676" t="s">
        <v>35</v>
      </c>
      <c r="G1676">
        <v>332.58</v>
      </c>
      <c r="H1676" t="s">
        <v>2060</v>
      </c>
      <c r="I1676" t="str">
        <f>VLOOKUP(B1676,Customers!A:G,7,FALSE)</f>
        <v>Individual</v>
      </c>
      <c r="Q1676" t="str">
        <f>IF(COUNTIF(Customers!$A$2:$A$1001,B1676)&gt;0,"Valid","Invalid")</f>
        <v>Valid</v>
      </c>
      <c r="R1676" t="str">
        <f>IF(COUNTIF(Branches!$A$2:$A$11,F1676)&gt;0,"Valid","Invalid")</f>
        <v>Valid</v>
      </c>
    </row>
    <row r="1677" spans="1:18" x14ac:dyDescent="0.25">
      <c r="A1677" t="s">
        <v>3748</v>
      </c>
      <c r="B1677" t="s">
        <v>641</v>
      </c>
      <c r="C1677" s="8">
        <v>46165</v>
      </c>
      <c r="D1677" t="s">
        <v>2058</v>
      </c>
      <c r="E1677" t="s">
        <v>2073</v>
      </c>
      <c r="F1677" t="s">
        <v>16</v>
      </c>
      <c r="G1677">
        <v>917.13</v>
      </c>
      <c r="H1677" t="s">
        <v>2115</v>
      </c>
      <c r="I1677" t="str">
        <f>VLOOKUP(B1677,Customers!A:G,7,FALSE)</f>
        <v>Individual</v>
      </c>
      <c r="Q1677" t="str">
        <f>IF(COUNTIF(Customers!$A$2:$A$1001,B1677)&gt;0,"Valid","Invalid")</f>
        <v>Valid</v>
      </c>
      <c r="R1677" t="str">
        <f>IF(COUNTIF(Branches!$A$2:$A$11,F1677)&gt;0,"Valid","Invalid")</f>
        <v>Valid</v>
      </c>
    </row>
    <row r="1678" spans="1:18" x14ac:dyDescent="0.25">
      <c r="A1678" t="s">
        <v>3749</v>
      </c>
      <c r="B1678" t="s">
        <v>286</v>
      </c>
      <c r="C1678" s="8">
        <v>46229</v>
      </c>
      <c r="D1678" t="s">
        <v>2058</v>
      </c>
      <c r="E1678" t="s">
        <v>2076</v>
      </c>
      <c r="F1678" t="s">
        <v>35</v>
      </c>
      <c r="G1678">
        <v>290.93</v>
      </c>
      <c r="H1678" t="s">
        <v>2060</v>
      </c>
      <c r="I1678" t="str">
        <f>VLOOKUP(B1678,Customers!A:G,7,FALSE)</f>
        <v>Student</v>
      </c>
      <c r="Q1678" t="str">
        <f>IF(COUNTIF(Customers!$A$2:$A$1001,B1678)&gt;0,"Valid","Invalid")</f>
        <v>Valid</v>
      </c>
      <c r="R1678" t="str">
        <f>IF(COUNTIF(Branches!$A$2:$A$11,F1678)&gt;0,"Valid","Invalid")</f>
        <v>Valid</v>
      </c>
    </row>
    <row r="1679" spans="1:18" x14ac:dyDescent="0.25">
      <c r="A1679" t="s">
        <v>3750</v>
      </c>
      <c r="B1679" t="s">
        <v>251</v>
      </c>
      <c r="C1679" s="8">
        <v>46200</v>
      </c>
      <c r="D1679" t="s">
        <v>2062</v>
      </c>
      <c r="E1679" t="s">
        <v>2073</v>
      </c>
      <c r="F1679" t="s">
        <v>21</v>
      </c>
      <c r="G1679">
        <v>383.12</v>
      </c>
      <c r="H1679" t="s">
        <v>2060</v>
      </c>
      <c r="I1679" t="str">
        <f>VLOOKUP(B1679,Customers!A:G,7,FALSE)</f>
        <v>Individual</v>
      </c>
      <c r="Q1679" t="str">
        <f>IF(COUNTIF(Customers!$A$2:$A$1001,B1679)&gt;0,"Valid","Invalid")</f>
        <v>Valid</v>
      </c>
      <c r="R1679" t="str">
        <f>IF(COUNTIF(Branches!$A$2:$A$11,F1679)&gt;0,"Valid","Invalid")</f>
        <v>Valid</v>
      </c>
    </row>
    <row r="1680" spans="1:18" x14ac:dyDescent="0.25">
      <c r="A1680" t="s">
        <v>3751</v>
      </c>
      <c r="B1680" t="s">
        <v>397</v>
      </c>
      <c r="C1680" s="8">
        <v>46253</v>
      </c>
      <c r="D1680" t="s">
        <v>2058</v>
      </c>
      <c r="E1680" t="s">
        <v>2063</v>
      </c>
      <c r="F1680" t="s">
        <v>16</v>
      </c>
      <c r="G1680">
        <v>1510.93</v>
      </c>
      <c r="H1680" t="s">
        <v>2060</v>
      </c>
      <c r="I1680" t="str">
        <f>VLOOKUP(B1680,Customers!A:G,7,FALSE)</f>
        <v>Individual</v>
      </c>
      <c r="Q1680" t="str">
        <f>IF(COUNTIF(Customers!$A$2:$A$1001,B1680)&gt;0,"Valid","Invalid")</f>
        <v>Valid</v>
      </c>
      <c r="R1680" t="str">
        <f>IF(COUNTIF(Branches!$A$2:$A$11,F1680)&gt;0,"Valid","Invalid")</f>
        <v>Valid</v>
      </c>
    </row>
    <row r="1681" spans="1:18" x14ac:dyDescent="0.25">
      <c r="A1681" t="s">
        <v>3752</v>
      </c>
      <c r="B1681" t="s">
        <v>287</v>
      </c>
      <c r="C1681" s="8">
        <v>46044</v>
      </c>
      <c r="D1681" t="s">
        <v>2067</v>
      </c>
      <c r="E1681" t="s">
        <v>2068</v>
      </c>
      <c r="F1681" t="s">
        <v>53</v>
      </c>
      <c r="G1681">
        <v>235.29</v>
      </c>
      <c r="H1681" t="s">
        <v>2060</v>
      </c>
      <c r="I1681" t="str">
        <f>VLOOKUP(B1681,Customers!A:G,7,FALSE)</f>
        <v>Individual</v>
      </c>
      <c r="Q1681" t="str">
        <f>IF(COUNTIF(Customers!$A$2:$A$1001,B1681)&gt;0,"Valid","Invalid")</f>
        <v>Valid</v>
      </c>
      <c r="R1681" t="str">
        <f>IF(COUNTIF(Branches!$A$2:$A$11,F1681)&gt;0,"Valid","Invalid")</f>
        <v>Valid</v>
      </c>
    </row>
    <row r="1682" spans="1:18" x14ac:dyDescent="0.25">
      <c r="A1682" t="s">
        <v>3753</v>
      </c>
      <c r="B1682" t="s">
        <v>676</v>
      </c>
      <c r="C1682" s="8">
        <v>46168</v>
      </c>
      <c r="D1682" t="s">
        <v>2067</v>
      </c>
      <c r="E1682" t="s">
        <v>2076</v>
      </c>
      <c r="F1682" t="s">
        <v>45</v>
      </c>
      <c r="G1682">
        <v>261.60000000000002</v>
      </c>
      <c r="H1682" t="s">
        <v>2060</v>
      </c>
      <c r="I1682" t="str">
        <f>VLOOKUP(B1682,Customers!A:G,7,FALSE)</f>
        <v>Individual</v>
      </c>
      <c r="Q1682" t="str">
        <f>IF(COUNTIF(Customers!$A$2:$A$1001,B1682)&gt;0,"Valid","Invalid")</f>
        <v>Valid</v>
      </c>
      <c r="R1682" t="str">
        <f>IF(COUNTIF(Branches!$A$2:$A$11,F1682)&gt;0,"Valid","Invalid")</f>
        <v>Valid</v>
      </c>
    </row>
    <row r="1683" spans="1:18" x14ac:dyDescent="0.25">
      <c r="A1683" t="s">
        <v>3754</v>
      </c>
      <c r="B1683" t="s">
        <v>961</v>
      </c>
      <c r="C1683" s="8">
        <v>46102</v>
      </c>
      <c r="D1683" t="s">
        <v>2065</v>
      </c>
      <c r="E1683" t="s">
        <v>2059</v>
      </c>
      <c r="F1683" t="s">
        <v>47</v>
      </c>
      <c r="G1683">
        <v>545.37</v>
      </c>
      <c r="H1683" t="s">
        <v>2060</v>
      </c>
      <c r="I1683" t="str">
        <f>VLOOKUP(B1683,Customers!A:G,7,FALSE)</f>
        <v>SME</v>
      </c>
      <c r="Q1683" t="str">
        <f>IF(COUNTIF(Customers!$A$2:$A$1001,B1683)&gt;0,"Valid","Invalid")</f>
        <v>Valid</v>
      </c>
      <c r="R1683" t="str">
        <f>IF(COUNTIF(Branches!$A$2:$A$11,F1683)&gt;0,"Valid","Invalid")</f>
        <v>Valid</v>
      </c>
    </row>
    <row r="1684" spans="1:18" x14ac:dyDescent="0.25">
      <c r="A1684" t="s">
        <v>3755</v>
      </c>
      <c r="B1684" t="s">
        <v>988</v>
      </c>
      <c r="C1684" s="8">
        <v>46152</v>
      </c>
      <c r="D1684" t="s">
        <v>2065</v>
      </c>
      <c r="E1684" t="s">
        <v>2063</v>
      </c>
      <c r="F1684" t="s">
        <v>21</v>
      </c>
      <c r="G1684">
        <v>599.17999999999995</v>
      </c>
      <c r="H1684" t="s">
        <v>2060</v>
      </c>
      <c r="I1684" t="str">
        <f>VLOOKUP(B1684,Customers!A:G,7,FALSE)</f>
        <v>Individual</v>
      </c>
      <c r="Q1684" t="str">
        <f>IF(COUNTIF(Customers!$A$2:$A$1001,B1684)&gt;0,"Valid","Invalid")</f>
        <v>Valid</v>
      </c>
      <c r="R1684" t="str">
        <f>IF(COUNTIF(Branches!$A$2:$A$11,F1684)&gt;0,"Valid","Invalid")</f>
        <v>Valid</v>
      </c>
    </row>
    <row r="1685" spans="1:18" x14ac:dyDescent="0.25">
      <c r="A1685" t="s">
        <v>3756</v>
      </c>
      <c r="B1685" t="s">
        <v>919</v>
      </c>
      <c r="C1685" s="8">
        <v>46058</v>
      </c>
      <c r="D1685" t="s">
        <v>2058</v>
      </c>
      <c r="E1685" t="s">
        <v>2076</v>
      </c>
      <c r="F1685" t="s">
        <v>45</v>
      </c>
      <c r="G1685">
        <v>2230.58</v>
      </c>
      <c r="H1685" t="s">
        <v>2060</v>
      </c>
      <c r="I1685" t="str">
        <f>VLOOKUP(B1685,Customers!A:G,7,FALSE)</f>
        <v>Individual</v>
      </c>
      <c r="Q1685" t="str">
        <f>IF(COUNTIF(Customers!$A$2:$A$1001,B1685)&gt;0,"Valid","Invalid")</f>
        <v>Valid</v>
      </c>
      <c r="R1685" t="str">
        <f>IF(COUNTIF(Branches!$A$2:$A$11,F1685)&gt;0,"Valid","Invalid")</f>
        <v>Valid</v>
      </c>
    </row>
    <row r="1686" spans="1:18" x14ac:dyDescent="0.25">
      <c r="A1686" t="s">
        <v>3757</v>
      </c>
      <c r="B1686" t="s">
        <v>554</v>
      </c>
      <c r="C1686" s="8">
        <v>46042</v>
      </c>
      <c r="D1686" t="s">
        <v>2065</v>
      </c>
      <c r="E1686" t="s">
        <v>2073</v>
      </c>
      <c r="F1686" t="s">
        <v>21</v>
      </c>
      <c r="G1686">
        <v>330.09</v>
      </c>
      <c r="H1686" t="s">
        <v>2115</v>
      </c>
      <c r="I1686" t="str">
        <f>VLOOKUP(B1686,Customers!A:G,7,FALSE)</f>
        <v>Student</v>
      </c>
      <c r="Q1686" t="str">
        <f>IF(COUNTIF(Customers!$A$2:$A$1001,B1686)&gt;0,"Valid","Invalid")</f>
        <v>Valid</v>
      </c>
      <c r="R1686" t="str">
        <f>IF(COUNTIF(Branches!$A$2:$A$11,F1686)&gt;0,"Valid","Invalid")</f>
        <v>Valid</v>
      </c>
    </row>
    <row r="1687" spans="1:18" x14ac:dyDescent="0.25">
      <c r="A1687" t="s">
        <v>3758</v>
      </c>
      <c r="B1687" t="s">
        <v>124</v>
      </c>
      <c r="C1687" s="8">
        <v>46166</v>
      </c>
      <c r="D1687" t="s">
        <v>2070</v>
      </c>
      <c r="E1687" t="s">
        <v>2063</v>
      </c>
      <c r="F1687" t="s">
        <v>45</v>
      </c>
      <c r="G1687">
        <v>395.33</v>
      </c>
      <c r="H1687" t="s">
        <v>2060</v>
      </c>
      <c r="I1687" t="str">
        <f>VLOOKUP(B1687,Customers!A:G,7,FALSE)</f>
        <v>Student</v>
      </c>
      <c r="Q1687" t="str">
        <f>IF(COUNTIF(Customers!$A$2:$A$1001,B1687)&gt;0,"Valid","Invalid")</f>
        <v>Valid</v>
      </c>
      <c r="R1687" t="str">
        <f>IF(COUNTIF(Branches!$A$2:$A$11,F1687)&gt;0,"Valid","Invalid")</f>
        <v>Valid</v>
      </c>
    </row>
    <row r="1688" spans="1:18" x14ac:dyDescent="0.25">
      <c r="A1688" t="s">
        <v>3759</v>
      </c>
      <c r="B1688" t="s">
        <v>701</v>
      </c>
      <c r="C1688" s="8">
        <v>46089</v>
      </c>
      <c r="D1688" t="s">
        <v>2062</v>
      </c>
      <c r="E1688" t="s">
        <v>2063</v>
      </c>
      <c r="F1688" t="s">
        <v>53</v>
      </c>
      <c r="G1688">
        <v>1453.41</v>
      </c>
      <c r="H1688" t="s">
        <v>2060</v>
      </c>
      <c r="I1688" t="str">
        <f>VLOOKUP(B1688,Customers!A:G,7,FALSE)</f>
        <v>Individual</v>
      </c>
      <c r="Q1688" t="str">
        <f>IF(COUNTIF(Customers!$A$2:$A$1001,B1688)&gt;0,"Valid","Invalid")</f>
        <v>Valid</v>
      </c>
      <c r="R1688" t="str">
        <f>IF(COUNTIF(Branches!$A$2:$A$11,F1688)&gt;0,"Valid","Invalid")</f>
        <v>Valid</v>
      </c>
    </row>
    <row r="1689" spans="1:18" x14ac:dyDescent="0.25">
      <c r="A1689" t="s">
        <v>3760</v>
      </c>
      <c r="B1689" t="s">
        <v>212</v>
      </c>
      <c r="C1689" s="8">
        <v>46142</v>
      </c>
      <c r="D1689" t="s">
        <v>2062</v>
      </c>
      <c r="E1689" t="s">
        <v>2076</v>
      </c>
      <c r="F1689" t="s">
        <v>27</v>
      </c>
      <c r="G1689">
        <v>1810.57</v>
      </c>
      <c r="H1689" t="s">
        <v>2060</v>
      </c>
      <c r="I1689" t="str">
        <f>VLOOKUP(B1689,Customers!A:G,7,FALSE)</f>
        <v>Student</v>
      </c>
      <c r="Q1689" t="str">
        <f>IF(COUNTIF(Customers!$A$2:$A$1001,B1689)&gt;0,"Valid","Invalid")</f>
        <v>Valid</v>
      </c>
      <c r="R1689" t="str">
        <f>IF(COUNTIF(Branches!$A$2:$A$11,F1689)&gt;0,"Valid","Invalid")</f>
        <v>Valid</v>
      </c>
    </row>
    <row r="1690" spans="1:18" x14ac:dyDescent="0.25">
      <c r="A1690" t="s">
        <v>3761</v>
      </c>
      <c r="B1690" t="s">
        <v>761</v>
      </c>
      <c r="C1690" s="8">
        <v>46180</v>
      </c>
      <c r="D1690" t="s">
        <v>2062</v>
      </c>
      <c r="E1690" t="s">
        <v>2073</v>
      </c>
      <c r="F1690" t="s">
        <v>29</v>
      </c>
      <c r="G1690">
        <v>3390.47</v>
      </c>
      <c r="H1690" t="s">
        <v>2060</v>
      </c>
      <c r="I1690" t="str">
        <f>VLOOKUP(B1690,Customers!A:G,7,FALSE)</f>
        <v>SME</v>
      </c>
      <c r="Q1690" t="str">
        <f>IF(COUNTIF(Customers!$A$2:$A$1001,B1690)&gt;0,"Valid","Invalid")</f>
        <v>Valid</v>
      </c>
      <c r="R1690" t="str">
        <f>IF(COUNTIF(Branches!$A$2:$A$11,F1690)&gt;0,"Valid","Invalid")</f>
        <v>Valid</v>
      </c>
    </row>
    <row r="1691" spans="1:18" x14ac:dyDescent="0.25">
      <c r="A1691" t="s">
        <v>3762</v>
      </c>
      <c r="B1691" t="s">
        <v>464</v>
      </c>
      <c r="C1691" s="8">
        <v>46077</v>
      </c>
      <c r="D1691" t="s">
        <v>2067</v>
      </c>
      <c r="E1691" t="s">
        <v>2076</v>
      </c>
      <c r="F1691" t="s">
        <v>29</v>
      </c>
      <c r="G1691">
        <v>1298.7</v>
      </c>
      <c r="H1691" t="s">
        <v>2060</v>
      </c>
      <c r="I1691" t="str">
        <f>VLOOKUP(B1691,Customers!A:G,7,FALSE)</f>
        <v>Student</v>
      </c>
      <c r="Q1691" t="str">
        <f>IF(COUNTIF(Customers!$A$2:$A$1001,B1691)&gt;0,"Valid","Invalid")</f>
        <v>Valid</v>
      </c>
      <c r="R1691" t="str">
        <f>IF(COUNTIF(Branches!$A$2:$A$11,F1691)&gt;0,"Valid","Invalid")</f>
        <v>Valid</v>
      </c>
    </row>
    <row r="1692" spans="1:18" x14ac:dyDescent="0.25">
      <c r="A1692" t="s">
        <v>3763</v>
      </c>
      <c r="B1692" t="s">
        <v>809</v>
      </c>
      <c r="C1692" s="8">
        <v>46088</v>
      </c>
      <c r="D1692" t="s">
        <v>2062</v>
      </c>
      <c r="E1692" t="s">
        <v>2063</v>
      </c>
      <c r="F1692" t="s">
        <v>39</v>
      </c>
      <c r="G1692">
        <v>925.53</v>
      </c>
      <c r="H1692" t="s">
        <v>2060</v>
      </c>
      <c r="I1692" t="str">
        <f>VLOOKUP(B1692,Customers!A:G,7,FALSE)</f>
        <v>SME</v>
      </c>
      <c r="Q1692" t="str">
        <f>IF(COUNTIF(Customers!$A$2:$A$1001,B1692)&gt;0,"Valid","Invalid")</f>
        <v>Valid</v>
      </c>
      <c r="R1692" t="str">
        <f>IF(COUNTIF(Branches!$A$2:$A$11,F1692)&gt;0,"Valid","Invalid")</f>
        <v>Valid</v>
      </c>
    </row>
    <row r="1693" spans="1:18" x14ac:dyDescent="0.25">
      <c r="A1693" t="s">
        <v>3764</v>
      </c>
      <c r="B1693" t="s">
        <v>641</v>
      </c>
      <c r="C1693" s="8">
        <v>46249</v>
      </c>
      <c r="D1693" t="s">
        <v>2065</v>
      </c>
      <c r="E1693" t="s">
        <v>2059</v>
      </c>
      <c r="F1693" t="s">
        <v>27</v>
      </c>
      <c r="G1693">
        <v>1443.81</v>
      </c>
      <c r="H1693" t="s">
        <v>2060</v>
      </c>
      <c r="I1693" t="str">
        <f>VLOOKUP(B1693,Customers!A:G,7,FALSE)</f>
        <v>Individual</v>
      </c>
      <c r="Q1693" t="str">
        <f>IF(COUNTIF(Customers!$A$2:$A$1001,B1693)&gt;0,"Valid","Invalid")</f>
        <v>Valid</v>
      </c>
      <c r="R1693" t="str">
        <f>IF(COUNTIF(Branches!$A$2:$A$11,F1693)&gt;0,"Valid","Invalid")</f>
        <v>Valid</v>
      </c>
    </row>
    <row r="1694" spans="1:18" x14ac:dyDescent="0.25">
      <c r="A1694" t="s">
        <v>3765</v>
      </c>
      <c r="B1694" t="s">
        <v>809</v>
      </c>
      <c r="C1694" s="8">
        <v>46048</v>
      </c>
      <c r="D1694" t="s">
        <v>2065</v>
      </c>
      <c r="E1694" t="s">
        <v>2059</v>
      </c>
      <c r="F1694" t="s">
        <v>47</v>
      </c>
      <c r="G1694">
        <v>621.78</v>
      </c>
      <c r="H1694" t="s">
        <v>2060</v>
      </c>
      <c r="I1694" t="str">
        <f>VLOOKUP(B1694,Customers!A:G,7,FALSE)</f>
        <v>SME</v>
      </c>
      <c r="Q1694" t="str">
        <f>IF(COUNTIF(Customers!$A$2:$A$1001,B1694)&gt;0,"Valid","Invalid")</f>
        <v>Valid</v>
      </c>
      <c r="R1694" t="str">
        <f>IF(COUNTIF(Branches!$A$2:$A$11,F1694)&gt;0,"Valid","Invalid")</f>
        <v>Valid</v>
      </c>
    </row>
    <row r="1695" spans="1:18" x14ac:dyDescent="0.25">
      <c r="A1695" t="s">
        <v>3766</v>
      </c>
      <c r="B1695" t="s">
        <v>962</v>
      </c>
      <c r="C1695" s="8">
        <v>46207</v>
      </c>
      <c r="D1695" t="s">
        <v>2062</v>
      </c>
      <c r="E1695" t="s">
        <v>2068</v>
      </c>
      <c r="F1695" t="s">
        <v>47</v>
      </c>
      <c r="G1695">
        <v>617.22</v>
      </c>
      <c r="H1695" t="s">
        <v>2060</v>
      </c>
      <c r="I1695" t="str">
        <f>VLOOKUP(B1695,Customers!A:G,7,FALSE)</f>
        <v>Individual</v>
      </c>
      <c r="Q1695" t="str">
        <f>IF(COUNTIF(Customers!$A$2:$A$1001,B1695)&gt;0,"Valid","Invalid")</f>
        <v>Valid</v>
      </c>
      <c r="R1695" t="str">
        <f>IF(COUNTIF(Branches!$A$2:$A$11,F1695)&gt;0,"Valid","Invalid")</f>
        <v>Valid</v>
      </c>
    </row>
    <row r="1696" spans="1:18" x14ac:dyDescent="0.25">
      <c r="A1696" t="s">
        <v>3767</v>
      </c>
      <c r="B1696" t="s">
        <v>741</v>
      </c>
      <c r="C1696" s="8">
        <v>46219</v>
      </c>
      <c r="D1696" t="s">
        <v>2065</v>
      </c>
      <c r="E1696" t="s">
        <v>2068</v>
      </c>
      <c r="F1696" t="s">
        <v>11</v>
      </c>
      <c r="G1696">
        <v>137.81</v>
      </c>
      <c r="H1696" t="s">
        <v>2060</v>
      </c>
      <c r="I1696" t="str">
        <f>VLOOKUP(B1696,Customers!A:G,7,FALSE)</f>
        <v>Individual</v>
      </c>
      <c r="Q1696" t="str">
        <f>IF(COUNTIF(Customers!$A$2:$A$1001,B1696)&gt;0,"Valid","Invalid")</f>
        <v>Valid</v>
      </c>
      <c r="R1696" t="str">
        <f>IF(COUNTIF(Branches!$A$2:$A$11,F1696)&gt;0,"Valid","Invalid")</f>
        <v>Valid</v>
      </c>
    </row>
    <row r="1697" spans="1:18" x14ac:dyDescent="0.25">
      <c r="A1697" t="s">
        <v>3768</v>
      </c>
      <c r="B1697" t="s">
        <v>117</v>
      </c>
      <c r="C1697" s="8">
        <v>46152</v>
      </c>
      <c r="D1697" t="s">
        <v>2070</v>
      </c>
      <c r="E1697" t="s">
        <v>2059</v>
      </c>
      <c r="F1697" t="s">
        <v>21</v>
      </c>
      <c r="G1697">
        <v>1985.08</v>
      </c>
      <c r="H1697" t="s">
        <v>2060</v>
      </c>
      <c r="I1697" t="str">
        <f>VLOOKUP(B1697,Customers!A:G,7,FALSE)</f>
        <v>Student</v>
      </c>
      <c r="Q1697" t="str">
        <f>IF(COUNTIF(Customers!$A$2:$A$1001,B1697)&gt;0,"Valid","Invalid")</f>
        <v>Valid</v>
      </c>
      <c r="R1697" t="str">
        <f>IF(COUNTIF(Branches!$A$2:$A$11,F1697)&gt;0,"Valid","Invalid")</f>
        <v>Valid</v>
      </c>
    </row>
    <row r="1698" spans="1:18" x14ac:dyDescent="0.25">
      <c r="A1698" t="s">
        <v>3769</v>
      </c>
      <c r="B1698" t="s">
        <v>965</v>
      </c>
      <c r="C1698" s="8">
        <v>46265</v>
      </c>
      <c r="D1698" t="s">
        <v>2058</v>
      </c>
      <c r="E1698" t="s">
        <v>2063</v>
      </c>
      <c r="F1698" t="s">
        <v>27</v>
      </c>
      <c r="G1698">
        <v>1003.71</v>
      </c>
      <c r="H1698" t="s">
        <v>2060</v>
      </c>
      <c r="I1698" t="str">
        <f>VLOOKUP(B1698,Customers!A:G,7,FALSE)</f>
        <v>SME</v>
      </c>
      <c r="Q1698" t="str">
        <f>IF(COUNTIF(Customers!$A$2:$A$1001,B1698)&gt;0,"Valid","Invalid")</f>
        <v>Valid</v>
      </c>
      <c r="R1698" t="str">
        <f>IF(COUNTIF(Branches!$A$2:$A$11,F1698)&gt;0,"Valid","Invalid")</f>
        <v>Valid</v>
      </c>
    </row>
    <row r="1699" spans="1:18" x14ac:dyDescent="0.25">
      <c r="A1699" t="s">
        <v>3770</v>
      </c>
      <c r="B1699" t="s">
        <v>174</v>
      </c>
      <c r="C1699" s="8">
        <v>46078</v>
      </c>
      <c r="D1699" t="s">
        <v>2062</v>
      </c>
      <c r="E1699" t="s">
        <v>2073</v>
      </c>
      <c r="F1699" t="s">
        <v>29</v>
      </c>
      <c r="G1699">
        <v>1767</v>
      </c>
      <c r="H1699" t="s">
        <v>2060</v>
      </c>
      <c r="I1699" t="str">
        <f>VLOOKUP(B1699,Customers!A:G,7,FALSE)</f>
        <v>Corporate</v>
      </c>
      <c r="Q1699" t="str">
        <f>IF(COUNTIF(Customers!$A$2:$A$1001,B1699)&gt;0,"Valid","Invalid")</f>
        <v>Valid</v>
      </c>
      <c r="R1699" t="str">
        <f>IF(COUNTIF(Branches!$A$2:$A$11,F1699)&gt;0,"Valid","Invalid")</f>
        <v>Valid</v>
      </c>
    </row>
    <row r="1700" spans="1:18" x14ac:dyDescent="0.25">
      <c r="A1700" t="s">
        <v>3771</v>
      </c>
      <c r="B1700" t="s">
        <v>471</v>
      </c>
      <c r="C1700" s="8">
        <v>46234</v>
      </c>
      <c r="D1700" t="s">
        <v>2065</v>
      </c>
      <c r="E1700" t="s">
        <v>2076</v>
      </c>
      <c r="F1700" t="s">
        <v>21</v>
      </c>
      <c r="G1700">
        <v>48.63</v>
      </c>
      <c r="H1700" t="s">
        <v>2060</v>
      </c>
      <c r="I1700" t="str">
        <f>VLOOKUP(B1700,Customers!A:G,7,FALSE)</f>
        <v>SME</v>
      </c>
      <c r="Q1700" t="str">
        <f>IF(COUNTIF(Customers!$A$2:$A$1001,B1700)&gt;0,"Valid","Invalid")</f>
        <v>Valid</v>
      </c>
      <c r="R1700" t="str">
        <f>IF(COUNTIF(Branches!$A$2:$A$11,F1700)&gt;0,"Valid","Invalid")</f>
        <v>Valid</v>
      </c>
    </row>
    <row r="1701" spans="1:18" x14ac:dyDescent="0.25">
      <c r="A1701" t="s">
        <v>3772</v>
      </c>
      <c r="B1701" t="s">
        <v>508</v>
      </c>
      <c r="C1701" s="8">
        <v>46212</v>
      </c>
      <c r="D1701" t="s">
        <v>2058</v>
      </c>
      <c r="E1701" t="s">
        <v>2073</v>
      </c>
      <c r="F1701" t="s">
        <v>47</v>
      </c>
      <c r="G1701">
        <v>775.03</v>
      </c>
      <c r="H1701" t="s">
        <v>2060</v>
      </c>
      <c r="I1701" t="str">
        <f>VLOOKUP(B1701,Customers!A:G,7,FALSE)</f>
        <v>Individual</v>
      </c>
      <c r="Q1701" t="str">
        <f>IF(COUNTIF(Customers!$A$2:$A$1001,B1701)&gt;0,"Valid","Invalid")</f>
        <v>Valid</v>
      </c>
      <c r="R1701" t="str">
        <f>IF(COUNTIF(Branches!$A$2:$A$11,F1701)&gt;0,"Valid","Invalid")</f>
        <v>Valid</v>
      </c>
    </row>
    <row r="1702" spans="1:18" x14ac:dyDescent="0.25">
      <c r="A1702" t="s">
        <v>3773</v>
      </c>
      <c r="B1702" t="s">
        <v>388</v>
      </c>
      <c r="C1702" s="8">
        <v>46056</v>
      </c>
      <c r="D1702" t="s">
        <v>2065</v>
      </c>
      <c r="E1702" t="s">
        <v>2059</v>
      </c>
      <c r="F1702" t="s">
        <v>39</v>
      </c>
      <c r="G1702">
        <v>345.2</v>
      </c>
      <c r="H1702" t="s">
        <v>2060</v>
      </c>
      <c r="I1702" t="str">
        <f>VLOOKUP(B1702,Customers!A:G,7,FALSE)</f>
        <v>SME</v>
      </c>
      <c r="Q1702" t="str">
        <f>IF(COUNTIF(Customers!$A$2:$A$1001,B1702)&gt;0,"Valid","Invalid")</f>
        <v>Valid</v>
      </c>
      <c r="R1702" t="str">
        <f>IF(COUNTIF(Branches!$A$2:$A$11,F1702)&gt;0,"Valid","Invalid")</f>
        <v>Valid</v>
      </c>
    </row>
    <row r="1703" spans="1:18" x14ac:dyDescent="0.25">
      <c r="A1703" t="s">
        <v>3774</v>
      </c>
      <c r="B1703" t="s">
        <v>162</v>
      </c>
      <c r="C1703" s="8">
        <v>46248</v>
      </c>
      <c r="D1703" t="s">
        <v>2062</v>
      </c>
      <c r="E1703" t="s">
        <v>2068</v>
      </c>
      <c r="F1703" t="s">
        <v>29</v>
      </c>
      <c r="G1703">
        <v>3645.91</v>
      </c>
      <c r="H1703" t="s">
        <v>2060</v>
      </c>
      <c r="I1703" t="str">
        <f>VLOOKUP(B1703,Customers!A:G,7,FALSE)</f>
        <v>Individual</v>
      </c>
      <c r="Q1703" t="str">
        <f>IF(COUNTIF(Customers!$A$2:$A$1001,B1703)&gt;0,"Valid","Invalid")</f>
        <v>Valid</v>
      </c>
      <c r="R1703" t="str">
        <f>IF(COUNTIF(Branches!$A$2:$A$11,F1703)&gt;0,"Valid","Invalid")</f>
        <v>Valid</v>
      </c>
    </row>
    <row r="1704" spans="1:18" x14ac:dyDescent="0.25">
      <c r="A1704" t="s">
        <v>3775</v>
      </c>
      <c r="B1704" t="s">
        <v>919</v>
      </c>
      <c r="C1704" s="8">
        <v>46078</v>
      </c>
      <c r="D1704" t="s">
        <v>2065</v>
      </c>
      <c r="E1704" t="s">
        <v>2068</v>
      </c>
      <c r="F1704" t="s">
        <v>16</v>
      </c>
      <c r="G1704">
        <v>1501.5</v>
      </c>
      <c r="H1704" t="s">
        <v>2060</v>
      </c>
      <c r="I1704" t="str">
        <f>VLOOKUP(B1704,Customers!A:G,7,FALSE)</f>
        <v>Individual</v>
      </c>
      <c r="Q1704" t="str">
        <f>IF(COUNTIF(Customers!$A$2:$A$1001,B1704)&gt;0,"Valid","Invalid")</f>
        <v>Valid</v>
      </c>
      <c r="R1704" t="str">
        <f>IF(COUNTIF(Branches!$A$2:$A$11,F1704)&gt;0,"Valid","Invalid")</f>
        <v>Valid</v>
      </c>
    </row>
    <row r="1705" spans="1:18" x14ac:dyDescent="0.25">
      <c r="A1705" t="s">
        <v>3776</v>
      </c>
      <c r="B1705" t="s">
        <v>955</v>
      </c>
      <c r="C1705" s="8">
        <v>46077</v>
      </c>
      <c r="D1705" t="s">
        <v>2058</v>
      </c>
      <c r="E1705" t="s">
        <v>2063</v>
      </c>
      <c r="F1705" t="s">
        <v>29</v>
      </c>
      <c r="G1705">
        <v>1026.83</v>
      </c>
      <c r="H1705" t="s">
        <v>2060</v>
      </c>
      <c r="I1705" t="str">
        <f>VLOOKUP(B1705,Customers!A:G,7,FALSE)</f>
        <v>SME</v>
      </c>
      <c r="Q1705" t="str">
        <f>IF(COUNTIF(Customers!$A$2:$A$1001,B1705)&gt;0,"Valid","Invalid")</f>
        <v>Valid</v>
      </c>
      <c r="R1705" t="str">
        <f>IF(COUNTIF(Branches!$A$2:$A$11,F1705)&gt;0,"Valid","Invalid")</f>
        <v>Valid</v>
      </c>
    </row>
    <row r="1706" spans="1:18" x14ac:dyDescent="0.25">
      <c r="A1706" t="s">
        <v>3777</v>
      </c>
      <c r="B1706" t="s">
        <v>906</v>
      </c>
      <c r="C1706" s="8">
        <v>46042</v>
      </c>
      <c r="D1706" t="s">
        <v>2065</v>
      </c>
      <c r="E1706" t="s">
        <v>2073</v>
      </c>
      <c r="F1706" t="s">
        <v>21</v>
      </c>
      <c r="G1706">
        <v>527.46</v>
      </c>
      <c r="H1706" t="s">
        <v>2060</v>
      </c>
      <c r="I1706" t="str">
        <f>VLOOKUP(B1706,Customers!A:G,7,FALSE)</f>
        <v>Individual</v>
      </c>
      <c r="Q1706" t="str">
        <f>IF(COUNTIF(Customers!$A$2:$A$1001,B1706)&gt;0,"Valid","Invalid")</f>
        <v>Valid</v>
      </c>
      <c r="R1706" t="str">
        <f>IF(COUNTIF(Branches!$A$2:$A$11,F1706)&gt;0,"Valid","Invalid")</f>
        <v>Valid</v>
      </c>
    </row>
    <row r="1707" spans="1:18" x14ac:dyDescent="0.25">
      <c r="A1707" t="s">
        <v>3778</v>
      </c>
      <c r="B1707" t="s">
        <v>347</v>
      </c>
      <c r="C1707" s="8">
        <v>46072</v>
      </c>
      <c r="D1707" t="s">
        <v>2065</v>
      </c>
      <c r="E1707" t="s">
        <v>2063</v>
      </c>
      <c r="F1707" t="s">
        <v>27</v>
      </c>
      <c r="G1707">
        <v>1208.5899999999999</v>
      </c>
      <c r="H1707" t="s">
        <v>2060</v>
      </c>
      <c r="I1707" t="str">
        <f>VLOOKUP(B1707,Customers!A:G,7,FALSE)</f>
        <v>Individual</v>
      </c>
      <c r="Q1707" t="str">
        <f>IF(COUNTIF(Customers!$A$2:$A$1001,B1707)&gt;0,"Valid","Invalid")</f>
        <v>Valid</v>
      </c>
      <c r="R1707" t="str">
        <f>IF(COUNTIF(Branches!$A$2:$A$11,F1707)&gt;0,"Valid","Invalid")</f>
        <v>Valid</v>
      </c>
    </row>
    <row r="1708" spans="1:18" x14ac:dyDescent="0.25">
      <c r="A1708" t="s">
        <v>3779</v>
      </c>
      <c r="B1708" t="s">
        <v>893</v>
      </c>
      <c r="C1708" s="8">
        <v>46175</v>
      </c>
      <c r="D1708" t="s">
        <v>2058</v>
      </c>
      <c r="E1708" t="s">
        <v>2068</v>
      </c>
      <c r="F1708" t="s">
        <v>29</v>
      </c>
      <c r="G1708">
        <v>321.12</v>
      </c>
      <c r="H1708" t="s">
        <v>2060</v>
      </c>
      <c r="I1708" t="str">
        <f>VLOOKUP(B1708,Customers!A:G,7,FALSE)</f>
        <v>Corporate</v>
      </c>
      <c r="Q1708" t="str">
        <f>IF(COUNTIF(Customers!$A$2:$A$1001,B1708)&gt;0,"Valid","Invalid")</f>
        <v>Valid</v>
      </c>
      <c r="R1708" t="str">
        <f>IF(COUNTIF(Branches!$A$2:$A$11,F1708)&gt;0,"Valid","Invalid")</f>
        <v>Valid</v>
      </c>
    </row>
    <row r="1709" spans="1:18" x14ac:dyDescent="0.25">
      <c r="A1709" t="s">
        <v>3780</v>
      </c>
      <c r="B1709" t="s">
        <v>267</v>
      </c>
      <c r="C1709" s="8">
        <v>46106</v>
      </c>
      <c r="D1709" t="s">
        <v>2065</v>
      </c>
      <c r="E1709" t="s">
        <v>2073</v>
      </c>
      <c r="F1709" t="s">
        <v>29</v>
      </c>
      <c r="G1709">
        <v>735.3</v>
      </c>
      <c r="H1709" t="s">
        <v>2115</v>
      </c>
      <c r="I1709" t="str">
        <f>VLOOKUP(B1709,Customers!A:G,7,FALSE)</f>
        <v>SME</v>
      </c>
      <c r="Q1709" t="str">
        <f>IF(COUNTIF(Customers!$A$2:$A$1001,B1709)&gt;0,"Valid","Invalid")</f>
        <v>Valid</v>
      </c>
      <c r="R1709" t="str">
        <f>IF(COUNTIF(Branches!$A$2:$A$11,F1709)&gt;0,"Valid","Invalid")</f>
        <v>Valid</v>
      </c>
    </row>
    <row r="1710" spans="1:18" x14ac:dyDescent="0.25">
      <c r="A1710" t="s">
        <v>3781</v>
      </c>
      <c r="B1710" t="s">
        <v>498</v>
      </c>
      <c r="C1710" s="8">
        <v>46175</v>
      </c>
      <c r="D1710" t="s">
        <v>2062</v>
      </c>
      <c r="E1710" t="s">
        <v>2063</v>
      </c>
      <c r="F1710" t="s">
        <v>11</v>
      </c>
      <c r="G1710">
        <v>455.61</v>
      </c>
      <c r="H1710" t="s">
        <v>2060</v>
      </c>
      <c r="I1710" t="str">
        <f>VLOOKUP(B1710,Customers!A:G,7,FALSE)</f>
        <v>Individual</v>
      </c>
      <c r="Q1710" t="str">
        <f>IF(COUNTIF(Customers!$A$2:$A$1001,B1710)&gt;0,"Valid","Invalid")</f>
        <v>Valid</v>
      </c>
      <c r="R1710" t="str">
        <f>IF(COUNTIF(Branches!$A$2:$A$11,F1710)&gt;0,"Valid","Invalid")</f>
        <v>Valid</v>
      </c>
    </row>
    <row r="1711" spans="1:18" x14ac:dyDescent="0.25">
      <c r="A1711" t="s">
        <v>3782</v>
      </c>
      <c r="B1711" t="s">
        <v>383</v>
      </c>
      <c r="C1711" s="8">
        <v>46075</v>
      </c>
      <c r="D1711" t="s">
        <v>2065</v>
      </c>
      <c r="E1711" t="s">
        <v>2076</v>
      </c>
      <c r="F1711" t="s">
        <v>45</v>
      </c>
      <c r="G1711">
        <v>7836.05</v>
      </c>
      <c r="H1711" t="s">
        <v>2060</v>
      </c>
      <c r="I1711" t="str">
        <f>VLOOKUP(B1711,Customers!A:G,7,FALSE)</f>
        <v>Individual</v>
      </c>
      <c r="Q1711" t="str">
        <f>IF(COUNTIF(Customers!$A$2:$A$1001,B1711)&gt;0,"Valid","Invalid")</f>
        <v>Valid</v>
      </c>
      <c r="R1711" t="str">
        <f>IF(COUNTIF(Branches!$A$2:$A$11,F1711)&gt;0,"Valid","Invalid")</f>
        <v>Valid</v>
      </c>
    </row>
    <row r="1712" spans="1:18" x14ac:dyDescent="0.25">
      <c r="A1712" t="s">
        <v>3783</v>
      </c>
      <c r="B1712" t="s">
        <v>348</v>
      </c>
      <c r="C1712" s="8">
        <v>46164</v>
      </c>
      <c r="D1712" t="s">
        <v>2067</v>
      </c>
      <c r="E1712" t="s">
        <v>2059</v>
      </c>
      <c r="F1712" t="s">
        <v>29</v>
      </c>
      <c r="G1712">
        <v>3533.16</v>
      </c>
      <c r="H1712" t="s">
        <v>2060</v>
      </c>
      <c r="I1712" t="str">
        <f>VLOOKUP(B1712,Customers!A:G,7,FALSE)</f>
        <v>Individual</v>
      </c>
      <c r="Q1712" t="str">
        <f>IF(COUNTIF(Customers!$A$2:$A$1001,B1712)&gt;0,"Valid","Invalid")</f>
        <v>Valid</v>
      </c>
      <c r="R1712" t="str">
        <f>IF(COUNTIF(Branches!$A$2:$A$11,F1712)&gt;0,"Valid","Invalid")</f>
        <v>Valid</v>
      </c>
    </row>
    <row r="1713" spans="1:18" x14ac:dyDescent="0.25">
      <c r="A1713" t="s">
        <v>3784</v>
      </c>
      <c r="B1713" t="s">
        <v>991</v>
      </c>
      <c r="C1713" s="8">
        <v>46210</v>
      </c>
      <c r="D1713" t="s">
        <v>2058</v>
      </c>
      <c r="E1713" t="s">
        <v>2068</v>
      </c>
      <c r="F1713" t="s">
        <v>39</v>
      </c>
      <c r="G1713">
        <v>2352.06</v>
      </c>
      <c r="H1713" t="s">
        <v>2060</v>
      </c>
      <c r="I1713" t="str">
        <f>VLOOKUP(B1713,Customers!A:G,7,FALSE)</f>
        <v>Individual</v>
      </c>
      <c r="Q1713" t="str">
        <f>IF(COUNTIF(Customers!$A$2:$A$1001,B1713)&gt;0,"Valid","Invalid")</f>
        <v>Valid</v>
      </c>
      <c r="R1713" t="str">
        <f>IF(COUNTIF(Branches!$A$2:$A$11,F1713)&gt;0,"Valid","Invalid")</f>
        <v>Valid</v>
      </c>
    </row>
    <row r="1714" spans="1:18" x14ac:dyDescent="0.25">
      <c r="A1714" t="s">
        <v>3785</v>
      </c>
      <c r="B1714" t="s">
        <v>54</v>
      </c>
      <c r="C1714" s="8">
        <v>46133</v>
      </c>
      <c r="D1714" t="s">
        <v>2067</v>
      </c>
      <c r="E1714" t="s">
        <v>2068</v>
      </c>
      <c r="F1714" t="s">
        <v>39</v>
      </c>
      <c r="G1714">
        <v>183.04</v>
      </c>
      <c r="H1714" t="s">
        <v>2060</v>
      </c>
      <c r="I1714" t="str">
        <f>VLOOKUP(B1714,Customers!A:G,7,FALSE)</f>
        <v>Individual</v>
      </c>
      <c r="Q1714" t="str">
        <f>IF(COUNTIF(Customers!$A$2:$A$1001,B1714)&gt;0,"Valid","Invalid")</f>
        <v>Valid</v>
      </c>
      <c r="R1714" t="str">
        <f>IF(COUNTIF(Branches!$A$2:$A$11,F1714)&gt;0,"Valid","Invalid")</f>
        <v>Valid</v>
      </c>
    </row>
    <row r="1715" spans="1:18" x14ac:dyDescent="0.25">
      <c r="A1715" t="s">
        <v>3786</v>
      </c>
      <c r="B1715" t="s">
        <v>919</v>
      </c>
      <c r="C1715" s="8">
        <v>46258</v>
      </c>
      <c r="D1715" t="s">
        <v>2067</v>
      </c>
      <c r="E1715" t="s">
        <v>2076</v>
      </c>
      <c r="F1715" t="s">
        <v>47</v>
      </c>
      <c r="G1715">
        <v>1927.84</v>
      </c>
      <c r="H1715" t="s">
        <v>2060</v>
      </c>
      <c r="I1715" t="str">
        <f>VLOOKUP(B1715,Customers!A:G,7,FALSE)</f>
        <v>Individual</v>
      </c>
      <c r="Q1715" t="str">
        <f>IF(COUNTIF(Customers!$A$2:$A$1001,B1715)&gt;0,"Valid","Invalid")</f>
        <v>Valid</v>
      </c>
      <c r="R1715" t="str">
        <f>IF(COUNTIF(Branches!$A$2:$A$11,F1715)&gt;0,"Valid","Invalid")</f>
        <v>Valid</v>
      </c>
    </row>
    <row r="1716" spans="1:18" x14ac:dyDescent="0.25">
      <c r="A1716" t="s">
        <v>3787</v>
      </c>
      <c r="B1716" t="s">
        <v>599</v>
      </c>
      <c r="C1716" s="8">
        <v>46193</v>
      </c>
      <c r="D1716" t="s">
        <v>2062</v>
      </c>
      <c r="E1716" t="s">
        <v>2068</v>
      </c>
      <c r="F1716" t="s">
        <v>29</v>
      </c>
      <c r="G1716">
        <v>980.11</v>
      </c>
      <c r="H1716" t="s">
        <v>2060</v>
      </c>
      <c r="I1716" t="str">
        <f>VLOOKUP(B1716,Customers!A:G,7,FALSE)</f>
        <v>Individual</v>
      </c>
      <c r="Q1716" t="str">
        <f>IF(COUNTIF(Customers!$A$2:$A$1001,B1716)&gt;0,"Valid","Invalid")</f>
        <v>Valid</v>
      </c>
      <c r="R1716" t="str">
        <f>IF(COUNTIF(Branches!$A$2:$A$11,F1716)&gt;0,"Valid","Invalid")</f>
        <v>Valid</v>
      </c>
    </row>
    <row r="1717" spans="1:18" x14ac:dyDescent="0.25">
      <c r="A1717" t="s">
        <v>3788</v>
      </c>
      <c r="B1717" t="s">
        <v>685</v>
      </c>
      <c r="C1717" s="8">
        <v>46257</v>
      </c>
      <c r="D1717" t="s">
        <v>2065</v>
      </c>
      <c r="E1717" t="s">
        <v>2063</v>
      </c>
      <c r="F1717" t="s">
        <v>35</v>
      </c>
      <c r="G1717">
        <v>2761.31</v>
      </c>
      <c r="H1717" t="s">
        <v>2060</v>
      </c>
      <c r="I1717" t="str">
        <f>VLOOKUP(B1717,Customers!A:G,7,FALSE)</f>
        <v>Individual</v>
      </c>
      <c r="Q1717" t="str">
        <f>IF(COUNTIF(Customers!$A$2:$A$1001,B1717)&gt;0,"Valid","Invalid")</f>
        <v>Valid</v>
      </c>
      <c r="R1717" t="str">
        <f>IF(COUNTIF(Branches!$A$2:$A$11,F1717)&gt;0,"Valid","Invalid")</f>
        <v>Valid</v>
      </c>
    </row>
    <row r="1718" spans="1:18" x14ac:dyDescent="0.25">
      <c r="A1718" t="s">
        <v>3789</v>
      </c>
      <c r="B1718" t="s">
        <v>579</v>
      </c>
      <c r="C1718" s="8">
        <v>46212</v>
      </c>
      <c r="D1718" t="s">
        <v>2065</v>
      </c>
      <c r="E1718" t="s">
        <v>2063</v>
      </c>
      <c r="F1718" t="s">
        <v>11</v>
      </c>
      <c r="G1718">
        <v>1121.47</v>
      </c>
      <c r="H1718" t="s">
        <v>2060</v>
      </c>
      <c r="I1718" t="str">
        <f>VLOOKUP(B1718,Customers!A:G,7,FALSE)</f>
        <v>Corporate</v>
      </c>
      <c r="Q1718" t="str">
        <f>IF(COUNTIF(Customers!$A$2:$A$1001,B1718)&gt;0,"Valid","Invalid")</f>
        <v>Valid</v>
      </c>
      <c r="R1718" t="str">
        <f>IF(COUNTIF(Branches!$A$2:$A$11,F1718)&gt;0,"Valid","Invalid")</f>
        <v>Valid</v>
      </c>
    </row>
    <row r="1719" spans="1:18" x14ac:dyDescent="0.25">
      <c r="A1719" t="s">
        <v>3790</v>
      </c>
      <c r="B1719" t="s">
        <v>598</v>
      </c>
      <c r="C1719" s="8">
        <v>46253</v>
      </c>
      <c r="D1719" t="s">
        <v>2067</v>
      </c>
      <c r="E1719" t="s">
        <v>2059</v>
      </c>
      <c r="F1719" t="s">
        <v>29</v>
      </c>
      <c r="G1719">
        <v>806.97</v>
      </c>
      <c r="H1719" t="s">
        <v>2060</v>
      </c>
      <c r="I1719" t="str">
        <f>VLOOKUP(B1719,Customers!A:G,7,FALSE)</f>
        <v>Individual</v>
      </c>
      <c r="Q1719" t="str">
        <f>IF(COUNTIF(Customers!$A$2:$A$1001,B1719)&gt;0,"Valid","Invalid")</f>
        <v>Valid</v>
      </c>
      <c r="R1719" t="str">
        <f>IF(COUNTIF(Branches!$A$2:$A$11,F1719)&gt;0,"Valid","Invalid")</f>
        <v>Valid</v>
      </c>
    </row>
    <row r="1720" spans="1:18" x14ac:dyDescent="0.25">
      <c r="A1720" t="s">
        <v>3791</v>
      </c>
      <c r="B1720" t="s">
        <v>515</v>
      </c>
      <c r="C1720" s="8">
        <v>46226</v>
      </c>
      <c r="D1720" t="s">
        <v>2067</v>
      </c>
      <c r="E1720" t="s">
        <v>2076</v>
      </c>
      <c r="F1720" t="s">
        <v>39</v>
      </c>
      <c r="G1720">
        <v>1026.3699999999999</v>
      </c>
      <c r="H1720" t="s">
        <v>2060</v>
      </c>
      <c r="I1720" t="str">
        <f>VLOOKUP(B1720,Customers!A:G,7,FALSE)</f>
        <v>Corporate</v>
      </c>
      <c r="Q1720" t="str">
        <f>IF(COUNTIF(Customers!$A$2:$A$1001,B1720)&gt;0,"Valid","Invalid")</f>
        <v>Valid</v>
      </c>
      <c r="R1720" t="str">
        <f>IF(COUNTIF(Branches!$A$2:$A$11,F1720)&gt;0,"Valid","Invalid")</f>
        <v>Valid</v>
      </c>
    </row>
    <row r="1721" spans="1:18" x14ac:dyDescent="0.25">
      <c r="A1721" t="s">
        <v>3792</v>
      </c>
      <c r="B1721" t="s">
        <v>307</v>
      </c>
      <c r="C1721" s="8">
        <v>46134</v>
      </c>
      <c r="D1721" t="s">
        <v>2058</v>
      </c>
      <c r="E1721" t="s">
        <v>2063</v>
      </c>
      <c r="F1721" t="s">
        <v>47</v>
      </c>
      <c r="G1721">
        <v>133.54</v>
      </c>
      <c r="H1721" t="s">
        <v>2060</v>
      </c>
      <c r="I1721" t="str">
        <f>VLOOKUP(B1721,Customers!A:G,7,FALSE)</f>
        <v>Individual</v>
      </c>
      <c r="Q1721" t="str">
        <f>IF(COUNTIF(Customers!$A$2:$A$1001,B1721)&gt;0,"Valid","Invalid")</f>
        <v>Valid</v>
      </c>
      <c r="R1721" t="str">
        <f>IF(COUNTIF(Branches!$A$2:$A$11,F1721)&gt;0,"Valid","Invalid")</f>
        <v>Valid</v>
      </c>
    </row>
    <row r="1722" spans="1:18" x14ac:dyDescent="0.25">
      <c r="A1722" t="s">
        <v>3793</v>
      </c>
      <c r="B1722" t="s">
        <v>18</v>
      </c>
      <c r="C1722" s="8">
        <v>46091</v>
      </c>
      <c r="D1722" t="s">
        <v>2067</v>
      </c>
      <c r="E1722" t="s">
        <v>2076</v>
      </c>
      <c r="F1722" t="s">
        <v>53</v>
      </c>
      <c r="G1722">
        <v>377.13</v>
      </c>
      <c r="H1722" t="s">
        <v>2060</v>
      </c>
      <c r="I1722" t="str">
        <f>VLOOKUP(B1722,Customers!A:G,7,FALSE)</f>
        <v>SME</v>
      </c>
      <c r="Q1722" t="str">
        <f>IF(COUNTIF(Customers!$A$2:$A$1001,B1722)&gt;0,"Valid","Invalid")</f>
        <v>Valid</v>
      </c>
      <c r="R1722" t="str">
        <f>IF(COUNTIF(Branches!$A$2:$A$11,F1722)&gt;0,"Valid","Invalid")</f>
        <v>Valid</v>
      </c>
    </row>
    <row r="1723" spans="1:18" x14ac:dyDescent="0.25">
      <c r="A1723" t="s">
        <v>3794</v>
      </c>
      <c r="B1723" t="s">
        <v>808</v>
      </c>
      <c r="C1723" s="8">
        <v>46213</v>
      </c>
      <c r="D1723" t="s">
        <v>2062</v>
      </c>
      <c r="E1723" t="s">
        <v>2059</v>
      </c>
      <c r="F1723" t="s">
        <v>29</v>
      </c>
      <c r="G1723">
        <v>1180.08</v>
      </c>
      <c r="H1723" t="s">
        <v>2115</v>
      </c>
      <c r="I1723" t="str">
        <f>VLOOKUP(B1723,Customers!A:G,7,FALSE)</f>
        <v>Individual</v>
      </c>
      <c r="Q1723" t="str">
        <f>IF(COUNTIF(Customers!$A$2:$A$1001,B1723)&gt;0,"Valid","Invalid")</f>
        <v>Valid</v>
      </c>
      <c r="R1723" t="str">
        <f>IF(COUNTIF(Branches!$A$2:$A$11,F1723)&gt;0,"Valid","Invalid")</f>
        <v>Valid</v>
      </c>
    </row>
    <row r="1724" spans="1:18" x14ac:dyDescent="0.25">
      <c r="A1724" t="s">
        <v>3795</v>
      </c>
      <c r="B1724" t="s">
        <v>49</v>
      </c>
      <c r="C1724" s="8">
        <v>46024</v>
      </c>
      <c r="D1724" t="s">
        <v>2065</v>
      </c>
      <c r="E1724" t="s">
        <v>2068</v>
      </c>
      <c r="F1724" t="s">
        <v>16</v>
      </c>
      <c r="G1724">
        <v>2538.65</v>
      </c>
      <c r="H1724" t="s">
        <v>2060</v>
      </c>
      <c r="I1724" t="str">
        <f>VLOOKUP(B1724,Customers!A:G,7,FALSE)</f>
        <v>Individual</v>
      </c>
      <c r="Q1724" t="str">
        <f>IF(COUNTIF(Customers!$A$2:$A$1001,B1724)&gt;0,"Valid","Invalid")</f>
        <v>Valid</v>
      </c>
      <c r="R1724" t="str">
        <f>IF(COUNTIF(Branches!$A$2:$A$11,F1724)&gt;0,"Valid","Invalid")</f>
        <v>Valid</v>
      </c>
    </row>
    <row r="1725" spans="1:18" x14ac:dyDescent="0.25">
      <c r="A1725" t="s">
        <v>3796</v>
      </c>
      <c r="B1725" t="s">
        <v>644</v>
      </c>
      <c r="C1725" s="8">
        <v>46204</v>
      </c>
      <c r="D1725" t="s">
        <v>2067</v>
      </c>
      <c r="E1725" t="s">
        <v>2063</v>
      </c>
      <c r="F1725" t="s">
        <v>53</v>
      </c>
      <c r="G1725">
        <v>468.49</v>
      </c>
      <c r="H1725" t="s">
        <v>2060</v>
      </c>
      <c r="I1725" t="str">
        <f>VLOOKUP(B1725,Customers!A:G,7,FALSE)</f>
        <v>Individual</v>
      </c>
      <c r="Q1725" t="str">
        <f>IF(COUNTIF(Customers!$A$2:$A$1001,B1725)&gt;0,"Valid","Invalid")</f>
        <v>Valid</v>
      </c>
      <c r="R1725" t="str">
        <f>IF(COUNTIF(Branches!$A$2:$A$11,F1725)&gt;0,"Valid","Invalid")</f>
        <v>Valid</v>
      </c>
    </row>
    <row r="1726" spans="1:18" x14ac:dyDescent="0.25">
      <c r="A1726" t="s">
        <v>3797</v>
      </c>
      <c r="B1726" t="s">
        <v>396</v>
      </c>
      <c r="C1726" s="8">
        <v>46038</v>
      </c>
      <c r="D1726" t="s">
        <v>2067</v>
      </c>
      <c r="E1726" t="s">
        <v>2076</v>
      </c>
      <c r="F1726" t="s">
        <v>16</v>
      </c>
      <c r="G1726">
        <v>779.92</v>
      </c>
      <c r="H1726" t="s">
        <v>2060</v>
      </c>
      <c r="I1726" t="str">
        <f>VLOOKUP(B1726,Customers!A:G,7,FALSE)</f>
        <v>Student</v>
      </c>
      <c r="Q1726" t="str">
        <f>IF(COUNTIF(Customers!$A$2:$A$1001,B1726)&gt;0,"Valid","Invalid")</f>
        <v>Valid</v>
      </c>
      <c r="R1726" t="str">
        <f>IF(COUNTIF(Branches!$A$2:$A$11,F1726)&gt;0,"Valid","Invalid")</f>
        <v>Valid</v>
      </c>
    </row>
    <row r="1727" spans="1:18" x14ac:dyDescent="0.25">
      <c r="A1727" t="s">
        <v>3798</v>
      </c>
      <c r="B1727" t="s">
        <v>684</v>
      </c>
      <c r="C1727" s="8">
        <v>46205</v>
      </c>
      <c r="D1727" t="s">
        <v>2058</v>
      </c>
      <c r="E1727" t="s">
        <v>2076</v>
      </c>
      <c r="F1727" t="s">
        <v>11</v>
      </c>
      <c r="G1727">
        <v>163.86</v>
      </c>
      <c r="H1727" t="s">
        <v>2060</v>
      </c>
      <c r="I1727" t="str">
        <f>VLOOKUP(B1727,Customers!A:G,7,FALSE)</f>
        <v>Student</v>
      </c>
      <c r="Q1727" t="str">
        <f>IF(COUNTIF(Customers!$A$2:$A$1001,B1727)&gt;0,"Valid","Invalid")</f>
        <v>Valid</v>
      </c>
      <c r="R1727" t="str">
        <f>IF(COUNTIF(Branches!$A$2:$A$11,F1727)&gt;0,"Valid","Invalid")</f>
        <v>Valid</v>
      </c>
    </row>
    <row r="1728" spans="1:18" x14ac:dyDescent="0.25">
      <c r="A1728" t="s">
        <v>3799</v>
      </c>
      <c r="B1728" t="s">
        <v>851</v>
      </c>
      <c r="C1728" s="8">
        <v>46116</v>
      </c>
      <c r="D1728" t="s">
        <v>2070</v>
      </c>
      <c r="E1728" t="s">
        <v>2073</v>
      </c>
      <c r="F1728" t="s">
        <v>11</v>
      </c>
      <c r="G1728">
        <v>3495.78</v>
      </c>
      <c r="H1728" t="s">
        <v>2060</v>
      </c>
      <c r="I1728" t="str">
        <f>VLOOKUP(B1728,Customers!A:G,7,FALSE)</f>
        <v>Individual</v>
      </c>
      <c r="Q1728" t="str">
        <f>IF(COUNTIF(Customers!$A$2:$A$1001,B1728)&gt;0,"Valid","Invalid")</f>
        <v>Valid</v>
      </c>
      <c r="R1728" t="str">
        <f>IF(COUNTIF(Branches!$A$2:$A$11,F1728)&gt;0,"Valid","Invalid")</f>
        <v>Valid</v>
      </c>
    </row>
    <row r="1729" spans="1:18" x14ac:dyDescent="0.25">
      <c r="A1729" t="s">
        <v>3800</v>
      </c>
      <c r="B1729" t="s">
        <v>877</v>
      </c>
      <c r="C1729" s="8">
        <v>46261</v>
      </c>
      <c r="D1729" t="s">
        <v>2058</v>
      </c>
      <c r="E1729" t="s">
        <v>2076</v>
      </c>
      <c r="F1729" t="s">
        <v>35</v>
      </c>
      <c r="G1729">
        <v>2474.37</v>
      </c>
      <c r="H1729" t="s">
        <v>2060</v>
      </c>
      <c r="I1729" t="str">
        <f>VLOOKUP(B1729,Customers!A:G,7,FALSE)</f>
        <v>Student</v>
      </c>
      <c r="Q1729" t="str">
        <f>IF(COUNTIF(Customers!$A$2:$A$1001,B1729)&gt;0,"Valid","Invalid")</f>
        <v>Valid</v>
      </c>
      <c r="R1729" t="str">
        <f>IF(COUNTIF(Branches!$A$2:$A$11,F1729)&gt;0,"Valid","Invalid")</f>
        <v>Valid</v>
      </c>
    </row>
    <row r="1730" spans="1:18" x14ac:dyDescent="0.25">
      <c r="A1730" t="s">
        <v>3801</v>
      </c>
      <c r="B1730" t="s">
        <v>169</v>
      </c>
      <c r="C1730" s="8">
        <v>46193</v>
      </c>
      <c r="D1730" t="s">
        <v>2070</v>
      </c>
      <c r="E1730" t="s">
        <v>2068</v>
      </c>
      <c r="F1730" t="s">
        <v>11</v>
      </c>
      <c r="G1730">
        <v>1559.47</v>
      </c>
      <c r="H1730" t="s">
        <v>2060</v>
      </c>
      <c r="I1730" t="str">
        <f>VLOOKUP(B1730,Customers!A:G,7,FALSE)</f>
        <v>SME</v>
      </c>
      <c r="Q1730" t="str">
        <f>IF(COUNTIF(Customers!$A$2:$A$1001,B1730)&gt;0,"Valid","Invalid")</f>
        <v>Valid</v>
      </c>
      <c r="R1730" t="str">
        <f>IF(COUNTIF(Branches!$A$2:$A$11,F1730)&gt;0,"Valid","Invalid")</f>
        <v>Valid</v>
      </c>
    </row>
    <row r="1731" spans="1:18" x14ac:dyDescent="0.25">
      <c r="A1731" t="s">
        <v>3802</v>
      </c>
      <c r="B1731" t="s">
        <v>350</v>
      </c>
      <c r="C1731" s="8">
        <v>46211</v>
      </c>
      <c r="D1731" t="s">
        <v>2067</v>
      </c>
      <c r="E1731" t="s">
        <v>2073</v>
      </c>
      <c r="F1731" t="s">
        <v>53</v>
      </c>
      <c r="G1731">
        <v>1220.24</v>
      </c>
      <c r="H1731" t="s">
        <v>2060</v>
      </c>
      <c r="I1731" t="str">
        <f>VLOOKUP(B1731,Customers!A:G,7,FALSE)</f>
        <v>Corporate</v>
      </c>
      <c r="Q1731" t="str">
        <f>IF(COUNTIF(Customers!$A$2:$A$1001,B1731)&gt;0,"Valid","Invalid")</f>
        <v>Valid</v>
      </c>
      <c r="R1731" t="str">
        <f>IF(COUNTIF(Branches!$A$2:$A$11,F1731)&gt;0,"Valid","Invalid")</f>
        <v>Valid</v>
      </c>
    </row>
    <row r="1732" spans="1:18" x14ac:dyDescent="0.25">
      <c r="A1732" t="s">
        <v>3803</v>
      </c>
      <c r="B1732" t="s">
        <v>1005</v>
      </c>
      <c r="C1732" s="8">
        <v>46188</v>
      </c>
      <c r="D1732" t="s">
        <v>2065</v>
      </c>
      <c r="E1732" t="s">
        <v>2076</v>
      </c>
      <c r="F1732" t="s">
        <v>29</v>
      </c>
      <c r="G1732">
        <v>3837.4</v>
      </c>
      <c r="H1732" t="s">
        <v>2060</v>
      </c>
      <c r="I1732" t="str">
        <f>VLOOKUP(B1732,Customers!A:G,7,FALSE)</f>
        <v>SME</v>
      </c>
      <c r="Q1732" t="str">
        <f>IF(COUNTIF(Customers!$A$2:$A$1001,B1732)&gt;0,"Valid","Invalid")</f>
        <v>Valid</v>
      </c>
      <c r="R1732" t="str">
        <f>IF(COUNTIF(Branches!$A$2:$A$11,F1732)&gt;0,"Valid","Invalid")</f>
        <v>Valid</v>
      </c>
    </row>
    <row r="1733" spans="1:18" x14ac:dyDescent="0.25">
      <c r="A1733" t="s">
        <v>3804</v>
      </c>
      <c r="B1733" t="s">
        <v>520</v>
      </c>
      <c r="C1733" s="8">
        <v>46067</v>
      </c>
      <c r="D1733" t="s">
        <v>2065</v>
      </c>
      <c r="E1733" t="s">
        <v>2063</v>
      </c>
      <c r="F1733" t="s">
        <v>16</v>
      </c>
      <c r="G1733">
        <v>363.21</v>
      </c>
      <c r="H1733" t="s">
        <v>2060</v>
      </c>
      <c r="I1733" t="str">
        <f>VLOOKUP(B1733,Customers!A:G,7,FALSE)</f>
        <v>Individual</v>
      </c>
      <c r="Q1733" t="str">
        <f>IF(COUNTIF(Customers!$A$2:$A$1001,B1733)&gt;0,"Valid","Invalid")</f>
        <v>Valid</v>
      </c>
      <c r="R1733" t="str">
        <f>IF(COUNTIF(Branches!$A$2:$A$11,F1733)&gt;0,"Valid","Invalid")</f>
        <v>Valid</v>
      </c>
    </row>
    <row r="1734" spans="1:18" x14ac:dyDescent="0.25">
      <c r="A1734" t="s">
        <v>3805</v>
      </c>
      <c r="B1734" t="s">
        <v>933</v>
      </c>
      <c r="C1734" s="8">
        <v>46148</v>
      </c>
      <c r="D1734" t="s">
        <v>2067</v>
      </c>
      <c r="E1734" t="s">
        <v>2068</v>
      </c>
      <c r="F1734" t="s">
        <v>29</v>
      </c>
      <c r="G1734">
        <v>325.98</v>
      </c>
      <c r="H1734" t="s">
        <v>2060</v>
      </c>
      <c r="I1734" t="str">
        <f>VLOOKUP(B1734,Customers!A:G,7,FALSE)</f>
        <v>Student</v>
      </c>
      <c r="Q1734" t="str">
        <f>IF(COUNTIF(Customers!$A$2:$A$1001,B1734)&gt;0,"Valid","Invalid")</f>
        <v>Valid</v>
      </c>
      <c r="R1734" t="str">
        <f>IF(COUNTIF(Branches!$A$2:$A$11,F1734)&gt;0,"Valid","Invalid")</f>
        <v>Valid</v>
      </c>
    </row>
    <row r="1735" spans="1:18" x14ac:dyDescent="0.25">
      <c r="A1735" t="s">
        <v>3806</v>
      </c>
      <c r="B1735" t="s">
        <v>582</v>
      </c>
      <c r="C1735" s="8">
        <v>46201</v>
      </c>
      <c r="D1735" t="s">
        <v>2067</v>
      </c>
      <c r="E1735" t="s">
        <v>2076</v>
      </c>
      <c r="F1735" t="s">
        <v>21</v>
      </c>
      <c r="G1735">
        <v>2348.4699999999998</v>
      </c>
      <c r="H1735" t="s">
        <v>2060</v>
      </c>
      <c r="I1735" t="str">
        <f>VLOOKUP(B1735,Customers!A:G,7,FALSE)</f>
        <v>Individual</v>
      </c>
      <c r="Q1735" t="str">
        <f>IF(COUNTIF(Customers!$A$2:$A$1001,B1735)&gt;0,"Valid","Invalid")</f>
        <v>Valid</v>
      </c>
      <c r="R1735" t="str">
        <f>IF(COUNTIF(Branches!$A$2:$A$11,F1735)&gt;0,"Valid","Invalid")</f>
        <v>Valid</v>
      </c>
    </row>
    <row r="1736" spans="1:18" x14ac:dyDescent="0.25">
      <c r="A1736" t="s">
        <v>3807</v>
      </c>
      <c r="B1736" t="s">
        <v>343</v>
      </c>
      <c r="C1736" s="8">
        <v>46192</v>
      </c>
      <c r="D1736" t="s">
        <v>2065</v>
      </c>
      <c r="E1736" t="s">
        <v>2059</v>
      </c>
      <c r="F1736" t="s">
        <v>27</v>
      </c>
      <c r="G1736">
        <v>2195.83</v>
      </c>
      <c r="H1736" t="s">
        <v>2060</v>
      </c>
      <c r="I1736" t="str">
        <f>VLOOKUP(B1736,Customers!A:G,7,FALSE)</f>
        <v>SME</v>
      </c>
      <c r="Q1736" t="str">
        <f>IF(COUNTIF(Customers!$A$2:$A$1001,B1736)&gt;0,"Valid","Invalid")</f>
        <v>Valid</v>
      </c>
      <c r="R1736" t="str">
        <f>IF(COUNTIF(Branches!$A$2:$A$11,F1736)&gt;0,"Valid","Invalid")</f>
        <v>Valid</v>
      </c>
    </row>
    <row r="1737" spans="1:18" x14ac:dyDescent="0.25">
      <c r="A1737" t="s">
        <v>3808</v>
      </c>
      <c r="B1737" t="s">
        <v>307</v>
      </c>
      <c r="C1737" s="8">
        <v>46046</v>
      </c>
      <c r="D1737" t="s">
        <v>2067</v>
      </c>
      <c r="E1737" t="s">
        <v>2076</v>
      </c>
      <c r="F1737" t="s">
        <v>29</v>
      </c>
      <c r="G1737">
        <v>246.29</v>
      </c>
      <c r="H1737" t="s">
        <v>2060</v>
      </c>
      <c r="I1737" t="str">
        <f>VLOOKUP(B1737,Customers!A:G,7,FALSE)</f>
        <v>Individual</v>
      </c>
      <c r="Q1737" t="str">
        <f>IF(COUNTIF(Customers!$A$2:$A$1001,B1737)&gt;0,"Valid","Invalid")</f>
        <v>Valid</v>
      </c>
      <c r="R1737" t="str">
        <f>IF(COUNTIF(Branches!$A$2:$A$11,F1737)&gt;0,"Valid","Invalid")</f>
        <v>Valid</v>
      </c>
    </row>
    <row r="1738" spans="1:18" x14ac:dyDescent="0.25">
      <c r="A1738" t="s">
        <v>3809</v>
      </c>
      <c r="B1738" t="s">
        <v>452</v>
      </c>
      <c r="C1738" s="8">
        <v>46137</v>
      </c>
      <c r="D1738" t="s">
        <v>2067</v>
      </c>
      <c r="E1738" t="s">
        <v>2068</v>
      </c>
      <c r="F1738" t="s">
        <v>29</v>
      </c>
      <c r="G1738">
        <v>477.54</v>
      </c>
      <c r="H1738" t="s">
        <v>2060</v>
      </c>
      <c r="I1738" t="str">
        <f>VLOOKUP(B1738,Customers!A:G,7,FALSE)</f>
        <v>Individual</v>
      </c>
      <c r="Q1738" t="str">
        <f>IF(COUNTIF(Customers!$A$2:$A$1001,B1738)&gt;0,"Valid","Invalid")</f>
        <v>Valid</v>
      </c>
      <c r="R1738" t="str">
        <f>IF(COUNTIF(Branches!$A$2:$A$11,F1738)&gt;0,"Valid","Invalid")</f>
        <v>Valid</v>
      </c>
    </row>
    <row r="1739" spans="1:18" x14ac:dyDescent="0.25">
      <c r="A1739" t="s">
        <v>3810</v>
      </c>
      <c r="B1739" t="s">
        <v>59</v>
      </c>
      <c r="C1739" s="8">
        <v>46180</v>
      </c>
      <c r="D1739" t="s">
        <v>2065</v>
      </c>
      <c r="E1739" t="s">
        <v>2073</v>
      </c>
      <c r="F1739" t="s">
        <v>16</v>
      </c>
      <c r="G1739">
        <v>4398.83</v>
      </c>
      <c r="H1739" t="s">
        <v>2060</v>
      </c>
      <c r="I1739" t="str">
        <f>VLOOKUP(B1739,Customers!A:G,7,FALSE)</f>
        <v>Individual</v>
      </c>
      <c r="Q1739" t="str">
        <f>IF(COUNTIF(Customers!$A$2:$A$1001,B1739)&gt;0,"Valid","Invalid")</f>
        <v>Valid</v>
      </c>
      <c r="R1739" t="str">
        <f>IF(COUNTIF(Branches!$A$2:$A$11,F1739)&gt;0,"Valid","Invalid")</f>
        <v>Valid</v>
      </c>
    </row>
    <row r="1740" spans="1:18" x14ac:dyDescent="0.25">
      <c r="A1740" t="s">
        <v>3811</v>
      </c>
      <c r="B1740" t="s">
        <v>1019</v>
      </c>
      <c r="C1740" s="8">
        <v>46187</v>
      </c>
      <c r="D1740" t="s">
        <v>2067</v>
      </c>
      <c r="E1740" t="s">
        <v>2073</v>
      </c>
      <c r="F1740" t="s">
        <v>21</v>
      </c>
      <c r="G1740">
        <v>1226.19</v>
      </c>
      <c r="H1740" t="s">
        <v>2060</v>
      </c>
      <c r="I1740" t="str">
        <f>VLOOKUP(B1740,Customers!A:G,7,FALSE)</f>
        <v>Individual</v>
      </c>
      <c r="Q1740" t="str">
        <f>IF(COUNTIF(Customers!$A$2:$A$1001,B1740)&gt;0,"Valid","Invalid")</f>
        <v>Valid</v>
      </c>
      <c r="R1740" t="str">
        <f>IF(COUNTIF(Branches!$A$2:$A$11,F1740)&gt;0,"Valid","Invalid")</f>
        <v>Valid</v>
      </c>
    </row>
    <row r="1741" spans="1:18" x14ac:dyDescent="0.25">
      <c r="A1741" t="s">
        <v>3812</v>
      </c>
      <c r="B1741" t="s">
        <v>354</v>
      </c>
      <c r="C1741" s="8">
        <v>46145</v>
      </c>
      <c r="D1741" t="s">
        <v>2062</v>
      </c>
      <c r="E1741" t="s">
        <v>2063</v>
      </c>
      <c r="F1741" t="s">
        <v>39</v>
      </c>
      <c r="G1741">
        <v>1784.98</v>
      </c>
      <c r="H1741" t="s">
        <v>2060</v>
      </c>
      <c r="I1741" t="str">
        <f>VLOOKUP(B1741,Customers!A:G,7,FALSE)</f>
        <v>Individual</v>
      </c>
      <c r="Q1741" t="str">
        <f>IF(COUNTIF(Customers!$A$2:$A$1001,B1741)&gt;0,"Valid","Invalid")</f>
        <v>Valid</v>
      </c>
      <c r="R1741" t="str">
        <f>IF(COUNTIF(Branches!$A$2:$A$11,F1741)&gt;0,"Valid","Invalid")</f>
        <v>Valid</v>
      </c>
    </row>
    <row r="1742" spans="1:18" x14ac:dyDescent="0.25">
      <c r="A1742" t="s">
        <v>3813</v>
      </c>
      <c r="B1742" t="s">
        <v>609</v>
      </c>
      <c r="C1742" s="8">
        <v>46203</v>
      </c>
      <c r="D1742" t="s">
        <v>2067</v>
      </c>
      <c r="E1742" t="s">
        <v>2059</v>
      </c>
      <c r="F1742" t="s">
        <v>53</v>
      </c>
      <c r="G1742">
        <v>254.92</v>
      </c>
      <c r="H1742" t="s">
        <v>2060</v>
      </c>
      <c r="I1742" t="str">
        <f>VLOOKUP(B1742,Customers!A:G,7,FALSE)</f>
        <v>Student</v>
      </c>
      <c r="Q1742" t="str">
        <f>IF(COUNTIF(Customers!$A$2:$A$1001,B1742)&gt;0,"Valid","Invalid")</f>
        <v>Valid</v>
      </c>
      <c r="R1742" t="str">
        <f>IF(COUNTIF(Branches!$A$2:$A$11,F1742)&gt;0,"Valid","Invalid")</f>
        <v>Valid</v>
      </c>
    </row>
    <row r="1743" spans="1:18" x14ac:dyDescent="0.25">
      <c r="A1743" t="s">
        <v>3814</v>
      </c>
      <c r="B1743" t="s">
        <v>763</v>
      </c>
      <c r="C1743" s="8">
        <v>46213</v>
      </c>
      <c r="D1743" t="s">
        <v>2062</v>
      </c>
      <c r="E1743" t="s">
        <v>2063</v>
      </c>
      <c r="F1743" t="s">
        <v>47</v>
      </c>
      <c r="G1743">
        <v>1566.57</v>
      </c>
      <c r="H1743" t="s">
        <v>2060</v>
      </c>
      <c r="I1743" t="str">
        <f>VLOOKUP(B1743,Customers!A:G,7,FALSE)</f>
        <v>SME</v>
      </c>
      <c r="Q1743" t="str">
        <f>IF(COUNTIF(Customers!$A$2:$A$1001,B1743)&gt;0,"Valid","Invalid")</f>
        <v>Valid</v>
      </c>
      <c r="R1743" t="str">
        <f>IF(COUNTIF(Branches!$A$2:$A$11,F1743)&gt;0,"Valid","Invalid")</f>
        <v>Valid</v>
      </c>
    </row>
    <row r="1744" spans="1:18" x14ac:dyDescent="0.25">
      <c r="A1744" t="s">
        <v>3815</v>
      </c>
      <c r="B1744" t="s">
        <v>706</v>
      </c>
      <c r="C1744" s="8">
        <v>46253</v>
      </c>
      <c r="D1744" t="s">
        <v>2058</v>
      </c>
      <c r="E1744" t="s">
        <v>2063</v>
      </c>
      <c r="F1744" t="s">
        <v>39</v>
      </c>
      <c r="G1744">
        <v>196.46</v>
      </c>
      <c r="H1744" t="s">
        <v>2060</v>
      </c>
      <c r="I1744" t="str">
        <f>VLOOKUP(B1744,Customers!A:G,7,FALSE)</f>
        <v>SME</v>
      </c>
      <c r="Q1744" t="str">
        <f>IF(COUNTIF(Customers!$A$2:$A$1001,B1744)&gt;0,"Valid","Invalid")</f>
        <v>Valid</v>
      </c>
      <c r="R1744" t="str">
        <f>IF(COUNTIF(Branches!$A$2:$A$11,F1744)&gt;0,"Valid","Invalid")</f>
        <v>Valid</v>
      </c>
    </row>
    <row r="1745" spans="1:18" x14ac:dyDescent="0.25">
      <c r="A1745" t="s">
        <v>3816</v>
      </c>
      <c r="B1745" t="s">
        <v>864</v>
      </c>
      <c r="C1745" s="8">
        <v>46161</v>
      </c>
      <c r="D1745" t="s">
        <v>2067</v>
      </c>
      <c r="E1745" t="s">
        <v>2068</v>
      </c>
      <c r="F1745" t="s">
        <v>27</v>
      </c>
      <c r="G1745">
        <v>112.19</v>
      </c>
      <c r="H1745" t="s">
        <v>2060</v>
      </c>
      <c r="I1745" t="str">
        <f>VLOOKUP(B1745,Customers!A:G,7,FALSE)</f>
        <v>Individual</v>
      </c>
      <c r="Q1745" t="str">
        <f>IF(COUNTIF(Customers!$A$2:$A$1001,B1745)&gt;0,"Valid","Invalid")</f>
        <v>Valid</v>
      </c>
      <c r="R1745" t="str">
        <f>IF(COUNTIF(Branches!$A$2:$A$11,F1745)&gt;0,"Valid","Invalid")</f>
        <v>Valid</v>
      </c>
    </row>
    <row r="1746" spans="1:18" x14ac:dyDescent="0.25">
      <c r="A1746" t="s">
        <v>3817</v>
      </c>
      <c r="B1746" t="s">
        <v>314</v>
      </c>
      <c r="C1746" s="8">
        <v>46100</v>
      </c>
      <c r="D1746" t="s">
        <v>2065</v>
      </c>
      <c r="E1746" t="s">
        <v>2059</v>
      </c>
      <c r="F1746" t="s">
        <v>21</v>
      </c>
      <c r="G1746">
        <v>1680.46</v>
      </c>
      <c r="H1746" t="s">
        <v>2060</v>
      </c>
      <c r="I1746" t="str">
        <f>VLOOKUP(B1746,Customers!A:G,7,FALSE)</f>
        <v>Corporate</v>
      </c>
      <c r="Q1746" t="str">
        <f>IF(COUNTIF(Customers!$A$2:$A$1001,B1746)&gt;0,"Valid","Invalid")</f>
        <v>Valid</v>
      </c>
      <c r="R1746" t="str">
        <f>IF(COUNTIF(Branches!$A$2:$A$11,F1746)&gt;0,"Valid","Invalid")</f>
        <v>Valid</v>
      </c>
    </row>
    <row r="1747" spans="1:18" x14ac:dyDescent="0.25">
      <c r="A1747" t="s">
        <v>3818</v>
      </c>
      <c r="B1747" t="s">
        <v>968</v>
      </c>
      <c r="C1747" s="8">
        <v>46173</v>
      </c>
      <c r="D1747" t="s">
        <v>2067</v>
      </c>
      <c r="E1747" t="s">
        <v>2076</v>
      </c>
      <c r="F1747" t="s">
        <v>11</v>
      </c>
      <c r="G1747">
        <v>3409.92</v>
      </c>
      <c r="H1747" t="s">
        <v>2060</v>
      </c>
      <c r="I1747" t="str">
        <f>VLOOKUP(B1747,Customers!A:G,7,FALSE)</f>
        <v>SME</v>
      </c>
      <c r="Q1747" t="str">
        <f>IF(COUNTIF(Customers!$A$2:$A$1001,B1747)&gt;0,"Valid","Invalid")</f>
        <v>Valid</v>
      </c>
      <c r="R1747" t="str">
        <f>IF(COUNTIF(Branches!$A$2:$A$11,F1747)&gt;0,"Valid","Invalid")</f>
        <v>Valid</v>
      </c>
    </row>
    <row r="1748" spans="1:18" x14ac:dyDescent="0.25">
      <c r="A1748" t="s">
        <v>3819</v>
      </c>
      <c r="B1748" t="s">
        <v>427</v>
      </c>
      <c r="C1748" s="8">
        <v>46139</v>
      </c>
      <c r="D1748" t="s">
        <v>2058</v>
      </c>
      <c r="E1748" t="s">
        <v>2076</v>
      </c>
      <c r="F1748" t="s">
        <v>16</v>
      </c>
      <c r="G1748">
        <v>630.30999999999995</v>
      </c>
      <c r="H1748" t="s">
        <v>2060</v>
      </c>
      <c r="I1748" t="str">
        <f>VLOOKUP(B1748,Customers!A:G,7,FALSE)</f>
        <v>Individual</v>
      </c>
      <c r="Q1748" t="str">
        <f>IF(COUNTIF(Customers!$A$2:$A$1001,B1748)&gt;0,"Valid","Invalid")</f>
        <v>Valid</v>
      </c>
      <c r="R1748" t="str">
        <f>IF(COUNTIF(Branches!$A$2:$A$11,F1748)&gt;0,"Valid","Invalid")</f>
        <v>Valid</v>
      </c>
    </row>
    <row r="1749" spans="1:18" x14ac:dyDescent="0.25">
      <c r="A1749" t="s">
        <v>3820</v>
      </c>
      <c r="B1749" t="s">
        <v>760</v>
      </c>
      <c r="C1749" s="8">
        <v>46102</v>
      </c>
      <c r="D1749" t="s">
        <v>2067</v>
      </c>
      <c r="E1749" t="s">
        <v>2068</v>
      </c>
      <c r="F1749" t="s">
        <v>29</v>
      </c>
      <c r="G1749">
        <v>470.34</v>
      </c>
      <c r="H1749" t="s">
        <v>2060</v>
      </c>
      <c r="I1749" t="str">
        <f>VLOOKUP(B1749,Customers!A:G,7,FALSE)</f>
        <v>Individual</v>
      </c>
      <c r="Q1749" t="str">
        <f>IF(COUNTIF(Customers!$A$2:$A$1001,B1749)&gt;0,"Valid","Invalid")</f>
        <v>Valid</v>
      </c>
      <c r="R1749" t="str">
        <f>IF(COUNTIF(Branches!$A$2:$A$11,F1749)&gt;0,"Valid","Invalid")</f>
        <v>Valid</v>
      </c>
    </row>
    <row r="1750" spans="1:18" x14ac:dyDescent="0.25">
      <c r="A1750" t="s">
        <v>3821</v>
      </c>
      <c r="B1750" t="s">
        <v>482</v>
      </c>
      <c r="C1750" s="8">
        <v>46072</v>
      </c>
      <c r="D1750" t="s">
        <v>2065</v>
      </c>
      <c r="E1750" t="s">
        <v>2063</v>
      </c>
      <c r="F1750" t="s">
        <v>29</v>
      </c>
      <c r="G1750">
        <v>4495.57</v>
      </c>
      <c r="H1750" t="s">
        <v>2060</v>
      </c>
      <c r="I1750" t="str">
        <f>VLOOKUP(B1750,Customers!A:G,7,FALSE)</f>
        <v>Individual</v>
      </c>
      <c r="Q1750" t="str">
        <f>IF(COUNTIF(Customers!$A$2:$A$1001,B1750)&gt;0,"Valid","Invalid")</f>
        <v>Valid</v>
      </c>
      <c r="R1750" t="str">
        <f>IF(COUNTIF(Branches!$A$2:$A$11,F1750)&gt;0,"Valid","Invalid")</f>
        <v>Valid</v>
      </c>
    </row>
    <row r="1751" spans="1:18" x14ac:dyDescent="0.25">
      <c r="A1751" t="s">
        <v>3822</v>
      </c>
      <c r="B1751" t="s">
        <v>1037</v>
      </c>
      <c r="C1751" s="8">
        <v>46107</v>
      </c>
      <c r="D1751" t="s">
        <v>2065</v>
      </c>
      <c r="E1751" t="s">
        <v>2063</v>
      </c>
      <c r="F1751" t="s">
        <v>35</v>
      </c>
      <c r="G1751">
        <v>668.62</v>
      </c>
      <c r="H1751" t="s">
        <v>2060</v>
      </c>
      <c r="I1751" t="str">
        <f>VLOOKUP(B1751,Customers!A:G,7,FALSE)</f>
        <v>SME</v>
      </c>
      <c r="Q1751" t="str">
        <f>IF(COUNTIF(Customers!$A$2:$A$1001,B1751)&gt;0,"Valid","Invalid")</f>
        <v>Valid</v>
      </c>
      <c r="R1751" t="str">
        <f>IF(COUNTIF(Branches!$A$2:$A$11,F1751)&gt;0,"Valid","Invalid")</f>
        <v>Valid</v>
      </c>
    </row>
    <row r="1752" spans="1:18" x14ac:dyDescent="0.25">
      <c r="A1752" t="s">
        <v>3823</v>
      </c>
      <c r="B1752" t="s">
        <v>465</v>
      </c>
      <c r="C1752" s="8">
        <v>46205</v>
      </c>
      <c r="D1752" t="s">
        <v>2062</v>
      </c>
      <c r="E1752" t="s">
        <v>2059</v>
      </c>
      <c r="F1752" t="s">
        <v>39</v>
      </c>
      <c r="G1752">
        <v>760.69</v>
      </c>
      <c r="H1752" t="s">
        <v>2060</v>
      </c>
      <c r="I1752" t="str">
        <f>VLOOKUP(B1752,Customers!A:G,7,FALSE)</f>
        <v>Individual</v>
      </c>
      <c r="Q1752" t="str">
        <f>IF(COUNTIF(Customers!$A$2:$A$1001,B1752)&gt;0,"Valid","Invalid")</f>
        <v>Valid</v>
      </c>
      <c r="R1752" t="str">
        <f>IF(COUNTIF(Branches!$A$2:$A$11,F1752)&gt;0,"Valid","Invalid")</f>
        <v>Valid</v>
      </c>
    </row>
    <row r="1753" spans="1:18" x14ac:dyDescent="0.25">
      <c r="A1753" t="s">
        <v>3824</v>
      </c>
      <c r="B1753" t="s">
        <v>93</v>
      </c>
      <c r="C1753" s="8">
        <v>46205</v>
      </c>
      <c r="D1753" t="s">
        <v>2067</v>
      </c>
      <c r="E1753" t="s">
        <v>2059</v>
      </c>
      <c r="F1753" t="s">
        <v>11</v>
      </c>
      <c r="G1753">
        <v>4420.28</v>
      </c>
      <c r="H1753" t="s">
        <v>2060</v>
      </c>
      <c r="I1753" t="str">
        <f>VLOOKUP(B1753,Customers!A:G,7,FALSE)</f>
        <v>Student</v>
      </c>
      <c r="Q1753" t="str">
        <f>IF(COUNTIF(Customers!$A$2:$A$1001,B1753)&gt;0,"Valid","Invalid")</f>
        <v>Valid</v>
      </c>
      <c r="R1753" t="str">
        <f>IF(COUNTIF(Branches!$A$2:$A$11,F1753)&gt;0,"Valid","Invalid")</f>
        <v>Valid</v>
      </c>
    </row>
    <row r="1754" spans="1:18" x14ac:dyDescent="0.25">
      <c r="A1754" t="s">
        <v>3825</v>
      </c>
      <c r="B1754" t="s">
        <v>735</v>
      </c>
      <c r="C1754" s="8">
        <v>46026</v>
      </c>
      <c r="D1754" t="s">
        <v>2058</v>
      </c>
      <c r="E1754" t="s">
        <v>2073</v>
      </c>
      <c r="F1754" t="s">
        <v>21</v>
      </c>
      <c r="G1754">
        <v>570.44000000000005</v>
      </c>
      <c r="H1754" t="s">
        <v>2115</v>
      </c>
      <c r="I1754" t="str">
        <f>VLOOKUP(B1754,Customers!A:G,7,FALSE)</f>
        <v>Individual</v>
      </c>
      <c r="Q1754" t="str">
        <f>IF(COUNTIF(Customers!$A$2:$A$1001,B1754)&gt;0,"Valid","Invalid")</f>
        <v>Valid</v>
      </c>
      <c r="R1754" t="str">
        <f>IF(COUNTIF(Branches!$A$2:$A$11,F1754)&gt;0,"Valid","Invalid")</f>
        <v>Valid</v>
      </c>
    </row>
    <row r="1755" spans="1:18" x14ac:dyDescent="0.25">
      <c r="A1755" t="s">
        <v>3826</v>
      </c>
      <c r="B1755" t="s">
        <v>1009</v>
      </c>
      <c r="C1755" s="8">
        <v>46247</v>
      </c>
      <c r="D1755" t="s">
        <v>2058</v>
      </c>
      <c r="E1755" t="s">
        <v>2068</v>
      </c>
      <c r="F1755" t="s">
        <v>53</v>
      </c>
      <c r="G1755">
        <v>422.41</v>
      </c>
      <c r="H1755" t="s">
        <v>2060</v>
      </c>
      <c r="I1755" t="str">
        <f>VLOOKUP(B1755,Customers!A:G,7,FALSE)</f>
        <v>Individual</v>
      </c>
      <c r="Q1755" t="str">
        <f>IF(COUNTIF(Customers!$A$2:$A$1001,B1755)&gt;0,"Valid","Invalid")</f>
        <v>Valid</v>
      </c>
      <c r="R1755" t="str">
        <f>IF(COUNTIF(Branches!$A$2:$A$11,F1755)&gt;0,"Valid","Invalid")</f>
        <v>Valid</v>
      </c>
    </row>
    <row r="1756" spans="1:18" x14ac:dyDescent="0.25">
      <c r="A1756" t="s">
        <v>3827</v>
      </c>
      <c r="B1756" t="s">
        <v>604</v>
      </c>
      <c r="C1756" s="8">
        <v>46204</v>
      </c>
      <c r="D1756" t="s">
        <v>2062</v>
      </c>
      <c r="E1756" t="s">
        <v>2059</v>
      </c>
      <c r="F1756" t="s">
        <v>29</v>
      </c>
      <c r="G1756">
        <v>1836.3</v>
      </c>
      <c r="H1756" t="s">
        <v>2060</v>
      </c>
      <c r="I1756" t="str">
        <f>VLOOKUP(B1756,Customers!A:G,7,FALSE)</f>
        <v>Student</v>
      </c>
      <c r="Q1756" t="str">
        <f>IF(COUNTIF(Customers!$A$2:$A$1001,B1756)&gt;0,"Valid","Invalid")</f>
        <v>Valid</v>
      </c>
      <c r="R1756" t="str">
        <f>IF(COUNTIF(Branches!$A$2:$A$11,F1756)&gt;0,"Valid","Invalid")</f>
        <v>Valid</v>
      </c>
    </row>
    <row r="1757" spans="1:18" x14ac:dyDescent="0.25">
      <c r="A1757" t="s">
        <v>3828</v>
      </c>
      <c r="B1757" t="s">
        <v>759</v>
      </c>
      <c r="C1757" s="8">
        <v>46083</v>
      </c>
      <c r="D1757" t="s">
        <v>2058</v>
      </c>
      <c r="E1757" t="s">
        <v>2068</v>
      </c>
      <c r="F1757" t="s">
        <v>39</v>
      </c>
      <c r="G1757">
        <v>398.67</v>
      </c>
      <c r="H1757" t="s">
        <v>2060</v>
      </c>
      <c r="I1757" t="str">
        <f>VLOOKUP(B1757,Customers!A:G,7,FALSE)</f>
        <v>Individual</v>
      </c>
      <c r="Q1757" t="str">
        <f>IF(COUNTIF(Customers!$A$2:$A$1001,B1757)&gt;0,"Valid","Invalid")</f>
        <v>Valid</v>
      </c>
      <c r="R1757" t="str">
        <f>IF(COUNTIF(Branches!$A$2:$A$11,F1757)&gt;0,"Valid","Invalid")</f>
        <v>Valid</v>
      </c>
    </row>
    <row r="1758" spans="1:18" x14ac:dyDescent="0.25">
      <c r="A1758" t="s">
        <v>3829</v>
      </c>
      <c r="B1758" t="s">
        <v>406</v>
      </c>
      <c r="C1758" s="8">
        <v>46133</v>
      </c>
      <c r="D1758" t="s">
        <v>2058</v>
      </c>
      <c r="E1758" t="s">
        <v>2059</v>
      </c>
      <c r="F1758" t="s">
        <v>47</v>
      </c>
      <c r="G1758">
        <v>703.03</v>
      </c>
      <c r="H1758" t="s">
        <v>2060</v>
      </c>
      <c r="I1758" t="str">
        <f>VLOOKUP(B1758,Customers!A:G,7,FALSE)</f>
        <v>SME</v>
      </c>
      <c r="Q1758" t="str">
        <f>IF(COUNTIF(Customers!$A$2:$A$1001,B1758)&gt;0,"Valid","Invalid")</f>
        <v>Valid</v>
      </c>
      <c r="R1758" t="str">
        <f>IF(COUNTIF(Branches!$A$2:$A$11,F1758)&gt;0,"Valid","Invalid")</f>
        <v>Valid</v>
      </c>
    </row>
    <row r="1759" spans="1:18" x14ac:dyDescent="0.25">
      <c r="A1759" t="s">
        <v>3830</v>
      </c>
      <c r="B1759" t="s">
        <v>979</v>
      </c>
      <c r="C1759" s="8">
        <v>46100</v>
      </c>
      <c r="D1759" t="s">
        <v>2070</v>
      </c>
      <c r="E1759" t="s">
        <v>2068</v>
      </c>
      <c r="F1759" t="s">
        <v>29</v>
      </c>
      <c r="G1759">
        <v>217.2</v>
      </c>
      <c r="H1759" t="s">
        <v>2060</v>
      </c>
      <c r="I1759" t="str">
        <f>VLOOKUP(B1759,Customers!A:G,7,FALSE)</f>
        <v>Individual</v>
      </c>
      <c r="Q1759" t="str">
        <f>IF(COUNTIF(Customers!$A$2:$A$1001,B1759)&gt;0,"Valid","Invalid")</f>
        <v>Valid</v>
      </c>
      <c r="R1759" t="str">
        <f>IF(COUNTIF(Branches!$A$2:$A$11,F1759)&gt;0,"Valid","Invalid")</f>
        <v>Valid</v>
      </c>
    </row>
    <row r="1760" spans="1:18" x14ac:dyDescent="0.25">
      <c r="A1760" t="s">
        <v>3831</v>
      </c>
      <c r="B1760" t="s">
        <v>380</v>
      </c>
      <c r="C1760" s="8">
        <v>46105</v>
      </c>
      <c r="D1760" t="s">
        <v>2062</v>
      </c>
      <c r="E1760" t="s">
        <v>2063</v>
      </c>
      <c r="F1760" t="s">
        <v>47</v>
      </c>
      <c r="G1760">
        <v>977.89</v>
      </c>
      <c r="H1760" t="s">
        <v>2060</v>
      </c>
      <c r="I1760" t="str">
        <f>VLOOKUP(B1760,Customers!A:G,7,FALSE)</f>
        <v>Individual</v>
      </c>
      <c r="Q1760" t="str">
        <f>IF(COUNTIF(Customers!$A$2:$A$1001,B1760)&gt;0,"Valid","Invalid")</f>
        <v>Valid</v>
      </c>
      <c r="R1760" t="str">
        <f>IF(COUNTIF(Branches!$A$2:$A$11,F1760)&gt;0,"Valid","Invalid")</f>
        <v>Valid</v>
      </c>
    </row>
    <row r="1761" spans="1:18" x14ac:dyDescent="0.25">
      <c r="A1761" t="s">
        <v>3832</v>
      </c>
      <c r="B1761" t="s">
        <v>843</v>
      </c>
      <c r="C1761" s="8">
        <v>46155</v>
      </c>
      <c r="D1761" t="s">
        <v>2065</v>
      </c>
      <c r="E1761" t="s">
        <v>2068</v>
      </c>
      <c r="F1761" t="s">
        <v>53</v>
      </c>
      <c r="G1761">
        <v>869.66</v>
      </c>
      <c r="H1761" t="s">
        <v>2060</v>
      </c>
      <c r="I1761" t="str">
        <f>VLOOKUP(B1761,Customers!A:G,7,FALSE)</f>
        <v>Individual</v>
      </c>
      <c r="Q1761" t="str">
        <f>IF(COUNTIF(Customers!$A$2:$A$1001,B1761)&gt;0,"Valid","Invalid")</f>
        <v>Valid</v>
      </c>
      <c r="R1761" t="str">
        <f>IF(COUNTIF(Branches!$A$2:$A$11,F1761)&gt;0,"Valid","Invalid")</f>
        <v>Valid</v>
      </c>
    </row>
    <row r="1762" spans="1:18" x14ac:dyDescent="0.25">
      <c r="A1762" t="s">
        <v>3833</v>
      </c>
      <c r="B1762" t="s">
        <v>890</v>
      </c>
      <c r="C1762" s="8">
        <v>46122</v>
      </c>
      <c r="D1762" t="s">
        <v>2065</v>
      </c>
      <c r="E1762" t="s">
        <v>2059</v>
      </c>
      <c r="F1762" t="s">
        <v>29</v>
      </c>
      <c r="G1762">
        <v>2138.84</v>
      </c>
      <c r="H1762" t="s">
        <v>2060</v>
      </c>
      <c r="I1762" t="str">
        <f>VLOOKUP(B1762,Customers!A:G,7,FALSE)</f>
        <v>Student</v>
      </c>
      <c r="Q1762" t="str">
        <f>IF(COUNTIF(Customers!$A$2:$A$1001,B1762)&gt;0,"Valid","Invalid")</f>
        <v>Valid</v>
      </c>
      <c r="R1762" t="str">
        <f>IF(COUNTIF(Branches!$A$2:$A$11,F1762)&gt;0,"Valid","Invalid")</f>
        <v>Valid</v>
      </c>
    </row>
    <row r="1763" spans="1:18" x14ac:dyDescent="0.25">
      <c r="A1763" t="s">
        <v>3834</v>
      </c>
      <c r="B1763" t="s">
        <v>342</v>
      </c>
      <c r="C1763" s="8">
        <v>46245</v>
      </c>
      <c r="D1763" t="s">
        <v>2062</v>
      </c>
      <c r="E1763" t="s">
        <v>2063</v>
      </c>
      <c r="F1763" t="s">
        <v>35</v>
      </c>
      <c r="G1763">
        <v>1914.59</v>
      </c>
      <c r="H1763" t="s">
        <v>2060</v>
      </c>
      <c r="I1763" t="str">
        <f>VLOOKUP(B1763,Customers!A:G,7,FALSE)</f>
        <v>Individual</v>
      </c>
      <c r="Q1763" t="str">
        <f>IF(COUNTIF(Customers!$A$2:$A$1001,B1763)&gt;0,"Valid","Invalid")</f>
        <v>Valid</v>
      </c>
      <c r="R1763" t="str">
        <f>IF(COUNTIF(Branches!$A$2:$A$11,F1763)&gt;0,"Valid","Invalid")</f>
        <v>Valid</v>
      </c>
    </row>
    <row r="1764" spans="1:18" x14ac:dyDescent="0.25">
      <c r="A1764" t="s">
        <v>3835</v>
      </c>
      <c r="B1764" t="s">
        <v>802</v>
      </c>
      <c r="C1764" s="8">
        <v>46259</v>
      </c>
      <c r="D1764" t="s">
        <v>2062</v>
      </c>
      <c r="E1764" t="s">
        <v>2063</v>
      </c>
      <c r="F1764" t="s">
        <v>27</v>
      </c>
      <c r="G1764">
        <v>1410.24</v>
      </c>
      <c r="H1764" t="s">
        <v>2060</v>
      </c>
      <c r="I1764" t="str">
        <f>VLOOKUP(B1764,Customers!A:G,7,FALSE)</f>
        <v>Individual</v>
      </c>
      <c r="Q1764" t="str">
        <f>IF(COUNTIF(Customers!$A$2:$A$1001,B1764)&gt;0,"Valid","Invalid")</f>
        <v>Valid</v>
      </c>
      <c r="R1764" t="str">
        <f>IF(COUNTIF(Branches!$A$2:$A$11,F1764)&gt;0,"Valid","Invalid")</f>
        <v>Valid</v>
      </c>
    </row>
    <row r="1765" spans="1:18" x14ac:dyDescent="0.25">
      <c r="A1765" t="s">
        <v>3836</v>
      </c>
      <c r="B1765" t="s">
        <v>412</v>
      </c>
      <c r="C1765" s="8">
        <v>46168</v>
      </c>
      <c r="D1765" t="s">
        <v>2058</v>
      </c>
      <c r="E1765" t="s">
        <v>2059</v>
      </c>
      <c r="F1765" t="s">
        <v>11</v>
      </c>
      <c r="G1765">
        <v>1205.03</v>
      </c>
      <c r="H1765" t="s">
        <v>2060</v>
      </c>
      <c r="I1765" t="str">
        <f>VLOOKUP(B1765,Customers!A:G,7,FALSE)</f>
        <v>Individual</v>
      </c>
      <c r="Q1765" t="str">
        <f>IF(COUNTIF(Customers!$A$2:$A$1001,B1765)&gt;0,"Valid","Invalid")</f>
        <v>Valid</v>
      </c>
      <c r="R1765" t="str">
        <f>IF(COUNTIF(Branches!$A$2:$A$11,F1765)&gt;0,"Valid","Invalid")</f>
        <v>Valid</v>
      </c>
    </row>
    <row r="1766" spans="1:18" x14ac:dyDescent="0.25">
      <c r="A1766" t="s">
        <v>3837</v>
      </c>
      <c r="B1766" t="s">
        <v>988</v>
      </c>
      <c r="C1766" s="8">
        <v>46194</v>
      </c>
      <c r="D1766" t="s">
        <v>2058</v>
      </c>
      <c r="E1766" t="s">
        <v>2076</v>
      </c>
      <c r="F1766" t="s">
        <v>39</v>
      </c>
      <c r="G1766">
        <v>755.02</v>
      </c>
      <c r="H1766" t="s">
        <v>2060</v>
      </c>
      <c r="I1766" t="str">
        <f>VLOOKUP(B1766,Customers!A:G,7,FALSE)</f>
        <v>Individual</v>
      </c>
      <c r="Q1766" t="str">
        <f>IF(COUNTIF(Customers!$A$2:$A$1001,B1766)&gt;0,"Valid","Invalid")</f>
        <v>Valid</v>
      </c>
      <c r="R1766" t="str">
        <f>IF(COUNTIF(Branches!$A$2:$A$11,F1766)&gt;0,"Valid","Invalid")</f>
        <v>Valid</v>
      </c>
    </row>
    <row r="1767" spans="1:18" x14ac:dyDescent="0.25">
      <c r="A1767" t="s">
        <v>3838</v>
      </c>
      <c r="B1767" t="s">
        <v>854</v>
      </c>
      <c r="C1767" s="8">
        <v>46053</v>
      </c>
      <c r="D1767" t="s">
        <v>2058</v>
      </c>
      <c r="E1767" t="s">
        <v>2063</v>
      </c>
      <c r="F1767" t="s">
        <v>45</v>
      </c>
      <c r="G1767">
        <v>1494.51</v>
      </c>
      <c r="H1767" t="s">
        <v>2060</v>
      </c>
      <c r="I1767" t="str">
        <f>VLOOKUP(B1767,Customers!A:G,7,FALSE)</f>
        <v>Individual</v>
      </c>
      <c r="Q1767" t="str">
        <f>IF(COUNTIF(Customers!$A$2:$A$1001,B1767)&gt;0,"Valid","Invalid")</f>
        <v>Valid</v>
      </c>
      <c r="R1767" t="str">
        <f>IF(COUNTIF(Branches!$A$2:$A$11,F1767)&gt;0,"Valid","Invalid")</f>
        <v>Valid</v>
      </c>
    </row>
    <row r="1768" spans="1:18" x14ac:dyDescent="0.25">
      <c r="A1768" t="s">
        <v>3839</v>
      </c>
      <c r="B1768" t="s">
        <v>148</v>
      </c>
      <c r="C1768" s="8">
        <v>46141</v>
      </c>
      <c r="D1768" t="s">
        <v>2067</v>
      </c>
      <c r="E1768" t="s">
        <v>2076</v>
      </c>
      <c r="F1768" t="s">
        <v>39</v>
      </c>
      <c r="G1768">
        <v>267.11</v>
      </c>
      <c r="H1768" t="s">
        <v>2060</v>
      </c>
      <c r="I1768" t="str">
        <f>VLOOKUP(B1768,Customers!A:G,7,FALSE)</f>
        <v>Individual</v>
      </c>
      <c r="Q1768" t="str">
        <f>IF(COUNTIF(Customers!$A$2:$A$1001,B1768)&gt;0,"Valid","Invalid")</f>
        <v>Valid</v>
      </c>
      <c r="R1768" t="str">
        <f>IF(COUNTIF(Branches!$A$2:$A$11,F1768)&gt;0,"Valid","Invalid")</f>
        <v>Valid</v>
      </c>
    </row>
    <row r="1769" spans="1:18" x14ac:dyDescent="0.25">
      <c r="A1769" t="s">
        <v>3840</v>
      </c>
      <c r="B1769" t="s">
        <v>916</v>
      </c>
      <c r="C1769" s="8">
        <v>46116</v>
      </c>
      <c r="D1769" t="s">
        <v>2058</v>
      </c>
      <c r="E1769" t="s">
        <v>2076</v>
      </c>
      <c r="F1769" t="s">
        <v>47</v>
      </c>
      <c r="G1769">
        <v>77.56</v>
      </c>
      <c r="H1769" t="s">
        <v>2060</v>
      </c>
      <c r="I1769" t="str">
        <f>VLOOKUP(B1769,Customers!A:G,7,FALSE)</f>
        <v>Individual</v>
      </c>
      <c r="Q1769" t="str">
        <f>IF(COUNTIF(Customers!$A$2:$A$1001,B1769)&gt;0,"Valid","Invalid")</f>
        <v>Valid</v>
      </c>
      <c r="R1769" t="str">
        <f>IF(COUNTIF(Branches!$A$2:$A$11,F1769)&gt;0,"Valid","Invalid")</f>
        <v>Valid</v>
      </c>
    </row>
    <row r="1770" spans="1:18" x14ac:dyDescent="0.25">
      <c r="A1770" t="s">
        <v>3841</v>
      </c>
      <c r="B1770" t="s">
        <v>30</v>
      </c>
      <c r="C1770" s="8">
        <v>46171</v>
      </c>
      <c r="D1770" t="s">
        <v>2065</v>
      </c>
      <c r="E1770" t="s">
        <v>2076</v>
      </c>
      <c r="F1770" t="s">
        <v>29</v>
      </c>
      <c r="G1770">
        <v>2596.4899999999998</v>
      </c>
      <c r="H1770" t="s">
        <v>2060</v>
      </c>
      <c r="I1770" t="str">
        <f>VLOOKUP(B1770,Customers!A:G,7,FALSE)</f>
        <v>SME</v>
      </c>
      <c r="Q1770" t="str">
        <f>IF(COUNTIF(Customers!$A$2:$A$1001,B1770)&gt;0,"Valid","Invalid")</f>
        <v>Valid</v>
      </c>
      <c r="R1770" t="str">
        <f>IF(COUNTIF(Branches!$A$2:$A$11,F1770)&gt;0,"Valid","Invalid")</f>
        <v>Valid</v>
      </c>
    </row>
    <row r="1771" spans="1:18" x14ac:dyDescent="0.25">
      <c r="A1771" t="s">
        <v>3842</v>
      </c>
      <c r="B1771" t="s">
        <v>968</v>
      </c>
      <c r="C1771" s="8">
        <v>46197</v>
      </c>
      <c r="D1771" t="s">
        <v>2070</v>
      </c>
      <c r="E1771" t="s">
        <v>2068</v>
      </c>
      <c r="F1771" t="s">
        <v>35</v>
      </c>
      <c r="G1771">
        <v>1594.25</v>
      </c>
      <c r="H1771" t="s">
        <v>2060</v>
      </c>
      <c r="I1771" t="str">
        <f>VLOOKUP(B1771,Customers!A:G,7,FALSE)</f>
        <v>SME</v>
      </c>
      <c r="Q1771" t="str">
        <f>IF(COUNTIF(Customers!$A$2:$A$1001,B1771)&gt;0,"Valid","Invalid")</f>
        <v>Valid</v>
      </c>
      <c r="R1771" t="str">
        <f>IF(COUNTIF(Branches!$A$2:$A$11,F1771)&gt;0,"Valid","Invalid")</f>
        <v>Valid</v>
      </c>
    </row>
    <row r="1772" spans="1:18" x14ac:dyDescent="0.25">
      <c r="A1772" t="s">
        <v>3843</v>
      </c>
      <c r="B1772" t="s">
        <v>741</v>
      </c>
      <c r="C1772" s="8">
        <v>46052</v>
      </c>
      <c r="D1772" t="s">
        <v>2062</v>
      </c>
      <c r="E1772" t="s">
        <v>2063</v>
      </c>
      <c r="F1772" t="s">
        <v>47</v>
      </c>
      <c r="G1772">
        <v>715.52</v>
      </c>
      <c r="H1772" t="s">
        <v>2060</v>
      </c>
      <c r="I1772" t="str">
        <f>VLOOKUP(B1772,Customers!A:G,7,FALSE)</f>
        <v>Individual</v>
      </c>
      <c r="Q1772" t="str">
        <f>IF(COUNTIF(Customers!$A$2:$A$1001,B1772)&gt;0,"Valid","Invalid")</f>
        <v>Valid</v>
      </c>
      <c r="R1772" t="str">
        <f>IF(COUNTIF(Branches!$A$2:$A$11,F1772)&gt;0,"Valid","Invalid")</f>
        <v>Valid</v>
      </c>
    </row>
    <row r="1773" spans="1:18" x14ac:dyDescent="0.25">
      <c r="A1773" t="s">
        <v>3844</v>
      </c>
      <c r="B1773" t="s">
        <v>884</v>
      </c>
      <c r="C1773" s="8">
        <v>46077</v>
      </c>
      <c r="D1773" t="s">
        <v>2058</v>
      </c>
      <c r="E1773" t="s">
        <v>2059</v>
      </c>
      <c r="F1773" t="s">
        <v>29</v>
      </c>
      <c r="G1773">
        <v>2379.29</v>
      </c>
      <c r="H1773" t="s">
        <v>2060</v>
      </c>
      <c r="I1773" t="str">
        <f>VLOOKUP(B1773,Customers!A:G,7,FALSE)</f>
        <v>SME</v>
      </c>
      <c r="Q1773" t="str">
        <f>IF(COUNTIF(Customers!$A$2:$A$1001,B1773)&gt;0,"Valid","Invalid")</f>
        <v>Valid</v>
      </c>
      <c r="R1773" t="str">
        <f>IF(COUNTIF(Branches!$A$2:$A$11,F1773)&gt;0,"Valid","Invalid")</f>
        <v>Valid</v>
      </c>
    </row>
    <row r="1774" spans="1:18" x14ac:dyDescent="0.25">
      <c r="A1774" t="s">
        <v>3845</v>
      </c>
      <c r="B1774" t="s">
        <v>982</v>
      </c>
      <c r="C1774" s="8">
        <v>46127</v>
      </c>
      <c r="D1774" t="s">
        <v>2067</v>
      </c>
      <c r="E1774" t="s">
        <v>2073</v>
      </c>
      <c r="F1774" t="s">
        <v>39</v>
      </c>
      <c r="G1774">
        <v>390.92</v>
      </c>
      <c r="H1774" t="s">
        <v>2115</v>
      </c>
      <c r="I1774" t="str">
        <f>VLOOKUP(B1774,Customers!A:G,7,FALSE)</f>
        <v>Individual</v>
      </c>
      <c r="Q1774" t="str">
        <f>IF(COUNTIF(Customers!$A$2:$A$1001,B1774)&gt;0,"Valid","Invalid")</f>
        <v>Valid</v>
      </c>
      <c r="R1774" t="str">
        <f>IF(COUNTIF(Branches!$A$2:$A$11,F1774)&gt;0,"Valid","Invalid")</f>
        <v>Valid</v>
      </c>
    </row>
    <row r="1775" spans="1:18" x14ac:dyDescent="0.25">
      <c r="A1775" t="s">
        <v>3846</v>
      </c>
      <c r="B1775" t="s">
        <v>317</v>
      </c>
      <c r="C1775" s="8">
        <v>46218</v>
      </c>
      <c r="D1775" t="s">
        <v>2065</v>
      </c>
      <c r="E1775" t="s">
        <v>2076</v>
      </c>
      <c r="F1775" t="s">
        <v>29</v>
      </c>
      <c r="G1775">
        <v>401.22</v>
      </c>
      <c r="H1775" t="s">
        <v>2060</v>
      </c>
      <c r="I1775" t="str">
        <f>VLOOKUP(B1775,Customers!A:G,7,FALSE)</f>
        <v>Individual</v>
      </c>
      <c r="Q1775" t="str">
        <f>IF(COUNTIF(Customers!$A$2:$A$1001,B1775)&gt;0,"Valid","Invalid")</f>
        <v>Valid</v>
      </c>
      <c r="R1775" t="str">
        <f>IF(COUNTIF(Branches!$A$2:$A$11,F1775)&gt;0,"Valid","Invalid")</f>
        <v>Valid</v>
      </c>
    </row>
    <row r="1776" spans="1:18" x14ac:dyDescent="0.25">
      <c r="A1776" t="s">
        <v>3847</v>
      </c>
      <c r="B1776" t="s">
        <v>420</v>
      </c>
      <c r="C1776" s="8">
        <v>46219</v>
      </c>
      <c r="D1776" t="s">
        <v>2067</v>
      </c>
      <c r="E1776" t="s">
        <v>2076</v>
      </c>
      <c r="F1776" t="s">
        <v>16</v>
      </c>
      <c r="G1776">
        <v>349.28</v>
      </c>
      <c r="H1776" t="s">
        <v>2060</v>
      </c>
      <c r="I1776" t="str">
        <f>VLOOKUP(B1776,Customers!A:G,7,FALSE)</f>
        <v>Student</v>
      </c>
      <c r="Q1776" t="str">
        <f>IF(COUNTIF(Customers!$A$2:$A$1001,B1776)&gt;0,"Valid","Invalid")</f>
        <v>Valid</v>
      </c>
      <c r="R1776" t="str">
        <f>IF(COUNTIF(Branches!$A$2:$A$11,F1776)&gt;0,"Valid","Invalid")</f>
        <v>Valid</v>
      </c>
    </row>
    <row r="1777" spans="1:18" x14ac:dyDescent="0.25">
      <c r="A1777" t="s">
        <v>3848</v>
      </c>
      <c r="B1777" t="s">
        <v>890</v>
      </c>
      <c r="C1777" s="8">
        <v>46063</v>
      </c>
      <c r="D1777" t="s">
        <v>2058</v>
      </c>
      <c r="E1777" t="s">
        <v>2076</v>
      </c>
      <c r="F1777" t="s">
        <v>35</v>
      </c>
      <c r="G1777">
        <v>1433.14</v>
      </c>
      <c r="H1777" t="s">
        <v>2060</v>
      </c>
      <c r="I1777" t="str">
        <f>VLOOKUP(B1777,Customers!A:G,7,FALSE)</f>
        <v>Student</v>
      </c>
      <c r="Q1777" t="str">
        <f>IF(COUNTIF(Customers!$A$2:$A$1001,B1777)&gt;0,"Valid","Invalid")</f>
        <v>Valid</v>
      </c>
      <c r="R1777" t="str">
        <f>IF(COUNTIF(Branches!$A$2:$A$11,F1777)&gt;0,"Valid","Invalid")</f>
        <v>Valid</v>
      </c>
    </row>
    <row r="1778" spans="1:18" x14ac:dyDescent="0.25">
      <c r="A1778" t="s">
        <v>3849</v>
      </c>
      <c r="B1778" t="s">
        <v>42</v>
      </c>
      <c r="C1778" s="8">
        <v>46195</v>
      </c>
      <c r="D1778" t="s">
        <v>2058</v>
      </c>
      <c r="E1778" t="s">
        <v>2063</v>
      </c>
      <c r="F1778" t="s">
        <v>27</v>
      </c>
      <c r="G1778">
        <v>166.84</v>
      </c>
      <c r="H1778" t="s">
        <v>2060</v>
      </c>
      <c r="I1778" t="str">
        <f>VLOOKUP(B1778,Customers!A:G,7,FALSE)</f>
        <v>Individual</v>
      </c>
      <c r="Q1778" t="str">
        <f>IF(COUNTIF(Customers!$A$2:$A$1001,B1778)&gt;0,"Valid","Invalid")</f>
        <v>Valid</v>
      </c>
      <c r="R1778" t="str">
        <f>IF(COUNTIF(Branches!$A$2:$A$11,F1778)&gt;0,"Valid","Invalid")</f>
        <v>Valid</v>
      </c>
    </row>
    <row r="1779" spans="1:18" x14ac:dyDescent="0.25">
      <c r="A1779" t="s">
        <v>3850</v>
      </c>
      <c r="B1779" t="s">
        <v>341</v>
      </c>
      <c r="C1779" s="8">
        <v>46096</v>
      </c>
      <c r="D1779" t="s">
        <v>2067</v>
      </c>
      <c r="E1779" t="s">
        <v>2076</v>
      </c>
      <c r="F1779" t="s">
        <v>45</v>
      </c>
      <c r="G1779">
        <v>377.3</v>
      </c>
      <c r="H1779" t="s">
        <v>2060</v>
      </c>
      <c r="I1779" t="str">
        <f>VLOOKUP(B1779,Customers!A:G,7,FALSE)</f>
        <v>SME</v>
      </c>
      <c r="Q1779" t="str">
        <f>IF(COUNTIF(Customers!$A$2:$A$1001,B1779)&gt;0,"Valid","Invalid")</f>
        <v>Valid</v>
      </c>
      <c r="R1779" t="str">
        <f>IF(COUNTIF(Branches!$A$2:$A$11,F1779)&gt;0,"Valid","Invalid")</f>
        <v>Valid</v>
      </c>
    </row>
    <row r="1780" spans="1:18" x14ac:dyDescent="0.25">
      <c r="A1780" t="s">
        <v>3851</v>
      </c>
      <c r="B1780" t="s">
        <v>594</v>
      </c>
      <c r="C1780" s="8">
        <v>46241</v>
      </c>
      <c r="D1780" t="s">
        <v>2058</v>
      </c>
      <c r="E1780" t="s">
        <v>2073</v>
      </c>
      <c r="F1780" t="s">
        <v>53</v>
      </c>
      <c r="G1780">
        <v>1085.4100000000001</v>
      </c>
      <c r="H1780" t="s">
        <v>2060</v>
      </c>
      <c r="I1780" t="str">
        <f>VLOOKUP(B1780,Customers!A:G,7,FALSE)</f>
        <v>SME</v>
      </c>
      <c r="Q1780" t="str">
        <f>IF(COUNTIF(Customers!$A$2:$A$1001,B1780)&gt;0,"Valid","Invalid")</f>
        <v>Valid</v>
      </c>
      <c r="R1780" t="str">
        <f>IF(COUNTIF(Branches!$A$2:$A$11,F1780)&gt;0,"Valid","Invalid")</f>
        <v>Valid</v>
      </c>
    </row>
    <row r="1781" spans="1:18" x14ac:dyDescent="0.25">
      <c r="A1781" t="s">
        <v>3852</v>
      </c>
      <c r="B1781" t="s">
        <v>655</v>
      </c>
      <c r="C1781" s="8">
        <v>46230</v>
      </c>
      <c r="D1781" t="s">
        <v>2062</v>
      </c>
      <c r="E1781" t="s">
        <v>2063</v>
      </c>
      <c r="F1781" t="s">
        <v>45</v>
      </c>
      <c r="G1781">
        <v>243.68</v>
      </c>
      <c r="H1781" t="s">
        <v>2060</v>
      </c>
      <c r="I1781" t="str">
        <f>VLOOKUP(B1781,Customers!A:G,7,FALSE)</f>
        <v>Individual</v>
      </c>
      <c r="Q1781" t="str">
        <f>IF(COUNTIF(Customers!$A$2:$A$1001,B1781)&gt;0,"Valid","Invalid")</f>
        <v>Valid</v>
      </c>
      <c r="R1781" t="str">
        <f>IF(COUNTIF(Branches!$A$2:$A$11,F1781)&gt;0,"Valid","Invalid")</f>
        <v>Valid</v>
      </c>
    </row>
    <row r="1782" spans="1:18" x14ac:dyDescent="0.25">
      <c r="A1782" t="s">
        <v>3853</v>
      </c>
      <c r="B1782" t="s">
        <v>196</v>
      </c>
      <c r="C1782" s="8">
        <v>46180</v>
      </c>
      <c r="D1782" t="s">
        <v>2065</v>
      </c>
      <c r="E1782" t="s">
        <v>2068</v>
      </c>
      <c r="F1782" t="s">
        <v>39</v>
      </c>
      <c r="G1782">
        <v>419.76</v>
      </c>
      <c r="H1782" t="s">
        <v>2060</v>
      </c>
      <c r="I1782" t="str">
        <f>VLOOKUP(B1782,Customers!A:G,7,FALSE)</f>
        <v>Individual</v>
      </c>
      <c r="Q1782" t="str">
        <f>IF(COUNTIF(Customers!$A$2:$A$1001,B1782)&gt;0,"Valid","Invalid")</f>
        <v>Valid</v>
      </c>
      <c r="R1782" t="str">
        <f>IF(COUNTIF(Branches!$A$2:$A$11,F1782)&gt;0,"Valid","Invalid")</f>
        <v>Valid</v>
      </c>
    </row>
    <row r="1783" spans="1:18" x14ac:dyDescent="0.25">
      <c r="A1783" t="s">
        <v>3854</v>
      </c>
      <c r="B1783" t="s">
        <v>190</v>
      </c>
      <c r="C1783" s="8">
        <v>46099</v>
      </c>
      <c r="D1783" t="s">
        <v>2067</v>
      </c>
      <c r="E1783" t="s">
        <v>2063</v>
      </c>
      <c r="F1783" t="s">
        <v>29</v>
      </c>
      <c r="G1783">
        <v>88.98</v>
      </c>
      <c r="H1783" t="s">
        <v>2060</v>
      </c>
      <c r="I1783" t="str">
        <f>VLOOKUP(B1783,Customers!A:G,7,FALSE)</f>
        <v>Corporate</v>
      </c>
      <c r="Q1783" t="str">
        <f>IF(COUNTIF(Customers!$A$2:$A$1001,B1783)&gt;0,"Valid","Invalid")</f>
        <v>Valid</v>
      </c>
      <c r="R1783" t="str">
        <f>IF(COUNTIF(Branches!$A$2:$A$11,F1783)&gt;0,"Valid","Invalid")</f>
        <v>Valid</v>
      </c>
    </row>
    <row r="1784" spans="1:18" x14ac:dyDescent="0.25">
      <c r="A1784" t="s">
        <v>3855</v>
      </c>
      <c r="B1784" t="s">
        <v>792</v>
      </c>
      <c r="C1784" s="8">
        <v>46250</v>
      </c>
      <c r="D1784" t="s">
        <v>2062</v>
      </c>
      <c r="E1784" t="s">
        <v>2059</v>
      </c>
      <c r="F1784" t="s">
        <v>16</v>
      </c>
      <c r="G1784">
        <v>1488.92</v>
      </c>
      <c r="H1784" t="s">
        <v>2115</v>
      </c>
      <c r="I1784" t="str">
        <f>VLOOKUP(B1784,Customers!A:G,7,FALSE)</f>
        <v>SME</v>
      </c>
      <c r="Q1784" t="str">
        <f>IF(COUNTIF(Customers!$A$2:$A$1001,B1784)&gt;0,"Valid","Invalid")</f>
        <v>Valid</v>
      </c>
      <c r="R1784" t="str">
        <f>IF(COUNTIF(Branches!$A$2:$A$11,F1784)&gt;0,"Valid","Invalid")</f>
        <v>Valid</v>
      </c>
    </row>
    <row r="1785" spans="1:18" x14ac:dyDescent="0.25">
      <c r="A1785" t="s">
        <v>3856</v>
      </c>
      <c r="B1785" t="s">
        <v>218</v>
      </c>
      <c r="C1785" s="8">
        <v>46107</v>
      </c>
      <c r="D1785" t="s">
        <v>2058</v>
      </c>
      <c r="E1785" t="s">
        <v>2068</v>
      </c>
      <c r="F1785" t="s">
        <v>35</v>
      </c>
      <c r="G1785">
        <v>408.37</v>
      </c>
      <c r="H1785" t="s">
        <v>2060</v>
      </c>
      <c r="I1785" t="str">
        <f>VLOOKUP(B1785,Customers!A:G,7,FALSE)</f>
        <v>Student</v>
      </c>
      <c r="Q1785" t="str">
        <f>IF(COUNTIF(Customers!$A$2:$A$1001,B1785)&gt;0,"Valid","Invalid")</f>
        <v>Valid</v>
      </c>
      <c r="R1785" t="str">
        <f>IF(COUNTIF(Branches!$A$2:$A$11,F1785)&gt;0,"Valid","Invalid")</f>
        <v>Valid</v>
      </c>
    </row>
    <row r="1786" spans="1:18" x14ac:dyDescent="0.25">
      <c r="A1786" t="s">
        <v>3857</v>
      </c>
      <c r="B1786" t="s">
        <v>564</v>
      </c>
      <c r="C1786" s="8">
        <v>46195</v>
      </c>
      <c r="D1786" t="s">
        <v>2058</v>
      </c>
      <c r="E1786" t="s">
        <v>2068</v>
      </c>
      <c r="F1786" t="s">
        <v>16</v>
      </c>
      <c r="G1786">
        <v>270.62</v>
      </c>
      <c r="H1786" t="s">
        <v>2060</v>
      </c>
      <c r="I1786" t="str">
        <f>VLOOKUP(B1786,Customers!A:G,7,FALSE)</f>
        <v>SME</v>
      </c>
      <c r="Q1786" t="str">
        <f>IF(COUNTIF(Customers!$A$2:$A$1001,B1786)&gt;0,"Valid","Invalid")</f>
        <v>Valid</v>
      </c>
      <c r="R1786" t="str">
        <f>IF(COUNTIF(Branches!$A$2:$A$11,F1786)&gt;0,"Valid","Invalid")</f>
        <v>Valid</v>
      </c>
    </row>
    <row r="1787" spans="1:18" x14ac:dyDescent="0.25">
      <c r="A1787" t="s">
        <v>3858</v>
      </c>
      <c r="B1787" t="s">
        <v>217</v>
      </c>
      <c r="C1787" s="8">
        <v>46126</v>
      </c>
      <c r="D1787" t="s">
        <v>2058</v>
      </c>
      <c r="E1787" t="s">
        <v>2068</v>
      </c>
      <c r="F1787" t="s">
        <v>21</v>
      </c>
      <c r="G1787">
        <v>222.51</v>
      </c>
      <c r="H1787" t="s">
        <v>2060</v>
      </c>
      <c r="I1787" t="str">
        <f>VLOOKUP(B1787,Customers!A:G,7,FALSE)</f>
        <v>Individual</v>
      </c>
      <c r="Q1787" t="str">
        <f>IF(COUNTIF(Customers!$A$2:$A$1001,B1787)&gt;0,"Valid","Invalid")</f>
        <v>Valid</v>
      </c>
      <c r="R1787" t="str">
        <f>IF(COUNTIF(Branches!$A$2:$A$11,F1787)&gt;0,"Valid","Invalid")</f>
        <v>Valid</v>
      </c>
    </row>
    <row r="1788" spans="1:18" x14ac:dyDescent="0.25">
      <c r="A1788" t="s">
        <v>3859</v>
      </c>
      <c r="B1788" t="s">
        <v>415</v>
      </c>
      <c r="C1788" s="8">
        <v>46195</v>
      </c>
      <c r="D1788" t="s">
        <v>2070</v>
      </c>
      <c r="E1788" t="s">
        <v>2073</v>
      </c>
      <c r="F1788" t="s">
        <v>53</v>
      </c>
      <c r="G1788">
        <v>534.74</v>
      </c>
      <c r="H1788" t="s">
        <v>2060</v>
      </c>
      <c r="I1788" t="str">
        <f>VLOOKUP(B1788,Customers!A:G,7,FALSE)</f>
        <v>Individual</v>
      </c>
      <c r="Q1788" t="str">
        <f>IF(COUNTIF(Customers!$A$2:$A$1001,B1788)&gt;0,"Valid","Invalid")</f>
        <v>Valid</v>
      </c>
      <c r="R1788" t="str">
        <f>IF(COUNTIF(Branches!$A$2:$A$11,F1788)&gt;0,"Valid","Invalid")</f>
        <v>Valid</v>
      </c>
    </row>
    <row r="1789" spans="1:18" x14ac:dyDescent="0.25">
      <c r="A1789" t="s">
        <v>3860</v>
      </c>
      <c r="B1789" t="s">
        <v>842</v>
      </c>
      <c r="C1789" s="8">
        <v>46101</v>
      </c>
      <c r="D1789" t="s">
        <v>2065</v>
      </c>
      <c r="E1789" t="s">
        <v>2059</v>
      </c>
      <c r="F1789" t="s">
        <v>47</v>
      </c>
      <c r="G1789">
        <v>167.31</v>
      </c>
      <c r="H1789" t="s">
        <v>2060</v>
      </c>
      <c r="I1789" t="str">
        <f>VLOOKUP(B1789,Customers!A:G,7,FALSE)</f>
        <v>Individual</v>
      </c>
      <c r="Q1789" t="str">
        <f>IF(COUNTIF(Customers!$A$2:$A$1001,B1789)&gt;0,"Valid","Invalid")</f>
        <v>Valid</v>
      </c>
      <c r="R1789" t="str">
        <f>IF(COUNTIF(Branches!$A$2:$A$11,F1789)&gt;0,"Valid","Invalid")</f>
        <v>Valid</v>
      </c>
    </row>
    <row r="1790" spans="1:18" x14ac:dyDescent="0.25">
      <c r="A1790" t="s">
        <v>3861</v>
      </c>
      <c r="B1790" t="s">
        <v>814</v>
      </c>
      <c r="C1790" s="8">
        <v>46234</v>
      </c>
      <c r="D1790" t="s">
        <v>2058</v>
      </c>
      <c r="E1790" t="s">
        <v>2076</v>
      </c>
      <c r="F1790" t="s">
        <v>47</v>
      </c>
      <c r="G1790">
        <v>5666.8</v>
      </c>
      <c r="H1790" t="s">
        <v>2060</v>
      </c>
      <c r="I1790" t="str">
        <f>VLOOKUP(B1790,Customers!A:G,7,FALSE)</f>
        <v>Individual</v>
      </c>
      <c r="Q1790" t="str">
        <f>IF(COUNTIF(Customers!$A$2:$A$1001,B1790)&gt;0,"Valid","Invalid")</f>
        <v>Valid</v>
      </c>
      <c r="R1790" t="str">
        <f>IF(COUNTIF(Branches!$A$2:$A$11,F1790)&gt;0,"Valid","Invalid")</f>
        <v>Valid</v>
      </c>
    </row>
    <row r="1791" spans="1:18" x14ac:dyDescent="0.25">
      <c r="A1791" t="s">
        <v>3862</v>
      </c>
      <c r="B1791" t="s">
        <v>204</v>
      </c>
      <c r="C1791" s="8">
        <v>46106</v>
      </c>
      <c r="D1791" t="s">
        <v>2065</v>
      </c>
      <c r="E1791" t="s">
        <v>2059</v>
      </c>
      <c r="F1791" t="s">
        <v>29</v>
      </c>
      <c r="G1791">
        <v>74.83</v>
      </c>
      <c r="H1791" t="s">
        <v>2060</v>
      </c>
      <c r="I1791" t="str">
        <f>VLOOKUP(B1791,Customers!A:G,7,FALSE)</f>
        <v>Individual</v>
      </c>
      <c r="Q1791" t="str">
        <f>IF(COUNTIF(Customers!$A$2:$A$1001,B1791)&gt;0,"Valid","Invalid")</f>
        <v>Valid</v>
      </c>
      <c r="R1791" t="str">
        <f>IF(COUNTIF(Branches!$A$2:$A$11,F1791)&gt;0,"Valid","Invalid")</f>
        <v>Valid</v>
      </c>
    </row>
    <row r="1792" spans="1:18" x14ac:dyDescent="0.25">
      <c r="A1792" t="s">
        <v>3863</v>
      </c>
      <c r="B1792" t="s">
        <v>251</v>
      </c>
      <c r="C1792" s="8">
        <v>46195</v>
      </c>
      <c r="D1792" t="s">
        <v>2065</v>
      </c>
      <c r="E1792" t="s">
        <v>2059</v>
      </c>
      <c r="F1792" t="s">
        <v>47</v>
      </c>
      <c r="G1792">
        <v>517.69000000000005</v>
      </c>
      <c r="H1792" t="s">
        <v>2060</v>
      </c>
      <c r="I1792" t="str">
        <f>VLOOKUP(B1792,Customers!A:G,7,FALSE)</f>
        <v>Individual</v>
      </c>
      <c r="Q1792" t="str">
        <f>IF(COUNTIF(Customers!$A$2:$A$1001,B1792)&gt;0,"Valid","Invalid")</f>
        <v>Valid</v>
      </c>
      <c r="R1792" t="str">
        <f>IF(COUNTIF(Branches!$A$2:$A$11,F1792)&gt;0,"Valid","Invalid")</f>
        <v>Valid</v>
      </c>
    </row>
    <row r="1793" spans="1:18" x14ac:dyDescent="0.25">
      <c r="A1793" t="s">
        <v>3864</v>
      </c>
      <c r="B1793" t="s">
        <v>186</v>
      </c>
      <c r="C1793" s="8">
        <v>46205</v>
      </c>
      <c r="D1793" t="s">
        <v>2067</v>
      </c>
      <c r="E1793" t="s">
        <v>2059</v>
      </c>
      <c r="F1793" t="s">
        <v>27</v>
      </c>
      <c r="G1793">
        <v>904.07</v>
      </c>
      <c r="H1793" t="s">
        <v>2060</v>
      </c>
      <c r="I1793" t="str">
        <f>VLOOKUP(B1793,Customers!A:G,7,FALSE)</f>
        <v>SME</v>
      </c>
      <c r="Q1793" t="str">
        <f>IF(COUNTIF(Customers!$A$2:$A$1001,B1793)&gt;0,"Valid","Invalid")</f>
        <v>Valid</v>
      </c>
      <c r="R1793" t="str">
        <f>IF(COUNTIF(Branches!$A$2:$A$11,F1793)&gt;0,"Valid","Invalid")</f>
        <v>Valid</v>
      </c>
    </row>
    <row r="1794" spans="1:18" x14ac:dyDescent="0.25">
      <c r="A1794" t="s">
        <v>3865</v>
      </c>
      <c r="B1794" t="s">
        <v>49</v>
      </c>
      <c r="C1794" s="8">
        <v>46209</v>
      </c>
      <c r="D1794" t="s">
        <v>2065</v>
      </c>
      <c r="E1794" t="s">
        <v>2076</v>
      </c>
      <c r="F1794" t="s">
        <v>39</v>
      </c>
      <c r="G1794">
        <v>374.14</v>
      </c>
      <c r="H1794" t="s">
        <v>2060</v>
      </c>
      <c r="I1794" t="str">
        <f>VLOOKUP(B1794,Customers!A:G,7,FALSE)</f>
        <v>Individual</v>
      </c>
      <c r="Q1794" t="str">
        <f>IF(COUNTIF(Customers!$A$2:$A$1001,B1794)&gt;0,"Valid","Invalid")</f>
        <v>Valid</v>
      </c>
      <c r="R1794" t="str">
        <f>IF(COUNTIF(Branches!$A$2:$A$11,F1794)&gt;0,"Valid","Invalid")</f>
        <v>Valid</v>
      </c>
    </row>
    <row r="1795" spans="1:18" x14ac:dyDescent="0.25">
      <c r="A1795" t="s">
        <v>3866</v>
      </c>
      <c r="B1795" t="s">
        <v>127</v>
      </c>
      <c r="C1795" s="8">
        <v>46155</v>
      </c>
      <c r="D1795" t="s">
        <v>2070</v>
      </c>
      <c r="E1795" t="s">
        <v>2059</v>
      </c>
      <c r="F1795" t="s">
        <v>11</v>
      </c>
      <c r="G1795">
        <v>1004.39</v>
      </c>
      <c r="H1795" t="s">
        <v>2060</v>
      </c>
      <c r="I1795" t="str">
        <f>VLOOKUP(B1795,Customers!A:G,7,FALSE)</f>
        <v>Individual</v>
      </c>
      <c r="Q1795" t="str">
        <f>IF(COUNTIF(Customers!$A$2:$A$1001,B1795)&gt;0,"Valid","Invalid")</f>
        <v>Valid</v>
      </c>
      <c r="R1795" t="str">
        <f>IF(COUNTIF(Branches!$A$2:$A$11,F1795)&gt;0,"Valid","Invalid")</f>
        <v>Valid</v>
      </c>
    </row>
    <row r="1796" spans="1:18" x14ac:dyDescent="0.25">
      <c r="A1796" t="s">
        <v>3867</v>
      </c>
      <c r="B1796" t="s">
        <v>156</v>
      </c>
      <c r="C1796" s="8">
        <v>46146</v>
      </c>
      <c r="D1796" t="s">
        <v>2070</v>
      </c>
      <c r="E1796" t="s">
        <v>2068</v>
      </c>
      <c r="F1796" t="s">
        <v>27</v>
      </c>
      <c r="G1796">
        <v>365.18</v>
      </c>
      <c r="H1796" t="s">
        <v>2060</v>
      </c>
      <c r="I1796" t="str">
        <f>VLOOKUP(B1796,Customers!A:G,7,FALSE)</f>
        <v>Individual</v>
      </c>
      <c r="Q1796" t="str">
        <f>IF(COUNTIF(Customers!$A$2:$A$1001,B1796)&gt;0,"Valid","Invalid")</f>
        <v>Valid</v>
      </c>
      <c r="R1796" t="str">
        <f>IF(COUNTIF(Branches!$A$2:$A$11,F1796)&gt;0,"Valid","Invalid")</f>
        <v>Valid</v>
      </c>
    </row>
    <row r="1797" spans="1:18" x14ac:dyDescent="0.25">
      <c r="A1797" t="s">
        <v>3868</v>
      </c>
      <c r="B1797" t="s">
        <v>994</v>
      </c>
      <c r="C1797" s="8">
        <v>46054</v>
      </c>
      <c r="D1797" t="s">
        <v>2067</v>
      </c>
      <c r="E1797" t="s">
        <v>2076</v>
      </c>
      <c r="F1797" t="s">
        <v>11</v>
      </c>
      <c r="G1797">
        <v>3752.19</v>
      </c>
      <c r="H1797" t="s">
        <v>2060</v>
      </c>
      <c r="I1797" t="str">
        <f>VLOOKUP(B1797,Customers!A:G,7,FALSE)</f>
        <v>Individual</v>
      </c>
      <c r="Q1797" t="str">
        <f>IF(COUNTIF(Customers!$A$2:$A$1001,B1797)&gt;0,"Valid","Invalid")</f>
        <v>Valid</v>
      </c>
      <c r="R1797" t="str">
        <f>IF(COUNTIF(Branches!$A$2:$A$11,F1797)&gt;0,"Valid","Invalid")</f>
        <v>Valid</v>
      </c>
    </row>
    <row r="1798" spans="1:18" x14ac:dyDescent="0.25">
      <c r="A1798" t="s">
        <v>3869</v>
      </c>
      <c r="B1798" t="s">
        <v>291</v>
      </c>
      <c r="C1798" s="8">
        <v>46028</v>
      </c>
      <c r="D1798" t="s">
        <v>2058</v>
      </c>
      <c r="E1798" t="s">
        <v>2063</v>
      </c>
      <c r="F1798" t="s">
        <v>39</v>
      </c>
      <c r="G1798">
        <v>265.37</v>
      </c>
      <c r="H1798" t="s">
        <v>2060</v>
      </c>
      <c r="I1798" t="str">
        <f>VLOOKUP(B1798,Customers!A:G,7,FALSE)</f>
        <v>Individual</v>
      </c>
      <c r="Q1798" t="str">
        <f>IF(COUNTIF(Customers!$A$2:$A$1001,B1798)&gt;0,"Valid","Invalid")</f>
        <v>Valid</v>
      </c>
      <c r="R1798" t="str">
        <f>IF(COUNTIF(Branches!$A$2:$A$11,F1798)&gt;0,"Valid","Invalid")</f>
        <v>Valid</v>
      </c>
    </row>
    <row r="1799" spans="1:18" x14ac:dyDescent="0.25">
      <c r="A1799" t="s">
        <v>3870</v>
      </c>
      <c r="B1799" t="s">
        <v>96</v>
      </c>
      <c r="C1799" s="8">
        <v>46116</v>
      </c>
      <c r="D1799" t="s">
        <v>2058</v>
      </c>
      <c r="E1799" t="s">
        <v>2076</v>
      </c>
      <c r="F1799" t="s">
        <v>16</v>
      </c>
      <c r="G1799">
        <v>77.38</v>
      </c>
      <c r="H1799" t="s">
        <v>2060</v>
      </c>
      <c r="I1799" t="str">
        <f>VLOOKUP(B1799,Customers!A:G,7,FALSE)</f>
        <v>Individual</v>
      </c>
      <c r="Q1799" t="str">
        <f>IF(COUNTIF(Customers!$A$2:$A$1001,B1799)&gt;0,"Valid","Invalid")</f>
        <v>Valid</v>
      </c>
      <c r="R1799" t="str">
        <f>IF(COUNTIF(Branches!$A$2:$A$11,F1799)&gt;0,"Valid","Invalid")</f>
        <v>Valid</v>
      </c>
    </row>
    <row r="1800" spans="1:18" x14ac:dyDescent="0.25">
      <c r="A1800" t="s">
        <v>3871</v>
      </c>
      <c r="B1800" t="s">
        <v>304</v>
      </c>
      <c r="C1800" s="8">
        <v>46048</v>
      </c>
      <c r="D1800" t="s">
        <v>2062</v>
      </c>
      <c r="E1800" t="s">
        <v>2059</v>
      </c>
      <c r="F1800" t="s">
        <v>39</v>
      </c>
      <c r="G1800">
        <v>221.74</v>
      </c>
      <c r="H1800" t="s">
        <v>2060</v>
      </c>
      <c r="I1800" t="str">
        <f>VLOOKUP(B1800,Customers!A:G,7,FALSE)</f>
        <v>SME</v>
      </c>
      <c r="Q1800" t="str">
        <f>IF(COUNTIF(Customers!$A$2:$A$1001,B1800)&gt;0,"Valid","Invalid")</f>
        <v>Valid</v>
      </c>
      <c r="R1800" t="str">
        <f>IF(COUNTIF(Branches!$A$2:$A$11,F1800)&gt;0,"Valid","Invalid")</f>
        <v>Valid</v>
      </c>
    </row>
    <row r="1801" spans="1:18" x14ac:dyDescent="0.25">
      <c r="A1801" t="s">
        <v>3872</v>
      </c>
      <c r="B1801" t="s">
        <v>447</v>
      </c>
      <c r="C1801" s="8">
        <v>46059</v>
      </c>
      <c r="D1801" t="s">
        <v>2058</v>
      </c>
      <c r="E1801" t="s">
        <v>2059</v>
      </c>
      <c r="F1801" t="s">
        <v>29</v>
      </c>
      <c r="G1801">
        <v>1195.71</v>
      </c>
      <c r="H1801" t="s">
        <v>2060</v>
      </c>
      <c r="I1801" t="str">
        <f>VLOOKUP(B1801,Customers!A:G,7,FALSE)</f>
        <v>Individual</v>
      </c>
      <c r="Q1801" t="str">
        <f>IF(COUNTIF(Customers!$A$2:$A$1001,B1801)&gt;0,"Valid","Invalid")</f>
        <v>Valid</v>
      </c>
      <c r="R1801" t="str">
        <f>IF(COUNTIF(Branches!$A$2:$A$11,F1801)&gt;0,"Valid","Invalid")</f>
        <v>Valid</v>
      </c>
    </row>
    <row r="1802" spans="1:18" x14ac:dyDescent="0.25">
      <c r="A1802" t="s">
        <v>3873</v>
      </c>
      <c r="B1802" t="s">
        <v>65</v>
      </c>
      <c r="C1802" s="8">
        <v>46035</v>
      </c>
      <c r="D1802" t="s">
        <v>2065</v>
      </c>
      <c r="E1802" t="s">
        <v>2068</v>
      </c>
      <c r="F1802" t="s">
        <v>53</v>
      </c>
      <c r="G1802">
        <v>722.04</v>
      </c>
      <c r="H1802" t="s">
        <v>2060</v>
      </c>
      <c r="I1802" t="str">
        <f>VLOOKUP(B1802,Customers!A:G,7,FALSE)</f>
        <v>Student</v>
      </c>
      <c r="Q1802" t="str">
        <f>IF(COUNTIF(Customers!$A$2:$A$1001,B1802)&gt;0,"Valid","Invalid")</f>
        <v>Valid</v>
      </c>
      <c r="R1802" t="str">
        <f>IF(COUNTIF(Branches!$A$2:$A$11,F1802)&gt;0,"Valid","Invalid")</f>
        <v>Valid</v>
      </c>
    </row>
    <row r="1803" spans="1:18" x14ac:dyDescent="0.25">
      <c r="A1803" t="s">
        <v>3874</v>
      </c>
      <c r="B1803" t="s">
        <v>55</v>
      </c>
      <c r="C1803" s="8">
        <v>46115</v>
      </c>
      <c r="D1803" t="s">
        <v>2062</v>
      </c>
      <c r="E1803" t="s">
        <v>2059</v>
      </c>
      <c r="F1803" t="s">
        <v>21</v>
      </c>
      <c r="G1803">
        <v>1723.54</v>
      </c>
      <c r="H1803" t="s">
        <v>2060</v>
      </c>
      <c r="I1803" t="str">
        <f>VLOOKUP(B1803,Customers!A:G,7,FALSE)</f>
        <v>SME</v>
      </c>
      <c r="Q1803" t="str">
        <f>IF(COUNTIF(Customers!$A$2:$A$1001,B1803)&gt;0,"Valid","Invalid")</f>
        <v>Valid</v>
      </c>
      <c r="R1803" t="str">
        <f>IF(COUNTIF(Branches!$A$2:$A$11,F1803)&gt;0,"Valid","Invalid")</f>
        <v>Valid</v>
      </c>
    </row>
    <row r="1804" spans="1:18" x14ac:dyDescent="0.25">
      <c r="A1804" t="s">
        <v>3875</v>
      </c>
      <c r="B1804" t="s">
        <v>769</v>
      </c>
      <c r="C1804" s="8">
        <v>46219</v>
      </c>
      <c r="D1804" t="s">
        <v>2062</v>
      </c>
      <c r="E1804" t="s">
        <v>2068</v>
      </c>
      <c r="F1804" t="s">
        <v>27</v>
      </c>
      <c r="G1804">
        <v>1341.77</v>
      </c>
      <c r="H1804" t="s">
        <v>2060</v>
      </c>
      <c r="I1804" t="str">
        <f>VLOOKUP(B1804,Customers!A:G,7,FALSE)</f>
        <v>Student</v>
      </c>
      <c r="Q1804" t="str">
        <f>IF(COUNTIF(Customers!$A$2:$A$1001,B1804)&gt;0,"Valid","Invalid")</f>
        <v>Valid</v>
      </c>
      <c r="R1804" t="str">
        <f>IF(COUNTIF(Branches!$A$2:$A$11,F1804)&gt;0,"Valid","Invalid")</f>
        <v>Valid</v>
      </c>
    </row>
    <row r="1805" spans="1:18" x14ac:dyDescent="0.25">
      <c r="A1805" t="s">
        <v>3876</v>
      </c>
      <c r="B1805" t="s">
        <v>631</v>
      </c>
      <c r="C1805" s="8">
        <v>46047</v>
      </c>
      <c r="D1805" t="s">
        <v>2058</v>
      </c>
      <c r="E1805" t="s">
        <v>2076</v>
      </c>
      <c r="F1805" t="s">
        <v>16</v>
      </c>
      <c r="G1805">
        <v>429.97</v>
      </c>
      <c r="H1805" t="s">
        <v>2060</v>
      </c>
      <c r="I1805" t="str">
        <f>VLOOKUP(B1805,Customers!A:G,7,FALSE)</f>
        <v>SME</v>
      </c>
      <c r="Q1805" t="str">
        <f>IF(COUNTIF(Customers!$A$2:$A$1001,B1805)&gt;0,"Valid","Invalid")</f>
        <v>Valid</v>
      </c>
      <c r="R1805" t="str">
        <f>IF(COUNTIF(Branches!$A$2:$A$11,F1805)&gt;0,"Valid","Invalid")</f>
        <v>Valid</v>
      </c>
    </row>
    <row r="1806" spans="1:18" x14ac:dyDescent="0.25">
      <c r="A1806" t="s">
        <v>3877</v>
      </c>
      <c r="B1806" t="s">
        <v>327</v>
      </c>
      <c r="C1806" s="8">
        <v>46163</v>
      </c>
      <c r="D1806" t="s">
        <v>2062</v>
      </c>
      <c r="E1806" t="s">
        <v>2059</v>
      </c>
      <c r="F1806" t="s">
        <v>29</v>
      </c>
      <c r="G1806">
        <v>498.16</v>
      </c>
      <c r="H1806" t="s">
        <v>2060</v>
      </c>
      <c r="I1806" t="str">
        <f>VLOOKUP(B1806,Customers!A:G,7,FALSE)</f>
        <v>Individual</v>
      </c>
      <c r="Q1806" t="str">
        <f>IF(COUNTIF(Customers!$A$2:$A$1001,B1806)&gt;0,"Valid","Invalid")</f>
        <v>Valid</v>
      </c>
      <c r="R1806" t="str">
        <f>IF(COUNTIF(Branches!$A$2:$A$11,F1806)&gt;0,"Valid","Invalid")</f>
        <v>Valid</v>
      </c>
    </row>
    <row r="1807" spans="1:18" x14ac:dyDescent="0.25">
      <c r="A1807" t="s">
        <v>3878</v>
      </c>
      <c r="B1807" t="s">
        <v>581</v>
      </c>
      <c r="C1807" s="8">
        <v>46238</v>
      </c>
      <c r="D1807" t="s">
        <v>2062</v>
      </c>
      <c r="E1807" t="s">
        <v>2068</v>
      </c>
      <c r="F1807" t="s">
        <v>11</v>
      </c>
      <c r="G1807">
        <v>552.62</v>
      </c>
      <c r="H1807" t="s">
        <v>2107</v>
      </c>
      <c r="I1807" t="str">
        <f>VLOOKUP(B1807,Customers!A:G,7,FALSE)</f>
        <v>Individual</v>
      </c>
      <c r="Q1807" t="str">
        <f>IF(COUNTIF(Customers!$A$2:$A$1001,B1807)&gt;0,"Valid","Invalid")</f>
        <v>Valid</v>
      </c>
      <c r="R1807" t="str">
        <f>IF(COUNTIF(Branches!$A$2:$A$11,F1807)&gt;0,"Valid","Invalid")</f>
        <v>Valid</v>
      </c>
    </row>
    <row r="1808" spans="1:18" x14ac:dyDescent="0.25">
      <c r="A1808" t="s">
        <v>3879</v>
      </c>
      <c r="B1808" t="s">
        <v>536</v>
      </c>
      <c r="C1808" s="8">
        <v>46245</v>
      </c>
      <c r="D1808" t="s">
        <v>2058</v>
      </c>
      <c r="E1808" t="s">
        <v>2063</v>
      </c>
      <c r="F1808" t="s">
        <v>47</v>
      </c>
      <c r="G1808">
        <v>5347.29</v>
      </c>
      <c r="H1808" t="s">
        <v>2060</v>
      </c>
      <c r="I1808" t="str">
        <f>VLOOKUP(B1808,Customers!A:G,7,FALSE)</f>
        <v>Individual</v>
      </c>
      <c r="Q1808" t="str">
        <f>IF(COUNTIF(Customers!$A$2:$A$1001,B1808)&gt;0,"Valid","Invalid")</f>
        <v>Valid</v>
      </c>
      <c r="R1808" t="str">
        <f>IF(COUNTIF(Branches!$A$2:$A$11,F1808)&gt;0,"Valid","Invalid")</f>
        <v>Valid</v>
      </c>
    </row>
    <row r="1809" spans="1:18" x14ac:dyDescent="0.25">
      <c r="A1809" t="s">
        <v>3880</v>
      </c>
      <c r="B1809" t="s">
        <v>784</v>
      </c>
      <c r="C1809" s="8">
        <v>46042</v>
      </c>
      <c r="D1809" t="s">
        <v>2058</v>
      </c>
      <c r="E1809" t="s">
        <v>2063</v>
      </c>
      <c r="F1809" t="s">
        <v>21</v>
      </c>
      <c r="G1809">
        <v>1621.04</v>
      </c>
      <c r="H1809" t="s">
        <v>2060</v>
      </c>
      <c r="I1809" t="str">
        <f>VLOOKUP(B1809,Customers!A:G,7,FALSE)</f>
        <v>SME</v>
      </c>
      <c r="Q1809" t="str">
        <f>IF(COUNTIF(Customers!$A$2:$A$1001,B1809)&gt;0,"Valid","Invalid")</f>
        <v>Valid</v>
      </c>
      <c r="R1809" t="str">
        <f>IF(COUNTIF(Branches!$A$2:$A$11,F1809)&gt;0,"Valid","Invalid")</f>
        <v>Valid</v>
      </c>
    </row>
    <row r="1810" spans="1:18" x14ac:dyDescent="0.25">
      <c r="A1810" t="s">
        <v>3881</v>
      </c>
      <c r="B1810" t="s">
        <v>512</v>
      </c>
      <c r="C1810" s="8">
        <v>46094</v>
      </c>
      <c r="D1810" t="s">
        <v>2070</v>
      </c>
      <c r="E1810" t="s">
        <v>2063</v>
      </c>
      <c r="F1810" t="s">
        <v>27</v>
      </c>
      <c r="G1810">
        <v>5386.69</v>
      </c>
      <c r="H1810" t="s">
        <v>2060</v>
      </c>
      <c r="I1810" t="str">
        <f>VLOOKUP(B1810,Customers!A:G,7,FALSE)</f>
        <v>Individual</v>
      </c>
      <c r="Q1810" t="str">
        <f>IF(COUNTIF(Customers!$A$2:$A$1001,B1810)&gt;0,"Valid","Invalid")</f>
        <v>Valid</v>
      </c>
      <c r="R1810" t="str">
        <f>IF(COUNTIF(Branches!$A$2:$A$11,F1810)&gt;0,"Valid","Invalid")</f>
        <v>Valid</v>
      </c>
    </row>
    <row r="1811" spans="1:18" x14ac:dyDescent="0.25">
      <c r="A1811" t="s">
        <v>3882</v>
      </c>
      <c r="B1811" t="s">
        <v>443</v>
      </c>
      <c r="C1811" s="8">
        <v>46210</v>
      </c>
      <c r="D1811" t="s">
        <v>2067</v>
      </c>
      <c r="E1811" t="s">
        <v>2059</v>
      </c>
      <c r="F1811" t="s">
        <v>29</v>
      </c>
      <c r="G1811">
        <v>1883.3</v>
      </c>
      <c r="H1811" t="s">
        <v>2060</v>
      </c>
      <c r="I1811" t="str">
        <f>VLOOKUP(B1811,Customers!A:G,7,FALSE)</f>
        <v>Individual</v>
      </c>
      <c r="Q1811" t="str">
        <f>IF(COUNTIF(Customers!$A$2:$A$1001,B1811)&gt;0,"Valid","Invalid")</f>
        <v>Valid</v>
      </c>
      <c r="R1811" t="str">
        <f>IF(COUNTIF(Branches!$A$2:$A$11,F1811)&gt;0,"Valid","Invalid")</f>
        <v>Valid</v>
      </c>
    </row>
    <row r="1812" spans="1:18" x14ac:dyDescent="0.25">
      <c r="A1812" t="s">
        <v>3883</v>
      </c>
      <c r="B1812" t="s">
        <v>586</v>
      </c>
      <c r="C1812" s="8">
        <v>46223</v>
      </c>
      <c r="D1812" t="s">
        <v>2067</v>
      </c>
      <c r="E1812" t="s">
        <v>2063</v>
      </c>
      <c r="F1812" t="s">
        <v>11</v>
      </c>
      <c r="G1812">
        <v>762.36</v>
      </c>
      <c r="H1812" t="s">
        <v>2060</v>
      </c>
      <c r="I1812" t="str">
        <f>VLOOKUP(B1812,Customers!A:G,7,FALSE)</f>
        <v>Individual</v>
      </c>
      <c r="Q1812" t="str">
        <f>IF(COUNTIF(Customers!$A$2:$A$1001,B1812)&gt;0,"Valid","Invalid")</f>
        <v>Valid</v>
      </c>
      <c r="R1812" t="str">
        <f>IF(COUNTIF(Branches!$A$2:$A$11,F1812)&gt;0,"Valid","Invalid")</f>
        <v>Valid</v>
      </c>
    </row>
    <row r="1813" spans="1:18" x14ac:dyDescent="0.25">
      <c r="A1813" t="s">
        <v>3884</v>
      </c>
      <c r="B1813" t="s">
        <v>999</v>
      </c>
      <c r="C1813" s="8">
        <v>46171</v>
      </c>
      <c r="D1813" t="s">
        <v>2065</v>
      </c>
      <c r="E1813" t="s">
        <v>2073</v>
      </c>
      <c r="F1813" t="s">
        <v>27</v>
      </c>
      <c r="G1813">
        <v>293.14</v>
      </c>
      <c r="H1813" t="s">
        <v>2060</v>
      </c>
      <c r="I1813" t="str">
        <f>VLOOKUP(B1813,Customers!A:G,7,FALSE)</f>
        <v>Individual</v>
      </c>
      <c r="Q1813" t="str">
        <f>IF(COUNTIF(Customers!$A$2:$A$1001,B1813)&gt;0,"Valid","Invalid")</f>
        <v>Valid</v>
      </c>
      <c r="R1813" t="str">
        <f>IF(COUNTIF(Branches!$A$2:$A$11,F1813)&gt;0,"Valid","Invalid")</f>
        <v>Valid</v>
      </c>
    </row>
    <row r="1814" spans="1:18" x14ac:dyDescent="0.25">
      <c r="A1814" t="s">
        <v>3885</v>
      </c>
      <c r="B1814" t="s">
        <v>168</v>
      </c>
      <c r="C1814" s="8">
        <v>46137</v>
      </c>
      <c r="D1814" t="s">
        <v>2062</v>
      </c>
      <c r="E1814" t="s">
        <v>2059</v>
      </c>
      <c r="F1814" t="s">
        <v>16</v>
      </c>
      <c r="G1814">
        <v>993.78</v>
      </c>
      <c r="H1814" t="s">
        <v>2060</v>
      </c>
      <c r="I1814" t="str">
        <f>VLOOKUP(B1814,Customers!A:G,7,FALSE)</f>
        <v>SME</v>
      </c>
      <c r="Q1814" t="str">
        <f>IF(COUNTIF(Customers!$A$2:$A$1001,B1814)&gt;0,"Valid","Invalid")</f>
        <v>Valid</v>
      </c>
      <c r="R1814" t="str">
        <f>IF(COUNTIF(Branches!$A$2:$A$11,F1814)&gt;0,"Valid","Invalid")</f>
        <v>Valid</v>
      </c>
    </row>
    <row r="1815" spans="1:18" x14ac:dyDescent="0.25">
      <c r="A1815" t="s">
        <v>3886</v>
      </c>
      <c r="B1815" t="s">
        <v>362</v>
      </c>
      <c r="C1815" s="8">
        <v>46149</v>
      </c>
      <c r="D1815" t="s">
        <v>2062</v>
      </c>
      <c r="E1815" t="s">
        <v>2076</v>
      </c>
      <c r="F1815" t="s">
        <v>11</v>
      </c>
      <c r="G1815">
        <v>764.43</v>
      </c>
      <c r="H1815" t="s">
        <v>2060</v>
      </c>
      <c r="I1815" t="str">
        <f>VLOOKUP(B1815,Customers!A:G,7,FALSE)</f>
        <v>Student</v>
      </c>
      <c r="Q1815" t="str">
        <f>IF(COUNTIF(Customers!$A$2:$A$1001,B1815)&gt;0,"Valid","Invalid")</f>
        <v>Valid</v>
      </c>
      <c r="R1815" t="str">
        <f>IF(COUNTIF(Branches!$A$2:$A$11,F1815)&gt;0,"Valid","Invalid")</f>
        <v>Valid</v>
      </c>
    </row>
    <row r="1816" spans="1:18" x14ac:dyDescent="0.25">
      <c r="A1816" t="s">
        <v>3887</v>
      </c>
      <c r="B1816" t="s">
        <v>896</v>
      </c>
      <c r="C1816" s="8">
        <v>46211</v>
      </c>
      <c r="D1816" t="s">
        <v>2065</v>
      </c>
      <c r="E1816" t="s">
        <v>2063</v>
      </c>
      <c r="F1816" t="s">
        <v>29</v>
      </c>
      <c r="G1816">
        <v>739.78</v>
      </c>
      <c r="H1816" t="s">
        <v>2060</v>
      </c>
      <c r="I1816" t="str">
        <f>VLOOKUP(B1816,Customers!A:G,7,FALSE)</f>
        <v>Student</v>
      </c>
      <c r="Q1816" t="str">
        <f>IF(COUNTIF(Customers!$A$2:$A$1001,B1816)&gt;0,"Valid","Invalid")</f>
        <v>Valid</v>
      </c>
      <c r="R1816" t="str">
        <f>IF(COUNTIF(Branches!$A$2:$A$11,F1816)&gt;0,"Valid","Invalid")</f>
        <v>Valid</v>
      </c>
    </row>
    <row r="1817" spans="1:18" x14ac:dyDescent="0.25">
      <c r="A1817" t="s">
        <v>3888</v>
      </c>
      <c r="B1817" t="s">
        <v>168</v>
      </c>
      <c r="C1817" s="8">
        <v>46234</v>
      </c>
      <c r="D1817" t="s">
        <v>2070</v>
      </c>
      <c r="E1817" t="s">
        <v>2063</v>
      </c>
      <c r="F1817" t="s">
        <v>53</v>
      </c>
      <c r="G1817">
        <v>659.12</v>
      </c>
      <c r="H1817" t="s">
        <v>2060</v>
      </c>
      <c r="I1817" t="str">
        <f>VLOOKUP(B1817,Customers!A:G,7,FALSE)</f>
        <v>SME</v>
      </c>
      <c r="Q1817" t="str">
        <f>IF(COUNTIF(Customers!$A$2:$A$1001,B1817)&gt;0,"Valid","Invalid")</f>
        <v>Valid</v>
      </c>
      <c r="R1817" t="str">
        <f>IF(COUNTIF(Branches!$A$2:$A$11,F1817)&gt;0,"Valid","Invalid")</f>
        <v>Valid</v>
      </c>
    </row>
    <row r="1818" spans="1:18" x14ac:dyDescent="0.25">
      <c r="A1818" t="s">
        <v>3889</v>
      </c>
      <c r="B1818" t="s">
        <v>559</v>
      </c>
      <c r="C1818" s="8">
        <v>46229</v>
      </c>
      <c r="D1818" t="s">
        <v>2062</v>
      </c>
      <c r="E1818" t="s">
        <v>2063</v>
      </c>
      <c r="F1818" t="s">
        <v>11</v>
      </c>
      <c r="G1818">
        <v>104.33</v>
      </c>
      <c r="H1818" t="s">
        <v>2060</v>
      </c>
      <c r="I1818" t="str">
        <f>VLOOKUP(B1818,Customers!A:G,7,FALSE)</f>
        <v>Individual</v>
      </c>
      <c r="Q1818" t="str">
        <f>IF(COUNTIF(Customers!$A$2:$A$1001,B1818)&gt;0,"Valid","Invalid")</f>
        <v>Valid</v>
      </c>
      <c r="R1818" t="str">
        <f>IF(COUNTIF(Branches!$A$2:$A$11,F1818)&gt;0,"Valid","Invalid")</f>
        <v>Valid</v>
      </c>
    </row>
    <row r="1819" spans="1:18" x14ac:dyDescent="0.25">
      <c r="A1819" t="s">
        <v>3890</v>
      </c>
      <c r="B1819" t="s">
        <v>64</v>
      </c>
      <c r="C1819" s="8">
        <v>46048</v>
      </c>
      <c r="D1819" t="s">
        <v>2062</v>
      </c>
      <c r="E1819" t="s">
        <v>2076</v>
      </c>
      <c r="F1819" t="s">
        <v>27</v>
      </c>
      <c r="G1819">
        <v>2866.48</v>
      </c>
      <c r="H1819" t="s">
        <v>2060</v>
      </c>
      <c r="I1819" t="str">
        <f>VLOOKUP(B1819,Customers!A:G,7,FALSE)</f>
        <v>SME</v>
      </c>
      <c r="Q1819" t="str">
        <f>IF(COUNTIF(Customers!$A$2:$A$1001,B1819)&gt;0,"Valid","Invalid")</f>
        <v>Valid</v>
      </c>
      <c r="R1819" t="str">
        <f>IF(COUNTIF(Branches!$A$2:$A$11,F1819)&gt;0,"Valid","Invalid")</f>
        <v>Valid</v>
      </c>
    </row>
    <row r="1820" spans="1:18" x14ac:dyDescent="0.25">
      <c r="A1820" t="s">
        <v>3891</v>
      </c>
      <c r="B1820" t="s">
        <v>665</v>
      </c>
      <c r="C1820" s="8">
        <v>46076</v>
      </c>
      <c r="D1820" t="s">
        <v>2065</v>
      </c>
      <c r="E1820" t="s">
        <v>2059</v>
      </c>
      <c r="F1820" t="s">
        <v>53</v>
      </c>
      <c r="G1820">
        <v>772.43</v>
      </c>
      <c r="H1820" t="s">
        <v>2060</v>
      </c>
      <c r="I1820" t="str">
        <f>VLOOKUP(B1820,Customers!A:G,7,FALSE)</f>
        <v>Individual</v>
      </c>
      <c r="Q1820" t="str">
        <f>IF(COUNTIF(Customers!$A$2:$A$1001,B1820)&gt;0,"Valid","Invalid")</f>
        <v>Valid</v>
      </c>
      <c r="R1820" t="str">
        <f>IF(COUNTIF(Branches!$A$2:$A$11,F1820)&gt;0,"Valid","Invalid")</f>
        <v>Valid</v>
      </c>
    </row>
    <row r="1821" spans="1:18" x14ac:dyDescent="0.25">
      <c r="A1821" t="s">
        <v>3892</v>
      </c>
      <c r="B1821" t="s">
        <v>339</v>
      </c>
      <c r="C1821" s="8">
        <v>46192</v>
      </c>
      <c r="D1821" t="s">
        <v>2058</v>
      </c>
      <c r="E1821" t="s">
        <v>2059</v>
      </c>
      <c r="F1821" t="s">
        <v>39</v>
      </c>
      <c r="G1821">
        <v>197.5</v>
      </c>
      <c r="H1821" t="s">
        <v>2060</v>
      </c>
      <c r="I1821" t="str">
        <f>VLOOKUP(B1821,Customers!A:G,7,FALSE)</f>
        <v>SME</v>
      </c>
      <c r="Q1821" t="str">
        <f>IF(COUNTIF(Customers!$A$2:$A$1001,B1821)&gt;0,"Valid","Invalid")</f>
        <v>Valid</v>
      </c>
      <c r="R1821" t="str">
        <f>IF(COUNTIF(Branches!$A$2:$A$11,F1821)&gt;0,"Valid","Invalid")</f>
        <v>Valid</v>
      </c>
    </row>
    <row r="1822" spans="1:18" x14ac:dyDescent="0.25">
      <c r="A1822" t="s">
        <v>3893</v>
      </c>
      <c r="B1822" t="s">
        <v>23</v>
      </c>
      <c r="C1822" s="8">
        <v>46161</v>
      </c>
      <c r="D1822" t="s">
        <v>2058</v>
      </c>
      <c r="E1822" t="s">
        <v>2076</v>
      </c>
      <c r="F1822" t="s">
        <v>35</v>
      </c>
      <c r="G1822">
        <v>1315.22</v>
      </c>
      <c r="H1822" t="s">
        <v>2060</v>
      </c>
      <c r="I1822" t="str">
        <f>VLOOKUP(B1822,Customers!A:G,7,FALSE)</f>
        <v>Individual</v>
      </c>
      <c r="Q1822" t="str">
        <f>IF(COUNTIF(Customers!$A$2:$A$1001,B1822)&gt;0,"Valid","Invalid")</f>
        <v>Valid</v>
      </c>
      <c r="R1822" t="str">
        <f>IF(COUNTIF(Branches!$A$2:$A$11,F1822)&gt;0,"Valid","Invalid")</f>
        <v>Valid</v>
      </c>
    </row>
    <row r="1823" spans="1:18" x14ac:dyDescent="0.25">
      <c r="A1823" t="s">
        <v>3894</v>
      </c>
      <c r="B1823" t="s">
        <v>363</v>
      </c>
      <c r="C1823" s="8">
        <v>46187</v>
      </c>
      <c r="D1823" t="s">
        <v>2058</v>
      </c>
      <c r="E1823" t="s">
        <v>2068</v>
      </c>
      <c r="F1823" t="s">
        <v>47</v>
      </c>
      <c r="G1823">
        <v>345.21</v>
      </c>
      <c r="H1823" t="s">
        <v>2060</v>
      </c>
      <c r="I1823" t="str">
        <f>VLOOKUP(B1823,Customers!A:G,7,FALSE)</f>
        <v>SME</v>
      </c>
      <c r="Q1823" t="str">
        <f>IF(COUNTIF(Customers!$A$2:$A$1001,B1823)&gt;0,"Valid","Invalid")</f>
        <v>Valid</v>
      </c>
      <c r="R1823" t="str">
        <f>IF(COUNTIF(Branches!$A$2:$A$11,F1823)&gt;0,"Valid","Invalid")</f>
        <v>Valid</v>
      </c>
    </row>
    <row r="1824" spans="1:18" x14ac:dyDescent="0.25">
      <c r="A1824" t="s">
        <v>3895</v>
      </c>
      <c r="B1824" t="s">
        <v>547</v>
      </c>
      <c r="C1824" s="8">
        <v>46255</v>
      </c>
      <c r="D1824" t="s">
        <v>2058</v>
      </c>
      <c r="E1824" t="s">
        <v>2063</v>
      </c>
      <c r="F1824" t="s">
        <v>45</v>
      </c>
      <c r="G1824">
        <v>1425.3</v>
      </c>
      <c r="H1824" t="s">
        <v>2060</v>
      </c>
      <c r="I1824" t="str">
        <f>VLOOKUP(B1824,Customers!A:G,7,FALSE)</f>
        <v>Individual</v>
      </c>
      <c r="Q1824" t="str">
        <f>IF(COUNTIF(Customers!$A$2:$A$1001,B1824)&gt;0,"Valid","Invalid")</f>
        <v>Valid</v>
      </c>
      <c r="R1824" t="str">
        <f>IF(COUNTIF(Branches!$A$2:$A$11,F1824)&gt;0,"Valid","Invalid")</f>
        <v>Valid</v>
      </c>
    </row>
    <row r="1825" spans="1:18" x14ac:dyDescent="0.25">
      <c r="A1825" t="s">
        <v>3896</v>
      </c>
      <c r="B1825" t="s">
        <v>275</v>
      </c>
      <c r="C1825" s="8">
        <v>46147</v>
      </c>
      <c r="D1825" t="s">
        <v>2062</v>
      </c>
      <c r="E1825" t="s">
        <v>2068</v>
      </c>
      <c r="F1825" t="s">
        <v>16</v>
      </c>
      <c r="G1825">
        <v>1961.88</v>
      </c>
      <c r="H1825" t="s">
        <v>2060</v>
      </c>
      <c r="I1825" t="str">
        <f>VLOOKUP(B1825,Customers!A:G,7,FALSE)</f>
        <v>SME</v>
      </c>
      <c r="Q1825" t="str">
        <f>IF(COUNTIF(Customers!$A$2:$A$1001,B1825)&gt;0,"Valid","Invalid")</f>
        <v>Valid</v>
      </c>
      <c r="R1825" t="str">
        <f>IF(COUNTIF(Branches!$A$2:$A$11,F1825)&gt;0,"Valid","Invalid")</f>
        <v>Valid</v>
      </c>
    </row>
    <row r="1826" spans="1:18" x14ac:dyDescent="0.25">
      <c r="A1826" t="s">
        <v>3897</v>
      </c>
      <c r="B1826" t="s">
        <v>573</v>
      </c>
      <c r="C1826" s="8">
        <v>46033</v>
      </c>
      <c r="D1826" t="s">
        <v>2067</v>
      </c>
      <c r="E1826" t="s">
        <v>2059</v>
      </c>
      <c r="F1826" t="s">
        <v>11</v>
      </c>
      <c r="G1826">
        <v>2252.14</v>
      </c>
      <c r="H1826" t="s">
        <v>2060</v>
      </c>
      <c r="I1826" t="str">
        <f>VLOOKUP(B1826,Customers!A:G,7,FALSE)</f>
        <v>Individual</v>
      </c>
      <c r="Q1826" t="str">
        <f>IF(COUNTIF(Customers!$A$2:$A$1001,B1826)&gt;0,"Valid","Invalid")</f>
        <v>Valid</v>
      </c>
      <c r="R1826" t="str">
        <f>IF(COUNTIF(Branches!$A$2:$A$11,F1826)&gt;0,"Valid","Invalid")</f>
        <v>Valid</v>
      </c>
    </row>
    <row r="1827" spans="1:18" x14ac:dyDescent="0.25">
      <c r="A1827" t="s">
        <v>3898</v>
      </c>
      <c r="B1827" t="s">
        <v>49</v>
      </c>
      <c r="C1827" s="8">
        <v>46049</v>
      </c>
      <c r="D1827" t="s">
        <v>2062</v>
      </c>
      <c r="E1827" t="s">
        <v>2076</v>
      </c>
      <c r="F1827" t="s">
        <v>29</v>
      </c>
      <c r="G1827">
        <v>691.65</v>
      </c>
      <c r="H1827" t="s">
        <v>2060</v>
      </c>
      <c r="I1827" t="str">
        <f>VLOOKUP(B1827,Customers!A:G,7,FALSE)</f>
        <v>Individual</v>
      </c>
      <c r="Q1827" t="str">
        <f>IF(COUNTIF(Customers!$A$2:$A$1001,B1827)&gt;0,"Valid","Invalid")</f>
        <v>Valid</v>
      </c>
      <c r="R1827" t="str">
        <f>IF(COUNTIF(Branches!$A$2:$A$11,F1827)&gt;0,"Valid","Invalid")</f>
        <v>Valid</v>
      </c>
    </row>
    <row r="1828" spans="1:18" x14ac:dyDescent="0.25">
      <c r="A1828" t="s">
        <v>3899</v>
      </c>
      <c r="B1828" t="s">
        <v>572</v>
      </c>
      <c r="C1828" s="8">
        <v>46116</v>
      </c>
      <c r="D1828" t="s">
        <v>2065</v>
      </c>
      <c r="E1828" t="s">
        <v>2063</v>
      </c>
      <c r="F1828" t="s">
        <v>45</v>
      </c>
      <c r="G1828">
        <v>537.12</v>
      </c>
      <c r="H1828" t="s">
        <v>2060</v>
      </c>
      <c r="I1828" t="str">
        <f>VLOOKUP(B1828,Customers!A:G,7,FALSE)</f>
        <v>Individual</v>
      </c>
      <c r="Q1828" t="str">
        <f>IF(COUNTIF(Customers!$A$2:$A$1001,B1828)&gt;0,"Valid","Invalid")</f>
        <v>Valid</v>
      </c>
      <c r="R1828" t="str">
        <f>IF(COUNTIF(Branches!$A$2:$A$11,F1828)&gt;0,"Valid","Invalid")</f>
        <v>Valid</v>
      </c>
    </row>
    <row r="1829" spans="1:18" x14ac:dyDescent="0.25">
      <c r="A1829" t="s">
        <v>3900</v>
      </c>
      <c r="B1829" t="s">
        <v>1035</v>
      </c>
      <c r="C1829" s="8">
        <v>46105</v>
      </c>
      <c r="D1829" t="s">
        <v>2065</v>
      </c>
      <c r="E1829" t="s">
        <v>2059</v>
      </c>
      <c r="F1829" t="s">
        <v>39</v>
      </c>
      <c r="G1829">
        <v>434.62</v>
      </c>
      <c r="H1829" t="s">
        <v>2060</v>
      </c>
      <c r="I1829" t="str">
        <f>VLOOKUP(B1829,Customers!A:G,7,FALSE)</f>
        <v>Individual</v>
      </c>
      <c r="Q1829" t="str">
        <f>IF(COUNTIF(Customers!$A$2:$A$1001,B1829)&gt;0,"Valid","Invalid")</f>
        <v>Valid</v>
      </c>
      <c r="R1829" t="str">
        <f>IF(COUNTIF(Branches!$A$2:$A$11,F1829)&gt;0,"Valid","Invalid")</f>
        <v>Valid</v>
      </c>
    </row>
    <row r="1830" spans="1:18" x14ac:dyDescent="0.25">
      <c r="A1830" t="s">
        <v>3901</v>
      </c>
      <c r="B1830" t="s">
        <v>622</v>
      </c>
      <c r="C1830" s="8">
        <v>46056</v>
      </c>
      <c r="D1830" t="s">
        <v>2065</v>
      </c>
      <c r="E1830" t="s">
        <v>2063</v>
      </c>
      <c r="F1830" t="s">
        <v>47</v>
      </c>
      <c r="G1830">
        <v>394.43</v>
      </c>
      <c r="H1830" t="s">
        <v>2060</v>
      </c>
      <c r="I1830" t="str">
        <f>VLOOKUP(B1830,Customers!A:G,7,FALSE)</f>
        <v>Individual</v>
      </c>
      <c r="Q1830" t="str">
        <f>IF(COUNTIF(Customers!$A$2:$A$1001,B1830)&gt;0,"Valid","Invalid")</f>
        <v>Valid</v>
      </c>
      <c r="R1830" t="str">
        <f>IF(COUNTIF(Branches!$A$2:$A$11,F1830)&gt;0,"Valid","Invalid")</f>
        <v>Valid</v>
      </c>
    </row>
    <row r="1831" spans="1:18" x14ac:dyDescent="0.25">
      <c r="A1831" t="s">
        <v>3902</v>
      </c>
      <c r="B1831" t="s">
        <v>854</v>
      </c>
      <c r="C1831" s="8">
        <v>46060</v>
      </c>
      <c r="D1831" t="s">
        <v>2067</v>
      </c>
      <c r="E1831" t="s">
        <v>2073</v>
      </c>
      <c r="F1831" t="s">
        <v>53</v>
      </c>
      <c r="G1831">
        <v>798.53</v>
      </c>
      <c r="H1831" t="s">
        <v>2060</v>
      </c>
      <c r="I1831" t="str">
        <f>VLOOKUP(B1831,Customers!A:G,7,FALSE)</f>
        <v>Individual</v>
      </c>
      <c r="Q1831" t="str">
        <f>IF(COUNTIF(Customers!$A$2:$A$1001,B1831)&gt;0,"Valid","Invalid")</f>
        <v>Valid</v>
      </c>
      <c r="R1831" t="str">
        <f>IF(COUNTIF(Branches!$A$2:$A$11,F1831)&gt;0,"Valid","Invalid")</f>
        <v>Valid</v>
      </c>
    </row>
    <row r="1832" spans="1:18" x14ac:dyDescent="0.25">
      <c r="A1832" t="s">
        <v>3903</v>
      </c>
      <c r="B1832" t="s">
        <v>484</v>
      </c>
      <c r="C1832" s="8">
        <v>46211</v>
      </c>
      <c r="D1832" t="s">
        <v>2067</v>
      </c>
      <c r="E1832" t="s">
        <v>2059</v>
      </c>
      <c r="F1832" t="s">
        <v>27</v>
      </c>
      <c r="G1832">
        <v>658.96</v>
      </c>
      <c r="H1832" t="s">
        <v>2060</v>
      </c>
      <c r="I1832" t="str">
        <f>VLOOKUP(B1832,Customers!A:G,7,FALSE)</f>
        <v>Student</v>
      </c>
      <c r="Q1832" t="str">
        <f>IF(COUNTIF(Customers!$A$2:$A$1001,B1832)&gt;0,"Valid","Invalid")</f>
        <v>Valid</v>
      </c>
      <c r="R1832" t="str">
        <f>IF(COUNTIF(Branches!$A$2:$A$11,F1832)&gt;0,"Valid","Invalid")</f>
        <v>Valid</v>
      </c>
    </row>
    <row r="1833" spans="1:18" x14ac:dyDescent="0.25">
      <c r="A1833" t="s">
        <v>3904</v>
      </c>
      <c r="B1833" t="s">
        <v>1031</v>
      </c>
      <c r="C1833" s="8">
        <v>46109</v>
      </c>
      <c r="D1833" t="s">
        <v>2062</v>
      </c>
      <c r="E1833" t="s">
        <v>2073</v>
      </c>
      <c r="F1833" t="s">
        <v>47</v>
      </c>
      <c r="G1833">
        <v>355.92</v>
      </c>
      <c r="H1833" t="s">
        <v>2060</v>
      </c>
      <c r="I1833" t="str">
        <f>VLOOKUP(B1833,Customers!A:G,7,FALSE)</f>
        <v>SME</v>
      </c>
      <c r="Q1833" t="str">
        <f>IF(COUNTIF(Customers!$A$2:$A$1001,B1833)&gt;0,"Valid","Invalid")</f>
        <v>Valid</v>
      </c>
      <c r="R1833" t="str">
        <f>IF(COUNTIF(Branches!$A$2:$A$11,F1833)&gt;0,"Valid","Invalid")</f>
        <v>Valid</v>
      </c>
    </row>
    <row r="1834" spans="1:18" x14ac:dyDescent="0.25">
      <c r="A1834" t="s">
        <v>3905</v>
      </c>
      <c r="B1834" t="s">
        <v>541</v>
      </c>
      <c r="C1834" s="8">
        <v>46203</v>
      </c>
      <c r="D1834" t="s">
        <v>2058</v>
      </c>
      <c r="E1834" t="s">
        <v>2059</v>
      </c>
      <c r="F1834" t="s">
        <v>21</v>
      </c>
      <c r="G1834">
        <v>258.83999999999997</v>
      </c>
      <c r="H1834" t="s">
        <v>2060</v>
      </c>
      <c r="I1834" t="str">
        <f>VLOOKUP(B1834,Customers!A:G,7,FALSE)</f>
        <v>Individual</v>
      </c>
      <c r="Q1834" t="str">
        <f>IF(COUNTIF(Customers!$A$2:$A$1001,B1834)&gt;0,"Valid","Invalid")</f>
        <v>Valid</v>
      </c>
      <c r="R1834" t="str">
        <f>IF(COUNTIF(Branches!$A$2:$A$11,F1834)&gt;0,"Valid","Invalid")</f>
        <v>Valid</v>
      </c>
    </row>
    <row r="1835" spans="1:18" x14ac:dyDescent="0.25">
      <c r="A1835" t="s">
        <v>3906</v>
      </c>
      <c r="B1835" t="s">
        <v>994</v>
      </c>
      <c r="C1835" s="8">
        <v>46087</v>
      </c>
      <c r="D1835" t="s">
        <v>2067</v>
      </c>
      <c r="E1835" t="s">
        <v>2063</v>
      </c>
      <c r="F1835" t="s">
        <v>39</v>
      </c>
      <c r="G1835">
        <v>728.69</v>
      </c>
      <c r="H1835" t="s">
        <v>2060</v>
      </c>
      <c r="I1835" t="str">
        <f>VLOOKUP(B1835,Customers!A:G,7,FALSE)</f>
        <v>Individual</v>
      </c>
      <c r="Q1835" t="str">
        <f>IF(COUNTIF(Customers!$A$2:$A$1001,B1835)&gt;0,"Valid","Invalid")</f>
        <v>Valid</v>
      </c>
      <c r="R1835" t="str">
        <f>IF(COUNTIF(Branches!$A$2:$A$11,F1835)&gt;0,"Valid","Invalid")</f>
        <v>Valid</v>
      </c>
    </row>
    <row r="1836" spans="1:18" x14ac:dyDescent="0.25">
      <c r="A1836" t="s">
        <v>3907</v>
      </c>
      <c r="B1836" t="s">
        <v>267</v>
      </c>
      <c r="C1836" s="8">
        <v>46153</v>
      </c>
      <c r="D1836" t="s">
        <v>2058</v>
      </c>
      <c r="E1836" t="s">
        <v>2059</v>
      </c>
      <c r="F1836" t="s">
        <v>35</v>
      </c>
      <c r="G1836">
        <v>526.26</v>
      </c>
      <c r="H1836" t="s">
        <v>2060</v>
      </c>
      <c r="I1836" t="str">
        <f>VLOOKUP(B1836,Customers!A:G,7,FALSE)</f>
        <v>SME</v>
      </c>
      <c r="Q1836" t="str">
        <f>IF(COUNTIF(Customers!$A$2:$A$1001,B1836)&gt;0,"Valid","Invalid")</f>
        <v>Valid</v>
      </c>
      <c r="R1836" t="str">
        <f>IF(COUNTIF(Branches!$A$2:$A$11,F1836)&gt;0,"Valid","Invalid")</f>
        <v>Valid</v>
      </c>
    </row>
    <row r="1837" spans="1:18" x14ac:dyDescent="0.25">
      <c r="A1837" t="s">
        <v>3908</v>
      </c>
      <c r="B1837" t="s">
        <v>143</v>
      </c>
      <c r="C1837" s="8">
        <v>46217</v>
      </c>
      <c r="D1837" t="s">
        <v>2065</v>
      </c>
      <c r="E1837" t="s">
        <v>2063</v>
      </c>
      <c r="F1837" t="s">
        <v>27</v>
      </c>
      <c r="G1837">
        <v>259.47000000000003</v>
      </c>
      <c r="H1837" t="s">
        <v>2060</v>
      </c>
      <c r="I1837" t="str">
        <f>VLOOKUP(B1837,Customers!A:G,7,FALSE)</f>
        <v>SME</v>
      </c>
      <c r="Q1837" t="str">
        <f>IF(COUNTIF(Customers!$A$2:$A$1001,B1837)&gt;0,"Valid","Invalid")</f>
        <v>Valid</v>
      </c>
      <c r="R1837" t="str">
        <f>IF(COUNTIF(Branches!$A$2:$A$11,F1837)&gt;0,"Valid","Invalid")</f>
        <v>Valid</v>
      </c>
    </row>
    <row r="1838" spans="1:18" x14ac:dyDescent="0.25">
      <c r="A1838" t="s">
        <v>3909</v>
      </c>
      <c r="B1838" t="s">
        <v>758</v>
      </c>
      <c r="C1838" s="8">
        <v>46178</v>
      </c>
      <c r="D1838" t="s">
        <v>2065</v>
      </c>
      <c r="E1838" t="s">
        <v>2073</v>
      </c>
      <c r="F1838" t="s">
        <v>27</v>
      </c>
      <c r="G1838">
        <v>1864.17</v>
      </c>
      <c r="H1838" t="s">
        <v>2060</v>
      </c>
      <c r="I1838" t="str">
        <f>VLOOKUP(B1838,Customers!A:G,7,FALSE)</f>
        <v>Individual</v>
      </c>
      <c r="Q1838" t="str">
        <f>IF(COUNTIF(Customers!$A$2:$A$1001,B1838)&gt;0,"Valid","Invalid")</f>
        <v>Valid</v>
      </c>
      <c r="R1838" t="str">
        <f>IF(COUNTIF(Branches!$A$2:$A$11,F1838)&gt;0,"Valid","Invalid")</f>
        <v>Valid</v>
      </c>
    </row>
    <row r="1839" spans="1:18" x14ac:dyDescent="0.25">
      <c r="A1839" t="s">
        <v>3910</v>
      </c>
      <c r="B1839" t="s">
        <v>427</v>
      </c>
      <c r="C1839" s="8">
        <v>46164</v>
      </c>
      <c r="D1839" t="s">
        <v>2058</v>
      </c>
      <c r="E1839" t="s">
        <v>2068</v>
      </c>
      <c r="F1839" t="s">
        <v>39</v>
      </c>
      <c r="G1839">
        <v>4779.51</v>
      </c>
      <c r="H1839" t="s">
        <v>2060</v>
      </c>
      <c r="I1839" t="str">
        <f>VLOOKUP(B1839,Customers!A:G,7,FALSE)</f>
        <v>Individual</v>
      </c>
      <c r="Q1839" t="str">
        <f>IF(COUNTIF(Customers!$A$2:$A$1001,B1839)&gt;0,"Valid","Invalid")</f>
        <v>Valid</v>
      </c>
      <c r="R1839" t="str">
        <f>IF(COUNTIF(Branches!$A$2:$A$11,F1839)&gt;0,"Valid","Invalid")</f>
        <v>Valid</v>
      </c>
    </row>
    <row r="1840" spans="1:18" x14ac:dyDescent="0.25">
      <c r="A1840" t="s">
        <v>3911</v>
      </c>
      <c r="B1840" t="s">
        <v>758</v>
      </c>
      <c r="C1840" s="8">
        <v>46074</v>
      </c>
      <c r="D1840" t="s">
        <v>2058</v>
      </c>
      <c r="E1840" t="s">
        <v>2076</v>
      </c>
      <c r="F1840" t="s">
        <v>47</v>
      </c>
      <c r="G1840">
        <v>2127.2600000000002</v>
      </c>
      <c r="H1840" t="s">
        <v>2060</v>
      </c>
      <c r="I1840" t="str">
        <f>VLOOKUP(B1840,Customers!A:G,7,FALSE)</f>
        <v>Individual</v>
      </c>
      <c r="Q1840" t="str">
        <f>IF(COUNTIF(Customers!$A$2:$A$1001,B1840)&gt;0,"Valid","Invalid")</f>
        <v>Valid</v>
      </c>
      <c r="R1840" t="str">
        <f>IF(COUNTIF(Branches!$A$2:$A$11,F1840)&gt;0,"Valid","Invalid")</f>
        <v>Valid</v>
      </c>
    </row>
    <row r="1841" spans="1:18" x14ac:dyDescent="0.25">
      <c r="A1841" t="s">
        <v>3912</v>
      </c>
      <c r="B1841" t="s">
        <v>301</v>
      </c>
      <c r="C1841" s="8">
        <v>46052</v>
      </c>
      <c r="D1841" t="s">
        <v>2062</v>
      </c>
      <c r="E1841" t="s">
        <v>2076</v>
      </c>
      <c r="F1841" t="s">
        <v>21</v>
      </c>
      <c r="G1841">
        <v>395.37</v>
      </c>
      <c r="H1841" t="s">
        <v>2060</v>
      </c>
      <c r="I1841" t="str">
        <f>VLOOKUP(B1841,Customers!A:G,7,FALSE)</f>
        <v>Individual</v>
      </c>
      <c r="Q1841" t="str">
        <f>IF(COUNTIF(Customers!$A$2:$A$1001,B1841)&gt;0,"Valid","Invalid")</f>
        <v>Valid</v>
      </c>
      <c r="R1841" t="str">
        <f>IF(COUNTIF(Branches!$A$2:$A$11,F1841)&gt;0,"Valid","Invalid")</f>
        <v>Valid</v>
      </c>
    </row>
    <row r="1842" spans="1:18" x14ac:dyDescent="0.25">
      <c r="A1842" t="s">
        <v>3913</v>
      </c>
      <c r="B1842" t="s">
        <v>601</v>
      </c>
      <c r="C1842" s="8">
        <v>46208</v>
      </c>
      <c r="D1842" t="s">
        <v>2067</v>
      </c>
      <c r="E1842" t="s">
        <v>2059</v>
      </c>
      <c r="F1842" t="s">
        <v>39</v>
      </c>
      <c r="G1842">
        <v>772.61</v>
      </c>
      <c r="H1842" t="s">
        <v>2060</v>
      </c>
      <c r="I1842" t="str">
        <f>VLOOKUP(B1842,Customers!A:G,7,FALSE)</f>
        <v>Individual</v>
      </c>
      <c r="Q1842" t="str">
        <f>IF(COUNTIF(Customers!$A$2:$A$1001,B1842)&gt;0,"Valid","Invalid")</f>
        <v>Valid</v>
      </c>
      <c r="R1842" t="str">
        <f>IF(COUNTIF(Branches!$A$2:$A$11,F1842)&gt;0,"Valid","Invalid")</f>
        <v>Valid</v>
      </c>
    </row>
    <row r="1843" spans="1:18" x14ac:dyDescent="0.25">
      <c r="A1843" t="s">
        <v>3914</v>
      </c>
      <c r="B1843" t="s">
        <v>101</v>
      </c>
      <c r="C1843" s="8">
        <v>46204</v>
      </c>
      <c r="D1843" t="s">
        <v>2062</v>
      </c>
      <c r="E1843" t="s">
        <v>2073</v>
      </c>
      <c r="F1843" t="s">
        <v>45</v>
      </c>
      <c r="G1843">
        <v>3791.17</v>
      </c>
      <c r="H1843" t="s">
        <v>2060</v>
      </c>
      <c r="I1843" t="str">
        <f>VLOOKUP(B1843,Customers!A:G,7,FALSE)</f>
        <v>Individual</v>
      </c>
      <c r="Q1843" t="str">
        <f>IF(COUNTIF(Customers!$A$2:$A$1001,B1843)&gt;0,"Valid","Invalid")</f>
        <v>Valid</v>
      </c>
      <c r="R1843" t="str">
        <f>IF(COUNTIF(Branches!$A$2:$A$11,F1843)&gt;0,"Valid","Invalid")</f>
        <v>Valid</v>
      </c>
    </row>
    <row r="1844" spans="1:18" x14ac:dyDescent="0.25">
      <c r="A1844" t="s">
        <v>3915</v>
      </c>
      <c r="B1844" t="s">
        <v>303</v>
      </c>
      <c r="C1844" s="8">
        <v>46219</v>
      </c>
      <c r="D1844" t="s">
        <v>2058</v>
      </c>
      <c r="E1844" t="s">
        <v>2063</v>
      </c>
      <c r="F1844" t="s">
        <v>21</v>
      </c>
      <c r="G1844">
        <v>251.21</v>
      </c>
      <c r="H1844" t="s">
        <v>2060</v>
      </c>
      <c r="I1844" t="str">
        <f>VLOOKUP(B1844,Customers!A:G,7,FALSE)</f>
        <v>SME</v>
      </c>
      <c r="Q1844" t="str">
        <f>IF(COUNTIF(Customers!$A$2:$A$1001,B1844)&gt;0,"Valid","Invalid")</f>
        <v>Valid</v>
      </c>
      <c r="R1844" t="str">
        <f>IF(COUNTIF(Branches!$A$2:$A$11,F1844)&gt;0,"Valid","Invalid")</f>
        <v>Valid</v>
      </c>
    </row>
    <row r="1845" spans="1:18" x14ac:dyDescent="0.25">
      <c r="A1845" t="s">
        <v>3916</v>
      </c>
      <c r="B1845" t="s">
        <v>376</v>
      </c>
      <c r="C1845" s="8">
        <v>46135</v>
      </c>
      <c r="D1845" t="s">
        <v>2070</v>
      </c>
      <c r="E1845" t="s">
        <v>2068</v>
      </c>
      <c r="F1845" t="s">
        <v>39</v>
      </c>
      <c r="G1845">
        <v>1776.85</v>
      </c>
      <c r="H1845" t="s">
        <v>2060</v>
      </c>
      <c r="I1845" t="str">
        <f>VLOOKUP(B1845,Customers!A:G,7,FALSE)</f>
        <v>SME</v>
      </c>
      <c r="Q1845" t="str">
        <f>IF(COUNTIF(Customers!$A$2:$A$1001,B1845)&gt;0,"Valid","Invalid")</f>
        <v>Valid</v>
      </c>
      <c r="R1845" t="str">
        <f>IF(COUNTIF(Branches!$A$2:$A$11,F1845)&gt;0,"Valid","Invalid")</f>
        <v>Valid</v>
      </c>
    </row>
    <row r="1846" spans="1:18" x14ac:dyDescent="0.25">
      <c r="A1846" t="s">
        <v>3917</v>
      </c>
      <c r="B1846" t="s">
        <v>339</v>
      </c>
      <c r="C1846" s="8">
        <v>46165</v>
      </c>
      <c r="D1846" t="s">
        <v>2065</v>
      </c>
      <c r="E1846" t="s">
        <v>2059</v>
      </c>
      <c r="F1846" t="s">
        <v>47</v>
      </c>
      <c r="G1846">
        <v>190.93</v>
      </c>
      <c r="H1846" t="s">
        <v>2060</v>
      </c>
      <c r="I1846" t="str">
        <f>VLOOKUP(B1846,Customers!A:G,7,FALSE)</f>
        <v>SME</v>
      </c>
      <c r="Q1846" t="str">
        <f>IF(COUNTIF(Customers!$A$2:$A$1001,B1846)&gt;0,"Valid","Invalid")</f>
        <v>Valid</v>
      </c>
      <c r="R1846" t="str">
        <f>IF(COUNTIF(Branches!$A$2:$A$11,F1846)&gt;0,"Valid","Invalid")</f>
        <v>Valid</v>
      </c>
    </row>
    <row r="1847" spans="1:18" x14ac:dyDescent="0.25">
      <c r="A1847" t="s">
        <v>3918</v>
      </c>
      <c r="B1847" t="s">
        <v>416</v>
      </c>
      <c r="C1847" s="8">
        <v>46188</v>
      </c>
      <c r="D1847" t="s">
        <v>2058</v>
      </c>
      <c r="E1847" t="s">
        <v>2073</v>
      </c>
      <c r="F1847" t="s">
        <v>35</v>
      </c>
      <c r="G1847">
        <v>4376.6400000000003</v>
      </c>
      <c r="H1847" t="s">
        <v>2115</v>
      </c>
      <c r="I1847" t="str">
        <f>VLOOKUP(B1847,Customers!A:G,7,FALSE)</f>
        <v>Individual</v>
      </c>
      <c r="Q1847" t="str">
        <f>IF(COUNTIF(Customers!$A$2:$A$1001,B1847)&gt;0,"Valid","Invalid")</f>
        <v>Valid</v>
      </c>
      <c r="R1847" t="str">
        <f>IF(COUNTIF(Branches!$A$2:$A$11,F1847)&gt;0,"Valid","Invalid")</f>
        <v>Valid</v>
      </c>
    </row>
    <row r="1848" spans="1:18" x14ac:dyDescent="0.25">
      <c r="A1848" t="s">
        <v>3919</v>
      </c>
      <c r="B1848" t="s">
        <v>211</v>
      </c>
      <c r="C1848" s="8">
        <v>46228</v>
      </c>
      <c r="D1848" t="s">
        <v>2058</v>
      </c>
      <c r="E1848" t="s">
        <v>2068</v>
      </c>
      <c r="F1848" t="s">
        <v>11</v>
      </c>
      <c r="G1848">
        <v>528.30999999999995</v>
      </c>
      <c r="H1848" t="s">
        <v>2060</v>
      </c>
      <c r="I1848" t="str">
        <f>VLOOKUP(B1848,Customers!A:G,7,FALSE)</f>
        <v>SME</v>
      </c>
      <c r="Q1848" t="str">
        <f>IF(COUNTIF(Customers!$A$2:$A$1001,B1848)&gt;0,"Valid","Invalid")</f>
        <v>Valid</v>
      </c>
      <c r="R1848" t="str">
        <f>IF(COUNTIF(Branches!$A$2:$A$11,F1848)&gt;0,"Valid","Invalid")</f>
        <v>Valid</v>
      </c>
    </row>
    <row r="1849" spans="1:18" x14ac:dyDescent="0.25">
      <c r="A1849" t="s">
        <v>3920</v>
      </c>
      <c r="B1849" t="s">
        <v>1001</v>
      </c>
      <c r="C1849" s="8">
        <v>46164</v>
      </c>
      <c r="D1849" t="s">
        <v>2070</v>
      </c>
      <c r="E1849" t="s">
        <v>2073</v>
      </c>
      <c r="F1849" t="s">
        <v>16</v>
      </c>
      <c r="G1849">
        <v>7548.04</v>
      </c>
      <c r="H1849" t="s">
        <v>2060</v>
      </c>
      <c r="I1849" t="str">
        <f>VLOOKUP(B1849,Customers!A:G,7,FALSE)</f>
        <v>Individual</v>
      </c>
      <c r="Q1849" t="str">
        <f>IF(COUNTIF(Customers!$A$2:$A$1001,B1849)&gt;0,"Valid","Invalid")</f>
        <v>Valid</v>
      </c>
      <c r="R1849" t="str">
        <f>IF(COUNTIF(Branches!$A$2:$A$11,F1849)&gt;0,"Valid","Invalid")</f>
        <v>Valid</v>
      </c>
    </row>
    <row r="1850" spans="1:18" x14ac:dyDescent="0.25">
      <c r="A1850" t="s">
        <v>3921</v>
      </c>
      <c r="B1850" t="s">
        <v>188</v>
      </c>
      <c r="C1850" s="8">
        <v>46207</v>
      </c>
      <c r="D1850" t="s">
        <v>2065</v>
      </c>
      <c r="E1850" t="s">
        <v>2059</v>
      </c>
      <c r="F1850" t="s">
        <v>11</v>
      </c>
      <c r="G1850">
        <v>4573.6400000000003</v>
      </c>
      <c r="H1850" t="s">
        <v>2060</v>
      </c>
      <c r="I1850" t="str">
        <f>VLOOKUP(B1850,Customers!A:G,7,FALSE)</f>
        <v>Corporate</v>
      </c>
      <c r="Q1850" t="str">
        <f>IF(COUNTIF(Customers!$A$2:$A$1001,B1850)&gt;0,"Valid","Invalid")</f>
        <v>Valid</v>
      </c>
      <c r="R1850" t="str">
        <f>IF(COUNTIF(Branches!$A$2:$A$11,F1850)&gt;0,"Valid","Invalid")</f>
        <v>Valid</v>
      </c>
    </row>
    <row r="1851" spans="1:18" x14ac:dyDescent="0.25">
      <c r="A1851" t="s">
        <v>3922</v>
      </c>
      <c r="B1851" t="s">
        <v>514</v>
      </c>
      <c r="C1851" s="8">
        <v>46209</v>
      </c>
      <c r="D1851" t="s">
        <v>2058</v>
      </c>
      <c r="E1851" t="s">
        <v>2063</v>
      </c>
      <c r="F1851" t="s">
        <v>29</v>
      </c>
      <c r="G1851">
        <v>730.38</v>
      </c>
      <c r="H1851" t="s">
        <v>2060</v>
      </c>
      <c r="I1851" t="str">
        <f>VLOOKUP(B1851,Customers!A:G,7,FALSE)</f>
        <v>Student</v>
      </c>
      <c r="Q1851" t="str">
        <f>IF(COUNTIF(Customers!$A$2:$A$1001,B1851)&gt;0,"Valid","Invalid")</f>
        <v>Valid</v>
      </c>
      <c r="R1851" t="str">
        <f>IF(COUNTIF(Branches!$A$2:$A$11,F1851)&gt;0,"Valid","Invalid")</f>
        <v>Valid</v>
      </c>
    </row>
    <row r="1852" spans="1:18" x14ac:dyDescent="0.25">
      <c r="A1852" t="s">
        <v>3923</v>
      </c>
      <c r="B1852" t="s">
        <v>304</v>
      </c>
      <c r="C1852" s="8">
        <v>46263</v>
      </c>
      <c r="D1852" t="s">
        <v>2067</v>
      </c>
      <c r="E1852" t="s">
        <v>2059</v>
      </c>
      <c r="F1852" t="s">
        <v>35</v>
      </c>
      <c r="G1852">
        <v>395.68</v>
      </c>
      <c r="H1852" t="s">
        <v>2060</v>
      </c>
      <c r="I1852" t="str">
        <f>VLOOKUP(B1852,Customers!A:G,7,FALSE)</f>
        <v>SME</v>
      </c>
      <c r="Q1852" t="str">
        <f>IF(COUNTIF(Customers!$A$2:$A$1001,B1852)&gt;0,"Valid","Invalid")</f>
        <v>Valid</v>
      </c>
      <c r="R1852" t="str">
        <f>IF(COUNTIF(Branches!$A$2:$A$11,F1852)&gt;0,"Valid","Invalid")</f>
        <v>Valid</v>
      </c>
    </row>
    <row r="1853" spans="1:18" x14ac:dyDescent="0.25">
      <c r="A1853" t="s">
        <v>3924</v>
      </c>
      <c r="B1853" t="s">
        <v>367</v>
      </c>
      <c r="C1853" s="8">
        <v>46030</v>
      </c>
      <c r="D1853" t="s">
        <v>2058</v>
      </c>
      <c r="E1853" t="s">
        <v>2076</v>
      </c>
      <c r="F1853" t="s">
        <v>45</v>
      </c>
      <c r="G1853">
        <v>987.1</v>
      </c>
      <c r="H1853" t="s">
        <v>2060</v>
      </c>
      <c r="I1853" t="str">
        <f>VLOOKUP(B1853,Customers!A:G,7,FALSE)</f>
        <v>Individual</v>
      </c>
      <c r="Q1853" t="str">
        <f>IF(COUNTIF(Customers!$A$2:$A$1001,B1853)&gt;0,"Valid","Invalid")</f>
        <v>Valid</v>
      </c>
      <c r="R1853" t="str">
        <f>IF(COUNTIF(Branches!$A$2:$A$11,F1853)&gt;0,"Valid","Invalid")</f>
        <v>Valid</v>
      </c>
    </row>
    <row r="1854" spans="1:18" x14ac:dyDescent="0.25">
      <c r="A1854" t="s">
        <v>3925</v>
      </c>
      <c r="B1854" t="s">
        <v>1011</v>
      </c>
      <c r="C1854" s="8">
        <v>46094</v>
      </c>
      <c r="D1854" t="s">
        <v>2065</v>
      </c>
      <c r="E1854" t="s">
        <v>2068</v>
      </c>
      <c r="F1854" t="s">
        <v>45</v>
      </c>
      <c r="G1854">
        <v>678.47</v>
      </c>
      <c r="H1854" t="s">
        <v>2060</v>
      </c>
      <c r="I1854" t="str">
        <f>VLOOKUP(B1854,Customers!A:G,7,FALSE)</f>
        <v>Individual</v>
      </c>
      <c r="Q1854" t="str">
        <f>IF(COUNTIF(Customers!$A$2:$A$1001,B1854)&gt;0,"Valid","Invalid")</f>
        <v>Valid</v>
      </c>
      <c r="R1854" t="str">
        <f>IF(COUNTIF(Branches!$A$2:$A$11,F1854)&gt;0,"Valid","Invalid")</f>
        <v>Valid</v>
      </c>
    </row>
    <row r="1855" spans="1:18" x14ac:dyDescent="0.25">
      <c r="A1855" t="s">
        <v>3926</v>
      </c>
      <c r="B1855" t="s">
        <v>854</v>
      </c>
      <c r="C1855" s="8">
        <v>46169</v>
      </c>
      <c r="D1855" t="s">
        <v>2065</v>
      </c>
      <c r="E1855" t="s">
        <v>2063</v>
      </c>
      <c r="F1855" t="s">
        <v>29</v>
      </c>
      <c r="G1855">
        <v>543.72</v>
      </c>
      <c r="H1855" t="s">
        <v>2060</v>
      </c>
      <c r="I1855" t="str">
        <f>VLOOKUP(B1855,Customers!A:G,7,FALSE)</f>
        <v>Individual</v>
      </c>
      <c r="Q1855" t="str">
        <f>IF(COUNTIF(Customers!$A$2:$A$1001,B1855)&gt;0,"Valid","Invalid")</f>
        <v>Valid</v>
      </c>
      <c r="R1855" t="str">
        <f>IF(COUNTIF(Branches!$A$2:$A$11,F1855)&gt;0,"Valid","Invalid")</f>
        <v>Valid</v>
      </c>
    </row>
    <row r="1856" spans="1:18" x14ac:dyDescent="0.25">
      <c r="A1856" t="s">
        <v>3927</v>
      </c>
      <c r="B1856" t="s">
        <v>199</v>
      </c>
      <c r="C1856" s="8">
        <v>46054</v>
      </c>
      <c r="D1856" t="s">
        <v>2058</v>
      </c>
      <c r="E1856" t="s">
        <v>2059</v>
      </c>
      <c r="F1856" t="s">
        <v>35</v>
      </c>
      <c r="G1856">
        <v>154.76</v>
      </c>
      <c r="H1856" t="s">
        <v>2060</v>
      </c>
      <c r="I1856" t="str">
        <f>VLOOKUP(B1856,Customers!A:G,7,FALSE)</f>
        <v>Individual</v>
      </c>
      <c r="Q1856" t="str">
        <f>IF(COUNTIF(Customers!$A$2:$A$1001,B1856)&gt;0,"Valid","Invalid")</f>
        <v>Valid</v>
      </c>
      <c r="R1856" t="str">
        <f>IF(COUNTIF(Branches!$A$2:$A$11,F1856)&gt;0,"Valid","Invalid")</f>
        <v>Valid</v>
      </c>
    </row>
    <row r="1857" spans="1:18" x14ac:dyDescent="0.25">
      <c r="A1857" t="s">
        <v>3928</v>
      </c>
      <c r="B1857" t="s">
        <v>476</v>
      </c>
      <c r="C1857" s="8">
        <v>46117</v>
      </c>
      <c r="D1857" t="s">
        <v>2067</v>
      </c>
      <c r="E1857" t="s">
        <v>2063</v>
      </c>
      <c r="F1857" t="s">
        <v>27</v>
      </c>
      <c r="G1857">
        <v>485.63</v>
      </c>
      <c r="H1857" t="s">
        <v>2060</v>
      </c>
      <c r="I1857" t="str">
        <f>VLOOKUP(B1857,Customers!A:G,7,FALSE)</f>
        <v>Individual</v>
      </c>
      <c r="Q1857" t="str">
        <f>IF(COUNTIF(Customers!$A$2:$A$1001,B1857)&gt;0,"Valid","Invalid")</f>
        <v>Valid</v>
      </c>
      <c r="R1857" t="str">
        <f>IF(COUNTIF(Branches!$A$2:$A$11,F1857)&gt;0,"Valid","Invalid")</f>
        <v>Valid</v>
      </c>
    </row>
    <row r="1858" spans="1:18" x14ac:dyDescent="0.25">
      <c r="A1858" t="s">
        <v>3929</v>
      </c>
      <c r="B1858" t="s">
        <v>381</v>
      </c>
      <c r="C1858" s="8">
        <v>46179</v>
      </c>
      <c r="D1858" t="s">
        <v>2065</v>
      </c>
      <c r="E1858" t="s">
        <v>2068</v>
      </c>
      <c r="F1858" t="s">
        <v>53</v>
      </c>
      <c r="G1858">
        <v>267.61</v>
      </c>
      <c r="H1858" t="s">
        <v>2060</v>
      </c>
      <c r="I1858" t="str">
        <f>VLOOKUP(B1858,Customers!A:G,7,FALSE)</f>
        <v>Individual</v>
      </c>
      <c r="Q1858" t="str">
        <f>IF(COUNTIF(Customers!$A$2:$A$1001,B1858)&gt;0,"Valid","Invalid")</f>
        <v>Valid</v>
      </c>
      <c r="R1858" t="str">
        <f>IF(COUNTIF(Branches!$A$2:$A$11,F1858)&gt;0,"Valid","Invalid")</f>
        <v>Valid</v>
      </c>
    </row>
    <row r="1859" spans="1:18" x14ac:dyDescent="0.25">
      <c r="A1859" t="s">
        <v>3930</v>
      </c>
      <c r="B1859" t="s">
        <v>405</v>
      </c>
      <c r="C1859" s="8">
        <v>46063</v>
      </c>
      <c r="D1859" t="s">
        <v>2067</v>
      </c>
      <c r="E1859" t="s">
        <v>2063</v>
      </c>
      <c r="F1859" t="s">
        <v>35</v>
      </c>
      <c r="G1859">
        <v>1410.43</v>
      </c>
      <c r="H1859" t="s">
        <v>2060</v>
      </c>
      <c r="I1859" t="str">
        <f>VLOOKUP(B1859,Customers!A:G,7,FALSE)</f>
        <v>Student</v>
      </c>
      <c r="Q1859" t="str">
        <f>IF(COUNTIF(Customers!$A$2:$A$1001,B1859)&gt;0,"Valid","Invalid")</f>
        <v>Valid</v>
      </c>
      <c r="R1859" t="str">
        <f>IF(COUNTIF(Branches!$A$2:$A$11,F1859)&gt;0,"Valid","Invalid")</f>
        <v>Valid</v>
      </c>
    </row>
    <row r="1860" spans="1:18" x14ac:dyDescent="0.25">
      <c r="A1860" t="s">
        <v>3931</v>
      </c>
      <c r="B1860" t="s">
        <v>503</v>
      </c>
      <c r="C1860" s="8">
        <v>46097</v>
      </c>
      <c r="D1860" t="s">
        <v>2065</v>
      </c>
      <c r="E1860" t="s">
        <v>2076</v>
      </c>
      <c r="F1860" t="s">
        <v>39</v>
      </c>
      <c r="G1860">
        <v>2188.7199999999998</v>
      </c>
      <c r="H1860" t="s">
        <v>2060</v>
      </c>
      <c r="I1860" t="str">
        <f>VLOOKUP(B1860,Customers!A:G,7,FALSE)</f>
        <v>SME</v>
      </c>
      <c r="Q1860" t="str">
        <f>IF(COUNTIF(Customers!$A$2:$A$1001,B1860)&gt;0,"Valid","Invalid")</f>
        <v>Valid</v>
      </c>
      <c r="R1860" t="str">
        <f>IF(COUNTIF(Branches!$A$2:$A$11,F1860)&gt;0,"Valid","Invalid")</f>
        <v>Valid</v>
      </c>
    </row>
    <row r="1861" spans="1:18" x14ac:dyDescent="0.25">
      <c r="A1861" t="s">
        <v>3932</v>
      </c>
      <c r="B1861" t="s">
        <v>788</v>
      </c>
      <c r="C1861" s="8">
        <v>46067</v>
      </c>
      <c r="D1861" t="s">
        <v>2070</v>
      </c>
      <c r="E1861" t="s">
        <v>2063</v>
      </c>
      <c r="F1861" t="s">
        <v>29</v>
      </c>
      <c r="G1861">
        <v>1703.92</v>
      </c>
      <c r="H1861" t="s">
        <v>2060</v>
      </c>
      <c r="I1861" t="str">
        <f>VLOOKUP(B1861,Customers!A:G,7,FALSE)</f>
        <v>Student</v>
      </c>
      <c r="Q1861" t="str">
        <f>IF(COUNTIF(Customers!$A$2:$A$1001,B1861)&gt;0,"Valid","Invalid")</f>
        <v>Valid</v>
      </c>
      <c r="R1861" t="str">
        <f>IF(COUNTIF(Branches!$A$2:$A$11,F1861)&gt;0,"Valid","Invalid")</f>
        <v>Valid</v>
      </c>
    </row>
    <row r="1862" spans="1:18" x14ac:dyDescent="0.25">
      <c r="A1862" t="s">
        <v>3933</v>
      </c>
      <c r="B1862" t="s">
        <v>236</v>
      </c>
      <c r="C1862" s="8">
        <v>46035</v>
      </c>
      <c r="D1862" t="s">
        <v>2058</v>
      </c>
      <c r="E1862" t="s">
        <v>2059</v>
      </c>
      <c r="F1862" t="s">
        <v>27</v>
      </c>
      <c r="G1862">
        <v>1144.0999999999999</v>
      </c>
      <c r="H1862" t="s">
        <v>2060</v>
      </c>
      <c r="I1862" t="str">
        <f>VLOOKUP(B1862,Customers!A:G,7,FALSE)</f>
        <v>Individual</v>
      </c>
      <c r="Q1862" t="str">
        <f>IF(COUNTIF(Customers!$A$2:$A$1001,B1862)&gt;0,"Valid","Invalid")</f>
        <v>Valid</v>
      </c>
      <c r="R1862" t="str">
        <f>IF(COUNTIF(Branches!$A$2:$A$11,F1862)&gt;0,"Valid","Invalid")</f>
        <v>Valid</v>
      </c>
    </row>
    <row r="1863" spans="1:18" x14ac:dyDescent="0.25">
      <c r="A1863" t="s">
        <v>3934</v>
      </c>
      <c r="B1863" t="s">
        <v>538</v>
      </c>
      <c r="C1863" s="8">
        <v>46177</v>
      </c>
      <c r="D1863" t="s">
        <v>2062</v>
      </c>
      <c r="E1863" t="s">
        <v>2073</v>
      </c>
      <c r="F1863" t="s">
        <v>39</v>
      </c>
      <c r="G1863">
        <v>346.23</v>
      </c>
      <c r="H1863" t="s">
        <v>2060</v>
      </c>
      <c r="I1863" t="str">
        <f>VLOOKUP(B1863,Customers!A:G,7,FALSE)</f>
        <v>Individual</v>
      </c>
      <c r="Q1863" t="str">
        <f>IF(COUNTIF(Customers!$A$2:$A$1001,B1863)&gt;0,"Valid","Invalid")</f>
        <v>Valid</v>
      </c>
      <c r="R1863" t="str">
        <f>IF(COUNTIF(Branches!$A$2:$A$11,F1863)&gt;0,"Valid","Invalid")</f>
        <v>Valid</v>
      </c>
    </row>
    <row r="1864" spans="1:18" x14ac:dyDescent="0.25">
      <c r="A1864" t="s">
        <v>3935</v>
      </c>
      <c r="B1864" t="s">
        <v>49</v>
      </c>
      <c r="C1864" s="8">
        <v>46041</v>
      </c>
      <c r="D1864" t="s">
        <v>2067</v>
      </c>
      <c r="E1864" t="s">
        <v>2063</v>
      </c>
      <c r="F1864" t="s">
        <v>35</v>
      </c>
      <c r="G1864">
        <v>997.65</v>
      </c>
      <c r="H1864" t="s">
        <v>2060</v>
      </c>
      <c r="I1864" t="str">
        <f>VLOOKUP(B1864,Customers!A:G,7,FALSE)</f>
        <v>Individual</v>
      </c>
      <c r="Q1864" t="str">
        <f>IF(COUNTIF(Customers!$A$2:$A$1001,B1864)&gt;0,"Valid","Invalid")</f>
        <v>Valid</v>
      </c>
      <c r="R1864" t="str">
        <f>IF(COUNTIF(Branches!$A$2:$A$11,F1864)&gt;0,"Valid","Invalid")</f>
        <v>Valid</v>
      </c>
    </row>
    <row r="1865" spans="1:18" x14ac:dyDescent="0.25">
      <c r="A1865" t="s">
        <v>3936</v>
      </c>
      <c r="B1865" t="s">
        <v>859</v>
      </c>
      <c r="C1865" s="8">
        <v>46176</v>
      </c>
      <c r="D1865" t="s">
        <v>2062</v>
      </c>
      <c r="E1865" t="s">
        <v>2063</v>
      </c>
      <c r="F1865" t="s">
        <v>47</v>
      </c>
      <c r="G1865">
        <v>1795.01</v>
      </c>
      <c r="H1865" t="s">
        <v>2060</v>
      </c>
      <c r="I1865" t="str">
        <f>VLOOKUP(B1865,Customers!A:G,7,FALSE)</f>
        <v>Individual</v>
      </c>
      <c r="Q1865" t="str">
        <f>IF(COUNTIF(Customers!$A$2:$A$1001,B1865)&gt;0,"Valid","Invalid")</f>
        <v>Valid</v>
      </c>
      <c r="R1865" t="str">
        <f>IF(COUNTIF(Branches!$A$2:$A$11,F1865)&gt;0,"Valid","Invalid")</f>
        <v>Valid</v>
      </c>
    </row>
    <row r="1866" spans="1:18" x14ac:dyDescent="0.25">
      <c r="A1866" t="s">
        <v>3937</v>
      </c>
      <c r="B1866" t="s">
        <v>334</v>
      </c>
      <c r="C1866" s="8">
        <v>46075</v>
      </c>
      <c r="D1866" t="s">
        <v>2058</v>
      </c>
      <c r="E1866" t="s">
        <v>2063</v>
      </c>
      <c r="F1866" t="s">
        <v>45</v>
      </c>
      <c r="G1866">
        <v>452.04</v>
      </c>
      <c r="H1866" t="s">
        <v>2060</v>
      </c>
      <c r="I1866" t="str">
        <f>VLOOKUP(B1866,Customers!A:G,7,FALSE)</f>
        <v>Individual</v>
      </c>
      <c r="Q1866" t="str">
        <f>IF(COUNTIF(Customers!$A$2:$A$1001,B1866)&gt;0,"Valid","Invalid")</f>
        <v>Valid</v>
      </c>
      <c r="R1866" t="str">
        <f>IF(COUNTIF(Branches!$A$2:$A$11,F1866)&gt;0,"Valid","Invalid")</f>
        <v>Valid</v>
      </c>
    </row>
    <row r="1867" spans="1:18" x14ac:dyDescent="0.25">
      <c r="A1867" t="s">
        <v>3938</v>
      </c>
      <c r="B1867" t="s">
        <v>906</v>
      </c>
      <c r="C1867" s="8">
        <v>46201</v>
      </c>
      <c r="D1867" t="s">
        <v>2058</v>
      </c>
      <c r="E1867" t="s">
        <v>2059</v>
      </c>
      <c r="F1867" t="s">
        <v>45</v>
      </c>
      <c r="G1867">
        <v>915.06</v>
      </c>
      <c r="H1867" t="s">
        <v>2060</v>
      </c>
      <c r="I1867" t="str">
        <f>VLOOKUP(B1867,Customers!A:G,7,FALSE)</f>
        <v>Individual</v>
      </c>
      <c r="Q1867" t="str">
        <f>IF(COUNTIF(Customers!$A$2:$A$1001,B1867)&gt;0,"Valid","Invalid")</f>
        <v>Valid</v>
      </c>
      <c r="R1867" t="str">
        <f>IF(COUNTIF(Branches!$A$2:$A$11,F1867)&gt;0,"Valid","Invalid")</f>
        <v>Valid</v>
      </c>
    </row>
    <row r="1868" spans="1:18" x14ac:dyDescent="0.25">
      <c r="A1868" t="s">
        <v>3939</v>
      </c>
      <c r="B1868" t="s">
        <v>549</v>
      </c>
      <c r="C1868" s="8">
        <v>46187</v>
      </c>
      <c r="D1868" t="s">
        <v>2058</v>
      </c>
      <c r="E1868" t="s">
        <v>2076</v>
      </c>
      <c r="F1868" t="s">
        <v>29</v>
      </c>
      <c r="G1868">
        <v>702.42</v>
      </c>
      <c r="H1868" t="s">
        <v>2060</v>
      </c>
      <c r="I1868" t="str">
        <f>VLOOKUP(B1868,Customers!A:G,7,FALSE)</f>
        <v>Individual</v>
      </c>
      <c r="Q1868" t="str">
        <f>IF(COUNTIF(Customers!$A$2:$A$1001,B1868)&gt;0,"Valid","Invalid")</f>
        <v>Valid</v>
      </c>
      <c r="R1868" t="str">
        <f>IF(COUNTIF(Branches!$A$2:$A$11,F1868)&gt;0,"Valid","Invalid")</f>
        <v>Valid</v>
      </c>
    </row>
    <row r="1869" spans="1:18" x14ac:dyDescent="0.25">
      <c r="A1869" t="s">
        <v>3940</v>
      </c>
      <c r="B1869" t="s">
        <v>826</v>
      </c>
      <c r="C1869" s="8">
        <v>46262</v>
      </c>
      <c r="D1869" t="s">
        <v>2062</v>
      </c>
      <c r="E1869" t="s">
        <v>2063</v>
      </c>
      <c r="F1869" t="s">
        <v>29</v>
      </c>
      <c r="G1869">
        <v>4282.82</v>
      </c>
      <c r="H1869" t="s">
        <v>2060</v>
      </c>
      <c r="I1869" t="str">
        <f>VLOOKUP(B1869,Customers!A:G,7,FALSE)</f>
        <v>SME</v>
      </c>
      <c r="Q1869" t="str">
        <f>IF(COUNTIF(Customers!$A$2:$A$1001,B1869)&gt;0,"Valid","Invalid")</f>
        <v>Valid</v>
      </c>
      <c r="R1869" t="str">
        <f>IF(COUNTIF(Branches!$A$2:$A$11,F1869)&gt;0,"Valid","Invalid")</f>
        <v>Valid</v>
      </c>
    </row>
    <row r="1870" spans="1:18" x14ac:dyDescent="0.25">
      <c r="A1870" t="s">
        <v>3941</v>
      </c>
      <c r="B1870" t="s">
        <v>1022</v>
      </c>
      <c r="C1870" s="8">
        <v>46159</v>
      </c>
      <c r="D1870" t="s">
        <v>2058</v>
      </c>
      <c r="E1870" t="s">
        <v>2076</v>
      </c>
      <c r="F1870" t="s">
        <v>27</v>
      </c>
      <c r="G1870">
        <v>1903.69</v>
      </c>
      <c r="H1870" t="s">
        <v>2060</v>
      </c>
      <c r="I1870" t="str">
        <f>VLOOKUP(B1870,Customers!A:G,7,FALSE)</f>
        <v>Individual</v>
      </c>
      <c r="Q1870" t="str">
        <f>IF(COUNTIF(Customers!$A$2:$A$1001,B1870)&gt;0,"Valid","Invalid")</f>
        <v>Valid</v>
      </c>
      <c r="R1870" t="str">
        <f>IF(COUNTIF(Branches!$A$2:$A$11,F1870)&gt;0,"Valid","Invalid")</f>
        <v>Valid</v>
      </c>
    </row>
    <row r="1871" spans="1:18" x14ac:dyDescent="0.25">
      <c r="A1871" t="s">
        <v>3942</v>
      </c>
      <c r="B1871" t="s">
        <v>277</v>
      </c>
      <c r="C1871" s="8">
        <v>46242</v>
      </c>
      <c r="D1871" t="s">
        <v>2065</v>
      </c>
      <c r="E1871" t="s">
        <v>2063</v>
      </c>
      <c r="F1871" t="s">
        <v>45</v>
      </c>
      <c r="G1871">
        <v>1493.92</v>
      </c>
      <c r="H1871" t="s">
        <v>2060</v>
      </c>
      <c r="I1871" t="str">
        <f>VLOOKUP(B1871,Customers!A:G,7,FALSE)</f>
        <v>Individual</v>
      </c>
      <c r="Q1871" t="str">
        <f>IF(COUNTIF(Customers!$A$2:$A$1001,B1871)&gt;0,"Valid","Invalid")</f>
        <v>Valid</v>
      </c>
      <c r="R1871" t="str">
        <f>IF(COUNTIF(Branches!$A$2:$A$11,F1871)&gt;0,"Valid","Invalid")</f>
        <v>Valid</v>
      </c>
    </row>
    <row r="1872" spans="1:18" x14ac:dyDescent="0.25">
      <c r="A1872" t="s">
        <v>3943</v>
      </c>
      <c r="B1872" t="s">
        <v>619</v>
      </c>
      <c r="C1872" s="8">
        <v>46246</v>
      </c>
      <c r="D1872" t="s">
        <v>2065</v>
      </c>
      <c r="E1872" t="s">
        <v>2068</v>
      </c>
      <c r="F1872" t="s">
        <v>27</v>
      </c>
      <c r="G1872">
        <v>145.96</v>
      </c>
      <c r="H1872" t="s">
        <v>2060</v>
      </c>
      <c r="I1872" t="str">
        <f>VLOOKUP(B1872,Customers!A:G,7,FALSE)</f>
        <v>Individual</v>
      </c>
      <c r="Q1872" t="str">
        <f>IF(COUNTIF(Customers!$A$2:$A$1001,B1872)&gt;0,"Valid","Invalid")</f>
        <v>Valid</v>
      </c>
      <c r="R1872" t="str">
        <f>IF(COUNTIF(Branches!$A$2:$A$11,F1872)&gt;0,"Valid","Invalid")</f>
        <v>Valid</v>
      </c>
    </row>
    <row r="1873" spans="1:18" x14ac:dyDescent="0.25">
      <c r="A1873" t="s">
        <v>3944</v>
      </c>
      <c r="B1873" t="s">
        <v>339</v>
      </c>
      <c r="C1873" s="8">
        <v>46202</v>
      </c>
      <c r="D1873" t="s">
        <v>2058</v>
      </c>
      <c r="E1873" t="s">
        <v>2068</v>
      </c>
      <c r="F1873" t="s">
        <v>45</v>
      </c>
      <c r="G1873">
        <v>965.68</v>
      </c>
      <c r="H1873" t="s">
        <v>2060</v>
      </c>
      <c r="I1873" t="str">
        <f>VLOOKUP(B1873,Customers!A:G,7,FALSE)</f>
        <v>SME</v>
      </c>
      <c r="Q1873" t="str">
        <f>IF(COUNTIF(Customers!$A$2:$A$1001,B1873)&gt;0,"Valid","Invalid")</f>
        <v>Valid</v>
      </c>
      <c r="R1873" t="str">
        <f>IF(COUNTIF(Branches!$A$2:$A$11,F1873)&gt;0,"Valid","Invalid")</f>
        <v>Valid</v>
      </c>
    </row>
    <row r="1874" spans="1:18" x14ac:dyDescent="0.25">
      <c r="A1874" t="s">
        <v>3945</v>
      </c>
      <c r="B1874" t="s">
        <v>30</v>
      </c>
      <c r="C1874" s="8">
        <v>46204</v>
      </c>
      <c r="D1874" t="s">
        <v>2058</v>
      </c>
      <c r="E1874" t="s">
        <v>2073</v>
      </c>
      <c r="F1874" t="s">
        <v>39</v>
      </c>
      <c r="G1874">
        <v>695.75</v>
      </c>
      <c r="H1874" t="s">
        <v>2060</v>
      </c>
      <c r="I1874" t="str">
        <f>VLOOKUP(B1874,Customers!A:G,7,FALSE)</f>
        <v>SME</v>
      </c>
      <c r="Q1874" t="str">
        <f>IF(COUNTIF(Customers!$A$2:$A$1001,B1874)&gt;0,"Valid","Invalid")</f>
        <v>Valid</v>
      </c>
      <c r="R1874" t="str">
        <f>IF(COUNTIF(Branches!$A$2:$A$11,F1874)&gt;0,"Valid","Invalid")</f>
        <v>Valid</v>
      </c>
    </row>
    <row r="1875" spans="1:18" x14ac:dyDescent="0.25">
      <c r="A1875" t="s">
        <v>3946</v>
      </c>
      <c r="B1875" t="s">
        <v>257</v>
      </c>
      <c r="C1875" s="8">
        <v>46025</v>
      </c>
      <c r="D1875" t="s">
        <v>2065</v>
      </c>
      <c r="E1875" t="s">
        <v>2073</v>
      </c>
      <c r="F1875" t="s">
        <v>39</v>
      </c>
      <c r="G1875">
        <v>689.76</v>
      </c>
      <c r="H1875" t="s">
        <v>2060</v>
      </c>
      <c r="I1875" t="str">
        <f>VLOOKUP(B1875,Customers!A:G,7,FALSE)</f>
        <v>Corporate</v>
      </c>
      <c r="Q1875" t="str">
        <f>IF(COUNTIF(Customers!$A$2:$A$1001,B1875)&gt;0,"Valid","Invalid")</f>
        <v>Valid</v>
      </c>
      <c r="R1875" t="str">
        <f>IF(COUNTIF(Branches!$A$2:$A$11,F1875)&gt;0,"Valid","Invalid")</f>
        <v>Valid</v>
      </c>
    </row>
    <row r="1876" spans="1:18" x14ac:dyDescent="0.25">
      <c r="A1876" t="s">
        <v>3947</v>
      </c>
      <c r="B1876" t="s">
        <v>804</v>
      </c>
      <c r="C1876" s="8">
        <v>46265</v>
      </c>
      <c r="D1876" t="s">
        <v>2067</v>
      </c>
      <c r="E1876" t="s">
        <v>2059</v>
      </c>
      <c r="F1876" t="s">
        <v>29</v>
      </c>
      <c r="G1876">
        <v>170.13</v>
      </c>
      <c r="H1876" t="s">
        <v>2060</v>
      </c>
      <c r="I1876" t="str">
        <f>VLOOKUP(B1876,Customers!A:G,7,FALSE)</f>
        <v>Individual</v>
      </c>
      <c r="Q1876" t="str">
        <f>IF(COUNTIF(Customers!$A$2:$A$1001,B1876)&gt;0,"Valid","Invalid")</f>
        <v>Valid</v>
      </c>
      <c r="R1876" t="str">
        <f>IF(COUNTIF(Branches!$A$2:$A$11,F1876)&gt;0,"Valid","Invalid")</f>
        <v>Valid</v>
      </c>
    </row>
    <row r="1877" spans="1:18" x14ac:dyDescent="0.25">
      <c r="A1877" t="s">
        <v>3948</v>
      </c>
      <c r="B1877" t="s">
        <v>491</v>
      </c>
      <c r="C1877" s="8">
        <v>46118</v>
      </c>
      <c r="D1877" t="s">
        <v>2058</v>
      </c>
      <c r="E1877" t="s">
        <v>2059</v>
      </c>
      <c r="F1877" t="s">
        <v>29</v>
      </c>
      <c r="G1877">
        <v>273.75</v>
      </c>
      <c r="H1877" t="s">
        <v>2060</v>
      </c>
      <c r="I1877" t="str">
        <f>VLOOKUP(B1877,Customers!A:G,7,FALSE)</f>
        <v>Individual</v>
      </c>
      <c r="Q1877" t="str">
        <f>IF(COUNTIF(Customers!$A$2:$A$1001,B1877)&gt;0,"Valid","Invalid")</f>
        <v>Valid</v>
      </c>
      <c r="R1877" t="str">
        <f>IF(COUNTIF(Branches!$A$2:$A$11,F1877)&gt;0,"Valid","Invalid")</f>
        <v>Valid</v>
      </c>
    </row>
    <row r="1878" spans="1:18" x14ac:dyDescent="0.25">
      <c r="A1878" t="s">
        <v>3949</v>
      </c>
      <c r="B1878" t="s">
        <v>471</v>
      </c>
      <c r="C1878" s="8">
        <v>46219</v>
      </c>
      <c r="D1878" t="s">
        <v>2062</v>
      </c>
      <c r="E1878" t="s">
        <v>2076</v>
      </c>
      <c r="F1878" t="s">
        <v>21</v>
      </c>
      <c r="G1878">
        <v>758.99</v>
      </c>
      <c r="H1878" t="s">
        <v>2060</v>
      </c>
      <c r="I1878" t="str">
        <f>VLOOKUP(B1878,Customers!A:G,7,FALSE)</f>
        <v>SME</v>
      </c>
      <c r="Q1878" t="str">
        <f>IF(COUNTIF(Customers!$A$2:$A$1001,B1878)&gt;0,"Valid","Invalid")</f>
        <v>Valid</v>
      </c>
      <c r="R1878" t="str">
        <f>IF(COUNTIF(Branches!$A$2:$A$11,F1878)&gt;0,"Valid","Invalid")</f>
        <v>Valid</v>
      </c>
    </row>
    <row r="1879" spans="1:18" x14ac:dyDescent="0.25">
      <c r="A1879" t="s">
        <v>3950</v>
      </c>
      <c r="B1879" t="s">
        <v>845</v>
      </c>
      <c r="C1879" s="8">
        <v>46158</v>
      </c>
      <c r="D1879" t="s">
        <v>2065</v>
      </c>
      <c r="E1879" t="s">
        <v>2063</v>
      </c>
      <c r="F1879" t="s">
        <v>21</v>
      </c>
      <c r="G1879">
        <v>2475.89</v>
      </c>
      <c r="H1879" t="s">
        <v>2060</v>
      </c>
      <c r="I1879" t="str">
        <f>VLOOKUP(B1879,Customers!A:G,7,FALSE)</f>
        <v>Individual</v>
      </c>
      <c r="Q1879" t="str">
        <f>IF(COUNTIF(Customers!$A$2:$A$1001,B1879)&gt;0,"Valid","Invalid")</f>
        <v>Valid</v>
      </c>
      <c r="R1879" t="str">
        <f>IF(COUNTIF(Branches!$A$2:$A$11,F1879)&gt;0,"Valid","Invalid")</f>
        <v>Valid</v>
      </c>
    </row>
    <row r="1880" spans="1:18" x14ac:dyDescent="0.25">
      <c r="A1880" t="s">
        <v>3951</v>
      </c>
      <c r="B1880" t="s">
        <v>908</v>
      </c>
      <c r="C1880" s="8">
        <v>46036</v>
      </c>
      <c r="D1880" t="s">
        <v>2067</v>
      </c>
      <c r="E1880" t="s">
        <v>2063</v>
      </c>
      <c r="F1880" t="s">
        <v>27</v>
      </c>
      <c r="G1880">
        <v>450.1</v>
      </c>
      <c r="H1880" t="s">
        <v>2060</v>
      </c>
      <c r="I1880" t="str">
        <f>VLOOKUP(B1880,Customers!A:G,7,FALSE)</f>
        <v>Individual</v>
      </c>
      <c r="Q1880" t="str">
        <f>IF(COUNTIF(Customers!$A$2:$A$1001,B1880)&gt;0,"Valid","Invalid")</f>
        <v>Valid</v>
      </c>
      <c r="R1880" t="str">
        <f>IF(COUNTIF(Branches!$A$2:$A$11,F1880)&gt;0,"Valid","Invalid")</f>
        <v>Valid</v>
      </c>
    </row>
    <row r="1881" spans="1:18" x14ac:dyDescent="0.25">
      <c r="A1881" t="s">
        <v>3952</v>
      </c>
      <c r="B1881" t="s">
        <v>424</v>
      </c>
      <c r="C1881" s="8">
        <v>46142</v>
      </c>
      <c r="D1881" t="s">
        <v>2062</v>
      </c>
      <c r="E1881" t="s">
        <v>2063</v>
      </c>
      <c r="F1881" t="s">
        <v>27</v>
      </c>
      <c r="G1881">
        <v>544.61</v>
      </c>
      <c r="H1881" t="s">
        <v>2060</v>
      </c>
      <c r="I1881" t="str">
        <f>VLOOKUP(B1881,Customers!A:G,7,FALSE)</f>
        <v>Corporate</v>
      </c>
      <c r="Q1881" t="str">
        <f>IF(COUNTIF(Customers!$A$2:$A$1001,B1881)&gt;0,"Valid","Invalid")</f>
        <v>Valid</v>
      </c>
      <c r="R1881" t="str">
        <f>IF(COUNTIF(Branches!$A$2:$A$11,F1881)&gt;0,"Valid","Invalid")</f>
        <v>Valid</v>
      </c>
    </row>
    <row r="1882" spans="1:18" x14ac:dyDescent="0.25">
      <c r="A1882" t="s">
        <v>3953</v>
      </c>
      <c r="B1882" t="s">
        <v>657</v>
      </c>
      <c r="C1882" s="8">
        <v>46153</v>
      </c>
      <c r="D1882" t="s">
        <v>2058</v>
      </c>
      <c r="E1882" t="s">
        <v>2059</v>
      </c>
      <c r="F1882" t="s">
        <v>39</v>
      </c>
      <c r="G1882">
        <v>4822.71</v>
      </c>
      <c r="H1882" t="s">
        <v>2060</v>
      </c>
      <c r="I1882" t="str">
        <f>VLOOKUP(B1882,Customers!A:G,7,FALSE)</f>
        <v>Individual</v>
      </c>
      <c r="Q1882" t="str">
        <f>IF(COUNTIF(Customers!$A$2:$A$1001,B1882)&gt;0,"Valid","Invalid")</f>
        <v>Valid</v>
      </c>
      <c r="R1882" t="str">
        <f>IF(COUNTIF(Branches!$A$2:$A$11,F1882)&gt;0,"Valid","Invalid")</f>
        <v>Valid</v>
      </c>
    </row>
    <row r="1883" spans="1:18" x14ac:dyDescent="0.25">
      <c r="A1883" t="s">
        <v>3954</v>
      </c>
      <c r="B1883" t="s">
        <v>333</v>
      </c>
      <c r="C1883" s="8">
        <v>46174</v>
      </c>
      <c r="D1883" t="s">
        <v>2067</v>
      </c>
      <c r="E1883" t="s">
        <v>2059</v>
      </c>
      <c r="F1883" t="s">
        <v>29</v>
      </c>
      <c r="G1883">
        <v>603.76</v>
      </c>
      <c r="H1883" t="s">
        <v>2060</v>
      </c>
      <c r="I1883" t="str">
        <f>VLOOKUP(B1883,Customers!A:G,7,FALSE)</f>
        <v>Individual</v>
      </c>
      <c r="Q1883" t="str">
        <f>IF(COUNTIF(Customers!$A$2:$A$1001,B1883)&gt;0,"Valid","Invalid")</f>
        <v>Valid</v>
      </c>
      <c r="R1883" t="str">
        <f>IF(COUNTIF(Branches!$A$2:$A$11,F1883)&gt;0,"Valid","Invalid")</f>
        <v>Valid</v>
      </c>
    </row>
    <row r="1884" spans="1:18" x14ac:dyDescent="0.25">
      <c r="A1884" t="s">
        <v>3955</v>
      </c>
      <c r="B1884" t="s">
        <v>154</v>
      </c>
      <c r="C1884" s="8">
        <v>46035</v>
      </c>
      <c r="D1884" t="s">
        <v>2062</v>
      </c>
      <c r="E1884" t="s">
        <v>2063</v>
      </c>
      <c r="F1884" t="s">
        <v>39</v>
      </c>
      <c r="G1884">
        <v>714.23</v>
      </c>
      <c r="H1884" t="s">
        <v>2060</v>
      </c>
      <c r="I1884" t="str">
        <f>VLOOKUP(B1884,Customers!A:G,7,FALSE)</f>
        <v>Individual</v>
      </c>
      <c r="Q1884" t="str">
        <f>IF(COUNTIF(Customers!$A$2:$A$1001,B1884)&gt;0,"Valid","Invalid")</f>
        <v>Valid</v>
      </c>
      <c r="R1884" t="str">
        <f>IF(COUNTIF(Branches!$A$2:$A$11,F1884)&gt;0,"Valid","Invalid")</f>
        <v>Valid</v>
      </c>
    </row>
    <row r="1885" spans="1:18" x14ac:dyDescent="0.25">
      <c r="A1885" t="s">
        <v>3956</v>
      </c>
      <c r="B1885" t="s">
        <v>443</v>
      </c>
      <c r="C1885" s="8">
        <v>46193</v>
      </c>
      <c r="D1885" t="s">
        <v>2058</v>
      </c>
      <c r="E1885" t="s">
        <v>2063</v>
      </c>
      <c r="F1885" t="s">
        <v>53</v>
      </c>
      <c r="G1885">
        <v>723.97</v>
      </c>
      <c r="H1885" t="s">
        <v>2060</v>
      </c>
      <c r="I1885" t="str">
        <f>VLOOKUP(B1885,Customers!A:G,7,FALSE)</f>
        <v>Individual</v>
      </c>
      <c r="Q1885" t="str">
        <f>IF(COUNTIF(Customers!$A$2:$A$1001,B1885)&gt;0,"Valid","Invalid")</f>
        <v>Valid</v>
      </c>
      <c r="R1885" t="str">
        <f>IF(COUNTIF(Branches!$A$2:$A$11,F1885)&gt;0,"Valid","Invalid")</f>
        <v>Valid</v>
      </c>
    </row>
    <row r="1886" spans="1:18" x14ac:dyDescent="0.25">
      <c r="A1886" t="s">
        <v>3957</v>
      </c>
      <c r="B1886" t="s">
        <v>718</v>
      </c>
      <c r="C1886" s="8">
        <v>46179</v>
      </c>
      <c r="D1886" t="s">
        <v>2058</v>
      </c>
      <c r="E1886" t="s">
        <v>2076</v>
      </c>
      <c r="F1886" t="s">
        <v>27</v>
      </c>
      <c r="G1886">
        <v>211.56</v>
      </c>
      <c r="H1886" t="s">
        <v>2060</v>
      </c>
      <c r="I1886" t="str">
        <f>VLOOKUP(B1886,Customers!A:G,7,FALSE)</f>
        <v>SME</v>
      </c>
      <c r="Q1886" t="str">
        <f>IF(COUNTIF(Customers!$A$2:$A$1001,B1886)&gt;0,"Valid","Invalid")</f>
        <v>Valid</v>
      </c>
      <c r="R1886" t="str">
        <f>IF(COUNTIF(Branches!$A$2:$A$11,F1886)&gt;0,"Valid","Invalid")</f>
        <v>Valid</v>
      </c>
    </row>
    <row r="1887" spans="1:18" x14ac:dyDescent="0.25">
      <c r="A1887" t="s">
        <v>3958</v>
      </c>
      <c r="B1887" t="s">
        <v>1035</v>
      </c>
      <c r="C1887" s="8">
        <v>46094</v>
      </c>
      <c r="D1887" t="s">
        <v>2070</v>
      </c>
      <c r="E1887" t="s">
        <v>2063</v>
      </c>
      <c r="F1887" t="s">
        <v>27</v>
      </c>
      <c r="G1887">
        <v>1439.14</v>
      </c>
      <c r="H1887" t="s">
        <v>2060</v>
      </c>
      <c r="I1887" t="str">
        <f>VLOOKUP(B1887,Customers!A:G,7,FALSE)</f>
        <v>Individual</v>
      </c>
      <c r="Q1887" t="str">
        <f>IF(COUNTIF(Customers!$A$2:$A$1001,B1887)&gt;0,"Valid","Invalid")</f>
        <v>Valid</v>
      </c>
      <c r="R1887" t="str">
        <f>IF(COUNTIF(Branches!$A$2:$A$11,F1887)&gt;0,"Valid","Invalid")</f>
        <v>Valid</v>
      </c>
    </row>
    <row r="1888" spans="1:18" x14ac:dyDescent="0.25">
      <c r="A1888" t="s">
        <v>3959</v>
      </c>
      <c r="B1888" t="s">
        <v>801</v>
      </c>
      <c r="C1888" s="8">
        <v>46201</v>
      </c>
      <c r="D1888" t="s">
        <v>2070</v>
      </c>
      <c r="E1888" t="s">
        <v>2073</v>
      </c>
      <c r="F1888" t="s">
        <v>21</v>
      </c>
      <c r="G1888">
        <v>422.89</v>
      </c>
      <c r="H1888" t="s">
        <v>2060</v>
      </c>
      <c r="I1888" t="str">
        <f>VLOOKUP(B1888,Customers!A:G,7,FALSE)</f>
        <v>SME</v>
      </c>
      <c r="Q1888" t="str">
        <f>IF(COUNTIF(Customers!$A$2:$A$1001,B1888)&gt;0,"Valid","Invalid")</f>
        <v>Valid</v>
      </c>
      <c r="R1888" t="str">
        <f>IF(COUNTIF(Branches!$A$2:$A$11,F1888)&gt;0,"Valid","Invalid")</f>
        <v>Valid</v>
      </c>
    </row>
    <row r="1889" spans="1:18" x14ac:dyDescent="0.25">
      <c r="A1889" t="s">
        <v>3960</v>
      </c>
      <c r="B1889" t="s">
        <v>632</v>
      </c>
      <c r="C1889" s="8">
        <v>46192</v>
      </c>
      <c r="D1889" t="s">
        <v>2067</v>
      </c>
      <c r="E1889" t="s">
        <v>2063</v>
      </c>
      <c r="F1889" t="s">
        <v>11</v>
      </c>
      <c r="G1889">
        <v>788.34</v>
      </c>
      <c r="H1889" t="s">
        <v>2060</v>
      </c>
      <c r="I1889" t="str">
        <f>VLOOKUP(B1889,Customers!A:G,7,FALSE)</f>
        <v>Individual</v>
      </c>
      <c r="Q1889" t="str">
        <f>IF(COUNTIF(Customers!$A$2:$A$1001,B1889)&gt;0,"Valid","Invalid")</f>
        <v>Valid</v>
      </c>
      <c r="R1889" t="str">
        <f>IF(COUNTIF(Branches!$A$2:$A$11,F1889)&gt;0,"Valid","Invalid")</f>
        <v>Valid</v>
      </c>
    </row>
    <row r="1890" spans="1:18" x14ac:dyDescent="0.25">
      <c r="A1890" t="s">
        <v>3961</v>
      </c>
      <c r="B1890" t="s">
        <v>604</v>
      </c>
      <c r="C1890" s="8">
        <v>46181</v>
      </c>
      <c r="D1890" t="s">
        <v>2065</v>
      </c>
      <c r="E1890" t="s">
        <v>2076</v>
      </c>
      <c r="F1890" t="s">
        <v>11</v>
      </c>
      <c r="G1890">
        <v>1266.96</v>
      </c>
      <c r="H1890" t="s">
        <v>2060</v>
      </c>
      <c r="I1890" t="str">
        <f>VLOOKUP(B1890,Customers!A:G,7,FALSE)</f>
        <v>Student</v>
      </c>
      <c r="Q1890" t="str">
        <f>IF(COUNTIF(Customers!$A$2:$A$1001,B1890)&gt;0,"Valid","Invalid")</f>
        <v>Valid</v>
      </c>
      <c r="R1890" t="str">
        <f>IF(COUNTIF(Branches!$A$2:$A$11,F1890)&gt;0,"Valid","Invalid")</f>
        <v>Valid</v>
      </c>
    </row>
    <row r="1891" spans="1:18" x14ac:dyDescent="0.25">
      <c r="A1891" t="s">
        <v>3962</v>
      </c>
      <c r="B1891" t="s">
        <v>790</v>
      </c>
      <c r="C1891" s="8">
        <v>46213</v>
      </c>
      <c r="D1891" t="s">
        <v>2067</v>
      </c>
      <c r="E1891" t="s">
        <v>2059</v>
      </c>
      <c r="F1891" t="s">
        <v>11</v>
      </c>
      <c r="G1891">
        <v>5667.81</v>
      </c>
      <c r="H1891" t="s">
        <v>2060</v>
      </c>
      <c r="I1891" t="str">
        <f>VLOOKUP(B1891,Customers!A:G,7,FALSE)</f>
        <v>Individual</v>
      </c>
      <c r="Q1891" t="str">
        <f>IF(COUNTIF(Customers!$A$2:$A$1001,B1891)&gt;0,"Valid","Invalid")</f>
        <v>Valid</v>
      </c>
      <c r="R1891" t="str">
        <f>IF(COUNTIF(Branches!$A$2:$A$11,F1891)&gt;0,"Valid","Invalid")</f>
        <v>Valid</v>
      </c>
    </row>
    <row r="1892" spans="1:18" x14ac:dyDescent="0.25">
      <c r="A1892" t="s">
        <v>3963</v>
      </c>
      <c r="B1892" t="s">
        <v>916</v>
      </c>
      <c r="C1892" s="8">
        <v>46176</v>
      </c>
      <c r="D1892" t="s">
        <v>2065</v>
      </c>
      <c r="E1892" t="s">
        <v>2063</v>
      </c>
      <c r="F1892" t="s">
        <v>21</v>
      </c>
      <c r="G1892">
        <v>217.51</v>
      </c>
      <c r="H1892" t="s">
        <v>2060</v>
      </c>
      <c r="I1892" t="str">
        <f>VLOOKUP(B1892,Customers!A:G,7,FALSE)</f>
        <v>Individual</v>
      </c>
      <c r="Q1892" t="str">
        <f>IF(COUNTIF(Customers!$A$2:$A$1001,B1892)&gt;0,"Valid","Invalid")</f>
        <v>Valid</v>
      </c>
      <c r="R1892" t="str">
        <f>IF(COUNTIF(Branches!$A$2:$A$11,F1892)&gt;0,"Valid","Invalid")</f>
        <v>Valid</v>
      </c>
    </row>
    <row r="1893" spans="1:18" x14ac:dyDescent="0.25">
      <c r="A1893" t="s">
        <v>3964</v>
      </c>
      <c r="B1893" t="s">
        <v>41</v>
      </c>
      <c r="C1893" s="8">
        <v>46168</v>
      </c>
      <c r="D1893" t="s">
        <v>2065</v>
      </c>
      <c r="E1893" t="s">
        <v>2059</v>
      </c>
      <c r="F1893" t="s">
        <v>53</v>
      </c>
      <c r="G1893">
        <v>1929.43</v>
      </c>
      <c r="H1893" t="s">
        <v>2060</v>
      </c>
      <c r="I1893" t="str">
        <f>VLOOKUP(B1893,Customers!A:G,7,FALSE)</f>
        <v>Individual</v>
      </c>
      <c r="Q1893" t="str">
        <f>IF(COUNTIF(Customers!$A$2:$A$1001,B1893)&gt;0,"Valid","Invalid")</f>
        <v>Valid</v>
      </c>
      <c r="R1893" t="str">
        <f>IF(COUNTIF(Branches!$A$2:$A$11,F1893)&gt;0,"Valid","Invalid")</f>
        <v>Valid</v>
      </c>
    </row>
    <row r="1894" spans="1:18" x14ac:dyDescent="0.25">
      <c r="A1894" t="s">
        <v>3965</v>
      </c>
      <c r="B1894" t="s">
        <v>246</v>
      </c>
      <c r="C1894" s="8">
        <v>46104</v>
      </c>
      <c r="D1894" t="s">
        <v>2067</v>
      </c>
      <c r="E1894" t="s">
        <v>2059</v>
      </c>
      <c r="F1894" t="s">
        <v>47</v>
      </c>
      <c r="G1894">
        <v>1936.67</v>
      </c>
      <c r="H1894" t="s">
        <v>2060</v>
      </c>
      <c r="I1894" t="str">
        <f>VLOOKUP(B1894,Customers!A:G,7,FALSE)</f>
        <v>SME</v>
      </c>
      <c r="Q1894" t="str">
        <f>IF(COUNTIF(Customers!$A$2:$A$1001,B1894)&gt;0,"Valid","Invalid")</f>
        <v>Valid</v>
      </c>
      <c r="R1894" t="str">
        <f>IF(COUNTIF(Branches!$A$2:$A$11,F1894)&gt;0,"Valid","Invalid")</f>
        <v>Valid</v>
      </c>
    </row>
    <row r="1895" spans="1:18" x14ac:dyDescent="0.25">
      <c r="A1895" t="s">
        <v>3966</v>
      </c>
      <c r="B1895" t="s">
        <v>201</v>
      </c>
      <c r="C1895" s="8">
        <v>46079</v>
      </c>
      <c r="D1895" t="s">
        <v>2070</v>
      </c>
      <c r="E1895" t="s">
        <v>2068</v>
      </c>
      <c r="F1895" t="s">
        <v>16</v>
      </c>
      <c r="G1895">
        <v>429.14</v>
      </c>
      <c r="H1895" t="s">
        <v>2060</v>
      </c>
      <c r="I1895" t="str">
        <f>VLOOKUP(B1895,Customers!A:G,7,FALSE)</f>
        <v>Individual</v>
      </c>
      <c r="Q1895" t="str">
        <f>IF(COUNTIF(Customers!$A$2:$A$1001,B1895)&gt;0,"Valid","Invalid")</f>
        <v>Valid</v>
      </c>
      <c r="R1895" t="str">
        <f>IF(COUNTIF(Branches!$A$2:$A$11,F1895)&gt;0,"Valid","Invalid")</f>
        <v>Valid</v>
      </c>
    </row>
    <row r="1896" spans="1:18" x14ac:dyDescent="0.25">
      <c r="A1896" t="s">
        <v>3967</v>
      </c>
      <c r="B1896" t="s">
        <v>916</v>
      </c>
      <c r="C1896" s="8">
        <v>46029</v>
      </c>
      <c r="D1896" t="s">
        <v>2062</v>
      </c>
      <c r="E1896" t="s">
        <v>2076</v>
      </c>
      <c r="F1896" t="s">
        <v>53</v>
      </c>
      <c r="G1896">
        <v>1479.57</v>
      </c>
      <c r="H1896" t="s">
        <v>2060</v>
      </c>
      <c r="I1896" t="str">
        <f>VLOOKUP(B1896,Customers!A:G,7,FALSE)</f>
        <v>Individual</v>
      </c>
      <c r="Q1896" t="str">
        <f>IF(COUNTIF(Customers!$A$2:$A$1001,B1896)&gt;0,"Valid","Invalid")</f>
        <v>Valid</v>
      </c>
      <c r="R1896" t="str">
        <f>IF(COUNTIF(Branches!$A$2:$A$11,F1896)&gt;0,"Valid","Invalid")</f>
        <v>Valid</v>
      </c>
    </row>
    <row r="1897" spans="1:18" x14ac:dyDescent="0.25">
      <c r="A1897" t="s">
        <v>3968</v>
      </c>
      <c r="B1897" t="s">
        <v>332</v>
      </c>
      <c r="C1897" s="8">
        <v>46134</v>
      </c>
      <c r="D1897" t="s">
        <v>2058</v>
      </c>
      <c r="E1897" t="s">
        <v>2063</v>
      </c>
      <c r="F1897" t="s">
        <v>29</v>
      </c>
      <c r="G1897">
        <v>4202.51</v>
      </c>
      <c r="H1897" t="s">
        <v>2060</v>
      </c>
      <c r="I1897" t="str">
        <f>VLOOKUP(B1897,Customers!A:G,7,FALSE)</f>
        <v>Student</v>
      </c>
      <c r="Q1897" t="str">
        <f>IF(COUNTIF(Customers!$A$2:$A$1001,B1897)&gt;0,"Valid","Invalid")</f>
        <v>Valid</v>
      </c>
      <c r="R1897" t="str">
        <f>IF(COUNTIF(Branches!$A$2:$A$11,F1897)&gt;0,"Valid","Invalid")</f>
        <v>Valid</v>
      </c>
    </row>
    <row r="1898" spans="1:18" x14ac:dyDescent="0.25">
      <c r="A1898" t="s">
        <v>3969</v>
      </c>
      <c r="B1898" t="s">
        <v>949</v>
      </c>
      <c r="C1898" s="8">
        <v>46252</v>
      </c>
      <c r="D1898" t="s">
        <v>2058</v>
      </c>
      <c r="E1898" t="s">
        <v>2063</v>
      </c>
      <c r="F1898" t="s">
        <v>39</v>
      </c>
      <c r="G1898">
        <v>378.05</v>
      </c>
      <c r="H1898" t="s">
        <v>2060</v>
      </c>
      <c r="I1898" t="str">
        <f>VLOOKUP(B1898,Customers!A:G,7,FALSE)</f>
        <v>Student</v>
      </c>
      <c r="Q1898" t="str">
        <f>IF(COUNTIF(Customers!$A$2:$A$1001,B1898)&gt;0,"Valid","Invalid")</f>
        <v>Valid</v>
      </c>
      <c r="R1898" t="str">
        <f>IF(COUNTIF(Branches!$A$2:$A$11,F1898)&gt;0,"Valid","Invalid")</f>
        <v>Valid</v>
      </c>
    </row>
    <row r="1899" spans="1:18" x14ac:dyDescent="0.25">
      <c r="A1899" t="s">
        <v>3970</v>
      </c>
      <c r="B1899" t="s">
        <v>557</v>
      </c>
      <c r="C1899" s="8">
        <v>46070</v>
      </c>
      <c r="D1899" t="s">
        <v>2065</v>
      </c>
      <c r="E1899" t="s">
        <v>2063</v>
      </c>
      <c r="F1899" t="s">
        <v>21</v>
      </c>
      <c r="G1899">
        <v>1034.29</v>
      </c>
      <c r="H1899" t="s">
        <v>2060</v>
      </c>
      <c r="I1899" t="str">
        <f>VLOOKUP(B1899,Customers!A:G,7,FALSE)</f>
        <v>Individual</v>
      </c>
      <c r="Q1899" t="str">
        <f>IF(COUNTIF(Customers!$A$2:$A$1001,B1899)&gt;0,"Valid","Invalid")</f>
        <v>Valid</v>
      </c>
      <c r="R1899" t="str">
        <f>IF(COUNTIF(Branches!$A$2:$A$11,F1899)&gt;0,"Valid","Invalid")</f>
        <v>Valid</v>
      </c>
    </row>
    <row r="1900" spans="1:18" x14ac:dyDescent="0.25">
      <c r="A1900" t="s">
        <v>3971</v>
      </c>
      <c r="B1900" t="s">
        <v>114</v>
      </c>
      <c r="C1900" s="8">
        <v>46102</v>
      </c>
      <c r="D1900" t="s">
        <v>2065</v>
      </c>
      <c r="E1900" t="s">
        <v>2063</v>
      </c>
      <c r="F1900" t="s">
        <v>27</v>
      </c>
      <c r="G1900">
        <v>1217.8</v>
      </c>
      <c r="H1900" t="s">
        <v>2060</v>
      </c>
      <c r="I1900" t="str">
        <f>VLOOKUP(B1900,Customers!A:G,7,FALSE)</f>
        <v>Individual</v>
      </c>
      <c r="Q1900" t="str">
        <f>IF(COUNTIF(Customers!$A$2:$A$1001,B1900)&gt;0,"Valid","Invalid")</f>
        <v>Valid</v>
      </c>
      <c r="R1900" t="str">
        <f>IF(COUNTIF(Branches!$A$2:$A$11,F1900)&gt;0,"Valid","Invalid")</f>
        <v>Valid</v>
      </c>
    </row>
    <row r="1901" spans="1:18" x14ac:dyDescent="0.25">
      <c r="A1901" t="s">
        <v>3972</v>
      </c>
      <c r="B1901" t="s">
        <v>472</v>
      </c>
      <c r="C1901" s="8">
        <v>46141</v>
      </c>
      <c r="D1901" t="s">
        <v>2065</v>
      </c>
      <c r="E1901" t="s">
        <v>2059</v>
      </c>
      <c r="F1901" t="s">
        <v>39</v>
      </c>
      <c r="G1901">
        <v>1386</v>
      </c>
      <c r="H1901" t="s">
        <v>2060</v>
      </c>
      <c r="I1901" t="str">
        <f>VLOOKUP(B1901,Customers!A:G,7,FALSE)</f>
        <v>Individual</v>
      </c>
      <c r="Q1901" t="str">
        <f>IF(COUNTIF(Customers!$A$2:$A$1001,B1901)&gt;0,"Valid","Invalid")</f>
        <v>Valid</v>
      </c>
      <c r="R1901" t="str">
        <f>IF(COUNTIF(Branches!$A$2:$A$11,F1901)&gt;0,"Valid","Invalid")</f>
        <v>Valid</v>
      </c>
    </row>
    <row r="1902" spans="1:18" x14ac:dyDescent="0.25">
      <c r="A1902" t="s">
        <v>3973</v>
      </c>
      <c r="B1902" t="s">
        <v>615</v>
      </c>
      <c r="C1902" s="8">
        <v>46142</v>
      </c>
      <c r="D1902" t="s">
        <v>2062</v>
      </c>
      <c r="E1902" t="s">
        <v>2073</v>
      </c>
      <c r="F1902" t="s">
        <v>47</v>
      </c>
      <c r="G1902">
        <v>1753.36</v>
      </c>
      <c r="H1902" t="s">
        <v>2060</v>
      </c>
      <c r="I1902" t="str">
        <f>VLOOKUP(B1902,Customers!A:G,7,FALSE)</f>
        <v>Student</v>
      </c>
      <c r="Q1902" t="str">
        <f>IF(COUNTIF(Customers!$A$2:$A$1001,B1902)&gt;0,"Valid","Invalid")</f>
        <v>Valid</v>
      </c>
      <c r="R1902" t="str">
        <f>IF(COUNTIF(Branches!$A$2:$A$11,F1902)&gt;0,"Valid","Invalid")</f>
        <v>Valid</v>
      </c>
    </row>
    <row r="1903" spans="1:18" x14ac:dyDescent="0.25">
      <c r="A1903" t="s">
        <v>3974</v>
      </c>
      <c r="B1903" t="s">
        <v>652</v>
      </c>
      <c r="C1903" s="8">
        <v>46082</v>
      </c>
      <c r="D1903" t="s">
        <v>2065</v>
      </c>
      <c r="E1903" t="s">
        <v>2059</v>
      </c>
      <c r="F1903" t="s">
        <v>11</v>
      </c>
      <c r="G1903">
        <v>959.4</v>
      </c>
      <c r="H1903" t="s">
        <v>2060</v>
      </c>
      <c r="I1903" t="str">
        <f>VLOOKUP(B1903,Customers!A:G,7,FALSE)</f>
        <v>Student</v>
      </c>
      <c r="Q1903" t="str">
        <f>IF(COUNTIF(Customers!$A$2:$A$1001,B1903)&gt;0,"Valid","Invalid")</f>
        <v>Valid</v>
      </c>
      <c r="R1903" t="str">
        <f>IF(COUNTIF(Branches!$A$2:$A$11,F1903)&gt;0,"Valid","Invalid")</f>
        <v>Valid</v>
      </c>
    </row>
    <row r="1904" spans="1:18" x14ac:dyDescent="0.25">
      <c r="A1904" t="s">
        <v>3975</v>
      </c>
      <c r="B1904" t="s">
        <v>1001</v>
      </c>
      <c r="C1904" s="8">
        <v>46055</v>
      </c>
      <c r="D1904" t="s">
        <v>2062</v>
      </c>
      <c r="E1904" t="s">
        <v>2076</v>
      </c>
      <c r="F1904" t="s">
        <v>47</v>
      </c>
      <c r="G1904">
        <v>1357.55</v>
      </c>
      <c r="H1904" t="s">
        <v>2060</v>
      </c>
      <c r="I1904" t="str">
        <f>VLOOKUP(B1904,Customers!A:G,7,FALSE)</f>
        <v>Individual</v>
      </c>
      <c r="Q1904" t="str">
        <f>IF(COUNTIF(Customers!$A$2:$A$1001,B1904)&gt;0,"Valid","Invalid")</f>
        <v>Valid</v>
      </c>
      <c r="R1904" t="str">
        <f>IF(COUNTIF(Branches!$A$2:$A$11,F1904)&gt;0,"Valid","Invalid")</f>
        <v>Valid</v>
      </c>
    </row>
    <row r="1905" spans="1:18" x14ac:dyDescent="0.25">
      <c r="A1905" t="s">
        <v>3976</v>
      </c>
      <c r="B1905" t="s">
        <v>907</v>
      </c>
      <c r="C1905" s="8">
        <v>46137</v>
      </c>
      <c r="D1905" t="s">
        <v>2058</v>
      </c>
      <c r="E1905" t="s">
        <v>2076</v>
      </c>
      <c r="F1905" t="s">
        <v>11</v>
      </c>
      <c r="G1905">
        <v>326.52999999999997</v>
      </c>
      <c r="H1905" t="s">
        <v>2060</v>
      </c>
      <c r="I1905" t="str">
        <f>VLOOKUP(B1905,Customers!A:G,7,FALSE)</f>
        <v>Individual</v>
      </c>
      <c r="Q1905" t="str">
        <f>IF(COUNTIF(Customers!$A$2:$A$1001,B1905)&gt;0,"Valid","Invalid")</f>
        <v>Valid</v>
      </c>
      <c r="R1905" t="str">
        <f>IF(COUNTIF(Branches!$A$2:$A$11,F1905)&gt;0,"Valid","Invalid")</f>
        <v>Valid</v>
      </c>
    </row>
    <row r="1906" spans="1:18" x14ac:dyDescent="0.25">
      <c r="A1906" t="s">
        <v>3977</v>
      </c>
      <c r="B1906" t="s">
        <v>850</v>
      </c>
      <c r="C1906" s="8">
        <v>46150</v>
      </c>
      <c r="D1906" t="s">
        <v>2065</v>
      </c>
      <c r="E1906" t="s">
        <v>2068</v>
      </c>
      <c r="F1906" t="s">
        <v>27</v>
      </c>
      <c r="G1906">
        <v>957.19</v>
      </c>
      <c r="H1906" t="s">
        <v>2060</v>
      </c>
      <c r="I1906" t="str">
        <f>VLOOKUP(B1906,Customers!A:G,7,FALSE)</f>
        <v>Individual</v>
      </c>
      <c r="Q1906" t="str">
        <f>IF(COUNTIF(Customers!$A$2:$A$1001,B1906)&gt;0,"Valid","Invalid")</f>
        <v>Valid</v>
      </c>
      <c r="R1906" t="str">
        <f>IF(COUNTIF(Branches!$A$2:$A$11,F1906)&gt;0,"Valid","Invalid")</f>
        <v>Valid</v>
      </c>
    </row>
    <row r="1907" spans="1:18" x14ac:dyDescent="0.25">
      <c r="A1907" t="s">
        <v>3978</v>
      </c>
      <c r="B1907" t="s">
        <v>837</v>
      </c>
      <c r="C1907" s="8">
        <v>46025</v>
      </c>
      <c r="D1907" t="s">
        <v>2065</v>
      </c>
      <c r="E1907" t="s">
        <v>2063</v>
      </c>
      <c r="F1907" t="s">
        <v>53</v>
      </c>
      <c r="G1907">
        <v>504.55</v>
      </c>
      <c r="H1907" t="s">
        <v>2060</v>
      </c>
      <c r="I1907" t="str">
        <f>VLOOKUP(B1907,Customers!A:G,7,FALSE)</f>
        <v>Individual</v>
      </c>
      <c r="Q1907" t="str">
        <f>IF(COUNTIF(Customers!$A$2:$A$1001,B1907)&gt;0,"Valid","Invalid")</f>
        <v>Valid</v>
      </c>
      <c r="R1907" t="str">
        <f>IF(COUNTIF(Branches!$A$2:$A$11,F1907)&gt;0,"Valid","Invalid")</f>
        <v>Valid</v>
      </c>
    </row>
    <row r="1908" spans="1:18" x14ac:dyDescent="0.25">
      <c r="A1908" t="s">
        <v>3979</v>
      </c>
      <c r="B1908" t="s">
        <v>721</v>
      </c>
      <c r="C1908" s="8">
        <v>46252</v>
      </c>
      <c r="D1908" t="s">
        <v>2058</v>
      </c>
      <c r="E1908" t="s">
        <v>2068</v>
      </c>
      <c r="F1908" t="s">
        <v>27</v>
      </c>
      <c r="G1908">
        <v>237.5</v>
      </c>
      <c r="H1908" t="s">
        <v>2060</v>
      </c>
      <c r="I1908" t="str">
        <f>VLOOKUP(B1908,Customers!A:G,7,FALSE)</f>
        <v>SME</v>
      </c>
      <c r="Q1908" t="str">
        <f>IF(COUNTIF(Customers!$A$2:$A$1001,B1908)&gt;0,"Valid","Invalid")</f>
        <v>Valid</v>
      </c>
      <c r="R1908" t="str">
        <f>IF(COUNTIF(Branches!$A$2:$A$11,F1908)&gt;0,"Valid","Invalid")</f>
        <v>Valid</v>
      </c>
    </row>
    <row r="1909" spans="1:18" x14ac:dyDescent="0.25">
      <c r="A1909" t="s">
        <v>3980</v>
      </c>
      <c r="B1909" t="s">
        <v>113</v>
      </c>
      <c r="C1909" s="8">
        <v>46026</v>
      </c>
      <c r="D1909" t="s">
        <v>2062</v>
      </c>
      <c r="E1909" t="s">
        <v>2068</v>
      </c>
      <c r="F1909" t="s">
        <v>27</v>
      </c>
      <c r="G1909">
        <v>488.26</v>
      </c>
      <c r="H1909" t="s">
        <v>2115</v>
      </c>
      <c r="I1909" t="str">
        <f>VLOOKUP(B1909,Customers!A:G,7,FALSE)</f>
        <v>Individual</v>
      </c>
      <c r="Q1909" t="str">
        <f>IF(COUNTIF(Customers!$A$2:$A$1001,B1909)&gt;0,"Valid","Invalid")</f>
        <v>Valid</v>
      </c>
      <c r="R1909" t="str">
        <f>IF(COUNTIF(Branches!$A$2:$A$11,F1909)&gt;0,"Valid","Invalid")</f>
        <v>Valid</v>
      </c>
    </row>
    <row r="1910" spans="1:18" x14ac:dyDescent="0.25">
      <c r="A1910" t="s">
        <v>3981</v>
      </c>
      <c r="B1910" t="s">
        <v>84</v>
      </c>
      <c r="C1910" s="8">
        <v>46122</v>
      </c>
      <c r="D1910" t="s">
        <v>2062</v>
      </c>
      <c r="E1910" t="s">
        <v>2063</v>
      </c>
      <c r="F1910" t="s">
        <v>11</v>
      </c>
      <c r="G1910">
        <v>1063.6400000000001</v>
      </c>
      <c r="H1910" t="s">
        <v>2060</v>
      </c>
      <c r="I1910" t="str">
        <f>VLOOKUP(B1910,Customers!A:G,7,FALSE)</f>
        <v>SME</v>
      </c>
      <c r="Q1910" t="str">
        <f>IF(COUNTIF(Customers!$A$2:$A$1001,B1910)&gt;0,"Valid","Invalid")</f>
        <v>Valid</v>
      </c>
      <c r="R1910" t="str">
        <f>IF(COUNTIF(Branches!$A$2:$A$11,F1910)&gt;0,"Valid","Invalid")</f>
        <v>Valid</v>
      </c>
    </row>
    <row r="1911" spans="1:18" x14ac:dyDescent="0.25">
      <c r="A1911" t="s">
        <v>3982</v>
      </c>
      <c r="B1911" t="s">
        <v>805</v>
      </c>
      <c r="C1911" s="8">
        <v>46026</v>
      </c>
      <c r="D1911" t="s">
        <v>2067</v>
      </c>
      <c r="E1911" t="s">
        <v>2059</v>
      </c>
      <c r="F1911" t="s">
        <v>29</v>
      </c>
      <c r="G1911">
        <v>1256.1400000000001</v>
      </c>
      <c r="H1911" t="s">
        <v>2060</v>
      </c>
      <c r="I1911" t="str">
        <f>VLOOKUP(B1911,Customers!A:G,7,FALSE)</f>
        <v>Individual</v>
      </c>
      <c r="Q1911" t="str">
        <f>IF(COUNTIF(Customers!$A$2:$A$1001,B1911)&gt;0,"Valid","Invalid")</f>
        <v>Valid</v>
      </c>
      <c r="R1911" t="str">
        <f>IF(COUNTIF(Branches!$A$2:$A$11,F1911)&gt;0,"Valid","Invalid")</f>
        <v>Valid</v>
      </c>
    </row>
    <row r="1912" spans="1:18" x14ac:dyDescent="0.25">
      <c r="A1912" t="s">
        <v>3983</v>
      </c>
      <c r="B1912" t="s">
        <v>118</v>
      </c>
      <c r="C1912" s="8">
        <v>46064</v>
      </c>
      <c r="D1912" t="s">
        <v>2058</v>
      </c>
      <c r="E1912" t="s">
        <v>2073</v>
      </c>
      <c r="F1912" t="s">
        <v>47</v>
      </c>
      <c r="G1912">
        <v>228.5</v>
      </c>
      <c r="H1912" t="s">
        <v>2060</v>
      </c>
      <c r="I1912" t="str">
        <f>VLOOKUP(B1912,Customers!A:G,7,FALSE)</f>
        <v>Corporate</v>
      </c>
      <c r="Q1912" t="str">
        <f>IF(COUNTIF(Customers!$A$2:$A$1001,B1912)&gt;0,"Valid","Invalid")</f>
        <v>Valid</v>
      </c>
      <c r="R1912" t="str">
        <f>IF(COUNTIF(Branches!$A$2:$A$11,F1912)&gt;0,"Valid","Invalid")</f>
        <v>Valid</v>
      </c>
    </row>
    <row r="1913" spans="1:18" x14ac:dyDescent="0.25">
      <c r="A1913" t="s">
        <v>3984</v>
      </c>
      <c r="B1913" t="s">
        <v>933</v>
      </c>
      <c r="C1913" s="8">
        <v>46031</v>
      </c>
      <c r="D1913" t="s">
        <v>2067</v>
      </c>
      <c r="E1913" t="s">
        <v>2068</v>
      </c>
      <c r="F1913" t="s">
        <v>47</v>
      </c>
      <c r="G1913">
        <v>318.08999999999997</v>
      </c>
      <c r="H1913" t="s">
        <v>2060</v>
      </c>
      <c r="I1913" t="str">
        <f>VLOOKUP(B1913,Customers!A:G,7,FALSE)</f>
        <v>Student</v>
      </c>
      <c r="Q1913" t="str">
        <f>IF(COUNTIF(Customers!$A$2:$A$1001,B1913)&gt;0,"Valid","Invalid")</f>
        <v>Valid</v>
      </c>
      <c r="R1913" t="str">
        <f>IF(COUNTIF(Branches!$A$2:$A$11,F1913)&gt;0,"Valid","Invalid")</f>
        <v>Valid</v>
      </c>
    </row>
    <row r="1914" spans="1:18" x14ac:dyDescent="0.25">
      <c r="A1914" t="s">
        <v>3985</v>
      </c>
      <c r="B1914" t="s">
        <v>759</v>
      </c>
      <c r="C1914" s="8">
        <v>46254</v>
      </c>
      <c r="D1914" t="s">
        <v>2070</v>
      </c>
      <c r="E1914" t="s">
        <v>2063</v>
      </c>
      <c r="F1914" t="s">
        <v>39</v>
      </c>
      <c r="G1914">
        <v>1676.82</v>
      </c>
      <c r="H1914" t="s">
        <v>2060</v>
      </c>
      <c r="I1914" t="str">
        <f>VLOOKUP(B1914,Customers!A:G,7,FALSE)</f>
        <v>Individual</v>
      </c>
      <c r="Q1914" t="str">
        <f>IF(COUNTIF(Customers!$A$2:$A$1001,B1914)&gt;0,"Valid","Invalid")</f>
        <v>Valid</v>
      </c>
      <c r="R1914" t="str">
        <f>IF(COUNTIF(Branches!$A$2:$A$11,F1914)&gt;0,"Valid","Invalid")</f>
        <v>Valid</v>
      </c>
    </row>
    <row r="1915" spans="1:18" x14ac:dyDescent="0.25">
      <c r="A1915" t="s">
        <v>3986</v>
      </c>
      <c r="B1915" t="s">
        <v>246</v>
      </c>
      <c r="C1915" s="8">
        <v>46073</v>
      </c>
      <c r="D1915" t="s">
        <v>2062</v>
      </c>
      <c r="E1915" t="s">
        <v>2059</v>
      </c>
      <c r="F1915" t="s">
        <v>45</v>
      </c>
      <c r="G1915">
        <v>1350.39</v>
      </c>
      <c r="H1915" t="s">
        <v>2060</v>
      </c>
      <c r="I1915" t="str">
        <f>VLOOKUP(B1915,Customers!A:G,7,FALSE)</f>
        <v>SME</v>
      </c>
      <c r="Q1915" t="str">
        <f>IF(COUNTIF(Customers!$A$2:$A$1001,B1915)&gt;0,"Valid","Invalid")</f>
        <v>Valid</v>
      </c>
      <c r="R1915" t="str">
        <f>IF(COUNTIF(Branches!$A$2:$A$11,F1915)&gt;0,"Valid","Invalid")</f>
        <v>Valid</v>
      </c>
    </row>
    <row r="1916" spans="1:18" x14ac:dyDescent="0.25">
      <c r="A1916" t="s">
        <v>3987</v>
      </c>
      <c r="B1916" t="s">
        <v>483</v>
      </c>
      <c r="C1916" s="8">
        <v>46167</v>
      </c>
      <c r="D1916" t="s">
        <v>2058</v>
      </c>
      <c r="E1916" t="s">
        <v>2059</v>
      </c>
      <c r="F1916" t="s">
        <v>21</v>
      </c>
      <c r="G1916">
        <v>1972.59</v>
      </c>
      <c r="H1916" t="s">
        <v>2107</v>
      </c>
      <c r="I1916" t="str">
        <f>VLOOKUP(B1916,Customers!A:G,7,FALSE)</f>
        <v>Corporate</v>
      </c>
      <c r="Q1916" t="str">
        <f>IF(COUNTIF(Customers!$A$2:$A$1001,B1916)&gt;0,"Valid","Invalid")</f>
        <v>Valid</v>
      </c>
      <c r="R1916" t="str">
        <f>IF(COUNTIF(Branches!$A$2:$A$11,F1916)&gt;0,"Valid","Invalid")</f>
        <v>Valid</v>
      </c>
    </row>
    <row r="1917" spans="1:18" x14ac:dyDescent="0.25">
      <c r="A1917" t="s">
        <v>3988</v>
      </c>
      <c r="B1917" t="s">
        <v>1009</v>
      </c>
      <c r="C1917" s="8">
        <v>46167</v>
      </c>
      <c r="D1917" t="s">
        <v>2067</v>
      </c>
      <c r="E1917" t="s">
        <v>2059</v>
      </c>
      <c r="F1917" t="s">
        <v>39</v>
      </c>
      <c r="G1917">
        <v>3190.17</v>
      </c>
      <c r="H1917" t="s">
        <v>2060</v>
      </c>
      <c r="I1917" t="str">
        <f>VLOOKUP(B1917,Customers!A:G,7,FALSE)</f>
        <v>Individual</v>
      </c>
      <c r="Q1917" t="str">
        <f>IF(COUNTIF(Customers!$A$2:$A$1001,B1917)&gt;0,"Valid","Invalid")</f>
        <v>Valid</v>
      </c>
      <c r="R1917" t="str">
        <f>IF(COUNTIF(Branches!$A$2:$A$11,F1917)&gt;0,"Valid","Invalid")</f>
        <v>Valid</v>
      </c>
    </row>
    <row r="1918" spans="1:18" x14ac:dyDescent="0.25">
      <c r="A1918" t="s">
        <v>3989</v>
      </c>
      <c r="B1918" t="s">
        <v>634</v>
      </c>
      <c r="C1918" s="8">
        <v>46119</v>
      </c>
      <c r="D1918" t="s">
        <v>2058</v>
      </c>
      <c r="E1918" t="s">
        <v>2059</v>
      </c>
      <c r="F1918" t="s">
        <v>11</v>
      </c>
      <c r="G1918">
        <v>1391.15</v>
      </c>
      <c r="H1918" t="s">
        <v>2060</v>
      </c>
      <c r="I1918" t="str">
        <f>VLOOKUP(B1918,Customers!A:G,7,FALSE)</f>
        <v>Individual</v>
      </c>
      <c r="Q1918" t="str">
        <f>IF(COUNTIF(Customers!$A$2:$A$1001,B1918)&gt;0,"Valid","Invalid")</f>
        <v>Valid</v>
      </c>
      <c r="R1918" t="str">
        <f>IF(COUNTIF(Branches!$A$2:$A$11,F1918)&gt;0,"Valid","Invalid")</f>
        <v>Valid</v>
      </c>
    </row>
    <row r="1919" spans="1:18" x14ac:dyDescent="0.25">
      <c r="A1919" t="s">
        <v>3990</v>
      </c>
      <c r="B1919" t="s">
        <v>560</v>
      </c>
      <c r="C1919" s="8">
        <v>46042</v>
      </c>
      <c r="D1919" t="s">
        <v>2067</v>
      </c>
      <c r="E1919" t="s">
        <v>2063</v>
      </c>
      <c r="F1919" t="s">
        <v>21</v>
      </c>
      <c r="G1919">
        <v>536.57000000000005</v>
      </c>
      <c r="H1919" t="s">
        <v>2060</v>
      </c>
      <c r="I1919" t="str">
        <f>VLOOKUP(B1919,Customers!A:G,7,FALSE)</f>
        <v>Individual</v>
      </c>
      <c r="Q1919" t="str">
        <f>IF(COUNTIF(Customers!$A$2:$A$1001,B1919)&gt;0,"Valid","Invalid")</f>
        <v>Valid</v>
      </c>
      <c r="R1919" t="str">
        <f>IF(COUNTIF(Branches!$A$2:$A$11,F1919)&gt;0,"Valid","Invalid")</f>
        <v>Valid</v>
      </c>
    </row>
    <row r="1920" spans="1:18" x14ac:dyDescent="0.25">
      <c r="A1920" t="s">
        <v>3991</v>
      </c>
      <c r="B1920" t="s">
        <v>63</v>
      </c>
      <c r="C1920" s="8">
        <v>46164</v>
      </c>
      <c r="D1920" t="s">
        <v>2065</v>
      </c>
      <c r="E1920" t="s">
        <v>2076</v>
      </c>
      <c r="F1920" t="s">
        <v>27</v>
      </c>
      <c r="G1920">
        <v>911.28</v>
      </c>
      <c r="H1920" t="s">
        <v>2115</v>
      </c>
      <c r="I1920" t="str">
        <f>VLOOKUP(B1920,Customers!A:G,7,FALSE)</f>
        <v>Individual</v>
      </c>
      <c r="Q1920" t="str">
        <f>IF(COUNTIF(Customers!$A$2:$A$1001,B1920)&gt;0,"Valid","Invalid")</f>
        <v>Valid</v>
      </c>
      <c r="R1920" t="str">
        <f>IF(COUNTIF(Branches!$A$2:$A$11,F1920)&gt;0,"Valid","Invalid")</f>
        <v>Valid</v>
      </c>
    </row>
    <row r="1921" spans="1:18" x14ac:dyDescent="0.25">
      <c r="A1921" t="s">
        <v>3992</v>
      </c>
      <c r="B1921" t="s">
        <v>342</v>
      </c>
      <c r="C1921" s="8">
        <v>46044</v>
      </c>
      <c r="D1921" t="s">
        <v>2067</v>
      </c>
      <c r="E1921" t="s">
        <v>2068</v>
      </c>
      <c r="F1921" t="s">
        <v>29</v>
      </c>
      <c r="G1921">
        <v>4272.26</v>
      </c>
      <c r="H1921" t="s">
        <v>2060</v>
      </c>
      <c r="I1921" t="str">
        <f>VLOOKUP(B1921,Customers!A:G,7,FALSE)</f>
        <v>Individual</v>
      </c>
      <c r="Q1921" t="str">
        <f>IF(COUNTIF(Customers!$A$2:$A$1001,B1921)&gt;0,"Valid","Invalid")</f>
        <v>Valid</v>
      </c>
      <c r="R1921" t="str">
        <f>IF(COUNTIF(Branches!$A$2:$A$11,F1921)&gt;0,"Valid","Invalid")</f>
        <v>Valid</v>
      </c>
    </row>
    <row r="1922" spans="1:18" x14ac:dyDescent="0.25">
      <c r="A1922" t="s">
        <v>3993</v>
      </c>
      <c r="B1922" t="s">
        <v>1032</v>
      </c>
      <c r="C1922" s="8">
        <v>46202</v>
      </c>
      <c r="D1922" t="s">
        <v>2070</v>
      </c>
      <c r="E1922" t="s">
        <v>2068</v>
      </c>
      <c r="F1922" t="s">
        <v>35</v>
      </c>
      <c r="G1922">
        <v>12893.12</v>
      </c>
      <c r="H1922" t="s">
        <v>2060</v>
      </c>
      <c r="I1922" t="str">
        <f>VLOOKUP(B1922,Customers!A:G,7,FALSE)</f>
        <v>Individual</v>
      </c>
      <c r="Q1922" t="str">
        <f>IF(COUNTIF(Customers!$A$2:$A$1001,B1922)&gt;0,"Valid","Invalid")</f>
        <v>Valid</v>
      </c>
      <c r="R1922" t="str">
        <f>IF(COUNTIF(Branches!$A$2:$A$11,F1922)&gt;0,"Valid","Invalid")</f>
        <v>Valid</v>
      </c>
    </row>
    <row r="1923" spans="1:18" x14ac:dyDescent="0.25">
      <c r="A1923" t="s">
        <v>3994</v>
      </c>
      <c r="B1923" t="s">
        <v>503</v>
      </c>
      <c r="C1923" s="8">
        <v>46049</v>
      </c>
      <c r="D1923" t="s">
        <v>2058</v>
      </c>
      <c r="E1923" t="s">
        <v>2063</v>
      </c>
      <c r="F1923" t="s">
        <v>29</v>
      </c>
      <c r="G1923">
        <v>1290.9000000000001</v>
      </c>
      <c r="H1923" t="s">
        <v>2060</v>
      </c>
      <c r="I1923" t="str">
        <f>VLOOKUP(B1923,Customers!A:G,7,FALSE)</f>
        <v>SME</v>
      </c>
      <c r="Q1923" t="str">
        <f>IF(COUNTIF(Customers!$A$2:$A$1001,B1923)&gt;0,"Valid","Invalid")</f>
        <v>Valid</v>
      </c>
      <c r="R1923" t="str">
        <f>IF(COUNTIF(Branches!$A$2:$A$11,F1923)&gt;0,"Valid","Invalid")</f>
        <v>Valid</v>
      </c>
    </row>
    <row r="1924" spans="1:18" x14ac:dyDescent="0.25">
      <c r="A1924" t="s">
        <v>3995</v>
      </c>
      <c r="B1924" t="s">
        <v>540</v>
      </c>
      <c r="C1924" s="8">
        <v>46065</v>
      </c>
      <c r="D1924" t="s">
        <v>2065</v>
      </c>
      <c r="E1924" t="s">
        <v>2068</v>
      </c>
      <c r="F1924" t="s">
        <v>27</v>
      </c>
      <c r="G1924">
        <v>1387.91</v>
      </c>
      <c r="H1924" t="s">
        <v>2060</v>
      </c>
      <c r="I1924" t="str">
        <f>VLOOKUP(B1924,Customers!A:G,7,FALSE)</f>
        <v>Individual</v>
      </c>
      <c r="Q1924" t="str">
        <f>IF(COUNTIF(Customers!$A$2:$A$1001,B1924)&gt;0,"Valid","Invalid")</f>
        <v>Valid</v>
      </c>
      <c r="R1924" t="str">
        <f>IF(COUNTIF(Branches!$A$2:$A$11,F1924)&gt;0,"Valid","Invalid")</f>
        <v>Valid</v>
      </c>
    </row>
    <row r="1925" spans="1:18" x14ac:dyDescent="0.25">
      <c r="A1925" t="s">
        <v>3996</v>
      </c>
      <c r="B1925" t="s">
        <v>484</v>
      </c>
      <c r="C1925" s="8">
        <v>46153</v>
      </c>
      <c r="D1925" t="s">
        <v>2062</v>
      </c>
      <c r="E1925" t="s">
        <v>2063</v>
      </c>
      <c r="F1925" t="s">
        <v>27</v>
      </c>
      <c r="G1925">
        <v>1678.59</v>
      </c>
      <c r="H1925" t="s">
        <v>2060</v>
      </c>
      <c r="I1925" t="str">
        <f>VLOOKUP(B1925,Customers!A:G,7,FALSE)</f>
        <v>Student</v>
      </c>
      <c r="Q1925" t="str">
        <f>IF(COUNTIF(Customers!$A$2:$A$1001,B1925)&gt;0,"Valid","Invalid")</f>
        <v>Valid</v>
      </c>
      <c r="R1925" t="str">
        <f>IF(COUNTIF(Branches!$A$2:$A$11,F1925)&gt;0,"Valid","Invalid")</f>
        <v>Valid</v>
      </c>
    </row>
    <row r="1926" spans="1:18" x14ac:dyDescent="0.25">
      <c r="A1926" t="s">
        <v>3997</v>
      </c>
      <c r="B1926" t="s">
        <v>666</v>
      </c>
      <c r="C1926" s="8">
        <v>46238</v>
      </c>
      <c r="D1926" t="s">
        <v>2065</v>
      </c>
      <c r="E1926" t="s">
        <v>2059</v>
      </c>
      <c r="F1926" t="s">
        <v>45</v>
      </c>
      <c r="G1926">
        <v>831.97</v>
      </c>
      <c r="H1926" t="s">
        <v>2060</v>
      </c>
      <c r="I1926" t="str">
        <f>VLOOKUP(B1926,Customers!A:G,7,FALSE)</f>
        <v>SME</v>
      </c>
      <c r="Q1926" t="str">
        <f>IF(COUNTIF(Customers!$A$2:$A$1001,B1926)&gt;0,"Valid","Invalid")</f>
        <v>Valid</v>
      </c>
      <c r="R1926" t="str">
        <f>IF(COUNTIF(Branches!$A$2:$A$11,F1926)&gt;0,"Valid","Invalid")</f>
        <v>Valid</v>
      </c>
    </row>
    <row r="1927" spans="1:18" x14ac:dyDescent="0.25">
      <c r="A1927" t="s">
        <v>3998</v>
      </c>
      <c r="B1927" t="s">
        <v>528</v>
      </c>
      <c r="C1927" s="8">
        <v>46116</v>
      </c>
      <c r="D1927" t="s">
        <v>2065</v>
      </c>
      <c r="E1927" t="s">
        <v>2073</v>
      </c>
      <c r="F1927" t="s">
        <v>35</v>
      </c>
      <c r="G1927">
        <v>2601.5300000000002</v>
      </c>
      <c r="H1927" t="s">
        <v>2060</v>
      </c>
      <c r="I1927" t="str">
        <f>VLOOKUP(B1927,Customers!A:G,7,FALSE)</f>
        <v>SME</v>
      </c>
      <c r="Q1927" t="str">
        <f>IF(COUNTIF(Customers!$A$2:$A$1001,B1927)&gt;0,"Valid","Invalid")</f>
        <v>Valid</v>
      </c>
      <c r="R1927" t="str">
        <f>IF(COUNTIF(Branches!$A$2:$A$11,F1927)&gt;0,"Valid","Invalid")</f>
        <v>Valid</v>
      </c>
    </row>
    <row r="1928" spans="1:18" x14ac:dyDescent="0.25">
      <c r="A1928" t="s">
        <v>3999</v>
      </c>
      <c r="B1928" t="s">
        <v>819</v>
      </c>
      <c r="C1928" s="8">
        <v>46030</v>
      </c>
      <c r="D1928" t="s">
        <v>2067</v>
      </c>
      <c r="E1928" t="s">
        <v>2059</v>
      </c>
      <c r="F1928" t="s">
        <v>16</v>
      </c>
      <c r="G1928">
        <v>2226.19</v>
      </c>
      <c r="H1928" t="s">
        <v>2060</v>
      </c>
      <c r="I1928" t="str">
        <f>VLOOKUP(B1928,Customers!A:G,7,FALSE)</f>
        <v>SME</v>
      </c>
      <c r="Q1928" t="str">
        <f>IF(COUNTIF(Customers!$A$2:$A$1001,B1928)&gt;0,"Valid","Invalid")</f>
        <v>Valid</v>
      </c>
      <c r="R1928" t="str">
        <f>IF(COUNTIF(Branches!$A$2:$A$11,F1928)&gt;0,"Valid","Invalid")</f>
        <v>Valid</v>
      </c>
    </row>
    <row r="1929" spans="1:18" x14ac:dyDescent="0.25">
      <c r="A1929" t="s">
        <v>4000</v>
      </c>
      <c r="B1929" t="s">
        <v>466</v>
      </c>
      <c r="C1929" s="8">
        <v>46108</v>
      </c>
      <c r="D1929" t="s">
        <v>2058</v>
      </c>
      <c r="E1929" t="s">
        <v>2063</v>
      </c>
      <c r="F1929" t="s">
        <v>27</v>
      </c>
      <c r="G1929">
        <v>1157.92</v>
      </c>
      <c r="H1929" t="s">
        <v>2060</v>
      </c>
      <c r="I1929" t="str">
        <f>VLOOKUP(B1929,Customers!A:G,7,FALSE)</f>
        <v>Corporate</v>
      </c>
      <c r="Q1929" t="str">
        <f>IF(COUNTIF(Customers!$A$2:$A$1001,B1929)&gt;0,"Valid","Invalid")</f>
        <v>Valid</v>
      </c>
      <c r="R1929" t="str">
        <f>IF(COUNTIF(Branches!$A$2:$A$11,F1929)&gt;0,"Valid","Invalid")</f>
        <v>Valid</v>
      </c>
    </row>
    <row r="1930" spans="1:18" x14ac:dyDescent="0.25">
      <c r="A1930" t="s">
        <v>4001</v>
      </c>
      <c r="B1930" t="s">
        <v>597</v>
      </c>
      <c r="C1930" s="8">
        <v>46111</v>
      </c>
      <c r="D1930" t="s">
        <v>2058</v>
      </c>
      <c r="E1930" t="s">
        <v>2063</v>
      </c>
      <c r="F1930" t="s">
        <v>39</v>
      </c>
      <c r="G1930">
        <v>591.1</v>
      </c>
      <c r="H1930" t="s">
        <v>2060</v>
      </c>
      <c r="I1930" t="str">
        <f>VLOOKUP(B1930,Customers!A:G,7,FALSE)</f>
        <v>Individual</v>
      </c>
      <c r="Q1930" t="str">
        <f>IF(COUNTIF(Customers!$A$2:$A$1001,B1930)&gt;0,"Valid","Invalid")</f>
        <v>Valid</v>
      </c>
      <c r="R1930" t="str">
        <f>IF(COUNTIF(Branches!$A$2:$A$11,F1930)&gt;0,"Valid","Invalid")</f>
        <v>Valid</v>
      </c>
    </row>
    <row r="1931" spans="1:18" x14ac:dyDescent="0.25">
      <c r="A1931" t="s">
        <v>4002</v>
      </c>
      <c r="B1931" t="s">
        <v>397</v>
      </c>
      <c r="C1931" s="8">
        <v>46160</v>
      </c>
      <c r="D1931" t="s">
        <v>2058</v>
      </c>
      <c r="E1931" t="s">
        <v>2059</v>
      </c>
      <c r="F1931" t="s">
        <v>29</v>
      </c>
      <c r="G1931">
        <v>177.56</v>
      </c>
      <c r="H1931" t="s">
        <v>2060</v>
      </c>
      <c r="I1931" t="str">
        <f>VLOOKUP(B1931,Customers!A:G,7,FALSE)</f>
        <v>Individual</v>
      </c>
      <c r="Q1931" t="str">
        <f>IF(COUNTIF(Customers!$A$2:$A$1001,B1931)&gt;0,"Valid","Invalid")</f>
        <v>Valid</v>
      </c>
      <c r="R1931" t="str">
        <f>IF(COUNTIF(Branches!$A$2:$A$11,F1931)&gt;0,"Valid","Invalid")</f>
        <v>Valid</v>
      </c>
    </row>
    <row r="1932" spans="1:18" x14ac:dyDescent="0.25">
      <c r="A1932" t="s">
        <v>4003</v>
      </c>
      <c r="B1932" t="s">
        <v>998</v>
      </c>
      <c r="C1932" s="8">
        <v>46135</v>
      </c>
      <c r="D1932" t="s">
        <v>2062</v>
      </c>
      <c r="E1932" t="s">
        <v>2068</v>
      </c>
      <c r="F1932" t="s">
        <v>53</v>
      </c>
      <c r="G1932">
        <v>1689.88</v>
      </c>
      <c r="H1932" t="s">
        <v>2060</v>
      </c>
      <c r="I1932" t="str">
        <f>VLOOKUP(B1932,Customers!A:G,7,FALSE)</f>
        <v>Individual</v>
      </c>
      <c r="Q1932" t="str">
        <f>IF(COUNTIF(Customers!$A$2:$A$1001,B1932)&gt;0,"Valid","Invalid")</f>
        <v>Valid</v>
      </c>
      <c r="R1932" t="str">
        <f>IF(COUNTIF(Branches!$A$2:$A$11,F1932)&gt;0,"Valid","Invalid")</f>
        <v>Valid</v>
      </c>
    </row>
    <row r="1933" spans="1:18" x14ac:dyDescent="0.25">
      <c r="A1933" t="s">
        <v>4004</v>
      </c>
      <c r="B1933" t="s">
        <v>127</v>
      </c>
      <c r="C1933" s="8">
        <v>46179</v>
      </c>
      <c r="D1933" t="s">
        <v>2067</v>
      </c>
      <c r="E1933" t="s">
        <v>2073</v>
      </c>
      <c r="F1933" t="s">
        <v>35</v>
      </c>
      <c r="G1933">
        <v>1005.12</v>
      </c>
      <c r="H1933" t="s">
        <v>2060</v>
      </c>
      <c r="I1933" t="str">
        <f>VLOOKUP(B1933,Customers!A:G,7,FALSE)</f>
        <v>Individual</v>
      </c>
      <c r="Q1933" t="str">
        <f>IF(COUNTIF(Customers!$A$2:$A$1001,B1933)&gt;0,"Valid","Invalid")</f>
        <v>Valid</v>
      </c>
      <c r="R1933" t="str">
        <f>IF(COUNTIF(Branches!$A$2:$A$11,F1933)&gt;0,"Valid","Invalid")</f>
        <v>Valid</v>
      </c>
    </row>
    <row r="1934" spans="1:18" x14ac:dyDescent="0.25">
      <c r="A1934" t="s">
        <v>4005</v>
      </c>
      <c r="B1934" t="s">
        <v>89</v>
      </c>
      <c r="C1934" s="8">
        <v>46190</v>
      </c>
      <c r="D1934" t="s">
        <v>2062</v>
      </c>
      <c r="E1934" t="s">
        <v>2068</v>
      </c>
      <c r="F1934" t="s">
        <v>53</v>
      </c>
      <c r="G1934">
        <v>388.48</v>
      </c>
      <c r="H1934" t="s">
        <v>2060</v>
      </c>
      <c r="I1934" t="str">
        <f>VLOOKUP(B1934,Customers!A:G,7,FALSE)</f>
        <v>SME</v>
      </c>
      <c r="Q1934" t="str">
        <f>IF(COUNTIF(Customers!$A$2:$A$1001,B1934)&gt;0,"Valid","Invalid")</f>
        <v>Valid</v>
      </c>
      <c r="R1934" t="str">
        <f>IF(COUNTIF(Branches!$A$2:$A$11,F1934)&gt;0,"Valid","Invalid")</f>
        <v>Valid</v>
      </c>
    </row>
    <row r="1935" spans="1:18" x14ac:dyDescent="0.25">
      <c r="A1935" t="s">
        <v>4006</v>
      </c>
      <c r="B1935" t="s">
        <v>768</v>
      </c>
      <c r="C1935" s="8">
        <v>46215</v>
      </c>
      <c r="D1935" t="s">
        <v>2065</v>
      </c>
      <c r="E1935" t="s">
        <v>2068</v>
      </c>
      <c r="F1935" t="s">
        <v>29</v>
      </c>
      <c r="G1935">
        <v>262.45999999999998</v>
      </c>
      <c r="H1935" t="s">
        <v>2060</v>
      </c>
      <c r="I1935" t="str">
        <f>VLOOKUP(B1935,Customers!A:G,7,FALSE)</f>
        <v>Individual</v>
      </c>
      <c r="Q1935" t="str">
        <f>IF(COUNTIF(Customers!$A$2:$A$1001,B1935)&gt;0,"Valid","Invalid")</f>
        <v>Valid</v>
      </c>
      <c r="R1935" t="str">
        <f>IF(COUNTIF(Branches!$A$2:$A$11,F1935)&gt;0,"Valid","Invalid")</f>
        <v>Valid</v>
      </c>
    </row>
    <row r="1936" spans="1:18" x14ac:dyDescent="0.25">
      <c r="A1936" t="s">
        <v>4007</v>
      </c>
      <c r="B1936" t="s">
        <v>898</v>
      </c>
      <c r="C1936" s="8">
        <v>46043</v>
      </c>
      <c r="D1936" t="s">
        <v>2062</v>
      </c>
      <c r="E1936" t="s">
        <v>2076</v>
      </c>
      <c r="F1936" t="s">
        <v>47</v>
      </c>
      <c r="G1936">
        <v>1574.09</v>
      </c>
      <c r="H1936" t="s">
        <v>2060</v>
      </c>
      <c r="I1936" t="str">
        <f>VLOOKUP(B1936,Customers!A:G,7,FALSE)</f>
        <v>Student</v>
      </c>
      <c r="Q1936" t="str">
        <f>IF(COUNTIF(Customers!$A$2:$A$1001,B1936)&gt;0,"Valid","Invalid")</f>
        <v>Valid</v>
      </c>
      <c r="R1936" t="str">
        <f>IF(COUNTIF(Branches!$A$2:$A$11,F1936)&gt;0,"Valid","Invalid")</f>
        <v>Valid</v>
      </c>
    </row>
    <row r="1937" spans="1:18" x14ac:dyDescent="0.25">
      <c r="A1937" t="s">
        <v>4008</v>
      </c>
      <c r="B1937" t="s">
        <v>627</v>
      </c>
      <c r="C1937" s="8">
        <v>46253</v>
      </c>
      <c r="D1937" t="s">
        <v>2058</v>
      </c>
      <c r="E1937" t="s">
        <v>2068</v>
      </c>
      <c r="F1937" t="s">
        <v>53</v>
      </c>
      <c r="G1937">
        <v>163.82</v>
      </c>
      <c r="H1937" t="s">
        <v>2060</v>
      </c>
      <c r="I1937" t="str">
        <f>VLOOKUP(B1937,Customers!A:G,7,FALSE)</f>
        <v>Individual</v>
      </c>
      <c r="Q1937" t="str">
        <f>IF(COUNTIF(Customers!$A$2:$A$1001,B1937)&gt;0,"Valid","Invalid")</f>
        <v>Valid</v>
      </c>
      <c r="R1937" t="str">
        <f>IF(COUNTIF(Branches!$A$2:$A$11,F1937)&gt;0,"Valid","Invalid")</f>
        <v>Valid</v>
      </c>
    </row>
    <row r="1938" spans="1:18" x14ac:dyDescent="0.25">
      <c r="A1938" t="s">
        <v>4009</v>
      </c>
      <c r="B1938" t="s">
        <v>241</v>
      </c>
      <c r="C1938" s="8">
        <v>46174</v>
      </c>
      <c r="D1938" t="s">
        <v>2058</v>
      </c>
      <c r="E1938" t="s">
        <v>2063</v>
      </c>
      <c r="F1938" t="s">
        <v>47</v>
      </c>
      <c r="G1938">
        <v>1096.24</v>
      </c>
      <c r="H1938" t="s">
        <v>2060</v>
      </c>
      <c r="I1938" t="str">
        <f>VLOOKUP(B1938,Customers!A:G,7,FALSE)</f>
        <v>Individual</v>
      </c>
      <c r="Q1938" t="str">
        <f>IF(COUNTIF(Customers!$A$2:$A$1001,B1938)&gt;0,"Valid","Invalid")</f>
        <v>Valid</v>
      </c>
      <c r="R1938" t="str">
        <f>IF(COUNTIF(Branches!$A$2:$A$11,F1938)&gt;0,"Valid","Invalid")</f>
        <v>Valid</v>
      </c>
    </row>
    <row r="1939" spans="1:18" x14ac:dyDescent="0.25">
      <c r="A1939" t="s">
        <v>4010</v>
      </c>
      <c r="B1939" t="s">
        <v>594</v>
      </c>
      <c r="C1939" s="8">
        <v>46223</v>
      </c>
      <c r="D1939" t="s">
        <v>2058</v>
      </c>
      <c r="E1939" t="s">
        <v>2073</v>
      </c>
      <c r="F1939" t="s">
        <v>11</v>
      </c>
      <c r="G1939">
        <v>1888.52</v>
      </c>
      <c r="H1939" t="s">
        <v>2107</v>
      </c>
      <c r="I1939" t="str">
        <f>VLOOKUP(B1939,Customers!A:G,7,FALSE)</f>
        <v>SME</v>
      </c>
      <c r="Q1939" t="str">
        <f>IF(COUNTIF(Customers!$A$2:$A$1001,B1939)&gt;0,"Valid","Invalid")</f>
        <v>Valid</v>
      </c>
      <c r="R1939" t="str">
        <f>IF(COUNTIF(Branches!$A$2:$A$11,F1939)&gt;0,"Valid","Invalid")</f>
        <v>Valid</v>
      </c>
    </row>
    <row r="1940" spans="1:18" x14ac:dyDescent="0.25">
      <c r="A1940" t="s">
        <v>4011</v>
      </c>
      <c r="B1940" t="s">
        <v>192</v>
      </c>
      <c r="C1940" s="8">
        <v>46210</v>
      </c>
      <c r="D1940" t="s">
        <v>2058</v>
      </c>
      <c r="E1940" t="s">
        <v>2059</v>
      </c>
      <c r="F1940" t="s">
        <v>11</v>
      </c>
      <c r="G1940">
        <v>1407.95</v>
      </c>
      <c r="H1940" t="s">
        <v>2115</v>
      </c>
      <c r="I1940" t="str">
        <f>VLOOKUP(B1940,Customers!A:G,7,FALSE)</f>
        <v>Individual</v>
      </c>
      <c r="Q1940" t="str">
        <f>IF(COUNTIF(Customers!$A$2:$A$1001,B1940)&gt;0,"Valid","Invalid")</f>
        <v>Valid</v>
      </c>
      <c r="R1940" t="str">
        <f>IF(COUNTIF(Branches!$A$2:$A$11,F1940)&gt;0,"Valid","Invalid")</f>
        <v>Valid</v>
      </c>
    </row>
    <row r="1941" spans="1:18" x14ac:dyDescent="0.25">
      <c r="A1941" t="s">
        <v>4012</v>
      </c>
      <c r="B1941" t="s">
        <v>13</v>
      </c>
      <c r="C1941" s="8">
        <v>46258</v>
      </c>
      <c r="D1941" t="s">
        <v>2065</v>
      </c>
      <c r="E1941" t="s">
        <v>2073</v>
      </c>
      <c r="F1941" t="s">
        <v>11</v>
      </c>
      <c r="G1941">
        <v>549.64</v>
      </c>
      <c r="H1941" t="s">
        <v>2060</v>
      </c>
      <c r="I1941" t="str">
        <f>VLOOKUP(B1941,Customers!A:G,7,FALSE)</f>
        <v>Student</v>
      </c>
      <c r="Q1941" t="str">
        <f>IF(COUNTIF(Customers!$A$2:$A$1001,B1941)&gt;0,"Valid","Invalid")</f>
        <v>Valid</v>
      </c>
      <c r="R1941" t="str">
        <f>IF(COUNTIF(Branches!$A$2:$A$11,F1941)&gt;0,"Valid","Invalid")</f>
        <v>Valid</v>
      </c>
    </row>
    <row r="1942" spans="1:18" x14ac:dyDescent="0.25">
      <c r="A1942" t="s">
        <v>4013</v>
      </c>
      <c r="B1942" t="s">
        <v>395</v>
      </c>
      <c r="C1942" s="8">
        <v>46176</v>
      </c>
      <c r="D1942" t="s">
        <v>2062</v>
      </c>
      <c r="E1942" t="s">
        <v>2063</v>
      </c>
      <c r="F1942" t="s">
        <v>29</v>
      </c>
      <c r="G1942">
        <v>232.9</v>
      </c>
      <c r="H1942" t="s">
        <v>2060</v>
      </c>
      <c r="I1942" t="str">
        <f>VLOOKUP(B1942,Customers!A:G,7,FALSE)</f>
        <v>Individual</v>
      </c>
      <c r="Q1942" t="str">
        <f>IF(COUNTIF(Customers!$A$2:$A$1001,B1942)&gt;0,"Valid","Invalid")</f>
        <v>Valid</v>
      </c>
      <c r="R1942" t="str">
        <f>IF(COUNTIF(Branches!$A$2:$A$11,F1942)&gt;0,"Valid","Invalid")</f>
        <v>Valid</v>
      </c>
    </row>
    <row r="1943" spans="1:18" x14ac:dyDescent="0.25">
      <c r="A1943" t="s">
        <v>4014</v>
      </c>
      <c r="B1943" t="s">
        <v>863</v>
      </c>
      <c r="C1943" s="8">
        <v>46031</v>
      </c>
      <c r="D1943" t="s">
        <v>2065</v>
      </c>
      <c r="E1943" t="s">
        <v>2076</v>
      </c>
      <c r="F1943" t="s">
        <v>35</v>
      </c>
      <c r="G1943">
        <v>1461.21</v>
      </c>
      <c r="H1943" t="s">
        <v>2060</v>
      </c>
      <c r="I1943" t="str">
        <f>VLOOKUP(B1943,Customers!A:G,7,FALSE)</f>
        <v>Corporate</v>
      </c>
      <c r="Q1943" t="str">
        <f>IF(COUNTIF(Customers!$A$2:$A$1001,B1943)&gt;0,"Valid","Invalid")</f>
        <v>Valid</v>
      </c>
      <c r="R1943" t="str">
        <f>IF(COUNTIF(Branches!$A$2:$A$11,F1943)&gt;0,"Valid","Invalid")</f>
        <v>Valid</v>
      </c>
    </row>
    <row r="1944" spans="1:18" x14ac:dyDescent="0.25">
      <c r="A1944" t="s">
        <v>4015</v>
      </c>
      <c r="B1944" t="s">
        <v>607</v>
      </c>
      <c r="C1944" s="8">
        <v>46170</v>
      </c>
      <c r="D1944" t="s">
        <v>2065</v>
      </c>
      <c r="E1944" t="s">
        <v>2076</v>
      </c>
      <c r="F1944" t="s">
        <v>39</v>
      </c>
      <c r="G1944">
        <v>2698.69</v>
      </c>
      <c r="H1944" t="s">
        <v>2060</v>
      </c>
      <c r="I1944" t="str">
        <f>VLOOKUP(B1944,Customers!A:G,7,FALSE)</f>
        <v>Individual</v>
      </c>
      <c r="Q1944" t="str">
        <f>IF(COUNTIF(Customers!$A$2:$A$1001,B1944)&gt;0,"Valid","Invalid")</f>
        <v>Valid</v>
      </c>
      <c r="R1944" t="str">
        <f>IF(COUNTIF(Branches!$A$2:$A$11,F1944)&gt;0,"Valid","Invalid")</f>
        <v>Valid</v>
      </c>
    </row>
    <row r="1945" spans="1:18" x14ac:dyDescent="0.25">
      <c r="A1945" t="s">
        <v>4016</v>
      </c>
      <c r="B1945" t="s">
        <v>840</v>
      </c>
      <c r="C1945" s="8">
        <v>46206</v>
      </c>
      <c r="D1945" t="s">
        <v>2058</v>
      </c>
      <c r="E1945" t="s">
        <v>2073</v>
      </c>
      <c r="F1945" t="s">
        <v>39</v>
      </c>
      <c r="G1945">
        <v>458.18</v>
      </c>
      <c r="H1945" t="s">
        <v>2060</v>
      </c>
      <c r="I1945" t="str">
        <f>VLOOKUP(B1945,Customers!A:G,7,FALSE)</f>
        <v>Individual</v>
      </c>
      <c r="Q1945" t="str">
        <f>IF(COUNTIF(Customers!$A$2:$A$1001,B1945)&gt;0,"Valid","Invalid")</f>
        <v>Valid</v>
      </c>
      <c r="R1945" t="str">
        <f>IF(COUNTIF(Branches!$A$2:$A$11,F1945)&gt;0,"Valid","Invalid")</f>
        <v>Valid</v>
      </c>
    </row>
    <row r="1946" spans="1:18" x14ac:dyDescent="0.25">
      <c r="A1946" t="s">
        <v>4017</v>
      </c>
      <c r="B1946" t="s">
        <v>1021</v>
      </c>
      <c r="C1946" s="8">
        <v>46249</v>
      </c>
      <c r="D1946" t="s">
        <v>2062</v>
      </c>
      <c r="E1946" t="s">
        <v>2068</v>
      </c>
      <c r="F1946" t="s">
        <v>27</v>
      </c>
      <c r="G1946">
        <v>1348.72</v>
      </c>
      <c r="H1946" t="s">
        <v>2060</v>
      </c>
      <c r="I1946" t="str">
        <f>VLOOKUP(B1946,Customers!A:G,7,FALSE)</f>
        <v>Student</v>
      </c>
      <c r="Q1946" t="str">
        <f>IF(COUNTIF(Customers!$A$2:$A$1001,B1946)&gt;0,"Valid","Invalid")</f>
        <v>Valid</v>
      </c>
      <c r="R1946" t="str">
        <f>IF(COUNTIF(Branches!$A$2:$A$11,F1946)&gt;0,"Valid","Invalid")</f>
        <v>Valid</v>
      </c>
    </row>
    <row r="1947" spans="1:18" x14ac:dyDescent="0.25">
      <c r="A1947" t="s">
        <v>4018</v>
      </c>
      <c r="B1947" t="s">
        <v>94</v>
      </c>
      <c r="C1947" s="8">
        <v>46058</v>
      </c>
      <c r="D1947" t="s">
        <v>2065</v>
      </c>
      <c r="E1947" t="s">
        <v>2059</v>
      </c>
      <c r="F1947" t="s">
        <v>11</v>
      </c>
      <c r="G1947">
        <v>3950.17</v>
      </c>
      <c r="H1947" t="s">
        <v>2060</v>
      </c>
      <c r="I1947" t="str">
        <f>VLOOKUP(B1947,Customers!A:G,7,FALSE)</f>
        <v>Individual</v>
      </c>
      <c r="Q1947" t="str">
        <f>IF(COUNTIF(Customers!$A$2:$A$1001,B1947)&gt;0,"Valid","Invalid")</f>
        <v>Valid</v>
      </c>
      <c r="R1947" t="str">
        <f>IF(COUNTIF(Branches!$A$2:$A$11,F1947)&gt;0,"Valid","Invalid")</f>
        <v>Valid</v>
      </c>
    </row>
    <row r="1948" spans="1:18" x14ac:dyDescent="0.25">
      <c r="A1948" t="s">
        <v>4019</v>
      </c>
      <c r="B1948" t="s">
        <v>292</v>
      </c>
      <c r="C1948" s="8">
        <v>46256</v>
      </c>
      <c r="D1948" t="s">
        <v>2070</v>
      </c>
      <c r="E1948" t="s">
        <v>2059</v>
      </c>
      <c r="F1948" t="s">
        <v>45</v>
      </c>
      <c r="G1948">
        <v>1140.07</v>
      </c>
      <c r="H1948" t="s">
        <v>2060</v>
      </c>
      <c r="I1948" t="str">
        <f>VLOOKUP(B1948,Customers!A:G,7,FALSE)</f>
        <v>Student</v>
      </c>
      <c r="Q1948" t="str">
        <f>IF(COUNTIF(Customers!$A$2:$A$1001,B1948)&gt;0,"Valid","Invalid")</f>
        <v>Valid</v>
      </c>
      <c r="R1948" t="str">
        <f>IF(COUNTIF(Branches!$A$2:$A$11,F1948)&gt;0,"Valid","Invalid")</f>
        <v>Valid</v>
      </c>
    </row>
    <row r="1949" spans="1:18" x14ac:dyDescent="0.25">
      <c r="A1949" t="s">
        <v>4020</v>
      </c>
      <c r="B1949" t="s">
        <v>217</v>
      </c>
      <c r="C1949" s="8">
        <v>46058</v>
      </c>
      <c r="D1949" t="s">
        <v>2070</v>
      </c>
      <c r="E1949" t="s">
        <v>2059</v>
      </c>
      <c r="F1949" t="s">
        <v>16</v>
      </c>
      <c r="G1949">
        <v>546.27</v>
      </c>
      <c r="H1949" t="s">
        <v>2060</v>
      </c>
      <c r="I1949" t="str">
        <f>VLOOKUP(B1949,Customers!A:G,7,FALSE)</f>
        <v>Individual</v>
      </c>
      <c r="Q1949" t="str">
        <f>IF(COUNTIF(Customers!$A$2:$A$1001,B1949)&gt;0,"Valid","Invalid")</f>
        <v>Valid</v>
      </c>
      <c r="R1949" t="str">
        <f>IF(COUNTIF(Branches!$A$2:$A$11,F1949)&gt;0,"Valid","Invalid")</f>
        <v>Valid</v>
      </c>
    </row>
    <row r="1950" spans="1:18" x14ac:dyDescent="0.25">
      <c r="A1950" t="s">
        <v>4021</v>
      </c>
      <c r="B1950" t="s">
        <v>531</v>
      </c>
      <c r="C1950" s="8">
        <v>46095</v>
      </c>
      <c r="D1950" t="s">
        <v>2058</v>
      </c>
      <c r="E1950" t="s">
        <v>2063</v>
      </c>
      <c r="F1950" t="s">
        <v>29</v>
      </c>
      <c r="G1950">
        <v>2300.44</v>
      </c>
      <c r="H1950" t="s">
        <v>2060</v>
      </c>
      <c r="I1950" t="str">
        <f>VLOOKUP(B1950,Customers!A:G,7,FALSE)</f>
        <v>Individual</v>
      </c>
      <c r="Q1950" t="str">
        <f>IF(COUNTIF(Customers!$A$2:$A$1001,B1950)&gt;0,"Valid","Invalid")</f>
        <v>Valid</v>
      </c>
      <c r="R1950" t="str">
        <f>IF(COUNTIF(Branches!$A$2:$A$11,F1950)&gt;0,"Valid","Invalid")</f>
        <v>Valid</v>
      </c>
    </row>
    <row r="1951" spans="1:18" x14ac:dyDescent="0.25">
      <c r="A1951" t="s">
        <v>4022</v>
      </c>
      <c r="B1951" t="s">
        <v>707</v>
      </c>
      <c r="C1951" s="8">
        <v>46172</v>
      </c>
      <c r="D1951" t="s">
        <v>2058</v>
      </c>
      <c r="E1951" t="s">
        <v>2063</v>
      </c>
      <c r="F1951" t="s">
        <v>29</v>
      </c>
      <c r="G1951">
        <v>388.56</v>
      </c>
      <c r="H1951" t="s">
        <v>2060</v>
      </c>
      <c r="I1951" t="str">
        <f>VLOOKUP(B1951,Customers!A:G,7,FALSE)</f>
        <v>Individual</v>
      </c>
      <c r="Q1951" t="str">
        <f>IF(COUNTIF(Customers!$A$2:$A$1001,B1951)&gt;0,"Valid","Invalid")</f>
        <v>Valid</v>
      </c>
      <c r="R1951" t="str">
        <f>IF(COUNTIF(Branches!$A$2:$A$11,F1951)&gt;0,"Valid","Invalid")</f>
        <v>Valid</v>
      </c>
    </row>
    <row r="1952" spans="1:18" x14ac:dyDescent="0.25">
      <c r="A1952" t="s">
        <v>4023</v>
      </c>
      <c r="B1952" t="s">
        <v>69</v>
      </c>
      <c r="C1952" s="8">
        <v>46023</v>
      </c>
      <c r="D1952" t="s">
        <v>2062</v>
      </c>
      <c r="E1952" t="s">
        <v>2063</v>
      </c>
      <c r="F1952" t="s">
        <v>39</v>
      </c>
      <c r="G1952">
        <v>221.81</v>
      </c>
      <c r="H1952" t="s">
        <v>2060</v>
      </c>
      <c r="I1952" t="str">
        <f>VLOOKUP(B1952,Customers!A:G,7,FALSE)</f>
        <v>Individual</v>
      </c>
      <c r="Q1952" t="str">
        <f>IF(COUNTIF(Customers!$A$2:$A$1001,B1952)&gt;0,"Valid","Invalid")</f>
        <v>Valid</v>
      </c>
      <c r="R1952" t="str">
        <f>IF(COUNTIF(Branches!$A$2:$A$11,F1952)&gt;0,"Valid","Invalid")</f>
        <v>Valid</v>
      </c>
    </row>
    <row r="1953" spans="1:18" x14ac:dyDescent="0.25">
      <c r="A1953" t="s">
        <v>4024</v>
      </c>
      <c r="B1953" t="s">
        <v>111</v>
      </c>
      <c r="C1953" s="8">
        <v>46091</v>
      </c>
      <c r="D1953" t="s">
        <v>2067</v>
      </c>
      <c r="E1953" t="s">
        <v>2059</v>
      </c>
      <c r="F1953" t="s">
        <v>47</v>
      </c>
      <c r="G1953">
        <v>1830.46</v>
      </c>
      <c r="H1953" t="s">
        <v>2060</v>
      </c>
      <c r="I1953" t="str">
        <f>VLOOKUP(B1953,Customers!A:G,7,FALSE)</f>
        <v>Student</v>
      </c>
      <c r="Q1953" t="str">
        <f>IF(COUNTIF(Customers!$A$2:$A$1001,B1953)&gt;0,"Valid","Invalid")</f>
        <v>Valid</v>
      </c>
      <c r="R1953" t="str">
        <f>IF(COUNTIF(Branches!$A$2:$A$11,F1953)&gt;0,"Valid","Invalid")</f>
        <v>Valid</v>
      </c>
    </row>
    <row r="1954" spans="1:18" x14ac:dyDescent="0.25">
      <c r="A1954" t="s">
        <v>4025</v>
      </c>
      <c r="B1954" t="s">
        <v>982</v>
      </c>
      <c r="C1954" s="8">
        <v>46223</v>
      </c>
      <c r="D1954" t="s">
        <v>2058</v>
      </c>
      <c r="E1954" t="s">
        <v>2073</v>
      </c>
      <c r="F1954" t="s">
        <v>35</v>
      </c>
      <c r="G1954">
        <v>541.23</v>
      </c>
      <c r="H1954" t="s">
        <v>2060</v>
      </c>
      <c r="I1954" t="str">
        <f>VLOOKUP(B1954,Customers!A:G,7,FALSE)</f>
        <v>Individual</v>
      </c>
      <c r="Q1954" t="str">
        <f>IF(COUNTIF(Customers!$A$2:$A$1001,B1954)&gt;0,"Valid","Invalid")</f>
        <v>Valid</v>
      </c>
      <c r="R1954" t="str">
        <f>IF(COUNTIF(Branches!$A$2:$A$11,F1954)&gt;0,"Valid","Invalid")</f>
        <v>Valid</v>
      </c>
    </row>
    <row r="1955" spans="1:18" x14ac:dyDescent="0.25">
      <c r="A1955" t="s">
        <v>4026</v>
      </c>
      <c r="B1955" t="s">
        <v>327</v>
      </c>
      <c r="C1955" s="8">
        <v>46059</v>
      </c>
      <c r="D1955" t="s">
        <v>2062</v>
      </c>
      <c r="E1955" t="s">
        <v>2073</v>
      </c>
      <c r="F1955" t="s">
        <v>39</v>
      </c>
      <c r="G1955">
        <v>591.98</v>
      </c>
      <c r="H1955" t="s">
        <v>2060</v>
      </c>
      <c r="I1955" t="str">
        <f>VLOOKUP(B1955,Customers!A:G,7,FALSE)</f>
        <v>Individual</v>
      </c>
      <c r="Q1955" t="str">
        <f>IF(COUNTIF(Customers!$A$2:$A$1001,B1955)&gt;0,"Valid","Invalid")</f>
        <v>Valid</v>
      </c>
      <c r="R1955" t="str">
        <f>IF(COUNTIF(Branches!$A$2:$A$11,F1955)&gt;0,"Valid","Invalid")</f>
        <v>Valid</v>
      </c>
    </row>
    <row r="1956" spans="1:18" x14ac:dyDescent="0.25">
      <c r="A1956" t="s">
        <v>4027</v>
      </c>
      <c r="B1956" t="s">
        <v>409</v>
      </c>
      <c r="C1956" s="8">
        <v>46252</v>
      </c>
      <c r="D1956" t="s">
        <v>2070</v>
      </c>
      <c r="E1956" t="s">
        <v>2063</v>
      </c>
      <c r="F1956" t="s">
        <v>11</v>
      </c>
      <c r="G1956">
        <v>434.01</v>
      </c>
      <c r="H1956" t="s">
        <v>2060</v>
      </c>
      <c r="I1956" t="str">
        <f>VLOOKUP(B1956,Customers!A:G,7,FALSE)</f>
        <v>Individual</v>
      </c>
      <c r="Q1956" t="str">
        <f>IF(COUNTIF(Customers!$A$2:$A$1001,B1956)&gt;0,"Valid","Invalid")</f>
        <v>Valid</v>
      </c>
      <c r="R1956" t="str">
        <f>IF(COUNTIF(Branches!$A$2:$A$11,F1956)&gt;0,"Valid","Invalid")</f>
        <v>Valid</v>
      </c>
    </row>
    <row r="1957" spans="1:18" x14ac:dyDescent="0.25">
      <c r="A1957" t="s">
        <v>4028</v>
      </c>
      <c r="B1957" t="s">
        <v>625</v>
      </c>
      <c r="C1957" s="8">
        <v>46233</v>
      </c>
      <c r="D1957" t="s">
        <v>2070</v>
      </c>
      <c r="E1957" t="s">
        <v>2063</v>
      </c>
      <c r="F1957" t="s">
        <v>53</v>
      </c>
      <c r="G1957">
        <v>506.33</v>
      </c>
      <c r="H1957" t="s">
        <v>2060</v>
      </c>
      <c r="I1957" t="str">
        <f>VLOOKUP(B1957,Customers!A:G,7,FALSE)</f>
        <v>Individual</v>
      </c>
      <c r="Q1957" t="str">
        <f>IF(COUNTIF(Customers!$A$2:$A$1001,B1957)&gt;0,"Valid","Invalid")</f>
        <v>Valid</v>
      </c>
      <c r="R1957" t="str">
        <f>IF(COUNTIF(Branches!$A$2:$A$11,F1957)&gt;0,"Valid","Invalid")</f>
        <v>Valid</v>
      </c>
    </row>
    <row r="1958" spans="1:18" x14ac:dyDescent="0.25">
      <c r="A1958" t="s">
        <v>4029</v>
      </c>
      <c r="B1958" t="s">
        <v>367</v>
      </c>
      <c r="C1958" s="8">
        <v>46094</v>
      </c>
      <c r="D1958" t="s">
        <v>2065</v>
      </c>
      <c r="E1958" t="s">
        <v>2063</v>
      </c>
      <c r="F1958" t="s">
        <v>39</v>
      </c>
      <c r="G1958">
        <v>3304.48</v>
      </c>
      <c r="H1958" t="s">
        <v>2060</v>
      </c>
      <c r="I1958" t="str">
        <f>VLOOKUP(B1958,Customers!A:G,7,FALSE)</f>
        <v>Individual</v>
      </c>
      <c r="Q1958" t="str">
        <f>IF(COUNTIF(Customers!$A$2:$A$1001,B1958)&gt;0,"Valid","Invalid")</f>
        <v>Valid</v>
      </c>
      <c r="R1958" t="str">
        <f>IF(COUNTIF(Branches!$A$2:$A$11,F1958)&gt;0,"Valid","Invalid")</f>
        <v>Valid</v>
      </c>
    </row>
    <row r="1959" spans="1:18" x14ac:dyDescent="0.25">
      <c r="A1959" t="s">
        <v>4030</v>
      </c>
      <c r="B1959" t="s">
        <v>628</v>
      </c>
      <c r="C1959" s="8">
        <v>46256</v>
      </c>
      <c r="D1959" t="s">
        <v>2065</v>
      </c>
      <c r="E1959" t="s">
        <v>2063</v>
      </c>
      <c r="F1959" t="s">
        <v>29</v>
      </c>
      <c r="G1959">
        <v>4283.38</v>
      </c>
      <c r="H1959" t="s">
        <v>2115</v>
      </c>
      <c r="I1959" t="str">
        <f>VLOOKUP(B1959,Customers!A:G,7,FALSE)</f>
        <v>Individual</v>
      </c>
      <c r="Q1959" t="str">
        <f>IF(COUNTIF(Customers!$A$2:$A$1001,B1959)&gt;0,"Valid","Invalid")</f>
        <v>Valid</v>
      </c>
      <c r="R1959" t="str">
        <f>IF(COUNTIF(Branches!$A$2:$A$11,F1959)&gt;0,"Valid","Invalid")</f>
        <v>Valid</v>
      </c>
    </row>
    <row r="1960" spans="1:18" x14ac:dyDescent="0.25">
      <c r="A1960" t="s">
        <v>4031</v>
      </c>
      <c r="B1960" t="s">
        <v>805</v>
      </c>
      <c r="C1960" s="8">
        <v>46129</v>
      </c>
      <c r="D1960" t="s">
        <v>2067</v>
      </c>
      <c r="E1960" t="s">
        <v>2063</v>
      </c>
      <c r="F1960" t="s">
        <v>35</v>
      </c>
      <c r="G1960">
        <v>4890.1499999999996</v>
      </c>
      <c r="H1960" t="s">
        <v>2060</v>
      </c>
      <c r="I1960" t="str">
        <f>VLOOKUP(B1960,Customers!A:G,7,FALSE)</f>
        <v>Individual</v>
      </c>
      <c r="Q1960" t="str">
        <f>IF(COUNTIF(Customers!$A$2:$A$1001,B1960)&gt;0,"Valid","Invalid")</f>
        <v>Valid</v>
      </c>
      <c r="R1960" t="str">
        <f>IF(COUNTIF(Branches!$A$2:$A$11,F1960)&gt;0,"Valid","Invalid")</f>
        <v>Valid</v>
      </c>
    </row>
    <row r="1961" spans="1:18" x14ac:dyDescent="0.25">
      <c r="A1961" t="s">
        <v>4032</v>
      </c>
      <c r="B1961" t="s">
        <v>815</v>
      </c>
      <c r="C1961" s="8">
        <v>46118</v>
      </c>
      <c r="D1961" t="s">
        <v>2067</v>
      </c>
      <c r="E1961" t="s">
        <v>2059</v>
      </c>
      <c r="F1961" t="s">
        <v>29</v>
      </c>
      <c r="G1961">
        <v>2416.61</v>
      </c>
      <c r="H1961" t="s">
        <v>2060</v>
      </c>
      <c r="I1961" t="str">
        <f>VLOOKUP(B1961,Customers!A:G,7,FALSE)</f>
        <v>SME</v>
      </c>
      <c r="Q1961" t="str">
        <f>IF(COUNTIF(Customers!$A$2:$A$1001,B1961)&gt;0,"Valid","Invalid")</f>
        <v>Valid</v>
      </c>
      <c r="R1961" t="str">
        <f>IF(COUNTIF(Branches!$A$2:$A$11,F1961)&gt;0,"Valid","Invalid")</f>
        <v>Valid</v>
      </c>
    </row>
    <row r="1962" spans="1:18" x14ac:dyDescent="0.25">
      <c r="A1962" t="s">
        <v>4033</v>
      </c>
      <c r="B1962" t="s">
        <v>1037</v>
      </c>
      <c r="C1962" s="8">
        <v>46163</v>
      </c>
      <c r="D1962" t="s">
        <v>2067</v>
      </c>
      <c r="E1962" t="s">
        <v>2059</v>
      </c>
      <c r="F1962" t="s">
        <v>16</v>
      </c>
      <c r="G1962">
        <v>1295.01</v>
      </c>
      <c r="H1962" t="s">
        <v>2060</v>
      </c>
      <c r="I1962" t="str">
        <f>VLOOKUP(B1962,Customers!A:G,7,FALSE)</f>
        <v>SME</v>
      </c>
      <c r="Q1962" t="str">
        <f>IF(COUNTIF(Customers!$A$2:$A$1001,B1962)&gt;0,"Valid","Invalid")</f>
        <v>Valid</v>
      </c>
      <c r="R1962" t="str">
        <f>IF(COUNTIF(Branches!$A$2:$A$11,F1962)&gt;0,"Valid","Invalid")</f>
        <v>Valid</v>
      </c>
    </row>
    <row r="1963" spans="1:18" x14ac:dyDescent="0.25">
      <c r="A1963" t="s">
        <v>4034</v>
      </c>
      <c r="B1963" t="s">
        <v>342</v>
      </c>
      <c r="C1963" s="8">
        <v>46106</v>
      </c>
      <c r="D1963" t="s">
        <v>2067</v>
      </c>
      <c r="E1963" t="s">
        <v>2059</v>
      </c>
      <c r="F1963" t="s">
        <v>47</v>
      </c>
      <c r="G1963">
        <v>193.97</v>
      </c>
      <c r="H1963" t="s">
        <v>2060</v>
      </c>
      <c r="I1963" t="str">
        <f>VLOOKUP(B1963,Customers!A:G,7,FALSE)</f>
        <v>Individual</v>
      </c>
      <c r="Q1963" t="str">
        <f>IF(COUNTIF(Customers!$A$2:$A$1001,B1963)&gt;0,"Valid","Invalid")</f>
        <v>Valid</v>
      </c>
      <c r="R1963" t="str">
        <f>IF(COUNTIF(Branches!$A$2:$A$11,F1963)&gt;0,"Valid","Invalid")</f>
        <v>Valid</v>
      </c>
    </row>
    <row r="1964" spans="1:18" x14ac:dyDescent="0.25">
      <c r="A1964" t="s">
        <v>4035</v>
      </c>
      <c r="B1964" t="s">
        <v>617</v>
      </c>
      <c r="C1964" s="8">
        <v>46250</v>
      </c>
      <c r="D1964" t="s">
        <v>2058</v>
      </c>
      <c r="E1964" t="s">
        <v>2059</v>
      </c>
      <c r="F1964" t="s">
        <v>21</v>
      </c>
      <c r="G1964">
        <v>673.49</v>
      </c>
      <c r="H1964" t="s">
        <v>2060</v>
      </c>
      <c r="I1964" t="str">
        <f>VLOOKUP(B1964,Customers!A:G,7,FALSE)</f>
        <v>Individual</v>
      </c>
      <c r="Q1964" t="str">
        <f>IF(COUNTIF(Customers!$A$2:$A$1001,B1964)&gt;0,"Valid","Invalid")</f>
        <v>Valid</v>
      </c>
      <c r="R1964" t="str">
        <f>IF(COUNTIF(Branches!$A$2:$A$11,F1964)&gt;0,"Valid","Invalid")</f>
        <v>Valid</v>
      </c>
    </row>
    <row r="1965" spans="1:18" x14ac:dyDescent="0.25">
      <c r="A1965" t="s">
        <v>4036</v>
      </c>
      <c r="B1965" t="s">
        <v>258</v>
      </c>
      <c r="C1965" s="8">
        <v>46065</v>
      </c>
      <c r="D1965" t="s">
        <v>2062</v>
      </c>
      <c r="E1965" t="s">
        <v>2063</v>
      </c>
      <c r="F1965" t="s">
        <v>29</v>
      </c>
      <c r="G1965">
        <v>7021.66</v>
      </c>
      <c r="H1965" t="s">
        <v>2060</v>
      </c>
      <c r="I1965" t="str">
        <f>VLOOKUP(B1965,Customers!A:G,7,FALSE)</f>
        <v>SME</v>
      </c>
      <c r="Q1965" t="str">
        <f>IF(COUNTIF(Customers!$A$2:$A$1001,B1965)&gt;0,"Valid","Invalid")</f>
        <v>Valid</v>
      </c>
      <c r="R1965" t="str">
        <f>IF(COUNTIF(Branches!$A$2:$A$11,F1965)&gt;0,"Valid","Invalid")</f>
        <v>Valid</v>
      </c>
    </row>
    <row r="1966" spans="1:18" x14ac:dyDescent="0.25">
      <c r="A1966" t="s">
        <v>4037</v>
      </c>
      <c r="B1966" t="s">
        <v>1017</v>
      </c>
      <c r="C1966" s="8">
        <v>46258</v>
      </c>
      <c r="D1966" t="s">
        <v>2062</v>
      </c>
      <c r="E1966" t="s">
        <v>2076</v>
      </c>
      <c r="F1966" t="s">
        <v>53</v>
      </c>
      <c r="G1966">
        <v>525.51</v>
      </c>
      <c r="H1966" t="s">
        <v>2060</v>
      </c>
      <c r="I1966" t="str">
        <f>VLOOKUP(B1966,Customers!A:G,7,FALSE)</f>
        <v>SME</v>
      </c>
      <c r="Q1966" t="str">
        <f>IF(COUNTIF(Customers!$A$2:$A$1001,B1966)&gt;0,"Valid","Invalid")</f>
        <v>Valid</v>
      </c>
      <c r="R1966" t="str">
        <f>IF(COUNTIF(Branches!$A$2:$A$11,F1966)&gt;0,"Valid","Invalid")</f>
        <v>Valid</v>
      </c>
    </row>
    <row r="1967" spans="1:18" x14ac:dyDescent="0.25">
      <c r="A1967" t="s">
        <v>4038</v>
      </c>
      <c r="B1967" t="s">
        <v>200</v>
      </c>
      <c r="C1967" s="8">
        <v>46059</v>
      </c>
      <c r="D1967" t="s">
        <v>2062</v>
      </c>
      <c r="E1967" t="s">
        <v>2068</v>
      </c>
      <c r="F1967" t="s">
        <v>39</v>
      </c>
      <c r="G1967">
        <v>3692.82</v>
      </c>
      <c r="H1967" t="s">
        <v>2060</v>
      </c>
      <c r="I1967" t="str">
        <f>VLOOKUP(B1967,Customers!A:G,7,FALSE)</f>
        <v>SME</v>
      </c>
      <c r="Q1967" t="str">
        <f>IF(COUNTIF(Customers!$A$2:$A$1001,B1967)&gt;0,"Valid","Invalid")</f>
        <v>Valid</v>
      </c>
      <c r="R1967" t="str">
        <f>IF(COUNTIF(Branches!$A$2:$A$11,F1967)&gt;0,"Valid","Invalid")</f>
        <v>Valid</v>
      </c>
    </row>
    <row r="1968" spans="1:18" x14ac:dyDescent="0.25">
      <c r="A1968" t="s">
        <v>4039</v>
      </c>
      <c r="B1968" t="s">
        <v>518</v>
      </c>
      <c r="C1968" s="8">
        <v>46244</v>
      </c>
      <c r="D1968" t="s">
        <v>2065</v>
      </c>
      <c r="E1968" t="s">
        <v>2059</v>
      </c>
      <c r="F1968" t="s">
        <v>29</v>
      </c>
      <c r="G1968">
        <v>858.37</v>
      </c>
      <c r="H1968" t="s">
        <v>2060</v>
      </c>
      <c r="I1968" t="str">
        <f>VLOOKUP(B1968,Customers!A:G,7,FALSE)</f>
        <v>SME</v>
      </c>
      <c r="Q1968" t="str">
        <f>IF(COUNTIF(Customers!$A$2:$A$1001,B1968)&gt;0,"Valid","Invalid")</f>
        <v>Valid</v>
      </c>
      <c r="R1968" t="str">
        <f>IF(COUNTIF(Branches!$A$2:$A$11,F1968)&gt;0,"Valid","Invalid")</f>
        <v>Valid</v>
      </c>
    </row>
    <row r="1969" spans="1:18" x14ac:dyDescent="0.25">
      <c r="A1969" t="s">
        <v>4040</v>
      </c>
      <c r="B1969" t="s">
        <v>493</v>
      </c>
      <c r="C1969" s="8">
        <v>46224</v>
      </c>
      <c r="D1969" t="s">
        <v>2065</v>
      </c>
      <c r="E1969" t="s">
        <v>2063</v>
      </c>
      <c r="F1969" t="s">
        <v>53</v>
      </c>
      <c r="G1969">
        <v>55.8</v>
      </c>
      <c r="H1969" t="s">
        <v>2060</v>
      </c>
      <c r="I1969" t="str">
        <f>VLOOKUP(B1969,Customers!A:G,7,FALSE)</f>
        <v>SME</v>
      </c>
      <c r="Q1969" t="str">
        <f>IF(COUNTIF(Customers!$A$2:$A$1001,B1969)&gt;0,"Valid","Invalid")</f>
        <v>Valid</v>
      </c>
      <c r="R1969" t="str">
        <f>IF(COUNTIF(Branches!$A$2:$A$11,F1969)&gt;0,"Valid","Invalid")</f>
        <v>Valid</v>
      </c>
    </row>
    <row r="1970" spans="1:18" x14ac:dyDescent="0.25">
      <c r="A1970" t="s">
        <v>4041</v>
      </c>
      <c r="B1970" t="s">
        <v>413</v>
      </c>
      <c r="C1970" s="8">
        <v>46245</v>
      </c>
      <c r="D1970" t="s">
        <v>2062</v>
      </c>
      <c r="E1970" t="s">
        <v>2063</v>
      </c>
      <c r="F1970" t="s">
        <v>11</v>
      </c>
      <c r="G1970">
        <v>1541.46</v>
      </c>
      <c r="H1970" t="s">
        <v>2060</v>
      </c>
      <c r="I1970" t="str">
        <f>VLOOKUP(B1970,Customers!A:G,7,FALSE)</f>
        <v>Corporate</v>
      </c>
      <c r="Q1970" t="str">
        <f>IF(COUNTIF(Customers!$A$2:$A$1001,B1970)&gt;0,"Valid","Invalid")</f>
        <v>Valid</v>
      </c>
      <c r="R1970" t="str">
        <f>IF(COUNTIF(Branches!$A$2:$A$11,F1970)&gt;0,"Valid","Invalid")</f>
        <v>Valid</v>
      </c>
    </row>
    <row r="1971" spans="1:18" x14ac:dyDescent="0.25">
      <c r="A1971" t="s">
        <v>4042</v>
      </c>
      <c r="B1971" t="s">
        <v>257</v>
      </c>
      <c r="C1971" s="8">
        <v>46047</v>
      </c>
      <c r="D1971" t="s">
        <v>2058</v>
      </c>
      <c r="E1971" t="s">
        <v>2063</v>
      </c>
      <c r="F1971" t="s">
        <v>53</v>
      </c>
      <c r="G1971">
        <v>2882.04</v>
      </c>
      <c r="H1971" t="s">
        <v>2060</v>
      </c>
      <c r="I1971" t="str">
        <f>VLOOKUP(B1971,Customers!A:G,7,FALSE)</f>
        <v>Corporate</v>
      </c>
      <c r="Q1971" t="str">
        <f>IF(COUNTIF(Customers!$A$2:$A$1001,B1971)&gt;0,"Valid","Invalid")</f>
        <v>Valid</v>
      </c>
      <c r="R1971" t="str">
        <f>IF(COUNTIF(Branches!$A$2:$A$11,F1971)&gt;0,"Valid","Invalid")</f>
        <v>Valid</v>
      </c>
    </row>
    <row r="1972" spans="1:18" x14ac:dyDescent="0.25">
      <c r="A1972" t="s">
        <v>4043</v>
      </c>
      <c r="B1972" t="s">
        <v>722</v>
      </c>
      <c r="C1972" s="8">
        <v>46243</v>
      </c>
      <c r="D1972" t="s">
        <v>2058</v>
      </c>
      <c r="E1972" t="s">
        <v>2059</v>
      </c>
      <c r="F1972" t="s">
        <v>27</v>
      </c>
      <c r="G1972">
        <v>773.56</v>
      </c>
      <c r="H1972" t="s">
        <v>2060</v>
      </c>
      <c r="I1972" t="str">
        <f>VLOOKUP(B1972,Customers!A:G,7,FALSE)</f>
        <v>SME</v>
      </c>
      <c r="Q1972" t="str">
        <f>IF(COUNTIF(Customers!$A$2:$A$1001,B1972)&gt;0,"Valid","Invalid")</f>
        <v>Valid</v>
      </c>
      <c r="R1972" t="str">
        <f>IF(COUNTIF(Branches!$A$2:$A$11,F1972)&gt;0,"Valid","Invalid")</f>
        <v>Valid</v>
      </c>
    </row>
    <row r="1973" spans="1:18" x14ac:dyDescent="0.25">
      <c r="A1973" t="s">
        <v>4044</v>
      </c>
      <c r="B1973" t="s">
        <v>292</v>
      </c>
      <c r="C1973" s="8">
        <v>46238</v>
      </c>
      <c r="D1973" t="s">
        <v>2065</v>
      </c>
      <c r="E1973" t="s">
        <v>2063</v>
      </c>
      <c r="F1973" t="s">
        <v>45</v>
      </c>
      <c r="G1973">
        <v>2787.92</v>
      </c>
      <c r="H1973" t="s">
        <v>2060</v>
      </c>
      <c r="I1973" t="str">
        <f>VLOOKUP(B1973,Customers!A:G,7,FALSE)</f>
        <v>Student</v>
      </c>
      <c r="Q1973" t="str">
        <f>IF(COUNTIF(Customers!$A$2:$A$1001,B1973)&gt;0,"Valid","Invalid")</f>
        <v>Valid</v>
      </c>
      <c r="R1973" t="str">
        <f>IF(COUNTIF(Branches!$A$2:$A$11,F1973)&gt;0,"Valid","Invalid")</f>
        <v>Valid</v>
      </c>
    </row>
    <row r="1974" spans="1:18" x14ac:dyDescent="0.25">
      <c r="A1974" t="s">
        <v>4045</v>
      </c>
      <c r="B1974" t="s">
        <v>760</v>
      </c>
      <c r="C1974" s="8">
        <v>46253</v>
      </c>
      <c r="D1974" t="s">
        <v>2065</v>
      </c>
      <c r="E1974" t="s">
        <v>2059</v>
      </c>
      <c r="F1974" t="s">
        <v>29</v>
      </c>
      <c r="G1974">
        <v>153.27000000000001</v>
      </c>
      <c r="H1974" t="s">
        <v>2060</v>
      </c>
      <c r="I1974" t="str">
        <f>VLOOKUP(B1974,Customers!A:G,7,FALSE)</f>
        <v>Individual</v>
      </c>
      <c r="Q1974" t="str">
        <f>IF(COUNTIF(Customers!$A$2:$A$1001,B1974)&gt;0,"Valid","Invalid")</f>
        <v>Valid</v>
      </c>
      <c r="R1974" t="str">
        <f>IF(COUNTIF(Branches!$A$2:$A$11,F1974)&gt;0,"Valid","Invalid")</f>
        <v>Valid</v>
      </c>
    </row>
    <row r="1975" spans="1:18" x14ac:dyDescent="0.25">
      <c r="A1975" t="s">
        <v>4046</v>
      </c>
      <c r="B1975" t="s">
        <v>225</v>
      </c>
      <c r="C1975" s="8">
        <v>46171</v>
      </c>
      <c r="D1975" t="s">
        <v>2058</v>
      </c>
      <c r="E1975" t="s">
        <v>2063</v>
      </c>
      <c r="F1975" t="s">
        <v>29</v>
      </c>
      <c r="G1975">
        <v>203.25</v>
      </c>
      <c r="H1975" t="s">
        <v>2060</v>
      </c>
      <c r="I1975" t="str">
        <f>VLOOKUP(B1975,Customers!A:G,7,FALSE)</f>
        <v>Individual</v>
      </c>
      <c r="Q1975" t="str">
        <f>IF(COUNTIF(Customers!$A$2:$A$1001,B1975)&gt;0,"Valid","Invalid")</f>
        <v>Valid</v>
      </c>
      <c r="R1975" t="str">
        <f>IF(COUNTIF(Branches!$A$2:$A$11,F1975)&gt;0,"Valid","Invalid")</f>
        <v>Valid</v>
      </c>
    </row>
    <row r="1976" spans="1:18" x14ac:dyDescent="0.25">
      <c r="A1976" t="s">
        <v>4047</v>
      </c>
      <c r="B1976" t="s">
        <v>228</v>
      </c>
      <c r="C1976" s="8">
        <v>46191</v>
      </c>
      <c r="D1976" t="s">
        <v>2062</v>
      </c>
      <c r="E1976" t="s">
        <v>2076</v>
      </c>
      <c r="F1976" t="s">
        <v>11</v>
      </c>
      <c r="G1976">
        <v>997.11</v>
      </c>
      <c r="H1976" t="s">
        <v>2060</v>
      </c>
      <c r="I1976" t="str">
        <f>VLOOKUP(B1976,Customers!A:G,7,FALSE)</f>
        <v>SME</v>
      </c>
      <c r="Q1976" t="str">
        <f>IF(COUNTIF(Customers!$A$2:$A$1001,B1976)&gt;0,"Valid","Invalid")</f>
        <v>Valid</v>
      </c>
      <c r="R1976" t="str">
        <f>IF(COUNTIF(Branches!$A$2:$A$11,F1976)&gt;0,"Valid","Invalid")</f>
        <v>Valid</v>
      </c>
    </row>
    <row r="1977" spans="1:18" x14ac:dyDescent="0.25">
      <c r="A1977" t="s">
        <v>4048</v>
      </c>
      <c r="B1977" t="s">
        <v>427</v>
      </c>
      <c r="C1977" s="8">
        <v>46095</v>
      </c>
      <c r="D1977" t="s">
        <v>2062</v>
      </c>
      <c r="E1977" t="s">
        <v>2063</v>
      </c>
      <c r="F1977" t="s">
        <v>35</v>
      </c>
      <c r="G1977">
        <v>1309.1300000000001</v>
      </c>
      <c r="H1977" t="s">
        <v>2060</v>
      </c>
      <c r="I1977" t="str">
        <f>VLOOKUP(B1977,Customers!A:G,7,FALSE)</f>
        <v>Individual</v>
      </c>
      <c r="Q1977" t="str">
        <f>IF(COUNTIF(Customers!$A$2:$A$1001,B1977)&gt;0,"Valid","Invalid")</f>
        <v>Valid</v>
      </c>
      <c r="R1977" t="str">
        <f>IF(COUNTIF(Branches!$A$2:$A$11,F1977)&gt;0,"Valid","Invalid")</f>
        <v>Valid</v>
      </c>
    </row>
    <row r="1978" spans="1:18" x14ac:dyDescent="0.25">
      <c r="A1978" t="s">
        <v>4049</v>
      </c>
      <c r="B1978" t="s">
        <v>252</v>
      </c>
      <c r="C1978" s="8">
        <v>46192</v>
      </c>
      <c r="D1978" t="s">
        <v>2058</v>
      </c>
      <c r="E1978" t="s">
        <v>2059</v>
      </c>
      <c r="F1978" t="s">
        <v>35</v>
      </c>
      <c r="G1978">
        <v>3154.48</v>
      </c>
      <c r="H1978" t="s">
        <v>2060</v>
      </c>
      <c r="I1978" t="str">
        <f>VLOOKUP(B1978,Customers!A:G,7,FALSE)</f>
        <v>Individual</v>
      </c>
      <c r="Q1978" t="str">
        <f>IF(COUNTIF(Customers!$A$2:$A$1001,B1978)&gt;0,"Valid","Invalid")</f>
        <v>Valid</v>
      </c>
      <c r="R1978" t="str">
        <f>IF(COUNTIF(Branches!$A$2:$A$11,F1978)&gt;0,"Valid","Invalid")</f>
        <v>Valid</v>
      </c>
    </row>
    <row r="1979" spans="1:18" x14ac:dyDescent="0.25">
      <c r="A1979" t="s">
        <v>4050</v>
      </c>
      <c r="B1979" t="s">
        <v>413</v>
      </c>
      <c r="C1979" s="8">
        <v>46064</v>
      </c>
      <c r="D1979" t="s">
        <v>2058</v>
      </c>
      <c r="E1979" t="s">
        <v>2063</v>
      </c>
      <c r="F1979" t="s">
        <v>27</v>
      </c>
      <c r="G1979">
        <v>1539.06</v>
      </c>
      <c r="H1979" t="s">
        <v>2060</v>
      </c>
      <c r="I1979" t="str">
        <f>VLOOKUP(B1979,Customers!A:G,7,FALSE)</f>
        <v>Corporate</v>
      </c>
      <c r="Q1979" t="str">
        <f>IF(COUNTIF(Customers!$A$2:$A$1001,B1979)&gt;0,"Valid","Invalid")</f>
        <v>Valid</v>
      </c>
      <c r="R1979" t="str">
        <f>IF(COUNTIF(Branches!$A$2:$A$11,F1979)&gt;0,"Valid","Invalid")</f>
        <v>Valid</v>
      </c>
    </row>
    <row r="1980" spans="1:18" x14ac:dyDescent="0.25">
      <c r="A1980" t="s">
        <v>4051</v>
      </c>
      <c r="B1980" t="s">
        <v>122</v>
      </c>
      <c r="C1980" s="8">
        <v>46024</v>
      </c>
      <c r="D1980" t="s">
        <v>2062</v>
      </c>
      <c r="E1980" t="s">
        <v>2063</v>
      </c>
      <c r="F1980" t="s">
        <v>35</v>
      </c>
      <c r="G1980">
        <v>246.26</v>
      </c>
      <c r="H1980" t="s">
        <v>2060</v>
      </c>
      <c r="I1980" t="str">
        <f>VLOOKUP(B1980,Customers!A:G,7,FALSE)</f>
        <v>Individual</v>
      </c>
      <c r="Q1980" t="str">
        <f>IF(COUNTIF(Customers!$A$2:$A$1001,B1980)&gt;0,"Valid","Invalid")</f>
        <v>Valid</v>
      </c>
      <c r="R1980" t="str">
        <f>IF(COUNTIF(Branches!$A$2:$A$11,F1980)&gt;0,"Valid","Invalid")</f>
        <v>Valid</v>
      </c>
    </row>
    <row r="1981" spans="1:18" x14ac:dyDescent="0.25">
      <c r="A1981" t="s">
        <v>4052</v>
      </c>
      <c r="B1981" t="s">
        <v>512</v>
      </c>
      <c r="C1981" s="8">
        <v>46218</v>
      </c>
      <c r="D1981" t="s">
        <v>2058</v>
      </c>
      <c r="E1981" t="s">
        <v>2068</v>
      </c>
      <c r="F1981" t="s">
        <v>45</v>
      </c>
      <c r="G1981">
        <v>1005.3</v>
      </c>
      <c r="H1981" t="s">
        <v>2060</v>
      </c>
      <c r="I1981" t="str">
        <f>VLOOKUP(B1981,Customers!A:G,7,FALSE)</f>
        <v>Individual</v>
      </c>
      <c r="Q1981" t="str">
        <f>IF(COUNTIF(Customers!$A$2:$A$1001,B1981)&gt;0,"Valid","Invalid")</f>
        <v>Valid</v>
      </c>
      <c r="R1981" t="str">
        <f>IF(COUNTIF(Branches!$A$2:$A$11,F1981)&gt;0,"Valid","Invalid")</f>
        <v>Valid</v>
      </c>
    </row>
    <row r="1982" spans="1:18" x14ac:dyDescent="0.25">
      <c r="A1982" t="s">
        <v>4053</v>
      </c>
      <c r="B1982" t="s">
        <v>656</v>
      </c>
      <c r="C1982" s="8">
        <v>46158</v>
      </c>
      <c r="D1982" t="s">
        <v>2058</v>
      </c>
      <c r="E1982" t="s">
        <v>2076</v>
      </c>
      <c r="F1982" t="s">
        <v>47</v>
      </c>
      <c r="G1982">
        <v>1481.38</v>
      </c>
      <c r="H1982" t="s">
        <v>2060</v>
      </c>
      <c r="I1982" t="str">
        <f>VLOOKUP(B1982,Customers!A:G,7,FALSE)</f>
        <v>Individual</v>
      </c>
      <c r="Q1982" t="str">
        <f>IF(COUNTIF(Customers!$A$2:$A$1001,B1982)&gt;0,"Valid","Invalid")</f>
        <v>Valid</v>
      </c>
      <c r="R1982" t="str">
        <f>IF(COUNTIF(Branches!$A$2:$A$11,F1982)&gt;0,"Valid","Invalid")</f>
        <v>Valid</v>
      </c>
    </row>
    <row r="1983" spans="1:18" x14ac:dyDescent="0.25">
      <c r="A1983" t="s">
        <v>4054</v>
      </c>
      <c r="B1983" t="s">
        <v>882</v>
      </c>
      <c r="C1983" s="8">
        <v>46118</v>
      </c>
      <c r="D1983" t="s">
        <v>2062</v>
      </c>
      <c r="E1983" t="s">
        <v>2063</v>
      </c>
      <c r="F1983" t="s">
        <v>47</v>
      </c>
      <c r="G1983">
        <v>124.68</v>
      </c>
      <c r="H1983" t="s">
        <v>2060</v>
      </c>
      <c r="I1983" t="str">
        <f>VLOOKUP(B1983,Customers!A:G,7,FALSE)</f>
        <v>Individual</v>
      </c>
      <c r="Q1983" t="str">
        <f>IF(COUNTIF(Customers!$A$2:$A$1001,B1983)&gt;0,"Valid","Invalid")</f>
        <v>Valid</v>
      </c>
      <c r="R1983" t="str">
        <f>IF(COUNTIF(Branches!$A$2:$A$11,F1983)&gt;0,"Valid","Invalid")</f>
        <v>Valid</v>
      </c>
    </row>
    <row r="1984" spans="1:18" x14ac:dyDescent="0.25">
      <c r="A1984" t="s">
        <v>4055</v>
      </c>
      <c r="B1984" t="s">
        <v>846</v>
      </c>
      <c r="C1984" s="8">
        <v>46083</v>
      </c>
      <c r="D1984" t="s">
        <v>2062</v>
      </c>
      <c r="E1984" t="s">
        <v>2076</v>
      </c>
      <c r="F1984" t="s">
        <v>11</v>
      </c>
      <c r="G1984">
        <v>777.72</v>
      </c>
      <c r="H1984" t="s">
        <v>2060</v>
      </c>
      <c r="I1984" t="str">
        <f>VLOOKUP(B1984,Customers!A:G,7,FALSE)</f>
        <v>Individual</v>
      </c>
      <c r="Q1984" t="str">
        <f>IF(COUNTIF(Customers!$A$2:$A$1001,B1984)&gt;0,"Valid","Invalid")</f>
        <v>Valid</v>
      </c>
      <c r="R1984" t="str">
        <f>IF(COUNTIF(Branches!$A$2:$A$11,F1984)&gt;0,"Valid","Invalid")</f>
        <v>Valid</v>
      </c>
    </row>
    <row r="1985" spans="1:18" x14ac:dyDescent="0.25">
      <c r="A1985" t="s">
        <v>4056</v>
      </c>
      <c r="B1985" t="s">
        <v>569</v>
      </c>
      <c r="C1985" s="8">
        <v>46036</v>
      </c>
      <c r="D1985" t="s">
        <v>2062</v>
      </c>
      <c r="E1985" t="s">
        <v>2076</v>
      </c>
      <c r="F1985" t="s">
        <v>47</v>
      </c>
      <c r="G1985">
        <v>580.80999999999995</v>
      </c>
      <c r="H1985" t="s">
        <v>2060</v>
      </c>
      <c r="I1985" t="str">
        <f>VLOOKUP(B1985,Customers!A:G,7,FALSE)</f>
        <v>Individual</v>
      </c>
      <c r="Q1985" t="str">
        <f>IF(COUNTIF(Customers!$A$2:$A$1001,B1985)&gt;0,"Valid","Invalid")</f>
        <v>Valid</v>
      </c>
      <c r="R1985" t="str">
        <f>IF(COUNTIF(Branches!$A$2:$A$11,F1985)&gt;0,"Valid","Invalid")</f>
        <v>Valid</v>
      </c>
    </row>
    <row r="1986" spans="1:18" x14ac:dyDescent="0.25">
      <c r="A1986" t="s">
        <v>4057</v>
      </c>
      <c r="B1986" t="s">
        <v>83</v>
      </c>
      <c r="C1986" s="8">
        <v>46135</v>
      </c>
      <c r="D1986" t="s">
        <v>2065</v>
      </c>
      <c r="E1986" t="s">
        <v>2059</v>
      </c>
      <c r="F1986" t="s">
        <v>39</v>
      </c>
      <c r="G1986">
        <v>422.13</v>
      </c>
      <c r="H1986" t="s">
        <v>2060</v>
      </c>
      <c r="I1986" t="str">
        <f>VLOOKUP(B1986,Customers!A:G,7,FALSE)</f>
        <v>SME</v>
      </c>
      <c r="Q1986" t="str">
        <f>IF(COUNTIF(Customers!$A$2:$A$1001,B1986)&gt;0,"Valid","Invalid")</f>
        <v>Valid</v>
      </c>
      <c r="R1986" t="str">
        <f>IF(COUNTIF(Branches!$A$2:$A$11,F1986)&gt;0,"Valid","Invalid")</f>
        <v>Valid</v>
      </c>
    </row>
    <row r="1987" spans="1:18" x14ac:dyDescent="0.25">
      <c r="A1987" t="s">
        <v>4058</v>
      </c>
      <c r="B1987" t="s">
        <v>101</v>
      </c>
      <c r="C1987" s="8">
        <v>46099</v>
      </c>
      <c r="D1987" t="s">
        <v>2058</v>
      </c>
      <c r="E1987" t="s">
        <v>2059</v>
      </c>
      <c r="F1987" t="s">
        <v>27</v>
      </c>
      <c r="G1987">
        <v>1337.79</v>
      </c>
      <c r="H1987" t="s">
        <v>2060</v>
      </c>
      <c r="I1987" t="str">
        <f>VLOOKUP(B1987,Customers!A:G,7,FALSE)</f>
        <v>Individual</v>
      </c>
      <c r="Q1987" t="str">
        <f>IF(COUNTIF(Customers!$A$2:$A$1001,B1987)&gt;0,"Valid","Invalid")</f>
        <v>Valid</v>
      </c>
      <c r="R1987" t="str">
        <f>IF(COUNTIF(Branches!$A$2:$A$11,F1987)&gt;0,"Valid","Invalid")</f>
        <v>Valid</v>
      </c>
    </row>
    <row r="1988" spans="1:18" x14ac:dyDescent="0.25">
      <c r="A1988" t="s">
        <v>4059</v>
      </c>
      <c r="B1988" t="s">
        <v>1001</v>
      </c>
      <c r="C1988" s="8">
        <v>46043</v>
      </c>
      <c r="D1988" t="s">
        <v>2062</v>
      </c>
      <c r="E1988" t="s">
        <v>2068</v>
      </c>
      <c r="F1988" t="s">
        <v>27</v>
      </c>
      <c r="G1988">
        <v>257.32</v>
      </c>
      <c r="H1988" t="s">
        <v>2060</v>
      </c>
      <c r="I1988" t="str">
        <f>VLOOKUP(B1988,Customers!A:G,7,FALSE)</f>
        <v>Individual</v>
      </c>
      <c r="Q1988" t="str">
        <f>IF(COUNTIF(Customers!$A$2:$A$1001,B1988)&gt;0,"Valid","Invalid")</f>
        <v>Valid</v>
      </c>
      <c r="R1988" t="str">
        <f>IF(COUNTIF(Branches!$A$2:$A$11,F1988)&gt;0,"Valid","Invalid")</f>
        <v>Valid</v>
      </c>
    </row>
    <row r="1989" spans="1:18" x14ac:dyDescent="0.25">
      <c r="A1989" t="s">
        <v>4060</v>
      </c>
      <c r="B1989" t="s">
        <v>513</v>
      </c>
      <c r="C1989" s="8">
        <v>46174</v>
      </c>
      <c r="D1989" t="s">
        <v>2065</v>
      </c>
      <c r="E1989" t="s">
        <v>2063</v>
      </c>
      <c r="F1989" t="s">
        <v>47</v>
      </c>
      <c r="G1989">
        <v>1232.5999999999999</v>
      </c>
      <c r="H1989" t="s">
        <v>2060</v>
      </c>
      <c r="I1989" t="str">
        <f>VLOOKUP(B1989,Customers!A:G,7,FALSE)</f>
        <v>Individual</v>
      </c>
      <c r="Q1989" t="str">
        <f>IF(COUNTIF(Customers!$A$2:$A$1001,B1989)&gt;0,"Valid","Invalid")</f>
        <v>Valid</v>
      </c>
      <c r="R1989" t="str">
        <f>IF(COUNTIF(Branches!$A$2:$A$11,F1989)&gt;0,"Valid","Invalid")</f>
        <v>Valid</v>
      </c>
    </row>
    <row r="1990" spans="1:18" x14ac:dyDescent="0.25">
      <c r="A1990" t="s">
        <v>4061</v>
      </c>
      <c r="B1990" t="s">
        <v>182</v>
      </c>
      <c r="C1990" s="8">
        <v>46200</v>
      </c>
      <c r="D1990" t="s">
        <v>2062</v>
      </c>
      <c r="E1990" t="s">
        <v>2059</v>
      </c>
      <c r="F1990" t="s">
        <v>45</v>
      </c>
      <c r="G1990">
        <v>1421.53</v>
      </c>
      <c r="H1990" t="s">
        <v>2060</v>
      </c>
      <c r="I1990" t="str">
        <f>VLOOKUP(B1990,Customers!A:G,7,FALSE)</f>
        <v>Individual</v>
      </c>
      <c r="Q1990" t="str">
        <f>IF(COUNTIF(Customers!$A$2:$A$1001,B1990)&gt;0,"Valid","Invalid")</f>
        <v>Valid</v>
      </c>
      <c r="R1990" t="str">
        <f>IF(COUNTIF(Branches!$A$2:$A$11,F1990)&gt;0,"Valid","Invalid")</f>
        <v>Valid</v>
      </c>
    </row>
    <row r="1991" spans="1:18" x14ac:dyDescent="0.25">
      <c r="A1991" t="s">
        <v>4062</v>
      </c>
      <c r="B1991" t="s">
        <v>984</v>
      </c>
      <c r="C1991" s="8">
        <v>46232</v>
      </c>
      <c r="D1991" t="s">
        <v>2065</v>
      </c>
      <c r="E1991" t="s">
        <v>2063</v>
      </c>
      <c r="F1991" t="s">
        <v>53</v>
      </c>
      <c r="G1991">
        <v>2401.29</v>
      </c>
      <c r="H1991" t="s">
        <v>2060</v>
      </c>
      <c r="I1991" t="str">
        <f>VLOOKUP(B1991,Customers!A:G,7,FALSE)</f>
        <v>Individual</v>
      </c>
      <c r="Q1991" t="str">
        <f>IF(COUNTIF(Customers!$A$2:$A$1001,B1991)&gt;0,"Valid","Invalid")</f>
        <v>Valid</v>
      </c>
      <c r="R1991" t="str">
        <f>IF(COUNTIF(Branches!$A$2:$A$11,F1991)&gt;0,"Valid","Invalid")</f>
        <v>Valid</v>
      </c>
    </row>
    <row r="1992" spans="1:18" x14ac:dyDescent="0.25">
      <c r="A1992" t="s">
        <v>4063</v>
      </c>
      <c r="B1992" t="s">
        <v>836</v>
      </c>
      <c r="C1992" s="8">
        <v>46195</v>
      </c>
      <c r="D1992" t="s">
        <v>2062</v>
      </c>
      <c r="E1992" t="s">
        <v>2068</v>
      </c>
      <c r="F1992" t="s">
        <v>53</v>
      </c>
      <c r="G1992">
        <v>264.17</v>
      </c>
      <c r="H1992" t="s">
        <v>2060</v>
      </c>
      <c r="I1992" t="str">
        <f>VLOOKUP(B1992,Customers!A:G,7,FALSE)</f>
        <v>Student</v>
      </c>
      <c r="Q1992" t="str">
        <f>IF(COUNTIF(Customers!$A$2:$A$1001,B1992)&gt;0,"Valid","Invalid")</f>
        <v>Valid</v>
      </c>
      <c r="R1992" t="str">
        <f>IF(COUNTIF(Branches!$A$2:$A$11,F1992)&gt;0,"Valid","Invalid")</f>
        <v>Valid</v>
      </c>
    </row>
    <row r="1993" spans="1:18" x14ac:dyDescent="0.25">
      <c r="A1993" t="s">
        <v>4064</v>
      </c>
      <c r="B1993" t="s">
        <v>420</v>
      </c>
      <c r="C1993" s="8">
        <v>46214</v>
      </c>
      <c r="D1993" t="s">
        <v>2058</v>
      </c>
      <c r="E1993" t="s">
        <v>2073</v>
      </c>
      <c r="F1993" t="s">
        <v>16</v>
      </c>
      <c r="G1993">
        <v>180.33</v>
      </c>
      <c r="H1993" t="s">
        <v>2060</v>
      </c>
      <c r="I1993" t="str">
        <f>VLOOKUP(B1993,Customers!A:G,7,FALSE)</f>
        <v>Student</v>
      </c>
      <c r="Q1993" t="str">
        <f>IF(COUNTIF(Customers!$A$2:$A$1001,B1993)&gt;0,"Valid","Invalid")</f>
        <v>Valid</v>
      </c>
      <c r="R1993" t="str">
        <f>IF(COUNTIF(Branches!$A$2:$A$11,F1993)&gt;0,"Valid","Invalid")</f>
        <v>Valid</v>
      </c>
    </row>
    <row r="1994" spans="1:18" x14ac:dyDescent="0.25">
      <c r="A1994" t="s">
        <v>4065</v>
      </c>
      <c r="B1994" t="s">
        <v>102</v>
      </c>
      <c r="C1994" s="8">
        <v>46086</v>
      </c>
      <c r="D1994" t="s">
        <v>2065</v>
      </c>
      <c r="E1994" t="s">
        <v>2068</v>
      </c>
      <c r="F1994" t="s">
        <v>11</v>
      </c>
      <c r="G1994">
        <v>1073.74</v>
      </c>
      <c r="H1994" t="s">
        <v>2107</v>
      </c>
      <c r="I1994" t="str">
        <f>VLOOKUP(B1994,Customers!A:G,7,FALSE)</f>
        <v>Corporate</v>
      </c>
      <c r="Q1994" t="str">
        <f>IF(COUNTIF(Customers!$A$2:$A$1001,B1994)&gt;0,"Valid","Invalid")</f>
        <v>Valid</v>
      </c>
      <c r="R1994" t="str">
        <f>IF(COUNTIF(Branches!$A$2:$A$11,F1994)&gt;0,"Valid","Invalid")</f>
        <v>Valid</v>
      </c>
    </row>
    <row r="1995" spans="1:18" x14ac:dyDescent="0.25">
      <c r="A1995" t="s">
        <v>4066</v>
      </c>
      <c r="B1995" t="s">
        <v>555</v>
      </c>
      <c r="C1995" s="8">
        <v>46254</v>
      </c>
      <c r="D1995" t="s">
        <v>2067</v>
      </c>
      <c r="E1995" t="s">
        <v>2068</v>
      </c>
      <c r="F1995" t="s">
        <v>11</v>
      </c>
      <c r="G1995">
        <v>610.16</v>
      </c>
      <c r="H1995" t="s">
        <v>2060</v>
      </c>
      <c r="I1995" t="str">
        <f>VLOOKUP(B1995,Customers!A:G,7,FALSE)</f>
        <v>SME</v>
      </c>
      <c r="Q1995" t="str">
        <f>IF(COUNTIF(Customers!$A$2:$A$1001,B1995)&gt;0,"Valid","Invalid")</f>
        <v>Valid</v>
      </c>
      <c r="R1995" t="str">
        <f>IF(COUNTIF(Branches!$A$2:$A$11,F1995)&gt;0,"Valid","Invalid")</f>
        <v>Valid</v>
      </c>
    </row>
    <row r="1996" spans="1:18" x14ac:dyDescent="0.25">
      <c r="A1996" t="s">
        <v>4067</v>
      </c>
      <c r="B1996" t="s">
        <v>129</v>
      </c>
      <c r="C1996" s="8">
        <v>46176</v>
      </c>
      <c r="D1996" t="s">
        <v>2058</v>
      </c>
      <c r="E1996" t="s">
        <v>2073</v>
      </c>
      <c r="F1996" t="s">
        <v>39</v>
      </c>
      <c r="G1996">
        <v>14803.96</v>
      </c>
      <c r="H1996" t="s">
        <v>2060</v>
      </c>
      <c r="I1996" t="str">
        <f>VLOOKUP(B1996,Customers!A:G,7,FALSE)</f>
        <v>Individual</v>
      </c>
      <c r="Q1996" t="str">
        <f>IF(COUNTIF(Customers!$A$2:$A$1001,B1996)&gt;0,"Valid","Invalid")</f>
        <v>Valid</v>
      </c>
      <c r="R1996" t="str">
        <f>IF(COUNTIF(Branches!$A$2:$A$11,F1996)&gt;0,"Valid","Invalid")</f>
        <v>Valid</v>
      </c>
    </row>
    <row r="1997" spans="1:18" x14ac:dyDescent="0.25">
      <c r="A1997" t="s">
        <v>4068</v>
      </c>
      <c r="B1997" t="s">
        <v>903</v>
      </c>
      <c r="C1997" s="8">
        <v>46182</v>
      </c>
      <c r="D1997" t="s">
        <v>2058</v>
      </c>
      <c r="E1997" t="s">
        <v>2076</v>
      </c>
      <c r="F1997" t="s">
        <v>35</v>
      </c>
      <c r="G1997">
        <v>1284.98</v>
      </c>
      <c r="H1997" t="s">
        <v>2060</v>
      </c>
      <c r="I1997" t="str">
        <f>VLOOKUP(B1997,Customers!A:G,7,FALSE)</f>
        <v>Student</v>
      </c>
      <c r="Q1997" t="str">
        <f>IF(COUNTIF(Customers!$A$2:$A$1001,B1997)&gt;0,"Valid","Invalid")</f>
        <v>Valid</v>
      </c>
      <c r="R1997" t="str">
        <f>IF(COUNTIF(Branches!$A$2:$A$11,F1997)&gt;0,"Valid","Invalid")</f>
        <v>Valid</v>
      </c>
    </row>
    <row r="1998" spans="1:18" x14ac:dyDescent="0.25">
      <c r="A1998" t="s">
        <v>4069</v>
      </c>
      <c r="B1998" t="s">
        <v>464</v>
      </c>
      <c r="C1998" s="8">
        <v>46258</v>
      </c>
      <c r="D1998" t="s">
        <v>2067</v>
      </c>
      <c r="E1998" t="s">
        <v>2068</v>
      </c>
      <c r="F1998" t="s">
        <v>29</v>
      </c>
      <c r="G1998">
        <v>861.06</v>
      </c>
      <c r="H1998" t="s">
        <v>2060</v>
      </c>
      <c r="I1998" t="str">
        <f>VLOOKUP(B1998,Customers!A:G,7,FALSE)</f>
        <v>Student</v>
      </c>
      <c r="Q1998" t="str">
        <f>IF(COUNTIF(Customers!$A$2:$A$1001,B1998)&gt;0,"Valid","Invalid")</f>
        <v>Valid</v>
      </c>
      <c r="R1998" t="str">
        <f>IF(COUNTIF(Branches!$A$2:$A$11,F1998)&gt;0,"Valid","Invalid")</f>
        <v>Valid</v>
      </c>
    </row>
    <row r="1999" spans="1:18" x14ac:dyDescent="0.25">
      <c r="A1999" t="s">
        <v>4070</v>
      </c>
      <c r="B1999" t="s">
        <v>506</v>
      </c>
      <c r="C1999" s="8">
        <v>46079</v>
      </c>
      <c r="D1999" t="s">
        <v>2062</v>
      </c>
      <c r="E1999" t="s">
        <v>2073</v>
      </c>
      <c r="F1999" t="s">
        <v>21</v>
      </c>
      <c r="G1999">
        <v>683.46</v>
      </c>
      <c r="H1999" t="s">
        <v>2060</v>
      </c>
      <c r="I1999" t="str">
        <f>VLOOKUP(B1999,Customers!A:G,7,FALSE)</f>
        <v>Individual</v>
      </c>
      <c r="Q1999" t="str">
        <f>IF(COUNTIF(Customers!$A$2:$A$1001,B1999)&gt;0,"Valid","Invalid")</f>
        <v>Valid</v>
      </c>
      <c r="R1999" t="str">
        <f>IF(COUNTIF(Branches!$A$2:$A$11,F1999)&gt;0,"Valid","Invalid")</f>
        <v>Valid</v>
      </c>
    </row>
    <row r="2000" spans="1:18" x14ac:dyDescent="0.25">
      <c r="A2000" t="s">
        <v>4071</v>
      </c>
      <c r="B2000" t="s">
        <v>130</v>
      </c>
      <c r="C2000" s="8">
        <v>46141</v>
      </c>
      <c r="D2000" t="s">
        <v>2058</v>
      </c>
      <c r="E2000" t="s">
        <v>2063</v>
      </c>
      <c r="F2000" t="s">
        <v>35</v>
      </c>
      <c r="G2000">
        <v>240.31</v>
      </c>
      <c r="H2000" t="s">
        <v>2060</v>
      </c>
      <c r="I2000" t="str">
        <f>VLOOKUP(B2000,Customers!A:G,7,FALSE)</f>
        <v>SME</v>
      </c>
      <c r="Q2000" t="str">
        <f>IF(COUNTIF(Customers!$A$2:$A$1001,B2000)&gt;0,"Valid","Invalid")</f>
        <v>Valid</v>
      </c>
      <c r="R2000" t="str">
        <f>IF(COUNTIF(Branches!$A$2:$A$11,F2000)&gt;0,"Valid","Invalid")</f>
        <v>Valid</v>
      </c>
    </row>
    <row r="2001" spans="1:18" x14ac:dyDescent="0.25">
      <c r="A2001" t="s">
        <v>4072</v>
      </c>
      <c r="B2001" t="s">
        <v>656</v>
      </c>
      <c r="C2001" s="8">
        <v>46203</v>
      </c>
      <c r="D2001" t="s">
        <v>2058</v>
      </c>
      <c r="E2001" t="s">
        <v>2076</v>
      </c>
      <c r="F2001" t="s">
        <v>53</v>
      </c>
      <c r="G2001">
        <v>1427.79</v>
      </c>
      <c r="H2001" t="s">
        <v>2060</v>
      </c>
      <c r="I2001" t="str">
        <f>VLOOKUP(B2001,Customers!A:G,7,FALSE)</f>
        <v>Individual</v>
      </c>
      <c r="Q2001" t="str">
        <f>IF(COUNTIF(Customers!$A$2:$A$1001,B2001)&gt;0,"Valid","Invalid")</f>
        <v>Valid</v>
      </c>
      <c r="R2001" t="str">
        <f>IF(COUNTIF(Branches!$A$2:$A$11,F2001)&gt;0,"Valid","Invalid")</f>
        <v>Valid</v>
      </c>
    </row>
    <row r="2002" spans="1:18" x14ac:dyDescent="0.25">
      <c r="A2002" t="s">
        <v>4073</v>
      </c>
      <c r="B2002" t="s">
        <v>169</v>
      </c>
      <c r="C2002" s="8">
        <v>46183</v>
      </c>
      <c r="D2002" t="s">
        <v>2065</v>
      </c>
      <c r="E2002" t="s">
        <v>2076</v>
      </c>
      <c r="F2002" t="s">
        <v>11</v>
      </c>
      <c r="G2002">
        <v>750.59</v>
      </c>
      <c r="H2002" t="s">
        <v>2060</v>
      </c>
      <c r="I2002" t="str">
        <f>VLOOKUP(B2002,Customers!A:G,7,FALSE)</f>
        <v>SME</v>
      </c>
      <c r="Q2002" t="str">
        <f>IF(COUNTIF(Customers!$A$2:$A$1001,B2002)&gt;0,"Valid","Invalid")</f>
        <v>Valid</v>
      </c>
      <c r="R2002" t="str">
        <f>IF(COUNTIF(Branches!$A$2:$A$11,F2002)&gt;0,"Valid","Invalid")</f>
        <v>Valid</v>
      </c>
    </row>
    <row r="2003" spans="1:18" x14ac:dyDescent="0.25">
      <c r="A2003" t="s">
        <v>4074</v>
      </c>
      <c r="B2003" t="s">
        <v>472</v>
      </c>
      <c r="C2003" s="8">
        <v>46074</v>
      </c>
      <c r="D2003" t="s">
        <v>2070</v>
      </c>
      <c r="E2003" t="s">
        <v>2073</v>
      </c>
      <c r="F2003" t="s">
        <v>39</v>
      </c>
      <c r="G2003">
        <v>751.21</v>
      </c>
      <c r="H2003" t="s">
        <v>2060</v>
      </c>
      <c r="I2003" t="str">
        <f>VLOOKUP(B2003,Customers!A:G,7,FALSE)</f>
        <v>Individual</v>
      </c>
      <c r="Q2003" t="str">
        <f>IF(COUNTIF(Customers!$A$2:$A$1001,B2003)&gt;0,"Valid","Invalid")</f>
        <v>Valid</v>
      </c>
      <c r="R2003" t="str">
        <f>IF(COUNTIF(Branches!$A$2:$A$11,F2003)&gt;0,"Valid","Invalid")</f>
        <v>Valid</v>
      </c>
    </row>
    <row r="2004" spans="1:18" x14ac:dyDescent="0.25">
      <c r="A2004" t="s">
        <v>4075</v>
      </c>
      <c r="B2004" t="s">
        <v>379</v>
      </c>
      <c r="C2004" s="8">
        <v>46117</v>
      </c>
      <c r="D2004" t="s">
        <v>2065</v>
      </c>
      <c r="E2004" t="s">
        <v>2068</v>
      </c>
      <c r="F2004" t="s">
        <v>47</v>
      </c>
      <c r="G2004">
        <v>892.87</v>
      </c>
      <c r="H2004" t="s">
        <v>2060</v>
      </c>
      <c r="I2004" t="str">
        <f>VLOOKUP(B2004,Customers!A:G,7,FALSE)</f>
        <v>Individual</v>
      </c>
      <c r="Q2004" t="str">
        <f>IF(COUNTIF(Customers!$A$2:$A$1001,B2004)&gt;0,"Valid","Invalid")</f>
        <v>Valid</v>
      </c>
      <c r="R2004" t="str">
        <f>IF(COUNTIF(Branches!$A$2:$A$11,F2004)&gt;0,"Valid","Invalid")</f>
        <v>Valid</v>
      </c>
    </row>
    <row r="2005" spans="1:18" x14ac:dyDescent="0.25">
      <c r="A2005" t="s">
        <v>4076</v>
      </c>
      <c r="B2005" t="s">
        <v>352</v>
      </c>
      <c r="C2005" s="8">
        <v>46168</v>
      </c>
      <c r="D2005" t="s">
        <v>2058</v>
      </c>
      <c r="E2005" t="s">
        <v>2068</v>
      </c>
      <c r="F2005" t="s">
        <v>11</v>
      </c>
      <c r="G2005">
        <v>1013.55</v>
      </c>
      <c r="H2005" t="s">
        <v>2060</v>
      </c>
      <c r="I2005" t="str">
        <f>VLOOKUP(B2005,Customers!A:G,7,FALSE)</f>
        <v>SME</v>
      </c>
      <c r="Q2005" t="str">
        <f>IF(COUNTIF(Customers!$A$2:$A$1001,B2005)&gt;0,"Valid","Invalid")</f>
        <v>Valid</v>
      </c>
      <c r="R2005" t="str">
        <f>IF(COUNTIF(Branches!$A$2:$A$11,F2005)&gt;0,"Valid","Invalid")</f>
        <v>Valid</v>
      </c>
    </row>
    <row r="2006" spans="1:18" x14ac:dyDescent="0.25">
      <c r="A2006" t="s">
        <v>4077</v>
      </c>
      <c r="B2006" t="s">
        <v>629</v>
      </c>
      <c r="C2006" s="8">
        <v>46185</v>
      </c>
      <c r="D2006" t="s">
        <v>2062</v>
      </c>
      <c r="E2006" t="s">
        <v>2073</v>
      </c>
      <c r="F2006" t="s">
        <v>35</v>
      </c>
      <c r="G2006">
        <v>142.69999999999999</v>
      </c>
      <c r="H2006" t="s">
        <v>2060</v>
      </c>
      <c r="I2006" t="str">
        <f>VLOOKUP(B2006,Customers!A:G,7,FALSE)</f>
        <v>Individual</v>
      </c>
      <c r="Q2006" t="str">
        <f>IF(COUNTIF(Customers!$A$2:$A$1001,B2006)&gt;0,"Valid","Invalid")</f>
        <v>Valid</v>
      </c>
      <c r="R2006" t="str">
        <f>IF(COUNTIF(Branches!$A$2:$A$11,F2006)&gt;0,"Valid","Invalid")</f>
        <v>Valid</v>
      </c>
    </row>
    <row r="2007" spans="1:18" x14ac:dyDescent="0.25">
      <c r="A2007" t="s">
        <v>4078</v>
      </c>
      <c r="B2007" t="s">
        <v>249</v>
      </c>
      <c r="C2007" s="8">
        <v>46162</v>
      </c>
      <c r="D2007" t="s">
        <v>2065</v>
      </c>
      <c r="E2007" t="s">
        <v>2059</v>
      </c>
      <c r="F2007" t="s">
        <v>27</v>
      </c>
      <c r="G2007">
        <v>1876.24</v>
      </c>
      <c r="H2007" t="s">
        <v>2060</v>
      </c>
      <c r="I2007" t="str">
        <f>VLOOKUP(B2007,Customers!A:G,7,FALSE)</f>
        <v>Individual</v>
      </c>
      <c r="Q2007" t="str">
        <f>IF(COUNTIF(Customers!$A$2:$A$1001,B2007)&gt;0,"Valid","Invalid")</f>
        <v>Valid</v>
      </c>
      <c r="R2007" t="str">
        <f>IF(COUNTIF(Branches!$A$2:$A$11,F2007)&gt;0,"Valid","Invalid")</f>
        <v>Valid</v>
      </c>
    </row>
    <row r="2008" spans="1:18" x14ac:dyDescent="0.25">
      <c r="A2008" t="s">
        <v>4079</v>
      </c>
      <c r="B2008" t="s">
        <v>558</v>
      </c>
      <c r="C2008" s="8">
        <v>46201</v>
      </c>
      <c r="D2008" t="s">
        <v>2058</v>
      </c>
      <c r="E2008" t="s">
        <v>2063</v>
      </c>
      <c r="F2008" t="s">
        <v>29</v>
      </c>
      <c r="G2008">
        <v>348.47</v>
      </c>
      <c r="H2008" t="s">
        <v>2060</v>
      </c>
      <c r="I2008" t="str">
        <f>VLOOKUP(B2008,Customers!A:G,7,FALSE)</f>
        <v>Individual</v>
      </c>
      <c r="Q2008" t="str">
        <f>IF(COUNTIF(Customers!$A$2:$A$1001,B2008)&gt;0,"Valid","Invalid")</f>
        <v>Valid</v>
      </c>
      <c r="R2008" t="str">
        <f>IF(COUNTIF(Branches!$A$2:$A$11,F2008)&gt;0,"Valid","Invalid")</f>
        <v>Valid</v>
      </c>
    </row>
    <row r="2009" spans="1:18" x14ac:dyDescent="0.25">
      <c r="A2009" t="s">
        <v>4080</v>
      </c>
      <c r="B2009" t="s">
        <v>195</v>
      </c>
      <c r="C2009" s="8">
        <v>46111</v>
      </c>
      <c r="D2009" t="s">
        <v>2065</v>
      </c>
      <c r="E2009" t="s">
        <v>2063</v>
      </c>
      <c r="F2009" t="s">
        <v>11</v>
      </c>
      <c r="G2009">
        <v>707.66</v>
      </c>
      <c r="H2009" t="s">
        <v>2060</v>
      </c>
      <c r="I2009" t="str">
        <f>VLOOKUP(B2009,Customers!A:G,7,FALSE)</f>
        <v>Individual</v>
      </c>
      <c r="Q2009" t="str">
        <f>IF(COUNTIF(Customers!$A$2:$A$1001,B2009)&gt;0,"Valid","Invalid")</f>
        <v>Valid</v>
      </c>
      <c r="R2009" t="str">
        <f>IF(COUNTIF(Branches!$A$2:$A$11,F2009)&gt;0,"Valid","Invalid")</f>
        <v>Valid</v>
      </c>
    </row>
    <row r="2010" spans="1:18" x14ac:dyDescent="0.25">
      <c r="A2010" t="s">
        <v>4081</v>
      </c>
      <c r="B2010" t="s">
        <v>306</v>
      </c>
      <c r="C2010" s="8">
        <v>46259</v>
      </c>
      <c r="D2010" t="s">
        <v>2062</v>
      </c>
      <c r="E2010" t="s">
        <v>2059</v>
      </c>
      <c r="F2010" t="s">
        <v>39</v>
      </c>
      <c r="G2010">
        <v>2939.24</v>
      </c>
      <c r="H2010" t="s">
        <v>2060</v>
      </c>
      <c r="I2010" t="str">
        <f>VLOOKUP(B2010,Customers!A:G,7,FALSE)</f>
        <v>Individual</v>
      </c>
      <c r="Q2010" t="str">
        <f>IF(COUNTIF(Customers!$A$2:$A$1001,B2010)&gt;0,"Valid","Invalid")</f>
        <v>Valid</v>
      </c>
      <c r="R2010" t="str">
        <f>IF(COUNTIF(Branches!$A$2:$A$11,F2010)&gt;0,"Valid","Invalid")</f>
        <v>Valid</v>
      </c>
    </row>
    <row r="2011" spans="1:18" x14ac:dyDescent="0.25">
      <c r="A2011" t="s">
        <v>4082</v>
      </c>
      <c r="B2011" t="s">
        <v>699</v>
      </c>
      <c r="C2011" s="8">
        <v>46245</v>
      </c>
      <c r="D2011" t="s">
        <v>2058</v>
      </c>
      <c r="E2011" t="s">
        <v>2059</v>
      </c>
      <c r="F2011" t="s">
        <v>53</v>
      </c>
      <c r="G2011">
        <v>4814.79</v>
      </c>
      <c r="H2011" t="s">
        <v>2060</v>
      </c>
      <c r="I2011" t="str">
        <f>VLOOKUP(B2011,Customers!A:G,7,FALSE)</f>
        <v>SME</v>
      </c>
      <c r="Q2011" t="str">
        <f>IF(COUNTIF(Customers!$A$2:$A$1001,B2011)&gt;0,"Valid","Invalid")</f>
        <v>Valid</v>
      </c>
      <c r="R2011" t="str">
        <f>IF(COUNTIF(Branches!$A$2:$A$11,F2011)&gt;0,"Valid","Invalid")</f>
        <v>Valid</v>
      </c>
    </row>
    <row r="2012" spans="1:18" x14ac:dyDescent="0.25">
      <c r="A2012" t="s">
        <v>4083</v>
      </c>
      <c r="B2012" t="s">
        <v>900</v>
      </c>
      <c r="C2012" s="8">
        <v>46032</v>
      </c>
      <c r="D2012" t="s">
        <v>2062</v>
      </c>
      <c r="E2012" t="s">
        <v>2059</v>
      </c>
      <c r="F2012" t="s">
        <v>39</v>
      </c>
      <c r="G2012">
        <v>148.34</v>
      </c>
      <c r="H2012" t="s">
        <v>2060</v>
      </c>
      <c r="I2012" t="str">
        <f>VLOOKUP(B2012,Customers!A:G,7,FALSE)</f>
        <v>SME</v>
      </c>
      <c r="Q2012" t="str">
        <f>IF(COUNTIF(Customers!$A$2:$A$1001,B2012)&gt;0,"Valid","Invalid")</f>
        <v>Valid</v>
      </c>
      <c r="R2012" t="str">
        <f>IF(COUNTIF(Branches!$A$2:$A$11,F2012)&gt;0,"Valid","Invalid")</f>
        <v>Valid</v>
      </c>
    </row>
    <row r="2013" spans="1:18" x14ac:dyDescent="0.25">
      <c r="A2013" t="s">
        <v>4084</v>
      </c>
      <c r="B2013" t="s">
        <v>996</v>
      </c>
      <c r="C2013" s="8">
        <v>46261</v>
      </c>
      <c r="D2013" t="s">
        <v>2062</v>
      </c>
      <c r="E2013" t="s">
        <v>2059</v>
      </c>
      <c r="F2013" t="s">
        <v>21</v>
      </c>
      <c r="G2013">
        <v>837.35</v>
      </c>
      <c r="H2013" t="s">
        <v>2060</v>
      </c>
      <c r="I2013" t="str">
        <f>VLOOKUP(B2013,Customers!A:G,7,FALSE)</f>
        <v>Corporate</v>
      </c>
      <c r="Q2013" t="str">
        <f>IF(COUNTIF(Customers!$A$2:$A$1001,B2013)&gt;0,"Valid","Invalid")</f>
        <v>Valid</v>
      </c>
      <c r="R2013" t="str">
        <f>IF(COUNTIF(Branches!$A$2:$A$11,F2013)&gt;0,"Valid","Invalid")</f>
        <v>Valid</v>
      </c>
    </row>
    <row r="2014" spans="1:18" x14ac:dyDescent="0.25">
      <c r="A2014" t="s">
        <v>4085</v>
      </c>
      <c r="B2014" t="s">
        <v>641</v>
      </c>
      <c r="C2014" s="8">
        <v>46074</v>
      </c>
      <c r="D2014" t="s">
        <v>2058</v>
      </c>
      <c r="E2014" t="s">
        <v>2073</v>
      </c>
      <c r="F2014" t="s">
        <v>53</v>
      </c>
      <c r="G2014">
        <v>1067.33</v>
      </c>
      <c r="H2014" t="s">
        <v>2060</v>
      </c>
      <c r="I2014" t="str">
        <f>VLOOKUP(B2014,Customers!A:G,7,FALSE)</f>
        <v>Individual</v>
      </c>
      <c r="Q2014" t="str">
        <f>IF(COUNTIF(Customers!$A$2:$A$1001,B2014)&gt;0,"Valid","Invalid")</f>
        <v>Valid</v>
      </c>
      <c r="R2014" t="str">
        <f>IF(COUNTIF(Branches!$A$2:$A$11,F2014)&gt;0,"Valid","Invalid")</f>
        <v>Valid</v>
      </c>
    </row>
    <row r="2015" spans="1:18" x14ac:dyDescent="0.25">
      <c r="A2015" t="s">
        <v>4086</v>
      </c>
      <c r="B2015" t="s">
        <v>786</v>
      </c>
      <c r="C2015" s="8">
        <v>46056</v>
      </c>
      <c r="D2015" t="s">
        <v>2062</v>
      </c>
      <c r="E2015" t="s">
        <v>2059</v>
      </c>
      <c r="F2015" t="s">
        <v>16</v>
      </c>
      <c r="G2015">
        <v>179.91</v>
      </c>
      <c r="H2015" t="s">
        <v>2060</v>
      </c>
      <c r="I2015" t="str">
        <f>VLOOKUP(B2015,Customers!A:G,7,FALSE)</f>
        <v>Individual</v>
      </c>
      <c r="Q2015" t="str">
        <f>IF(COUNTIF(Customers!$A$2:$A$1001,B2015)&gt;0,"Valid","Invalid")</f>
        <v>Valid</v>
      </c>
      <c r="R2015" t="str">
        <f>IF(COUNTIF(Branches!$A$2:$A$11,F2015)&gt;0,"Valid","Invalid")</f>
        <v>Valid</v>
      </c>
    </row>
    <row r="2016" spans="1:18" x14ac:dyDescent="0.25">
      <c r="A2016" t="s">
        <v>4087</v>
      </c>
      <c r="B2016" t="s">
        <v>512</v>
      </c>
      <c r="C2016" s="8">
        <v>46137</v>
      </c>
      <c r="D2016" t="s">
        <v>2058</v>
      </c>
      <c r="E2016" t="s">
        <v>2068</v>
      </c>
      <c r="F2016" t="s">
        <v>35</v>
      </c>
      <c r="G2016">
        <v>1812.73</v>
      </c>
      <c r="H2016" t="s">
        <v>2060</v>
      </c>
      <c r="I2016" t="str">
        <f>VLOOKUP(B2016,Customers!A:G,7,FALSE)</f>
        <v>Individual</v>
      </c>
      <c r="Q2016" t="str">
        <f>IF(COUNTIF(Customers!$A$2:$A$1001,B2016)&gt;0,"Valid","Invalid")</f>
        <v>Valid</v>
      </c>
      <c r="R2016" t="str">
        <f>IF(COUNTIF(Branches!$A$2:$A$11,F2016)&gt;0,"Valid","Invalid")</f>
        <v>Valid</v>
      </c>
    </row>
    <row r="2017" spans="1:18" x14ac:dyDescent="0.25">
      <c r="A2017" t="s">
        <v>4088</v>
      </c>
      <c r="B2017" t="s">
        <v>839</v>
      </c>
      <c r="C2017" s="8">
        <v>46217</v>
      </c>
      <c r="D2017" t="s">
        <v>2067</v>
      </c>
      <c r="E2017" t="s">
        <v>2073</v>
      </c>
      <c r="F2017" t="s">
        <v>29</v>
      </c>
      <c r="G2017">
        <v>912.57</v>
      </c>
      <c r="H2017" t="s">
        <v>2060</v>
      </c>
      <c r="I2017" t="str">
        <f>VLOOKUP(B2017,Customers!A:G,7,FALSE)</f>
        <v>Individual</v>
      </c>
      <c r="Q2017" t="str">
        <f>IF(COUNTIF(Customers!$A$2:$A$1001,B2017)&gt;0,"Valid","Invalid")</f>
        <v>Valid</v>
      </c>
      <c r="R2017" t="str">
        <f>IF(COUNTIF(Branches!$A$2:$A$11,F2017)&gt;0,"Valid","Invalid")</f>
        <v>Valid</v>
      </c>
    </row>
    <row r="2018" spans="1:18" x14ac:dyDescent="0.25">
      <c r="A2018" t="s">
        <v>4089</v>
      </c>
      <c r="B2018" t="s">
        <v>448</v>
      </c>
      <c r="C2018" s="8">
        <v>46260</v>
      </c>
      <c r="D2018" t="s">
        <v>2058</v>
      </c>
      <c r="E2018" t="s">
        <v>2059</v>
      </c>
      <c r="F2018" t="s">
        <v>47</v>
      </c>
      <c r="G2018">
        <v>986.5</v>
      </c>
      <c r="H2018" t="s">
        <v>2060</v>
      </c>
      <c r="I2018" t="str">
        <f>VLOOKUP(B2018,Customers!A:G,7,FALSE)</f>
        <v>Student</v>
      </c>
      <c r="Q2018" t="str">
        <f>IF(COUNTIF(Customers!$A$2:$A$1001,B2018)&gt;0,"Valid","Invalid")</f>
        <v>Valid</v>
      </c>
      <c r="R2018" t="str">
        <f>IF(COUNTIF(Branches!$A$2:$A$11,F2018)&gt;0,"Valid","Invalid")</f>
        <v>Valid</v>
      </c>
    </row>
    <row r="2019" spans="1:18" x14ac:dyDescent="0.25">
      <c r="A2019" t="s">
        <v>4090</v>
      </c>
      <c r="B2019" t="s">
        <v>512</v>
      </c>
      <c r="C2019" s="8">
        <v>46189</v>
      </c>
      <c r="D2019" t="s">
        <v>2062</v>
      </c>
      <c r="E2019" t="s">
        <v>2059</v>
      </c>
      <c r="F2019" t="s">
        <v>11</v>
      </c>
      <c r="G2019">
        <v>324.55</v>
      </c>
      <c r="H2019" t="s">
        <v>2060</v>
      </c>
      <c r="I2019" t="str">
        <f>VLOOKUP(B2019,Customers!A:G,7,FALSE)</f>
        <v>Individual</v>
      </c>
      <c r="Q2019" t="str">
        <f>IF(COUNTIF(Customers!$A$2:$A$1001,B2019)&gt;0,"Valid","Invalid")</f>
        <v>Valid</v>
      </c>
      <c r="R2019" t="str">
        <f>IF(COUNTIF(Branches!$A$2:$A$11,F2019)&gt;0,"Valid","Invalid")</f>
        <v>Valid</v>
      </c>
    </row>
    <row r="2020" spans="1:18" x14ac:dyDescent="0.25">
      <c r="A2020" t="s">
        <v>4091</v>
      </c>
      <c r="B2020" t="s">
        <v>394</v>
      </c>
      <c r="C2020" s="8">
        <v>46158</v>
      </c>
      <c r="D2020" t="s">
        <v>2067</v>
      </c>
      <c r="E2020" t="s">
        <v>2068</v>
      </c>
      <c r="F2020" t="s">
        <v>47</v>
      </c>
      <c r="G2020">
        <v>1227.69</v>
      </c>
      <c r="H2020" t="s">
        <v>2060</v>
      </c>
      <c r="I2020" t="str">
        <f>VLOOKUP(B2020,Customers!A:G,7,FALSE)</f>
        <v>Student</v>
      </c>
      <c r="Q2020" t="str">
        <f>IF(COUNTIF(Customers!$A$2:$A$1001,B2020)&gt;0,"Valid","Invalid")</f>
        <v>Valid</v>
      </c>
      <c r="R2020" t="str">
        <f>IF(COUNTIF(Branches!$A$2:$A$11,F2020)&gt;0,"Valid","Invalid")</f>
        <v>Valid</v>
      </c>
    </row>
    <row r="2021" spans="1:18" x14ac:dyDescent="0.25">
      <c r="A2021" t="s">
        <v>4092</v>
      </c>
      <c r="B2021" t="s">
        <v>718</v>
      </c>
      <c r="C2021" s="8">
        <v>46147</v>
      </c>
      <c r="D2021" t="s">
        <v>2067</v>
      </c>
      <c r="E2021" t="s">
        <v>2076</v>
      </c>
      <c r="F2021" t="s">
        <v>11</v>
      </c>
      <c r="G2021">
        <v>1878.49</v>
      </c>
      <c r="H2021" t="s">
        <v>2060</v>
      </c>
      <c r="I2021" t="str">
        <f>VLOOKUP(B2021,Customers!A:G,7,FALSE)</f>
        <v>SME</v>
      </c>
      <c r="Q2021" t="str">
        <f>IF(COUNTIF(Customers!$A$2:$A$1001,B2021)&gt;0,"Valid","Invalid")</f>
        <v>Valid</v>
      </c>
      <c r="R2021" t="str">
        <f>IF(COUNTIF(Branches!$A$2:$A$11,F2021)&gt;0,"Valid","Invalid")</f>
        <v>Valid</v>
      </c>
    </row>
    <row r="2022" spans="1:18" x14ac:dyDescent="0.25">
      <c r="A2022" t="s">
        <v>4093</v>
      </c>
      <c r="B2022" t="s">
        <v>230</v>
      </c>
      <c r="C2022" s="8">
        <v>46246</v>
      </c>
      <c r="D2022" t="s">
        <v>2067</v>
      </c>
      <c r="E2022" t="s">
        <v>2063</v>
      </c>
      <c r="F2022" t="s">
        <v>53</v>
      </c>
      <c r="G2022">
        <v>922.69</v>
      </c>
      <c r="H2022" t="s">
        <v>2060</v>
      </c>
      <c r="I2022" t="str">
        <f>VLOOKUP(B2022,Customers!A:G,7,FALSE)</f>
        <v>Individual</v>
      </c>
      <c r="Q2022" t="str">
        <f>IF(COUNTIF(Customers!$A$2:$A$1001,B2022)&gt;0,"Valid","Invalid")</f>
        <v>Valid</v>
      </c>
      <c r="R2022" t="str">
        <f>IF(COUNTIF(Branches!$A$2:$A$11,F2022)&gt;0,"Valid","Invalid")</f>
        <v>Valid</v>
      </c>
    </row>
    <row r="2023" spans="1:18" x14ac:dyDescent="0.25">
      <c r="A2023" t="s">
        <v>4094</v>
      </c>
      <c r="B2023" t="s">
        <v>737</v>
      </c>
      <c r="C2023" s="8">
        <v>46257</v>
      </c>
      <c r="D2023" t="s">
        <v>2067</v>
      </c>
      <c r="E2023" t="s">
        <v>2063</v>
      </c>
      <c r="F2023" t="s">
        <v>29</v>
      </c>
      <c r="G2023">
        <v>485.93</v>
      </c>
      <c r="H2023" t="s">
        <v>2060</v>
      </c>
      <c r="I2023" t="str">
        <f>VLOOKUP(B2023,Customers!A:G,7,FALSE)</f>
        <v>Individual</v>
      </c>
      <c r="Q2023" t="str">
        <f>IF(COUNTIF(Customers!$A$2:$A$1001,B2023)&gt;0,"Valid","Invalid")</f>
        <v>Valid</v>
      </c>
      <c r="R2023" t="str">
        <f>IF(COUNTIF(Branches!$A$2:$A$11,F2023)&gt;0,"Valid","Invalid")</f>
        <v>Valid</v>
      </c>
    </row>
    <row r="2024" spans="1:18" x14ac:dyDescent="0.25">
      <c r="A2024" t="s">
        <v>4095</v>
      </c>
      <c r="B2024" t="s">
        <v>309</v>
      </c>
      <c r="C2024" s="8">
        <v>46179</v>
      </c>
      <c r="D2024" t="s">
        <v>2065</v>
      </c>
      <c r="E2024" t="s">
        <v>2063</v>
      </c>
      <c r="F2024" t="s">
        <v>29</v>
      </c>
      <c r="G2024">
        <v>525.28</v>
      </c>
      <c r="H2024" t="s">
        <v>2060</v>
      </c>
      <c r="I2024" t="str">
        <f>VLOOKUP(B2024,Customers!A:G,7,FALSE)</f>
        <v>SME</v>
      </c>
      <c r="Q2024" t="str">
        <f>IF(COUNTIF(Customers!$A$2:$A$1001,B2024)&gt;0,"Valid","Invalid")</f>
        <v>Valid</v>
      </c>
      <c r="R2024" t="str">
        <f>IF(COUNTIF(Branches!$A$2:$A$11,F2024)&gt;0,"Valid","Invalid")</f>
        <v>Valid</v>
      </c>
    </row>
    <row r="2025" spans="1:18" x14ac:dyDescent="0.25">
      <c r="A2025" t="s">
        <v>4096</v>
      </c>
      <c r="B2025" t="s">
        <v>150</v>
      </c>
      <c r="C2025" s="8">
        <v>46172</v>
      </c>
      <c r="D2025" t="s">
        <v>2058</v>
      </c>
      <c r="E2025" t="s">
        <v>2063</v>
      </c>
      <c r="F2025" t="s">
        <v>29</v>
      </c>
      <c r="G2025">
        <v>1012.72</v>
      </c>
      <c r="H2025" t="s">
        <v>2060</v>
      </c>
      <c r="I2025" t="str">
        <f>VLOOKUP(B2025,Customers!A:G,7,FALSE)</f>
        <v>Corporate</v>
      </c>
      <c r="Q2025" t="str">
        <f>IF(COUNTIF(Customers!$A$2:$A$1001,B2025)&gt;0,"Valid","Invalid")</f>
        <v>Valid</v>
      </c>
      <c r="R2025" t="str">
        <f>IF(COUNTIF(Branches!$A$2:$A$11,F2025)&gt;0,"Valid","Invalid")</f>
        <v>Valid</v>
      </c>
    </row>
    <row r="2026" spans="1:18" x14ac:dyDescent="0.25">
      <c r="A2026" t="s">
        <v>4097</v>
      </c>
      <c r="B2026" t="s">
        <v>935</v>
      </c>
      <c r="C2026" s="8">
        <v>46234</v>
      </c>
      <c r="D2026" t="s">
        <v>2058</v>
      </c>
      <c r="E2026" t="s">
        <v>2063</v>
      </c>
      <c r="F2026" t="s">
        <v>29</v>
      </c>
      <c r="G2026">
        <v>853.03</v>
      </c>
      <c r="H2026" t="s">
        <v>2060</v>
      </c>
      <c r="I2026" t="str">
        <f>VLOOKUP(B2026,Customers!A:G,7,FALSE)</f>
        <v>Individual</v>
      </c>
      <c r="Q2026" t="str">
        <f>IF(COUNTIF(Customers!$A$2:$A$1001,B2026)&gt;0,"Valid","Invalid")</f>
        <v>Valid</v>
      </c>
      <c r="R2026" t="str">
        <f>IF(COUNTIF(Branches!$A$2:$A$11,F2026)&gt;0,"Valid","Invalid")</f>
        <v>Valid</v>
      </c>
    </row>
    <row r="2027" spans="1:18" x14ac:dyDescent="0.25">
      <c r="A2027" t="s">
        <v>4098</v>
      </c>
      <c r="B2027" t="s">
        <v>561</v>
      </c>
      <c r="C2027" s="8">
        <v>46220</v>
      </c>
      <c r="D2027" t="s">
        <v>2058</v>
      </c>
      <c r="E2027" t="s">
        <v>2063</v>
      </c>
      <c r="F2027" t="s">
        <v>53</v>
      </c>
      <c r="G2027">
        <v>2007.85</v>
      </c>
      <c r="H2027" t="s">
        <v>2060</v>
      </c>
      <c r="I2027" t="str">
        <f>VLOOKUP(B2027,Customers!A:G,7,FALSE)</f>
        <v>Student</v>
      </c>
      <c r="Q2027" t="str">
        <f>IF(COUNTIF(Customers!$A$2:$A$1001,B2027)&gt;0,"Valid","Invalid")</f>
        <v>Valid</v>
      </c>
      <c r="R2027" t="str">
        <f>IF(COUNTIF(Branches!$A$2:$A$11,F2027)&gt;0,"Valid","Invalid")</f>
        <v>Valid</v>
      </c>
    </row>
    <row r="2028" spans="1:18" x14ac:dyDescent="0.25">
      <c r="A2028" t="s">
        <v>4099</v>
      </c>
      <c r="B2028" t="s">
        <v>91</v>
      </c>
      <c r="C2028" s="8">
        <v>46211</v>
      </c>
      <c r="D2028" t="s">
        <v>2067</v>
      </c>
      <c r="E2028" t="s">
        <v>2076</v>
      </c>
      <c r="F2028" t="s">
        <v>11</v>
      </c>
      <c r="G2028">
        <v>502.57</v>
      </c>
      <c r="H2028" t="s">
        <v>2060</v>
      </c>
      <c r="I2028" t="str">
        <f>VLOOKUP(B2028,Customers!A:G,7,FALSE)</f>
        <v>Individual</v>
      </c>
      <c r="Q2028" t="str">
        <f>IF(COUNTIF(Customers!$A$2:$A$1001,B2028)&gt;0,"Valid","Invalid")</f>
        <v>Valid</v>
      </c>
      <c r="R2028" t="str">
        <f>IF(COUNTIF(Branches!$A$2:$A$11,F2028)&gt;0,"Valid","Invalid")</f>
        <v>Valid</v>
      </c>
    </row>
    <row r="2029" spans="1:18" x14ac:dyDescent="0.25">
      <c r="A2029" t="s">
        <v>4100</v>
      </c>
      <c r="B2029" t="s">
        <v>808</v>
      </c>
      <c r="C2029" s="8">
        <v>46065</v>
      </c>
      <c r="D2029" t="s">
        <v>2058</v>
      </c>
      <c r="E2029" t="s">
        <v>2073</v>
      </c>
      <c r="F2029" t="s">
        <v>16</v>
      </c>
      <c r="G2029">
        <v>240.24</v>
      </c>
      <c r="H2029" t="s">
        <v>2060</v>
      </c>
      <c r="I2029" t="str">
        <f>VLOOKUP(B2029,Customers!A:G,7,FALSE)</f>
        <v>Individual</v>
      </c>
      <c r="Q2029" t="str">
        <f>IF(COUNTIF(Customers!$A$2:$A$1001,B2029)&gt;0,"Valid","Invalid")</f>
        <v>Valid</v>
      </c>
      <c r="R2029" t="str">
        <f>IF(COUNTIF(Branches!$A$2:$A$11,F2029)&gt;0,"Valid","Invalid")</f>
        <v>Valid</v>
      </c>
    </row>
    <row r="2030" spans="1:18" x14ac:dyDescent="0.25">
      <c r="A2030" t="s">
        <v>4101</v>
      </c>
      <c r="B2030" t="s">
        <v>101</v>
      </c>
      <c r="C2030" s="8">
        <v>46199</v>
      </c>
      <c r="D2030" t="s">
        <v>2062</v>
      </c>
      <c r="E2030" t="s">
        <v>2076</v>
      </c>
      <c r="F2030" t="s">
        <v>29</v>
      </c>
      <c r="G2030">
        <v>1163.73</v>
      </c>
      <c r="H2030" t="s">
        <v>2060</v>
      </c>
      <c r="I2030" t="str">
        <f>VLOOKUP(B2030,Customers!A:G,7,FALSE)</f>
        <v>Individual</v>
      </c>
      <c r="Q2030" t="str">
        <f>IF(COUNTIF(Customers!$A$2:$A$1001,B2030)&gt;0,"Valid","Invalid")</f>
        <v>Valid</v>
      </c>
      <c r="R2030" t="str">
        <f>IF(COUNTIF(Branches!$A$2:$A$11,F2030)&gt;0,"Valid","Invalid")</f>
        <v>Valid</v>
      </c>
    </row>
    <row r="2031" spans="1:18" x14ac:dyDescent="0.25">
      <c r="A2031" t="s">
        <v>4102</v>
      </c>
      <c r="B2031" t="s">
        <v>1029</v>
      </c>
      <c r="C2031" s="8">
        <v>46051</v>
      </c>
      <c r="D2031" t="s">
        <v>2070</v>
      </c>
      <c r="E2031" t="s">
        <v>2073</v>
      </c>
      <c r="F2031" t="s">
        <v>35</v>
      </c>
      <c r="G2031">
        <v>503.95</v>
      </c>
      <c r="H2031" t="s">
        <v>2060</v>
      </c>
      <c r="I2031" t="str">
        <f>VLOOKUP(B2031,Customers!A:G,7,FALSE)</f>
        <v>Individual</v>
      </c>
      <c r="Q2031" t="str">
        <f>IF(COUNTIF(Customers!$A$2:$A$1001,B2031)&gt;0,"Valid","Invalid")</f>
        <v>Valid</v>
      </c>
      <c r="R2031" t="str">
        <f>IF(COUNTIF(Branches!$A$2:$A$11,F2031)&gt;0,"Valid","Invalid")</f>
        <v>Valid</v>
      </c>
    </row>
    <row r="2032" spans="1:18" x14ac:dyDescent="0.25">
      <c r="A2032" t="s">
        <v>4103</v>
      </c>
      <c r="B2032" t="s">
        <v>722</v>
      </c>
      <c r="C2032" s="8">
        <v>46128</v>
      </c>
      <c r="D2032" t="s">
        <v>2058</v>
      </c>
      <c r="E2032" t="s">
        <v>2068</v>
      </c>
      <c r="F2032" t="s">
        <v>29</v>
      </c>
      <c r="G2032">
        <v>1778.78</v>
      </c>
      <c r="H2032" t="s">
        <v>2060</v>
      </c>
      <c r="I2032" t="str">
        <f>VLOOKUP(B2032,Customers!A:G,7,FALSE)</f>
        <v>SME</v>
      </c>
      <c r="Q2032" t="str">
        <f>IF(COUNTIF(Customers!$A$2:$A$1001,B2032)&gt;0,"Valid","Invalid")</f>
        <v>Valid</v>
      </c>
      <c r="R2032" t="str">
        <f>IF(COUNTIF(Branches!$A$2:$A$11,F2032)&gt;0,"Valid","Invalid")</f>
        <v>Valid</v>
      </c>
    </row>
    <row r="2033" spans="1:18" x14ac:dyDescent="0.25">
      <c r="A2033" t="s">
        <v>4104</v>
      </c>
      <c r="B2033" t="s">
        <v>310</v>
      </c>
      <c r="C2033" s="8">
        <v>46142</v>
      </c>
      <c r="D2033" t="s">
        <v>2065</v>
      </c>
      <c r="E2033" t="s">
        <v>2076</v>
      </c>
      <c r="F2033" t="s">
        <v>39</v>
      </c>
      <c r="G2033">
        <v>818.55</v>
      </c>
      <c r="H2033" t="s">
        <v>2060</v>
      </c>
      <c r="I2033" t="str">
        <f>VLOOKUP(B2033,Customers!A:G,7,FALSE)</f>
        <v>Individual</v>
      </c>
      <c r="Q2033" t="str">
        <f>IF(COUNTIF(Customers!$A$2:$A$1001,B2033)&gt;0,"Valid","Invalid")</f>
        <v>Valid</v>
      </c>
      <c r="R2033" t="str">
        <f>IF(COUNTIF(Branches!$A$2:$A$11,F2033)&gt;0,"Valid","Invalid")</f>
        <v>Valid</v>
      </c>
    </row>
    <row r="2034" spans="1:18" x14ac:dyDescent="0.25">
      <c r="A2034" t="s">
        <v>4105</v>
      </c>
      <c r="B2034" t="s">
        <v>540</v>
      </c>
      <c r="C2034" s="8">
        <v>46103</v>
      </c>
      <c r="D2034" t="s">
        <v>2070</v>
      </c>
      <c r="E2034" t="s">
        <v>2059</v>
      </c>
      <c r="F2034" t="s">
        <v>47</v>
      </c>
      <c r="G2034">
        <v>1563.7</v>
      </c>
      <c r="H2034" t="s">
        <v>2060</v>
      </c>
      <c r="I2034" t="str">
        <f>VLOOKUP(B2034,Customers!A:G,7,FALSE)</f>
        <v>Individual</v>
      </c>
      <c r="Q2034" t="str">
        <f>IF(COUNTIF(Customers!$A$2:$A$1001,B2034)&gt;0,"Valid","Invalid")</f>
        <v>Valid</v>
      </c>
      <c r="R2034" t="str">
        <f>IF(COUNTIF(Branches!$A$2:$A$11,F2034)&gt;0,"Valid","Invalid")</f>
        <v>Valid</v>
      </c>
    </row>
    <row r="2035" spans="1:18" x14ac:dyDescent="0.25">
      <c r="A2035" t="s">
        <v>4106</v>
      </c>
      <c r="B2035" t="s">
        <v>700</v>
      </c>
      <c r="C2035" s="8">
        <v>46053</v>
      </c>
      <c r="D2035" t="s">
        <v>2062</v>
      </c>
      <c r="E2035" t="s">
        <v>2063</v>
      </c>
      <c r="F2035" t="s">
        <v>45</v>
      </c>
      <c r="G2035">
        <v>294.62</v>
      </c>
      <c r="H2035" t="s">
        <v>2060</v>
      </c>
      <c r="I2035" t="str">
        <f>VLOOKUP(B2035,Customers!A:G,7,FALSE)</f>
        <v>Student</v>
      </c>
      <c r="Q2035" t="str">
        <f>IF(COUNTIF(Customers!$A$2:$A$1001,B2035)&gt;0,"Valid","Invalid")</f>
        <v>Valid</v>
      </c>
      <c r="R2035" t="str">
        <f>IF(COUNTIF(Branches!$A$2:$A$11,F2035)&gt;0,"Valid","Invalid")</f>
        <v>Valid</v>
      </c>
    </row>
    <row r="2036" spans="1:18" x14ac:dyDescent="0.25">
      <c r="A2036" t="s">
        <v>4107</v>
      </c>
      <c r="B2036" t="s">
        <v>400</v>
      </c>
      <c r="C2036" s="8">
        <v>46203</v>
      </c>
      <c r="D2036" t="s">
        <v>2067</v>
      </c>
      <c r="E2036" t="s">
        <v>2068</v>
      </c>
      <c r="F2036" t="s">
        <v>29</v>
      </c>
      <c r="G2036">
        <v>937.66</v>
      </c>
      <c r="H2036" t="s">
        <v>2060</v>
      </c>
      <c r="I2036" t="str">
        <f>VLOOKUP(B2036,Customers!A:G,7,FALSE)</f>
        <v>Individual</v>
      </c>
      <c r="Q2036" t="str">
        <f>IF(COUNTIF(Customers!$A$2:$A$1001,B2036)&gt;0,"Valid","Invalid")</f>
        <v>Valid</v>
      </c>
      <c r="R2036" t="str">
        <f>IF(COUNTIF(Branches!$A$2:$A$11,F2036)&gt;0,"Valid","Invalid")</f>
        <v>Valid</v>
      </c>
    </row>
    <row r="2037" spans="1:18" x14ac:dyDescent="0.25">
      <c r="A2037" t="s">
        <v>4108</v>
      </c>
      <c r="B2037" t="s">
        <v>182</v>
      </c>
      <c r="C2037" s="8">
        <v>46184</v>
      </c>
      <c r="D2037" t="s">
        <v>2065</v>
      </c>
      <c r="E2037" t="s">
        <v>2073</v>
      </c>
      <c r="F2037" t="s">
        <v>16</v>
      </c>
      <c r="G2037">
        <v>403.73</v>
      </c>
      <c r="H2037" t="s">
        <v>2060</v>
      </c>
      <c r="I2037" t="str">
        <f>VLOOKUP(B2037,Customers!A:G,7,FALSE)</f>
        <v>Individual</v>
      </c>
      <c r="Q2037" t="str">
        <f>IF(COUNTIF(Customers!$A$2:$A$1001,B2037)&gt;0,"Valid","Invalid")</f>
        <v>Valid</v>
      </c>
      <c r="R2037" t="str">
        <f>IF(COUNTIF(Branches!$A$2:$A$11,F2037)&gt;0,"Valid","Invalid")</f>
        <v>Valid</v>
      </c>
    </row>
    <row r="2038" spans="1:18" x14ac:dyDescent="0.25">
      <c r="A2038" t="s">
        <v>4109</v>
      </c>
      <c r="B2038" t="s">
        <v>981</v>
      </c>
      <c r="C2038" s="8">
        <v>46150</v>
      </c>
      <c r="D2038" t="s">
        <v>2065</v>
      </c>
      <c r="E2038" t="s">
        <v>2059</v>
      </c>
      <c r="F2038" t="s">
        <v>29</v>
      </c>
      <c r="G2038">
        <v>239.76</v>
      </c>
      <c r="H2038" t="s">
        <v>2060</v>
      </c>
      <c r="I2038" t="str">
        <f>VLOOKUP(B2038,Customers!A:G,7,FALSE)</f>
        <v>Individual</v>
      </c>
      <c r="Q2038" t="str">
        <f>IF(COUNTIF(Customers!$A$2:$A$1001,B2038)&gt;0,"Valid","Invalid")</f>
        <v>Valid</v>
      </c>
      <c r="R2038" t="str">
        <f>IF(COUNTIF(Branches!$A$2:$A$11,F2038)&gt;0,"Valid","Invalid")</f>
        <v>Valid</v>
      </c>
    </row>
    <row r="2039" spans="1:18" x14ac:dyDescent="0.25">
      <c r="A2039" t="s">
        <v>4110</v>
      </c>
      <c r="B2039" t="s">
        <v>246</v>
      </c>
      <c r="C2039" s="8">
        <v>46060</v>
      </c>
      <c r="D2039" t="s">
        <v>2065</v>
      </c>
      <c r="E2039" t="s">
        <v>2063</v>
      </c>
      <c r="F2039" t="s">
        <v>47</v>
      </c>
      <c r="G2039">
        <v>343.4</v>
      </c>
      <c r="H2039" t="s">
        <v>2115</v>
      </c>
      <c r="I2039" t="str">
        <f>VLOOKUP(B2039,Customers!A:G,7,FALSE)</f>
        <v>SME</v>
      </c>
      <c r="Q2039" t="str">
        <f>IF(COUNTIF(Customers!$A$2:$A$1001,B2039)&gt;0,"Valid","Invalid")</f>
        <v>Valid</v>
      </c>
      <c r="R2039" t="str">
        <f>IF(COUNTIF(Branches!$A$2:$A$11,F2039)&gt;0,"Valid","Invalid")</f>
        <v>Valid</v>
      </c>
    </row>
    <row r="2040" spans="1:18" x14ac:dyDescent="0.25">
      <c r="A2040" t="s">
        <v>4111</v>
      </c>
      <c r="B2040" t="s">
        <v>324</v>
      </c>
      <c r="C2040" s="8">
        <v>46207</v>
      </c>
      <c r="D2040" t="s">
        <v>2065</v>
      </c>
      <c r="E2040" t="s">
        <v>2068</v>
      </c>
      <c r="F2040" t="s">
        <v>53</v>
      </c>
      <c r="G2040">
        <v>471.31</v>
      </c>
      <c r="H2040" t="s">
        <v>2060</v>
      </c>
      <c r="I2040" t="str">
        <f>VLOOKUP(B2040,Customers!A:G,7,FALSE)</f>
        <v>Individual</v>
      </c>
      <c r="Q2040" t="str">
        <f>IF(COUNTIF(Customers!$A$2:$A$1001,B2040)&gt;0,"Valid","Invalid")</f>
        <v>Valid</v>
      </c>
      <c r="R2040" t="str">
        <f>IF(COUNTIF(Branches!$A$2:$A$11,F2040)&gt;0,"Valid","Invalid")</f>
        <v>Valid</v>
      </c>
    </row>
    <row r="2041" spans="1:18" x14ac:dyDescent="0.25">
      <c r="A2041" t="s">
        <v>4112</v>
      </c>
      <c r="B2041" t="s">
        <v>37</v>
      </c>
      <c r="C2041" s="8">
        <v>46123</v>
      </c>
      <c r="D2041" t="s">
        <v>2062</v>
      </c>
      <c r="E2041" t="s">
        <v>2063</v>
      </c>
      <c r="F2041" t="s">
        <v>21</v>
      </c>
      <c r="G2041">
        <v>2820.57</v>
      </c>
      <c r="H2041" t="s">
        <v>2060</v>
      </c>
      <c r="I2041" t="str">
        <f>VLOOKUP(B2041,Customers!A:G,7,FALSE)</f>
        <v>SME</v>
      </c>
      <c r="Q2041" t="str">
        <f>IF(COUNTIF(Customers!$A$2:$A$1001,B2041)&gt;0,"Valid","Invalid")</f>
        <v>Valid</v>
      </c>
      <c r="R2041" t="str">
        <f>IF(COUNTIF(Branches!$A$2:$A$11,F2041)&gt;0,"Valid","Invalid")</f>
        <v>Valid</v>
      </c>
    </row>
    <row r="2042" spans="1:18" x14ac:dyDescent="0.25">
      <c r="A2042" t="s">
        <v>4113</v>
      </c>
      <c r="B2042" t="s">
        <v>777</v>
      </c>
      <c r="C2042" s="8">
        <v>46154</v>
      </c>
      <c r="D2042" t="s">
        <v>2058</v>
      </c>
      <c r="E2042" t="s">
        <v>2063</v>
      </c>
      <c r="F2042" t="s">
        <v>16</v>
      </c>
      <c r="G2042">
        <v>459</v>
      </c>
      <c r="H2042" t="s">
        <v>2060</v>
      </c>
      <c r="I2042" t="str">
        <f>VLOOKUP(B2042,Customers!A:G,7,FALSE)</f>
        <v>Individual</v>
      </c>
      <c r="Q2042" t="str">
        <f>IF(COUNTIF(Customers!$A$2:$A$1001,B2042)&gt;0,"Valid","Invalid")</f>
        <v>Valid</v>
      </c>
      <c r="R2042" t="str">
        <f>IF(COUNTIF(Branches!$A$2:$A$11,F2042)&gt;0,"Valid","Invalid")</f>
        <v>Valid</v>
      </c>
    </row>
    <row r="2043" spans="1:18" x14ac:dyDescent="0.25">
      <c r="A2043" t="s">
        <v>4114</v>
      </c>
      <c r="B2043" t="s">
        <v>223</v>
      </c>
      <c r="C2043" s="8">
        <v>46152</v>
      </c>
      <c r="D2043" t="s">
        <v>2058</v>
      </c>
      <c r="E2043" t="s">
        <v>2068</v>
      </c>
      <c r="F2043" t="s">
        <v>53</v>
      </c>
      <c r="G2043">
        <v>227.8</v>
      </c>
      <c r="H2043" t="s">
        <v>2060</v>
      </c>
      <c r="I2043" t="str">
        <f>VLOOKUP(B2043,Customers!A:G,7,FALSE)</f>
        <v>Student</v>
      </c>
      <c r="Q2043" t="str">
        <f>IF(COUNTIF(Customers!$A$2:$A$1001,B2043)&gt;0,"Valid","Invalid")</f>
        <v>Valid</v>
      </c>
      <c r="R2043" t="str">
        <f>IF(COUNTIF(Branches!$A$2:$A$11,F2043)&gt;0,"Valid","Invalid")</f>
        <v>Valid</v>
      </c>
    </row>
    <row r="2044" spans="1:18" x14ac:dyDescent="0.25">
      <c r="A2044" t="s">
        <v>4115</v>
      </c>
      <c r="B2044" t="s">
        <v>612</v>
      </c>
      <c r="C2044" s="8">
        <v>46034</v>
      </c>
      <c r="D2044" t="s">
        <v>2062</v>
      </c>
      <c r="E2044" t="s">
        <v>2059</v>
      </c>
      <c r="F2044" t="s">
        <v>21</v>
      </c>
      <c r="G2044">
        <v>926.56</v>
      </c>
      <c r="H2044" t="s">
        <v>2060</v>
      </c>
      <c r="I2044" t="str">
        <f>VLOOKUP(B2044,Customers!A:G,7,FALSE)</f>
        <v>SME</v>
      </c>
      <c r="Q2044" t="str">
        <f>IF(COUNTIF(Customers!$A$2:$A$1001,B2044)&gt;0,"Valid","Invalid")</f>
        <v>Valid</v>
      </c>
      <c r="R2044" t="str">
        <f>IF(COUNTIF(Branches!$A$2:$A$11,F2044)&gt;0,"Valid","Invalid")</f>
        <v>Valid</v>
      </c>
    </row>
    <row r="2045" spans="1:18" x14ac:dyDescent="0.25">
      <c r="A2045" t="s">
        <v>4116</v>
      </c>
      <c r="B2045" t="s">
        <v>635</v>
      </c>
      <c r="C2045" s="8">
        <v>46057</v>
      </c>
      <c r="D2045" t="s">
        <v>2062</v>
      </c>
      <c r="E2045" t="s">
        <v>2076</v>
      </c>
      <c r="F2045" t="s">
        <v>21</v>
      </c>
      <c r="G2045">
        <v>836.46</v>
      </c>
      <c r="H2045" t="s">
        <v>2060</v>
      </c>
      <c r="I2045" t="str">
        <f>VLOOKUP(B2045,Customers!A:G,7,FALSE)</f>
        <v>SME</v>
      </c>
      <c r="Q2045" t="str">
        <f>IF(COUNTIF(Customers!$A$2:$A$1001,B2045)&gt;0,"Valid","Invalid")</f>
        <v>Valid</v>
      </c>
      <c r="R2045" t="str">
        <f>IF(COUNTIF(Branches!$A$2:$A$11,F2045)&gt;0,"Valid","Invalid")</f>
        <v>Valid</v>
      </c>
    </row>
    <row r="2046" spans="1:18" x14ac:dyDescent="0.25">
      <c r="A2046" t="s">
        <v>4117</v>
      </c>
      <c r="B2046" t="s">
        <v>502</v>
      </c>
      <c r="C2046" s="8">
        <v>46220</v>
      </c>
      <c r="D2046" t="s">
        <v>2062</v>
      </c>
      <c r="E2046" t="s">
        <v>2073</v>
      </c>
      <c r="F2046" t="s">
        <v>27</v>
      </c>
      <c r="G2046">
        <v>496.68</v>
      </c>
      <c r="H2046" t="s">
        <v>2060</v>
      </c>
      <c r="I2046" t="str">
        <f>VLOOKUP(B2046,Customers!A:G,7,FALSE)</f>
        <v>SME</v>
      </c>
      <c r="Q2046" t="str">
        <f>IF(COUNTIF(Customers!$A$2:$A$1001,B2046)&gt;0,"Valid","Invalid")</f>
        <v>Valid</v>
      </c>
      <c r="R2046" t="str">
        <f>IF(COUNTIF(Branches!$A$2:$A$11,F2046)&gt;0,"Valid","Invalid")</f>
        <v>Valid</v>
      </c>
    </row>
    <row r="2047" spans="1:18" x14ac:dyDescent="0.25">
      <c r="A2047" t="s">
        <v>4118</v>
      </c>
      <c r="B2047" t="s">
        <v>170</v>
      </c>
      <c r="C2047" s="8">
        <v>46132</v>
      </c>
      <c r="D2047" t="s">
        <v>2070</v>
      </c>
      <c r="E2047" t="s">
        <v>2059</v>
      </c>
      <c r="F2047" t="s">
        <v>39</v>
      </c>
      <c r="G2047">
        <v>691.44</v>
      </c>
      <c r="H2047" t="s">
        <v>2060</v>
      </c>
      <c r="I2047" t="str">
        <f>VLOOKUP(B2047,Customers!A:G,7,FALSE)</f>
        <v>Individual</v>
      </c>
      <c r="Q2047" t="str">
        <f>IF(COUNTIF(Customers!$A$2:$A$1001,B2047)&gt;0,"Valid","Invalid")</f>
        <v>Valid</v>
      </c>
      <c r="R2047" t="str">
        <f>IF(COUNTIF(Branches!$A$2:$A$11,F2047)&gt;0,"Valid","Invalid")</f>
        <v>Valid</v>
      </c>
    </row>
    <row r="2048" spans="1:18" x14ac:dyDescent="0.25">
      <c r="A2048" t="s">
        <v>4119</v>
      </c>
      <c r="B2048" t="s">
        <v>873</v>
      </c>
      <c r="C2048" s="8">
        <v>46094</v>
      </c>
      <c r="D2048" t="s">
        <v>2067</v>
      </c>
      <c r="E2048" t="s">
        <v>2059</v>
      </c>
      <c r="F2048" t="s">
        <v>29</v>
      </c>
      <c r="G2048">
        <v>2156.4699999999998</v>
      </c>
      <c r="H2048" t="s">
        <v>2060</v>
      </c>
      <c r="I2048" t="str">
        <f>VLOOKUP(B2048,Customers!A:G,7,FALSE)</f>
        <v>Individual</v>
      </c>
      <c r="Q2048" t="str">
        <f>IF(COUNTIF(Customers!$A$2:$A$1001,B2048)&gt;0,"Valid","Invalid")</f>
        <v>Valid</v>
      </c>
      <c r="R2048" t="str">
        <f>IF(COUNTIF(Branches!$A$2:$A$11,F2048)&gt;0,"Valid","Invalid")</f>
        <v>Valid</v>
      </c>
    </row>
    <row r="2049" spans="1:18" x14ac:dyDescent="0.25">
      <c r="A2049" t="s">
        <v>4120</v>
      </c>
      <c r="B2049" t="s">
        <v>847</v>
      </c>
      <c r="C2049" s="8">
        <v>46171</v>
      </c>
      <c r="D2049" t="s">
        <v>2070</v>
      </c>
      <c r="E2049" t="s">
        <v>2063</v>
      </c>
      <c r="F2049" t="s">
        <v>53</v>
      </c>
      <c r="G2049">
        <v>1588.75</v>
      </c>
      <c r="H2049" t="s">
        <v>2060</v>
      </c>
      <c r="I2049" t="str">
        <f>VLOOKUP(B2049,Customers!A:G,7,FALSE)</f>
        <v>Individual</v>
      </c>
      <c r="Q2049" t="str">
        <f>IF(COUNTIF(Customers!$A$2:$A$1001,B2049)&gt;0,"Valid","Invalid")</f>
        <v>Valid</v>
      </c>
      <c r="R2049" t="str">
        <f>IF(COUNTIF(Branches!$A$2:$A$11,F2049)&gt;0,"Valid","Invalid")</f>
        <v>Valid</v>
      </c>
    </row>
    <row r="2050" spans="1:18" x14ac:dyDescent="0.25">
      <c r="A2050" t="s">
        <v>4121</v>
      </c>
      <c r="B2050" t="s">
        <v>207</v>
      </c>
      <c r="C2050" s="8">
        <v>46132</v>
      </c>
      <c r="D2050" t="s">
        <v>2062</v>
      </c>
      <c r="E2050" t="s">
        <v>2063</v>
      </c>
      <c r="F2050" t="s">
        <v>45</v>
      </c>
      <c r="G2050">
        <v>1457.14</v>
      </c>
      <c r="H2050" t="s">
        <v>2107</v>
      </c>
      <c r="I2050" t="str">
        <f>VLOOKUP(B2050,Customers!A:G,7,FALSE)</f>
        <v>Individual</v>
      </c>
      <c r="Q2050" t="str">
        <f>IF(COUNTIF(Customers!$A$2:$A$1001,B2050)&gt;0,"Valid","Invalid")</f>
        <v>Valid</v>
      </c>
      <c r="R2050" t="str">
        <f>IF(COUNTIF(Branches!$A$2:$A$11,F2050)&gt;0,"Valid","Invalid")</f>
        <v>Valid</v>
      </c>
    </row>
    <row r="2051" spans="1:18" x14ac:dyDescent="0.25">
      <c r="A2051" t="s">
        <v>4122</v>
      </c>
      <c r="B2051" t="s">
        <v>250</v>
      </c>
      <c r="C2051" s="8">
        <v>46083</v>
      </c>
      <c r="D2051" t="s">
        <v>2065</v>
      </c>
      <c r="E2051" t="s">
        <v>2068</v>
      </c>
      <c r="F2051" t="s">
        <v>53</v>
      </c>
      <c r="G2051">
        <v>248.72</v>
      </c>
      <c r="H2051" t="s">
        <v>2115</v>
      </c>
      <c r="I2051" t="str">
        <f>VLOOKUP(B2051,Customers!A:G,7,FALSE)</f>
        <v>Individual</v>
      </c>
      <c r="Q2051" t="str">
        <f>IF(COUNTIF(Customers!$A$2:$A$1001,B2051)&gt;0,"Valid","Invalid")</f>
        <v>Valid</v>
      </c>
      <c r="R2051" t="str">
        <f>IF(COUNTIF(Branches!$A$2:$A$11,F2051)&gt;0,"Valid","Invalid")</f>
        <v>Valid</v>
      </c>
    </row>
    <row r="2052" spans="1:18" x14ac:dyDescent="0.25">
      <c r="A2052" t="s">
        <v>4123</v>
      </c>
      <c r="B2052" t="s">
        <v>1011</v>
      </c>
      <c r="C2052" s="8">
        <v>46185</v>
      </c>
      <c r="D2052" t="s">
        <v>2058</v>
      </c>
      <c r="E2052" t="s">
        <v>2059</v>
      </c>
      <c r="F2052" t="s">
        <v>35</v>
      </c>
      <c r="G2052">
        <v>14567.5</v>
      </c>
      <c r="H2052" t="s">
        <v>2060</v>
      </c>
      <c r="I2052" t="str">
        <f>VLOOKUP(B2052,Customers!A:G,7,FALSE)</f>
        <v>Individual</v>
      </c>
      <c r="Q2052" t="str">
        <f>IF(COUNTIF(Customers!$A$2:$A$1001,B2052)&gt;0,"Valid","Invalid")</f>
        <v>Valid</v>
      </c>
      <c r="R2052" t="str">
        <f>IF(COUNTIF(Branches!$A$2:$A$11,F2052)&gt;0,"Valid","Invalid")</f>
        <v>Valid</v>
      </c>
    </row>
    <row r="2053" spans="1:18" x14ac:dyDescent="0.25">
      <c r="A2053" t="s">
        <v>4124</v>
      </c>
      <c r="B2053" t="s">
        <v>568</v>
      </c>
      <c r="C2053" s="8">
        <v>46070</v>
      </c>
      <c r="D2053" t="s">
        <v>2058</v>
      </c>
      <c r="E2053" t="s">
        <v>2063</v>
      </c>
      <c r="F2053" t="s">
        <v>45</v>
      </c>
      <c r="G2053">
        <v>2324.48</v>
      </c>
      <c r="H2053" t="s">
        <v>2060</v>
      </c>
      <c r="I2053" t="str">
        <f>VLOOKUP(B2053,Customers!A:G,7,FALSE)</f>
        <v>Individual</v>
      </c>
      <c r="Q2053" t="str">
        <f>IF(COUNTIF(Customers!$A$2:$A$1001,B2053)&gt;0,"Valid","Invalid")</f>
        <v>Valid</v>
      </c>
      <c r="R2053" t="str">
        <f>IF(COUNTIF(Branches!$A$2:$A$11,F2053)&gt;0,"Valid","Invalid")</f>
        <v>Valid</v>
      </c>
    </row>
    <row r="2054" spans="1:18" x14ac:dyDescent="0.25">
      <c r="A2054" t="s">
        <v>4125</v>
      </c>
      <c r="B2054" t="s">
        <v>864</v>
      </c>
      <c r="C2054" s="8">
        <v>46165</v>
      </c>
      <c r="D2054" t="s">
        <v>2062</v>
      </c>
      <c r="E2054" t="s">
        <v>2063</v>
      </c>
      <c r="F2054" t="s">
        <v>35</v>
      </c>
      <c r="G2054">
        <v>1362.43</v>
      </c>
      <c r="H2054" t="s">
        <v>2060</v>
      </c>
      <c r="I2054" t="str">
        <f>VLOOKUP(B2054,Customers!A:G,7,FALSE)</f>
        <v>Individual</v>
      </c>
      <c r="Q2054" t="str">
        <f>IF(COUNTIF(Customers!$A$2:$A$1001,B2054)&gt;0,"Valid","Invalid")</f>
        <v>Valid</v>
      </c>
      <c r="R2054" t="str">
        <f>IF(COUNTIF(Branches!$A$2:$A$11,F2054)&gt;0,"Valid","Invalid")</f>
        <v>Valid</v>
      </c>
    </row>
    <row r="2055" spans="1:18" x14ac:dyDescent="0.25">
      <c r="A2055" t="s">
        <v>4126</v>
      </c>
      <c r="B2055" t="s">
        <v>540</v>
      </c>
      <c r="C2055" s="8">
        <v>46093</v>
      </c>
      <c r="D2055" t="s">
        <v>2067</v>
      </c>
      <c r="E2055" t="s">
        <v>2059</v>
      </c>
      <c r="F2055" t="s">
        <v>29</v>
      </c>
      <c r="G2055">
        <v>253.58</v>
      </c>
      <c r="H2055" t="s">
        <v>2060</v>
      </c>
      <c r="I2055" t="str">
        <f>VLOOKUP(B2055,Customers!A:G,7,FALSE)</f>
        <v>Individual</v>
      </c>
      <c r="Q2055" t="str">
        <f>IF(COUNTIF(Customers!$A$2:$A$1001,B2055)&gt;0,"Valid","Invalid")</f>
        <v>Valid</v>
      </c>
      <c r="R2055" t="str">
        <f>IF(COUNTIF(Branches!$A$2:$A$11,F2055)&gt;0,"Valid","Invalid")</f>
        <v>Valid</v>
      </c>
    </row>
    <row r="2056" spans="1:18" x14ac:dyDescent="0.25">
      <c r="A2056" t="s">
        <v>4127</v>
      </c>
      <c r="B2056" t="s">
        <v>610</v>
      </c>
      <c r="C2056" s="8">
        <v>46165</v>
      </c>
      <c r="D2056" t="s">
        <v>2058</v>
      </c>
      <c r="E2056" t="s">
        <v>2059</v>
      </c>
      <c r="F2056" t="s">
        <v>47</v>
      </c>
      <c r="G2056">
        <v>2095.88</v>
      </c>
      <c r="H2056" t="s">
        <v>2060</v>
      </c>
      <c r="I2056" t="str">
        <f>VLOOKUP(B2056,Customers!A:G,7,FALSE)</f>
        <v>Student</v>
      </c>
      <c r="Q2056" t="str">
        <f>IF(COUNTIF(Customers!$A$2:$A$1001,B2056)&gt;0,"Valid","Invalid")</f>
        <v>Valid</v>
      </c>
      <c r="R2056" t="str">
        <f>IF(COUNTIF(Branches!$A$2:$A$11,F2056)&gt;0,"Valid","Invalid")</f>
        <v>Valid</v>
      </c>
    </row>
    <row r="2057" spans="1:18" x14ac:dyDescent="0.25">
      <c r="A2057" t="s">
        <v>4128</v>
      </c>
      <c r="B2057" t="s">
        <v>638</v>
      </c>
      <c r="C2057" s="8">
        <v>46259</v>
      </c>
      <c r="D2057" t="s">
        <v>2065</v>
      </c>
      <c r="E2057" t="s">
        <v>2076</v>
      </c>
      <c r="F2057" t="s">
        <v>29</v>
      </c>
      <c r="G2057">
        <v>492.19</v>
      </c>
      <c r="H2057" t="s">
        <v>2060</v>
      </c>
      <c r="I2057" t="str">
        <f>VLOOKUP(B2057,Customers!A:G,7,FALSE)</f>
        <v>Student</v>
      </c>
      <c r="Q2057" t="str">
        <f>IF(COUNTIF(Customers!$A$2:$A$1001,B2057)&gt;0,"Valid","Invalid")</f>
        <v>Valid</v>
      </c>
      <c r="R2057" t="str">
        <f>IF(COUNTIF(Branches!$A$2:$A$11,F2057)&gt;0,"Valid","Invalid")</f>
        <v>Valid</v>
      </c>
    </row>
    <row r="2058" spans="1:18" x14ac:dyDescent="0.25">
      <c r="A2058" t="s">
        <v>4129</v>
      </c>
      <c r="B2058" t="s">
        <v>61</v>
      </c>
      <c r="C2058" s="8">
        <v>46156</v>
      </c>
      <c r="D2058" t="s">
        <v>2067</v>
      </c>
      <c r="E2058" t="s">
        <v>2059</v>
      </c>
      <c r="F2058" t="s">
        <v>16</v>
      </c>
      <c r="G2058">
        <v>668.96</v>
      </c>
      <c r="H2058" t="s">
        <v>2060</v>
      </c>
      <c r="I2058" t="str">
        <f>VLOOKUP(B2058,Customers!A:G,7,FALSE)</f>
        <v>Student</v>
      </c>
      <c r="Q2058" t="str">
        <f>IF(COUNTIF(Customers!$A$2:$A$1001,B2058)&gt;0,"Valid","Invalid")</f>
        <v>Valid</v>
      </c>
      <c r="R2058" t="str">
        <f>IF(COUNTIF(Branches!$A$2:$A$11,F2058)&gt;0,"Valid","Invalid")</f>
        <v>Valid</v>
      </c>
    </row>
    <row r="2059" spans="1:18" x14ac:dyDescent="0.25">
      <c r="A2059" t="s">
        <v>4130</v>
      </c>
      <c r="B2059" t="s">
        <v>104</v>
      </c>
      <c r="C2059" s="8">
        <v>46261</v>
      </c>
      <c r="D2059" t="s">
        <v>2065</v>
      </c>
      <c r="E2059" t="s">
        <v>2063</v>
      </c>
      <c r="F2059" t="s">
        <v>47</v>
      </c>
      <c r="G2059">
        <v>151.29</v>
      </c>
      <c r="H2059" t="s">
        <v>2060</v>
      </c>
      <c r="I2059" t="str">
        <f>VLOOKUP(B2059,Customers!A:G,7,FALSE)</f>
        <v>Student</v>
      </c>
      <c r="Q2059" t="str">
        <f>IF(COUNTIF(Customers!$A$2:$A$1001,B2059)&gt;0,"Valid","Invalid")</f>
        <v>Valid</v>
      </c>
      <c r="R2059" t="str">
        <f>IF(COUNTIF(Branches!$A$2:$A$11,F2059)&gt;0,"Valid","Invalid")</f>
        <v>Valid</v>
      </c>
    </row>
    <row r="2060" spans="1:18" x14ac:dyDescent="0.25">
      <c r="A2060" t="s">
        <v>4131</v>
      </c>
      <c r="B2060" t="s">
        <v>828</v>
      </c>
      <c r="C2060" s="8">
        <v>46231</v>
      </c>
      <c r="D2060" t="s">
        <v>2058</v>
      </c>
      <c r="E2060" t="s">
        <v>2059</v>
      </c>
      <c r="F2060" t="s">
        <v>11</v>
      </c>
      <c r="G2060">
        <v>234.75</v>
      </c>
      <c r="H2060" t="s">
        <v>2060</v>
      </c>
      <c r="I2060" t="str">
        <f>VLOOKUP(B2060,Customers!A:G,7,FALSE)</f>
        <v>Individual</v>
      </c>
      <c r="Q2060" t="str">
        <f>IF(COUNTIF(Customers!$A$2:$A$1001,B2060)&gt;0,"Valid","Invalid")</f>
        <v>Valid</v>
      </c>
      <c r="R2060" t="str">
        <f>IF(COUNTIF(Branches!$A$2:$A$11,F2060)&gt;0,"Valid","Invalid")</f>
        <v>Valid</v>
      </c>
    </row>
    <row r="2061" spans="1:18" x14ac:dyDescent="0.25">
      <c r="A2061" t="s">
        <v>4132</v>
      </c>
      <c r="B2061" t="s">
        <v>446</v>
      </c>
      <c r="C2061" s="8">
        <v>46090</v>
      </c>
      <c r="D2061" t="s">
        <v>2062</v>
      </c>
      <c r="E2061" t="s">
        <v>2073</v>
      </c>
      <c r="F2061" t="s">
        <v>47</v>
      </c>
      <c r="G2061">
        <v>1259.5999999999999</v>
      </c>
      <c r="H2061" t="s">
        <v>2060</v>
      </c>
      <c r="I2061" t="str">
        <f>VLOOKUP(B2061,Customers!A:G,7,FALSE)</f>
        <v>Corporate</v>
      </c>
      <c r="Q2061" t="str">
        <f>IF(COUNTIF(Customers!$A$2:$A$1001,B2061)&gt;0,"Valid","Invalid")</f>
        <v>Valid</v>
      </c>
      <c r="R2061" t="str">
        <f>IF(COUNTIF(Branches!$A$2:$A$11,F2061)&gt;0,"Valid","Invalid")</f>
        <v>Valid</v>
      </c>
    </row>
    <row r="2062" spans="1:18" x14ac:dyDescent="0.25">
      <c r="A2062" t="s">
        <v>4133</v>
      </c>
      <c r="B2062" t="s">
        <v>590</v>
      </c>
      <c r="C2062" s="8">
        <v>46044</v>
      </c>
      <c r="D2062" t="s">
        <v>2065</v>
      </c>
      <c r="E2062" t="s">
        <v>2063</v>
      </c>
      <c r="F2062" t="s">
        <v>29</v>
      </c>
      <c r="G2062">
        <v>2222.16</v>
      </c>
      <c r="H2062" t="s">
        <v>2060</v>
      </c>
      <c r="I2062" t="str">
        <f>VLOOKUP(B2062,Customers!A:G,7,FALSE)</f>
        <v>SME</v>
      </c>
      <c r="Q2062" t="str">
        <f>IF(COUNTIF(Customers!$A$2:$A$1001,B2062)&gt;0,"Valid","Invalid")</f>
        <v>Valid</v>
      </c>
      <c r="R2062" t="str">
        <f>IF(COUNTIF(Branches!$A$2:$A$11,F2062)&gt;0,"Valid","Invalid")</f>
        <v>Valid</v>
      </c>
    </row>
    <row r="2063" spans="1:18" x14ac:dyDescent="0.25">
      <c r="A2063" t="s">
        <v>4134</v>
      </c>
      <c r="B2063" t="s">
        <v>145</v>
      </c>
      <c r="C2063" s="8">
        <v>46054</v>
      </c>
      <c r="D2063" t="s">
        <v>2058</v>
      </c>
      <c r="E2063" t="s">
        <v>2076</v>
      </c>
      <c r="F2063" t="s">
        <v>47</v>
      </c>
      <c r="G2063">
        <v>1611.47</v>
      </c>
      <c r="H2063" t="s">
        <v>2060</v>
      </c>
      <c r="I2063" t="str">
        <f>VLOOKUP(B2063,Customers!A:G,7,FALSE)</f>
        <v>Individual</v>
      </c>
      <c r="Q2063" t="str">
        <f>IF(COUNTIF(Customers!$A$2:$A$1001,B2063)&gt;0,"Valid","Invalid")</f>
        <v>Valid</v>
      </c>
      <c r="R2063" t="str">
        <f>IF(COUNTIF(Branches!$A$2:$A$11,F2063)&gt;0,"Valid","Invalid")</f>
        <v>Valid</v>
      </c>
    </row>
    <row r="2064" spans="1:18" x14ac:dyDescent="0.25">
      <c r="A2064" t="s">
        <v>4135</v>
      </c>
      <c r="B2064" t="s">
        <v>110</v>
      </c>
      <c r="C2064" s="8">
        <v>46145</v>
      </c>
      <c r="D2064" t="s">
        <v>2065</v>
      </c>
      <c r="E2064" t="s">
        <v>2076</v>
      </c>
      <c r="F2064" t="s">
        <v>29</v>
      </c>
      <c r="G2064">
        <v>1557.47</v>
      </c>
      <c r="H2064" t="s">
        <v>2060</v>
      </c>
      <c r="I2064" t="str">
        <f>VLOOKUP(B2064,Customers!A:G,7,FALSE)</f>
        <v>Individual</v>
      </c>
      <c r="Q2064" t="str">
        <f>IF(COUNTIF(Customers!$A$2:$A$1001,B2064)&gt;0,"Valid","Invalid")</f>
        <v>Valid</v>
      </c>
      <c r="R2064" t="str">
        <f>IF(COUNTIF(Branches!$A$2:$A$11,F2064)&gt;0,"Valid","Invalid")</f>
        <v>Valid</v>
      </c>
    </row>
    <row r="2065" spans="1:18" x14ac:dyDescent="0.25">
      <c r="A2065" t="s">
        <v>4136</v>
      </c>
      <c r="B2065" t="s">
        <v>616</v>
      </c>
      <c r="C2065" s="8">
        <v>46044</v>
      </c>
      <c r="D2065" t="s">
        <v>2065</v>
      </c>
      <c r="E2065" t="s">
        <v>2076</v>
      </c>
      <c r="F2065" t="s">
        <v>11</v>
      </c>
      <c r="G2065">
        <v>761.46</v>
      </c>
      <c r="H2065" t="s">
        <v>2060</v>
      </c>
      <c r="I2065" t="str">
        <f>VLOOKUP(B2065,Customers!A:G,7,FALSE)</f>
        <v>Individual</v>
      </c>
      <c r="Q2065" t="str">
        <f>IF(COUNTIF(Customers!$A$2:$A$1001,B2065)&gt;0,"Valid","Invalid")</f>
        <v>Valid</v>
      </c>
      <c r="R2065" t="str">
        <f>IF(COUNTIF(Branches!$A$2:$A$11,F2065)&gt;0,"Valid","Invalid")</f>
        <v>Valid</v>
      </c>
    </row>
    <row r="2066" spans="1:18" x14ac:dyDescent="0.25">
      <c r="A2066" t="s">
        <v>4137</v>
      </c>
      <c r="B2066" t="s">
        <v>718</v>
      </c>
      <c r="C2066" s="8">
        <v>46177</v>
      </c>
      <c r="D2066" t="s">
        <v>2058</v>
      </c>
      <c r="E2066" t="s">
        <v>2063</v>
      </c>
      <c r="F2066" t="s">
        <v>16</v>
      </c>
      <c r="G2066">
        <v>540.92999999999995</v>
      </c>
      <c r="H2066" t="s">
        <v>2060</v>
      </c>
      <c r="I2066" t="str">
        <f>VLOOKUP(B2066,Customers!A:G,7,FALSE)</f>
        <v>SME</v>
      </c>
      <c r="Q2066" t="str">
        <f>IF(COUNTIF(Customers!$A$2:$A$1001,B2066)&gt;0,"Valid","Invalid")</f>
        <v>Valid</v>
      </c>
      <c r="R2066" t="str">
        <f>IF(COUNTIF(Branches!$A$2:$A$11,F2066)&gt;0,"Valid","Invalid")</f>
        <v>Valid</v>
      </c>
    </row>
    <row r="2067" spans="1:18" x14ac:dyDescent="0.25">
      <c r="A2067" t="s">
        <v>4138</v>
      </c>
      <c r="B2067" t="s">
        <v>300</v>
      </c>
      <c r="C2067" s="8">
        <v>46132</v>
      </c>
      <c r="D2067" t="s">
        <v>2065</v>
      </c>
      <c r="E2067" t="s">
        <v>2073</v>
      </c>
      <c r="F2067" t="s">
        <v>39</v>
      </c>
      <c r="G2067">
        <v>1084.52</v>
      </c>
      <c r="H2067" t="s">
        <v>2060</v>
      </c>
      <c r="I2067" t="str">
        <f>VLOOKUP(B2067,Customers!A:G,7,FALSE)</f>
        <v>Corporate</v>
      </c>
      <c r="Q2067" t="str">
        <f>IF(COUNTIF(Customers!$A$2:$A$1001,B2067)&gt;0,"Valid","Invalid")</f>
        <v>Valid</v>
      </c>
      <c r="R2067" t="str">
        <f>IF(COUNTIF(Branches!$A$2:$A$11,F2067)&gt;0,"Valid","Invalid")</f>
        <v>Valid</v>
      </c>
    </row>
    <row r="2068" spans="1:18" x14ac:dyDescent="0.25">
      <c r="A2068" t="s">
        <v>4139</v>
      </c>
      <c r="B2068" t="s">
        <v>406</v>
      </c>
      <c r="C2068" s="8">
        <v>46037</v>
      </c>
      <c r="D2068" t="s">
        <v>2058</v>
      </c>
      <c r="E2068" t="s">
        <v>2076</v>
      </c>
      <c r="F2068" t="s">
        <v>39</v>
      </c>
      <c r="G2068">
        <v>1847.17</v>
      </c>
      <c r="H2068" t="s">
        <v>2060</v>
      </c>
      <c r="I2068" t="str">
        <f>VLOOKUP(B2068,Customers!A:G,7,FALSE)</f>
        <v>SME</v>
      </c>
      <c r="Q2068" t="str">
        <f>IF(COUNTIF(Customers!$A$2:$A$1001,B2068)&gt;0,"Valid","Invalid")</f>
        <v>Valid</v>
      </c>
      <c r="R2068" t="str">
        <f>IF(COUNTIF(Branches!$A$2:$A$11,F2068)&gt;0,"Valid","Invalid")</f>
        <v>Valid</v>
      </c>
    </row>
    <row r="2069" spans="1:18" x14ac:dyDescent="0.25">
      <c r="A2069" t="s">
        <v>4140</v>
      </c>
      <c r="B2069" t="s">
        <v>824</v>
      </c>
      <c r="C2069" s="8">
        <v>46146</v>
      </c>
      <c r="D2069" t="s">
        <v>2065</v>
      </c>
      <c r="E2069" t="s">
        <v>2068</v>
      </c>
      <c r="F2069" t="s">
        <v>53</v>
      </c>
      <c r="G2069">
        <v>816.37</v>
      </c>
      <c r="H2069" t="s">
        <v>2060</v>
      </c>
      <c r="I2069" t="str">
        <f>VLOOKUP(B2069,Customers!A:G,7,FALSE)</f>
        <v>Individual</v>
      </c>
      <c r="Q2069" t="str">
        <f>IF(COUNTIF(Customers!$A$2:$A$1001,B2069)&gt;0,"Valid","Invalid")</f>
        <v>Valid</v>
      </c>
      <c r="R2069" t="str">
        <f>IF(COUNTIF(Branches!$A$2:$A$11,F2069)&gt;0,"Valid","Invalid")</f>
        <v>Valid</v>
      </c>
    </row>
    <row r="2070" spans="1:18" x14ac:dyDescent="0.25">
      <c r="A2070" t="s">
        <v>4141</v>
      </c>
      <c r="B2070" t="s">
        <v>887</v>
      </c>
      <c r="C2070" s="8">
        <v>46066</v>
      </c>
      <c r="D2070" t="s">
        <v>2065</v>
      </c>
      <c r="E2070" t="s">
        <v>2063</v>
      </c>
      <c r="F2070" t="s">
        <v>45</v>
      </c>
      <c r="G2070">
        <v>2725.08</v>
      </c>
      <c r="H2070" t="s">
        <v>2060</v>
      </c>
      <c r="I2070" t="str">
        <f>VLOOKUP(B2070,Customers!A:G,7,FALSE)</f>
        <v>Individual</v>
      </c>
      <c r="Q2070" t="str">
        <f>IF(COUNTIF(Customers!$A$2:$A$1001,B2070)&gt;0,"Valid","Invalid")</f>
        <v>Valid</v>
      </c>
      <c r="R2070" t="str">
        <f>IF(COUNTIF(Branches!$A$2:$A$11,F2070)&gt;0,"Valid","Invalid")</f>
        <v>Valid</v>
      </c>
    </row>
    <row r="2071" spans="1:18" x14ac:dyDescent="0.25">
      <c r="A2071" t="s">
        <v>4142</v>
      </c>
      <c r="B2071" t="s">
        <v>908</v>
      </c>
      <c r="C2071" s="8">
        <v>46137</v>
      </c>
      <c r="D2071" t="s">
        <v>2058</v>
      </c>
      <c r="E2071" t="s">
        <v>2076</v>
      </c>
      <c r="F2071" t="s">
        <v>35</v>
      </c>
      <c r="G2071">
        <v>655.19000000000005</v>
      </c>
      <c r="H2071" t="s">
        <v>2060</v>
      </c>
      <c r="I2071" t="str">
        <f>VLOOKUP(B2071,Customers!A:G,7,FALSE)</f>
        <v>Individual</v>
      </c>
      <c r="Q2071" t="str">
        <f>IF(COUNTIF(Customers!$A$2:$A$1001,B2071)&gt;0,"Valid","Invalid")</f>
        <v>Valid</v>
      </c>
      <c r="R2071" t="str">
        <f>IF(COUNTIF(Branches!$A$2:$A$11,F2071)&gt;0,"Valid","Invalid")</f>
        <v>Valid</v>
      </c>
    </row>
    <row r="2072" spans="1:18" x14ac:dyDescent="0.25">
      <c r="A2072" t="s">
        <v>4143</v>
      </c>
      <c r="B2072" t="s">
        <v>275</v>
      </c>
      <c r="C2072" s="8">
        <v>46236</v>
      </c>
      <c r="D2072" t="s">
        <v>2058</v>
      </c>
      <c r="E2072" t="s">
        <v>2068</v>
      </c>
      <c r="F2072" t="s">
        <v>16</v>
      </c>
      <c r="G2072">
        <v>304.82</v>
      </c>
      <c r="H2072" t="s">
        <v>2060</v>
      </c>
      <c r="I2072" t="str">
        <f>VLOOKUP(B2072,Customers!A:G,7,FALSE)</f>
        <v>SME</v>
      </c>
      <c r="Q2072" t="str">
        <f>IF(COUNTIF(Customers!$A$2:$A$1001,B2072)&gt;0,"Valid","Invalid")</f>
        <v>Valid</v>
      </c>
      <c r="R2072" t="str">
        <f>IF(COUNTIF(Branches!$A$2:$A$11,F2072)&gt;0,"Valid","Invalid")</f>
        <v>Valid</v>
      </c>
    </row>
    <row r="2073" spans="1:18" x14ac:dyDescent="0.25">
      <c r="A2073" t="s">
        <v>4144</v>
      </c>
      <c r="B2073" t="s">
        <v>765</v>
      </c>
      <c r="C2073" s="8">
        <v>46242</v>
      </c>
      <c r="D2073" t="s">
        <v>2065</v>
      </c>
      <c r="E2073" t="s">
        <v>2059</v>
      </c>
      <c r="F2073" t="s">
        <v>29</v>
      </c>
      <c r="G2073">
        <v>804.03</v>
      </c>
      <c r="H2073" t="s">
        <v>2060</v>
      </c>
      <c r="I2073" t="str">
        <f>VLOOKUP(B2073,Customers!A:G,7,FALSE)</f>
        <v>Student</v>
      </c>
      <c r="Q2073" t="str">
        <f>IF(COUNTIF(Customers!$A$2:$A$1001,B2073)&gt;0,"Valid","Invalid")</f>
        <v>Valid</v>
      </c>
      <c r="R2073" t="str">
        <f>IF(COUNTIF(Branches!$A$2:$A$11,F2073)&gt;0,"Valid","Invalid")</f>
        <v>Valid</v>
      </c>
    </row>
    <row r="2074" spans="1:18" x14ac:dyDescent="0.25">
      <c r="A2074" t="s">
        <v>4145</v>
      </c>
      <c r="B2074" t="s">
        <v>404</v>
      </c>
      <c r="C2074" s="8">
        <v>46256</v>
      </c>
      <c r="D2074" t="s">
        <v>2058</v>
      </c>
      <c r="E2074" t="s">
        <v>2059</v>
      </c>
      <c r="F2074" t="s">
        <v>35</v>
      </c>
      <c r="G2074">
        <v>903.23</v>
      </c>
      <c r="H2074" t="s">
        <v>2060</v>
      </c>
      <c r="I2074" t="str">
        <f>VLOOKUP(B2074,Customers!A:G,7,FALSE)</f>
        <v>Individual</v>
      </c>
      <c r="Q2074" t="str">
        <f>IF(COUNTIF(Customers!$A$2:$A$1001,B2074)&gt;0,"Valid","Invalid")</f>
        <v>Valid</v>
      </c>
      <c r="R2074" t="str">
        <f>IF(COUNTIF(Branches!$A$2:$A$11,F2074)&gt;0,"Valid","Invalid")</f>
        <v>Valid</v>
      </c>
    </row>
    <row r="2075" spans="1:18" x14ac:dyDescent="0.25">
      <c r="A2075" t="s">
        <v>4146</v>
      </c>
      <c r="B2075" t="s">
        <v>324</v>
      </c>
      <c r="C2075" s="8">
        <v>46252</v>
      </c>
      <c r="D2075" t="s">
        <v>2062</v>
      </c>
      <c r="E2075" t="s">
        <v>2076</v>
      </c>
      <c r="F2075" t="s">
        <v>47</v>
      </c>
      <c r="G2075">
        <v>748.42</v>
      </c>
      <c r="H2075" t="s">
        <v>2060</v>
      </c>
      <c r="I2075" t="str">
        <f>VLOOKUP(B2075,Customers!A:G,7,FALSE)</f>
        <v>Individual</v>
      </c>
      <c r="Q2075" t="str">
        <f>IF(COUNTIF(Customers!$A$2:$A$1001,B2075)&gt;0,"Valid","Invalid")</f>
        <v>Valid</v>
      </c>
      <c r="R2075" t="str">
        <f>IF(COUNTIF(Branches!$A$2:$A$11,F2075)&gt;0,"Valid","Invalid")</f>
        <v>Valid</v>
      </c>
    </row>
    <row r="2076" spans="1:18" x14ac:dyDescent="0.25">
      <c r="A2076" t="s">
        <v>4147</v>
      </c>
      <c r="B2076" t="s">
        <v>416</v>
      </c>
      <c r="C2076" s="8">
        <v>46031</v>
      </c>
      <c r="D2076" t="s">
        <v>2062</v>
      </c>
      <c r="E2076" t="s">
        <v>2063</v>
      </c>
      <c r="F2076" t="s">
        <v>11</v>
      </c>
      <c r="G2076">
        <v>2923.85</v>
      </c>
      <c r="H2076" t="s">
        <v>2060</v>
      </c>
      <c r="I2076" t="str">
        <f>VLOOKUP(B2076,Customers!A:G,7,FALSE)</f>
        <v>Individual</v>
      </c>
      <c r="Q2076" t="str">
        <f>IF(COUNTIF(Customers!$A$2:$A$1001,B2076)&gt;0,"Valid","Invalid")</f>
        <v>Valid</v>
      </c>
      <c r="R2076" t="str">
        <f>IF(COUNTIF(Branches!$A$2:$A$11,F2076)&gt;0,"Valid","Invalid")</f>
        <v>Valid</v>
      </c>
    </row>
    <row r="2077" spans="1:18" x14ac:dyDescent="0.25">
      <c r="A2077" t="s">
        <v>4148</v>
      </c>
      <c r="B2077" t="s">
        <v>699</v>
      </c>
      <c r="C2077" s="8">
        <v>46056</v>
      </c>
      <c r="D2077" t="s">
        <v>2065</v>
      </c>
      <c r="E2077" t="s">
        <v>2076</v>
      </c>
      <c r="F2077" t="s">
        <v>11</v>
      </c>
      <c r="G2077">
        <v>1817.65</v>
      </c>
      <c r="H2077" t="s">
        <v>2060</v>
      </c>
      <c r="I2077" t="str">
        <f>VLOOKUP(B2077,Customers!A:G,7,FALSE)</f>
        <v>SME</v>
      </c>
      <c r="Q2077" t="str">
        <f>IF(COUNTIF(Customers!$A$2:$A$1001,B2077)&gt;0,"Valid","Invalid")</f>
        <v>Valid</v>
      </c>
      <c r="R2077" t="str">
        <f>IF(COUNTIF(Branches!$A$2:$A$11,F2077)&gt;0,"Valid","Invalid")</f>
        <v>Valid</v>
      </c>
    </row>
    <row r="2078" spans="1:18" x14ac:dyDescent="0.25">
      <c r="A2078" t="s">
        <v>4149</v>
      </c>
      <c r="B2078" t="s">
        <v>868</v>
      </c>
      <c r="C2078" s="8">
        <v>46250</v>
      </c>
      <c r="D2078" t="s">
        <v>2058</v>
      </c>
      <c r="E2078" t="s">
        <v>2063</v>
      </c>
      <c r="F2078" t="s">
        <v>39</v>
      </c>
      <c r="G2078">
        <v>194.23</v>
      </c>
      <c r="H2078" t="s">
        <v>2060</v>
      </c>
      <c r="I2078" t="str">
        <f>VLOOKUP(B2078,Customers!A:G,7,FALSE)</f>
        <v>Individual</v>
      </c>
      <c r="Q2078" t="str">
        <f>IF(COUNTIF(Customers!$A$2:$A$1001,B2078)&gt;0,"Valid","Invalid")</f>
        <v>Valid</v>
      </c>
      <c r="R2078" t="str">
        <f>IF(COUNTIF(Branches!$A$2:$A$11,F2078)&gt;0,"Valid","Invalid")</f>
        <v>Valid</v>
      </c>
    </row>
    <row r="2079" spans="1:18" x14ac:dyDescent="0.25">
      <c r="A2079" t="s">
        <v>4150</v>
      </c>
      <c r="B2079" t="s">
        <v>944</v>
      </c>
      <c r="C2079" s="8">
        <v>46095</v>
      </c>
      <c r="D2079" t="s">
        <v>2058</v>
      </c>
      <c r="E2079" t="s">
        <v>2063</v>
      </c>
      <c r="F2079" t="s">
        <v>27</v>
      </c>
      <c r="G2079">
        <v>3768.25</v>
      </c>
      <c r="H2079" t="s">
        <v>2060</v>
      </c>
      <c r="I2079" t="str">
        <f>VLOOKUP(B2079,Customers!A:G,7,FALSE)</f>
        <v>Individual</v>
      </c>
      <c r="Q2079" t="str">
        <f>IF(COUNTIF(Customers!$A$2:$A$1001,B2079)&gt;0,"Valid","Invalid")</f>
        <v>Valid</v>
      </c>
      <c r="R2079" t="str">
        <f>IF(COUNTIF(Branches!$A$2:$A$11,F2079)&gt;0,"Valid","Invalid")</f>
        <v>Valid</v>
      </c>
    </row>
    <row r="2080" spans="1:18" x14ac:dyDescent="0.25">
      <c r="A2080" t="s">
        <v>4151</v>
      </c>
      <c r="B2080" t="s">
        <v>414</v>
      </c>
      <c r="C2080" s="8">
        <v>46165</v>
      </c>
      <c r="D2080" t="s">
        <v>2065</v>
      </c>
      <c r="E2080" t="s">
        <v>2076</v>
      </c>
      <c r="F2080" t="s">
        <v>29</v>
      </c>
      <c r="G2080">
        <v>52.38</v>
      </c>
      <c r="H2080" t="s">
        <v>2060</v>
      </c>
      <c r="I2080" t="str">
        <f>VLOOKUP(B2080,Customers!A:G,7,FALSE)</f>
        <v>Individual</v>
      </c>
      <c r="Q2080" t="str">
        <f>IF(COUNTIF(Customers!$A$2:$A$1001,B2080)&gt;0,"Valid","Invalid")</f>
        <v>Valid</v>
      </c>
      <c r="R2080" t="str">
        <f>IF(COUNTIF(Branches!$A$2:$A$11,F2080)&gt;0,"Valid","Invalid")</f>
        <v>Valid</v>
      </c>
    </row>
    <row r="2081" spans="1:18" x14ac:dyDescent="0.25">
      <c r="A2081" t="s">
        <v>4152</v>
      </c>
      <c r="B2081" t="s">
        <v>657</v>
      </c>
      <c r="C2081" s="8">
        <v>46212</v>
      </c>
      <c r="D2081" t="s">
        <v>2062</v>
      </c>
      <c r="E2081" t="s">
        <v>2063</v>
      </c>
      <c r="F2081" t="s">
        <v>45</v>
      </c>
      <c r="G2081">
        <v>6981.54</v>
      </c>
      <c r="H2081" t="s">
        <v>2060</v>
      </c>
      <c r="I2081" t="str">
        <f>VLOOKUP(B2081,Customers!A:G,7,FALSE)</f>
        <v>Individual</v>
      </c>
      <c r="Q2081" t="str">
        <f>IF(COUNTIF(Customers!$A$2:$A$1001,B2081)&gt;0,"Valid","Invalid")</f>
        <v>Valid</v>
      </c>
      <c r="R2081" t="str">
        <f>IF(COUNTIF(Branches!$A$2:$A$11,F2081)&gt;0,"Valid","Invalid")</f>
        <v>Valid</v>
      </c>
    </row>
    <row r="2082" spans="1:18" x14ac:dyDescent="0.25">
      <c r="A2082" t="s">
        <v>4153</v>
      </c>
      <c r="B2082" t="s">
        <v>691</v>
      </c>
      <c r="C2082" s="8">
        <v>46067</v>
      </c>
      <c r="D2082" t="s">
        <v>2062</v>
      </c>
      <c r="E2082" t="s">
        <v>2073</v>
      </c>
      <c r="F2082" t="s">
        <v>53</v>
      </c>
      <c r="G2082">
        <v>609.53</v>
      </c>
      <c r="H2082" t="s">
        <v>2060</v>
      </c>
      <c r="I2082" t="str">
        <f>VLOOKUP(B2082,Customers!A:G,7,FALSE)</f>
        <v>Individual</v>
      </c>
      <c r="Q2082" t="str">
        <f>IF(COUNTIF(Customers!$A$2:$A$1001,B2082)&gt;0,"Valid","Invalid")</f>
        <v>Valid</v>
      </c>
      <c r="R2082" t="str">
        <f>IF(COUNTIF(Branches!$A$2:$A$11,F2082)&gt;0,"Valid","Invalid")</f>
        <v>Valid</v>
      </c>
    </row>
    <row r="2083" spans="1:18" x14ac:dyDescent="0.25">
      <c r="A2083" t="s">
        <v>4154</v>
      </c>
      <c r="B2083" t="s">
        <v>112</v>
      </c>
      <c r="C2083" s="8">
        <v>46234</v>
      </c>
      <c r="D2083" t="s">
        <v>2062</v>
      </c>
      <c r="E2083" t="s">
        <v>2068</v>
      </c>
      <c r="F2083" t="s">
        <v>29</v>
      </c>
      <c r="G2083">
        <v>672.12</v>
      </c>
      <c r="H2083" t="s">
        <v>2060</v>
      </c>
      <c r="I2083" t="str">
        <f>VLOOKUP(B2083,Customers!A:G,7,FALSE)</f>
        <v>Individual</v>
      </c>
      <c r="Q2083" t="str">
        <f>IF(COUNTIF(Customers!$A$2:$A$1001,B2083)&gt;0,"Valid","Invalid")</f>
        <v>Valid</v>
      </c>
      <c r="R2083" t="str">
        <f>IF(COUNTIF(Branches!$A$2:$A$11,F2083)&gt;0,"Valid","Invalid")</f>
        <v>Valid</v>
      </c>
    </row>
    <row r="2084" spans="1:18" x14ac:dyDescent="0.25">
      <c r="A2084" t="s">
        <v>4155</v>
      </c>
      <c r="B2084" t="s">
        <v>36</v>
      </c>
      <c r="C2084" s="8">
        <v>46094</v>
      </c>
      <c r="D2084" t="s">
        <v>2062</v>
      </c>
      <c r="E2084" t="s">
        <v>2076</v>
      </c>
      <c r="F2084" t="s">
        <v>53</v>
      </c>
      <c r="G2084">
        <v>765.08</v>
      </c>
      <c r="H2084" t="s">
        <v>2060</v>
      </c>
      <c r="I2084" t="str">
        <f>VLOOKUP(B2084,Customers!A:G,7,FALSE)</f>
        <v>Individual</v>
      </c>
      <c r="Q2084" t="str">
        <f>IF(COUNTIF(Customers!$A$2:$A$1001,B2084)&gt;0,"Valid","Invalid")</f>
        <v>Valid</v>
      </c>
      <c r="R2084" t="str">
        <f>IF(COUNTIF(Branches!$A$2:$A$11,F2084)&gt;0,"Valid","Invalid")</f>
        <v>Valid</v>
      </c>
    </row>
    <row r="2085" spans="1:18" x14ac:dyDescent="0.25">
      <c r="A2085" t="s">
        <v>4156</v>
      </c>
      <c r="B2085" t="s">
        <v>233</v>
      </c>
      <c r="C2085" s="8">
        <v>46080</v>
      </c>
      <c r="D2085" t="s">
        <v>2062</v>
      </c>
      <c r="E2085" t="s">
        <v>2068</v>
      </c>
      <c r="F2085" t="s">
        <v>27</v>
      </c>
      <c r="G2085">
        <v>1194.17</v>
      </c>
      <c r="H2085" t="s">
        <v>2060</v>
      </c>
      <c r="I2085" t="str">
        <f>VLOOKUP(B2085,Customers!A:G,7,FALSE)</f>
        <v>Individual</v>
      </c>
      <c r="Q2085" t="str">
        <f>IF(COUNTIF(Customers!$A$2:$A$1001,B2085)&gt;0,"Valid","Invalid")</f>
        <v>Valid</v>
      </c>
      <c r="R2085" t="str">
        <f>IF(COUNTIF(Branches!$A$2:$A$11,F2085)&gt;0,"Valid","Invalid")</f>
        <v>Valid</v>
      </c>
    </row>
    <row r="2086" spans="1:18" x14ac:dyDescent="0.25">
      <c r="A2086" t="s">
        <v>4157</v>
      </c>
      <c r="B2086" t="s">
        <v>845</v>
      </c>
      <c r="C2086" s="8">
        <v>46242</v>
      </c>
      <c r="D2086" t="s">
        <v>2058</v>
      </c>
      <c r="E2086" t="s">
        <v>2068</v>
      </c>
      <c r="F2086" t="s">
        <v>29</v>
      </c>
      <c r="G2086">
        <v>812.19</v>
      </c>
      <c r="H2086" t="s">
        <v>2060</v>
      </c>
      <c r="I2086" t="str">
        <f>VLOOKUP(B2086,Customers!A:G,7,FALSE)</f>
        <v>Individual</v>
      </c>
      <c r="Q2086" t="str">
        <f>IF(COUNTIF(Customers!$A$2:$A$1001,B2086)&gt;0,"Valid","Invalid")</f>
        <v>Valid</v>
      </c>
      <c r="R2086" t="str">
        <f>IF(COUNTIF(Branches!$A$2:$A$11,F2086)&gt;0,"Valid","Invalid")</f>
        <v>Valid</v>
      </c>
    </row>
    <row r="2087" spans="1:18" x14ac:dyDescent="0.25">
      <c r="A2087" t="s">
        <v>4158</v>
      </c>
      <c r="B2087" t="s">
        <v>830</v>
      </c>
      <c r="C2087" s="8">
        <v>46137</v>
      </c>
      <c r="D2087" t="s">
        <v>2058</v>
      </c>
      <c r="E2087" t="s">
        <v>2063</v>
      </c>
      <c r="F2087" t="s">
        <v>29</v>
      </c>
      <c r="G2087">
        <v>710.95</v>
      </c>
      <c r="H2087" t="s">
        <v>2060</v>
      </c>
      <c r="I2087" t="str">
        <f>VLOOKUP(B2087,Customers!A:G,7,FALSE)</f>
        <v>Corporate</v>
      </c>
      <c r="Q2087" t="str">
        <f>IF(COUNTIF(Customers!$A$2:$A$1001,B2087)&gt;0,"Valid","Invalid")</f>
        <v>Valid</v>
      </c>
      <c r="R2087" t="str">
        <f>IF(COUNTIF(Branches!$A$2:$A$11,F2087)&gt;0,"Valid","Invalid")</f>
        <v>Valid</v>
      </c>
    </row>
    <row r="2088" spans="1:18" x14ac:dyDescent="0.25">
      <c r="A2088" t="s">
        <v>4159</v>
      </c>
      <c r="B2088" t="s">
        <v>931</v>
      </c>
      <c r="C2088" s="8">
        <v>46041</v>
      </c>
      <c r="D2088" t="s">
        <v>2062</v>
      </c>
      <c r="E2088" t="s">
        <v>2068</v>
      </c>
      <c r="F2088" t="s">
        <v>16</v>
      </c>
      <c r="G2088">
        <v>3007.66</v>
      </c>
      <c r="H2088" t="s">
        <v>2060</v>
      </c>
      <c r="I2088" t="str">
        <f>VLOOKUP(B2088,Customers!A:G,7,FALSE)</f>
        <v>SME</v>
      </c>
      <c r="Q2088" t="str">
        <f>IF(COUNTIF(Customers!$A$2:$A$1001,B2088)&gt;0,"Valid","Invalid")</f>
        <v>Valid</v>
      </c>
      <c r="R2088" t="str">
        <f>IF(COUNTIF(Branches!$A$2:$A$11,F2088)&gt;0,"Valid","Invalid")</f>
        <v>Valid</v>
      </c>
    </row>
    <row r="2089" spans="1:18" x14ac:dyDescent="0.25">
      <c r="A2089" t="s">
        <v>4160</v>
      </c>
      <c r="B2089" t="s">
        <v>668</v>
      </c>
      <c r="C2089" s="8">
        <v>46038</v>
      </c>
      <c r="D2089" t="s">
        <v>2058</v>
      </c>
      <c r="E2089" t="s">
        <v>2063</v>
      </c>
      <c r="F2089" t="s">
        <v>35</v>
      </c>
      <c r="G2089">
        <v>1430.24</v>
      </c>
      <c r="H2089" t="s">
        <v>2060</v>
      </c>
      <c r="I2089" t="str">
        <f>VLOOKUP(B2089,Customers!A:G,7,FALSE)</f>
        <v>Individual</v>
      </c>
      <c r="Q2089" t="str">
        <f>IF(COUNTIF(Customers!$A$2:$A$1001,B2089)&gt;0,"Valid","Invalid")</f>
        <v>Valid</v>
      </c>
      <c r="R2089" t="str">
        <f>IF(COUNTIF(Branches!$A$2:$A$11,F2089)&gt;0,"Valid","Invalid")</f>
        <v>Valid</v>
      </c>
    </row>
    <row r="2090" spans="1:18" x14ac:dyDescent="0.25">
      <c r="A2090" t="s">
        <v>4161</v>
      </c>
      <c r="B2090" t="s">
        <v>328</v>
      </c>
      <c r="C2090" s="8">
        <v>46097</v>
      </c>
      <c r="D2090" t="s">
        <v>2067</v>
      </c>
      <c r="E2090" t="s">
        <v>2059</v>
      </c>
      <c r="F2090" t="s">
        <v>29</v>
      </c>
      <c r="G2090">
        <v>311.44</v>
      </c>
      <c r="H2090" t="s">
        <v>2060</v>
      </c>
      <c r="I2090" t="str">
        <f>VLOOKUP(B2090,Customers!A:G,7,FALSE)</f>
        <v>Individual</v>
      </c>
      <c r="Q2090" t="str">
        <f>IF(COUNTIF(Customers!$A$2:$A$1001,B2090)&gt;0,"Valid","Invalid")</f>
        <v>Valid</v>
      </c>
      <c r="R2090" t="str">
        <f>IF(COUNTIF(Branches!$A$2:$A$11,F2090)&gt;0,"Valid","Invalid")</f>
        <v>Valid</v>
      </c>
    </row>
    <row r="2091" spans="1:18" x14ac:dyDescent="0.25">
      <c r="A2091" t="s">
        <v>4162</v>
      </c>
      <c r="B2091" t="s">
        <v>1037</v>
      </c>
      <c r="C2091" s="8">
        <v>46128</v>
      </c>
      <c r="D2091" t="s">
        <v>2067</v>
      </c>
      <c r="E2091" t="s">
        <v>2059</v>
      </c>
      <c r="F2091" t="s">
        <v>27</v>
      </c>
      <c r="G2091">
        <v>1703.9</v>
      </c>
      <c r="H2091" t="s">
        <v>2060</v>
      </c>
      <c r="I2091" t="str">
        <f>VLOOKUP(B2091,Customers!A:G,7,FALSE)</f>
        <v>SME</v>
      </c>
      <c r="Q2091" t="str">
        <f>IF(COUNTIF(Customers!$A$2:$A$1001,B2091)&gt;0,"Valid","Invalid")</f>
        <v>Valid</v>
      </c>
      <c r="R2091" t="str">
        <f>IF(COUNTIF(Branches!$A$2:$A$11,F2091)&gt;0,"Valid","Invalid")</f>
        <v>Valid</v>
      </c>
    </row>
    <row r="2092" spans="1:18" x14ac:dyDescent="0.25">
      <c r="A2092" t="s">
        <v>4163</v>
      </c>
      <c r="B2092" t="s">
        <v>97</v>
      </c>
      <c r="C2092" s="8">
        <v>46158</v>
      </c>
      <c r="D2092" t="s">
        <v>2062</v>
      </c>
      <c r="E2092" t="s">
        <v>2076</v>
      </c>
      <c r="F2092" t="s">
        <v>11</v>
      </c>
      <c r="G2092">
        <v>1372.11</v>
      </c>
      <c r="H2092" t="s">
        <v>2060</v>
      </c>
      <c r="I2092" t="str">
        <f>VLOOKUP(B2092,Customers!A:G,7,FALSE)</f>
        <v>Individual</v>
      </c>
      <c r="Q2092" t="str">
        <f>IF(COUNTIF(Customers!$A$2:$A$1001,B2092)&gt;0,"Valid","Invalid")</f>
        <v>Valid</v>
      </c>
      <c r="R2092" t="str">
        <f>IF(COUNTIF(Branches!$A$2:$A$11,F2092)&gt;0,"Valid","Invalid")</f>
        <v>Valid</v>
      </c>
    </row>
    <row r="2093" spans="1:18" x14ac:dyDescent="0.25">
      <c r="A2093" t="s">
        <v>4164</v>
      </c>
      <c r="B2093" t="s">
        <v>975</v>
      </c>
      <c r="C2093" s="8">
        <v>46183</v>
      </c>
      <c r="D2093" t="s">
        <v>2065</v>
      </c>
      <c r="E2093" t="s">
        <v>2063</v>
      </c>
      <c r="F2093" t="s">
        <v>27</v>
      </c>
      <c r="G2093">
        <v>470.94</v>
      </c>
      <c r="H2093" t="s">
        <v>2060</v>
      </c>
      <c r="I2093" t="str">
        <f>VLOOKUP(B2093,Customers!A:G,7,FALSE)</f>
        <v>Individual</v>
      </c>
      <c r="Q2093" t="str">
        <f>IF(COUNTIF(Customers!$A$2:$A$1001,B2093)&gt;0,"Valid","Invalid")</f>
        <v>Valid</v>
      </c>
      <c r="R2093" t="str">
        <f>IF(COUNTIF(Branches!$A$2:$A$11,F2093)&gt;0,"Valid","Invalid")</f>
        <v>Valid</v>
      </c>
    </row>
    <row r="2094" spans="1:18" x14ac:dyDescent="0.25">
      <c r="A2094" t="s">
        <v>4165</v>
      </c>
      <c r="B2094" t="s">
        <v>427</v>
      </c>
      <c r="C2094" s="8">
        <v>46096</v>
      </c>
      <c r="D2094" t="s">
        <v>2058</v>
      </c>
      <c r="E2094" t="s">
        <v>2063</v>
      </c>
      <c r="F2094" t="s">
        <v>53</v>
      </c>
      <c r="G2094">
        <v>1793.88</v>
      </c>
      <c r="H2094" t="s">
        <v>2060</v>
      </c>
      <c r="I2094" t="str">
        <f>VLOOKUP(B2094,Customers!A:G,7,FALSE)</f>
        <v>Individual</v>
      </c>
      <c r="Q2094" t="str">
        <f>IF(COUNTIF(Customers!$A$2:$A$1001,B2094)&gt;0,"Valid","Invalid")</f>
        <v>Valid</v>
      </c>
      <c r="R2094" t="str">
        <f>IF(COUNTIF(Branches!$A$2:$A$11,F2094)&gt;0,"Valid","Invalid")</f>
        <v>Valid</v>
      </c>
    </row>
    <row r="2095" spans="1:18" x14ac:dyDescent="0.25">
      <c r="A2095" t="s">
        <v>4166</v>
      </c>
      <c r="B2095" t="s">
        <v>885</v>
      </c>
      <c r="C2095" s="8">
        <v>46040</v>
      </c>
      <c r="D2095" t="s">
        <v>2070</v>
      </c>
      <c r="E2095" t="s">
        <v>2076</v>
      </c>
      <c r="F2095" t="s">
        <v>29</v>
      </c>
      <c r="G2095">
        <v>693.97</v>
      </c>
      <c r="H2095" t="s">
        <v>2060</v>
      </c>
      <c r="I2095" t="str">
        <f>VLOOKUP(B2095,Customers!A:G,7,FALSE)</f>
        <v>Individual</v>
      </c>
      <c r="Q2095" t="str">
        <f>IF(COUNTIF(Customers!$A$2:$A$1001,B2095)&gt;0,"Valid","Invalid")</f>
        <v>Valid</v>
      </c>
      <c r="R2095" t="str">
        <f>IF(COUNTIF(Branches!$A$2:$A$11,F2095)&gt;0,"Valid","Invalid")</f>
        <v>Valid</v>
      </c>
    </row>
    <row r="2096" spans="1:18" x14ac:dyDescent="0.25">
      <c r="A2096" t="s">
        <v>4167</v>
      </c>
      <c r="B2096" t="s">
        <v>856</v>
      </c>
      <c r="C2096" s="8">
        <v>46185</v>
      </c>
      <c r="D2096" t="s">
        <v>2062</v>
      </c>
      <c r="E2096" t="s">
        <v>2059</v>
      </c>
      <c r="F2096" t="s">
        <v>11</v>
      </c>
      <c r="G2096">
        <v>650.88</v>
      </c>
      <c r="H2096" t="s">
        <v>2060</v>
      </c>
      <c r="I2096" t="str">
        <f>VLOOKUP(B2096,Customers!A:G,7,FALSE)</f>
        <v>Individual</v>
      </c>
      <c r="Q2096" t="str">
        <f>IF(COUNTIF(Customers!$A$2:$A$1001,B2096)&gt;0,"Valid","Invalid")</f>
        <v>Valid</v>
      </c>
      <c r="R2096" t="str">
        <f>IF(COUNTIF(Branches!$A$2:$A$11,F2096)&gt;0,"Valid","Invalid")</f>
        <v>Valid</v>
      </c>
    </row>
    <row r="2097" spans="1:18" x14ac:dyDescent="0.25">
      <c r="A2097" t="s">
        <v>4168</v>
      </c>
      <c r="B2097" t="s">
        <v>938</v>
      </c>
      <c r="C2097" s="8">
        <v>46065</v>
      </c>
      <c r="D2097" t="s">
        <v>2070</v>
      </c>
      <c r="E2097" t="s">
        <v>2068</v>
      </c>
      <c r="F2097" t="s">
        <v>29</v>
      </c>
      <c r="G2097">
        <v>633.39</v>
      </c>
      <c r="H2097" t="s">
        <v>2060</v>
      </c>
      <c r="I2097" t="str">
        <f>VLOOKUP(B2097,Customers!A:G,7,FALSE)</f>
        <v>Individual</v>
      </c>
      <c r="Q2097" t="str">
        <f>IF(COUNTIF(Customers!$A$2:$A$1001,B2097)&gt;0,"Valid","Invalid")</f>
        <v>Valid</v>
      </c>
      <c r="R2097" t="str">
        <f>IF(COUNTIF(Branches!$A$2:$A$11,F2097)&gt;0,"Valid","Invalid")</f>
        <v>Valid</v>
      </c>
    </row>
    <row r="2098" spans="1:18" x14ac:dyDescent="0.25">
      <c r="A2098" t="s">
        <v>4169</v>
      </c>
      <c r="B2098" t="s">
        <v>601</v>
      </c>
      <c r="C2098" s="8">
        <v>46072</v>
      </c>
      <c r="D2098" t="s">
        <v>2058</v>
      </c>
      <c r="E2098" t="s">
        <v>2076</v>
      </c>
      <c r="F2098" t="s">
        <v>53</v>
      </c>
      <c r="G2098">
        <v>71.66</v>
      </c>
      <c r="H2098" t="s">
        <v>2060</v>
      </c>
      <c r="I2098" t="str">
        <f>VLOOKUP(B2098,Customers!A:G,7,FALSE)</f>
        <v>Individual</v>
      </c>
      <c r="Q2098" t="str">
        <f>IF(COUNTIF(Customers!$A$2:$A$1001,B2098)&gt;0,"Valid","Invalid")</f>
        <v>Valid</v>
      </c>
      <c r="R2098" t="str">
        <f>IF(COUNTIF(Branches!$A$2:$A$11,F2098)&gt;0,"Valid","Invalid")</f>
        <v>Valid</v>
      </c>
    </row>
    <row r="2099" spans="1:18" x14ac:dyDescent="0.25">
      <c r="A2099" t="s">
        <v>4170</v>
      </c>
      <c r="B2099" t="s">
        <v>602</v>
      </c>
      <c r="C2099" s="8">
        <v>46025</v>
      </c>
      <c r="D2099" t="s">
        <v>2065</v>
      </c>
      <c r="E2099" t="s">
        <v>2063</v>
      </c>
      <c r="F2099" t="s">
        <v>35</v>
      </c>
      <c r="G2099">
        <v>479.77</v>
      </c>
      <c r="H2099" t="s">
        <v>2060</v>
      </c>
      <c r="I2099" t="str">
        <f>VLOOKUP(B2099,Customers!A:G,7,FALSE)</f>
        <v>Student</v>
      </c>
      <c r="Q2099" t="str">
        <f>IF(COUNTIF(Customers!$A$2:$A$1001,B2099)&gt;0,"Valid","Invalid")</f>
        <v>Valid</v>
      </c>
      <c r="R2099" t="str">
        <f>IF(COUNTIF(Branches!$A$2:$A$11,F2099)&gt;0,"Valid","Invalid")</f>
        <v>Valid</v>
      </c>
    </row>
    <row r="2100" spans="1:18" x14ac:dyDescent="0.25">
      <c r="A2100" t="s">
        <v>4171</v>
      </c>
      <c r="B2100" t="s">
        <v>672</v>
      </c>
      <c r="C2100" s="8">
        <v>46254</v>
      </c>
      <c r="D2100" t="s">
        <v>2062</v>
      </c>
      <c r="E2100" t="s">
        <v>2063</v>
      </c>
      <c r="F2100" t="s">
        <v>16</v>
      </c>
      <c r="G2100">
        <v>1657.68</v>
      </c>
      <c r="H2100" t="s">
        <v>2060</v>
      </c>
      <c r="I2100" t="str">
        <f>VLOOKUP(B2100,Customers!A:G,7,FALSE)</f>
        <v>Student</v>
      </c>
      <c r="Q2100" t="str">
        <f>IF(COUNTIF(Customers!$A$2:$A$1001,B2100)&gt;0,"Valid","Invalid")</f>
        <v>Valid</v>
      </c>
      <c r="R2100" t="str">
        <f>IF(COUNTIF(Branches!$A$2:$A$11,F2100)&gt;0,"Valid","Invalid")</f>
        <v>Valid</v>
      </c>
    </row>
    <row r="2101" spans="1:18" x14ac:dyDescent="0.25">
      <c r="A2101" t="s">
        <v>4172</v>
      </c>
      <c r="B2101" t="s">
        <v>717</v>
      </c>
      <c r="C2101" s="8">
        <v>46241</v>
      </c>
      <c r="D2101" t="s">
        <v>2067</v>
      </c>
      <c r="E2101" t="s">
        <v>2076</v>
      </c>
      <c r="F2101" t="s">
        <v>16</v>
      </c>
      <c r="G2101">
        <v>794.4</v>
      </c>
      <c r="H2101" t="s">
        <v>2060</v>
      </c>
      <c r="I2101" t="str">
        <f>VLOOKUP(B2101,Customers!A:G,7,FALSE)</f>
        <v>Individual</v>
      </c>
      <c r="Q2101" t="str">
        <f>IF(COUNTIF(Customers!$A$2:$A$1001,B2101)&gt;0,"Valid","Invalid")</f>
        <v>Valid</v>
      </c>
      <c r="R2101" t="str">
        <f>IF(COUNTIF(Branches!$A$2:$A$11,F2101)&gt;0,"Valid","Invalid")</f>
        <v>Valid</v>
      </c>
    </row>
    <row r="2102" spans="1:18" x14ac:dyDescent="0.25">
      <c r="A2102" t="s">
        <v>4173</v>
      </c>
      <c r="B2102" t="s">
        <v>32</v>
      </c>
      <c r="C2102" s="8">
        <v>46081</v>
      </c>
      <c r="D2102" t="s">
        <v>2067</v>
      </c>
      <c r="E2102" t="s">
        <v>2059</v>
      </c>
      <c r="F2102" t="s">
        <v>16</v>
      </c>
      <c r="G2102">
        <v>224.71</v>
      </c>
      <c r="H2102" t="s">
        <v>2060</v>
      </c>
      <c r="I2102" t="str">
        <f>VLOOKUP(B2102,Customers!A:G,7,FALSE)</f>
        <v>Individual</v>
      </c>
      <c r="Q2102" t="str">
        <f>IF(COUNTIF(Customers!$A$2:$A$1001,B2102)&gt;0,"Valid","Invalid")</f>
        <v>Valid</v>
      </c>
      <c r="R2102" t="str">
        <f>IF(COUNTIF(Branches!$A$2:$A$11,F2102)&gt;0,"Valid","Invalid")</f>
        <v>Valid</v>
      </c>
    </row>
    <row r="2103" spans="1:18" x14ac:dyDescent="0.25">
      <c r="A2103" t="s">
        <v>4174</v>
      </c>
      <c r="B2103" t="s">
        <v>407</v>
      </c>
      <c r="C2103" s="8">
        <v>46050</v>
      </c>
      <c r="D2103" t="s">
        <v>2067</v>
      </c>
      <c r="E2103" t="s">
        <v>2063</v>
      </c>
      <c r="F2103" t="s">
        <v>29</v>
      </c>
      <c r="G2103">
        <v>2131.61</v>
      </c>
      <c r="H2103" t="s">
        <v>2060</v>
      </c>
      <c r="I2103" t="str">
        <f>VLOOKUP(B2103,Customers!A:G,7,FALSE)</f>
        <v>Individual</v>
      </c>
      <c r="Q2103" t="str">
        <f>IF(COUNTIF(Customers!$A$2:$A$1001,B2103)&gt;0,"Valid","Invalid")</f>
        <v>Valid</v>
      </c>
      <c r="R2103" t="str">
        <f>IF(COUNTIF(Branches!$A$2:$A$11,F2103)&gt;0,"Valid","Invalid")</f>
        <v>Valid</v>
      </c>
    </row>
    <row r="2104" spans="1:18" x14ac:dyDescent="0.25">
      <c r="A2104" t="s">
        <v>4175</v>
      </c>
      <c r="B2104" t="s">
        <v>80</v>
      </c>
      <c r="C2104" s="8">
        <v>46068</v>
      </c>
      <c r="D2104" t="s">
        <v>2065</v>
      </c>
      <c r="E2104" t="s">
        <v>2063</v>
      </c>
      <c r="F2104" t="s">
        <v>21</v>
      </c>
      <c r="G2104">
        <v>602.69000000000005</v>
      </c>
      <c r="H2104" t="s">
        <v>2060</v>
      </c>
      <c r="I2104" t="str">
        <f>VLOOKUP(B2104,Customers!A:G,7,FALSE)</f>
        <v>Individual</v>
      </c>
      <c r="Q2104" t="str">
        <f>IF(COUNTIF(Customers!$A$2:$A$1001,B2104)&gt;0,"Valid","Invalid")</f>
        <v>Valid</v>
      </c>
      <c r="R2104" t="str">
        <f>IF(COUNTIF(Branches!$A$2:$A$11,F2104)&gt;0,"Valid","Invalid")</f>
        <v>Valid</v>
      </c>
    </row>
    <row r="2105" spans="1:18" x14ac:dyDescent="0.25">
      <c r="A2105" t="s">
        <v>4176</v>
      </c>
      <c r="B2105" t="s">
        <v>382</v>
      </c>
      <c r="C2105" s="8">
        <v>46086</v>
      </c>
      <c r="D2105" t="s">
        <v>2067</v>
      </c>
      <c r="E2105" t="s">
        <v>2063</v>
      </c>
      <c r="F2105" t="s">
        <v>47</v>
      </c>
      <c r="G2105">
        <v>239.47</v>
      </c>
      <c r="H2105" t="s">
        <v>2060</v>
      </c>
      <c r="I2105" t="str">
        <f>VLOOKUP(B2105,Customers!A:G,7,FALSE)</f>
        <v>SME</v>
      </c>
      <c r="Q2105" t="str">
        <f>IF(COUNTIF(Customers!$A$2:$A$1001,B2105)&gt;0,"Valid","Invalid")</f>
        <v>Valid</v>
      </c>
      <c r="R2105" t="str">
        <f>IF(COUNTIF(Branches!$A$2:$A$11,F2105)&gt;0,"Valid","Invalid")</f>
        <v>Valid</v>
      </c>
    </row>
    <row r="2106" spans="1:18" x14ac:dyDescent="0.25">
      <c r="A2106" t="s">
        <v>4177</v>
      </c>
      <c r="B2106" t="s">
        <v>795</v>
      </c>
      <c r="C2106" s="8">
        <v>46092</v>
      </c>
      <c r="D2106" t="s">
        <v>2067</v>
      </c>
      <c r="E2106" t="s">
        <v>2063</v>
      </c>
      <c r="F2106" t="s">
        <v>35</v>
      </c>
      <c r="G2106">
        <v>7376.19</v>
      </c>
      <c r="H2106" t="s">
        <v>2060</v>
      </c>
      <c r="I2106" t="str">
        <f>VLOOKUP(B2106,Customers!A:G,7,FALSE)</f>
        <v>Individual</v>
      </c>
      <c r="Q2106" t="str">
        <f>IF(COUNTIF(Customers!$A$2:$A$1001,B2106)&gt;0,"Valid","Invalid")</f>
        <v>Valid</v>
      </c>
      <c r="R2106" t="str">
        <f>IF(COUNTIF(Branches!$A$2:$A$11,F2106)&gt;0,"Valid","Invalid")</f>
        <v>Valid</v>
      </c>
    </row>
    <row r="2107" spans="1:18" x14ac:dyDescent="0.25">
      <c r="A2107" t="s">
        <v>4178</v>
      </c>
      <c r="B2107" t="s">
        <v>834</v>
      </c>
      <c r="C2107" s="8">
        <v>46069</v>
      </c>
      <c r="D2107" t="s">
        <v>2058</v>
      </c>
      <c r="E2107" t="s">
        <v>2059</v>
      </c>
      <c r="F2107" t="s">
        <v>45</v>
      </c>
      <c r="G2107">
        <v>283.39</v>
      </c>
      <c r="H2107" t="s">
        <v>2060</v>
      </c>
      <c r="I2107" t="str">
        <f>VLOOKUP(B2107,Customers!A:G,7,FALSE)</f>
        <v>SME</v>
      </c>
      <c r="Q2107" t="str">
        <f>IF(COUNTIF(Customers!$A$2:$A$1001,B2107)&gt;0,"Valid","Invalid")</f>
        <v>Valid</v>
      </c>
      <c r="R2107" t="str">
        <f>IF(COUNTIF(Branches!$A$2:$A$11,F2107)&gt;0,"Valid","Invalid")</f>
        <v>Valid</v>
      </c>
    </row>
    <row r="2108" spans="1:18" x14ac:dyDescent="0.25">
      <c r="A2108" t="s">
        <v>4179</v>
      </c>
      <c r="B2108" t="s">
        <v>413</v>
      </c>
      <c r="C2108" s="8">
        <v>46164</v>
      </c>
      <c r="D2108" t="s">
        <v>2062</v>
      </c>
      <c r="E2108" t="s">
        <v>2068</v>
      </c>
      <c r="F2108" t="s">
        <v>53</v>
      </c>
      <c r="G2108">
        <v>1957.63</v>
      </c>
      <c r="H2108" t="s">
        <v>2060</v>
      </c>
      <c r="I2108" t="str">
        <f>VLOOKUP(B2108,Customers!A:G,7,FALSE)</f>
        <v>Corporate</v>
      </c>
      <c r="Q2108" t="str">
        <f>IF(COUNTIF(Customers!$A$2:$A$1001,B2108)&gt;0,"Valid","Invalid")</f>
        <v>Valid</v>
      </c>
      <c r="R2108" t="str">
        <f>IF(COUNTIF(Branches!$A$2:$A$11,F2108)&gt;0,"Valid","Invalid")</f>
        <v>Valid</v>
      </c>
    </row>
    <row r="2109" spans="1:18" x14ac:dyDescent="0.25">
      <c r="A2109" t="s">
        <v>4180</v>
      </c>
      <c r="B2109" t="s">
        <v>657</v>
      </c>
      <c r="C2109" s="8">
        <v>46157</v>
      </c>
      <c r="D2109" t="s">
        <v>2067</v>
      </c>
      <c r="E2109" t="s">
        <v>2059</v>
      </c>
      <c r="F2109" t="s">
        <v>53</v>
      </c>
      <c r="G2109">
        <v>376.41</v>
      </c>
      <c r="H2109" t="s">
        <v>2115</v>
      </c>
      <c r="I2109" t="str">
        <f>VLOOKUP(B2109,Customers!A:G,7,FALSE)</f>
        <v>Individual</v>
      </c>
      <c r="Q2109" t="str">
        <f>IF(COUNTIF(Customers!$A$2:$A$1001,B2109)&gt;0,"Valid","Invalid")</f>
        <v>Valid</v>
      </c>
      <c r="R2109" t="str">
        <f>IF(COUNTIF(Branches!$A$2:$A$11,F2109)&gt;0,"Valid","Invalid")</f>
        <v>Valid</v>
      </c>
    </row>
    <row r="2110" spans="1:18" x14ac:dyDescent="0.25">
      <c r="A2110" t="s">
        <v>4181</v>
      </c>
      <c r="B2110" t="s">
        <v>61</v>
      </c>
      <c r="C2110" s="8">
        <v>46224</v>
      </c>
      <c r="D2110" t="s">
        <v>2065</v>
      </c>
      <c r="E2110" t="s">
        <v>2068</v>
      </c>
      <c r="F2110" t="s">
        <v>47</v>
      </c>
      <c r="G2110">
        <v>930.6</v>
      </c>
      <c r="H2110" t="s">
        <v>2060</v>
      </c>
      <c r="I2110" t="str">
        <f>VLOOKUP(B2110,Customers!A:G,7,FALSE)</f>
        <v>Student</v>
      </c>
      <c r="Q2110" t="str">
        <f>IF(COUNTIF(Customers!$A$2:$A$1001,B2110)&gt;0,"Valid","Invalid")</f>
        <v>Valid</v>
      </c>
      <c r="R2110" t="str">
        <f>IF(COUNTIF(Branches!$A$2:$A$11,F2110)&gt;0,"Valid","Invalid")</f>
        <v>Valid</v>
      </c>
    </row>
    <row r="2111" spans="1:18" x14ac:dyDescent="0.25">
      <c r="A2111" t="s">
        <v>4182</v>
      </c>
      <c r="B2111" t="s">
        <v>230</v>
      </c>
      <c r="C2111" s="8">
        <v>46229</v>
      </c>
      <c r="D2111" t="s">
        <v>2058</v>
      </c>
      <c r="E2111" t="s">
        <v>2063</v>
      </c>
      <c r="F2111" t="s">
        <v>11</v>
      </c>
      <c r="G2111">
        <v>329.58</v>
      </c>
      <c r="H2111" t="s">
        <v>2107</v>
      </c>
      <c r="I2111" t="str">
        <f>VLOOKUP(B2111,Customers!A:G,7,FALSE)</f>
        <v>Individual</v>
      </c>
      <c r="Q2111" t="str">
        <f>IF(COUNTIF(Customers!$A$2:$A$1001,B2111)&gt;0,"Valid","Invalid")</f>
        <v>Valid</v>
      </c>
      <c r="R2111" t="str">
        <f>IF(COUNTIF(Branches!$A$2:$A$11,F2111)&gt;0,"Valid","Invalid")</f>
        <v>Valid</v>
      </c>
    </row>
    <row r="2112" spans="1:18" x14ac:dyDescent="0.25">
      <c r="A2112" t="s">
        <v>4183</v>
      </c>
      <c r="B2112" t="s">
        <v>968</v>
      </c>
      <c r="C2112" s="8">
        <v>46181</v>
      </c>
      <c r="D2112" t="s">
        <v>2058</v>
      </c>
      <c r="E2112" t="s">
        <v>2059</v>
      </c>
      <c r="F2112" t="s">
        <v>16</v>
      </c>
      <c r="G2112">
        <v>235.26</v>
      </c>
      <c r="H2112" t="s">
        <v>2060</v>
      </c>
      <c r="I2112" t="str">
        <f>VLOOKUP(B2112,Customers!A:G,7,FALSE)</f>
        <v>SME</v>
      </c>
      <c r="Q2112" t="str">
        <f>IF(COUNTIF(Customers!$A$2:$A$1001,B2112)&gt;0,"Valid","Invalid")</f>
        <v>Valid</v>
      </c>
      <c r="R2112" t="str">
        <f>IF(COUNTIF(Branches!$A$2:$A$11,F2112)&gt;0,"Valid","Invalid")</f>
        <v>Valid</v>
      </c>
    </row>
    <row r="2113" spans="1:18" x14ac:dyDescent="0.25">
      <c r="A2113" t="s">
        <v>4184</v>
      </c>
      <c r="B2113" t="s">
        <v>887</v>
      </c>
      <c r="C2113" s="8">
        <v>46243</v>
      </c>
      <c r="D2113" t="s">
        <v>2062</v>
      </c>
      <c r="E2113" t="s">
        <v>2076</v>
      </c>
      <c r="F2113" t="s">
        <v>35</v>
      </c>
      <c r="G2113">
        <v>1369.5</v>
      </c>
      <c r="H2113" t="s">
        <v>2060</v>
      </c>
      <c r="I2113" t="str">
        <f>VLOOKUP(B2113,Customers!A:G,7,FALSE)</f>
        <v>Individual</v>
      </c>
      <c r="Q2113" t="str">
        <f>IF(COUNTIF(Customers!$A$2:$A$1001,B2113)&gt;0,"Valid","Invalid")</f>
        <v>Valid</v>
      </c>
      <c r="R2113" t="str">
        <f>IF(COUNTIF(Branches!$A$2:$A$11,F2113)&gt;0,"Valid","Invalid")</f>
        <v>Valid</v>
      </c>
    </row>
    <row r="2114" spans="1:18" x14ac:dyDescent="0.25">
      <c r="A2114" t="s">
        <v>4185</v>
      </c>
      <c r="B2114" t="s">
        <v>395</v>
      </c>
      <c r="C2114" s="8">
        <v>46128</v>
      </c>
      <c r="D2114" t="s">
        <v>2065</v>
      </c>
      <c r="E2114" t="s">
        <v>2076</v>
      </c>
      <c r="F2114" t="s">
        <v>47</v>
      </c>
      <c r="G2114">
        <v>1218.4000000000001</v>
      </c>
      <c r="H2114" t="s">
        <v>2060</v>
      </c>
      <c r="I2114" t="str">
        <f>VLOOKUP(B2114,Customers!A:G,7,FALSE)</f>
        <v>Individual</v>
      </c>
      <c r="Q2114" t="str">
        <f>IF(COUNTIF(Customers!$A$2:$A$1001,B2114)&gt;0,"Valid","Invalid")</f>
        <v>Valid</v>
      </c>
      <c r="R2114" t="str">
        <f>IF(COUNTIF(Branches!$A$2:$A$11,F2114)&gt;0,"Valid","Invalid")</f>
        <v>Valid</v>
      </c>
    </row>
    <row r="2115" spans="1:18" x14ac:dyDescent="0.25">
      <c r="A2115" t="s">
        <v>4186</v>
      </c>
      <c r="B2115" t="s">
        <v>98</v>
      </c>
      <c r="C2115" s="8">
        <v>46103</v>
      </c>
      <c r="D2115" t="s">
        <v>2062</v>
      </c>
      <c r="E2115" t="s">
        <v>2076</v>
      </c>
      <c r="F2115" t="s">
        <v>47</v>
      </c>
      <c r="G2115">
        <v>2552.04</v>
      </c>
      <c r="H2115" t="s">
        <v>2060</v>
      </c>
      <c r="I2115" t="str">
        <f>VLOOKUP(B2115,Customers!A:G,7,FALSE)</f>
        <v>Individual</v>
      </c>
      <c r="Q2115" t="str">
        <f>IF(COUNTIF(Customers!$A$2:$A$1001,B2115)&gt;0,"Valid","Invalid")</f>
        <v>Valid</v>
      </c>
      <c r="R2115" t="str">
        <f>IF(COUNTIF(Branches!$A$2:$A$11,F2115)&gt;0,"Valid","Invalid")</f>
        <v>Valid</v>
      </c>
    </row>
    <row r="2116" spans="1:18" x14ac:dyDescent="0.25">
      <c r="A2116" t="s">
        <v>4187</v>
      </c>
      <c r="B2116" t="s">
        <v>98</v>
      </c>
      <c r="C2116" s="8">
        <v>46073</v>
      </c>
      <c r="D2116" t="s">
        <v>2058</v>
      </c>
      <c r="E2116" t="s">
        <v>2076</v>
      </c>
      <c r="F2116" t="s">
        <v>29</v>
      </c>
      <c r="G2116">
        <v>784.95</v>
      </c>
      <c r="H2116" t="s">
        <v>2060</v>
      </c>
      <c r="I2116" t="str">
        <f>VLOOKUP(B2116,Customers!A:G,7,FALSE)</f>
        <v>Individual</v>
      </c>
      <c r="Q2116" t="str">
        <f>IF(COUNTIF(Customers!$A$2:$A$1001,B2116)&gt;0,"Valid","Invalid")</f>
        <v>Valid</v>
      </c>
      <c r="R2116" t="str">
        <f>IF(COUNTIF(Branches!$A$2:$A$11,F2116)&gt;0,"Valid","Invalid")</f>
        <v>Valid</v>
      </c>
    </row>
    <row r="2117" spans="1:18" x14ac:dyDescent="0.25">
      <c r="A2117" t="s">
        <v>4188</v>
      </c>
      <c r="B2117" t="s">
        <v>460</v>
      </c>
      <c r="C2117" s="8">
        <v>46051</v>
      </c>
      <c r="D2117" t="s">
        <v>2058</v>
      </c>
      <c r="E2117" t="s">
        <v>2076</v>
      </c>
      <c r="F2117" t="s">
        <v>16</v>
      </c>
      <c r="G2117">
        <v>7482.72</v>
      </c>
      <c r="H2117" t="s">
        <v>2060</v>
      </c>
      <c r="I2117" t="str">
        <f>VLOOKUP(B2117,Customers!A:G,7,FALSE)</f>
        <v>Individual</v>
      </c>
      <c r="Q2117" t="str">
        <f>IF(COUNTIF(Customers!$A$2:$A$1001,B2117)&gt;0,"Valid","Invalid")</f>
        <v>Valid</v>
      </c>
      <c r="R2117" t="str">
        <f>IF(COUNTIF(Branches!$A$2:$A$11,F2117)&gt;0,"Valid","Invalid")</f>
        <v>Valid</v>
      </c>
    </row>
    <row r="2118" spans="1:18" x14ac:dyDescent="0.25">
      <c r="A2118" t="s">
        <v>4189</v>
      </c>
      <c r="B2118" t="s">
        <v>832</v>
      </c>
      <c r="C2118" s="8">
        <v>46135</v>
      </c>
      <c r="D2118" t="s">
        <v>2065</v>
      </c>
      <c r="E2118" t="s">
        <v>2063</v>
      </c>
      <c r="F2118" t="s">
        <v>35</v>
      </c>
      <c r="G2118">
        <v>1062.46</v>
      </c>
      <c r="H2118" t="s">
        <v>2060</v>
      </c>
      <c r="I2118" t="str">
        <f>VLOOKUP(B2118,Customers!A:G,7,FALSE)</f>
        <v>Individual</v>
      </c>
      <c r="Q2118" t="str">
        <f>IF(COUNTIF(Customers!$A$2:$A$1001,B2118)&gt;0,"Valid","Invalid")</f>
        <v>Valid</v>
      </c>
      <c r="R2118" t="str">
        <f>IF(COUNTIF(Branches!$A$2:$A$11,F2118)&gt;0,"Valid","Invalid")</f>
        <v>Valid</v>
      </c>
    </row>
    <row r="2119" spans="1:18" x14ac:dyDescent="0.25">
      <c r="A2119" t="s">
        <v>4190</v>
      </c>
      <c r="B2119" t="s">
        <v>671</v>
      </c>
      <c r="C2119" s="8">
        <v>46258</v>
      </c>
      <c r="D2119" t="s">
        <v>2067</v>
      </c>
      <c r="E2119" t="s">
        <v>2076</v>
      </c>
      <c r="F2119" t="s">
        <v>27</v>
      </c>
      <c r="G2119">
        <v>1431.92</v>
      </c>
      <c r="H2119" t="s">
        <v>2060</v>
      </c>
      <c r="I2119" t="str">
        <f>VLOOKUP(B2119,Customers!A:G,7,FALSE)</f>
        <v>Individual</v>
      </c>
      <c r="Q2119" t="str">
        <f>IF(COUNTIF(Customers!$A$2:$A$1001,B2119)&gt;0,"Valid","Invalid")</f>
        <v>Valid</v>
      </c>
      <c r="R2119" t="str">
        <f>IF(COUNTIF(Branches!$A$2:$A$11,F2119)&gt;0,"Valid","Invalid")</f>
        <v>Valid</v>
      </c>
    </row>
    <row r="2120" spans="1:18" x14ac:dyDescent="0.25">
      <c r="A2120" t="s">
        <v>4191</v>
      </c>
      <c r="B2120" t="s">
        <v>830</v>
      </c>
      <c r="C2120" s="8">
        <v>46165</v>
      </c>
      <c r="D2120" t="s">
        <v>2065</v>
      </c>
      <c r="E2120" t="s">
        <v>2076</v>
      </c>
      <c r="F2120" t="s">
        <v>39</v>
      </c>
      <c r="G2120">
        <v>208.84</v>
      </c>
      <c r="H2120" t="s">
        <v>2060</v>
      </c>
      <c r="I2120" t="str">
        <f>VLOOKUP(B2120,Customers!A:G,7,FALSE)</f>
        <v>Corporate</v>
      </c>
      <c r="Q2120" t="str">
        <f>IF(COUNTIF(Customers!$A$2:$A$1001,B2120)&gt;0,"Valid","Invalid")</f>
        <v>Valid</v>
      </c>
      <c r="R2120" t="str">
        <f>IF(COUNTIF(Branches!$A$2:$A$11,F2120)&gt;0,"Valid","Invalid")</f>
        <v>Valid</v>
      </c>
    </row>
    <row r="2121" spans="1:18" x14ac:dyDescent="0.25">
      <c r="A2121" t="s">
        <v>4192</v>
      </c>
      <c r="B2121" t="s">
        <v>589</v>
      </c>
      <c r="C2121" s="8">
        <v>46150</v>
      </c>
      <c r="D2121" t="s">
        <v>2065</v>
      </c>
      <c r="E2121" t="s">
        <v>2073</v>
      </c>
      <c r="F2121" t="s">
        <v>21</v>
      </c>
      <c r="G2121">
        <v>439.62</v>
      </c>
      <c r="H2121" t="s">
        <v>2060</v>
      </c>
      <c r="I2121" t="str">
        <f>VLOOKUP(B2121,Customers!A:G,7,FALSE)</f>
        <v>Individual</v>
      </c>
      <c r="Q2121" t="str">
        <f>IF(COUNTIF(Customers!$A$2:$A$1001,B2121)&gt;0,"Valid","Invalid")</f>
        <v>Valid</v>
      </c>
      <c r="R2121" t="str">
        <f>IF(COUNTIF(Branches!$A$2:$A$11,F2121)&gt;0,"Valid","Invalid")</f>
        <v>Valid</v>
      </c>
    </row>
    <row r="2122" spans="1:18" x14ac:dyDescent="0.25">
      <c r="A2122" t="s">
        <v>4193</v>
      </c>
      <c r="B2122" t="s">
        <v>418</v>
      </c>
      <c r="C2122" s="8">
        <v>46112</v>
      </c>
      <c r="D2122" t="s">
        <v>2058</v>
      </c>
      <c r="E2122" t="s">
        <v>2076</v>
      </c>
      <c r="F2122" t="s">
        <v>47</v>
      </c>
      <c r="G2122">
        <v>1366.05</v>
      </c>
      <c r="H2122" t="s">
        <v>2060</v>
      </c>
      <c r="I2122" t="str">
        <f>VLOOKUP(B2122,Customers!A:G,7,FALSE)</f>
        <v>Individual</v>
      </c>
      <c r="Q2122" t="str">
        <f>IF(COUNTIF(Customers!$A$2:$A$1001,B2122)&gt;0,"Valid","Invalid")</f>
        <v>Valid</v>
      </c>
      <c r="R2122" t="str">
        <f>IF(COUNTIF(Branches!$A$2:$A$11,F2122)&gt;0,"Valid","Invalid")</f>
        <v>Valid</v>
      </c>
    </row>
    <row r="2123" spans="1:18" x14ac:dyDescent="0.25">
      <c r="A2123" t="s">
        <v>4194</v>
      </c>
      <c r="B2123" t="s">
        <v>315</v>
      </c>
      <c r="C2123" s="8">
        <v>46226</v>
      </c>
      <c r="D2123" t="s">
        <v>2062</v>
      </c>
      <c r="E2123" t="s">
        <v>2076</v>
      </c>
      <c r="F2123" t="s">
        <v>16</v>
      </c>
      <c r="G2123">
        <v>746.78</v>
      </c>
      <c r="H2123" t="s">
        <v>2060</v>
      </c>
      <c r="I2123" t="str">
        <f>VLOOKUP(B2123,Customers!A:G,7,FALSE)</f>
        <v>SME</v>
      </c>
      <c r="Q2123" t="str">
        <f>IF(COUNTIF(Customers!$A$2:$A$1001,B2123)&gt;0,"Valid","Invalid")</f>
        <v>Valid</v>
      </c>
      <c r="R2123" t="str">
        <f>IF(COUNTIF(Branches!$A$2:$A$11,F2123)&gt;0,"Valid","Invalid")</f>
        <v>Valid</v>
      </c>
    </row>
    <row r="2124" spans="1:18" x14ac:dyDescent="0.25">
      <c r="A2124" t="s">
        <v>4195</v>
      </c>
      <c r="B2124" t="s">
        <v>644</v>
      </c>
      <c r="C2124" s="8">
        <v>46047</v>
      </c>
      <c r="D2124" t="s">
        <v>2062</v>
      </c>
      <c r="E2124" t="s">
        <v>2059</v>
      </c>
      <c r="F2124" t="s">
        <v>27</v>
      </c>
      <c r="G2124">
        <v>980.13</v>
      </c>
      <c r="H2124" t="s">
        <v>2060</v>
      </c>
      <c r="I2124" t="str">
        <f>VLOOKUP(B2124,Customers!A:G,7,FALSE)</f>
        <v>Individual</v>
      </c>
      <c r="Q2124" t="str">
        <f>IF(COUNTIF(Customers!$A$2:$A$1001,B2124)&gt;0,"Valid","Invalid")</f>
        <v>Valid</v>
      </c>
      <c r="R2124" t="str">
        <f>IF(COUNTIF(Branches!$A$2:$A$11,F2124)&gt;0,"Valid","Invalid")</f>
        <v>Valid</v>
      </c>
    </row>
    <row r="2125" spans="1:18" x14ac:dyDescent="0.25">
      <c r="A2125" t="s">
        <v>4196</v>
      </c>
      <c r="B2125" t="s">
        <v>469</v>
      </c>
      <c r="C2125" s="8">
        <v>46211</v>
      </c>
      <c r="D2125" t="s">
        <v>2058</v>
      </c>
      <c r="E2125" t="s">
        <v>2068</v>
      </c>
      <c r="F2125" t="s">
        <v>29</v>
      </c>
      <c r="G2125">
        <v>359.07</v>
      </c>
      <c r="H2125" t="s">
        <v>2060</v>
      </c>
      <c r="I2125" t="str">
        <f>VLOOKUP(B2125,Customers!A:G,7,FALSE)</f>
        <v>Individual</v>
      </c>
      <c r="Q2125" t="str">
        <f>IF(COUNTIF(Customers!$A$2:$A$1001,B2125)&gt;0,"Valid","Invalid")</f>
        <v>Valid</v>
      </c>
      <c r="R2125" t="str">
        <f>IF(COUNTIF(Branches!$A$2:$A$11,F2125)&gt;0,"Valid","Invalid")</f>
        <v>Valid</v>
      </c>
    </row>
    <row r="2126" spans="1:18" x14ac:dyDescent="0.25">
      <c r="A2126" t="s">
        <v>4197</v>
      </c>
      <c r="B2126" t="s">
        <v>151</v>
      </c>
      <c r="C2126" s="8">
        <v>46063</v>
      </c>
      <c r="D2126" t="s">
        <v>2058</v>
      </c>
      <c r="E2126" t="s">
        <v>2073</v>
      </c>
      <c r="F2126" t="s">
        <v>11</v>
      </c>
      <c r="G2126">
        <v>917.77</v>
      </c>
      <c r="H2126" t="s">
        <v>2060</v>
      </c>
      <c r="I2126" t="str">
        <f>VLOOKUP(B2126,Customers!A:G,7,FALSE)</f>
        <v>Individual</v>
      </c>
      <c r="Q2126" t="str">
        <f>IF(COUNTIF(Customers!$A$2:$A$1001,B2126)&gt;0,"Valid","Invalid")</f>
        <v>Valid</v>
      </c>
      <c r="R2126" t="str">
        <f>IF(COUNTIF(Branches!$A$2:$A$11,F2126)&gt;0,"Valid","Invalid")</f>
        <v>Valid</v>
      </c>
    </row>
    <row r="2127" spans="1:18" x14ac:dyDescent="0.25">
      <c r="A2127" t="s">
        <v>4198</v>
      </c>
      <c r="B2127" t="s">
        <v>726</v>
      </c>
      <c r="C2127" s="8">
        <v>46091</v>
      </c>
      <c r="D2127" t="s">
        <v>2067</v>
      </c>
      <c r="E2127" t="s">
        <v>2068</v>
      </c>
      <c r="F2127" t="s">
        <v>27</v>
      </c>
      <c r="G2127">
        <v>914.65</v>
      </c>
      <c r="H2127" t="s">
        <v>2060</v>
      </c>
      <c r="I2127" t="str">
        <f>VLOOKUP(B2127,Customers!A:G,7,FALSE)</f>
        <v>Individual</v>
      </c>
      <c r="Q2127" t="str">
        <f>IF(COUNTIF(Customers!$A$2:$A$1001,B2127)&gt;0,"Valid","Invalid")</f>
        <v>Valid</v>
      </c>
      <c r="R2127" t="str">
        <f>IF(COUNTIF(Branches!$A$2:$A$11,F2127)&gt;0,"Valid","Invalid")</f>
        <v>Valid</v>
      </c>
    </row>
    <row r="2128" spans="1:18" x14ac:dyDescent="0.25">
      <c r="A2128" t="s">
        <v>4199</v>
      </c>
      <c r="B2128" t="s">
        <v>157</v>
      </c>
      <c r="C2128" s="8">
        <v>46026</v>
      </c>
      <c r="D2128" t="s">
        <v>2070</v>
      </c>
      <c r="E2128" t="s">
        <v>2076</v>
      </c>
      <c r="F2128" t="s">
        <v>11</v>
      </c>
      <c r="G2128">
        <v>249.53</v>
      </c>
      <c r="H2128" t="s">
        <v>2060</v>
      </c>
      <c r="I2128" t="str">
        <f>VLOOKUP(B2128,Customers!A:G,7,FALSE)</f>
        <v>SME</v>
      </c>
      <c r="Q2128" t="str">
        <f>IF(COUNTIF(Customers!$A$2:$A$1001,B2128)&gt;0,"Valid","Invalid")</f>
        <v>Valid</v>
      </c>
      <c r="R2128" t="str">
        <f>IF(COUNTIF(Branches!$A$2:$A$11,F2128)&gt;0,"Valid","Invalid")</f>
        <v>Valid</v>
      </c>
    </row>
    <row r="2129" spans="1:18" x14ac:dyDescent="0.25">
      <c r="A2129" t="s">
        <v>4200</v>
      </c>
      <c r="B2129" t="s">
        <v>563</v>
      </c>
      <c r="C2129" s="8">
        <v>46258</v>
      </c>
      <c r="D2129" t="s">
        <v>2058</v>
      </c>
      <c r="E2129" t="s">
        <v>2063</v>
      </c>
      <c r="F2129" t="s">
        <v>39</v>
      </c>
      <c r="G2129">
        <v>1544.65</v>
      </c>
      <c r="H2129" t="s">
        <v>2060</v>
      </c>
      <c r="I2129" t="str">
        <f>VLOOKUP(B2129,Customers!A:G,7,FALSE)</f>
        <v>Individual</v>
      </c>
      <c r="Q2129" t="str">
        <f>IF(COUNTIF(Customers!$A$2:$A$1001,B2129)&gt;0,"Valid","Invalid")</f>
        <v>Valid</v>
      </c>
      <c r="R2129" t="str">
        <f>IF(COUNTIF(Branches!$A$2:$A$11,F2129)&gt;0,"Valid","Invalid")</f>
        <v>Valid</v>
      </c>
    </row>
    <row r="2130" spans="1:18" x14ac:dyDescent="0.25">
      <c r="A2130" t="s">
        <v>4201</v>
      </c>
      <c r="B2130" t="s">
        <v>1035</v>
      </c>
      <c r="C2130" s="8">
        <v>46262</v>
      </c>
      <c r="D2130" t="s">
        <v>2065</v>
      </c>
      <c r="E2130" t="s">
        <v>2076</v>
      </c>
      <c r="F2130" t="s">
        <v>35</v>
      </c>
      <c r="G2130">
        <v>148.4</v>
      </c>
      <c r="H2130" t="s">
        <v>2060</v>
      </c>
      <c r="I2130" t="str">
        <f>VLOOKUP(B2130,Customers!A:G,7,FALSE)</f>
        <v>Individual</v>
      </c>
      <c r="Q2130" t="str">
        <f>IF(COUNTIF(Customers!$A$2:$A$1001,B2130)&gt;0,"Valid","Invalid")</f>
        <v>Valid</v>
      </c>
      <c r="R2130" t="str">
        <f>IF(COUNTIF(Branches!$A$2:$A$11,F2130)&gt;0,"Valid","Invalid")</f>
        <v>Valid</v>
      </c>
    </row>
    <row r="2131" spans="1:18" x14ac:dyDescent="0.25">
      <c r="A2131" t="s">
        <v>4202</v>
      </c>
      <c r="B2131" t="s">
        <v>937</v>
      </c>
      <c r="C2131" s="8">
        <v>46127</v>
      </c>
      <c r="D2131" t="s">
        <v>2065</v>
      </c>
      <c r="E2131" t="s">
        <v>2076</v>
      </c>
      <c r="F2131" t="s">
        <v>21</v>
      </c>
      <c r="G2131">
        <v>976.76</v>
      </c>
      <c r="H2131" t="s">
        <v>2060</v>
      </c>
      <c r="I2131" t="str">
        <f>VLOOKUP(B2131,Customers!A:G,7,FALSE)</f>
        <v>SME</v>
      </c>
      <c r="Q2131" t="str">
        <f>IF(COUNTIF(Customers!$A$2:$A$1001,B2131)&gt;0,"Valid","Invalid")</f>
        <v>Valid</v>
      </c>
      <c r="R2131" t="str">
        <f>IF(COUNTIF(Branches!$A$2:$A$11,F2131)&gt;0,"Valid","Invalid")</f>
        <v>Valid</v>
      </c>
    </row>
    <row r="2132" spans="1:18" x14ac:dyDescent="0.25">
      <c r="A2132" t="s">
        <v>4203</v>
      </c>
      <c r="B2132" t="s">
        <v>454</v>
      </c>
      <c r="C2132" s="8">
        <v>46207</v>
      </c>
      <c r="D2132" t="s">
        <v>2058</v>
      </c>
      <c r="E2132" t="s">
        <v>2068</v>
      </c>
      <c r="F2132" t="s">
        <v>39</v>
      </c>
      <c r="G2132">
        <v>4748.54</v>
      </c>
      <c r="H2132" t="s">
        <v>2060</v>
      </c>
      <c r="I2132" t="str">
        <f>VLOOKUP(B2132,Customers!A:G,7,FALSE)</f>
        <v>Corporate</v>
      </c>
      <c r="Q2132" t="str">
        <f>IF(COUNTIF(Customers!$A$2:$A$1001,B2132)&gt;0,"Valid","Invalid")</f>
        <v>Valid</v>
      </c>
      <c r="R2132" t="str">
        <f>IF(COUNTIF(Branches!$A$2:$A$11,F2132)&gt;0,"Valid","Invalid")</f>
        <v>Valid</v>
      </c>
    </row>
    <row r="2133" spans="1:18" x14ac:dyDescent="0.25">
      <c r="A2133" t="s">
        <v>4204</v>
      </c>
      <c r="B2133" t="s">
        <v>199</v>
      </c>
      <c r="C2133" s="8">
        <v>46053</v>
      </c>
      <c r="D2133" t="s">
        <v>2058</v>
      </c>
      <c r="E2133" t="s">
        <v>2063</v>
      </c>
      <c r="F2133" t="s">
        <v>27</v>
      </c>
      <c r="G2133">
        <v>1604.47</v>
      </c>
      <c r="H2133" t="s">
        <v>2060</v>
      </c>
      <c r="I2133" t="str">
        <f>VLOOKUP(B2133,Customers!A:G,7,FALSE)</f>
        <v>Individual</v>
      </c>
      <c r="Q2133" t="str">
        <f>IF(COUNTIF(Customers!$A$2:$A$1001,B2133)&gt;0,"Valid","Invalid")</f>
        <v>Valid</v>
      </c>
      <c r="R2133" t="str">
        <f>IF(COUNTIF(Branches!$A$2:$A$11,F2133)&gt;0,"Valid","Invalid")</f>
        <v>Valid</v>
      </c>
    </row>
    <row r="2134" spans="1:18" x14ac:dyDescent="0.25">
      <c r="A2134" t="s">
        <v>4205</v>
      </c>
      <c r="B2134" t="s">
        <v>825</v>
      </c>
      <c r="C2134" s="8">
        <v>46153</v>
      </c>
      <c r="D2134" t="s">
        <v>2065</v>
      </c>
      <c r="E2134" t="s">
        <v>2076</v>
      </c>
      <c r="F2134" t="s">
        <v>47</v>
      </c>
      <c r="G2134">
        <v>1594.47</v>
      </c>
      <c r="H2134" t="s">
        <v>2060</v>
      </c>
      <c r="I2134" t="str">
        <f>VLOOKUP(B2134,Customers!A:G,7,FALSE)</f>
        <v>SME</v>
      </c>
      <c r="Q2134" t="str">
        <f>IF(COUNTIF(Customers!$A$2:$A$1001,B2134)&gt;0,"Valid","Invalid")</f>
        <v>Valid</v>
      </c>
      <c r="R2134" t="str">
        <f>IF(COUNTIF(Branches!$A$2:$A$11,F2134)&gt;0,"Valid","Invalid")</f>
        <v>Valid</v>
      </c>
    </row>
    <row r="2135" spans="1:18" x14ac:dyDescent="0.25">
      <c r="A2135" t="s">
        <v>4206</v>
      </c>
      <c r="B2135" t="s">
        <v>948</v>
      </c>
      <c r="C2135" s="8">
        <v>46139</v>
      </c>
      <c r="D2135" t="s">
        <v>2062</v>
      </c>
      <c r="E2135" t="s">
        <v>2063</v>
      </c>
      <c r="F2135" t="s">
        <v>53</v>
      </c>
      <c r="G2135">
        <v>331.15</v>
      </c>
      <c r="H2135" t="s">
        <v>2060</v>
      </c>
      <c r="I2135" t="str">
        <f>VLOOKUP(B2135,Customers!A:G,7,FALSE)</f>
        <v>SME</v>
      </c>
      <c r="Q2135" t="str">
        <f>IF(COUNTIF(Customers!$A$2:$A$1001,B2135)&gt;0,"Valid","Invalid")</f>
        <v>Valid</v>
      </c>
      <c r="R2135" t="str">
        <f>IF(COUNTIF(Branches!$A$2:$A$11,F2135)&gt;0,"Valid","Invalid")</f>
        <v>Valid</v>
      </c>
    </row>
    <row r="2136" spans="1:18" x14ac:dyDescent="0.25">
      <c r="A2136" t="s">
        <v>4207</v>
      </c>
      <c r="B2136" t="s">
        <v>726</v>
      </c>
      <c r="C2136" s="8">
        <v>46217</v>
      </c>
      <c r="D2136" t="s">
        <v>2062</v>
      </c>
      <c r="E2136" t="s">
        <v>2068</v>
      </c>
      <c r="F2136" t="s">
        <v>11</v>
      </c>
      <c r="G2136">
        <v>4765.04</v>
      </c>
      <c r="H2136" t="s">
        <v>2060</v>
      </c>
      <c r="I2136" t="str">
        <f>VLOOKUP(B2136,Customers!A:G,7,FALSE)</f>
        <v>Individual</v>
      </c>
      <c r="Q2136" t="str">
        <f>IF(COUNTIF(Customers!$A$2:$A$1001,B2136)&gt;0,"Valid","Invalid")</f>
        <v>Valid</v>
      </c>
      <c r="R2136" t="str">
        <f>IF(COUNTIF(Branches!$A$2:$A$11,F2136)&gt;0,"Valid","Invalid")</f>
        <v>Valid</v>
      </c>
    </row>
    <row r="2137" spans="1:18" x14ac:dyDescent="0.25">
      <c r="A2137" t="s">
        <v>4208</v>
      </c>
      <c r="B2137" t="s">
        <v>1020</v>
      </c>
      <c r="C2137" s="8">
        <v>46112</v>
      </c>
      <c r="D2137" t="s">
        <v>2058</v>
      </c>
      <c r="E2137" t="s">
        <v>2063</v>
      </c>
      <c r="F2137" t="s">
        <v>16</v>
      </c>
      <c r="G2137">
        <v>3218.65</v>
      </c>
      <c r="H2137" t="s">
        <v>2060</v>
      </c>
      <c r="I2137" t="str">
        <f>VLOOKUP(B2137,Customers!A:G,7,FALSE)</f>
        <v>Individual</v>
      </c>
      <c r="Q2137" t="str">
        <f>IF(COUNTIF(Customers!$A$2:$A$1001,B2137)&gt;0,"Valid","Invalid")</f>
        <v>Valid</v>
      </c>
      <c r="R2137" t="str">
        <f>IF(COUNTIF(Branches!$A$2:$A$11,F2137)&gt;0,"Valid","Invalid")</f>
        <v>Valid</v>
      </c>
    </row>
    <row r="2138" spans="1:18" x14ac:dyDescent="0.25">
      <c r="A2138" t="s">
        <v>4209</v>
      </c>
      <c r="B2138" t="s">
        <v>375</v>
      </c>
      <c r="C2138" s="8">
        <v>46200</v>
      </c>
      <c r="D2138" t="s">
        <v>2065</v>
      </c>
      <c r="E2138" t="s">
        <v>2076</v>
      </c>
      <c r="F2138" t="s">
        <v>35</v>
      </c>
      <c r="G2138">
        <v>349.47</v>
      </c>
      <c r="H2138" t="s">
        <v>2060</v>
      </c>
      <c r="I2138" t="str">
        <f>VLOOKUP(B2138,Customers!A:G,7,FALSE)</f>
        <v>SME</v>
      </c>
      <c r="Q2138" t="str">
        <f>IF(COUNTIF(Customers!$A$2:$A$1001,B2138)&gt;0,"Valid","Invalid")</f>
        <v>Valid</v>
      </c>
      <c r="R2138" t="str">
        <f>IF(COUNTIF(Branches!$A$2:$A$11,F2138)&gt;0,"Valid","Invalid")</f>
        <v>Valid</v>
      </c>
    </row>
    <row r="2139" spans="1:18" x14ac:dyDescent="0.25">
      <c r="A2139" t="s">
        <v>4210</v>
      </c>
      <c r="B2139" t="s">
        <v>417</v>
      </c>
      <c r="C2139" s="8">
        <v>46167</v>
      </c>
      <c r="D2139" t="s">
        <v>2067</v>
      </c>
      <c r="E2139" t="s">
        <v>2063</v>
      </c>
      <c r="F2139" t="s">
        <v>29</v>
      </c>
      <c r="G2139">
        <v>505.34</v>
      </c>
      <c r="H2139" t="s">
        <v>2060</v>
      </c>
      <c r="I2139" t="str">
        <f>VLOOKUP(B2139,Customers!A:G,7,FALSE)</f>
        <v>Individual</v>
      </c>
      <c r="Q2139" t="str">
        <f>IF(COUNTIF(Customers!$A$2:$A$1001,B2139)&gt;0,"Valid","Invalid")</f>
        <v>Valid</v>
      </c>
      <c r="R2139" t="str">
        <f>IF(COUNTIF(Branches!$A$2:$A$11,F2139)&gt;0,"Valid","Invalid")</f>
        <v>Valid</v>
      </c>
    </row>
    <row r="2140" spans="1:18" x14ac:dyDescent="0.25">
      <c r="A2140" t="s">
        <v>4211</v>
      </c>
      <c r="B2140" t="s">
        <v>362</v>
      </c>
      <c r="C2140" s="8">
        <v>46210</v>
      </c>
      <c r="D2140" t="s">
        <v>2070</v>
      </c>
      <c r="E2140" t="s">
        <v>2063</v>
      </c>
      <c r="F2140" t="s">
        <v>45</v>
      </c>
      <c r="G2140">
        <v>2848.81</v>
      </c>
      <c r="H2140" t="s">
        <v>2060</v>
      </c>
      <c r="I2140" t="str">
        <f>VLOOKUP(B2140,Customers!A:G,7,FALSE)</f>
        <v>Student</v>
      </c>
      <c r="Q2140" t="str">
        <f>IF(COUNTIF(Customers!$A$2:$A$1001,B2140)&gt;0,"Valid","Invalid")</f>
        <v>Valid</v>
      </c>
      <c r="R2140" t="str">
        <f>IF(COUNTIF(Branches!$A$2:$A$11,F2140)&gt;0,"Valid","Invalid")</f>
        <v>Valid</v>
      </c>
    </row>
    <row r="2141" spans="1:18" x14ac:dyDescent="0.25">
      <c r="A2141" t="s">
        <v>4212</v>
      </c>
      <c r="B2141" t="s">
        <v>209</v>
      </c>
      <c r="C2141" s="8">
        <v>46224</v>
      </c>
      <c r="D2141" t="s">
        <v>2062</v>
      </c>
      <c r="E2141" t="s">
        <v>2076</v>
      </c>
      <c r="F2141" t="s">
        <v>39</v>
      </c>
      <c r="G2141">
        <v>4895.87</v>
      </c>
      <c r="H2141" t="s">
        <v>2060</v>
      </c>
      <c r="I2141" t="str">
        <f>VLOOKUP(B2141,Customers!A:G,7,FALSE)</f>
        <v>Individual</v>
      </c>
      <c r="Q2141" t="str">
        <f>IF(COUNTIF(Customers!$A$2:$A$1001,B2141)&gt;0,"Valid","Invalid")</f>
        <v>Valid</v>
      </c>
      <c r="R2141" t="str">
        <f>IF(COUNTIF(Branches!$A$2:$A$11,F2141)&gt;0,"Valid","Invalid")</f>
        <v>Valid</v>
      </c>
    </row>
    <row r="2142" spans="1:18" x14ac:dyDescent="0.25">
      <c r="A2142" t="s">
        <v>4213</v>
      </c>
      <c r="B2142" t="s">
        <v>1038</v>
      </c>
      <c r="C2142" s="8">
        <v>46088</v>
      </c>
      <c r="D2142" t="s">
        <v>2067</v>
      </c>
      <c r="E2142" t="s">
        <v>2063</v>
      </c>
      <c r="F2142" t="s">
        <v>16</v>
      </c>
      <c r="G2142">
        <v>229.36</v>
      </c>
      <c r="H2142" t="s">
        <v>2060</v>
      </c>
      <c r="I2142" t="str">
        <f>VLOOKUP(B2142,Customers!A:G,7,FALSE)</f>
        <v>Individual</v>
      </c>
      <c r="Q2142" t="str">
        <f>IF(COUNTIF(Customers!$A$2:$A$1001,B2142)&gt;0,"Valid","Invalid")</f>
        <v>Valid</v>
      </c>
      <c r="R2142" t="str">
        <f>IF(COUNTIF(Branches!$A$2:$A$11,F2142)&gt;0,"Valid","Invalid")</f>
        <v>Valid</v>
      </c>
    </row>
    <row r="2143" spans="1:18" x14ac:dyDescent="0.25">
      <c r="A2143" t="s">
        <v>4214</v>
      </c>
      <c r="B2143" t="s">
        <v>825</v>
      </c>
      <c r="C2143" s="8">
        <v>46110</v>
      </c>
      <c r="D2143" t="s">
        <v>2065</v>
      </c>
      <c r="E2143" t="s">
        <v>2076</v>
      </c>
      <c r="F2143" t="s">
        <v>53</v>
      </c>
      <c r="G2143">
        <v>297.76</v>
      </c>
      <c r="H2143" t="s">
        <v>2060</v>
      </c>
      <c r="I2143" t="str">
        <f>VLOOKUP(B2143,Customers!A:G,7,FALSE)</f>
        <v>SME</v>
      </c>
      <c r="Q2143" t="str">
        <f>IF(COUNTIF(Customers!$A$2:$A$1001,B2143)&gt;0,"Valid","Invalid")</f>
        <v>Valid</v>
      </c>
      <c r="R2143" t="str">
        <f>IF(COUNTIF(Branches!$A$2:$A$11,F2143)&gt;0,"Valid","Invalid")</f>
        <v>Valid</v>
      </c>
    </row>
    <row r="2144" spans="1:18" x14ac:dyDescent="0.25">
      <c r="A2144" t="s">
        <v>4215</v>
      </c>
      <c r="B2144" t="s">
        <v>100</v>
      </c>
      <c r="C2144" s="8">
        <v>46225</v>
      </c>
      <c r="D2144" t="s">
        <v>2067</v>
      </c>
      <c r="E2144" t="s">
        <v>2073</v>
      </c>
      <c r="F2144" t="s">
        <v>21</v>
      </c>
      <c r="G2144">
        <v>703.6</v>
      </c>
      <c r="H2144" t="s">
        <v>2060</v>
      </c>
      <c r="I2144" t="str">
        <f>VLOOKUP(B2144,Customers!A:G,7,FALSE)</f>
        <v>Individual</v>
      </c>
      <c r="Q2144" t="str">
        <f>IF(COUNTIF(Customers!$A$2:$A$1001,B2144)&gt;0,"Valid","Invalid")</f>
        <v>Valid</v>
      </c>
      <c r="R2144" t="str">
        <f>IF(COUNTIF(Branches!$A$2:$A$11,F2144)&gt;0,"Valid","Invalid")</f>
        <v>Valid</v>
      </c>
    </row>
    <row r="2145" spans="1:18" x14ac:dyDescent="0.25">
      <c r="A2145" t="s">
        <v>4216</v>
      </c>
      <c r="B2145" t="s">
        <v>137</v>
      </c>
      <c r="C2145" s="8">
        <v>46046</v>
      </c>
      <c r="D2145" t="s">
        <v>2067</v>
      </c>
      <c r="E2145" t="s">
        <v>2073</v>
      </c>
      <c r="F2145" t="s">
        <v>27</v>
      </c>
      <c r="G2145">
        <v>92.66</v>
      </c>
      <c r="H2145" t="s">
        <v>2060</v>
      </c>
      <c r="I2145" t="str">
        <f>VLOOKUP(B2145,Customers!A:G,7,FALSE)</f>
        <v>Individual</v>
      </c>
      <c r="Q2145" t="str">
        <f>IF(COUNTIF(Customers!$A$2:$A$1001,B2145)&gt;0,"Valid","Invalid")</f>
        <v>Valid</v>
      </c>
      <c r="R2145" t="str">
        <f>IF(COUNTIF(Branches!$A$2:$A$11,F2145)&gt;0,"Valid","Invalid")</f>
        <v>Valid</v>
      </c>
    </row>
    <row r="2146" spans="1:18" x14ac:dyDescent="0.25">
      <c r="A2146" t="s">
        <v>4217</v>
      </c>
      <c r="B2146" t="s">
        <v>360</v>
      </c>
      <c r="C2146" s="8">
        <v>46121</v>
      </c>
      <c r="D2146" t="s">
        <v>2058</v>
      </c>
      <c r="E2146" t="s">
        <v>2063</v>
      </c>
      <c r="F2146" t="s">
        <v>29</v>
      </c>
      <c r="G2146">
        <v>828.03</v>
      </c>
      <c r="H2146" t="s">
        <v>2060</v>
      </c>
      <c r="I2146" t="str">
        <f>VLOOKUP(B2146,Customers!A:G,7,FALSE)</f>
        <v>SME</v>
      </c>
      <c r="Q2146" t="str">
        <f>IF(COUNTIF(Customers!$A$2:$A$1001,B2146)&gt;0,"Valid","Invalid")</f>
        <v>Valid</v>
      </c>
      <c r="R2146" t="str">
        <f>IF(COUNTIF(Branches!$A$2:$A$11,F2146)&gt;0,"Valid","Invalid")</f>
        <v>Valid</v>
      </c>
    </row>
    <row r="2147" spans="1:18" x14ac:dyDescent="0.25">
      <c r="A2147" t="s">
        <v>4218</v>
      </c>
      <c r="B2147" t="s">
        <v>1013</v>
      </c>
      <c r="C2147" s="8">
        <v>46237</v>
      </c>
      <c r="D2147" t="s">
        <v>2070</v>
      </c>
      <c r="E2147" t="s">
        <v>2068</v>
      </c>
      <c r="F2147" t="s">
        <v>29</v>
      </c>
      <c r="G2147">
        <v>2659.1</v>
      </c>
      <c r="H2147" t="s">
        <v>2060</v>
      </c>
      <c r="I2147" t="str">
        <f>VLOOKUP(B2147,Customers!A:G,7,FALSE)</f>
        <v>Student</v>
      </c>
      <c r="Q2147" t="str">
        <f>IF(COUNTIF(Customers!$A$2:$A$1001,B2147)&gt;0,"Valid","Invalid")</f>
        <v>Valid</v>
      </c>
      <c r="R2147" t="str">
        <f>IF(COUNTIF(Branches!$A$2:$A$11,F2147)&gt;0,"Valid","Invalid")</f>
        <v>Valid</v>
      </c>
    </row>
    <row r="2148" spans="1:18" x14ac:dyDescent="0.25">
      <c r="A2148" t="s">
        <v>4219</v>
      </c>
      <c r="B2148" t="s">
        <v>102</v>
      </c>
      <c r="C2148" s="8">
        <v>46182</v>
      </c>
      <c r="D2148" t="s">
        <v>2067</v>
      </c>
      <c r="E2148" t="s">
        <v>2059</v>
      </c>
      <c r="F2148" t="s">
        <v>29</v>
      </c>
      <c r="G2148">
        <v>192.74</v>
      </c>
      <c r="H2148" t="s">
        <v>2115</v>
      </c>
      <c r="I2148" t="str">
        <f>VLOOKUP(B2148,Customers!A:G,7,FALSE)</f>
        <v>Corporate</v>
      </c>
      <c r="Q2148" t="str">
        <f>IF(COUNTIF(Customers!$A$2:$A$1001,B2148)&gt;0,"Valid","Invalid")</f>
        <v>Valid</v>
      </c>
      <c r="R2148" t="str">
        <f>IF(COUNTIF(Branches!$A$2:$A$11,F2148)&gt;0,"Valid","Invalid")</f>
        <v>Valid</v>
      </c>
    </row>
    <row r="2149" spans="1:18" x14ac:dyDescent="0.25">
      <c r="A2149" t="s">
        <v>4220</v>
      </c>
      <c r="B2149" t="s">
        <v>881</v>
      </c>
      <c r="C2149" s="8">
        <v>46237</v>
      </c>
      <c r="D2149" t="s">
        <v>2065</v>
      </c>
      <c r="E2149" t="s">
        <v>2073</v>
      </c>
      <c r="F2149" t="s">
        <v>11</v>
      </c>
      <c r="G2149">
        <v>922.52</v>
      </c>
      <c r="H2149" t="s">
        <v>2060</v>
      </c>
      <c r="I2149" t="str">
        <f>VLOOKUP(B2149,Customers!A:G,7,FALSE)</f>
        <v>Individual</v>
      </c>
      <c r="Q2149" t="str">
        <f>IF(COUNTIF(Customers!$A$2:$A$1001,B2149)&gt;0,"Valid","Invalid")</f>
        <v>Valid</v>
      </c>
      <c r="R2149" t="str">
        <f>IF(COUNTIF(Branches!$A$2:$A$11,F2149)&gt;0,"Valid","Invalid")</f>
        <v>Valid</v>
      </c>
    </row>
    <row r="2150" spans="1:18" x14ac:dyDescent="0.25">
      <c r="A2150" t="s">
        <v>4221</v>
      </c>
      <c r="B2150" t="s">
        <v>595</v>
      </c>
      <c r="C2150" s="8">
        <v>46248</v>
      </c>
      <c r="D2150" t="s">
        <v>2062</v>
      </c>
      <c r="E2150" t="s">
        <v>2068</v>
      </c>
      <c r="F2150" t="s">
        <v>47</v>
      </c>
      <c r="G2150">
        <v>454.06</v>
      </c>
      <c r="H2150" t="s">
        <v>2060</v>
      </c>
      <c r="I2150" t="str">
        <f>VLOOKUP(B2150,Customers!A:G,7,FALSE)</f>
        <v>Individual</v>
      </c>
      <c r="Q2150" t="str">
        <f>IF(COUNTIF(Customers!$A$2:$A$1001,B2150)&gt;0,"Valid","Invalid")</f>
        <v>Valid</v>
      </c>
      <c r="R2150" t="str">
        <f>IF(COUNTIF(Branches!$A$2:$A$11,F2150)&gt;0,"Valid","Invalid")</f>
        <v>Valid</v>
      </c>
    </row>
    <row r="2151" spans="1:18" x14ac:dyDescent="0.25">
      <c r="A2151" t="s">
        <v>4222</v>
      </c>
      <c r="B2151" t="s">
        <v>637</v>
      </c>
      <c r="C2151" s="8">
        <v>46127</v>
      </c>
      <c r="D2151" t="s">
        <v>2065</v>
      </c>
      <c r="E2151" t="s">
        <v>2063</v>
      </c>
      <c r="F2151" t="s">
        <v>21</v>
      </c>
      <c r="G2151">
        <v>4187.8599999999997</v>
      </c>
      <c r="H2151" t="s">
        <v>2060</v>
      </c>
      <c r="I2151" t="str">
        <f>VLOOKUP(B2151,Customers!A:G,7,FALSE)</f>
        <v>Individual</v>
      </c>
      <c r="Q2151" t="str">
        <f>IF(COUNTIF(Customers!$A$2:$A$1001,B2151)&gt;0,"Valid","Invalid")</f>
        <v>Valid</v>
      </c>
      <c r="R2151" t="str">
        <f>IF(COUNTIF(Branches!$A$2:$A$11,F2151)&gt;0,"Valid","Invalid")</f>
        <v>Valid</v>
      </c>
    </row>
    <row r="2152" spans="1:18" x14ac:dyDescent="0.25">
      <c r="A2152" t="s">
        <v>4223</v>
      </c>
      <c r="B2152" t="s">
        <v>496</v>
      </c>
      <c r="C2152" s="8">
        <v>46041</v>
      </c>
      <c r="D2152" t="s">
        <v>2070</v>
      </c>
      <c r="E2152" t="s">
        <v>2059</v>
      </c>
      <c r="F2152" t="s">
        <v>21</v>
      </c>
      <c r="G2152">
        <v>459.53</v>
      </c>
      <c r="H2152" t="s">
        <v>2060</v>
      </c>
      <c r="I2152" t="str">
        <f>VLOOKUP(B2152,Customers!A:G,7,FALSE)</f>
        <v>Individual</v>
      </c>
      <c r="Q2152" t="str">
        <f>IF(COUNTIF(Customers!$A$2:$A$1001,B2152)&gt;0,"Valid","Invalid")</f>
        <v>Valid</v>
      </c>
      <c r="R2152" t="str">
        <f>IF(COUNTIF(Branches!$A$2:$A$11,F2152)&gt;0,"Valid","Invalid")</f>
        <v>Valid</v>
      </c>
    </row>
    <row r="2153" spans="1:18" x14ac:dyDescent="0.25">
      <c r="A2153" t="s">
        <v>4224</v>
      </c>
      <c r="B2153" t="s">
        <v>617</v>
      </c>
      <c r="C2153" s="8">
        <v>46088</v>
      </c>
      <c r="D2153" t="s">
        <v>2058</v>
      </c>
      <c r="E2153" t="s">
        <v>2063</v>
      </c>
      <c r="F2153" t="s">
        <v>16</v>
      </c>
      <c r="G2153">
        <v>3710.76</v>
      </c>
      <c r="H2153" t="s">
        <v>2060</v>
      </c>
      <c r="I2153" t="str">
        <f>VLOOKUP(B2153,Customers!A:G,7,FALSE)</f>
        <v>Individual</v>
      </c>
      <c r="Q2153" t="str">
        <f>IF(COUNTIF(Customers!$A$2:$A$1001,B2153)&gt;0,"Valid","Invalid")</f>
        <v>Valid</v>
      </c>
      <c r="R2153" t="str">
        <f>IF(COUNTIF(Branches!$A$2:$A$11,F2153)&gt;0,"Valid","Invalid")</f>
        <v>Valid</v>
      </c>
    </row>
    <row r="2154" spans="1:18" x14ac:dyDescent="0.25">
      <c r="A2154" t="s">
        <v>4225</v>
      </c>
      <c r="B2154" t="s">
        <v>491</v>
      </c>
      <c r="C2154" s="8">
        <v>46082</v>
      </c>
      <c r="D2154" t="s">
        <v>2070</v>
      </c>
      <c r="E2154" t="s">
        <v>2068</v>
      </c>
      <c r="F2154" t="s">
        <v>11</v>
      </c>
      <c r="G2154">
        <v>446.99</v>
      </c>
      <c r="H2154" t="s">
        <v>2060</v>
      </c>
      <c r="I2154" t="str">
        <f>VLOOKUP(B2154,Customers!A:G,7,FALSE)</f>
        <v>Individual</v>
      </c>
      <c r="Q2154" t="str">
        <f>IF(COUNTIF(Customers!$A$2:$A$1001,B2154)&gt;0,"Valid","Invalid")</f>
        <v>Valid</v>
      </c>
      <c r="R2154" t="str">
        <f>IF(COUNTIF(Branches!$A$2:$A$11,F2154)&gt;0,"Valid","Invalid")</f>
        <v>Valid</v>
      </c>
    </row>
    <row r="2155" spans="1:18" x14ac:dyDescent="0.25">
      <c r="A2155" t="s">
        <v>4226</v>
      </c>
      <c r="B2155" t="s">
        <v>297</v>
      </c>
      <c r="C2155" s="8">
        <v>46137</v>
      </c>
      <c r="D2155" t="s">
        <v>2065</v>
      </c>
      <c r="E2155" t="s">
        <v>2059</v>
      </c>
      <c r="F2155" t="s">
        <v>16</v>
      </c>
      <c r="G2155">
        <v>1756.67</v>
      </c>
      <c r="H2155" t="s">
        <v>2060</v>
      </c>
      <c r="I2155" t="str">
        <f>VLOOKUP(B2155,Customers!A:G,7,FALSE)</f>
        <v>Individual</v>
      </c>
      <c r="Q2155" t="str">
        <f>IF(COUNTIF(Customers!$A$2:$A$1001,B2155)&gt;0,"Valid","Invalid")</f>
        <v>Valid</v>
      </c>
      <c r="R2155" t="str">
        <f>IF(COUNTIF(Branches!$A$2:$A$11,F2155)&gt;0,"Valid","Invalid")</f>
        <v>Valid</v>
      </c>
    </row>
    <row r="2156" spans="1:18" x14ac:dyDescent="0.25">
      <c r="A2156" t="s">
        <v>4227</v>
      </c>
      <c r="B2156" t="s">
        <v>972</v>
      </c>
      <c r="C2156" s="8">
        <v>46216</v>
      </c>
      <c r="D2156" t="s">
        <v>2065</v>
      </c>
      <c r="E2156" t="s">
        <v>2076</v>
      </c>
      <c r="F2156" t="s">
        <v>39</v>
      </c>
      <c r="G2156">
        <v>1045.18</v>
      </c>
      <c r="H2156" t="s">
        <v>2060</v>
      </c>
      <c r="I2156" t="str">
        <f>VLOOKUP(B2156,Customers!A:G,7,FALSE)</f>
        <v>Individual</v>
      </c>
      <c r="Q2156" t="str">
        <f>IF(COUNTIF(Customers!$A$2:$A$1001,B2156)&gt;0,"Valid","Invalid")</f>
        <v>Valid</v>
      </c>
      <c r="R2156" t="str">
        <f>IF(COUNTIF(Branches!$A$2:$A$11,F2156)&gt;0,"Valid","Invalid")</f>
        <v>Valid</v>
      </c>
    </row>
    <row r="2157" spans="1:18" x14ac:dyDescent="0.25">
      <c r="A2157" t="s">
        <v>4228</v>
      </c>
      <c r="B2157" t="s">
        <v>755</v>
      </c>
      <c r="C2157" s="8">
        <v>46037</v>
      </c>
      <c r="D2157" t="s">
        <v>2058</v>
      </c>
      <c r="E2157" t="s">
        <v>2076</v>
      </c>
      <c r="F2157" t="s">
        <v>53</v>
      </c>
      <c r="G2157">
        <v>707.49</v>
      </c>
      <c r="H2157" t="s">
        <v>2060</v>
      </c>
      <c r="I2157" t="str">
        <f>VLOOKUP(B2157,Customers!A:G,7,FALSE)</f>
        <v>Individual</v>
      </c>
      <c r="Q2157" t="str">
        <f>IF(COUNTIF(Customers!$A$2:$A$1001,B2157)&gt;0,"Valid","Invalid")</f>
        <v>Valid</v>
      </c>
      <c r="R2157" t="str">
        <f>IF(COUNTIF(Branches!$A$2:$A$11,F2157)&gt;0,"Valid","Invalid")</f>
        <v>Valid</v>
      </c>
    </row>
    <row r="2158" spans="1:18" x14ac:dyDescent="0.25">
      <c r="A2158" t="s">
        <v>4229</v>
      </c>
      <c r="B2158" t="s">
        <v>464</v>
      </c>
      <c r="C2158" s="8">
        <v>46107</v>
      </c>
      <c r="D2158" t="s">
        <v>2067</v>
      </c>
      <c r="E2158" t="s">
        <v>2073</v>
      </c>
      <c r="F2158" t="s">
        <v>39</v>
      </c>
      <c r="G2158">
        <v>368.51</v>
      </c>
      <c r="H2158" t="s">
        <v>2060</v>
      </c>
      <c r="I2158" t="str">
        <f>VLOOKUP(B2158,Customers!A:G,7,FALSE)</f>
        <v>Student</v>
      </c>
      <c r="Q2158" t="str">
        <f>IF(COUNTIF(Customers!$A$2:$A$1001,B2158)&gt;0,"Valid","Invalid")</f>
        <v>Valid</v>
      </c>
      <c r="R2158" t="str">
        <f>IF(COUNTIF(Branches!$A$2:$A$11,F2158)&gt;0,"Valid","Invalid")</f>
        <v>Valid</v>
      </c>
    </row>
    <row r="2159" spans="1:18" x14ac:dyDescent="0.25">
      <c r="A2159" t="s">
        <v>4230</v>
      </c>
      <c r="B2159" t="s">
        <v>1017</v>
      </c>
      <c r="C2159" s="8">
        <v>46185</v>
      </c>
      <c r="D2159" t="s">
        <v>2067</v>
      </c>
      <c r="E2159" t="s">
        <v>2073</v>
      </c>
      <c r="F2159" t="s">
        <v>39</v>
      </c>
      <c r="G2159">
        <v>1122.26</v>
      </c>
      <c r="H2159" t="s">
        <v>2060</v>
      </c>
      <c r="I2159" t="str">
        <f>VLOOKUP(B2159,Customers!A:G,7,FALSE)</f>
        <v>SME</v>
      </c>
      <c r="Q2159" t="str">
        <f>IF(COUNTIF(Customers!$A$2:$A$1001,B2159)&gt;0,"Valid","Invalid")</f>
        <v>Valid</v>
      </c>
      <c r="R2159" t="str">
        <f>IF(COUNTIF(Branches!$A$2:$A$11,F2159)&gt;0,"Valid","Invalid")</f>
        <v>Valid</v>
      </c>
    </row>
    <row r="2160" spans="1:18" x14ac:dyDescent="0.25">
      <c r="A2160" t="s">
        <v>4231</v>
      </c>
      <c r="B2160" t="s">
        <v>974</v>
      </c>
      <c r="C2160" s="8">
        <v>46219</v>
      </c>
      <c r="D2160" t="s">
        <v>2070</v>
      </c>
      <c r="E2160" t="s">
        <v>2059</v>
      </c>
      <c r="F2160" t="s">
        <v>47</v>
      </c>
      <c r="G2160">
        <v>522.94000000000005</v>
      </c>
      <c r="H2160" t="s">
        <v>2060</v>
      </c>
      <c r="I2160" t="str">
        <f>VLOOKUP(B2160,Customers!A:G,7,FALSE)</f>
        <v>SME</v>
      </c>
      <c r="Q2160" t="str">
        <f>IF(COUNTIF(Customers!$A$2:$A$1001,B2160)&gt;0,"Valid","Invalid")</f>
        <v>Valid</v>
      </c>
      <c r="R2160" t="str">
        <f>IF(COUNTIF(Branches!$A$2:$A$11,F2160)&gt;0,"Valid","Invalid")</f>
        <v>Valid</v>
      </c>
    </row>
    <row r="2161" spans="1:18" x14ac:dyDescent="0.25">
      <c r="A2161" t="s">
        <v>4232</v>
      </c>
      <c r="B2161" t="s">
        <v>214</v>
      </c>
      <c r="C2161" s="8">
        <v>46257</v>
      </c>
      <c r="D2161" t="s">
        <v>2062</v>
      </c>
      <c r="E2161" t="s">
        <v>2076</v>
      </c>
      <c r="F2161" t="s">
        <v>21</v>
      </c>
      <c r="G2161">
        <v>407.58</v>
      </c>
      <c r="H2161" t="s">
        <v>2060</v>
      </c>
      <c r="I2161" t="str">
        <f>VLOOKUP(B2161,Customers!A:G,7,FALSE)</f>
        <v>Student</v>
      </c>
      <c r="Q2161" t="str">
        <f>IF(COUNTIF(Customers!$A$2:$A$1001,B2161)&gt;0,"Valid","Invalid")</f>
        <v>Valid</v>
      </c>
      <c r="R2161" t="str">
        <f>IF(COUNTIF(Branches!$A$2:$A$11,F2161)&gt;0,"Valid","Invalid")</f>
        <v>Valid</v>
      </c>
    </row>
    <row r="2162" spans="1:18" x14ac:dyDescent="0.25">
      <c r="A2162" t="s">
        <v>4233</v>
      </c>
      <c r="B2162" t="s">
        <v>969</v>
      </c>
      <c r="C2162" s="8">
        <v>46177</v>
      </c>
      <c r="D2162" t="s">
        <v>2058</v>
      </c>
      <c r="E2162" t="s">
        <v>2068</v>
      </c>
      <c r="F2162" t="s">
        <v>21</v>
      </c>
      <c r="G2162">
        <v>3542.98</v>
      </c>
      <c r="H2162" t="s">
        <v>2060</v>
      </c>
      <c r="I2162" t="str">
        <f>VLOOKUP(B2162,Customers!A:G,7,FALSE)</f>
        <v>Individual</v>
      </c>
      <c r="Q2162" t="str">
        <f>IF(COUNTIF(Customers!$A$2:$A$1001,B2162)&gt;0,"Valid","Invalid")</f>
        <v>Valid</v>
      </c>
      <c r="R2162" t="str">
        <f>IF(COUNTIF(Branches!$A$2:$A$11,F2162)&gt;0,"Valid","Invalid")</f>
        <v>Valid</v>
      </c>
    </row>
    <row r="2163" spans="1:18" x14ac:dyDescent="0.25">
      <c r="A2163" t="s">
        <v>4234</v>
      </c>
      <c r="B2163" t="s">
        <v>318</v>
      </c>
      <c r="C2163" s="8">
        <v>46110</v>
      </c>
      <c r="D2163" t="s">
        <v>2065</v>
      </c>
      <c r="E2163" t="s">
        <v>2068</v>
      </c>
      <c r="F2163" t="s">
        <v>16</v>
      </c>
      <c r="G2163">
        <v>1404.63</v>
      </c>
      <c r="H2163" t="s">
        <v>2060</v>
      </c>
      <c r="I2163" t="str">
        <f>VLOOKUP(B2163,Customers!A:G,7,FALSE)</f>
        <v>Individual</v>
      </c>
      <c r="Q2163" t="str">
        <f>IF(COUNTIF(Customers!$A$2:$A$1001,B2163)&gt;0,"Valid","Invalid")</f>
        <v>Valid</v>
      </c>
      <c r="R2163" t="str">
        <f>IF(COUNTIF(Branches!$A$2:$A$11,F2163)&gt;0,"Valid","Invalid")</f>
        <v>Valid</v>
      </c>
    </row>
    <row r="2164" spans="1:18" x14ac:dyDescent="0.25">
      <c r="A2164" t="s">
        <v>4235</v>
      </c>
      <c r="B2164" t="s">
        <v>382</v>
      </c>
      <c r="C2164" s="8">
        <v>46029</v>
      </c>
      <c r="D2164" t="s">
        <v>2062</v>
      </c>
      <c r="E2164" t="s">
        <v>2063</v>
      </c>
      <c r="F2164" t="s">
        <v>35</v>
      </c>
      <c r="G2164">
        <v>1546.33</v>
      </c>
      <c r="H2164" t="s">
        <v>2060</v>
      </c>
      <c r="I2164" t="str">
        <f>VLOOKUP(B2164,Customers!A:G,7,FALSE)</f>
        <v>SME</v>
      </c>
      <c r="Q2164" t="str">
        <f>IF(COUNTIF(Customers!$A$2:$A$1001,B2164)&gt;0,"Valid","Invalid")</f>
        <v>Valid</v>
      </c>
      <c r="R2164" t="str">
        <f>IF(COUNTIF(Branches!$A$2:$A$11,F2164)&gt;0,"Valid","Invalid")</f>
        <v>Valid</v>
      </c>
    </row>
    <row r="2165" spans="1:18" x14ac:dyDescent="0.25">
      <c r="A2165" t="s">
        <v>4236</v>
      </c>
      <c r="B2165" t="s">
        <v>50</v>
      </c>
      <c r="C2165" s="8">
        <v>46028</v>
      </c>
      <c r="D2165" t="s">
        <v>2062</v>
      </c>
      <c r="E2165" t="s">
        <v>2063</v>
      </c>
      <c r="F2165" t="s">
        <v>39</v>
      </c>
      <c r="G2165">
        <v>549.16999999999996</v>
      </c>
      <c r="H2165" t="s">
        <v>2060</v>
      </c>
      <c r="I2165" t="str">
        <f>VLOOKUP(B2165,Customers!A:G,7,FALSE)</f>
        <v>SME</v>
      </c>
      <c r="Q2165" t="str">
        <f>IF(COUNTIF(Customers!$A$2:$A$1001,B2165)&gt;0,"Valid","Invalid")</f>
        <v>Valid</v>
      </c>
      <c r="R2165" t="str">
        <f>IF(COUNTIF(Branches!$A$2:$A$11,F2165)&gt;0,"Valid","Invalid")</f>
        <v>Valid</v>
      </c>
    </row>
    <row r="2166" spans="1:18" x14ac:dyDescent="0.25">
      <c r="A2166" t="s">
        <v>4237</v>
      </c>
      <c r="B2166" t="s">
        <v>334</v>
      </c>
      <c r="C2166" s="8">
        <v>46260</v>
      </c>
      <c r="D2166" t="s">
        <v>2067</v>
      </c>
      <c r="E2166" t="s">
        <v>2063</v>
      </c>
      <c r="F2166" t="s">
        <v>21</v>
      </c>
      <c r="G2166">
        <v>674.53</v>
      </c>
      <c r="H2166" t="s">
        <v>2060</v>
      </c>
      <c r="I2166" t="str">
        <f>VLOOKUP(B2166,Customers!A:G,7,FALSE)</f>
        <v>Individual</v>
      </c>
      <c r="Q2166" t="str">
        <f>IF(COUNTIF(Customers!$A$2:$A$1001,B2166)&gt;0,"Valid","Invalid")</f>
        <v>Valid</v>
      </c>
      <c r="R2166" t="str">
        <f>IF(COUNTIF(Branches!$A$2:$A$11,F2166)&gt;0,"Valid","Invalid")</f>
        <v>Valid</v>
      </c>
    </row>
    <row r="2167" spans="1:18" x14ac:dyDescent="0.25">
      <c r="A2167" t="s">
        <v>4238</v>
      </c>
      <c r="B2167" t="s">
        <v>239</v>
      </c>
      <c r="C2167" s="8">
        <v>46147</v>
      </c>
      <c r="D2167" t="s">
        <v>2070</v>
      </c>
      <c r="E2167" t="s">
        <v>2059</v>
      </c>
      <c r="F2167" t="s">
        <v>16</v>
      </c>
      <c r="G2167">
        <v>633.6</v>
      </c>
      <c r="H2167" t="s">
        <v>2060</v>
      </c>
      <c r="I2167" t="str">
        <f>VLOOKUP(B2167,Customers!A:G,7,FALSE)</f>
        <v>SME</v>
      </c>
      <c r="Q2167" t="str">
        <f>IF(COUNTIF(Customers!$A$2:$A$1001,B2167)&gt;0,"Valid","Invalid")</f>
        <v>Valid</v>
      </c>
      <c r="R2167" t="str">
        <f>IF(COUNTIF(Branches!$A$2:$A$11,F2167)&gt;0,"Valid","Invalid")</f>
        <v>Valid</v>
      </c>
    </row>
    <row r="2168" spans="1:18" x14ac:dyDescent="0.25">
      <c r="A2168" t="s">
        <v>4239</v>
      </c>
      <c r="B2168" t="s">
        <v>1000</v>
      </c>
      <c r="C2168" s="8">
        <v>46055</v>
      </c>
      <c r="D2168" t="s">
        <v>2065</v>
      </c>
      <c r="E2168" t="s">
        <v>2063</v>
      </c>
      <c r="F2168" t="s">
        <v>16</v>
      </c>
      <c r="G2168">
        <v>1138.24</v>
      </c>
      <c r="H2168" t="s">
        <v>2060</v>
      </c>
      <c r="I2168" t="str">
        <f>VLOOKUP(B2168,Customers!A:G,7,FALSE)</f>
        <v>SME</v>
      </c>
      <c r="Q2168" t="str">
        <f>IF(COUNTIF(Customers!$A$2:$A$1001,B2168)&gt;0,"Valid","Invalid")</f>
        <v>Valid</v>
      </c>
      <c r="R2168" t="str">
        <f>IF(COUNTIF(Branches!$A$2:$A$11,F2168)&gt;0,"Valid","Invalid")</f>
        <v>Valid</v>
      </c>
    </row>
    <row r="2169" spans="1:18" x14ac:dyDescent="0.25">
      <c r="A2169" t="s">
        <v>4240</v>
      </c>
      <c r="B2169" t="s">
        <v>722</v>
      </c>
      <c r="C2169" s="8">
        <v>46080</v>
      </c>
      <c r="D2169" t="s">
        <v>2065</v>
      </c>
      <c r="E2169" t="s">
        <v>2059</v>
      </c>
      <c r="F2169" t="s">
        <v>45</v>
      </c>
      <c r="G2169">
        <v>1543.49</v>
      </c>
      <c r="H2169" t="s">
        <v>2060</v>
      </c>
      <c r="I2169" t="str">
        <f>VLOOKUP(B2169,Customers!A:G,7,FALSE)</f>
        <v>SME</v>
      </c>
      <c r="Q2169" t="str">
        <f>IF(COUNTIF(Customers!$A$2:$A$1001,B2169)&gt;0,"Valid","Invalid")</f>
        <v>Valid</v>
      </c>
      <c r="R2169" t="str">
        <f>IF(COUNTIF(Branches!$A$2:$A$11,F2169)&gt;0,"Valid","Invalid")</f>
        <v>Valid</v>
      </c>
    </row>
    <row r="2170" spans="1:18" x14ac:dyDescent="0.25">
      <c r="A2170" t="s">
        <v>4241</v>
      </c>
      <c r="B2170" t="s">
        <v>957</v>
      </c>
      <c r="C2170" s="8">
        <v>46199</v>
      </c>
      <c r="D2170" t="s">
        <v>2065</v>
      </c>
      <c r="E2170" t="s">
        <v>2076</v>
      </c>
      <c r="F2170" t="s">
        <v>21</v>
      </c>
      <c r="G2170">
        <v>788.2</v>
      </c>
      <c r="H2170" t="s">
        <v>2060</v>
      </c>
      <c r="I2170" t="str">
        <f>VLOOKUP(B2170,Customers!A:G,7,FALSE)</f>
        <v>Individual</v>
      </c>
      <c r="Q2170" t="str">
        <f>IF(COUNTIF(Customers!$A$2:$A$1001,B2170)&gt;0,"Valid","Invalid")</f>
        <v>Valid</v>
      </c>
      <c r="R2170" t="str">
        <f>IF(COUNTIF(Branches!$A$2:$A$11,F2170)&gt;0,"Valid","Invalid")</f>
        <v>Valid</v>
      </c>
    </row>
    <row r="2171" spans="1:18" x14ac:dyDescent="0.25">
      <c r="A2171" t="s">
        <v>4242</v>
      </c>
      <c r="B2171" t="s">
        <v>812</v>
      </c>
      <c r="C2171" s="8">
        <v>46167</v>
      </c>
      <c r="D2171" t="s">
        <v>2062</v>
      </c>
      <c r="E2171" t="s">
        <v>2059</v>
      </c>
      <c r="F2171" t="s">
        <v>29</v>
      </c>
      <c r="G2171">
        <v>367.73</v>
      </c>
      <c r="H2171" t="s">
        <v>2060</v>
      </c>
      <c r="I2171" t="str">
        <f>VLOOKUP(B2171,Customers!A:G,7,FALSE)</f>
        <v>Individual</v>
      </c>
      <c r="Q2171" t="str">
        <f>IF(COUNTIF(Customers!$A$2:$A$1001,B2171)&gt;0,"Valid","Invalid")</f>
        <v>Valid</v>
      </c>
      <c r="R2171" t="str">
        <f>IF(COUNTIF(Branches!$A$2:$A$11,F2171)&gt;0,"Valid","Invalid")</f>
        <v>Valid</v>
      </c>
    </row>
    <row r="2172" spans="1:18" x14ac:dyDescent="0.25">
      <c r="A2172" t="s">
        <v>4243</v>
      </c>
      <c r="B2172" t="s">
        <v>231</v>
      </c>
      <c r="C2172" s="8">
        <v>46132</v>
      </c>
      <c r="D2172" t="s">
        <v>2058</v>
      </c>
      <c r="E2172" t="s">
        <v>2076</v>
      </c>
      <c r="F2172" t="s">
        <v>45</v>
      </c>
      <c r="G2172">
        <v>1738.14</v>
      </c>
      <c r="H2172" t="s">
        <v>2060</v>
      </c>
      <c r="I2172" t="str">
        <f>VLOOKUP(B2172,Customers!A:G,7,FALSE)</f>
        <v>Individual</v>
      </c>
      <c r="Q2172" t="str">
        <f>IF(COUNTIF(Customers!$A$2:$A$1001,B2172)&gt;0,"Valid","Invalid")</f>
        <v>Valid</v>
      </c>
      <c r="R2172" t="str">
        <f>IF(COUNTIF(Branches!$A$2:$A$11,F2172)&gt;0,"Valid","Invalid")</f>
        <v>Valid</v>
      </c>
    </row>
    <row r="2173" spans="1:18" x14ac:dyDescent="0.25">
      <c r="A2173" t="s">
        <v>4244</v>
      </c>
      <c r="B2173" t="s">
        <v>185</v>
      </c>
      <c r="C2173" s="8">
        <v>46064</v>
      </c>
      <c r="D2173" t="s">
        <v>2067</v>
      </c>
      <c r="E2173" t="s">
        <v>2063</v>
      </c>
      <c r="F2173" t="s">
        <v>47</v>
      </c>
      <c r="G2173">
        <v>840</v>
      </c>
      <c r="H2173" t="s">
        <v>2060</v>
      </c>
      <c r="I2173" t="str">
        <f>VLOOKUP(B2173,Customers!A:G,7,FALSE)</f>
        <v>SME</v>
      </c>
      <c r="Q2173" t="str">
        <f>IF(COUNTIF(Customers!$A$2:$A$1001,B2173)&gt;0,"Valid","Invalid")</f>
        <v>Valid</v>
      </c>
      <c r="R2173" t="str">
        <f>IF(COUNTIF(Branches!$A$2:$A$11,F2173)&gt;0,"Valid","Invalid")</f>
        <v>Valid</v>
      </c>
    </row>
    <row r="2174" spans="1:18" x14ac:dyDescent="0.25">
      <c r="A2174" t="s">
        <v>4245</v>
      </c>
      <c r="B2174" t="s">
        <v>413</v>
      </c>
      <c r="C2174" s="8">
        <v>46116</v>
      </c>
      <c r="D2174" t="s">
        <v>2065</v>
      </c>
      <c r="E2174" t="s">
        <v>2068</v>
      </c>
      <c r="F2174" t="s">
        <v>27</v>
      </c>
      <c r="G2174">
        <v>192.32</v>
      </c>
      <c r="H2174" t="s">
        <v>2060</v>
      </c>
      <c r="I2174" t="str">
        <f>VLOOKUP(B2174,Customers!A:G,7,FALSE)</f>
        <v>Corporate</v>
      </c>
      <c r="Q2174" t="str">
        <f>IF(COUNTIF(Customers!$A$2:$A$1001,B2174)&gt;0,"Valid","Invalid")</f>
        <v>Valid</v>
      </c>
      <c r="R2174" t="str">
        <f>IF(COUNTIF(Branches!$A$2:$A$11,F2174)&gt;0,"Valid","Invalid")</f>
        <v>Valid</v>
      </c>
    </row>
    <row r="2175" spans="1:18" x14ac:dyDescent="0.25">
      <c r="A2175" t="s">
        <v>4246</v>
      </c>
      <c r="B2175" t="s">
        <v>926</v>
      </c>
      <c r="C2175" s="8">
        <v>46222</v>
      </c>
      <c r="D2175" t="s">
        <v>2065</v>
      </c>
      <c r="E2175" t="s">
        <v>2073</v>
      </c>
      <c r="F2175" t="s">
        <v>11</v>
      </c>
      <c r="G2175">
        <v>96.03</v>
      </c>
      <c r="H2175" t="s">
        <v>2060</v>
      </c>
      <c r="I2175" t="str">
        <f>VLOOKUP(B2175,Customers!A:G,7,FALSE)</f>
        <v>Student</v>
      </c>
      <c r="Q2175" t="str">
        <f>IF(COUNTIF(Customers!$A$2:$A$1001,B2175)&gt;0,"Valid","Invalid")</f>
        <v>Valid</v>
      </c>
      <c r="R2175" t="str">
        <f>IF(COUNTIF(Branches!$A$2:$A$11,F2175)&gt;0,"Valid","Invalid")</f>
        <v>Valid</v>
      </c>
    </row>
    <row r="2176" spans="1:18" x14ac:dyDescent="0.25">
      <c r="A2176" t="s">
        <v>4247</v>
      </c>
      <c r="B2176" t="s">
        <v>69</v>
      </c>
      <c r="C2176" s="8">
        <v>46190</v>
      </c>
      <c r="D2176" t="s">
        <v>2065</v>
      </c>
      <c r="E2176" t="s">
        <v>2076</v>
      </c>
      <c r="F2176" t="s">
        <v>11</v>
      </c>
      <c r="G2176">
        <v>1094.33</v>
      </c>
      <c r="H2176" t="s">
        <v>2060</v>
      </c>
      <c r="I2176" t="str">
        <f>VLOOKUP(B2176,Customers!A:G,7,FALSE)</f>
        <v>Individual</v>
      </c>
      <c r="Q2176" t="str">
        <f>IF(COUNTIF(Customers!$A$2:$A$1001,B2176)&gt;0,"Valid","Invalid")</f>
        <v>Valid</v>
      </c>
      <c r="R2176" t="str">
        <f>IF(COUNTIF(Branches!$A$2:$A$11,F2176)&gt;0,"Valid","Invalid")</f>
        <v>Valid</v>
      </c>
    </row>
    <row r="2177" spans="1:18" x14ac:dyDescent="0.25">
      <c r="A2177" t="s">
        <v>4248</v>
      </c>
      <c r="B2177" t="s">
        <v>407</v>
      </c>
      <c r="C2177" s="8">
        <v>46196</v>
      </c>
      <c r="D2177" t="s">
        <v>2067</v>
      </c>
      <c r="E2177" t="s">
        <v>2068</v>
      </c>
      <c r="F2177" t="s">
        <v>11</v>
      </c>
      <c r="G2177">
        <v>354.44</v>
      </c>
      <c r="H2177" t="s">
        <v>2060</v>
      </c>
      <c r="I2177" t="str">
        <f>VLOOKUP(B2177,Customers!A:G,7,FALSE)</f>
        <v>Individual</v>
      </c>
      <c r="Q2177" t="str">
        <f>IF(COUNTIF(Customers!$A$2:$A$1001,B2177)&gt;0,"Valid","Invalid")</f>
        <v>Valid</v>
      </c>
      <c r="R2177" t="str">
        <f>IF(COUNTIF(Branches!$A$2:$A$11,F2177)&gt;0,"Valid","Invalid")</f>
        <v>Valid</v>
      </c>
    </row>
    <row r="2178" spans="1:18" x14ac:dyDescent="0.25">
      <c r="A2178" t="s">
        <v>4249</v>
      </c>
      <c r="B2178" t="s">
        <v>63</v>
      </c>
      <c r="C2178" s="8">
        <v>46221</v>
      </c>
      <c r="D2178" t="s">
        <v>2065</v>
      </c>
      <c r="E2178" t="s">
        <v>2063</v>
      </c>
      <c r="F2178" t="s">
        <v>35</v>
      </c>
      <c r="G2178">
        <v>1250.2</v>
      </c>
      <c r="H2178" t="s">
        <v>2060</v>
      </c>
      <c r="I2178" t="str">
        <f>VLOOKUP(B2178,Customers!A:G,7,FALSE)</f>
        <v>Individual</v>
      </c>
      <c r="Q2178" t="str">
        <f>IF(COUNTIF(Customers!$A$2:$A$1001,B2178)&gt;0,"Valid","Invalid")</f>
        <v>Valid</v>
      </c>
      <c r="R2178" t="str">
        <f>IF(COUNTIF(Branches!$A$2:$A$11,F2178)&gt;0,"Valid","Invalid")</f>
        <v>Valid</v>
      </c>
    </row>
    <row r="2179" spans="1:18" x14ac:dyDescent="0.25">
      <c r="A2179" t="s">
        <v>4250</v>
      </c>
      <c r="B2179" t="s">
        <v>813</v>
      </c>
      <c r="C2179" s="8">
        <v>46220</v>
      </c>
      <c r="D2179" t="s">
        <v>2065</v>
      </c>
      <c r="E2179" t="s">
        <v>2068</v>
      </c>
      <c r="F2179" t="s">
        <v>21</v>
      </c>
      <c r="G2179">
        <v>374.05</v>
      </c>
      <c r="H2179" t="s">
        <v>2060</v>
      </c>
      <c r="I2179" t="str">
        <f>VLOOKUP(B2179,Customers!A:G,7,FALSE)</f>
        <v>Individual</v>
      </c>
      <c r="Q2179" t="str">
        <f>IF(COUNTIF(Customers!$A$2:$A$1001,B2179)&gt;0,"Valid","Invalid")</f>
        <v>Valid</v>
      </c>
      <c r="R2179" t="str">
        <f>IF(COUNTIF(Branches!$A$2:$A$11,F2179)&gt;0,"Valid","Invalid")</f>
        <v>Valid</v>
      </c>
    </row>
    <row r="2180" spans="1:18" x14ac:dyDescent="0.25">
      <c r="A2180" t="s">
        <v>4251</v>
      </c>
      <c r="B2180" t="s">
        <v>258</v>
      </c>
      <c r="C2180" s="8">
        <v>46218</v>
      </c>
      <c r="D2180" t="s">
        <v>2062</v>
      </c>
      <c r="E2180" t="s">
        <v>2063</v>
      </c>
      <c r="F2180" t="s">
        <v>27</v>
      </c>
      <c r="G2180">
        <v>928.14</v>
      </c>
      <c r="H2180" t="s">
        <v>2060</v>
      </c>
      <c r="I2180" t="str">
        <f>VLOOKUP(B2180,Customers!A:G,7,FALSE)</f>
        <v>SME</v>
      </c>
      <c r="Q2180" t="str">
        <f>IF(COUNTIF(Customers!$A$2:$A$1001,B2180)&gt;0,"Valid","Invalid")</f>
        <v>Valid</v>
      </c>
      <c r="R2180" t="str">
        <f>IF(COUNTIF(Branches!$A$2:$A$11,F2180)&gt;0,"Valid","Invalid")</f>
        <v>Valid</v>
      </c>
    </row>
    <row r="2181" spans="1:18" x14ac:dyDescent="0.25">
      <c r="A2181" t="s">
        <v>4252</v>
      </c>
      <c r="B2181" t="s">
        <v>89</v>
      </c>
      <c r="C2181" s="8">
        <v>46151</v>
      </c>
      <c r="D2181" t="s">
        <v>2058</v>
      </c>
      <c r="E2181" t="s">
        <v>2059</v>
      </c>
      <c r="F2181" t="s">
        <v>39</v>
      </c>
      <c r="G2181">
        <v>556.46</v>
      </c>
      <c r="H2181" t="s">
        <v>2060</v>
      </c>
      <c r="I2181" t="str">
        <f>VLOOKUP(B2181,Customers!A:G,7,FALSE)</f>
        <v>SME</v>
      </c>
      <c r="Q2181" t="str">
        <f>IF(COUNTIF(Customers!$A$2:$A$1001,B2181)&gt;0,"Valid","Invalid")</f>
        <v>Valid</v>
      </c>
      <c r="R2181" t="str">
        <f>IF(COUNTIF(Branches!$A$2:$A$11,F2181)&gt;0,"Valid","Invalid")</f>
        <v>Valid</v>
      </c>
    </row>
    <row r="2182" spans="1:18" x14ac:dyDescent="0.25">
      <c r="A2182" t="s">
        <v>4253</v>
      </c>
      <c r="B2182" t="s">
        <v>971</v>
      </c>
      <c r="C2182" s="8">
        <v>46101</v>
      </c>
      <c r="D2182" t="s">
        <v>2062</v>
      </c>
      <c r="E2182" t="s">
        <v>2063</v>
      </c>
      <c r="F2182" t="s">
        <v>16</v>
      </c>
      <c r="G2182">
        <v>4684.0600000000004</v>
      </c>
      <c r="H2182" t="s">
        <v>2060</v>
      </c>
      <c r="I2182" t="str">
        <f>VLOOKUP(B2182,Customers!A:G,7,FALSE)</f>
        <v>Individual</v>
      </c>
      <c r="Q2182" t="str">
        <f>IF(COUNTIF(Customers!$A$2:$A$1001,B2182)&gt;0,"Valid","Invalid")</f>
        <v>Valid</v>
      </c>
      <c r="R2182" t="str">
        <f>IF(COUNTIF(Branches!$A$2:$A$11,F2182)&gt;0,"Valid","Invalid")</f>
        <v>Valid</v>
      </c>
    </row>
    <row r="2183" spans="1:18" x14ac:dyDescent="0.25">
      <c r="A2183" t="s">
        <v>4254</v>
      </c>
      <c r="B2183" t="s">
        <v>829</v>
      </c>
      <c r="C2183" s="8">
        <v>46117</v>
      </c>
      <c r="D2183" t="s">
        <v>2065</v>
      </c>
      <c r="E2183" t="s">
        <v>2059</v>
      </c>
      <c r="F2183" t="s">
        <v>11</v>
      </c>
      <c r="G2183">
        <v>2101.31</v>
      </c>
      <c r="H2183" t="s">
        <v>2060</v>
      </c>
      <c r="I2183" t="str">
        <f>VLOOKUP(B2183,Customers!A:G,7,FALSE)</f>
        <v>Individual</v>
      </c>
      <c r="Q2183" t="str">
        <f>IF(COUNTIF(Customers!$A$2:$A$1001,B2183)&gt;0,"Valid","Invalid")</f>
        <v>Valid</v>
      </c>
      <c r="R2183" t="str">
        <f>IF(COUNTIF(Branches!$A$2:$A$11,F2183)&gt;0,"Valid","Invalid")</f>
        <v>Valid</v>
      </c>
    </row>
    <row r="2184" spans="1:18" x14ac:dyDescent="0.25">
      <c r="A2184" t="s">
        <v>4255</v>
      </c>
      <c r="B2184" t="s">
        <v>391</v>
      </c>
      <c r="C2184" s="8">
        <v>46239</v>
      </c>
      <c r="D2184" t="s">
        <v>2067</v>
      </c>
      <c r="E2184" t="s">
        <v>2063</v>
      </c>
      <c r="F2184" t="s">
        <v>27</v>
      </c>
      <c r="G2184">
        <v>3125.34</v>
      </c>
      <c r="H2184" t="s">
        <v>2060</v>
      </c>
      <c r="I2184" t="str">
        <f>VLOOKUP(B2184,Customers!A:G,7,FALSE)</f>
        <v>Individual</v>
      </c>
      <c r="Q2184" t="str">
        <f>IF(COUNTIF(Customers!$A$2:$A$1001,B2184)&gt;0,"Valid","Invalid")</f>
        <v>Valid</v>
      </c>
      <c r="R2184" t="str">
        <f>IF(COUNTIF(Branches!$A$2:$A$11,F2184)&gt;0,"Valid","Invalid")</f>
        <v>Valid</v>
      </c>
    </row>
    <row r="2185" spans="1:18" x14ac:dyDescent="0.25">
      <c r="A2185" t="s">
        <v>4256</v>
      </c>
      <c r="B2185" t="s">
        <v>430</v>
      </c>
      <c r="C2185" s="8">
        <v>46133</v>
      </c>
      <c r="D2185" t="s">
        <v>2067</v>
      </c>
      <c r="E2185" t="s">
        <v>2076</v>
      </c>
      <c r="F2185" t="s">
        <v>27</v>
      </c>
      <c r="G2185">
        <v>832.18</v>
      </c>
      <c r="H2185" t="s">
        <v>2060</v>
      </c>
      <c r="I2185" t="str">
        <f>VLOOKUP(B2185,Customers!A:G,7,FALSE)</f>
        <v>Individual</v>
      </c>
      <c r="Q2185" t="str">
        <f>IF(COUNTIF(Customers!$A$2:$A$1001,B2185)&gt;0,"Valid","Invalid")</f>
        <v>Valid</v>
      </c>
      <c r="R2185" t="str">
        <f>IF(COUNTIF(Branches!$A$2:$A$11,F2185)&gt;0,"Valid","Invalid")</f>
        <v>Valid</v>
      </c>
    </row>
    <row r="2186" spans="1:18" x14ac:dyDescent="0.25">
      <c r="A2186" t="s">
        <v>4257</v>
      </c>
      <c r="B2186" t="s">
        <v>112</v>
      </c>
      <c r="C2186" s="8">
        <v>46119</v>
      </c>
      <c r="D2186" t="s">
        <v>2065</v>
      </c>
      <c r="E2186" t="s">
        <v>2059</v>
      </c>
      <c r="F2186" t="s">
        <v>16</v>
      </c>
      <c r="G2186">
        <v>1848.93</v>
      </c>
      <c r="H2186" t="s">
        <v>2060</v>
      </c>
      <c r="I2186" t="str">
        <f>VLOOKUP(B2186,Customers!A:G,7,FALSE)</f>
        <v>Individual</v>
      </c>
      <c r="Q2186" t="str">
        <f>IF(COUNTIF(Customers!$A$2:$A$1001,B2186)&gt;0,"Valid","Invalid")</f>
        <v>Valid</v>
      </c>
      <c r="R2186" t="str">
        <f>IF(COUNTIF(Branches!$A$2:$A$11,F2186)&gt;0,"Valid","Invalid")</f>
        <v>Valid</v>
      </c>
    </row>
    <row r="2187" spans="1:18" x14ac:dyDescent="0.25">
      <c r="A2187" t="s">
        <v>4258</v>
      </c>
      <c r="B2187" t="s">
        <v>532</v>
      </c>
      <c r="C2187" s="8">
        <v>46202</v>
      </c>
      <c r="D2187" t="s">
        <v>2065</v>
      </c>
      <c r="E2187" t="s">
        <v>2068</v>
      </c>
      <c r="F2187" t="s">
        <v>11</v>
      </c>
      <c r="G2187">
        <v>890.38</v>
      </c>
      <c r="H2187" t="s">
        <v>2060</v>
      </c>
      <c r="I2187" t="str">
        <f>VLOOKUP(B2187,Customers!A:G,7,FALSE)</f>
        <v>Individual</v>
      </c>
      <c r="Q2187" t="str">
        <f>IF(COUNTIF(Customers!$A$2:$A$1001,B2187)&gt;0,"Valid","Invalid")</f>
        <v>Valid</v>
      </c>
      <c r="R2187" t="str">
        <f>IF(COUNTIF(Branches!$A$2:$A$11,F2187)&gt;0,"Valid","Invalid")</f>
        <v>Valid</v>
      </c>
    </row>
    <row r="2188" spans="1:18" x14ac:dyDescent="0.25">
      <c r="A2188" t="s">
        <v>4259</v>
      </c>
      <c r="B2188" t="s">
        <v>726</v>
      </c>
      <c r="C2188" s="8">
        <v>46185</v>
      </c>
      <c r="D2188" t="s">
        <v>2062</v>
      </c>
      <c r="E2188" t="s">
        <v>2076</v>
      </c>
      <c r="F2188" t="s">
        <v>16</v>
      </c>
      <c r="G2188">
        <v>3531.9</v>
      </c>
      <c r="H2188" t="s">
        <v>2060</v>
      </c>
      <c r="I2188" t="str">
        <f>VLOOKUP(B2188,Customers!A:G,7,FALSE)</f>
        <v>Individual</v>
      </c>
      <c r="Q2188" t="str">
        <f>IF(COUNTIF(Customers!$A$2:$A$1001,B2188)&gt;0,"Valid","Invalid")</f>
        <v>Valid</v>
      </c>
      <c r="R2188" t="str">
        <f>IF(COUNTIF(Branches!$A$2:$A$11,F2188)&gt;0,"Valid","Invalid")</f>
        <v>Valid</v>
      </c>
    </row>
    <row r="2189" spans="1:18" x14ac:dyDescent="0.25">
      <c r="A2189" t="s">
        <v>4260</v>
      </c>
      <c r="B2189" t="s">
        <v>560</v>
      </c>
      <c r="C2189" s="8">
        <v>46141</v>
      </c>
      <c r="D2189" t="s">
        <v>2070</v>
      </c>
      <c r="E2189" t="s">
        <v>2063</v>
      </c>
      <c r="F2189" t="s">
        <v>11</v>
      </c>
      <c r="G2189">
        <v>755.54</v>
      </c>
      <c r="H2189" t="s">
        <v>2060</v>
      </c>
      <c r="I2189" t="str">
        <f>VLOOKUP(B2189,Customers!A:G,7,FALSE)</f>
        <v>Individual</v>
      </c>
      <c r="Q2189" t="str">
        <f>IF(COUNTIF(Customers!$A$2:$A$1001,B2189)&gt;0,"Valid","Invalid")</f>
        <v>Valid</v>
      </c>
      <c r="R2189" t="str">
        <f>IF(COUNTIF(Branches!$A$2:$A$11,F2189)&gt;0,"Valid","Invalid")</f>
        <v>Valid</v>
      </c>
    </row>
    <row r="2190" spans="1:18" x14ac:dyDescent="0.25">
      <c r="A2190" t="s">
        <v>4261</v>
      </c>
      <c r="B2190" t="s">
        <v>1013</v>
      </c>
      <c r="C2190" s="8">
        <v>46091</v>
      </c>
      <c r="D2190" t="s">
        <v>2065</v>
      </c>
      <c r="E2190" t="s">
        <v>2063</v>
      </c>
      <c r="F2190" t="s">
        <v>29</v>
      </c>
      <c r="G2190">
        <v>200.84</v>
      </c>
      <c r="H2190" t="s">
        <v>2060</v>
      </c>
      <c r="I2190" t="str">
        <f>VLOOKUP(B2190,Customers!A:G,7,FALSE)</f>
        <v>Student</v>
      </c>
      <c r="Q2190" t="str">
        <f>IF(COUNTIF(Customers!$A$2:$A$1001,B2190)&gt;0,"Valid","Invalid")</f>
        <v>Valid</v>
      </c>
      <c r="R2190" t="str">
        <f>IF(COUNTIF(Branches!$A$2:$A$11,F2190)&gt;0,"Valid","Invalid")</f>
        <v>Valid</v>
      </c>
    </row>
    <row r="2191" spans="1:18" x14ac:dyDescent="0.25">
      <c r="A2191" t="s">
        <v>4262</v>
      </c>
      <c r="B2191" t="s">
        <v>153</v>
      </c>
      <c r="C2191" s="8">
        <v>46155</v>
      </c>
      <c r="D2191" t="s">
        <v>2067</v>
      </c>
      <c r="E2191" t="s">
        <v>2068</v>
      </c>
      <c r="F2191" t="s">
        <v>47</v>
      </c>
      <c r="G2191">
        <v>110.1</v>
      </c>
      <c r="H2191" t="s">
        <v>2060</v>
      </c>
      <c r="I2191" t="str">
        <f>VLOOKUP(B2191,Customers!A:G,7,FALSE)</f>
        <v>Individual</v>
      </c>
      <c r="Q2191" t="str">
        <f>IF(COUNTIF(Customers!$A$2:$A$1001,B2191)&gt;0,"Valid","Invalid")</f>
        <v>Valid</v>
      </c>
      <c r="R2191" t="str">
        <f>IF(COUNTIF(Branches!$A$2:$A$11,F2191)&gt;0,"Valid","Invalid")</f>
        <v>Valid</v>
      </c>
    </row>
    <row r="2192" spans="1:18" x14ac:dyDescent="0.25">
      <c r="A2192" t="s">
        <v>4263</v>
      </c>
      <c r="B2192" t="s">
        <v>318</v>
      </c>
      <c r="C2192" s="8">
        <v>46250</v>
      </c>
      <c r="D2192" t="s">
        <v>2070</v>
      </c>
      <c r="E2192" t="s">
        <v>2059</v>
      </c>
      <c r="F2192" t="s">
        <v>53</v>
      </c>
      <c r="G2192">
        <v>4308.3500000000004</v>
      </c>
      <c r="H2192" t="s">
        <v>2060</v>
      </c>
      <c r="I2192" t="str">
        <f>VLOOKUP(B2192,Customers!A:G,7,FALSE)</f>
        <v>Individual</v>
      </c>
      <c r="Q2192" t="str">
        <f>IF(COUNTIF(Customers!$A$2:$A$1001,B2192)&gt;0,"Valid","Invalid")</f>
        <v>Valid</v>
      </c>
      <c r="R2192" t="str">
        <f>IF(COUNTIF(Branches!$A$2:$A$11,F2192)&gt;0,"Valid","Invalid")</f>
        <v>Valid</v>
      </c>
    </row>
    <row r="2193" spans="1:18" x14ac:dyDescent="0.25">
      <c r="A2193" t="s">
        <v>4264</v>
      </c>
      <c r="B2193" t="s">
        <v>768</v>
      </c>
      <c r="C2193" s="8">
        <v>46167</v>
      </c>
      <c r="D2193" t="s">
        <v>2065</v>
      </c>
      <c r="E2193" t="s">
        <v>2059</v>
      </c>
      <c r="F2193" t="s">
        <v>39</v>
      </c>
      <c r="G2193">
        <v>1310.95</v>
      </c>
      <c r="H2193" t="s">
        <v>2060</v>
      </c>
      <c r="I2193" t="str">
        <f>VLOOKUP(B2193,Customers!A:G,7,FALSE)</f>
        <v>Individual</v>
      </c>
      <c r="Q2193" t="str">
        <f>IF(COUNTIF(Customers!$A$2:$A$1001,B2193)&gt;0,"Valid","Invalid")</f>
        <v>Valid</v>
      </c>
      <c r="R2193" t="str">
        <f>IF(COUNTIF(Branches!$A$2:$A$11,F2193)&gt;0,"Valid","Invalid")</f>
        <v>Valid</v>
      </c>
    </row>
    <row r="2194" spans="1:18" x14ac:dyDescent="0.25">
      <c r="A2194" t="s">
        <v>4265</v>
      </c>
      <c r="B2194" t="s">
        <v>211</v>
      </c>
      <c r="C2194" s="8">
        <v>46203</v>
      </c>
      <c r="D2194" t="s">
        <v>2058</v>
      </c>
      <c r="E2194" t="s">
        <v>2076</v>
      </c>
      <c r="F2194" t="s">
        <v>27</v>
      </c>
      <c r="G2194">
        <v>1400.04</v>
      </c>
      <c r="H2194" t="s">
        <v>2060</v>
      </c>
      <c r="I2194" t="str">
        <f>VLOOKUP(B2194,Customers!A:G,7,FALSE)</f>
        <v>SME</v>
      </c>
      <c r="Q2194" t="str">
        <f>IF(COUNTIF(Customers!$A$2:$A$1001,B2194)&gt;0,"Valid","Invalid")</f>
        <v>Valid</v>
      </c>
      <c r="R2194" t="str">
        <f>IF(COUNTIF(Branches!$A$2:$A$11,F2194)&gt;0,"Valid","Invalid")</f>
        <v>Valid</v>
      </c>
    </row>
    <row r="2195" spans="1:18" x14ac:dyDescent="0.25">
      <c r="A2195" t="s">
        <v>4266</v>
      </c>
      <c r="B2195" t="s">
        <v>784</v>
      </c>
      <c r="C2195" s="8">
        <v>46074</v>
      </c>
      <c r="D2195" t="s">
        <v>2070</v>
      </c>
      <c r="E2195" t="s">
        <v>2059</v>
      </c>
      <c r="F2195" t="s">
        <v>11</v>
      </c>
      <c r="G2195">
        <v>3603.45</v>
      </c>
      <c r="H2195" t="s">
        <v>2060</v>
      </c>
      <c r="I2195" t="str">
        <f>VLOOKUP(B2195,Customers!A:G,7,FALSE)</f>
        <v>SME</v>
      </c>
      <c r="Q2195" t="str">
        <f>IF(COUNTIF(Customers!$A$2:$A$1001,B2195)&gt;0,"Valid","Invalid")</f>
        <v>Valid</v>
      </c>
      <c r="R2195" t="str">
        <f>IF(COUNTIF(Branches!$A$2:$A$11,F2195)&gt;0,"Valid","Invalid")</f>
        <v>Valid</v>
      </c>
    </row>
    <row r="2196" spans="1:18" x14ac:dyDescent="0.25">
      <c r="A2196" t="s">
        <v>4267</v>
      </c>
      <c r="B2196" t="s">
        <v>987</v>
      </c>
      <c r="C2196" s="8">
        <v>46164</v>
      </c>
      <c r="D2196" t="s">
        <v>2070</v>
      </c>
      <c r="E2196" t="s">
        <v>2063</v>
      </c>
      <c r="F2196" t="s">
        <v>27</v>
      </c>
      <c r="G2196">
        <v>155.75</v>
      </c>
      <c r="H2196" t="s">
        <v>2060</v>
      </c>
      <c r="I2196" t="str">
        <f>VLOOKUP(B2196,Customers!A:G,7,FALSE)</f>
        <v>Individual</v>
      </c>
      <c r="Q2196" t="str">
        <f>IF(COUNTIF(Customers!$A$2:$A$1001,B2196)&gt;0,"Valid","Invalid")</f>
        <v>Valid</v>
      </c>
      <c r="R2196" t="str">
        <f>IF(COUNTIF(Branches!$A$2:$A$11,F2196)&gt;0,"Valid","Invalid")</f>
        <v>Valid</v>
      </c>
    </row>
    <row r="2197" spans="1:18" x14ac:dyDescent="0.25">
      <c r="A2197" t="s">
        <v>4268</v>
      </c>
      <c r="B2197" t="s">
        <v>802</v>
      </c>
      <c r="C2197" s="8">
        <v>46144</v>
      </c>
      <c r="D2197" t="s">
        <v>2067</v>
      </c>
      <c r="E2197" t="s">
        <v>2059</v>
      </c>
      <c r="F2197" t="s">
        <v>45</v>
      </c>
      <c r="G2197">
        <v>567.59</v>
      </c>
      <c r="H2197" t="s">
        <v>2060</v>
      </c>
      <c r="I2197" t="str">
        <f>VLOOKUP(B2197,Customers!A:G,7,FALSE)</f>
        <v>Individual</v>
      </c>
      <c r="Q2197" t="str">
        <f>IF(COUNTIF(Customers!$A$2:$A$1001,B2197)&gt;0,"Valid","Invalid")</f>
        <v>Valid</v>
      </c>
      <c r="R2197" t="str">
        <f>IF(COUNTIF(Branches!$A$2:$A$11,F2197)&gt;0,"Valid","Invalid")</f>
        <v>Valid</v>
      </c>
    </row>
    <row r="2198" spans="1:18" x14ac:dyDescent="0.25">
      <c r="A2198" t="s">
        <v>4269</v>
      </c>
      <c r="B2198" t="s">
        <v>333</v>
      </c>
      <c r="C2198" s="8">
        <v>46051</v>
      </c>
      <c r="D2198" t="s">
        <v>2065</v>
      </c>
      <c r="E2198" t="s">
        <v>2063</v>
      </c>
      <c r="F2198" t="s">
        <v>45</v>
      </c>
      <c r="G2198">
        <v>641.58000000000004</v>
      </c>
      <c r="H2198" t="s">
        <v>2060</v>
      </c>
      <c r="I2198" t="str">
        <f>VLOOKUP(B2198,Customers!A:G,7,FALSE)</f>
        <v>Individual</v>
      </c>
      <c r="Q2198" t="str">
        <f>IF(COUNTIF(Customers!$A$2:$A$1001,B2198)&gt;0,"Valid","Invalid")</f>
        <v>Valid</v>
      </c>
      <c r="R2198" t="str">
        <f>IF(COUNTIF(Branches!$A$2:$A$11,F2198)&gt;0,"Valid","Invalid")</f>
        <v>Valid</v>
      </c>
    </row>
    <row r="2199" spans="1:18" x14ac:dyDescent="0.25">
      <c r="A2199" t="s">
        <v>4270</v>
      </c>
      <c r="B2199" t="s">
        <v>489</v>
      </c>
      <c r="C2199" s="8">
        <v>46158</v>
      </c>
      <c r="D2199" t="s">
        <v>2065</v>
      </c>
      <c r="E2199" t="s">
        <v>2063</v>
      </c>
      <c r="F2199" t="s">
        <v>21</v>
      </c>
      <c r="G2199">
        <v>1706.63</v>
      </c>
      <c r="H2199" t="s">
        <v>2060</v>
      </c>
      <c r="I2199" t="str">
        <f>VLOOKUP(B2199,Customers!A:G,7,FALSE)</f>
        <v>SME</v>
      </c>
      <c r="Q2199" t="str">
        <f>IF(COUNTIF(Customers!$A$2:$A$1001,B2199)&gt;0,"Valid","Invalid")</f>
        <v>Valid</v>
      </c>
      <c r="R2199" t="str">
        <f>IF(COUNTIF(Branches!$A$2:$A$11,F2199)&gt;0,"Valid","Invalid")</f>
        <v>Valid</v>
      </c>
    </row>
    <row r="2200" spans="1:18" x14ac:dyDescent="0.25">
      <c r="A2200" t="s">
        <v>4271</v>
      </c>
      <c r="B2200" t="s">
        <v>872</v>
      </c>
      <c r="C2200" s="8">
        <v>46248</v>
      </c>
      <c r="D2200" t="s">
        <v>2062</v>
      </c>
      <c r="E2200" t="s">
        <v>2063</v>
      </c>
      <c r="F2200" t="s">
        <v>16</v>
      </c>
      <c r="G2200">
        <v>406.41</v>
      </c>
      <c r="H2200" t="s">
        <v>2060</v>
      </c>
      <c r="I2200" t="str">
        <f>VLOOKUP(B2200,Customers!A:G,7,FALSE)</f>
        <v>Individual</v>
      </c>
      <c r="Q2200" t="str">
        <f>IF(COUNTIF(Customers!$A$2:$A$1001,B2200)&gt;0,"Valid","Invalid")</f>
        <v>Valid</v>
      </c>
      <c r="R2200" t="str">
        <f>IF(COUNTIF(Branches!$A$2:$A$11,F2200)&gt;0,"Valid","Invalid")</f>
        <v>Valid</v>
      </c>
    </row>
    <row r="2201" spans="1:18" x14ac:dyDescent="0.25">
      <c r="A2201" t="s">
        <v>4272</v>
      </c>
      <c r="B2201" t="s">
        <v>556</v>
      </c>
      <c r="C2201" s="8">
        <v>46126</v>
      </c>
      <c r="D2201" t="s">
        <v>2062</v>
      </c>
      <c r="E2201" t="s">
        <v>2063</v>
      </c>
      <c r="F2201" t="s">
        <v>27</v>
      </c>
      <c r="G2201">
        <v>244.36</v>
      </c>
      <c r="H2201" t="s">
        <v>2060</v>
      </c>
      <c r="I2201" t="str">
        <f>VLOOKUP(B2201,Customers!A:G,7,FALSE)</f>
        <v>Individual</v>
      </c>
      <c r="Q2201" t="str">
        <f>IF(COUNTIF(Customers!$A$2:$A$1001,B2201)&gt;0,"Valid","Invalid")</f>
        <v>Valid</v>
      </c>
      <c r="R2201" t="str">
        <f>IF(COUNTIF(Branches!$A$2:$A$11,F2201)&gt;0,"Valid","Invalid")</f>
        <v>Valid</v>
      </c>
    </row>
    <row r="2202" spans="1:18" x14ac:dyDescent="0.25">
      <c r="A2202" t="s">
        <v>4273</v>
      </c>
      <c r="B2202" t="s">
        <v>55</v>
      </c>
      <c r="C2202" s="8">
        <v>46023</v>
      </c>
      <c r="D2202" t="s">
        <v>2058</v>
      </c>
      <c r="E2202" t="s">
        <v>2063</v>
      </c>
      <c r="F2202" t="s">
        <v>29</v>
      </c>
      <c r="G2202">
        <v>242.17</v>
      </c>
      <c r="H2202" t="s">
        <v>2060</v>
      </c>
      <c r="I2202" t="str">
        <f>VLOOKUP(B2202,Customers!A:G,7,FALSE)</f>
        <v>SME</v>
      </c>
      <c r="Q2202" t="str">
        <f>IF(COUNTIF(Customers!$A$2:$A$1001,B2202)&gt;0,"Valid","Invalid")</f>
        <v>Valid</v>
      </c>
      <c r="R2202" t="str">
        <f>IF(COUNTIF(Branches!$A$2:$A$11,F2202)&gt;0,"Valid","Invalid")</f>
        <v>Valid</v>
      </c>
    </row>
    <row r="2203" spans="1:18" x14ac:dyDescent="0.25">
      <c r="A2203" t="s">
        <v>4274</v>
      </c>
      <c r="B2203" t="s">
        <v>109</v>
      </c>
      <c r="C2203" s="8">
        <v>46051</v>
      </c>
      <c r="D2203" t="s">
        <v>2062</v>
      </c>
      <c r="E2203" t="s">
        <v>2073</v>
      </c>
      <c r="F2203" t="s">
        <v>11</v>
      </c>
      <c r="G2203">
        <v>2564.2399999999998</v>
      </c>
      <c r="H2203" t="s">
        <v>2060</v>
      </c>
      <c r="I2203" t="str">
        <f>VLOOKUP(B2203,Customers!A:G,7,FALSE)</f>
        <v>Individual</v>
      </c>
      <c r="Q2203" t="str">
        <f>IF(COUNTIF(Customers!$A$2:$A$1001,B2203)&gt;0,"Valid","Invalid")</f>
        <v>Valid</v>
      </c>
      <c r="R2203" t="str">
        <f>IF(COUNTIF(Branches!$A$2:$A$11,F2203)&gt;0,"Valid","Invalid")</f>
        <v>Valid</v>
      </c>
    </row>
    <row r="2204" spans="1:18" x14ac:dyDescent="0.25">
      <c r="A2204" t="s">
        <v>4275</v>
      </c>
      <c r="B2204" t="s">
        <v>880</v>
      </c>
      <c r="C2204" s="8">
        <v>46186</v>
      </c>
      <c r="D2204" t="s">
        <v>2062</v>
      </c>
      <c r="E2204" t="s">
        <v>2059</v>
      </c>
      <c r="F2204" t="s">
        <v>11</v>
      </c>
      <c r="G2204">
        <v>386.63</v>
      </c>
      <c r="H2204" t="s">
        <v>2060</v>
      </c>
      <c r="I2204" t="str">
        <f>VLOOKUP(B2204,Customers!A:G,7,FALSE)</f>
        <v>SME</v>
      </c>
      <c r="Q2204" t="str">
        <f>IF(COUNTIF(Customers!$A$2:$A$1001,B2204)&gt;0,"Valid","Invalid")</f>
        <v>Valid</v>
      </c>
      <c r="R2204" t="str">
        <f>IF(COUNTIF(Branches!$A$2:$A$11,F2204)&gt;0,"Valid","Invalid")</f>
        <v>Valid</v>
      </c>
    </row>
    <row r="2205" spans="1:18" x14ac:dyDescent="0.25">
      <c r="A2205" t="s">
        <v>4276</v>
      </c>
      <c r="B2205" t="s">
        <v>70</v>
      </c>
      <c r="C2205" s="8">
        <v>46201</v>
      </c>
      <c r="D2205" t="s">
        <v>2058</v>
      </c>
      <c r="E2205" t="s">
        <v>2068</v>
      </c>
      <c r="F2205" t="s">
        <v>27</v>
      </c>
      <c r="G2205">
        <v>467.77</v>
      </c>
      <c r="H2205" t="s">
        <v>2060</v>
      </c>
      <c r="I2205" t="str">
        <f>VLOOKUP(B2205,Customers!A:G,7,FALSE)</f>
        <v>Individual</v>
      </c>
      <c r="Q2205" t="str">
        <f>IF(COUNTIF(Customers!$A$2:$A$1001,B2205)&gt;0,"Valid","Invalid")</f>
        <v>Valid</v>
      </c>
      <c r="R2205" t="str">
        <f>IF(COUNTIF(Branches!$A$2:$A$11,F2205)&gt;0,"Valid","Invalid")</f>
        <v>Valid</v>
      </c>
    </row>
    <row r="2206" spans="1:18" x14ac:dyDescent="0.25">
      <c r="A2206" t="s">
        <v>4277</v>
      </c>
      <c r="B2206" t="s">
        <v>545</v>
      </c>
      <c r="C2206" s="8">
        <v>46187</v>
      </c>
      <c r="D2206" t="s">
        <v>2062</v>
      </c>
      <c r="E2206" t="s">
        <v>2063</v>
      </c>
      <c r="F2206" t="s">
        <v>35</v>
      </c>
      <c r="G2206">
        <v>1532.26</v>
      </c>
      <c r="H2206" t="s">
        <v>2060</v>
      </c>
      <c r="I2206" t="str">
        <f>VLOOKUP(B2206,Customers!A:G,7,FALSE)</f>
        <v>SME</v>
      </c>
      <c r="Q2206" t="str">
        <f>IF(COUNTIF(Customers!$A$2:$A$1001,B2206)&gt;0,"Valid","Invalid")</f>
        <v>Valid</v>
      </c>
      <c r="R2206" t="str">
        <f>IF(COUNTIF(Branches!$A$2:$A$11,F2206)&gt;0,"Valid","Invalid")</f>
        <v>Valid</v>
      </c>
    </row>
    <row r="2207" spans="1:18" x14ac:dyDescent="0.25">
      <c r="A2207" t="s">
        <v>4278</v>
      </c>
      <c r="B2207" t="s">
        <v>937</v>
      </c>
      <c r="C2207" s="8">
        <v>46243</v>
      </c>
      <c r="D2207" t="s">
        <v>2058</v>
      </c>
      <c r="E2207" t="s">
        <v>2063</v>
      </c>
      <c r="F2207" t="s">
        <v>45</v>
      </c>
      <c r="G2207">
        <v>403.85</v>
      </c>
      <c r="H2207" t="s">
        <v>2060</v>
      </c>
      <c r="I2207" t="str">
        <f>VLOOKUP(B2207,Customers!A:G,7,FALSE)</f>
        <v>SME</v>
      </c>
      <c r="Q2207" t="str">
        <f>IF(COUNTIF(Customers!$A$2:$A$1001,B2207)&gt;0,"Valid","Invalid")</f>
        <v>Valid</v>
      </c>
      <c r="R2207" t="str">
        <f>IF(COUNTIF(Branches!$A$2:$A$11,F2207)&gt;0,"Valid","Invalid")</f>
        <v>Valid</v>
      </c>
    </row>
    <row r="2208" spans="1:18" x14ac:dyDescent="0.25">
      <c r="A2208" t="s">
        <v>4279</v>
      </c>
      <c r="B2208" t="s">
        <v>271</v>
      </c>
      <c r="C2208" s="8">
        <v>46091</v>
      </c>
      <c r="D2208" t="s">
        <v>2058</v>
      </c>
      <c r="E2208" t="s">
        <v>2068</v>
      </c>
      <c r="F2208" t="s">
        <v>47</v>
      </c>
      <c r="G2208">
        <v>147.68</v>
      </c>
      <c r="H2208" t="s">
        <v>2060</v>
      </c>
      <c r="I2208" t="str">
        <f>VLOOKUP(B2208,Customers!A:G,7,FALSE)</f>
        <v>Student</v>
      </c>
      <c r="Q2208" t="str">
        <f>IF(COUNTIF(Customers!$A$2:$A$1001,B2208)&gt;0,"Valid","Invalid")</f>
        <v>Valid</v>
      </c>
      <c r="R2208" t="str">
        <f>IF(COUNTIF(Branches!$A$2:$A$11,F2208)&gt;0,"Valid","Invalid")</f>
        <v>Valid</v>
      </c>
    </row>
    <row r="2209" spans="1:18" x14ac:dyDescent="0.25">
      <c r="A2209" t="s">
        <v>4280</v>
      </c>
      <c r="B2209" t="s">
        <v>766</v>
      </c>
      <c r="C2209" s="8">
        <v>46075</v>
      </c>
      <c r="D2209" t="s">
        <v>2065</v>
      </c>
      <c r="E2209" t="s">
        <v>2076</v>
      </c>
      <c r="F2209" t="s">
        <v>27</v>
      </c>
      <c r="G2209">
        <v>167.05</v>
      </c>
      <c r="H2209" t="s">
        <v>2115</v>
      </c>
      <c r="I2209" t="str">
        <f>VLOOKUP(B2209,Customers!A:G,7,FALSE)</f>
        <v>Individual</v>
      </c>
      <c r="Q2209" t="str">
        <f>IF(COUNTIF(Customers!$A$2:$A$1001,B2209)&gt;0,"Valid","Invalid")</f>
        <v>Valid</v>
      </c>
      <c r="R2209" t="str">
        <f>IF(COUNTIF(Branches!$A$2:$A$11,F2209)&gt;0,"Valid","Invalid")</f>
        <v>Valid</v>
      </c>
    </row>
    <row r="2210" spans="1:18" x14ac:dyDescent="0.25">
      <c r="A2210" t="s">
        <v>4281</v>
      </c>
      <c r="B2210" t="s">
        <v>1020</v>
      </c>
      <c r="C2210" s="8">
        <v>46246</v>
      </c>
      <c r="D2210" t="s">
        <v>2062</v>
      </c>
      <c r="E2210" t="s">
        <v>2063</v>
      </c>
      <c r="F2210" t="s">
        <v>39</v>
      </c>
      <c r="G2210">
        <v>767.54</v>
      </c>
      <c r="H2210" t="s">
        <v>2060</v>
      </c>
      <c r="I2210" t="str">
        <f>VLOOKUP(B2210,Customers!A:G,7,FALSE)</f>
        <v>Individual</v>
      </c>
      <c r="Q2210" t="str">
        <f>IF(COUNTIF(Customers!$A$2:$A$1001,B2210)&gt;0,"Valid","Invalid")</f>
        <v>Valid</v>
      </c>
      <c r="R2210" t="str">
        <f>IF(COUNTIF(Branches!$A$2:$A$11,F2210)&gt;0,"Valid","Invalid")</f>
        <v>Valid</v>
      </c>
    </row>
    <row r="2211" spans="1:18" x14ac:dyDescent="0.25">
      <c r="A2211" t="s">
        <v>4282</v>
      </c>
      <c r="B2211" t="s">
        <v>535</v>
      </c>
      <c r="C2211" s="8">
        <v>46146</v>
      </c>
      <c r="D2211" t="s">
        <v>2067</v>
      </c>
      <c r="E2211" t="s">
        <v>2059</v>
      </c>
      <c r="F2211" t="s">
        <v>16</v>
      </c>
      <c r="G2211">
        <v>1335.86</v>
      </c>
      <c r="H2211" t="s">
        <v>2115</v>
      </c>
      <c r="I2211" t="str">
        <f>VLOOKUP(B2211,Customers!A:G,7,FALSE)</f>
        <v>SME</v>
      </c>
      <c r="Q2211" t="str">
        <f>IF(COUNTIF(Customers!$A$2:$A$1001,B2211)&gt;0,"Valid","Invalid")</f>
        <v>Valid</v>
      </c>
      <c r="R2211" t="str">
        <f>IF(COUNTIF(Branches!$A$2:$A$11,F2211)&gt;0,"Valid","Invalid")</f>
        <v>Valid</v>
      </c>
    </row>
    <row r="2212" spans="1:18" x14ac:dyDescent="0.25">
      <c r="A2212" t="s">
        <v>4283</v>
      </c>
      <c r="B2212" t="s">
        <v>243</v>
      </c>
      <c r="C2212" s="8">
        <v>46202</v>
      </c>
      <c r="D2212" t="s">
        <v>2067</v>
      </c>
      <c r="E2212" t="s">
        <v>2059</v>
      </c>
      <c r="F2212" t="s">
        <v>29</v>
      </c>
      <c r="G2212">
        <v>663.65</v>
      </c>
      <c r="H2212" t="s">
        <v>2060</v>
      </c>
      <c r="I2212" t="str">
        <f>VLOOKUP(B2212,Customers!A:G,7,FALSE)</f>
        <v>Student</v>
      </c>
      <c r="Q2212" t="str">
        <f>IF(COUNTIF(Customers!$A$2:$A$1001,B2212)&gt;0,"Valid","Invalid")</f>
        <v>Valid</v>
      </c>
      <c r="R2212" t="str">
        <f>IF(COUNTIF(Branches!$A$2:$A$11,F2212)&gt;0,"Valid","Invalid")</f>
        <v>Valid</v>
      </c>
    </row>
    <row r="2213" spans="1:18" x14ac:dyDescent="0.25">
      <c r="A2213" t="s">
        <v>4284</v>
      </c>
      <c r="B2213" t="s">
        <v>464</v>
      </c>
      <c r="C2213" s="8">
        <v>46110</v>
      </c>
      <c r="D2213" t="s">
        <v>2062</v>
      </c>
      <c r="E2213" t="s">
        <v>2068</v>
      </c>
      <c r="F2213" t="s">
        <v>53</v>
      </c>
      <c r="G2213">
        <v>1249.43</v>
      </c>
      <c r="H2213" t="s">
        <v>2060</v>
      </c>
      <c r="I2213" t="str">
        <f>VLOOKUP(B2213,Customers!A:G,7,FALSE)</f>
        <v>Student</v>
      </c>
      <c r="Q2213" t="str">
        <f>IF(COUNTIF(Customers!$A$2:$A$1001,B2213)&gt;0,"Valid","Invalid")</f>
        <v>Valid</v>
      </c>
      <c r="R2213" t="str">
        <f>IF(COUNTIF(Branches!$A$2:$A$11,F2213)&gt;0,"Valid","Invalid")</f>
        <v>Valid</v>
      </c>
    </row>
    <row r="2214" spans="1:18" x14ac:dyDescent="0.25">
      <c r="A2214" t="s">
        <v>4285</v>
      </c>
      <c r="B2214" t="s">
        <v>979</v>
      </c>
      <c r="C2214" s="8">
        <v>46105</v>
      </c>
      <c r="D2214" t="s">
        <v>2058</v>
      </c>
      <c r="E2214" t="s">
        <v>2063</v>
      </c>
      <c r="F2214" t="s">
        <v>16</v>
      </c>
      <c r="G2214">
        <v>161.93</v>
      </c>
      <c r="H2214" t="s">
        <v>2060</v>
      </c>
      <c r="I2214" t="str">
        <f>VLOOKUP(B2214,Customers!A:G,7,FALSE)</f>
        <v>Individual</v>
      </c>
      <c r="Q2214" t="str">
        <f>IF(COUNTIF(Customers!$A$2:$A$1001,B2214)&gt;0,"Valid","Invalid")</f>
        <v>Valid</v>
      </c>
      <c r="R2214" t="str">
        <f>IF(COUNTIF(Branches!$A$2:$A$11,F2214)&gt;0,"Valid","Invalid")</f>
        <v>Valid</v>
      </c>
    </row>
    <row r="2215" spans="1:18" x14ac:dyDescent="0.25">
      <c r="A2215" t="s">
        <v>4286</v>
      </c>
      <c r="B2215" t="s">
        <v>79</v>
      </c>
      <c r="C2215" s="8">
        <v>46034</v>
      </c>
      <c r="D2215" t="s">
        <v>2070</v>
      </c>
      <c r="E2215" t="s">
        <v>2076</v>
      </c>
      <c r="F2215" t="s">
        <v>16</v>
      </c>
      <c r="G2215">
        <v>173.24</v>
      </c>
      <c r="H2215" t="s">
        <v>2060</v>
      </c>
      <c r="I2215" t="str">
        <f>VLOOKUP(B2215,Customers!A:G,7,FALSE)</f>
        <v>Individual</v>
      </c>
      <c r="Q2215" t="str">
        <f>IF(COUNTIF(Customers!$A$2:$A$1001,B2215)&gt;0,"Valid","Invalid")</f>
        <v>Valid</v>
      </c>
      <c r="R2215" t="str">
        <f>IF(COUNTIF(Branches!$A$2:$A$11,F2215)&gt;0,"Valid","Invalid")</f>
        <v>Valid</v>
      </c>
    </row>
    <row r="2216" spans="1:18" x14ac:dyDescent="0.25">
      <c r="A2216" t="s">
        <v>4287</v>
      </c>
      <c r="B2216" t="s">
        <v>127</v>
      </c>
      <c r="C2216" s="8">
        <v>46074</v>
      </c>
      <c r="D2216" t="s">
        <v>2065</v>
      </c>
      <c r="E2216" t="s">
        <v>2076</v>
      </c>
      <c r="F2216" t="s">
        <v>11</v>
      </c>
      <c r="G2216">
        <v>7738.29</v>
      </c>
      <c r="H2216" t="s">
        <v>2060</v>
      </c>
      <c r="I2216" t="str">
        <f>VLOOKUP(B2216,Customers!A:G,7,FALSE)</f>
        <v>Individual</v>
      </c>
      <c r="Q2216" t="str">
        <f>IF(COUNTIF(Customers!$A$2:$A$1001,B2216)&gt;0,"Valid","Invalid")</f>
        <v>Valid</v>
      </c>
      <c r="R2216" t="str">
        <f>IF(COUNTIF(Branches!$A$2:$A$11,F2216)&gt;0,"Valid","Invalid")</f>
        <v>Valid</v>
      </c>
    </row>
    <row r="2217" spans="1:18" x14ac:dyDescent="0.25">
      <c r="A2217" t="s">
        <v>4288</v>
      </c>
      <c r="B2217" t="s">
        <v>967</v>
      </c>
      <c r="C2217" s="8">
        <v>46151</v>
      </c>
      <c r="D2217" t="s">
        <v>2058</v>
      </c>
      <c r="E2217" t="s">
        <v>2073</v>
      </c>
      <c r="F2217" t="s">
        <v>29</v>
      </c>
      <c r="G2217">
        <v>2787.18</v>
      </c>
      <c r="H2217" t="s">
        <v>2060</v>
      </c>
      <c r="I2217" t="str">
        <f>VLOOKUP(B2217,Customers!A:G,7,FALSE)</f>
        <v>Individual</v>
      </c>
      <c r="Q2217" t="str">
        <f>IF(COUNTIF(Customers!$A$2:$A$1001,B2217)&gt;0,"Valid","Invalid")</f>
        <v>Valid</v>
      </c>
      <c r="R2217" t="str">
        <f>IF(COUNTIF(Branches!$A$2:$A$11,F2217)&gt;0,"Valid","Invalid")</f>
        <v>Valid</v>
      </c>
    </row>
    <row r="2218" spans="1:18" x14ac:dyDescent="0.25">
      <c r="A2218" t="s">
        <v>4289</v>
      </c>
      <c r="B2218" t="s">
        <v>866</v>
      </c>
      <c r="C2218" s="8">
        <v>46157</v>
      </c>
      <c r="D2218" t="s">
        <v>2065</v>
      </c>
      <c r="E2218" t="s">
        <v>2068</v>
      </c>
      <c r="F2218" t="s">
        <v>27</v>
      </c>
      <c r="G2218">
        <v>1752.8</v>
      </c>
      <c r="H2218" t="s">
        <v>2060</v>
      </c>
      <c r="I2218" t="str">
        <f>VLOOKUP(B2218,Customers!A:G,7,FALSE)</f>
        <v>Individual</v>
      </c>
      <c r="Q2218" t="str">
        <f>IF(COUNTIF(Customers!$A$2:$A$1001,B2218)&gt;0,"Valid","Invalid")</f>
        <v>Valid</v>
      </c>
      <c r="R2218" t="str">
        <f>IF(COUNTIF(Branches!$A$2:$A$11,F2218)&gt;0,"Valid","Invalid")</f>
        <v>Valid</v>
      </c>
    </row>
    <row r="2219" spans="1:18" x14ac:dyDescent="0.25">
      <c r="A2219" t="s">
        <v>4290</v>
      </c>
      <c r="B2219" t="s">
        <v>508</v>
      </c>
      <c r="C2219" s="8">
        <v>46167</v>
      </c>
      <c r="D2219" t="s">
        <v>2062</v>
      </c>
      <c r="E2219" t="s">
        <v>2063</v>
      </c>
      <c r="F2219" t="s">
        <v>35</v>
      </c>
      <c r="G2219">
        <v>420.01</v>
      </c>
      <c r="H2219" t="s">
        <v>2060</v>
      </c>
      <c r="I2219" t="str">
        <f>VLOOKUP(B2219,Customers!A:G,7,FALSE)</f>
        <v>Individual</v>
      </c>
      <c r="Q2219" t="str">
        <f>IF(COUNTIF(Customers!$A$2:$A$1001,B2219)&gt;0,"Valid","Invalid")</f>
        <v>Valid</v>
      </c>
      <c r="R2219" t="str">
        <f>IF(COUNTIF(Branches!$A$2:$A$11,F2219)&gt;0,"Valid","Invalid")</f>
        <v>Valid</v>
      </c>
    </row>
    <row r="2220" spans="1:18" x14ac:dyDescent="0.25">
      <c r="A2220" t="s">
        <v>4291</v>
      </c>
      <c r="B2220" t="s">
        <v>643</v>
      </c>
      <c r="C2220" s="8">
        <v>46149</v>
      </c>
      <c r="D2220" t="s">
        <v>2065</v>
      </c>
      <c r="E2220" t="s">
        <v>2076</v>
      </c>
      <c r="F2220" t="s">
        <v>11</v>
      </c>
      <c r="G2220">
        <v>640.34</v>
      </c>
      <c r="H2220" t="s">
        <v>2060</v>
      </c>
      <c r="I2220" t="str">
        <f>VLOOKUP(B2220,Customers!A:G,7,FALSE)</f>
        <v>Individual</v>
      </c>
      <c r="Q2220" t="str">
        <f>IF(COUNTIF(Customers!$A$2:$A$1001,B2220)&gt;0,"Valid","Invalid")</f>
        <v>Valid</v>
      </c>
      <c r="R2220" t="str">
        <f>IF(COUNTIF(Branches!$A$2:$A$11,F2220)&gt;0,"Valid","Invalid")</f>
        <v>Valid</v>
      </c>
    </row>
    <row r="2221" spans="1:18" x14ac:dyDescent="0.25">
      <c r="A2221" t="s">
        <v>4292</v>
      </c>
      <c r="B2221" t="s">
        <v>505</v>
      </c>
      <c r="C2221" s="8">
        <v>46248</v>
      </c>
      <c r="D2221" t="s">
        <v>2058</v>
      </c>
      <c r="E2221" t="s">
        <v>2068</v>
      </c>
      <c r="F2221" t="s">
        <v>16</v>
      </c>
      <c r="G2221">
        <v>811.04</v>
      </c>
      <c r="H2221" t="s">
        <v>2060</v>
      </c>
      <c r="I2221" t="str">
        <f>VLOOKUP(B2221,Customers!A:G,7,FALSE)</f>
        <v>Individual</v>
      </c>
      <c r="Q2221" t="str">
        <f>IF(COUNTIF(Customers!$A$2:$A$1001,B2221)&gt;0,"Valid","Invalid")</f>
        <v>Valid</v>
      </c>
      <c r="R2221" t="str">
        <f>IF(COUNTIF(Branches!$A$2:$A$11,F2221)&gt;0,"Valid","Invalid")</f>
        <v>Valid</v>
      </c>
    </row>
    <row r="2222" spans="1:18" x14ac:dyDescent="0.25">
      <c r="A2222" t="s">
        <v>4293</v>
      </c>
      <c r="B2222" t="s">
        <v>889</v>
      </c>
      <c r="C2222" s="8">
        <v>46193</v>
      </c>
      <c r="D2222" t="s">
        <v>2062</v>
      </c>
      <c r="E2222" t="s">
        <v>2076</v>
      </c>
      <c r="F2222" t="s">
        <v>11</v>
      </c>
      <c r="G2222">
        <v>3024.03</v>
      </c>
      <c r="H2222" t="s">
        <v>2060</v>
      </c>
      <c r="I2222" t="str">
        <f>VLOOKUP(B2222,Customers!A:G,7,FALSE)</f>
        <v>Corporate</v>
      </c>
      <c r="Q2222" t="str">
        <f>IF(COUNTIF(Customers!$A$2:$A$1001,B2222)&gt;0,"Valid","Invalid")</f>
        <v>Valid</v>
      </c>
      <c r="R2222" t="str">
        <f>IF(COUNTIF(Branches!$A$2:$A$11,F2222)&gt;0,"Valid","Invalid")</f>
        <v>Valid</v>
      </c>
    </row>
    <row r="2223" spans="1:18" x14ac:dyDescent="0.25">
      <c r="A2223" t="s">
        <v>4294</v>
      </c>
      <c r="B2223" t="s">
        <v>492</v>
      </c>
      <c r="C2223" s="8">
        <v>46093</v>
      </c>
      <c r="D2223" t="s">
        <v>2067</v>
      </c>
      <c r="E2223" t="s">
        <v>2068</v>
      </c>
      <c r="F2223" t="s">
        <v>39</v>
      </c>
      <c r="G2223">
        <v>1215.3399999999999</v>
      </c>
      <c r="H2223" t="s">
        <v>2060</v>
      </c>
      <c r="I2223" t="str">
        <f>VLOOKUP(B2223,Customers!A:G,7,FALSE)</f>
        <v>Individual</v>
      </c>
      <c r="Q2223" t="str">
        <f>IF(COUNTIF(Customers!$A$2:$A$1001,B2223)&gt;0,"Valid","Invalid")</f>
        <v>Valid</v>
      </c>
      <c r="R2223" t="str">
        <f>IF(COUNTIF(Branches!$A$2:$A$11,F2223)&gt;0,"Valid","Invalid")</f>
        <v>Valid</v>
      </c>
    </row>
    <row r="2224" spans="1:18" x14ac:dyDescent="0.25">
      <c r="A2224" t="s">
        <v>4295</v>
      </c>
      <c r="B2224" t="s">
        <v>633</v>
      </c>
      <c r="C2224" s="8">
        <v>46039</v>
      </c>
      <c r="D2224" t="s">
        <v>2070</v>
      </c>
      <c r="E2224" t="s">
        <v>2073</v>
      </c>
      <c r="F2224" t="s">
        <v>21</v>
      </c>
      <c r="G2224">
        <v>1374.59</v>
      </c>
      <c r="H2224" t="s">
        <v>2060</v>
      </c>
      <c r="I2224" t="str">
        <f>VLOOKUP(B2224,Customers!A:G,7,FALSE)</f>
        <v>Individual</v>
      </c>
      <c r="Q2224" t="str">
        <f>IF(COUNTIF(Customers!$A$2:$A$1001,B2224)&gt;0,"Valid","Invalid")</f>
        <v>Valid</v>
      </c>
      <c r="R2224" t="str">
        <f>IF(COUNTIF(Branches!$A$2:$A$11,F2224)&gt;0,"Valid","Invalid")</f>
        <v>Valid</v>
      </c>
    </row>
    <row r="2225" spans="1:18" x14ac:dyDescent="0.25">
      <c r="A2225" t="s">
        <v>4296</v>
      </c>
      <c r="B2225" t="s">
        <v>371</v>
      </c>
      <c r="C2225" s="8">
        <v>46209</v>
      </c>
      <c r="D2225" t="s">
        <v>2062</v>
      </c>
      <c r="E2225" t="s">
        <v>2063</v>
      </c>
      <c r="F2225" t="s">
        <v>11</v>
      </c>
      <c r="G2225">
        <v>687.01</v>
      </c>
      <c r="H2225" t="s">
        <v>2060</v>
      </c>
      <c r="I2225" t="str">
        <f>VLOOKUP(B2225,Customers!A:G,7,FALSE)</f>
        <v>Individual</v>
      </c>
      <c r="Q2225" t="str">
        <f>IF(COUNTIF(Customers!$A$2:$A$1001,B2225)&gt;0,"Valid","Invalid")</f>
        <v>Valid</v>
      </c>
      <c r="R2225" t="str">
        <f>IF(COUNTIF(Branches!$A$2:$A$11,F2225)&gt;0,"Valid","Invalid")</f>
        <v>Valid</v>
      </c>
    </row>
    <row r="2226" spans="1:18" x14ac:dyDescent="0.25">
      <c r="A2226" t="s">
        <v>4297</v>
      </c>
      <c r="B2226" t="s">
        <v>545</v>
      </c>
      <c r="C2226" s="8">
        <v>46025</v>
      </c>
      <c r="D2226" t="s">
        <v>2067</v>
      </c>
      <c r="E2226" t="s">
        <v>2063</v>
      </c>
      <c r="F2226" t="s">
        <v>11</v>
      </c>
      <c r="G2226">
        <v>1794.83</v>
      </c>
      <c r="H2226" t="s">
        <v>2060</v>
      </c>
      <c r="I2226" t="str">
        <f>VLOOKUP(B2226,Customers!A:G,7,FALSE)</f>
        <v>SME</v>
      </c>
      <c r="Q2226" t="str">
        <f>IF(COUNTIF(Customers!$A$2:$A$1001,B2226)&gt;0,"Valid","Invalid")</f>
        <v>Valid</v>
      </c>
      <c r="R2226" t="str">
        <f>IF(COUNTIF(Branches!$A$2:$A$11,F2226)&gt;0,"Valid","Invalid")</f>
        <v>Valid</v>
      </c>
    </row>
    <row r="2227" spans="1:18" x14ac:dyDescent="0.25">
      <c r="A2227" t="s">
        <v>4298</v>
      </c>
      <c r="B2227" t="s">
        <v>832</v>
      </c>
      <c r="C2227" s="8">
        <v>46051</v>
      </c>
      <c r="D2227" t="s">
        <v>2065</v>
      </c>
      <c r="E2227" t="s">
        <v>2068</v>
      </c>
      <c r="F2227" t="s">
        <v>53</v>
      </c>
      <c r="G2227">
        <v>1099.18</v>
      </c>
      <c r="H2227" t="s">
        <v>2060</v>
      </c>
      <c r="I2227" t="str">
        <f>VLOOKUP(B2227,Customers!A:G,7,FALSE)</f>
        <v>Individual</v>
      </c>
      <c r="Q2227" t="str">
        <f>IF(COUNTIF(Customers!$A$2:$A$1001,B2227)&gt;0,"Valid","Invalid")</f>
        <v>Valid</v>
      </c>
      <c r="R2227" t="str">
        <f>IF(COUNTIF(Branches!$A$2:$A$11,F2227)&gt;0,"Valid","Invalid")</f>
        <v>Valid</v>
      </c>
    </row>
    <row r="2228" spans="1:18" x14ac:dyDescent="0.25">
      <c r="A2228" t="s">
        <v>4299</v>
      </c>
      <c r="B2228" t="s">
        <v>508</v>
      </c>
      <c r="C2228" s="8">
        <v>46044</v>
      </c>
      <c r="D2228" t="s">
        <v>2067</v>
      </c>
      <c r="E2228" t="s">
        <v>2063</v>
      </c>
      <c r="F2228" t="s">
        <v>45</v>
      </c>
      <c r="G2228">
        <v>848.97</v>
      </c>
      <c r="H2228" t="s">
        <v>2107</v>
      </c>
      <c r="I2228" t="str">
        <f>VLOOKUP(B2228,Customers!A:G,7,FALSE)</f>
        <v>Individual</v>
      </c>
      <c r="Q2228" t="str">
        <f>IF(COUNTIF(Customers!$A$2:$A$1001,B2228)&gt;0,"Valid","Invalid")</f>
        <v>Valid</v>
      </c>
      <c r="R2228" t="str">
        <f>IF(COUNTIF(Branches!$A$2:$A$11,F2228)&gt;0,"Valid","Invalid")</f>
        <v>Valid</v>
      </c>
    </row>
    <row r="2229" spans="1:18" x14ac:dyDescent="0.25">
      <c r="A2229" t="s">
        <v>4300</v>
      </c>
      <c r="B2229" t="s">
        <v>55</v>
      </c>
      <c r="C2229" s="8">
        <v>46188</v>
      </c>
      <c r="D2229" t="s">
        <v>2067</v>
      </c>
      <c r="E2229" t="s">
        <v>2063</v>
      </c>
      <c r="F2229" t="s">
        <v>29</v>
      </c>
      <c r="G2229">
        <v>386.42</v>
      </c>
      <c r="H2229" t="s">
        <v>2060</v>
      </c>
      <c r="I2229" t="str">
        <f>VLOOKUP(B2229,Customers!A:G,7,FALSE)</f>
        <v>SME</v>
      </c>
      <c r="Q2229" t="str">
        <f>IF(COUNTIF(Customers!$A$2:$A$1001,B2229)&gt;0,"Valid","Invalid")</f>
        <v>Valid</v>
      </c>
      <c r="R2229" t="str">
        <f>IF(COUNTIF(Branches!$A$2:$A$11,F2229)&gt;0,"Valid","Invalid")</f>
        <v>Valid</v>
      </c>
    </row>
    <row r="2230" spans="1:18" x14ac:dyDescent="0.25">
      <c r="A2230" t="s">
        <v>4301</v>
      </c>
      <c r="B2230" t="s">
        <v>265</v>
      </c>
      <c r="C2230" s="8">
        <v>46076</v>
      </c>
      <c r="D2230" t="s">
        <v>2062</v>
      </c>
      <c r="E2230" t="s">
        <v>2059</v>
      </c>
      <c r="F2230" t="s">
        <v>39</v>
      </c>
      <c r="G2230">
        <v>725.19</v>
      </c>
      <c r="H2230" t="s">
        <v>2060</v>
      </c>
      <c r="I2230" t="str">
        <f>VLOOKUP(B2230,Customers!A:G,7,FALSE)</f>
        <v>Individual</v>
      </c>
      <c r="Q2230" t="str">
        <f>IF(COUNTIF(Customers!$A$2:$A$1001,B2230)&gt;0,"Valid","Invalid")</f>
        <v>Valid</v>
      </c>
      <c r="R2230" t="str">
        <f>IF(COUNTIF(Branches!$A$2:$A$11,F2230)&gt;0,"Valid","Invalid")</f>
        <v>Valid</v>
      </c>
    </row>
    <row r="2231" spans="1:18" x14ac:dyDescent="0.25">
      <c r="A2231" t="s">
        <v>4302</v>
      </c>
      <c r="B2231" t="s">
        <v>414</v>
      </c>
      <c r="C2231" s="8">
        <v>46129</v>
      </c>
      <c r="D2231" t="s">
        <v>2070</v>
      </c>
      <c r="E2231" t="s">
        <v>2068</v>
      </c>
      <c r="F2231" t="s">
        <v>39</v>
      </c>
      <c r="G2231">
        <v>276.02</v>
      </c>
      <c r="H2231" t="s">
        <v>2060</v>
      </c>
      <c r="I2231" t="str">
        <f>VLOOKUP(B2231,Customers!A:G,7,FALSE)</f>
        <v>Individual</v>
      </c>
      <c r="Q2231" t="str">
        <f>IF(COUNTIF(Customers!$A$2:$A$1001,B2231)&gt;0,"Valid","Invalid")</f>
        <v>Valid</v>
      </c>
      <c r="R2231" t="str">
        <f>IF(COUNTIF(Branches!$A$2:$A$11,F2231)&gt;0,"Valid","Invalid")</f>
        <v>Valid</v>
      </c>
    </row>
    <row r="2232" spans="1:18" x14ac:dyDescent="0.25">
      <c r="A2232" t="s">
        <v>4303</v>
      </c>
      <c r="B2232" t="s">
        <v>166</v>
      </c>
      <c r="C2232" s="8">
        <v>46243</v>
      </c>
      <c r="D2232" t="s">
        <v>2065</v>
      </c>
      <c r="E2232" t="s">
        <v>2063</v>
      </c>
      <c r="F2232" t="s">
        <v>27</v>
      </c>
      <c r="G2232">
        <v>780.44</v>
      </c>
      <c r="H2232" t="s">
        <v>2060</v>
      </c>
      <c r="I2232" t="str">
        <f>VLOOKUP(B2232,Customers!A:G,7,FALSE)</f>
        <v>SME</v>
      </c>
      <c r="Q2232" t="str">
        <f>IF(COUNTIF(Customers!$A$2:$A$1001,B2232)&gt;0,"Valid","Invalid")</f>
        <v>Valid</v>
      </c>
      <c r="R2232" t="str">
        <f>IF(COUNTIF(Branches!$A$2:$A$11,F2232)&gt;0,"Valid","Invalid")</f>
        <v>Valid</v>
      </c>
    </row>
    <row r="2233" spans="1:18" x14ac:dyDescent="0.25">
      <c r="A2233" t="s">
        <v>4304</v>
      </c>
      <c r="B2233" t="s">
        <v>725</v>
      </c>
      <c r="C2233" s="8">
        <v>46264</v>
      </c>
      <c r="D2233" t="s">
        <v>2067</v>
      </c>
      <c r="E2233" t="s">
        <v>2076</v>
      </c>
      <c r="F2233" t="s">
        <v>16</v>
      </c>
      <c r="G2233">
        <v>887.95</v>
      </c>
      <c r="H2233" t="s">
        <v>2115</v>
      </c>
      <c r="I2233" t="str">
        <f>VLOOKUP(B2233,Customers!A:G,7,FALSE)</f>
        <v>Individual</v>
      </c>
      <c r="Q2233" t="str">
        <f>IF(COUNTIF(Customers!$A$2:$A$1001,B2233)&gt;0,"Valid","Invalid")</f>
        <v>Valid</v>
      </c>
      <c r="R2233" t="str">
        <f>IF(COUNTIF(Branches!$A$2:$A$11,F2233)&gt;0,"Valid","Invalid")</f>
        <v>Valid</v>
      </c>
    </row>
    <row r="2234" spans="1:18" x14ac:dyDescent="0.25">
      <c r="A2234" t="s">
        <v>4305</v>
      </c>
      <c r="B2234" t="s">
        <v>658</v>
      </c>
      <c r="C2234" s="8">
        <v>46200</v>
      </c>
      <c r="D2234" t="s">
        <v>2058</v>
      </c>
      <c r="E2234" t="s">
        <v>2063</v>
      </c>
      <c r="F2234" t="s">
        <v>27</v>
      </c>
      <c r="G2234">
        <v>73.37</v>
      </c>
      <c r="H2234" t="s">
        <v>2060</v>
      </c>
      <c r="I2234" t="str">
        <f>VLOOKUP(B2234,Customers!A:G,7,FALSE)</f>
        <v>Student</v>
      </c>
      <c r="Q2234" t="str">
        <f>IF(COUNTIF(Customers!$A$2:$A$1001,B2234)&gt;0,"Valid","Invalid")</f>
        <v>Valid</v>
      </c>
      <c r="R2234" t="str">
        <f>IF(COUNTIF(Branches!$A$2:$A$11,F2234)&gt;0,"Valid","Invalid")</f>
        <v>Valid</v>
      </c>
    </row>
    <row r="2235" spans="1:18" x14ac:dyDescent="0.25">
      <c r="A2235" t="s">
        <v>4306</v>
      </c>
      <c r="B2235" t="s">
        <v>452</v>
      </c>
      <c r="C2235" s="8">
        <v>46256</v>
      </c>
      <c r="D2235" t="s">
        <v>2065</v>
      </c>
      <c r="E2235" t="s">
        <v>2063</v>
      </c>
      <c r="F2235" t="s">
        <v>39</v>
      </c>
      <c r="G2235">
        <v>645.26</v>
      </c>
      <c r="H2235" t="s">
        <v>2060</v>
      </c>
      <c r="I2235" t="str">
        <f>VLOOKUP(B2235,Customers!A:G,7,FALSE)</f>
        <v>Individual</v>
      </c>
      <c r="Q2235" t="str">
        <f>IF(COUNTIF(Customers!$A$2:$A$1001,B2235)&gt;0,"Valid","Invalid")</f>
        <v>Valid</v>
      </c>
      <c r="R2235" t="str">
        <f>IF(COUNTIF(Branches!$A$2:$A$11,F2235)&gt;0,"Valid","Invalid")</f>
        <v>Valid</v>
      </c>
    </row>
    <row r="2236" spans="1:18" x14ac:dyDescent="0.25">
      <c r="A2236" t="s">
        <v>4307</v>
      </c>
      <c r="B2236" t="s">
        <v>833</v>
      </c>
      <c r="C2236" s="8">
        <v>46091</v>
      </c>
      <c r="D2236" t="s">
        <v>2067</v>
      </c>
      <c r="E2236" t="s">
        <v>2059</v>
      </c>
      <c r="F2236" t="s">
        <v>27</v>
      </c>
      <c r="G2236">
        <v>250.67</v>
      </c>
      <c r="H2236" t="s">
        <v>2060</v>
      </c>
      <c r="I2236" t="str">
        <f>VLOOKUP(B2236,Customers!A:G,7,FALSE)</f>
        <v>SME</v>
      </c>
      <c r="Q2236" t="str">
        <f>IF(COUNTIF(Customers!$A$2:$A$1001,B2236)&gt;0,"Valid","Invalid")</f>
        <v>Valid</v>
      </c>
      <c r="R2236" t="str">
        <f>IF(COUNTIF(Branches!$A$2:$A$11,F2236)&gt;0,"Valid","Invalid")</f>
        <v>Valid</v>
      </c>
    </row>
    <row r="2237" spans="1:18" x14ac:dyDescent="0.25">
      <c r="A2237" t="s">
        <v>4308</v>
      </c>
      <c r="B2237" t="s">
        <v>107</v>
      </c>
      <c r="C2237" s="8">
        <v>46180</v>
      </c>
      <c r="D2237" t="s">
        <v>2067</v>
      </c>
      <c r="E2237" t="s">
        <v>2063</v>
      </c>
      <c r="F2237" t="s">
        <v>21</v>
      </c>
      <c r="G2237">
        <v>1337.61</v>
      </c>
      <c r="H2237" t="s">
        <v>2060</v>
      </c>
      <c r="I2237" t="str">
        <f>VLOOKUP(B2237,Customers!A:G,7,FALSE)</f>
        <v>SME</v>
      </c>
      <c r="Q2237" t="str">
        <f>IF(COUNTIF(Customers!$A$2:$A$1001,B2237)&gt;0,"Valid","Invalid")</f>
        <v>Valid</v>
      </c>
      <c r="R2237" t="str">
        <f>IF(COUNTIF(Branches!$A$2:$A$11,F2237)&gt;0,"Valid","Invalid")</f>
        <v>Valid</v>
      </c>
    </row>
    <row r="2238" spans="1:18" x14ac:dyDescent="0.25">
      <c r="A2238" t="s">
        <v>4309</v>
      </c>
      <c r="B2238" t="s">
        <v>442</v>
      </c>
      <c r="C2238" s="8">
        <v>46173</v>
      </c>
      <c r="D2238" t="s">
        <v>2058</v>
      </c>
      <c r="E2238" t="s">
        <v>2068</v>
      </c>
      <c r="F2238" t="s">
        <v>29</v>
      </c>
      <c r="G2238">
        <v>1536.34</v>
      </c>
      <c r="H2238" t="s">
        <v>2060</v>
      </c>
      <c r="I2238" t="str">
        <f>VLOOKUP(B2238,Customers!A:G,7,FALSE)</f>
        <v>Corporate</v>
      </c>
      <c r="Q2238" t="str">
        <f>IF(COUNTIF(Customers!$A$2:$A$1001,B2238)&gt;0,"Valid","Invalid")</f>
        <v>Valid</v>
      </c>
      <c r="R2238" t="str">
        <f>IF(COUNTIF(Branches!$A$2:$A$11,F2238)&gt;0,"Valid","Invalid")</f>
        <v>Valid</v>
      </c>
    </row>
    <row r="2239" spans="1:18" x14ac:dyDescent="0.25">
      <c r="A2239" t="s">
        <v>4310</v>
      </c>
      <c r="B2239" t="s">
        <v>600</v>
      </c>
      <c r="C2239" s="8">
        <v>46235</v>
      </c>
      <c r="D2239" t="s">
        <v>2058</v>
      </c>
      <c r="E2239" t="s">
        <v>2068</v>
      </c>
      <c r="F2239" t="s">
        <v>35</v>
      </c>
      <c r="G2239">
        <v>530.41999999999996</v>
      </c>
      <c r="H2239" t="s">
        <v>2060</v>
      </c>
      <c r="I2239" t="str">
        <f>VLOOKUP(B2239,Customers!A:G,7,FALSE)</f>
        <v>Individual</v>
      </c>
      <c r="Q2239" t="str">
        <f>IF(COUNTIF(Customers!$A$2:$A$1001,B2239)&gt;0,"Valid","Invalid")</f>
        <v>Valid</v>
      </c>
      <c r="R2239" t="str">
        <f>IF(COUNTIF(Branches!$A$2:$A$11,F2239)&gt;0,"Valid","Invalid")</f>
        <v>Valid</v>
      </c>
    </row>
    <row r="2240" spans="1:18" x14ac:dyDescent="0.25">
      <c r="A2240" t="s">
        <v>4311</v>
      </c>
      <c r="B2240" t="s">
        <v>645</v>
      </c>
      <c r="C2240" s="8">
        <v>46142</v>
      </c>
      <c r="D2240" t="s">
        <v>2062</v>
      </c>
      <c r="E2240" t="s">
        <v>2068</v>
      </c>
      <c r="F2240" t="s">
        <v>29</v>
      </c>
      <c r="G2240">
        <v>1406.73</v>
      </c>
      <c r="H2240" t="s">
        <v>2060</v>
      </c>
      <c r="I2240" t="str">
        <f>VLOOKUP(B2240,Customers!A:G,7,FALSE)</f>
        <v>Individual</v>
      </c>
      <c r="Q2240" t="str">
        <f>IF(COUNTIF(Customers!$A$2:$A$1001,B2240)&gt;0,"Valid","Invalid")</f>
        <v>Valid</v>
      </c>
      <c r="R2240" t="str">
        <f>IF(COUNTIF(Branches!$A$2:$A$11,F2240)&gt;0,"Valid","Invalid")</f>
        <v>Valid</v>
      </c>
    </row>
    <row r="2241" spans="1:18" x14ac:dyDescent="0.25">
      <c r="A2241" t="s">
        <v>4312</v>
      </c>
      <c r="B2241" t="s">
        <v>829</v>
      </c>
      <c r="C2241" s="8">
        <v>46240</v>
      </c>
      <c r="D2241" t="s">
        <v>2065</v>
      </c>
      <c r="E2241" t="s">
        <v>2063</v>
      </c>
      <c r="F2241" t="s">
        <v>39</v>
      </c>
      <c r="G2241">
        <v>1467.14</v>
      </c>
      <c r="H2241" t="s">
        <v>2060</v>
      </c>
      <c r="I2241" t="str">
        <f>VLOOKUP(B2241,Customers!A:G,7,FALSE)</f>
        <v>Individual</v>
      </c>
      <c r="Q2241" t="str">
        <f>IF(COUNTIF(Customers!$A$2:$A$1001,B2241)&gt;0,"Valid","Invalid")</f>
        <v>Valid</v>
      </c>
      <c r="R2241" t="str">
        <f>IF(COUNTIF(Branches!$A$2:$A$11,F2241)&gt;0,"Valid","Invalid")</f>
        <v>Valid</v>
      </c>
    </row>
    <row r="2242" spans="1:18" x14ac:dyDescent="0.25">
      <c r="A2242" t="s">
        <v>4313</v>
      </c>
      <c r="B2242" t="s">
        <v>435</v>
      </c>
      <c r="C2242" s="8">
        <v>46069</v>
      </c>
      <c r="D2242" t="s">
        <v>2062</v>
      </c>
      <c r="E2242" t="s">
        <v>2059</v>
      </c>
      <c r="F2242" t="s">
        <v>39</v>
      </c>
      <c r="G2242">
        <v>645.66999999999996</v>
      </c>
      <c r="H2242" t="s">
        <v>2060</v>
      </c>
      <c r="I2242" t="str">
        <f>VLOOKUP(B2242,Customers!A:G,7,FALSE)</f>
        <v>Individual</v>
      </c>
      <c r="Q2242" t="str">
        <f>IF(COUNTIF(Customers!$A$2:$A$1001,B2242)&gt;0,"Valid","Invalid")</f>
        <v>Valid</v>
      </c>
      <c r="R2242" t="str">
        <f>IF(COUNTIF(Branches!$A$2:$A$11,F2242)&gt;0,"Valid","Invalid")</f>
        <v>Valid</v>
      </c>
    </row>
    <row r="2243" spans="1:18" x14ac:dyDescent="0.25">
      <c r="A2243" t="s">
        <v>4314</v>
      </c>
      <c r="B2243" t="s">
        <v>375</v>
      </c>
      <c r="C2243" s="8">
        <v>46171</v>
      </c>
      <c r="D2243" t="s">
        <v>2058</v>
      </c>
      <c r="E2243" t="s">
        <v>2063</v>
      </c>
      <c r="F2243" t="s">
        <v>47</v>
      </c>
      <c r="G2243">
        <v>3767.95</v>
      </c>
      <c r="H2243" t="s">
        <v>2060</v>
      </c>
      <c r="I2243" t="str">
        <f>VLOOKUP(B2243,Customers!A:G,7,FALSE)</f>
        <v>SME</v>
      </c>
      <c r="Q2243" t="str">
        <f>IF(COUNTIF(Customers!$A$2:$A$1001,B2243)&gt;0,"Valid","Invalid")</f>
        <v>Valid</v>
      </c>
      <c r="R2243" t="str">
        <f>IF(COUNTIF(Branches!$A$2:$A$11,F2243)&gt;0,"Valid","Invalid")</f>
        <v>Valid</v>
      </c>
    </row>
    <row r="2244" spans="1:18" x14ac:dyDescent="0.25">
      <c r="A2244" t="s">
        <v>4315</v>
      </c>
      <c r="B2244" t="s">
        <v>682</v>
      </c>
      <c r="C2244" s="8">
        <v>46042</v>
      </c>
      <c r="D2244" t="s">
        <v>2062</v>
      </c>
      <c r="E2244" t="s">
        <v>2063</v>
      </c>
      <c r="F2244" t="s">
        <v>29</v>
      </c>
      <c r="G2244">
        <v>393.44</v>
      </c>
      <c r="H2244" t="s">
        <v>2060</v>
      </c>
      <c r="I2244" t="str">
        <f>VLOOKUP(B2244,Customers!A:G,7,FALSE)</f>
        <v>Student</v>
      </c>
      <c r="Q2244" t="str">
        <f>IF(COUNTIF(Customers!$A$2:$A$1001,B2244)&gt;0,"Valid","Invalid")</f>
        <v>Valid</v>
      </c>
      <c r="R2244" t="str">
        <f>IF(COUNTIF(Branches!$A$2:$A$11,F2244)&gt;0,"Valid","Invalid")</f>
        <v>Valid</v>
      </c>
    </row>
    <row r="2245" spans="1:18" x14ac:dyDescent="0.25">
      <c r="A2245" t="s">
        <v>4316</v>
      </c>
      <c r="B2245" t="s">
        <v>543</v>
      </c>
      <c r="C2245" s="8">
        <v>46173</v>
      </c>
      <c r="D2245" t="s">
        <v>2067</v>
      </c>
      <c r="E2245" t="s">
        <v>2059</v>
      </c>
      <c r="F2245" t="s">
        <v>29</v>
      </c>
      <c r="G2245">
        <v>3538.17</v>
      </c>
      <c r="H2245" t="s">
        <v>2060</v>
      </c>
      <c r="I2245" t="str">
        <f>VLOOKUP(B2245,Customers!A:G,7,FALSE)</f>
        <v>SME</v>
      </c>
      <c r="Q2245" t="str">
        <f>IF(COUNTIF(Customers!$A$2:$A$1001,B2245)&gt;0,"Valid","Invalid")</f>
        <v>Valid</v>
      </c>
      <c r="R2245" t="str">
        <f>IF(COUNTIF(Branches!$A$2:$A$11,F2245)&gt;0,"Valid","Invalid")</f>
        <v>Valid</v>
      </c>
    </row>
    <row r="2246" spans="1:18" x14ac:dyDescent="0.25">
      <c r="A2246" t="s">
        <v>4317</v>
      </c>
      <c r="B2246" t="s">
        <v>948</v>
      </c>
      <c r="C2246" s="8">
        <v>46218</v>
      </c>
      <c r="D2246" t="s">
        <v>2062</v>
      </c>
      <c r="E2246" t="s">
        <v>2076</v>
      </c>
      <c r="F2246" t="s">
        <v>47</v>
      </c>
      <c r="G2246">
        <v>648.59</v>
      </c>
      <c r="H2246" t="s">
        <v>2060</v>
      </c>
      <c r="I2246" t="str">
        <f>VLOOKUP(B2246,Customers!A:G,7,FALSE)</f>
        <v>SME</v>
      </c>
      <c r="Q2246" t="str">
        <f>IF(COUNTIF(Customers!$A$2:$A$1001,B2246)&gt;0,"Valid","Invalid")</f>
        <v>Valid</v>
      </c>
      <c r="R2246" t="str">
        <f>IF(COUNTIF(Branches!$A$2:$A$11,F2246)&gt;0,"Valid","Invalid")</f>
        <v>Valid</v>
      </c>
    </row>
    <row r="2247" spans="1:18" x14ac:dyDescent="0.25">
      <c r="A2247" t="s">
        <v>4318</v>
      </c>
      <c r="B2247" t="s">
        <v>314</v>
      </c>
      <c r="C2247" s="8">
        <v>46171</v>
      </c>
      <c r="D2247" t="s">
        <v>2062</v>
      </c>
      <c r="E2247" t="s">
        <v>2063</v>
      </c>
      <c r="F2247" t="s">
        <v>35</v>
      </c>
      <c r="G2247">
        <v>349.56</v>
      </c>
      <c r="H2247" t="s">
        <v>2060</v>
      </c>
      <c r="I2247" t="str">
        <f>VLOOKUP(B2247,Customers!A:G,7,FALSE)</f>
        <v>Corporate</v>
      </c>
      <c r="Q2247" t="str">
        <f>IF(COUNTIF(Customers!$A$2:$A$1001,B2247)&gt;0,"Valid","Invalid")</f>
        <v>Valid</v>
      </c>
      <c r="R2247" t="str">
        <f>IF(COUNTIF(Branches!$A$2:$A$11,F2247)&gt;0,"Valid","Invalid")</f>
        <v>Valid</v>
      </c>
    </row>
    <row r="2248" spans="1:18" x14ac:dyDescent="0.25">
      <c r="A2248" t="s">
        <v>4319</v>
      </c>
      <c r="B2248" t="s">
        <v>930</v>
      </c>
      <c r="C2248" s="8">
        <v>46043</v>
      </c>
      <c r="D2248" t="s">
        <v>2067</v>
      </c>
      <c r="E2248" t="s">
        <v>2063</v>
      </c>
      <c r="F2248" t="s">
        <v>35</v>
      </c>
      <c r="G2248">
        <v>571.61</v>
      </c>
      <c r="H2248" t="s">
        <v>2060</v>
      </c>
      <c r="I2248" t="str">
        <f>VLOOKUP(B2248,Customers!A:G,7,FALSE)</f>
        <v>Individual</v>
      </c>
      <c r="Q2248" t="str">
        <f>IF(COUNTIF(Customers!$A$2:$A$1001,B2248)&gt;0,"Valid","Invalid")</f>
        <v>Valid</v>
      </c>
      <c r="R2248" t="str">
        <f>IF(COUNTIF(Branches!$A$2:$A$11,F2248)&gt;0,"Valid","Invalid")</f>
        <v>Valid</v>
      </c>
    </row>
    <row r="2249" spans="1:18" x14ac:dyDescent="0.25">
      <c r="A2249" t="s">
        <v>4320</v>
      </c>
      <c r="B2249" t="s">
        <v>42</v>
      </c>
      <c r="C2249" s="8">
        <v>46023</v>
      </c>
      <c r="D2249" t="s">
        <v>2067</v>
      </c>
      <c r="E2249" t="s">
        <v>2073</v>
      </c>
      <c r="F2249" t="s">
        <v>29</v>
      </c>
      <c r="G2249">
        <v>270.58999999999997</v>
      </c>
      <c r="H2249" t="s">
        <v>2060</v>
      </c>
      <c r="I2249" t="str">
        <f>VLOOKUP(B2249,Customers!A:G,7,FALSE)</f>
        <v>Individual</v>
      </c>
      <c r="Q2249" t="str">
        <f>IF(COUNTIF(Customers!$A$2:$A$1001,B2249)&gt;0,"Valid","Invalid")</f>
        <v>Valid</v>
      </c>
      <c r="R2249" t="str">
        <f>IF(COUNTIF(Branches!$A$2:$A$11,F2249)&gt;0,"Valid","Invalid")</f>
        <v>Valid</v>
      </c>
    </row>
    <row r="2250" spans="1:18" x14ac:dyDescent="0.25">
      <c r="A2250" t="s">
        <v>4321</v>
      </c>
      <c r="B2250" t="s">
        <v>18</v>
      </c>
      <c r="C2250" s="8">
        <v>46165</v>
      </c>
      <c r="D2250" t="s">
        <v>2070</v>
      </c>
      <c r="E2250" t="s">
        <v>2059</v>
      </c>
      <c r="F2250" t="s">
        <v>11</v>
      </c>
      <c r="G2250">
        <v>1780.34</v>
      </c>
      <c r="H2250" t="s">
        <v>2060</v>
      </c>
      <c r="I2250" t="str">
        <f>VLOOKUP(B2250,Customers!A:G,7,FALSE)</f>
        <v>SME</v>
      </c>
      <c r="Q2250" t="str">
        <f>IF(COUNTIF(Customers!$A$2:$A$1001,B2250)&gt;0,"Valid","Invalid")</f>
        <v>Valid</v>
      </c>
      <c r="R2250" t="str">
        <f>IF(COUNTIF(Branches!$A$2:$A$11,F2250)&gt;0,"Valid","Invalid")</f>
        <v>Valid</v>
      </c>
    </row>
    <row r="2251" spans="1:18" x14ac:dyDescent="0.25">
      <c r="A2251" t="s">
        <v>4322</v>
      </c>
      <c r="B2251" t="s">
        <v>1024</v>
      </c>
      <c r="C2251" s="8">
        <v>46039</v>
      </c>
      <c r="D2251" t="s">
        <v>2062</v>
      </c>
      <c r="E2251" t="s">
        <v>2073</v>
      </c>
      <c r="F2251" t="s">
        <v>35</v>
      </c>
      <c r="G2251">
        <v>163.57</v>
      </c>
      <c r="H2251" t="s">
        <v>2060</v>
      </c>
      <c r="I2251" t="str">
        <f>VLOOKUP(B2251,Customers!A:G,7,FALSE)</f>
        <v>Student</v>
      </c>
      <c r="Q2251" t="str">
        <f>IF(COUNTIF(Customers!$A$2:$A$1001,B2251)&gt;0,"Valid","Invalid")</f>
        <v>Valid</v>
      </c>
      <c r="R2251" t="str">
        <f>IF(COUNTIF(Branches!$A$2:$A$11,F2251)&gt;0,"Valid","Invalid")</f>
        <v>Valid</v>
      </c>
    </row>
    <row r="2252" spans="1:18" x14ac:dyDescent="0.25">
      <c r="A2252" t="s">
        <v>4323</v>
      </c>
      <c r="B2252" t="s">
        <v>1024</v>
      </c>
      <c r="C2252" s="8">
        <v>46073</v>
      </c>
      <c r="D2252" t="s">
        <v>2070</v>
      </c>
      <c r="E2252" t="s">
        <v>2073</v>
      </c>
      <c r="F2252" t="s">
        <v>47</v>
      </c>
      <c r="G2252">
        <v>3260.41</v>
      </c>
      <c r="H2252" t="s">
        <v>2115</v>
      </c>
      <c r="I2252" t="str">
        <f>VLOOKUP(B2252,Customers!A:G,7,FALSE)</f>
        <v>Student</v>
      </c>
      <c r="Q2252" t="str">
        <f>IF(COUNTIF(Customers!$A$2:$A$1001,B2252)&gt;0,"Valid","Invalid")</f>
        <v>Valid</v>
      </c>
      <c r="R2252" t="str">
        <f>IF(COUNTIF(Branches!$A$2:$A$11,F2252)&gt;0,"Valid","Invalid")</f>
        <v>Valid</v>
      </c>
    </row>
    <row r="2253" spans="1:18" x14ac:dyDescent="0.25">
      <c r="A2253" t="s">
        <v>4324</v>
      </c>
      <c r="B2253" t="s">
        <v>1016</v>
      </c>
      <c r="C2253" s="8">
        <v>46213</v>
      </c>
      <c r="D2253" t="s">
        <v>2062</v>
      </c>
      <c r="E2253" t="s">
        <v>2059</v>
      </c>
      <c r="F2253" t="s">
        <v>16</v>
      </c>
      <c r="G2253">
        <v>318.66000000000003</v>
      </c>
      <c r="H2253" t="s">
        <v>2060</v>
      </c>
      <c r="I2253" t="str">
        <f>VLOOKUP(B2253,Customers!A:G,7,FALSE)</f>
        <v>Individual</v>
      </c>
      <c r="Q2253" t="str">
        <f>IF(COUNTIF(Customers!$A$2:$A$1001,B2253)&gt;0,"Valid","Invalid")</f>
        <v>Valid</v>
      </c>
      <c r="R2253" t="str">
        <f>IF(COUNTIF(Branches!$A$2:$A$11,F2253)&gt;0,"Valid","Invalid")</f>
        <v>Valid</v>
      </c>
    </row>
    <row r="2254" spans="1:18" x14ac:dyDescent="0.25">
      <c r="A2254" t="s">
        <v>4325</v>
      </c>
      <c r="B2254" t="s">
        <v>261</v>
      </c>
      <c r="C2254" s="8">
        <v>46036</v>
      </c>
      <c r="D2254" t="s">
        <v>2058</v>
      </c>
      <c r="E2254" t="s">
        <v>2063</v>
      </c>
      <c r="F2254" t="s">
        <v>47</v>
      </c>
      <c r="G2254">
        <v>1875.54</v>
      </c>
      <c r="H2254" t="s">
        <v>2060</v>
      </c>
      <c r="I2254" t="str">
        <f>VLOOKUP(B2254,Customers!A:G,7,FALSE)</f>
        <v>Individual</v>
      </c>
      <c r="Q2254" t="str">
        <f>IF(COUNTIF(Customers!$A$2:$A$1001,B2254)&gt;0,"Valid","Invalid")</f>
        <v>Valid</v>
      </c>
      <c r="R2254" t="str">
        <f>IF(COUNTIF(Branches!$A$2:$A$11,F2254)&gt;0,"Valid","Invalid")</f>
        <v>Valid</v>
      </c>
    </row>
    <row r="2255" spans="1:18" x14ac:dyDescent="0.25">
      <c r="A2255" t="s">
        <v>4326</v>
      </c>
      <c r="B2255" t="s">
        <v>1012</v>
      </c>
      <c r="C2255" s="8">
        <v>46081</v>
      </c>
      <c r="D2255" t="s">
        <v>2065</v>
      </c>
      <c r="E2255" t="s">
        <v>2068</v>
      </c>
      <c r="F2255" t="s">
        <v>21</v>
      </c>
      <c r="G2255">
        <v>832.33</v>
      </c>
      <c r="H2255" t="s">
        <v>2060</v>
      </c>
      <c r="I2255" t="str">
        <f>VLOOKUP(B2255,Customers!A:G,7,FALSE)</f>
        <v>Individual</v>
      </c>
      <c r="Q2255" t="str">
        <f>IF(COUNTIF(Customers!$A$2:$A$1001,B2255)&gt;0,"Valid","Invalid")</f>
        <v>Valid</v>
      </c>
      <c r="R2255" t="str">
        <f>IF(COUNTIF(Branches!$A$2:$A$11,F2255)&gt;0,"Valid","Invalid")</f>
        <v>Valid</v>
      </c>
    </row>
    <row r="2256" spans="1:18" x14ac:dyDescent="0.25">
      <c r="A2256" t="s">
        <v>4327</v>
      </c>
      <c r="B2256" t="s">
        <v>211</v>
      </c>
      <c r="C2256" s="8">
        <v>46105</v>
      </c>
      <c r="D2256" t="s">
        <v>2067</v>
      </c>
      <c r="E2256" t="s">
        <v>2063</v>
      </c>
      <c r="F2256" t="s">
        <v>53</v>
      </c>
      <c r="G2256">
        <v>1065.0899999999999</v>
      </c>
      <c r="H2256" t="s">
        <v>2060</v>
      </c>
      <c r="I2256" t="str">
        <f>VLOOKUP(B2256,Customers!A:G,7,FALSE)</f>
        <v>SME</v>
      </c>
      <c r="Q2256" t="str">
        <f>IF(COUNTIF(Customers!$A$2:$A$1001,B2256)&gt;0,"Valid","Invalid")</f>
        <v>Valid</v>
      </c>
      <c r="R2256" t="str">
        <f>IF(COUNTIF(Branches!$A$2:$A$11,F2256)&gt;0,"Valid","Invalid")</f>
        <v>Valid</v>
      </c>
    </row>
    <row r="2257" spans="1:18" x14ac:dyDescent="0.25">
      <c r="A2257" t="s">
        <v>4328</v>
      </c>
      <c r="B2257" t="s">
        <v>937</v>
      </c>
      <c r="C2257" s="8">
        <v>46072</v>
      </c>
      <c r="D2257" t="s">
        <v>2070</v>
      </c>
      <c r="E2257" t="s">
        <v>2063</v>
      </c>
      <c r="F2257" t="s">
        <v>29</v>
      </c>
      <c r="G2257">
        <v>450.32</v>
      </c>
      <c r="H2257" t="s">
        <v>2060</v>
      </c>
      <c r="I2257" t="str">
        <f>VLOOKUP(B2257,Customers!A:G,7,FALSE)</f>
        <v>SME</v>
      </c>
      <c r="Q2257" t="str">
        <f>IF(COUNTIF(Customers!$A$2:$A$1001,B2257)&gt;0,"Valid","Invalid")</f>
        <v>Valid</v>
      </c>
      <c r="R2257" t="str">
        <f>IF(COUNTIF(Branches!$A$2:$A$11,F2257)&gt;0,"Valid","Invalid")</f>
        <v>Valid</v>
      </c>
    </row>
    <row r="2258" spans="1:18" x14ac:dyDescent="0.25">
      <c r="A2258" t="s">
        <v>4329</v>
      </c>
      <c r="B2258" t="s">
        <v>423</v>
      </c>
      <c r="C2258" s="8">
        <v>46146</v>
      </c>
      <c r="D2258" t="s">
        <v>2067</v>
      </c>
      <c r="E2258" t="s">
        <v>2068</v>
      </c>
      <c r="F2258" t="s">
        <v>47</v>
      </c>
      <c r="G2258">
        <v>1156.0999999999999</v>
      </c>
      <c r="H2258" t="s">
        <v>2060</v>
      </c>
      <c r="I2258" t="str">
        <f>VLOOKUP(B2258,Customers!A:G,7,FALSE)</f>
        <v>Individual</v>
      </c>
      <c r="Q2258" t="str">
        <f>IF(COUNTIF(Customers!$A$2:$A$1001,B2258)&gt;0,"Valid","Invalid")</f>
        <v>Valid</v>
      </c>
      <c r="R2258" t="str">
        <f>IF(COUNTIF(Branches!$A$2:$A$11,F2258)&gt;0,"Valid","Invalid")</f>
        <v>Valid</v>
      </c>
    </row>
    <row r="2259" spans="1:18" x14ac:dyDescent="0.25">
      <c r="A2259" t="s">
        <v>4330</v>
      </c>
      <c r="B2259" t="s">
        <v>640</v>
      </c>
      <c r="C2259" s="8">
        <v>46056</v>
      </c>
      <c r="D2259" t="s">
        <v>2065</v>
      </c>
      <c r="E2259" t="s">
        <v>2059</v>
      </c>
      <c r="F2259" t="s">
        <v>39</v>
      </c>
      <c r="G2259">
        <v>929.8</v>
      </c>
      <c r="H2259" t="s">
        <v>2060</v>
      </c>
      <c r="I2259" t="str">
        <f>VLOOKUP(B2259,Customers!A:G,7,FALSE)</f>
        <v>Student</v>
      </c>
      <c r="Q2259" t="str">
        <f>IF(COUNTIF(Customers!$A$2:$A$1001,B2259)&gt;0,"Valid","Invalid")</f>
        <v>Valid</v>
      </c>
      <c r="R2259" t="str">
        <f>IF(COUNTIF(Branches!$A$2:$A$11,F2259)&gt;0,"Valid","Invalid")</f>
        <v>Valid</v>
      </c>
    </row>
    <row r="2260" spans="1:18" x14ac:dyDescent="0.25">
      <c r="A2260" t="s">
        <v>4331</v>
      </c>
      <c r="B2260" t="s">
        <v>958</v>
      </c>
      <c r="C2260" s="8">
        <v>46028</v>
      </c>
      <c r="D2260" t="s">
        <v>2062</v>
      </c>
      <c r="E2260" t="s">
        <v>2063</v>
      </c>
      <c r="F2260" t="s">
        <v>11</v>
      </c>
      <c r="G2260">
        <v>189.06</v>
      </c>
      <c r="H2260" t="s">
        <v>2060</v>
      </c>
      <c r="I2260" t="str">
        <f>VLOOKUP(B2260,Customers!A:G,7,FALSE)</f>
        <v>Individual</v>
      </c>
      <c r="Q2260" t="str">
        <f>IF(COUNTIF(Customers!$A$2:$A$1001,B2260)&gt;0,"Valid","Invalid")</f>
        <v>Valid</v>
      </c>
      <c r="R2260" t="str">
        <f>IF(COUNTIF(Branches!$A$2:$A$11,F2260)&gt;0,"Valid","Invalid")</f>
        <v>Valid</v>
      </c>
    </row>
    <row r="2261" spans="1:18" x14ac:dyDescent="0.25">
      <c r="A2261" t="s">
        <v>4332</v>
      </c>
      <c r="B2261" t="s">
        <v>279</v>
      </c>
      <c r="C2261" s="8">
        <v>46131</v>
      </c>
      <c r="D2261" t="s">
        <v>2062</v>
      </c>
      <c r="E2261" t="s">
        <v>2076</v>
      </c>
      <c r="F2261" t="s">
        <v>27</v>
      </c>
      <c r="G2261">
        <v>310.29000000000002</v>
      </c>
      <c r="H2261" t="s">
        <v>2060</v>
      </c>
      <c r="I2261" t="str">
        <f>VLOOKUP(B2261,Customers!A:G,7,FALSE)</f>
        <v>SME</v>
      </c>
      <c r="Q2261" t="str">
        <f>IF(COUNTIF(Customers!$A$2:$A$1001,B2261)&gt;0,"Valid","Invalid")</f>
        <v>Valid</v>
      </c>
      <c r="R2261" t="str">
        <f>IF(COUNTIF(Branches!$A$2:$A$11,F2261)&gt;0,"Valid","Invalid")</f>
        <v>Valid</v>
      </c>
    </row>
    <row r="2262" spans="1:18" x14ac:dyDescent="0.25">
      <c r="A2262" t="s">
        <v>4333</v>
      </c>
      <c r="B2262" t="s">
        <v>585</v>
      </c>
      <c r="C2262" s="8">
        <v>46071</v>
      </c>
      <c r="D2262" t="s">
        <v>2067</v>
      </c>
      <c r="E2262" t="s">
        <v>2076</v>
      </c>
      <c r="F2262" t="s">
        <v>47</v>
      </c>
      <c r="G2262">
        <v>473</v>
      </c>
      <c r="H2262" t="s">
        <v>2060</v>
      </c>
      <c r="I2262" t="str">
        <f>VLOOKUP(B2262,Customers!A:G,7,FALSE)</f>
        <v>Student</v>
      </c>
      <c r="Q2262" t="str">
        <f>IF(COUNTIF(Customers!$A$2:$A$1001,B2262)&gt;0,"Valid","Invalid")</f>
        <v>Valid</v>
      </c>
      <c r="R2262" t="str">
        <f>IF(COUNTIF(Branches!$A$2:$A$11,F2262)&gt;0,"Valid","Invalid")</f>
        <v>Valid</v>
      </c>
    </row>
    <row r="2263" spans="1:18" x14ac:dyDescent="0.25">
      <c r="A2263" t="s">
        <v>4334</v>
      </c>
      <c r="B2263" t="s">
        <v>46</v>
      </c>
      <c r="C2263" s="8">
        <v>46028</v>
      </c>
      <c r="D2263" t="s">
        <v>2067</v>
      </c>
      <c r="E2263" t="s">
        <v>2063</v>
      </c>
      <c r="F2263" t="s">
        <v>53</v>
      </c>
      <c r="G2263">
        <v>381.84</v>
      </c>
      <c r="H2263" t="s">
        <v>2060</v>
      </c>
      <c r="I2263" t="str">
        <f>VLOOKUP(B2263,Customers!A:G,7,FALSE)</f>
        <v>Individual</v>
      </c>
      <c r="Q2263" t="str">
        <f>IF(COUNTIF(Customers!$A$2:$A$1001,B2263)&gt;0,"Valid","Invalid")</f>
        <v>Valid</v>
      </c>
      <c r="R2263" t="str">
        <f>IF(COUNTIF(Branches!$A$2:$A$11,F2263)&gt;0,"Valid","Invalid")</f>
        <v>Valid</v>
      </c>
    </row>
    <row r="2264" spans="1:18" x14ac:dyDescent="0.25">
      <c r="A2264" t="s">
        <v>4335</v>
      </c>
      <c r="B2264" t="s">
        <v>232</v>
      </c>
      <c r="C2264" s="8">
        <v>46139</v>
      </c>
      <c r="D2264" t="s">
        <v>2067</v>
      </c>
      <c r="E2264" t="s">
        <v>2063</v>
      </c>
      <c r="F2264" t="s">
        <v>27</v>
      </c>
      <c r="G2264">
        <v>2843.56</v>
      </c>
      <c r="H2264" t="s">
        <v>2060</v>
      </c>
      <c r="I2264" t="str">
        <f>VLOOKUP(B2264,Customers!A:G,7,FALSE)</f>
        <v>SME</v>
      </c>
      <c r="Q2264" t="str">
        <f>IF(COUNTIF(Customers!$A$2:$A$1001,B2264)&gt;0,"Valid","Invalid")</f>
        <v>Valid</v>
      </c>
      <c r="R2264" t="str">
        <f>IF(COUNTIF(Branches!$A$2:$A$11,F2264)&gt;0,"Valid","Invalid")</f>
        <v>Valid</v>
      </c>
    </row>
    <row r="2265" spans="1:18" x14ac:dyDescent="0.25">
      <c r="A2265" t="s">
        <v>4336</v>
      </c>
      <c r="B2265" t="s">
        <v>435</v>
      </c>
      <c r="C2265" s="8">
        <v>46140</v>
      </c>
      <c r="D2265" t="s">
        <v>2065</v>
      </c>
      <c r="E2265" t="s">
        <v>2063</v>
      </c>
      <c r="F2265" t="s">
        <v>53</v>
      </c>
      <c r="G2265">
        <v>818.12</v>
      </c>
      <c r="H2265" t="s">
        <v>2060</v>
      </c>
      <c r="I2265" t="str">
        <f>VLOOKUP(B2265,Customers!A:G,7,FALSE)</f>
        <v>Individual</v>
      </c>
      <c r="Q2265" t="str">
        <f>IF(COUNTIF(Customers!$A$2:$A$1001,B2265)&gt;0,"Valid","Invalid")</f>
        <v>Valid</v>
      </c>
      <c r="R2265" t="str">
        <f>IF(COUNTIF(Branches!$A$2:$A$11,F2265)&gt;0,"Valid","Invalid")</f>
        <v>Valid</v>
      </c>
    </row>
    <row r="2266" spans="1:18" x14ac:dyDescent="0.25">
      <c r="A2266" t="s">
        <v>4337</v>
      </c>
      <c r="B2266" t="s">
        <v>469</v>
      </c>
      <c r="C2266" s="8">
        <v>46219</v>
      </c>
      <c r="D2266" t="s">
        <v>2062</v>
      </c>
      <c r="E2266" t="s">
        <v>2059</v>
      </c>
      <c r="F2266" t="s">
        <v>47</v>
      </c>
      <c r="G2266">
        <v>372.91</v>
      </c>
      <c r="H2266" t="s">
        <v>2060</v>
      </c>
      <c r="I2266" t="str">
        <f>VLOOKUP(B2266,Customers!A:G,7,FALSE)</f>
        <v>Individual</v>
      </c>
      <c r="Q2266" t="str">
        <f>IF(COUNTIF(Customers!$A$2:$A$1001,B2266)&gt;0,"Valid","Invalid")</f>
        <v>Valid</v>
      </c>
      <c r="R2266" t="str">
        <f>IF(COUNTIF(Branches!$A$2:$A$11,F2266)&gt;0,"Valid","Invalid")</f>
        <v>Valid</v>
      </c>
    </row>
    <row r="2267" spans="1:18" x14ac:dyDescent="0.25">
      <c r="A2267" t="s">
        <v>4338</v>
      </c>
      <c r="B2267" t="s">
        <v>344</v>
      </c>
      <c r="C2267" s="8">
        <v>46029</v>
      </c>
      <c r="D2267" t="s">
        <v>2067</v>
      </c>
      <c r="E2267" t="s">
        <v>2068</v>
      </c>
      <c r="F2267" t="s">
        <v>53</v>
      </c>
      <c r="G2267">
        <v>497.32</v>
      </c>
      <c r="H2267" t="s">
        <v>2060</v>
      </c>
      <c r="I2267" t="str">
        <f>VLOOKUP(B2267,Customers!A:G,7,FALSE)</f>
        <v>SME</v>
      </c>
      <c r="Q2267" t="str">
        <f>IF(COUNTIF(Customers!$A$2:$A$1001,B2267)&gt;0,"Valid","Invalid")</f>
        <v>Valid</v>
      </c>
      <c r="R2267" t="str">
        <f>IF(COUNTIF(Branches!$A$2:$A$11,F2267)&gt;0,"Valid","Invalid")</f>
        <v>Valid</v>
      </c>
    </row>
    <row r="2268" spans="1:18" x14ac:dyDescent="0.25">
      <c r="A2268" t="s">
        <v>4339</v>
      </c>
      <c r="B2268" t="s">
        <v>372</v>
      </c>
      <c r="C2268" s="8">
        <v>46119</v>
      </c>
      <c r="D2268" t="s">
        <v>2062</v>
      </c>
      <c r="E2268" t="s">
        <v>2076</v>
      </c>
      <c r="F2268" t="s">
        <v>39</v>
      </c>
      <c r="G2268">
        <v>490.55</v>
      </c>
      <c r="H2268" t="s">
        <v>2060</v>
      </c>
      <c r="I2268" t="str">
        <f>VLOOKUP(B2268,Customers!A:G,7,FALSE)</f>
        <v>Corporate</v>
      </c>
      <c r="Q2268" t="str">
        <f>IF(COUNTIF(Customers!$A$2:$A$1001,B2268)&gt;0,"Valid","Invalid")</f>
        <v>Valid</v>
      </c>
      <c r="R2268" t="str">
        <f>IF(COUNTIF(Branches!$A$2:$A$11,F2268)&gt;0,"Valid","Invalid")</f>
        <v>Valid</v>
      </c>
    </row>
    <row r="2269" spans="1:18" x14ac:dyDescent="0.25">
      <c r="A2269" t="s">
        <v>4340</v>
      </c>
      <c r="B2269" t="s">
        <v>763</v>
      </c>
      <c r="C2269" s="8">
        <v>46227</v>
      </c>
      <c r="D2269" t="s">
        <v>2062</v>
      </c>
      <c r="E2269" t="s">
        <v>2076</v>
      </c>
      <c r="F2269" t="s">
        <v>16</v>
      </c>
      <c r="G2269">
        <v>609.08000000000004</v>
      </c>
      <c r="H2269" t="s">
        <v>2060</v>
      </c>
      <c r="I2269" t="str">
        <f>VLOOKUP(B2269,Customers!A:G,7,FALSE)</f>
        <v>SME</v>
      </c>
      <c r="Q2269" t="str">
        <f>IF(COUNTIF(Customers!$A$2:$A$1001,B2269)&gt;0,"Valid","Invalid")</f>
        <v>Valid</v>
      </c>
      <c r="R2269" t="str">
        <f>IF(COUNTIF(Branches!$A$2:$A$11,F2269)&gt;0,"Valid","Invalid")</f>
        <v>Valid</v>
      </c>
    </row>
    <row r="2270" spans="1:18" x14ac:dyDescent="0.25">
      <c r="A2270" t="s">
        <v>4341</v>
      </c>
      <c r="B2270" t="s">
        <v>448</v>
      </c>
      <c r="C2270" s="8">
        <v>46201</v>
      </c>
      <c r="D2270" t="s">
        <v>2058</v>
      </c>
      <c r="E2270" t="s">
        <v>2063</v>
      </c>
      <c r="F2270" t="s">
        <v>45</v>
      </c>
      <c r="G2270">
        <v>277.18</v>
      </c>
      <c r="H2270" t="s">
        <v>2060</v>
      </c>
      <c r="I2270" t="str">
        <f>VLOOKUP(B2270,Customers!A:G,7,FALSE)</f>
        <v>Student</v>
      </c>
      <c r="Q2270" t="str">
        <f>IF(COUNTIF(Customers!$A$2:$A$1001,B2270)&gt;0,"Valid","Invalid")</f>
        <v>Valid</v>
      </c>
      <c r="R2270" t="str">
        <f>IF(COUNTIF(Branches!$A$2:$A$11,F2270)&gt;0,"Valid","Invalid")</f>
        <v>Valid</v>
      </c>
    </row>
    <row r="2271" spans="1:18" x14ac:dyDescent="0.25">
      <c r="A2271" t="s">
        <v>4342</v>
      </c>
      <c r="B2271" t="s">
        <v>18</v>
      </c>
      <c r="C2271" s="8">
        <v>46140</v>
      </c>
      <c r="D2271" t="s">
        <v>2067</v>
      </c>
      <c r="E2271" t="s">
        <v>2063</v>
      </c>
      <c r="F2271" t="s">
        <v>47</v>
      </c>
      <c r="G2271">
        <v>359.99</v>
      </c>
      <c r="H2271" t="s">
        <v>2060</v>
      </c>
      <c r="I2271" t="str">
        <f>VLOOKUP(B2271,Customers!A:G,7,FALSE)</f>
        <v>SME</v>
      </c>
      <c r="Q2271" t="str">
        <f>IF(COUNTIF(Customers!$A$2:$A$1001,B2271)&gt;0,"Valid","Invalid")</f>
        <v>Valid</v>
      </c>
      <c r="R2271" t="str">
        <f>IF(COUNTIF(Branches!$A$2:$A$11,F2271)&gt;0,"Valid","Invalid")</f>
        <v>Valid</v>
      </c>
    </row>
    <row r="2272" spans="1:18" x14ac:dyDescent="0.25">
      <c r="A2272" t="s">
        <v>4343</v>
      </c>
      <c r="B2272" t="s">
        <v>729</v>
      </c>
      <c r="C2272" s="8">
        <v>46151</v>
      </c>
      <c r="D2272" t="s">
        <v>2058</v>
      </c>
      <c r="E2272" t="s">
        <v>2063</v>
      </c>
      <c r="F2272" t="s">
        <v>47</v>
      </c>
      <c r="G2272">
        <v>1748.66</v>
      </c>
      <c r="H2272" t="s">
        <v>2060</v>
      </c>
      <c r="I2272" t="str">
        <f>VLOOKUP(B2272,Customers!A:G,7,FALSE)</f>
        <v>Individual</v>
      </c>
      <c r="Q2272" t="str">
        <f>IF(COUNTIF(Customers!$A$2:$A$1001,B2272)&gt;0,"Valid","Invalid")</f>
        <v>Valid</v>
      </c>
      <c r="R2272" t="str">
        <f>IF(COUNTIF(Branches!$A$2:$A$11,F2272)&gt;0,"Valid","Invalid")</f>
        <v>Valid</v>
      </c>
    </row>
    <row r="2273" spans="1:18" x14ac:dyDescent="0.25">
      <c r="A2273" t="s">
        <v>4344</v>
      </c>
      <c r="B2273" t="s">
        <v>590</v>
      </c>
      <c r="C2273" s="8">
        <v>46163</v>
      </c>
      <c r="D2273" t="s">
        <v>2067</v>
      </c>
      <c r="E2273" t="s">
        <v>2063</v>
      </c>
      <c r="F2273" t="s">
        <v>29</v>
      </c>
      <c r="G2273">
        <v>977.84</v>
      </c>
      <c r="H2273" t="s">
        <v>2060</v>
      </c>
      <c r="I2273" t="str">
        <f>VLOOKUP(B2273,Customers!A:G,7,FALSE)</f>
        <v>SME</v>
      </c>
      <c r="Q2273" t="str">
        <f>IF(COUNTIF(Customers!$A$2:$A$1001,B2273)&gt;0,"Valid","Invalid")</f>
        <v>Valid</v>
      </c>
      <c r="R2273" t="str">
        <f>IF(COUNTIF(Branches!$A$2:$A$11,F2273)&gt;0,"Valid","Invalid")</f>
        <v>Valid</v>
      </c>
    </row>
    <row r="2274" spans="1:18" x14ac:dyDescent="0.25">
      <c r="A2274" t="s">
        <v>4345</v>
      </c>
      <c r="B2274" t="s">
        <v>490</v>
      </c>
      <c r="C2274" s="8">
        <v>46193</v>
      </c>
      <c r="D2274" t="s">
        <v>2067</v>
      </c>
      <c r="E2274" t="s">
        <v>2063</v>
      </c>
      <c r="F2274" t="s">
        <v>29</v>
      </c>
      <c r="G2274">
        <v>697.61</v>
      </c>
      <c r="H2274" t="s">
        <v>2060</v>
      </c>
      <c r="I2274" t="str">
        <f>VLOOKUP(B2274,Customers!A:G,7,FALSE)</f>
        <v>Individual</v>
      </c>
      <c r="Q2274" t="str">
        <f>IF(COUNTIF(Customers!$A$2:$A$1001,B2274)&gt;0,"Valid","Invalid")</f>
        <v>Valid</v>
      </c>
      <c r="R2274" t="str">
        <f>IF(COUNTIF(Branches!$A$2:$A$11,F2274)&gt;0,"Valid","Invalid")</f>
        <v>Valid</v>
      </c>
    </row>
    <row r="2275" spans="1:18" x14ac:dyDescent="0.25">
      <c r="A2275" t="s">
        <v>4346</v>
      </c>
      <c r="B2275" t="s">
        <v>714</v>
      </c>
      <c r="C2275" s="8">
        <v>46049</v>
      </c>
      <c r="D2275" t="s">
        <v>2062</v>
      </c>
      <c r="E2275" t="s">
        <v>2059</v>
      </c>
      <c r="F2275" t="s">
        <v>47</v>
      </c>
      <c r="G2275">
        <v>814.54</v>
      </c>
      <c r="H2275" t="s">
        <v>2060</v>
      </c>
      <c r="I2275" t="str">
        <f>VLOOKUP(B2275,Customers!A:G,7,FALSE)</f>
        <v>Individual</v>
      </c>
      <c r="Q2275" t="str">
        <f>IF(COUNTIF(Customers!$A$2:$A$1001,B2275)&gt;0,"Valid","Invalid")</f>
        <v>Valid</v>
      </c>
      <c r="R2275" t="str">
        <f>IF(COUNTIF(Branches!$A$2:$A$11,F2275)&gt;0,"Valid","Invalid")</f>
        <v>Valid</v>
      </c>
    </row>
    <row r="2276" spans="1:18" x14ac:dyDescent="0.25">
      <c r="A2276" t="s">
        <v>4347</v>
      </c>
      <c r="B2276" t="s">
        <v>857</v>
      </c>
      <c r="C2276" s="8">
        <v>46221</v>
      </c>
      <c r="D2276" t="s">
        <v>2058</v>
      </c>
      <c r="E2276" t="s">
        <v>2063</v>
      </c>
      <c r="F2276" t="s">
        <v>47</v>
      </c>
      <c r="G2276">
        <v>776.22</v>
      </c>
      <c r="H2276" t="s">
        <v>2060</v>
      </c>
      <c r="I2276" t="str">
        <f>VLOOKUP(B2276,Customers!A:G,7,FALSE)</f>
        <v>Student</v>
      </c>
      <c r="Q2276" t="str">
        <f>IF(COUNTIF(Customers!$A$2:$A$1001,B2276)&gt;0,"Valid","Invalid")</f>
        <v>Valid</v>
      </c>
      <c r="R2276" t="str">
        <f>IF(COUNTIF(Branches!$A$2:$A$11,F2276)&gt;0,"Valid","Invalid")</f>
        <v>Valid</v>
      </c>
    </row>
    <row r="2277" spans="1:18" x14ac:dyDescent="0.25">
      <c r="A2277" t="s">
        <v>4348</v>
      </c>
      <c r="B2277" t="s">
        <v>785</v>
      </c>
      <c r="C2277" s="8">
        <v>46138</v>
      </c>
      <c r="D2277" t="s">
        <v>2062</v>
      </c>
      <c r="E2277" t="s">
        <v>2068</v>
      </c>
      <c r="F2277" t="s">
        <v>47</v>
      </c>
      <c r="G2277">
        <v>659.1</v>
      </c>
      <c r="H2277" t="s">
        <v>2060</v>
      </c>
      <c r="I2277" t="str">
        <f>VLOOKUP(B2277,Customers!A:G,7,FALSE)</f>
        <v>Individual</v>
      </c>
      <c r="Q2277" t="str">
        <f>IF(COUNTIF(Customers!$A$2:$A$1001,B2277)&gt;0,"Valid","Invalid")</f>
        <v>Valid</v>
      </c>
      <c r="R2277" t="str">
        <f>IF(COUNTIF(Branches!$A$2:$A$11,F2277)&gt;0,"Valid","Invalid")</f>
        <v>Valid</v>
      </c>
    </row>
    <row r="2278" spans="1:18" x14ac:dyDescent="0.25">
      <c r="A2278" t="s">
        <v>4349</v>
      </c>
      <c r="B2278" t="s">
        <v>807</v>
      </c>
      <c r="C2278" s="8">
        <v>46153</v>
      </c>
      <c r="D2278" t="s">
        <v>2065</v>
      </c>
      <c r="E2278" t="s">
        <v>2068</v>
      </c>
      <c r="F2278" t="s">
        <v>47</v>
      </c>
      <c r="G2278">
        <v>1362.54</v>
      </c>
      <c r="H2278" t="s">
        <v>2060</v>
      </c>
      <c r="I2278" t="str">
        <f>VLOOKUP(B2278,Customers!A:G,7,FALSE)</f>
        <v>SME</v>
      </c>
      <c r="Q2278" t="str">
        <f>IF(COUNTIF(Customers!$A$2:$A$1001,B2278)&gt;0,"Valid","Invalid")</f>
        <v>Valid</v>
      </c>
      <c r="R2278" t="str">
        <f>IF(COUNTIF(Branches!$A$2:$A$11,F2278)&gt;0,"Valid","Invalid")</f>
        <v>Valid</v>
      </c>
    </row>
    <row r="2279" spans="1:18" x14ac:dyDescent="0.25">
      <c r="A2279" t="s">
        <v>4350</v>
      </c>
      <c r="B2279" t="s">
        <v>910</v>
      </c>
      <c r="C2279" s="8">
        <v>46080</v>
      </c>
      <c r="D2279" t="s">
        <v>2065</v>
      </c>
      <c r="E2279" t="s">
        <v>2059</v>
      </c>
      <c r="F2279" t="s">
        <v>11</v>
      </c>
      <c r="G2279">
        <v>1265.42</v>
      </c>
      <c r="H2279" t="s">
        <v>2060</v>
      </c>
      <c r="I2279" t="str">
        <f>VLOOKUP(B2279,Customers!A:G,7,FALSE)</f>
        <v>Student</v>
      </c>
      <c r="Q2279" t="str">
        <f>IF(COUNTIF(Customers!$A$2:$A$1001,B2279)&gt;0,"Valid","Invalid")</f>
        <v>Valid</v>
      </c>
      <c r="R2279" t="str">
        <f>IF(COUNTIF(Branches!$A$2:$A$11,F2279)&gt;0,"Valid","Invalid")</f>
        <v>Valid</v>
      </c>
    </row>
    <row r="2280" spans="1:18" x14ac:dyDescent="0.25">
      <c r="A2280" t="s">
        <v>4351</v>
      </c>
      <c r="B2280" t="s">
        <v>533</v>
      </c>
      <c r="C2280" s="8">
        <v>46111</v>
      </c>
      <c r="D2280" t="s">
        <v>2070</v>
      </c>
      <c r="E2280" t="s">
        <v>2063</v>
      </c>
      <c r="F2280" t="s">
        <v>29</v>
      </c>
      <c r="G2280">
        <v>168.72</v>
      </c>
      <c r="H2280" t="s">
        <v>2060</v>
      </c>
      <c r="I2280" t="str">
        <f>VLOOKUP(B2280,Customers!A:G,7,FALSE)</f>
        <v>SME</v>
      </c>
      <c r="Q2280" t="str">
        <f>IF(COUNTIF(Customers!$A$2:$A$1001,B2280)&gt;0,"Valid","Invalid")</f>
        <v>Valid</v>
      </c>
      <c r="R2280" t="str">
        <f>IF(COUNTIF(Branches!$A$2:$A$11,F2280)&gt;0,"Valid","Invalid")</f>
        <v>Valid</v>
      </c>
    </row>
    <row r="2281" spans="1:18" x14ac:dyDescent="0.25">
      <c r="A2281" t="s">
        <v>4352</v>
      </c>
      <c r="B2281" t="s">
        <v>455</v>
      </c>
      <c r="C2281" s="8">
        <v>46119</v>
      </c>
      <c r="D2281" t="s">
        <v>2058</v>
      </c>
      <c r="E2281" t="s">
        <v>2068</v>
      </c>
      <c r="F2281" t="s">
        <v>47</v>
      </c>
      <c r="G2281">
        <v>712.26</v>
      </c>
      <c r="H2281" t="s">
        <v>2060</v>
      </c>
      <c r="I2281" t="str">
        <f>VLOOKUP(B2281,Customers!A:G,7,FALSE)</f>
        <v>Individual</v>
      </c>
      <c r="Q2281" t="str">
        <f>IF(COUNTIF(Customers!$A$2:$A$1001,B2281)&gt;0,"Valid","Invalid")</f>
        <v>Valid</v>
      </c>
      <c r="R2281" t="str">
        <f>IF(COUNTIF(Branches!$A$2:$A$11,F2281)&gt;0,"Valid","Invalid")</f>
        <v>Valid</v>
      </c>
    </row>
    <row r="2282" spans="1:18" x14ac:dyDescent="0.25">
      <c r="A2282" t="s">
        <v>4353</v>
      </c>
      <c r="B2282" t="s">
        <v>429</v>
      </c>
      <c r="C2282" s="8">
        <v>46254</v>
      </c>
      <c r="D2282" t="s">
        <v>2058</v>
      </c>
      <c r="E2282" t="s">
        <v>2073</v>
      </c>
      <c r="F2282" t="s">
        <v>39</v>
      </c>
      <c r="G2282">
        <v>180.22</v>
      </c>
      <c r="H2282" t="s">
        <v>2060</v>
      </c>
      <c r="I2282" t="str">
        <f>VLOOKUP(B2282,Customers!A:G,7,FALSE)</f>
        <v>Student</v>
      </c>
      <c r="Q2282" t="str">
        <f>IF(COUNTIF(Customers!$A$2:$A$1001,B2282)&gt;0,"Valid","Invalid")</f>
        <v>Valid</v>
      </c>
      <c r="R2282" t="str">
        <f>IF(COUNTIF(Branches!$A$2:$A$11,F2282)&gt;0,"Valid","Invalid")</f>
        <v>Valid</v>
      </c>
    </row>
    <row r="2283" spans="1:18" x14ac:dyDescent="0.25">
      <c r="A2283" t="s">
        <v>4354</v>
      </c>
      <c r="B2283" t="s">
        <v>411</v>
      </c>
      <c r="C2283" s="8">
        <v>46039</v>
      </c>
      <c r="D2283" t="s">
        <v>2058</v>
      </c>
      <c r="E2283" t="s">
        <v>2063</v>
      </c>
      <c r="F2283" t="s">
        <v>47</v>
      </c>
      <c r="G2283">
        <v>1533.91</v>
      </c>
      <c r="H2283" t="s">
        <v>2060</v>
      </c>
      <c r="I2283" t="str">
        <f>VLOOKUP(B2283,Customers!A:G,7,FALSE)</f>
        <v>Student</v>
      </c>
      <c r="Q2283" t="str">
        <f>IF(COUNTIF(Customers!$A$2:$A$1001,B2283)&gt;0,"Valid","Invalid")</f>
        <v>Valid</v>
      </c>
      <c r="R2283" t="str">
        <f>IF(COUNTIF(Branches!$A$2:$A$11,F2283)&gt;0,"Valid","Invalid")</f>
        <v>Valid</v>
      </c>
    </row>
    <row r="2284" spans="1:18" x14ac:dyDescent="0.25">
      <c r="A2284" t="s">
        <v>4355</v>
      </c>
      <c r="B2284" t="s">
        <v>666</v>
      </c>
      <c r="C2284" s="8">
        <v>46195</v>
      </c>
      <c r="D2284" t="s">
        <v>2065</v>
      </c>
      <c r="E2284" t="s">
        <v>2076</v>
      </c>
      <c r="F2284" t="s">
        <v>47</v>
      </c>
      <c r="G2284">
        <v>1750.52</v>
      </c>
      <c r="H2284" t="s">
        <v>2060</v>
      </c>
      <c r="I2284" t="str">
        <f>VLOOKUP(B2284,Customers!A:G,7,FALSE)</f>
        <v>SME</v>
      </c>
      <c r="Q2284" t="str">
        <f>IF(COUNTIF(Customers!$A$2:$A$1001,B2284)&gt;0,"Valid","Invalid")</f>
        <v>Valid</v>
      </c>
      <c r="R2284" t="str">
        <f>IF(COUNTIF(Branches!$A$2:$A$11,F2284)&gt;0,"Valid","Invalid")</f>
        <v>Valid</v>
      </c>
    </row>
    <row r="2285" spans="1:18" x14ac:dyDescent="0.25">
      <c r="A2285" t="s">
        <v>4356</v>
      </c>
      <c r="B2285" t="s">
        <v>88</v>
      </c>
      <c r="C2285" s="8">
        <v>46228</v>
      </c>
      <c r="D2285" t="s">
        <v>2062</v>
      </c>
      <c r="E2285" t="s">
        <v>2068</v>
      </c>
      <c r="F2285" t="s">
        <v>29</v>
      </c>
      <c r="G2285">
        <v>441.08</v>
      </c>
      <c r="H2285" t="s">
        <v>2115</v>
      </c>
      <c r="I2285" t="str">
        <f>VLOOKUP(B2285,Customers!A:G,7,FALSE)</f>
        <v>Student</v>
      </c>
      <c r="Q2285" t="str">
        <f>IF(COUNTIF(Customers!$A$2:$A$1001,B2285)&gt;0,"Valid","Invalid")</f>
        <v>Valid</v>
      </c>
      <c r="R2285" t="str">
        <f>IF(COUNTIF(Branches!$A$2:$A$11,F2285)&gt;0,"Valid","Invalid")</f>
        <v>Valid</v>
      </c>
    </row>
    <row r="2286" spans="1:18" x14ac:dyDescent="0.25">
      <c r="A2286" t="s">
        <v>4357</v>
      </c>
      <c r="B2286" t="s">
        <v>414</v>
      </c>
      <c r="C2286" s="8">
        <v>46123</v>
      </c>
      <c r="D2286" t="s">
        <v>2065</v>
      </c>
      <c r="E2286" t="s">
        <v>2059</v>
      </c>
      <c r="F2286" t="s">
        <v>53</v>
      </c>
      <c r="G2286">
        <v>722.88</v>
      </c>
      <c r="H2286" t="s">
        <v>2060</v>
      </c>
      <c r="I2286" t="str">
        <f>VLOOKUP(B2286,Customers!A:G,7,FALSE)</f>
        <v>Individual</v>
      </c>
      <c r="Q2286" t="str">
        <f>IF(COUNTIF(Customers!$A$2:$A$1001,B2286)&gt;0,"Valid","Invalid")</f>
        <v>Valid</v>
      </c>
      <c r="R2286" t="str">
        <f>IF(COUNTIF(Branches!$A$2:$A$11,F2286)&gt;0,"Valid","Invalid")</f>
        <v>Valid</v>
      </c>
    </row>
    <row r="2287" spans="1:18" x14ac:dyDescent="0.25">
      <c r="A2287" t="s">
        <v>4358</v>
      </c>
      <c r="B2287" t="s">
        <v>433</v>
      </c>
      <c r="C2287" s="8">
        <v>46208</v>
      </c>
      <c r="D2287" t="s">
        <v>2058</v>
      </c>
      <c r="E2287" t="s">
        <v>2063</v>
      </c>
      <c r="F2287" t="s">
        <v>45</v>
      </c>
      <c r="G2287">
        <v>98.35</v>
      </c>
      <c r="H2287" t="s">
        <v>2060</v>
      </c>
      <c r="I2287" t="str">
        <f>VLOOKUP(B2287,Customers!A:G,7,FALSE)</f>
        <v>Individual</v>
      </c>
      <c r="Q2287" t="str">
        <f>IF(COUNTIF(Customers!$A$2:$A$1001,B2287)&gt;0,"Valid","Invalid")</f>
        <v>Valid</v>
      </c>
      <c r="R2287" t="str">
        <f>IF(COUNTIF(Branches!$A$2:$A$11,F2287)&gt;0,"Valid","Invalid")</f>
        <v>Valid</v>
      </c>
    </row>
    <row r="2288" spans="1:18" x14ac:dyDescent="0.25">
      <c r="A2288" t="s">
        <v>4359</v>
      </c>
      <c r="B2288" t="s">
        <v>961</v>
      </c>
      <c r="C2288" s="8">
        <v>46206</v>
      </c>
      <c r="D2288" t="s">
        <v>2058</v>
      </c>
      <c r="E2288" t="s">
        <v>2059</v>
      </c>
      <c r="F2288" t="s">
        <v>29</v>
      </c>
      <c r="G2288">
        <v>2149.0700000000002</v>
      </c>
      <c r="H2288" t="s">
        <v>2060</v>
      </c>
      <c r="I2288" t="str">
        <f>VLOOKUP(B2288,Customers!A:G,7,FALSE)</f>
        <v>SME</v>
      </c>
      <c r="Q2288" t="str">
        <f>IF(COUNTIF(Customers!$A$2:$A$1001,B2288)&gt;0,"Valid","Invalid")</f>
        <v>Valid</v>
      </c>
      <c r="R2288" t="str">
        <f>IF(COUNTIF(Branches!$A$2:$A$11,F2288)&gt;0,"Valid","Invalid")</f>
        <v>Valid</v>
      </c>
    </row>
    <row r="2289" spans="1:18" x14ac:dyDescent="0.25">
      <c r="A2289" t="s">
        <v>4360</v>
      </c>
      <c r="B2289" t="s">
        <v>178</v>
      </c>
      <c r="C2289" s="8">
        <v>46204</v>
      </c>
      <c r="D2289" t="s">
        <v>2062</v>
      </c>
      <c r="E2289" t="s">
        <v>2059</v>
      </c>
      <c r="F2289" t="s">
        <v>27</v>
      </c>
      <c r="G2289">
        <v>1651.89</v>
      </c>
      <c r="H2289" t="s">
        <v>2060</v>
      </c>
      <c r="I2289" t="str">
        <f>VLOOKUP(B2289,Customers!A:G,7,FALSE)</f>
        <v>Individual</v>
      </c>
      <c r="Q2289" t="str">
        <f>IF(COUNTIF(Customers!$A$2:$A$1001,B2289)&gt;0,"Valid","Invalid")</f>
        <v>Valid</v>
      </c>
      <c r="R2289" t="str">
        <f>IF(COUNTIF(Branches!$A$2:$A$11,F2289)&gt;0,"Valid","Invalid")</f>
        <v>Valid</v>
      </c>
    </row>
    <row r="2290" spans="1:18" x14ac:dyDescent="0.25">
      <c r="A2290" t="s">
        <v>4361</v>
      </c>
      <c r="B2290" t="s">
        <v>122</v>
      </c>
      <c r="C2290" s="8">
        <v>46237</v>
      </c>
      <c r="D2290" t="s">
        <v>2058</v>
      </c>
      <c r="E2290" t="s">
        <v>2059</v>
      </c>
      <c r="F2290" t="s">
        <v>39</v>
      </c>
      <c r="G2290">
        <v>2565.9499999999998</v>
      </c>
      <c r="H2290" t="s">
        <v>2060</v>
      </c>
      <c r="I2290" t="str">
        <f>VLOOKUP(B2290,Customers!A:G,7,FALSE)</f>
        <v>Individual</v>
      </c>
      <c r="Q2290" t="str">
        <f>IF(COUNTIF(Customers!$A$2:$A$1001,B2290)&gt;0,"Valid","Invalid")</f>
        <v>Valid</v>
      </c>
      <c r="R2290" t="str">
        <f>IF(COUNTIF(Branches!$A$2:$A$11,F2290)&gt;0,"Valid","Invalid")</f>
        <v>Valid</v>
      </c>
    </row>
    <row r="2291" spans="1:18" x14ac:dyDescent="0.25">
      <c r="A2291" t="s">
        <v>4362</v>
      </c>
      <c r="B2291" t="s">
        <v>502</v>
      </c>
      <c r="C2291" s="8">
        <v>46238</v>
      </c>
      <c r="D2291" t="s">
        <v>2065</v>
      </c>
      <c r="E2291" t="s">
        <v>2073</v>
      </c>
      <c r="F2291" t="s">
        <v>27</v>
      </c>
      <c r="G2291">
        <v>3592.29</v>
      </c>
      <c r="H2291" t="s">
        <v>2060</v>
      </c>
      <c r="I2291" t="str">
        <f>VLOOKUP(B2291,Customers!A:G,7,FALSE)</f>
        <v>SME</v>
      </c>
      <c r="Q2291" t="str">
        <f>IF(COUNTIF(Customers!$A$2:$A$1001,B2291)&gt;0,"Valid","Invalid")</f>
        <v>Valid</v>
      </c>
      <c r="R2291" t="str">
        <f>IF(COUNTIF(Branches!$A$2:$A$11,F2291)&gt;0,"Valid","Invalid")</f>
        <v>Valid</v>
      </c>
    </row>
    <row r="2292" spans="1:18" x14ac:dyDescent="0.25">
      <c r="A2292" t="s">
        <v>4363</v>
      </c>
      <c r="B2292" t="s">
        <v>81</v>
      </c>
      <c r="C2292" s="8">
        <v>46051</v>
      </c>
      <c r="D2292" t="s">
        <v>2058</v>
      </c>
      <c r="E2292" t="s">
        <v>2076</v>
      </c>
      <c r="F2292" t="s">
        <v>35</v>
      </c>
      <c r="G2292">
        <v>238.86</v>
      </c>
      <c r="H2292" t="s">
        <v>2060</v>
      </c>
      <c r="I2292" t="str">
        <f>VLOOKUP(B2292,Customers!A:G,7,FALSE)</f>
        <v>Individual</v>
      </c>
      <c r="Q2292" t="str">
        <f>IF(COUNTIF(Customers!$A$2:$A$1001,B2292)&gt;0,"Valid","Invalid")</f>
        <v>Valid</v>
      </c>
      <c r="R2292" t="str">
        <f>IF(COUNTIF(Branches!$A$2:$A$11,F2292)&gt;0,"Valid","Invalid")</f>
        <v>Valid</v>
      </c>
    </row>
    <row r="2293" spans="1:18" x14ac:dyDescent="0.25">
      <c r="A2293" t="s">
        <v>4364</v>
      </c>
      <c r="B2293" t="s">
        <v>882</v>
      </c>
      <c r="C2293" s="8">
        <v>46124</v>
      </c>
      <c r="D2293" t="s">
        <v>2065</v>
      </c>
      <c r="E2293" t="s">
        <v>2063</v>
      </c>
      <c r="F2293" t="s">
        <v>35</v>
      </c>
      <c r="G2293">
        <v>1974.45</v>
      </c>
      <c r="H2293" t="s">
        <v>2060</v>
      </c>
      <c r="I2293" t="str">
        <f>VLOOKUP(B2293,Customers!A:G,7,FALSE)</f>
        <v>Individual</v>
      </c>
      <c r="Q2293" t="str">
        <f>IF(COUNTIF(Customers!$A$2:$A$1001,B2293)&gt;0,"Valid","Invalid")</f>
        <v>Valid</v>
      </c>
      <c r="R2293" t="str">
        <f>IF(COUNTIF(Branches!$A$2:$A$11,F2293)&gt;0,"Valid","Invalid")</f>
        <v>Valid</v>
      </c>
    </row>
    <row r="2294" spans="1:18" x14ac:dyDescent="0.25">
      <c r="A2294" t="s">
        <v>4365</v>
      </c>
      <c r="B2294" t="s">
        <v>276</v>
      </c>
      <c r="C2294" s="8">
        <v>46145</v>
      </c>
      <c r="D2294" t="s">
        <v>2065</v>
      </c>
      <c r="E2294" t="s">
        <v>2059</v>
      </c>
      <c r="F2294" t="s">
        <v>29</v>
      </c>
      <c r="G2294">
        <v>3566.37</v>
      </c>
      <c r="H2294" t="s">
        <v>2060</v>
      </c>
      <c r="I2294" t="str">
        <f>VLOOKUP(B2294,Customers!A:G,7,FALSE)</f>
        <v>SME</v>
      </c>
      <c r="Q2294" t="str">
        <f>IF(COUNTIF(Customers!$A$2:$A$1001,B2294)&gt;0,"Valid","Invalid")</f>
        <v>Valid</v>
      </c>
      <c r="R2294" t="str">
        <f>IF(COUNTIF(Branches!$A$2:$A$11,F2294)&gt;0,"Valid","Invalid")</f>
        <v>Valid</v>
      </c>
    </row>
    <row r="2295" spans="1:18" x14ac:dyDescent="0.25">
      <c r="A2295" t="s">
        <v>4366</v>
      </c>
      <c r="B2295" t="s">
        <v>37</v>
      </c>
      <c r="C2295" s="8">
        <v>46076</v>
      </c>
      <c r="D2295" t="s">
        <v>2065</v>
      </c>
      <c r="E2295" t="s">
        <v>2076</v>
      </c>
      <c r="F2295" t="s">
        <v>11</v>
      </c>
      <c r="G2295">
        <v>182.26</v>
      </c>
      <c r="H2295" t="s">
        <v>2060</v>
      </c>
      <c r="I2295" t="str">
        <f>VLOOKUP(B2295,Customers!A:G,7,FALSE)</f>
        <v>SME</v>
      </c>
      <c r="Q2295" t="str">
        <f>IF(COUNTIF(Customers!$A$2:$A$1001,B2295)&gt;0,"Valid","Invalid")</f>
        <v>Valid</v>
      </c>
      <c r="R2295" t="str">
        <f>IF(COUNTIF(Branches!$A$2:$A$11,F2295)&gt;0,"Valid","Invalid")</f>
        <v>Valid</v>
      </c>
    </row>
    <row r="2296" spans="1:18" x14ac:dyDescent="0.25">
      <c r="A2296" t="s">
        <v>4367</v>
      </c>
      <c r="B2296" t="s">
        <v>702</v>
      </c>
      <c r="C2296" s="8">
        <v>46049</v>
      </c>
      <c r="D2296" t="s">
        <v>2058</v>
      </c>
      <c r="E2296" t="s">
        <v>2063</v>
      </c>
      <c r="F2296" t="s">
        <v>39</v>
      </c>
      <c r="G2296">
        <v>684.57</v>
      </c>
      <c r="H2296" t="s">
        <v>2060</v>
      </c>
      <c r="I2296" t="str">
        <f>VLOOKUP(B2296,Customers!A:G,7,FALSE)</f>
        <v>Individual</v>
      </c>
      <c r="Q2296" t="str">
        <f>IF(COUNTIF(Customers!$A$2:$A$1001,B2296)&gt;0,"Valid","Invalid")</f>
        <v>Valid</v>
      </c>
      <c r="R2296" t="str">
        <f>IF(COUNTIF(Branches!$A$2:$A$11,F2296)&gt;0,"Valid","Invalid")</f>
        <v>Valid</v>
      </c>
    </row>
    <row r="2297" spans="1:18" x14ac:dyDescent="0.25">
      <c r="A2297" t="s">
        <v>4368</v>
      </c>
      <c r="B2297" t="s">
        <v>611</v>
      </c>
      <c r="C2297" s="8">
        <v>46124</v>
      </c>
      <c r="D2297" t="s">
        <v>2065</v>
      </c>
      <c r="E2297" t="s">
        <v>2059</v>
      </c>
      <c r="F2297" t="s">
        <v>16</v>
      </c>
      <c r="G2297">
        <v>564.87</v>
      </c>
      <c r="H2297" t="s">
        <v>2060</v>
      </c>
      <c r="I2297" t="str">
        <f>VLOOKUP(B2297,Customers!A:G,7,FALSE)</f>
        <v>Individual</v>
      </c>
      <c r="Q2297" t="str">
        <f>IF(COUNTIF(Customers!$A$2:$A$1001,B2297)&gt;0,"Valid","Invalid")</f>
        <v>Valid</v>
      </c>
      <c r="R2297" t="str">
        <f>IF(COUNTIF(Branches!$A$2:$A$11,F2297)&gt;0,"Valid","Invalid")</f>
        <v>Valid</v>
      </c>
    </row>
    <row r="2298" spans="1:18" x14ac:dyDescent="0.25">
      <c r="A2298" t="s">
        <v>4369</v>
      </c>
      <c r="B2298" t="s">
        <v>568</v>
      </c>
      <c r="C2298" s="8">
        <v>46139</v>
      </c>
      <c r="D2298" t="s">
        <v>2067</v>
      </c>
      <c r="E2298" t="s">
        <v>2073</v>
      </c>
      <c r="F2298" t="s">
        <v>45</v>
      </c>
      <c r="G2298">
        <v>1911.15</v>
      </c>
      <c r="H2298" t="s">
        <v>2060</v>
      </c>
      <c r="I2298" t="str">
        <f>VLOOKUP(B2298,Customers!A:G,7,FALSE)</f>
        <v>Individual</v>
      </c>
      <c r="Q2298" t="str">
        <f>IF(COUNTIF(Customers!$A$2:$A$1001,B2298)&gt;0,"Valid","Invalid")</f>
        <v>Valid</v>
      </c>
      <c r="R2298" t="str">
        <f>IF(COUNTIF(Branches!$A$2:$A$11,F2298)&gt;0,"Valid","Invalid")</f>
        <v>Valid</v>
      </c>
    </row>
    <row r="2299" spans="1:18" x14ac:dyDescent="0.25">
      <c r="A2299" t="s">
        <v>4370</v>
      </c>
      <c r="B2299" t="s">
        <v>636</v>
      </c>
      <c r="C2299" s="8">
        <v>46126</v>
      </c>
      <c r="D2299" t="s">
        <v>2070</v>
      </c>
      <c r="E2299" t="s">
        <v>2059</v>
      </c>
      <c r="F2299" t="s">
        <v>47</v>
      </c>
      <c r="G2299">
        <v>74.150000000000006</v>
      </c>
      <c r="H2299" t="s">
        <v>2060</v>
      </c>
      <c r="I2299" t="str">
        <f>VLOOKUP(B2299,Customers!A:G,7,FALSE)</f>
        <v>Individual</v>
      </c>
      <c r="Q2299" t="str">
        <f>IF(COUNTIF(Customers!$A$2:$A$1001,B2299)&gt;0,"Valid","Invalid")</f>
        <v>Valid</v>
      </c>
      <c r="R2299" t="str">
        <f>IF(COUNTIF(Branches!$A$2:$A$11,F2299)&gt;0,"Valid","Invalid")</f>
        <v>Valid</v>
      </c>
    </row>
    <row r="2300" spans="1:18" x14ac:dyDescent="0.25">
      <c r="A2300" t="s">
        <v>4371</v>
      </c>
      <c r="B2300" t="s">
        <v>687</v>
      </c>
      <c r="C2300" s="8">
        <v>46067</v>
      </c>
      <c r="D2300" t="s">
        <v>2062</v>
      </c>
      <c r="E2300" t="s">
        <v>2063</v>
      </c>
      <c r="F2300" t="s">
        <v>47</v>
      </c>
      <c r="G2300">
        <v>4993.83</v>
      </c>
      <c r="H2300" t="s">
        <v>2060</v>
      </c>
      <c r="I2300" t="str">
        <f>VLOOKUP(B2300,Customers!A:G,7,FALSE)</f>
        <v>Individual</v>
      </c>
      <c r="Q2300" t="str">
        <f>IF(COUNTIF(Customers!$A$2:$A$1001,B2300)&gt;0,"Valid","Invalid")</f>
        <v>Valid</v>
      </c>
      <c r="R2300" t="str">
        <f>IF(COUNTIF(Branches!$A$2:$A$11,F2300)&gt;0,"Valid","Invalid")</f>
        <v>Valid</v>
      </c>
    </row>
    <row r="2301" spans="1:18" x14ac:dyDescent="0.25">
      <c r="A2301" t="s">
        <v>4372</v>
      </c>
      <c r="B2301" t="s">
        <v>951</v>
      </c>
      <c r="C2301" s="8">
        <v>46136</v>
      </c>
      <c r="D2301" t="s">
        <v>2065</v>
      </c>
      <c r="E2301" t="s">
        <v>2063</v>
      </c>
      <c r="F2301" t="s">
        <v>21</v>
      </c>
      <c r="G2301">
        <v>725.94</v>
      </c>
      <c r="H2301" t="s">
        <v>2060</v>
      </c>
      <c r="I2301" t="str">
        <f>VLOOKUP(B2301,Customers!A:G,7,FALSE)</f>
        <v>Individual</v>
      </c>
      <c r="Q2301" t="str">
        <f>IF(COUNTIF(Customers!$A$2:$A$1001,B2301)&gt;0,"Valid","Invalid")</f>
        <v>Valid</v>
      </c>
      <c r="R2301" t="str">
        <f>IF(COUNTIF(Branches!$A$2:$A$11,F2301)&gt;0,"Valid","Invalid")</f>
        <v>Valid</v>
      </c>
    </row>
    <row r="2302" spans="1:18" x14ac:dyDescent="0.25">
      <c r="A2302" t="s">
        <v>4373</v>
      </c>
      <c r="B2302" t="s">
        <v>780</v>
      </c>
      <c r="C2302" s="8">
        <v>46109</v>
      </c>
      <c r="D2302" t="s">
        <v>2065</v>
      </c>
      <c r="E2302" t="s">
        <v>2059</v>
      </c>
      <c r="F2302" t="s">
        <v>53</v>
      </c>
      <c r="G2302">
        <v>2030.62</v>
      </c>
      <c r="H2302" t="s">
        <v>2060</v>
      </c>
      <c r="I2302" t="str">
        <f>VLOOKUP(B2302,Customers!A:G,7,FALSE)</f>
        <v>Individual</v>
      </c>
      <c r="Q2302" t="str">
        <f>IF(COUNTIF(Customers!$A$2:$A$1001,B2302)&gt;0,"Valid","Invalid")</f>
        <v>Valid</v>
      </c>
      <c r="R2302" t="str">
        <f>IF(COUNTIF(Branches!$A$2:$A$11,F2302)&gt;0,"Valid","Invalid")</f>
        <v>Valid</v>
      </c>
    </row>
    <row r="2303" spans="1:18" x14ac:dyDescent="0.25">
      <c r="A2303" t="s">
        <v>4374</v>
      </c>
      <c r="B2303" t="s">
        <v>678</v>
      </c>
      <c r="C2303" s="8">
        <v>46053</v>
      </c>
      <c r="D2303" t="s">
        <v>2058</v>
      </c>
      <c r="E2303" t="s">
        <v>2059</v>
      </c>
      <c r="F2303" t="s">
        <v>27</v>
      </c>
      <c r="G2303">
        <v>764.91</v>
      </c>
      <c r="H2303" t="s">
        <v>2060</v>
      </c>
      <c r="I2303" t="str">
        <f>VLOOKUP(B2303,Customers!A:G,7,FALSE)</f>
        <v>SME</v>
      </c>
      <c r="Q2303" t="str">
        <f>IF(COUNTIF(Customers!$A$2:$A$1001,B2303)&gt;0,"Valid","Invalid")</f>
        <v>Valid</v>
      </c>
      <c r="R2303" t="str">
        <f>IF(COUNTIF(Branches!$A$2:$A$11,F2303)&gt;0,"Valid","Invalid")</f>
        <v>Valid</v>
      </c>
    </row>
    <row r="2304" spans="1:18" x14ac:dyDescent="0.25">
      <c r="A2304" t="s">
        <v>4375</v>
      </c>
      <c r="B2304" t="s">
        <v>654</v>
      </c>
      <c r="C2304" s="8">
        <v>46186</v>
      </c>
      <c r="D2304" t="s">
        <v>2062</v>
      </c>
      <c r="E2304" t="s">
        <v>2063</v>
      </c>
      <c r="F2304" t="s">
        <v>27</v>
      </c>
      <c r="G2304">
        <v>1328.92</v>
      </c>
      <c r="H2304" t="s">
        <v>2060</v>
      </c>
      <c r="I2304" t="str">
        <f>VLOOKUP(B2304,Customers!A:G,7,FALSE)</f>
        <v>Individual</v>
      </c>
      <c r="Q2304" t="str">
        <f>IF(COUNTIF(Customers!$A$2:$A$1001,B2304)&gt;0,"Valid","Invalid")</f>
        <v>Valid</v>
      </c>
      <c r="R2304" t="str">
        <f>IF(COUNTIF(Branches!$A$2:$A$11,F2304)&gt;0,"Valid","Invalid")</f>
        <v>Valid</v>
      </c>
    </row>
    <row r="2305" spans="1:18" x14ac:dyDescent="0.25">
      <c r="A2305" t="s">
        <v>4376</v>
      </c>
      <c r="B2305" t="s">
        <v>736</v>
      </c>
      <c r="C2305" s="8">
        <v>46231</v>
      </c>
      <c r="D2305" t="s">
        <v>2065</v>
      </c>
      <c r="E2305" t="s">
        <v>2076</v>
      </c>
      <c r="F2305" t="s">
        <v>29</v>
      </c>
      <c r="G2305">
        <v>79.72</v>
      </c>
      <c r="H2305" t="s">
        <v>2060</v>
      </c>
      <c r="I2305" t="str">
        <f>VLOOKUP(B2305,Customers!A:G,7,FALSE)</f>
        <v>Individual</v>
      </c>
      <c r="Q2305" t="str">
        <f>IF(COUNTIF(Customers!$A$2:$A$1001,B2305)&gt;0,"Valid","Invalid")</f>
        <v>Valid</v>
      </c>
      <c r="R2305" t="str">
        <f>IF(COUNTIF(Branches!$A$2:$A$11,F2305)&gt;0,"Valid","Invalid")</f>
        <v>Valid</v>
      </c>
    </row>
    <row r="2306" spans="1:18" x14ac:dyDescent="0.25">
      <c r="A2306" t="s">
        <v>4377</v>
      </c>
      <c r="B2306" t="s">
        <v>947</v>
      </c>
      <c r="C2306" s="8">
        <v>46211</v>
      </c>
      <c r="D2306" t="s">
        <v>2062</v>
      </c>
      <c r="E2306" t="s">
        <v>2063</v>
      </c>
      <c r="F2306" t="s">
        <v>35</v>
      </c>
      <c r="G2306">
        <v>552.87</v>
      </c>
      <c r="H2306" t="s">
        <v>2060</v>
      </c>
      <c r="I2306" t="str">
        <f>VLOOKUP(B2306,Customers!A:G,7,FALSE)</f>
        <v>Individual</v>
      </c>
      <c r="Q2306" t="str">
        <f>IF(COUNTIF(Customers!$A$2:$A$1001,B2306)&gt;0,"Valid","Invalid")</f>
        <v>Valid</v>
      </c>
      <c r="R2306" t="str">
        <f>IF(COUNTIF(Branches!$A$2:$A$11,F2306)&gt;0,"Valid","Invalid")</f>
        <v>Valid</v>
      </c>
    </row>
    <row r="2307" spans="1:18" x14ac:dyDescent="0.25">
      <c r="A2307" t="s">
        <v>4378</v>
      </c>
      <c r="B2307" t="s">
        <v>214</v>
      </c>
      <c r="C2307" s="8">
        <v>46059</v>
      </c>
      <c r="D2307" t="s">
        <v>2058</v>
      </c>
      <c r="E2307" t="s">
        <v>2063</v>
      </c>
      <c r="F2307" t="s">
        <v>35</v>
      </c>
      <c r="G2307">
        <v>1896.49</v>
      </c>
      <c r="H2307" t="s">
        <v>2060</v>
      </c>
      <c r="I2307" t="str">
        <f>VLOOKUP(B2307,Customers!A:G,7,FALSE)</f>
        <v>Student</v>
      </c>
      <c r="Q2307" t="str">
        <f>IF(COUNTIF(Customers!$A$2:$A$1001,B2307)&gt;0,"Valid","Invalid")</f>
        <v>Valid</v>
      </c>
      <c r="R2307" t="str">
        <f>IF(COUNTIF(Branches!$A$2:$A$11,F2307)&gt;0,"Valid","Invalid")</f>
        <v>Valid</v>
      </c>
    </row>
    <row r="2308" spans="1:18" x14ac:dyDescent="0.25">
      <c r="A2308" t="s">
        <v>4379</v>
      </c>
      <c r="B2308" t="s">
        <v>907</v>
      </c>
      <c r="C2308" s="8">
        <v>46217</v>
      </c>
      <c r="D2308" t="s">
        <v>2058</v>
      </c>
      <c r="E2308" t="s">
        <v>2059</v>
      </c>
      <c r="F2308" t="s">
        <v>53</v>
      </c>
      <c r="G2308">
        <v>1084.3499999999999</v>
      </c>
      <c r="H2308" t="s">
        <v>2060</v>
      </c>
      <c r="I2308" t="str">
        <f>VLOOKUP(B2308,Customers!A:G,7,FALSE)</f>
        <v>Individual</v>
      </c>
      <c r="Q2308" t="str">
        <f>IF(COUNTIF(Customers!$A$2:$A$1001,B2308)&gt;0,"Valid","Invalid")</f>
        <v>Valid</v>
      </c>
      <c r="R2308" t="str">
        <f>IF(COUNTIF(Branches!$A$2:$A$11,F2308)&gt;0,"Valid","Invalid")</f>
        <v>Valid</v>
      </c>
    </row>
    <row r="2309" spans="1:18" x14ac:dyDescent="0.25">
      <c r="A2309" t="s">
        <v>4380</v>
      </c>
      <c r="B2309" t="s">
        <v>30</v>
      </c>
      <c r="C2309" s="8">
        <v>46058</v>
      </c>
      <c r="D2309" t="s">
        <v>2070</v>
      </c>
      <c r="E2309" t="s">
        <v>2063</v>
      </c>
      <c r="F2309" t="s">
        <v>39</v>
      </c>
      <c r="G2309">
        <v>158.09</v>
      </c>
      <c r="H2309" t="s">
        <v>2060</v>
      </c>
      <c r="I2309" t="str">
        <f>VLOOKUP(B2309,Customers!A:G,7,FALSE)</f>
        <v>SME</v>
      </c>
      <c r="Q2309" t="str">
        <f>IF(COUNTIF(Customers!$A$2:$A$1001,B2309)&gt;0,"Valid","Invalid")</f>
        <v>Valid</v>
      </c>
      <c r="R2309" t="str">
        <f>IF(COUNTIF(Branches!$A$2:$A$11,F2309)&gt;0,"Valid","Invalid")</f>
        <v>Valid</v>
      </c>
    </row>
    <row r="2310" spans="1:18" x14ac:dyDescent="0.25">
      <c r="A2310" t="s">
        <v>4381</v>
      </c>
      <c r="B2310" t="s">
        <v>891</v>
      </c>
      <c r="C2310" s="8">
        <v>46141</v>
      </c>
      <c r="D2310" t="s">
        <v>2062</v>
      </c>
      <c r="E2310" t="s">
        <v>2068</v>
      </c>
      <c r="F2310" t="s">
        <v>39</v>
      </c>
      <c r="G2310">
        <v>863.87</v>
      </c>
      <c r="H2310" t="s">
        <v>2060</v>
      </c>
      <c r="I2310" t="str">
        <f>VLOOKUP(B2310,Customers!A:G,7,FALSE)</f>
        <v>SME</v>
      </c>
      <c r="Q2310" t="str">
        <f>IF(COUNTIF(Customers!$A$2:$A$1001,B2310)&gt;0,"Valid","Invalid")</f>
        <v>Valid</v>
      </c>
      <c r="R2310" t="str">
        <f>IF(COUNTIF(Branches!$A$2:$A$11,F2310)&gt;0,"Valid","Invalid")</f>
        <v>Valid</v>
      </c>
    </row>
    <row r="2311" spans="1:18" x14ac:dyDescent="0.25">
      <c r="A2311" t="s">
        <v>4382</v>
      </c>
      <c r="B2311" t="s">
        <v>345</v>
      </c>
      <c r="C2311" s="8">
        <v>46027</v>
      </c>
      <c r="D2311" t="s">
        <v>2062</v>
      </c>
      <c r="E2311" t="s">
        <v>2063</v>
      </c>
      <c r="F2311" t="s">
        <v>47</v>
      </c>
      <c r="G2311">
        <v>358.26</v>
      </c>
      <c r="H2311" t="s">
        <v>2060</v>
      </c>
      <c r="I2311" t="str">
        <f>VLOOKUP(B2311,Customers!A:G,7,FALSE)</f>
        <v>Individual</v>
      </c>
      <c r="Q2311" t="str">
        <f>IF(COUNTIF(Customers!$A$2:$A$1001,B2311)&gt;0,"Valid","Invalid")</f>
        <v>Valid</v>
      </c>
      <c r="R2311" t="str">
        <f>IF(COUNTIF(Branches!$A$2:$A$11,F2311)&gt;0,"Valid","Invalid")</f>
        <v>Valid</v>
      </c>
    </row>
    <row r="2312" spans="1:18" x14ac:dyDescent="0.25">
      <c r="A2312" t="s">
        <v>4383</v>
      </c>
      <c r="B2312" t="s">
        <v>586</v>
      </c>
      <c r="C2312" s="8">
        <v>46196</v>
      </c>
      <c r="D2312" t="s">
        <v>2067</v>
      </c>
      <c r="E2312" t="s">
        <v>2076</v>
      </c>
      <c r="F2312" t="s">
        <v>29</v>
      </c>
      <c r="H2312" t="s">
        <v>2060</v>
      </c>
      <c r="I2312" t="str">
        <f>VLOOKUP(B2312,Customers!A:G,7,FALSE)</f>
        <v>Individual</v>
      </c>
      <c r="Q2312" t="str">
        <f>IF(COUNTIF(Customers!$A$2:$A$1001,B2312)&gt;0,"Valid","Invalid")</f>
        <v>Valid</v>
      </c>
      <c r="R2312" t="str">
        <f>IF(COUNTIF(Branches!$A$2:$A$11,F2312)&gt;0,"Valid","Invalid")</f>
        <v>Valid</v>
      </c>
    </row>
    <row r="2313" spans="1:18" x14ac:dyDescent="0.25">
      <c r="A2313" t="s">
        <v>4384</v>
      </c>
      <c r="B2313" t="s">
        <v>365</v>
      </c>
      <c r="C2313" s="8">
        <v>46229</v>
      </c>
      <c r="D2313" t="s">
        <v>2058</v>
      </c>
      <c r="E2313" t="s">
        <v>2059</v>
      </c>
      <c r="F2313" t="s">
        <v>29</v>
      </c>
      <c r="G2313">
        <v>177.56</v>
      </c>
      <c r="H2313" t="s">
        <v>2060</v>
      </c>
      <c r="I2313" t="str">
        <f>VLOOKUP(B2313,Customers!A:G,7,FALSE)</f>
        <v>SME</v>
      </c>
      <c r="Q2313" t="str">
        <f>IF(COUNTIF(Customers!$A$2:$A$1001,B2313)&gt;0,"Valid","Invalid")</f>
        <v>Valid</v>
      </c>
      <c r="R2313" t="str">
        <f>IF(COUNTIF(Branches!$A$2:$A$11,F2313)&gt;0,"Valid","Invalid")</f>
        <v>Valid</v>
      </c>
    </row>
    <row r="2314" spans="1:18" x14ac:dyDescent="0.25">
      <c r="A2314" t="s">
        <v>4385</v>
      </c>
      <c r="B2314" t="s">
        <v>394</v>
      </c>
      <c r="C2314" s="8">
        <v>46074</v>
      </c>
      <c r="D2314" t="s">
        <v>2058</v>
      </c>
      <c r="E2314" t="s">
        <v>2059</v>
      </c>
      <c r="F2314" t="s">
        <v>35</v>
      </c>
      <c r="G2314">
        <v>1508.25</v>
      </c>
      <c r="H2314" t="s">
        <v>2060</v>
      </c>
      <c r="I2314" t="str">
        <f>VLOOKUP(B2314,Customers!A:G,7,FALSE)</f>
        <v>Student</v>
      </c>
      <c r="Q2314" t="str">
        <f>IF(COUNTIF(Customers!$A$2:$A$1001,B2314)&gt;0,"Valid","Invalid")</f>
        <v>Valid</v>
      </c>
      <c r="R2314" t="str">
        <f>IF(COUNTIF(Branches!$A$2:$A$11,F2314)&gt;0,"Valid","Invalid")</f>
        <v>Valid</v>
      </c>
    </row>
    <row r="2315" spans="1:18" x14ac:dyDescent="0.25">
      <c r="A2315" t="s">
        <v>4386</v>
      </c>
      <c r="B2315" t="s">
        <v>831</v>
      </c>
      <c r="C2315" s="8">
        <v>46071</v>
      </c>
      <c r="D2315" t="s">
        <v>2067</v>
      </c>
      <c r="E2315" t="s">
        <v>2068</v>
      </c>
      <c r="F2315" t="s">
        <v>11</v>
      </c>
      <c r="G2315">
        <v>2472.5700000000002</v>
      </c>
      <c r="H2315" t="s">
        <v>2060</v>
      </c>
      <c r="I2315" t="str">
        <f>VLOOKUP(B2315,Customers!A:G,7,FALSE)</f>
        <v>Corporate</v>
      </c>
      <c r="Q2315" t="str">
        <f>IF(COUNTIF(Customers!$A$2:$A$1001,B2315)&gt;0,"Valid","Invalid")</f>
        <v>Valid</v>
      </c>
      <c r="R2315" t="str">
        <f>IF(COUNTIF(Branches!$A$2:$A$11,F2315)&gt;0,"Valid","Invalid")</f>
        <v>Valid</v>
      </c>
    </row>
    <row r="2316" spans="1:18" x14ac:dyDescent="0.25">
      <c r="A2316" t="s">
        <v>4387</v>
      </c>
      <c r="B2316" t="s">
        <v>433</v>
      </c>
      <c r="C2316" s="8">
        <v>46028</v>
      </c>
      <c r="D2316" t="s">
        <v>2058</v>
      </c>
      <c r="E2316" t="s">
        <v>2059</v>
      </c>
      <c r="F2316" t="s">
        <v>29</v>
      </c>
      <c r="G2316">
        <v>6769.23</v>
      </c>
      <c r="H2316" t="s">
        <v>2060</v>
      </c>
      <c r="I2316" t="str">
        <f>VLOOKUP(B2316,Customers!A:G,7,FALSE)</f>
        <v>Individual</v>
      </c>
      <c r="Q2316" t="str">
        <f>IF(COUNTIF(Customers!$A$2:$A$1001,B2316)&gt;0,"Valid","Invalid")</f>
        <v>Valid</v>
      </c>
      <c r="R2316" t="str">
        <f>IF(COUNTIF(Branches!$A$2:$A$11,F2316)&gt;0,"Valid","Invalid")</f>
        <v>Valid</v>
      </c>
    </row>
    <row r="2317" spans="1:18" x14ac:dyDescent="0.25">
      <c r="A2317" t="s">
        <v>4388</v>
      </c>
      <c r="B2317" t="s">
        <v>338</v>
      </c>
      <c r="C2317" s="8">
        <v>46145</v>
      </c>
      <c r="D2317" t="s">
        <v>2065</v>
      </c>
      <c r="E2317" t="s">
        <v>2076</v>
      </c>
      <c r="F2317" t="s">
        <v>53</v>
      </c>
      <c r="G2317">
        <v>186.04</v>
      </c>
      <c r="H2317" t="s">
        <v>2060</v>
      </c>
      <c r="I2317" t="str">
        <f>VLOOKUP(B2317,Customers!A:G,7,FALSE)</f>
        <v>Individual</v>
      </c>
      <c r="Q2317" t="str">
        <f>IF(COUNTIF(Customers!$A$2:$A$1001,B2317)&gt;0,"Valid","Invalid")</f>
        <v>Valid</v>
      </c>
      <c r="R2317" t="str">
        <f>IF(COUNTIF(Branches!$A$2:$A$11,F2317)&gt;0,"Valid","Invalid")</f>
        <v>Valid</v>
      </c>
    </row>
    <row r="2318" spans="1:18" x14ac:dyDescent="0.25">
      <c r="A2318" t="s">
        <v>4389</v>
      </c>
      <c r="B2318" t="s">
        <v>564</v>
      </c>
      <c r="C2318" s="8">
        <v>46160</v>
      </c>
      <c r="D2318" t="s">
        <v>2065</v>
      </c>
      <c r="E2318" t="s">
        <v>2059</v>
      </c>
      <c r="F2318" t="s">
        <v>29</v>
      </c>
      <c r="G2318">
        <v>1750</v>
      </c>
      <c r="H2318" t="s">
        <v>2060</v>
      </c>
      <c r="I2318" t="str">
        <f>VLOOKUP(B2318,Customers!A:G,7,FALSE)</f>
        <v>SME</v>
      </c>
      <c r="Q2318" t="str">
        <f>IF(COUNTIF(Customers!$A$2:$A$1001,B2318)&gt;0,"Valid","Invalid")</f>
        <v>Valid</v>
      </c>
      <c r="R2318" t="str">
        <f>IF(COUNTIF(Branches!$A$2:$A$11,F2318)&gt;0,"Valid","Invalid")</f>
        <v>Valid</v>
      </c>
    </row>
    <row r="2319" spans="1:18" x14ac:dyDescent="0.25">
      <c r="A2319" t="s">
        <v>4390</v>
      </c>
      <c r="B2319" t="s">
        <v>787</v>
      </c>
      <c r="C2319" s="8">
        <v>46140</v>
      </c>
      <c r="D2319" t="s">
        <v>2067</v>
      </c>
      <c r="E2319" t="s">
        <v>2076</v>
      </c>
      <c r="F2319" t="s">
        <v>29</v>
      </c>
      <c r="G2319">
        <v>1869.02</v>
      </c>
      <c r="H2319" t="s">
        <v>2060</v>
      </c>
      <c r="I2319" t="str">
        <f>VLOOKUP(B2319,Customers!A:G,7,FALSE)</f>
        <v>Student</v>
      </c>
      <c r="Q2319" t="str">
        <f>IF(COUNTIF(Customers!$A$2:$A$1001,B2319)&gt;0,"Valid","Invalid")</f>
        <v>Valid</v>
      </c>
      <c r="R2319" t="str">
        <f>IF(COUNTIF(Branches!$A$2:$A$11,F2319)&gt;0,"Valid","Invalid")</f>
        <v>Valid</v>
      </c>
    </row>
    <row r="2320" spans="1:18" x14ac:dyDescent="0.25">
      <c r="A2320" t="s">
        <v>4391</v>
      </c>
      <c r="B2320" t="s">
        <v>323</v>
      </c>
      <c r="C2320" s="8">
        <v>46246</v>
      </c>
      <c r="D2320" t="s">
        <v>2062</v>
      </c>
      <c r="E2320" t="s">
        <v>2068</v>
      </c>
      <c r="F2320" t="s">
        <v>53</v>
      </c>
      <c r="G2320">
        <v>454.64</v>
      </c>
      <c r="H2320" t="s">
        <v>2060</v>
      </c>
      <c r="I2320" t="str">
        <f>VLOOKUP(B2320,Customers!A:G,7,FALSE)</f>
        <v>SME</v>
      </c>
      <c r="Q2320" t="str">
        <f>IF(COUNTIF(Customers!$A$2:$A$1001,B2320)&gt;0,"Valid","Invalid")</f>
        <v>Valid</v>
      </c>
      <c r="R2320" t="str">
        <f>IF(COUNTIF(Branches!$A$2:$A$11,F2320)&gt;0,"Valid","Invalid")</f>
        <v>Valid</v>
      </c>
    </row>
    <row r="2321" spans="1:18" x14ac:dyDescent="0.25">
      <c r="A2321" t="s">
        <v>4392</v>
      </c>
      <c r="B2321" t="s">
        <v>368</v>
      </c>
      <c r="C2321" s="8">
        <v>46045</v>
      </c>
      <c r="D2321" t="s">
        <v>2062</v>
      </c>
      <c r="E2321" t="s">
        <v>2076</v>
      </c>
      <c r="F2321" t="s">
        <v>27</v>
      </c>
      <c r="G2321">
        <v>324.54000000000002</v>
      </c>
      <c r="H2321" t="s">
        <v>2115</v>
      </c>
      <c r="I2321" t="str">
        <f>VLOOKUP(B2321,Customers!A:G,7,FALSE)</f>
        <v>Individual</v>
      </c>
      <c r="Q2321" t="str">
        <f>IF(COUNTIF(Customers!$A$2:$A$1001,B2321)&gt;0,"Valid","Invalid")</f>
        <v>Valid</v>
      </c>
      <c r="R2321" t="str">
        <f>IF(COUNTIF(Branches!$A$2:$A$11,F2321)&gt;0,"Valid","Invalid")</f>
        <v>Valid</v>
      </c>
    </row>
    <row r="2322" spans="1:18" x14ac:dyDescent="0.25">
      <c r="A2322" t="s">
        <v>4393</v>
      </c>
      <c r="B2322" t="s">
        <v>86</v>
      </c>
      <c r="C2322" s="8">
        <v>46262</v>
      </c>
      <c r="D2322" t="s">
        <v>2067</v>
      </c>
      <c r="E2322" t="s">
        <v>2076</v>
      </c>
      <c r="F2322" t="s">
        <v>27</v>
      </c>
      <c r="G2322">
        <v>274.31</v>
      </c>
      <c r="H2322" t="s">
        <v>2060</v>
      </c>
      <c r="I2322" t="str">
        <f>VLOOKUP(B2322,Customers!A:G,7,FALSE)</f>
        <v>Corporate</v>
      </c>
      <c r="Q2322" t="str">
        <f>IF(COUNTIF(Customers!$A$2:$A$1001,B2322)&gt;0,"Valid","Invalid")</f>
        <v>Valid</v>
      </c>
      <c r="R2322" t="str">
        <f>IF(COUNTIF(Branches!$A$2:$A$11,F2322)&gt;0,"Valid","Invalid")</f>
        <v>Valid</v>
      </c>
    </row>
    <row r="2323" spans="1:18" x14ac:dyDescent="0.25">
      <c r="A2323" t="s">
        <v>4394</v>
      </c>
      <c r="B2323" t="s">
        <v>811</v>
      </c>
      <c r="C2323" s="8">
        <v>46167</v>
      </c>
      <c r="D2323" t="s">
        <v>2058</v>
      </c>
      <c r="E2323" t="s">
        <v>2068</v>
      </c>
      <c r="F2323" t="s">
        <v>39</v>
      </c>
      <c r="G2323">
        <v>479.45</v>
      </c>
      <c r="H2323" t="s">
        <v>2060</v>
      </c>
      <c r="I2323" t="str">
        <f>VLOOKUP(B2323,Customers!A:G,7,FALSE)</f>
        <v>SME</v>
      </c>
      <c r="Q2323" t="str">
        <f>IF(COUNTIF(Customers!$A$2:$A$1001,B2323)&gt;0,"Valid","Invalid")</f>
        <v>Valid</v>
      </c>
      <c r="R2323" t="str">
        <f>IF(COUNTIF(Branches!$A$2:$A$11,F2323)&gt;0,"Valid","Invalid")</f>
        <v>Valid</v>
      </c>
    </row>
    <row r="2324" spans="1:18" x14ac:dyDescent="0.25">
      <c r="A2324" t="s">
        <v>4395</v>
      </c>
      <c r="B2324" t="s">
        <v>1006</v>
      </c>
      <c r="C2324" s="8">
        <v>46132</v>
      </c>
      <c r="D2324" t="s">
        <v>2065</v>
      </c>
      <c r="E2324" t="s">
        <v>2073</v>
      </c>
      <c r="F2324" t="s">
        <v>39</v>
      </c>
      <c r="G2324">
        <v>994.88</v>
      </c>
      <c r="H2324" t="s">
        <v>2060</v>
      </c>
      <c r="I2324" t="str">
        <f>VLOOKUP(B2324,Customers!A:G,7,FALSE)</f>
        <v>Individual</v>
      </c>
      <c r="Q2324" t="str">
        <f>IF(COUNTIF(Customers!$A$2:$A$1001,B2324)&gt;0,"Valid","Invalid")</f>
        <v>Valid</v>
      </c>
      <c r="R2324" t="str">
        <f>IF(COUNTIF(Branches!$A$2:$A$11,F2324)&gt;0,"Valid","Invalid")</f>
        <v>Valid</v>
      </c>
    </row>
    <row r="2325" spans="1:18" x14ac:dyDescent="0.25">
      <c r="A2325" t="s">
        <v>4396</v>
      </c>
      <c r="B2325" t="s">
        <v>660</v>
      </c>
      <c r="C2325" s="8">
        <v>46234</v>
      </c>
      <c r="D2325" t="s">
        <v>2062</v>
      </c>
      <c r="E2325" t="s">
        <v>2059</v>
      </c>
      <c r="F2325" t="s">
        <v>53</v>
      </c>
      <c r="G2325">
        <v>3165.64</v>
      </c>
      <c r="H2325" t="s">
        <v>2060</v>
      </c>
      <c r="I2325" t="str">
        <f>VLOOKUP(B2325,Customers!A:G,7,FALSE)</f>
        <v>Individual</v>
      </c>
      <c r="Q2325" t="str">
        <f>IF(COUNTIF(Customers!$A$2:$A$1001,B2325)&gt;0,"Valid","Invalid")</f>
        <v>Valid</v>
      </c>
      <c r="R2325" t="str">
        <f>IF(COUNTIF(Branches!$A$2:$A$11,F2325)&gt;0,"Valid","Invalid")</f>
        <v>Valid</v>
      </c>
    </row>
    <row r="2326" spans="1:18" x14ac:dyDescent="0.25">
      <c r="A2326" t="s">
        <v>4397</v>
      </c>
      <c r="B2326" t="s">
        <v>747</v>
      </c>
      <c r="C2326" s="8">
        <v>46066</v>
      </c>
      <c r="D2326" t="s">
        <v>2058</v>
      </c>
      <c r="E2326" t="s">
        <v>2059</v>
      </c>
      <c r="F2326" t="s">
        <v>39</v>
      </c>
      <c r="G2326">
        <v>2453.67</v>
      </c>
      <c r="H2326" t="s">
        <v>2060</v>
      </c>
      <c r="I2326" t="str">
        <f>VLOOKUP(B2326,Customers!A:G,7,FALSE)</f>
        <v>SME</v>
      </c>
      <c r="Q2326" t="str">
        <f>IF(COUNTIF(Customers!$A$2:$A$1001,B2326)&gt;0,"Valid","Invalid")</f>
        <v>Valid</v>
      </c>
      <c r="R2326" t="str">
        <f>IF(COUNTIF(Branches!$A$2:$A$11,F2326)&gt;0,"Valid","Invalid")</f>
        <v>Valid</v>
      </c>
    </row>
    <row r="2327" spans="1:18" x14ac:dyDescent="0.25">
      <c r="A2327" t="s">
        <v>4398</v>
      </c>
      <c r="B2327" t="s">
        <v>416</v>
      </c>
      <c r="C2327" s="8">
        <v>46063</v>
      </c>
      <c r="D2327" t="s">
        <v>2062</v>
      </c>
      <c r="E2327" t="s">
        <v>2063</v>
      </c>
      <c r="F2327" t="s">
        <v>11</v>
      </c>
      <c r="G2327">
        <v>161.51</v>
      </c>
      <c r="H2327" t="s">
        <v>2060</v>
      </c>
      <c r="I2327" t="str">
        <f>VLOOKUP(B2327,Customers!A:G,7,FALSE)</f>
        <v>Individual</v>
      </c>
      <c r="Q2327" t="str">
        <f>IF(COUNTIF(Customers!$A$2:$A$1001,B2327)&gt;0,"Valid","Invalid")</f>
        <v>Valid</v>
      </c>
      <c r="R2327" t="str">
        <f>IF(COUNTIF(Branches!$A$2:$A$11,F2327)&gt;0,"Valid","Invalid")</f>
        <v>Valid</v>
      </c>
    </row>
    <row r="2328" spans="1:18" x14ac:dyDescent="0.25">
      <c r="A2328" t="s">
        <v>4399</v>
      </c>
      <c r="B2328" t="s">
        <v>802</v>
      </c>
      <c r="C2328" s="8">
        <v>46165</v>
      </c>
      <c r="D2328" t="s">
        <v>2062</v>
      </c>
      <c r="E2328" t="s">
        <v>2059</v>
      </c>
      <c r="F2328" t="s">
        <v>53</v>
      </c>
      <c r="G2328">
        <v>369.13</v>
      </c>
      <c r="H2328" t="s">
        <v>2060</v>
      </c>
      <c r="I2328" t="str">
        <f>VLOOKUP(B2328,Customers!A:G,7,FALSE)</f>
        <v>Individual</v>
      </c>
      <c r="Q2328" t="str">
        <f>IF(COUNTIF(Customers!$A$2:$A$1001,B2328)&gt;0,"Valid","Invalid")</f>
        <v>Valid</v>
      </c>
      <c r="R2328" t="str">
        <f>IF(COUNTIF(Branches!$A$2:$A$11,F2328)&gt;0,"Valid","Invalid")</f>
        <v>Valid</v>
      </c>
    </row>
    <row r="2329" spans="1:18" x14ac:dyDescent="0.25">
      <c r="A2329" t="s">
        <v>4400</v>
      </c>
      <c r="B2329" t="s">
        <v>638</v>
      </c>
      <c r="C2329" s="8">
        <v>46194</v>
      </c>
      <c r="D2329" t="s">
        <v>2065</v>
      </c>
      <c r="E2329" t="s">
        <v>2059</v>
      </c>
      <c r="F2329" t="s">
        <v>11</v>
      </c>
      <c r="G2329">
        <v>2979.89</v>
      </c>
      <c r="H2329" t="s">
        <v>2060</v>
      </c>
      <c r="I2329" t="str">
        <f>VLOOKUP(B2329,Customers!A:G,7,FALSE)</f>
        <v>Student</v>
      </c>
      <c r="Q2329" t="str">
        <f>IF(COUNTIF(Customers!$A$2:$A$1001,B2329)&gt;0,"Valid","Invalid")</f>
        <v>Valid</v>
      </c>
      <c r="R2329" t="str">
        <f>IF(COUNTIF(Branches!$A$2:$A$11,F2329)&gt;0,"Valid","Invalid")</f>
        <v>Valid</v>
      </c>
    </row>
    <row r="2330" spans="1:18" x14ac:dyDescent="0.25">
      <c r="A2330" t="s">
        <v>4401</v>
      </c>
      <c r="B2330" t="s">
        <v>1038</v>
      </c>
      <c r="C2330" s="8">
        <v>46260</v>
      </c>
      <c r="D2330" t="s">
        <v>2058</v>
      </c>
      <c r="E2330" t="s">
        <v>2068</v>
      </c>
      <c r="F2330" t="s">
        <v>11</v>
      </c>
      <c r="G2330">
        <v>391.08</v>
      </c>
      <c r="H2330" t="s">
        <v>2060</v>
      </c>
      <c r="I2330" t="str">
        <f>VLOOKUP(B2330,Customers!A:G,7,FALSE)</f>
        <v>Individual</v>
      </c>
      <c r="Q2330" t="str">
        <f>IF(COUNTIF(Customers!$A$2:$A$1001,B2330)&gt;0,"Valid","Invalid")</f>
        <v>Valid</v>
      </c>
      <c r="R2330" t="str">
        <f>IF(COUNTIF(Branches!$A$2:$A$11,F2330)&gt;0,"Valid","Invalid")</f>
        <v>Valid</v>
      </c>
    </row>
    <row r="2331" spans="1:18" x14ac:dyDescent="0.25">
      <c r="A2331" t="s">
        <v>4402</v>
      </c>
      <c r="B2331" t="s">
        <v>863</v>
      </c>
      <c r="C2331" s="8">
        <v>46208</v>
      </c>
      <c r="D2331" t="s">
        <v>2070</v>
      </c>
      <c r="E2331" t="s">
        <v>2059</v>
      </c>
      <c r="F2331" t="s">
        <v>47</v>
      </c>
      <c r="G2331">
        <v>767.46</v>
      </c>
      <c r="H2331" t="s">
        <v>2060</v>
      </c>
      <c r="I2331" t="str">
        <f>VLOOKUP(B2331,Customers!A:G,7,FALSE)</f>
        <v>Corporate</v>
      </c>
      <c r="Q2331" t="str">
        <f>IF(COUNTIF(Customers!$A$2:$A$1001,B2331)&gt;0,"Valid","Invalid")</f>
        <v>Valid</v>
      </c>
      <c r="R2331" t="str">
        <f>IF(COUNTIF(Branches!$A$2:$A$11,F2331)&gt;0,"Valid","Invalid")</f>
        <v>Valid</v>
      </c>
    </row>
    <row r="2332" spans="1:18" x14ac:dyDescent="0.25">
      <c r="A2332" t="s">
        <v>4403</v>
      </c>
      <c r="B2332" t="s">
        <v>576</v>
      </c>
      <c r="C2332" s="8">
        <v>46236</v>
      </c>
      <c r="D2332" t="s">
        <v>2065</v>
      </c>
      <c r="E2332" t="s">
        <v>2076</v>
      </c>
      <c r="F2332" t="s">
        <v>29</v>
      </c>
      <c r="G2332">
        <v>147.63</v>
      </c>
      <c r="H2332" t="s">
        <v>2060</v>
      </c>
      <c r="I2332" t="str">
        <f>VLOOKUP(B2332,Customers!A:G,7,FALSE)</f>
        <v>SME</v>
      </c>
      <c r="Q2332" t="str">
        <f>IF(COUNTIF(Customers!$A$2:$A$1001,B2332)&gt;0,"Valid","Invalid")</f>
        <v>Valid</v>
      </c>
      <c r="R2332" t="str">
        <f>IF(COUNTIF(Branches!$A$2:$A$11,F2332)&gt;0,"Valid","Invalid")</f>
        <v>Valid</v>
      </c>
    </row>
    <row r="2333" spans="1:18" x14ac:dyDescent="0.25">
      <c r="A2333" t="s">
        <v>4404</v>
      </c>
      <c r="B2333" t="s">
        <v>812</v>
      </c>
      <c r="C2333" s="8">
        <v>46072</v>
      </c>
      <c r="D2333" t="s">
        <v>2058</v>
      </c>
      <c r="E2333" t="s">
        <v>2063</v>
      </c>
      <c r="F2333" t="s">
        <v>27</v>
      </c>
      <c r="G2333">
        <v>2573.5300000000002</v>
      </c>
      <c r="H2333" t="s">
        <v>2060</v>
      </c>
      <c r="I2333" t="str">
        <f>VLOOKUP(B2333,Customers!A:G,7,FALSE)</f>
        <v>Individual</v>
      </c>
      <c r="Q2333" t="str">
        <f>IF(COUNTIF(Customers!$A$2:$A$1001,B2333)&gt;0,"Valid","Invalid")</f>
        <v>Valid</v>
      </c>
      <c r="R2333" t="str">
        <f>IF(COUNTIF(Branches!$A$2:$A$11,F2333)&gt;0,"Valid","Invalid")</f>
        <v>Valid</v>
      </c>
    </row>
    <row r="2334" spans="1:18" x14ac:dyDescent="0.25">
      <c r="A2334" t="s">
        <v>4405</v>
      </c>
      <c r="B2334" t="s">
        <v>180</v>
      </c>
      <c r="C2334" s="8">
        <v>46074</v>
      </c>
      <c r="D2334" t="s">
        <v>2070</v>
      </c>
      <c r="E2334" t="s">
        <v>2059</v>
      </c>
      <c r="F2334" t="s">
        <v>27</v>
      </c>
      <c r="G2334">
        <v>119.97</v>
      </c>
      <c r="H2334" t="s">
        <v>2060</v>
      </c>
      <c r="I2334" t="str">
        <f>VLOOKUP(B2334,Customers!A:G,7,FALSE)</f>
        <v>Individual</v>
      </c>
      <c r="Q2334" t="str">
        <f>IF(COUNTIF(Customers!$A$2:$A$1001,B2334)&gt;0,"Valid","Invalid")</f>
        <v>Valid</v>
      </c>
      <c r="R2334" t="str">
        <f>IF(COUNTIF(Branches!$A$2:$A$11,F2334)&gt;0,"Valid","Invalid")</f>
        <v>Valid</v>
      </c>
    </row>
    <row r="2335" spans="1:18" x14ac:dyDescent="0.25">
      <c r="A2335" t="s">
        <v>4406</v>
      </c>
      <c r="B2335" t="s">
        <v>96</v>
      </c>
      <c r="C2335" s="8">
        <v>46092</v>
      </c>
      <c r="D2335" t="s">
        <v>2067</v>
      </c>
      <c r="E2335" t="s">
        <v>2073</v>
      </c>
      <c r="F2335" t="s">
        <v>11</v>
      </c>
      <c r="G2335">
        <v>157.15</v>
      </c>
      <c r="H2335" t="s">
        <v>2060</v>
      </c>
      <c r="I2335" t="str">
        <f>VLOOKUP(B2335,Customers!A:G,7,FALSE)</f>
        <v>Individual</v>
      </c>
      <c r="Q2335" t="str">
        <f>IF(COUNTIF(Customers!$A$2:$A$1001,B2335)&gt;0,"Valid","Invalid")</f>
        <v>Valid</v>
      </c>
      <c r="R2335" t="str">
        <f>IF(COUNTIF(Branches!$A$2:$A$11,F2335)&gt;0,"Valid","Invalid")</f>
        <v>Valid</v>
      </c>
    </row>
    <row r="2336" spans="1:18" x14ac:dyDescent="0.25">
      <c r="A2336" t="s">
        <v>4407</v>
      </c>
      <c r="B2336" t="s">
        <v>906</v>
      </c>
      <c r="C2336" s="8">
        <v>46218</v>
      </c>
      <c r="D2336" t="s">
        <v>2062</v>
      </c>
      <c r="E2336" t="s">
        <v>2063</v>
      </c>
      <c r="F2336" t="s">
        <v>16</v>
      </c>
      <c r="G2336">
        <v>2323.4699999999998</v>
      </c>
      <c r="H2336" t="s">
        <v>2060</v>
      </c>
      <c r="I2336" t="str">
        <f>VLOOKUP(B2336,Customers!A:G,7,FALSE)</f>
        <v>Individual</v>
      </c>
      <c r="Q2336" t="str">
        <f>IF(COUNTIF(Customers!$A$2:$A$1001,B2336)&gt;0,"Valid","Invalid")</f>
        <v>Valid</v>
      </c>
      <c r="R2336" t="str">
        <f>IF(COUNTIF(Branches!$A$2:$A$11,F2336)&gt;0,"Valid","Invalid")</f>
        <v>Valid</v>
      </c>
    </row>
    <row r="2337" spans="1:18" x14ac:dyDescent="0.25">
      <c r="A2337" t="s">
        <v>4408</v>
      </c>
      <c r="B2337" t="s">
        <v>818</v>
      </c>
      <c r="C2337" s="8">
        <v>46213</v>
      </c>
      <c r="D2337" t="s">
        <v>2070</v>
      </c>
      <c r="E2337" t="s">
        <v>2063</v>
      </c>
      <c r="F2337" t="s">
        <v>27</v>
      </c>
      <c r="G2337">
        <v>5541.73</v>
      </c>
      <c r="H2337" t="s">
        <v>2060</v>
      </c>
      <c r="I2337" t="str">
        <f>VLOOKUP(B2337,Customers!A:G,7,FALSE)</f>
        <v>Corporate</v>
      </c>
      <c r="Q2337" t="str">
        <f>IF(COUNTIF(Customers!$A$2:$A$1001,B2337)&gt;0,"Valid","Invalid")</f>
        <v>Valid</v>
      </c>
      <c r="R2337" t="str">
        <f>IF(COUNTIF(Branches!$A$2:$A$11,F2337)&gt;0,"Valid","Invalid")</f>
        <v>Valid</v>
      </c>
    </row>
    <row r="2338" spans="1:18" x14ac:dyDescent="0.25">
      <c r="A2338" t="s">
        <v>4409</v>
      </c>
      <c r="B2338" t="s">
        <v>111</v>
      </c>
      <c r="C2338" s="8">
        <v>46208</v>
      </c>
      <c r="D2338" t="s">
        <v>2062</v>
      </c>
      <c r="E2338" t="s">
        <v>2059</v>
      </c>
      <c r="F2338" t="s">
        <v>35</v>
      </c>
      <c r="G2338">
        <v>607.52</v>
      </c>
      <c r="H2338" t="s">
        <v>2115</v>
      </c>
      <c r="I2338" t="str">
        <f>VLOOKUP(B2338,Customers!A:G,7,FALSE)</f>
        <v>Student</v>
      </c>
      <c r="Q2338" t="str">
        <f>IF(COUNTIF(Customers!$A$2:$A$1001,B2338)&gt;0,"Valid","Invalid")</f>
        <v>Valid</v>
      </c>
      <c r="R2338" t="str">
        <f>IF(COUNTIF(Branches!$A$2:$A$11,F2338)&gt;0,"Valid","Invalid")</f>
        <v>Valid</v>
      </c>
    </row>
    <row r="2339" spans="1:18" x14ac:dyDescent="0.25">
      <c r="A2339" t="s">
        <v>4410</v>
      </c>
      <c r="B2339" t="s">
        <v>18</v>
      </c>
      <c r="C2339" s="8">
        <v>46173</v>
      </c>
      <c r="D2339" t="s">
        <v>2065</v>
      </c>
      <c r="E2339" t="s">
        <v>2076</v>
      </c>
      <c r="F2339" t="s">
        <v>27</v>
      </c>
      <c r="G2339">
        <v>775.21</v>
      </c>
      <c r="H2339" t="s">
        <v>2060</v>
      </c>
      <c r="I2339" t="str">
        <f>VLOOKUP(B2339,Customers!A:G,7,FALSE)</f>
        <v>SME</v>
      </c>
      <c r="Q2339" t="str">
        <f>IF(COUNTIF(Customers!$A$2:$A$1001,B2339)&gt;0,"Valid","Invalid")</f>
        <v>Valid</v>
      </c>
      <c r="R2339" t="str">
        <f>IF(COUNTIF(Branches!$A$2:$A$11,F2339)&gt;0,"Valid","Invalid")</f>
        <v>Valid</v>
      </c>
    </row>
    <row r="2340" spans="1:18" x14ac:dyDescent="0.25">
      <c r="A2340" t="s">
        <v>4411</v>
      </c>
      <c r="B2340" t="s">
        <v>613</v>
      </c>
      <c r="C2340" s="8">
        <v>46194</v>
      </c>
      <c r="D2340" t="s">
        <v>2067</v>
      </c>
      <c r="E2340" t="s">
        <v>2059</v>
      </c>
      <c r="F2340" t="s">
        <v>47</v>
      </c>
      <c r="G2340">
        <v>2014.81</v>
      </c>
      <c r="H2340" t="s">
        <v>2060</v>
      </c>
      <c r="I2340" t="str">
        <f>VLOOKUP(B2340,Customers!A:G,7,FALSE)</f>
        <v>Individual</v>
      </c>
      <c r="Q2340" t="str">
        <f>IF(COUNTIF(Customers!$A$2:$A$1001,B2340)&gt;0,"Valid","Invalid")</f>
        <v>Valid</v>
      </c>
      <c r="R2340" t="str">
        <f>IF(COUNTIF(Branches!$A$2:$A$11,F2340)&gt;0,"Valid","Invalid")</f>
        <v>Valid</v>
      </c>
    </row>
    <row r="2341" spans="1:18" x14ac:dyDescent="0.25">
      <c r="A2341" t="s">
        <v>4412</v>
      </c>
      <c r="B2341" t="s">
        <v>786</v>
      </c>
      <c r="C2341" s="8">
        <v>46131</v>
      </c>
      <c r="D2341" t="s">
        <v>2065</v>
      </c>
      <c r="E2341" t="s">
        <v>2059</v>
      </c>
      <c r="F2341" t="s">
        <v>16</v>
      </c>
      <c r="G2341">
        <v>1085.1199999999999</v>
      </c>
      <c r="H2341" t="s">
        <v>2060</v>
      </c>
      <c r="I2341" t="str">
        <f>VLOOKUP(B2341,Customers!A:G,7,FALSE)</f>
        <v>Individual</v>
      </c>
      <c r="Q2341" t="str">
        <f>IF(COUNTIF(Customers!$A$2:$A$1001,B2341)&gt;0,"Valid","Invalid")</f>
        <v>Valid</v>
      </c>
      <c r="R2341" t="str">
        <f>IF(COUNTIF(Branches!$A$2:$A$11,F2341)&gt;0,"Valid","Invalid")</f>
        <v>Valid</v>
      </c>
    </row>
    <row r="2342" spans="1:18" x14ac:dyDescent="0.25">
      <c r="A2342" t="s">
        <v>4413</v>
      </c>
      <c r="B2342" t="s">
        <v>486</v>
      </c>
      <c r="C2342" s="8">
        <v>46233</v>
      </c>
      <c r="D2342" t="s">
        <v>2062</v>
      </c>
      <c r="E2342" t="s">
        <v>2076</v>
      </c>
      <c r="F2342" t="s">
        <v>35</v>
      </c>
      <c r="G2342">
        <v>559.35</v>
      </c>
      <c r="H2342" t="s">
        <v>2060</v>
      </c>
      <c r="I2342" t="str">
        <f>VLOOKUP(B2342,Customers!A:G,7,FALSE)</f>
        <v>Individual</v>
      </c>
      <c r="Q2342" t="str">
        <f>IF(COUNTIF(Customers!$A$2:$A$1001,B2342)&gt;0,"Valid","Invalid")</f>
        <v>Valid</v>
      </c>
      <c r="R2342" t="str">
        <f>IF(COUNTIF(Branches!$A$2:$A$11,F2342)&gt;0,"Valid","Invalid")</f>
        <v>Valid</v>
      </c>
    </row>
    <row r="2343" spans="1:18" x14ac:dyDescent="0.25">
      <c r="A2343" t="s">
        <v>4414</v>
      </c>
      <c r="B2343" t="s">
        <v>996</v>
      </c>
      <c r="C2343" s="8">
        <v>46140</v>
      </c>
      <c r="D2343" t="s">
        <v>2062</v>
      </c>
      <c r="E2343" t="s">
        <v>2063</v>
      </c>
      <c r="F2343" t="s">
        <v>53</v>
      </c>
      <c r="G2343">
        <v>499.97</v>
      </c>
      <c r="H2343" t="s">
        <v>2060</v>
      </c>
      <c r="I2343" t="str">
        <f>VLOOKUP(B2343,Customers!A:G,7,FALSE)</f>
        <v>Corporate</v>
      </c>
      <c r="Q2343" t="str">
        <f>IF(COUNTIF(Customers!$A$2:$A$1001,B2343)&gt;0,"Valid","Invalid")</f>
        <v>Valid</v>
      </c>
      <c r="R2343" t="str">
        <f>IF(COUNTIF(Branches!$A$2:$A$11,F2343)&gt;0,"Valid","Invalid")</f>
        <v>Valid</v>
      </c>
    </row>
    <row r="2344" spans="1:18" x14ac:dyDescent="0.25">
      <c r="A2344" t="s">
        <v>4415</v>
      </c>
      <c r="B2344" t="s">
        <v>779</v>
      </c>
      <c r="C2344" s="8">
        <v>46131</v>
      </c>
      <c r="D2344" t="s">
        <v>2058</v>
      </c>
      <c r="E2344" t="s">
        <v>2068</v>
      </c>
      <c r="F2344" t="s">
        <v>47</v>
      </c>
      <c r="G2344">
        <v>169.56</v>
      </c>
      <c r="H2344" t="s">
        <v>2060</v>
      </c>
      <c r="I2344" t="str">
        <f>VLOOKUP(B2344,Customers!A:G,7,FALSE)</f>
        <v>SME</v>
      </c>
      <c r="Q2344" t="str">
        <f>IF(COUNTIF(Customers!$A$2:$A$1001,B2344)&gt;0,"Valid","Invalid")</f>
        <v>Valid</v>
      </c>
      <c r="R2344" t="str">
        <f>IF(COUNTIF(Branches!$A$2:$A$11,F2344)&gt;0,"Valid","Invalid")</f>
        <v>Valid</v>
      </c>
    </row>
    <row r="2345" spans="1:18" x14ac:dyDescent="0.25">
      <c r="A2345" t="s">
        <v>4416</v>
      </c>
      <c r="B2345" t="s">
        <v>940</v>
      </c>
      <c r="C2345" s="8">
        <v>46117</v>
      </c>
      <c r="D2345" t="s">
        <v>2067</v>
      </c>
      <c r="E2345" t="s">
        <v>2063</v>
      </c>
      <c r="F2345" t="s">
        <v>47</v>
      </c>
      <c r="G2345">
        <v>1025.51</v>
      </c>
      <c r="H2345" t="s">
        <v>2060</v>
      </c>
      <c r="I2345" t="str">
        <f>VLOOKUP(B2345,Customers!A:G,7,FALSE)</f>
        <v>Individual</v>
      </c>
      <c r="Q2345" t="str">
        <f>IF(COUNTIF(Customers!$A$2:$A$1001,B2345)&gt;0,"Valid","Invalid")</f>
        <v>Valid</v>
      </c>
      <c r="R2345" t="str">
        <f>IF(COUNTIF(Branches!$A$2:$A$11,F2345)&gt;0,"Valid","Invalid")</f>
        <v>Valid</v>
      </c>
    </row>
    <row r="2346" spans="1:18" x14ac:dyDescent="0.25">
      <c r="A2346" t="s">
        <v>4417</v>
      </c>
      <c r="B2346" t="s">
        <v>313</v>
      </c>
      <c r="C2346" s="8">
        <v>46066</v>
      </c>
      <c r="D2346" t="s">
        <v>2065</v>
      </c>
      <c r="E2346" t="s">
        <v>2059</v>
      </c>
      <c r="F2346" t="s">
        <v>45</v>
      </c>
      <c r="G2346">
        <v>741.06</v>
      </c>
      <c r="H2346" t="s">
        <v>2060</v>
      </c>
      <c r="I2346" t="str">
        <f>VLOOKUP(B2346,Customers!A:G,7,FALSE)</f>
        <v>SME</v>
      </c>
      <c r="Q2346" t="str">
        <f>IF(COUNTIF(Customers!$A$2:$A$1001,B2346)&gt;0,"Valid","Invalid")</f>
        <v>Valid</v>
      </c>
      <c r="R2346" t="str">
        <f>IF(COUNTIF(Branches!$A$2:$A$11,F2346)&gt;0,"Valid","Invalid")</f>
        <v>Valid</v>
      </c>
    </row>
    <row r="2347" spans="1:18" x14ac:dyDescent="0.25">
      <c r="A2347" t="s">
        <v>4418</v>
      </c>
      <c r="B2347" t="s">
        <v>568</v>
      </c>
      <c r="C2347" s="8">
        <v>46202</v>
      </c>
      <c r="D2347" t="s">
        <v>2062</v>
      </c>
      <c r="E2347" t="s">
        <v>2076</v>
      </c>
      <c r="F2347" t="s">
        <v>29</v>
      </c>
      <c r="G2347">
        <v>524.35</v>
      </c>
      <c r="H2347" t="s">
        <v>2060</v>
      </c>
      <c r="I2347" t="str">
        <f>VLOOKUP(B2347,Customers!A:G,7,FALSE)</f>
        <v>Individual</v>
      </c>
      <c r="Q2347" t="str">
        <f>IF(COUNTIF(Customers!$A$2:$A$1001,B2347)&gt;0,"Valid","Invalid")</f>
        <v>Valid</v>
      </c>
      <c r="R2347" t="str">
        <f>IF(COUNTIF(Branches!$A$2:$A$11,F2347)&gt;0,"Valid","Invalid")</f>
        <v>Valid</v>
      </c>
    </row>
    <row r="2348" spans="1:18" x14ac:dyDescent="0.25">
      <c r="A2348" t="s">
        <v>4419</v>
      </c>
      <c r="B2348" t="s">
        <v>630</v>
      </c>
      <c r="C2348" s="8">
        <v>46089</v>
      </c>
      <c r="D2348" t="s">
        <v>2062</v>
      </c>
      <c r="E2348" t="s">
        <v>2068</v>
      </c>
      <c r="F2348" t="s">
        <v>39</v>
      </c>
      <c r="G2348">
        <v>298.33</v>
      </c>
      <c r="H2348" t="s">
        <v>2060</v>
      </c>
      <c r="I2348" t="str">
        <f>VLOOKUP(B2348,Customers!A:G,7,FALSE)</f>
        <v>Individual</v>
      </c>
      <c r="Q2348" t="str">
        <f>IF(COUNTIF(Customers!$A$2:$A$1001,B2348)&gt;0,"Valid","Invalid")</f>
        <v>Valid</v>
      </c>
      <c r="R2348" t="str">
        <f>IF(COUNTIF(Branches!$A$2:$A$11,F2348)&gt;0,"Valid","Invalid")</f>
        <v>Valid</v>
      </c>
    </row>
    <row r="2349" spans="1:18" x14ac:dyDescent="0.25">
      <c r="A2349" t="s">
        <v>4420</v>
      </c>
      <c r="B2349" t="s">
        <v>252</v>
      </c>
      <c r="C2349" s="8">
        <v>46178</v>
      </c>
      <c r="D2349" t="s">
        <v>2062</v>
      </c>
      <c r="E2349" t="s">
        <v>2068</v>
      </c>
      <c r="F2349" t="s">
        <v>39</v>
      </c>
      <c r="G2349">
        <v>330.12</v>
      </c>
      <c r="H2349" t="s">
        <v>2060</v>
      </c>
      <c r="I2349" t="str">
        <f>VLOOKUP(B2349,Customers!A:G,7,FALSE)</f>
        <v>Individual</v>
      </c>
      <c r="Q2349" t="str">
        <f>IF(COUNTIF(Customers!$A$2:$A$1001,B2349)&gt;0,"Valid","Invalid")</f>
        <v>Valid</v>
      </c>
      <c r="R2349" t="str">
        <f>IF(COUNTIF(Branches!$A$2:$A$11,F2349)&gt;0,"Valid","Invalid")</f>
        <v>Valid</v>
      </c>
    </row>
    <row r="2350" spans="1:18" x14ac:dyDescent="0.25">
      <c r="A2350" t="s">
        <v>4421</v>
      </c>
      <c r="B2350" t="s">
        <v>721</v>
      </c>
      <c r="C2350" s="8">
        <v>46089</v>
      </c>
      <c r="D2350" t="s">
        <v>2062</v>
      </c>
      <c r="E2350" t="s">
        <v>2076</v>
      </c>
      <c r="F2350" t="s">
        <v>47</v>
      </c>
      <c r="G2350">
        <v>1507.75</v>
      </c>
      <c r="H2350" t="s">
        <v>2060</v>
      </c>
      <c r="I2350" t="str">
        <f>VLOOKUP(B2350,Customers!A:G,7,FALSE)</f>
        <v>SME</v>
      </c>
      <c r="Q2350" t="str">
        <f>IF(COUNTIF(Customers!$A$2:$A$1001,B2350)&gt;0,"Valid","Invalid")</f>
        <v>Valid</v>
      </c>
      <c r="R2350" t="str">
        <f>IF(COUNTIF(Branches!$A$2:$A$11,F2350)&gt;0,"Valid","Invalid")</f>
        <v>Valid</v>
      </c>
    </row>
    <row r="2351" spans="1:18" x14ac:dyDescent="0.25">
      <c r="A2351" t="s">
        <v>4422</v>
      </c>
      <c r="B2351" t="s">
        <v>523</v>
      </c>
      <c r="C2351" s="8">
        <v>46228</v>
      </c>
      <c r="D2351" t="s">
        <v>2062</v>
      </c>
      <c r="E2351" t="s">
        <v>2059</v>
      </c>
      <c r="F2351" t="s">
        <v>39</v>
      </c>
      <c r="G2351">
        <v>1961.89</v>
      </c>
      <c r="H2351" t="s">
        <v>2060</v>
      </c>
      <c r="I2351" t="str">
        <f>VLOOKUP(B2351,Customers!A:G,7,FALSE)</f>
        <v>SME</v>
      </c>
      <c r="Q2351" t="str">
        <f>IF(COUNTIF(Customers!$A$2:$A$1001,B2351)&gt;0,"Valid","Invalid")</f>
        <v>Valid</v>
      </c>
      <c r="R2351" t="str">
        <f>IF(COUNTIF(Branches!$A$2:$A$11,F2351)&gt;0,"Valid","Invalid")</f>
        <v>Valid</v>
      </c>
    </row>
    <row r="2352" spans="1:18" x14ac:dyDescent="0.25">
      <c r="A2352" t="s">
        <v>4423</v>
      </c>
      <c r="B2352" t="s">
        <v>367</v>
      </c>
      <c r="C2352" s="8">
        <v>46040</v>
      </c>
      <c r="D2352" t="s">
        <v>2062</v>
      </c>
      <c r="E2352" t="s">
        <v>2063</v>
      </c>
      <c r="F2352" t="s">
        <v>39</v>
      </c>
      <c r="G2352">
        <v>585.74</v>
      </c>
      <c r="H2352" t="s">
        <v>2060</v>
      </c>
      <c r="I2352" t="str">
        <f>VLOOKUP(B2352,Customers!A:G,7,FALSE)</f>
        <v>Individual</v>
      </c>
      <c r="Q2352" t="str">
        <f>IF(COUNTIF(Customers!$A$2:$A$1001,B2352)&gt;0,"Valid","Invalid")</f>
        <v>Valid</v>
      </c>
      <c r="R2352" t="str">
        <f>IF(COUNTIF(Branches!$A$2:$A$11,F2352)&gt;0,"Valid","Invalid")</f>
        <v>Valid</v>
      </c>
    </row>
    <row r="2353" spans="1:18" x14ac:dyDescent="0.25">
      <c r="A2353" t="s">
        <v>4424</v>
      </c>
      <c r="B2353" t="s">
        <v>293</v>
      </c>
      <c r="C2353" s="8">
        <v>46177</v>
      </c>
      <c r="D2353" t="s">
        <v>2058</v>
      </c>
      <c r="E2353" t="s">
        <v>2063</v>
      </c>
      <c r="F2353" t="s">
        <v>11</v>
      </c>
      <c r="G2353">
        <v>527.16999999999996</v>
      </c>
      <c r="H2353" t="s">
        <v>2060</v>
      </c>
      <c r="I2353" t="str">
        <f>VLOOKUP(B2353,Customers!A:G,7,FALSE)</f>
        <v>Corporate</v>
      </c>
      <c r="Q2353" t="str">
        <f>IF(COUNTIF(Customers!$A$2:$A$1001,B2353)&gt;0,"Valid","Invalid")</f>
        <v>Valid</v>
      </c>
      <c r="R2353" t="str">
        <f>IF(COUNTIF(Branches!$A$2:$A$11,F2353)&gt;0,"Valid","Invalid")</f>
        <v>Valid</v>
      </c>
    </row>
    <row r="2354" spans="1:18" x14ac:dyDescent="0.25">
      <c r="A2354" t="s">
        <v>4425</v>
      </c>
      <c r="B2354" t="s">
        <v>425</v>
      </c>
      <c r="C2354" s="8">
        <v>46201</v>
      </c>
      <c r="D2354" t="s">
        <v>2067</v>
      </c>
      <c r="E2354" t="s">
        <v>2068</v>
      </c>
      <c r="F2354" t="s">
        <v>53</v>
      </c>
      <c r="G2354">
        <v>345.97</v>
      </c>
      <c r="H2354" t="s">
        <v>2060</v>
      </c>
      <c r="I2354" t="str">
        <f>VLOOKUP(B2354,Customers!A:G,7,FALSE)</f>
        <v>Student</v>
      </c>
      <c r="Q2354" t="str">
        <f>IF(COUNTIF(Customers!$A$2:$A$1001,B2354)&gt;0,"Valid","Invalid")</f>
        <v>Valid</v>
      </c>
      <c r="R2354" t="str">
        <f>IF(COUNTIF(Branches!$A$2:$A$11,F2354)&gt;0,"Valid","Invalid")</f>
        <v>Valid</v>
      </c>
    </row>
    <row r="2355" spans="1:18" x14ac:dyDescent="0.25">
      <c r="A2355" t="s">
        <v>4426</v>
      </c>
      <c r="B2355" t="s">
        <v>162</v>
      </c>
      <c r="C2355" s="8">
        <v>46082</v>
      </c>
      <c r="D2355" t="s">
        <v>2062</v>
      </c>
      <c r="E2355" t="s">
        <v>2068</v>
      </c>
      <c r="F2355" t="s">
        <v>45</v>
      </c>
      <c r="G2355">
        <v>2073.14</v>
      </c>
      <c r="H2355" t="s">
        <v>2060</v>
      </c>
      <c r="I2355" t="str">
        <f>VLOOKUP(B2355,Customers!A:G,7,FALSE)</f>
        <v>Individual</v>
      </c>
      <c r="Q2355" t="str">
        <f>IF(COUNTIF(Customers!$A$2:$A$1001,B2355)&gt;0,"Valid","Invalid")</f>
        <v>Valid</v>
      </c>
      <c r="R2355" t="str">
        <f>IF(COUNTIF(Branches!$A$2:$A$11,F2355)&gt;0,"Valid","Invalid")</f>
        <v>Valid</v>
      </c>
    </row>
    <row r="2356" spans="1:18" x14ac:dyDescent="0.25">
      <c r="A2356" t="s">
        <v>4427</v>
      </c>
      <c r="B2356" t="s">
        <v>805</v>
      </c>
      <c r="C2356" s="8">
        <v>46096</v>
      </c>
      <c r="D2356" t="s">
        <v>2058</v>
      </c>
      <c r="E2356" t="s">
        <v>2073</v>
      </c>
      <c r="F2356" t="s">
        <v>27</v>
      </c>
      <c r="G2356">
        <v>837.98</v>
      </c>
      <c r="H2356" t="s">
        <v>2060</v>
      </c>
      <c r="I2356" t="str">
        <f>VLOOKUP(B2356,Customers!A:G,7,FALSE)</f>
        <v>Individual</v>
      </c>
      <c r="Q2356" t="str">
        <f>IF(COUNTIF(Customers!$A$2:$A$1001,B2356)&gt;0,"Valid","Invalid")</f>
        <v>Valid</v>
      </c>
      <c r="R2356" t="str">
        <f>IF(COUNTIF(Branches!$A$2:$A$11,F2356)&gt;0,"Valid","Invalid")</f>
        <v>Valid</v>
      </c>
    </row>
    <row r="2357" spans="1:18" x14ac:dyDescent="0.25">
      <c r="A2357" t="s">
        <v>4428</v>
      </c>
      <c r="B2357" t="s">
        <v>622</v>
      </c>
      <c r="C2357" s="8">
        <v>46071</v>
      </c>
      <c r="D2357" t="s">
        <v>2067</v>
      </c>
      <c r="E2357" t="s">
        <v>2063</v>
      </c>
      <c r="F2357" t="s">
        <v>39</v>
      </c>
      <c r="G2357">
        <v>1173.68</v>
      </c>
      <c r="H2357" t="s">
        <v>2060</v>
      </c>
      <c r="I2357" t="str">
        <f>VLOOKUP(B2357,Customers!A:G,7,FALSE)</f>
        <v>Individual</v>
      </c>
      <c r="Q2357" t="str">
        <f>IF(COUNTIF(Customers!$A$2:$A$1001,B2357)&gt;0,"Valid","Invalid")</f>
        <v>Valid</v>
      </c>
      <c r="R2357" t="str">
        <f>IF(COUNTIF(Branches!$A$2:$A$11,F2357)&gt;0,"Valid","Invalid")</f>
        <v>Valid</v>
      </c>
    </row>
    <row r="2358" spans="1:18" x14ac:dyDescent="0.25">
      <c r="A2358" t="s">
        <v>4429</v>
      </c>
      <c r="B2358" t="s">
        <v>588</v>
      </c>
      <c r="C2358" s="8">
        <v>46037</v>
      </c>
      <c r="D2358" t="s">
        <v>2065</v>
      </c>
      <c r="E2358" t="s">
        <v>2059</v>
      </c>
      <c r="F2358" t="s">
        <v>53</v>
      </c>
      <c r="G2358">
        <v>1162.67</v>
      </c>
      <c r="H2358" t="s">
        <v>2060</v>
      </c>
      <c r="I2358" t="str">
        <f>VLOOKUP(B2358,Customers!A:G,7,FALSE)</f>
        <v>Individual</v>
      </c>
      <c r="Q2358" t="str">
        <f>IF(COUNTIF(Customers!$A$2:$A$1001,B2358)&gt;0,"Valid","Invalid")</f>
        <v>Valid</v>
      </c>
      <c r="R2358" t="str">
        <f>IF(COUNTIF(Branches!$A$2:$A$11,F2358)&gt;0,"Valid","Invalid")</f>
        <v>Valid</v>
      </c>
    </row>
    <row r="2359" spans="1:18" x14ac:dyDescent="0.25">
      <c r="A2359" t="s">
        <v>4430</v>
      </c>
      <c r="B2359" t="s">
        <v>362</v>
      </c>
      <c r="C2359" s="8">
        <v>46233</v>
      </c>
      <c r="D2359" t="s">
        <v>2067</v>
      </c>
      <c r="E2359" t="s">
        <v>2076</v>
      </c>
      <c r="F2359" t="s">
        <v>29</v>
      </c>
      <c r="G2359">
        <v>597.23</v>
      </c>
      <c r="H2359" t="s">
        <v>2060</v>
      </c>
      <c r="I2359" t="str">
        <f>VLOOKUP(B2359,Customers!A:G,7,FALSE)</f>
        <v>Student</v>
      </c>
      <c r="Q2359" t="str">
        <f>IF(COUNTIF(Customers!$A$2:$A$1001,B2359)&gt;0,"Valid","Invalid")</f>
        <v>Valid</v>
      </c>
      <c r="R2359" t="str">
        <f>IF(COUNTIF(Branches!$A$2:$A$11,F2359)&gt;0,"Valid","Invalid")</f>
        <v>Valid</v>
      </c>
    </row>
    <row r="2360" spans="1:18" x14ac:dyDescent="0.25">
      <c r="A2360" t="s">
        <v>4431</v>
      </c>
      <c r="B2360" t="s">
        <v>241</v>
      </c>
      <c r="C2360" s="8">
        <v>46095</v>
      </c>
      <c r="D2360" t="s">
        <v>2058</v>
      </c>
      <c r="E2360" t="s">
        <v>2076</v>
      </c>
      <c r="F2360" t="s">
        <v>16</v>
      </c>
      <c r="G2360">
        <v>253.32</v>
      </c>
      <c r="H2360" t="s">
        <v>2060</v>
      </c>
      <c r="I2360" t="str">
        <f>VLOOKUP(B2360,Customers!A:G,7,FALSE)</f>
        <v>Individual</v>
      </c>
      <c r="Q2360" t="str">
        <f>IF(COUNTIF(Customers!$A$2:$A$1001,B2360)&gt;0,"Valid","Invalid")</f>
        <v>Valid</v>
      </c>
      <c r="R2360" t="str">
        <f>IF(COUNTIF(Branches!$A$2:$A$11,F2360)&gt;0,"Valid","Invalid")</f>
        <v>Valid</v>
      </c>
    </row>
    <row r="2361" spans="1:18" x14ac:dyDescent="0.25">
      <c r="A2361" t="s">
        <v>4432</v>
      </c>
      <c r="B2361" t="s">
        <v>208</v>
      </c>
      <c r="C2361" s="8">
        <v>46218</v>
      </c>
      <c r="D2361" t="s">
        <v>2065</v>
      </c>
      <c r="E2361" t="s">
        <v>2076</v>
      </c>
      <c r="F2361" t="s">
        <v>27</v>
      </c>
      <c r="G2361">
        <v>300.02999999999997</v>
      </c>
      <c r="H2361" t="s">
        <v>2060</v>
      </c>
      <c r="I2361" t="str">
        <f>VLOOKUP(B2361,Customers!A:G,7,FALSE)</f>
        <v>Individual</v>
      </c>
      <c r="Q2361" t="str">
        <f>IF(COUNTIF(Customers!$A$2:$A$1001,B2361)&gt;0,"Valid","Invalid")</f>
        <v>Valid</v>
      </c>
      <c r="R2361" t="str">
        <f>IF(COUNTIF(Branches!$A$2:$A$11,F2361)&gt;0,"Valid","Invalid")</f>
        <v>Valid</v>
      </c>
    </row>
    <row r="2362" spans="1:18" x14ac:dyDescent="0.25">
      <c r="A2362" t="s">
        <v>4433</v>
      </c>
      <c r="B2362" t="s">
        <v>773</v>
      </c>
      <c r="C2362" s="8">
        <v>46165</v>
      </c>
      <c r="D2362" t="s">
        <v>2065</v>
      </c>
      <c r="E2362" t="s">
        <v>2068</v>
      </c>
      <c r="F2362" t="s">
        <v>11</v>
      </c>
      <c r="G2362">
        <v>2509.62</v>
      </c>
      <c r="H2362" t="s">
        <v>2060</v>
      </c>
      <c r="I2362" t="str">
        <f>VLOOKUP(B2362,Customers!A:G,7,FALSE)</f>
        <v>Individual</v>
      </c>
      <c r="Q2362" t="str">
        <f>IF(COUNTIF(Customers!$A$2:$A$1001,B2362)&gt;0,"Valid","Invalid")</f>
        <v>Valid</v>
      </c>
      <c r="R2362" t="str">
        <f>IF(COUNTIF(Branches!$A$2:$A$11,F2362)&gt;0,"Valid","Invalid")</f>
        <v>Valid</v>
      </c>
    </row>
    <row r="2363" spans="1:18" x14ac:dyDescent="0.25">
      <c r="A2363" t="s">
        <v>4434</v>
      </c>
      <c r="B2363" t="s">
        <v>254</v>
      </c>
      <c r="C2363" s="8">
        <v>46201</v>
      </c>
      <c r="D2363" t="s">
        <v>2058</v>
      </c>
      <c r="E2363" t="s">
        <v>2059</v>
      </c>
      <c r="F2363" t="s">
        <v>21</v>
      </c>
      <c r="G2363">
        <v>393.2</v>
      </c>
      <c r="H2363" t="s">
        <v>2060</v>
      </c>
      <c r="I2363" t="str">
        <f>VLOOKUP(B2363,Customers!A:G,7,FALSE)</f>
        <v>Individual</v>
      </c>
      <c r="Q2363" t="str">
        <f>IF(COUNTIF(Customers!$A$2:$A$1001,B2363)&gt;0,"Valid","Invalid")</f>
        <v>Valid</v>
      </c>
      <c r="R2363" t="str">
        <f>IF(COUNTIF(Branches!$A$2:$A$11,F2363)&gt;0,"Valid","Invalid")</f>
        <v>Valid</v>
      </c>
    </row>
    <row r="2364" spans="1:18" x14ac:dyDescent="0.25">
      <c r="A2364" t="s">
        <v>4435</v>
      </c>
      <c r="B2364" t="s">
        <v>283</v>
      </c>
      <c r="C2364" s="8">
        <v>46070</v>
      </c>
      <c r="D2364" t="s">
        <v>2065</v>
      </c>
      <c r="E2364" t="s">
        <v>2063</v>
      </c>
      <c r="F2364" t="s">
        <v>39</v>
      </c>
      <c r="G2364">
        <v>538.96</v>
      </c>
      <c r="H2364" t="s">
        <v>2060</v>
      </c>
      <c r="I2364" t="str">
        <f>VLOOKUP(B2364,Customers!A:G,7,FALSE)</f>
        <v>Individual</v>
      </c>
      <c r="Q2364" t="str">
        <f>IF(COUNTIF(Customers!$A$2:$A$1001,B2364)&gt;0,"Valid","Invalid")</f>
        <v>Valid</v>
      </c>
      <c r="R2364" t="str">
        <f>IF(COUNTIF(Branches!$A$2:$A$11,F2364)&gt;0,"Valid","Invalid")</f>
        <v>Valid</v>
      </c>
    </row>
    <row r="2365" spans="1:18" x14ac:dyDescent="0.25">
      <c r="A2365" t="s">
        <v>4436</v>
      </c>
      <c r="B2365" t="s">
        <v>374</v>
      </c>
      <c r="C2365" s="8">
        <v>46094</v>
      </c>
      <c r="D2365" t="s">
        <v>2062</v>
      </c>
      <c r="E2365" t="s">
        <v>2063</v>
      </c>
      <c r="F2365" t="s">
        <v>47</v>
      </c>
      <c r="G2365">
        <v>261.27999999999997</v>
      </c>
      <c r="H2365" t="s">
        <v>2115</v>
      </c>
      <c r="I2365" t="str">
        <f>VLOOKUP(B2365,Customers!A:G,7,FALSE)</f>
        <v>Individual</v>
      </c>
      <c r="Q2365" t="str">
        <f>IF(COUNTIF(Customers!$A$2:$A$1001,B2365)&gt;0,"Valid","Invalid")</f>
        <v>Valid</v>
      </c>
      <c r="R2365" t="str">
        <f>IF(COUNTIF(Branches!$A$2:$A$11,F2365)&gt;0,"Valid","Invalid")</f>
        <v>Valid</v>
      </c>
    </row>
    <row r="2366" spans="1:18" x14ac:dyDescent="0.25">
      <c r="A2366" t="s">
        <v>4437</v>
      </c>
      <c r="B2366" t="s">
        <v>741</v>
      </c>
      <c r="C2366" s="8">
        <v>46135</v>
      </c>
      <c r="D2366" t="s">
        <v>2058</v>
      </c>
      <c r="E2366" t="s">
        <v>2063</v>
      </c>
      <c r="F2366" t="s">
        <v>35</v>
      </c>
      <c r="G2366">
        <v>240.79</v>
      </c>
      <c r="H2366" t="s">
        <v>2060</v>
      </c>
      <c r="I2366" t="str">
        <f>VLOOKUP(B2366,Customers!A:G,7,FALSE)</f>
        <v>Individual</v>
      </c>
      <c r="Q2366" t="str">
        <f>IF(COUNTIF(Customers!$A$2:$A$1001,B2366)&gt;0,"Valid","Invalid")</f>
        <v>Valid</v>
      </c>
      <c r="R2366" t="str">
        <f>IF(COUNTIF(Branches!$A$2:$A$11,F2366)&gt;0,"Valid","Invalid")</f>
        <v>Valid</v>
      </c>
    </row>
    <row r="2367" spans="1:18" x14ac:dyDescent="0.25">
      <c r="A2367" t="s">
        <v>4438</v>
      </c>
      <c r="B2367" t="s">
        <v>336</v>
      </c>
      <c r="C2367" s="8">
        <v>46151</v>
      </c>
      <c r="D2367" t="s">
        <v>2058</v>
      </c>
      <c r="E2367" t="s">
        <v>2059</v>
      </c>
      <c r="F2367" t="s">
        <v>29</v>
      </c>
      <c r="G2367">
        <v>376.47</v>
      </c>
      <c r="H2367" t="s">
        <v>2060</v>
      </c>
      <c r="I2367" t="str">
        <f>VLOOKUP(B2367,Customers!A:G,7,FALSE)</f>
        <v>SME</v>
      </c>
      <c r="Q2367" t="str">
        <f>IF(COUNTIF(Customers!$A$2:$A$1001,B2367)&gt;0,"Valid","Invalid")</f>
        <v>Valid</v>
      </c>
      <c r="R2367" t="str">
        <f>IF(COUNTIF(Branches!$A$2:$A$11,F2367)&gt;0,"Valid","Invalid")</f>
        <v>Valid</v>
      </c>
    </row>
    <row r="2368" spans="1:18" x14ac:dyDescent="0.25">
      <c r="A2368" t="s">
        <v>4439</v>
      </c>
      <c r="B2368" t="s">
        <v>870</v>
      </c>
      <c r="C2368" s="8">
        <v>46157</v>
      </c>
      <c r="D2368" t="s">
        <v>2065</v>
      </c>
      <c r="E2368" t="s">
        <v>2063</v>
      </c>
      <c r="F2368" t="s">
        <v>27</v>
      </c>
      <c r="G2368">
        <v>4395.8100000000004</v>
      </c>
      <c r="H2368" t="s">
        <v>2060</v>
      </c>
      <c r="I2368" t="str">
        <f>VLOOKUP(B2368,Customers!A:G,7,FALSE)</f>
        <v>SME</v>
      </c>
      <c r="Q2368" t="str">
        <f>IF(COUNTIF(Customers!$A$2:$A$1001,B2368)&gt;0,"Valid","Invalid")</f>
        <v>Valid</v>
      </c>
      <c r="R2368" t="str">
        <f>IF(COUNTIF(Branches!$A$2:$A$11,F2368)&gt;0,"Valid","Invalid")</f>
        <v>Valid</v>
      </c>
    </row>
    <row r="2369" spans="1:18" x14ac:dyDescent="0.25">
      <c r="A2369" t="s">
        <v>4440</v>
      </c>
      <c r="B2369" t="s">
        <v>219</v>
      </c>
      <c r="C2369" s="8">
        <v>46075</v>
      </c>
      <c r="D2369" t="s">
        <v>2067</v>
      </c>
      <c r="E2369" t="s">
        <v>2063</v>
      </c>
      <c r="F2369" t="s">
        <v>53</v>
      </c>
      <c r="G2369">
        <v>1568.75</v>
      </c>
      <c r="H2369" t="s">
        <v>2060</v>
      </c>
      <c r="I2369" t="str">
        <f>VLOOKUP(B2369,Customers!A:G,7,FALSE)</f>
        <v>Individual</v>
      </c>
      <c r="Q2369" t="str">
        <f>IF(COUNTIF(Customers!$A$2:$A$1001,B2369)&gt;0,"Valid","Invalid")</f>
        <v>Valid</v>
      </c>
      <c r="R2369" t="str">
        <f>IF(COUNTIF(Branches!$A$2:$A$11,F2369)&gt;0,"Valid","Invalid")</f>
        <v>Valid</v>
      </c>
    </row>
    <row r="2370" spans="1:18" x14ac:dyDescent="0.25">
      <c r="A2370" t="s">
        <v>4441</v>
      </c>
      <c r="B2370" t="s">
        <v>372</v>
      </c>
      <c r="C2370" s="8">
        <v>46181</v>
      </c>
      <c r="D2370" t="s">
        <v>2067</v>
      </c>
      <c r="E2370" t="s">
        <v>2076</v>
      </c>
      <c r="F2370" t="s">
        <v>11</v>
      </c>
      <c r="G2370">
        <v>479.72</v>
      </c>
      <c r="H2370" t="s">
        <v>2060</v>
      </c>
      <c r="I2370" t="str">
        <f>VLOOKUP(B2370,Customers!A:G,7,FALSE)</f>
        <v>Corporate</v>
      </c>
      <c r="Q2370" t="str">
        <f>IF(COUNTIF(Customers!$A$2:$A$1001,B2370)&gt;0,"Valid","Invalid")</f>
        <v>Valid</v>
      </c>
      <c r="R2370" t="str">
        <f>IF(COUNTIF(Branches!$A$2:$A$11,F2370)&gt;0,"Valid","Invalid")</f>
        <v>Valid</v>
      </c>
    </row>
    <row r="2371" spans="1:18" x14ac:dyDescent="0.25">
      <c r="A2371" t="s">
        <v>4442</v>
      </c>
      <c r="B2371" t="s">
        <v>549</v>
      </c>
      <c r="C2371" s="8">
        <v>46040</v>
      </c>
      <c r="D2371" t="s">
        <v>2062</v>
      </c>
      <c r="E2371" t="s">
        <v>2068</v>
      </c>
      <c r="F2371" t="s">
        <v>45</v>
      </c>
      <c r="G2371">
        <v>2399.17</v>
      </c>
      <c r="H2371" t="s">
        <v>2060</v>
      </c>
      <c r="I2371" t="str">
        <f>VLOOKUP(B2371,Customers!A:G,7,FALSE)</f>
        <v>Individual</v>
      </c>
      <c r="Q2371" t="str">
        <f>IF(COUNTIF(Customers!$A$2:$A$1001,B2371)&gt;0,"Valid","Invalid")</f>
        <v>Valid</v>
      </c>
      <c r="R2371" t="str">
        <f>IF(COUNTIF(Branches!$A$2:$A$11,F2371)&gt;0,"Valid","Invalid")</f>
        <v>Valid</v>
      </c>
    </row>
    <row r="2372" spans="1:18" x14ac:dyDescent="0.25">
      <c r="A2372" t="s">
        <v>4443</v>
      </c>
      <c r="B2372" t="s">
        <v>421</v>
      </c>
      <c r="C2372" s="8">
        <v>46034</v>
      </c>
      <c r="D2372" t="s">
        <v>2062</v>
      </c>
      <c r="E2372" t="s">
        <v>2068</v>
      </c>
      <c r="F2372" t="s">
        <v>39</v>
      </c>
      <c r="G2372">
        <v>697.64</v>
      </c>
      <c r="H2372" t="s">
        <v>2060</v>
      </c>
      <c r="I2372" t="str">
        <f>VLOOKUP(B2372,Customers!A:G,7,FALSE)</f>
        <v>Individual</v>
      </c>
      <c r="Q2372" t="str">
        <f>IF(COUNTIF(Customers!$A$2:$A$1001,B2372)&gt;0,"Valid","Invalid")</f>
        <v>Valid</v>
      </c>
      <c r="R2372" t="str">
        <f>IF(COUNTIF(Branches!$A$2:$A$11,F2372)&gt;0,"Valid","Invalid")</f>
        <v>Valid</v>
      </c>
    </row>
    <row r="2373" spans="1:18" x14ac:dyDescent="0.25">
      <c r="A2373" t="s">
        <v>4444</v>
      </c>
      <c r="B2373" t="s">
        <v>755</v>
      </c>
      <c r="C2373" s="8">
        <v>46070</v>
      </c>
      <c r="D2373" t="s">
        <v>2065</v>
      </c>
      <c r="E2373" t="s">
        <v>2063</v>
      </c>
      <c r="F2373" t="s">
        <v>21</v>
      </c>
      <c r="G2373">
        <v>3147.43</v>
      </c>
      <c r="H2373" t="s">
        <v>2115</v>
      </c>
      <c r="I2373" t="str">
        <f>VLOOKUP(B2373,Customers!A:G,7,FALSE)</f>
        <v>Individual</v>
      </c>
      <c r="Q2373" t="str">
        <f>IF(COUNTIF(Customers!$A$2:$A$1001,B2373)&gt;0,"Valid","Invalid")</f>
        <v>Valid</v>
      </c>
      <c r="R2373" t="str">
        <f>IF(COUNTIF(Branches!$A$2:$A$11,F2373)&gt;0,"Valid","Invalid")</f>
        <v>Valid</v>
      </c>
    </row>
    <row r="2374" spans="1:18" x14ac:dyDescent="0.25">
      <c r="A2374" t="s">
        <v>4445</v>
      </c>
      <c r="B2374" t="s">
        <v>911</v>
      </c>
      <c r="C2374" s="8">
        <v>46052</v>
      </c>
      <c r="D2374" t="s">
        <v>2058</v>
      </c>
      <c r="E2374" t="s">
        <v>2063</v>
      </c>
      <c r="F2374" t="s">
        <v>53</v>
      </c>
      <c r="G2374">
        <v>7418.49</v>
      </c>
      <c r="H2374" t="s">
        <v>2115</v>
      </c>
      <c r="I2374" t="str">
        <f>VLOOKUP(B2374,Customers!A:G,7,FALSE)</f>
        <v>Individual</v>
      </c>
      <c r="Q2374" t="str">
        <f>IF(COUNTIF(Customers!$A$2:$A$1001,B2374)&gt;0,"Valid","Invalid")</f>
        <v>Valid</v>
      </c>
      <c r="R2374" t="str">
        <f>IF(COUNTIF(Branches!$A$2:$A$11,F2374)&gt;0,"Valid","Invalid")</f>
        <v>Valid</v>
      </c>
    </row>
    <row r="2375" spans="1:18" x14ac:dyDescent="0.25">
      <c r="A2375" t="s">
        <v>4446</v>
      </c>
      <c r="B2375" t="s">
        <v>236</v>
      </c>
      <c r="C2375" s="8">
        <v>46119</v>
      </c>
      <c r="D2375" t="s">
        <v>2065</v>
      </c>
      <c r="E2375" t="s">
        <v>2063</v>
      </c>
      <c r="F2375" t="s">
        <v>16</v>
      </c>
      <c r="G2375">
        <v>2271.42</v>
      </c>
      <c r="H2375" t="s">
        <v>2060</v>
      </c>
      <c r="I2375" t="str">
        <f>VLOOKUP(B2375,Customers!A:G,7,FALSE)</f>
        <v>Individual</v>
      </c>
      <c r="Q2375" t="str">
        <f>IF(COUNTIF(Customers!$A$2:$A$1001,B2375)&gt;0,"Valid","Invalid")</f>
        <v>Valid</v>
      </c>
      <c r="R2375" t="str">
        <f>IF(COUNTIF(Branches!$A$2:$A$11,F2375)&gt;0,"Valid","Invalid")</f>
        <v>Valid</v>
      </c>
    </row>
    <row r="2376" spans="1:18" x14ac:dyDescent="0.25">
      <c r="A2376" t="s">
        <v>4447</v>
      </c>
      <c r="B2376" t="s">
        <v>370</v>
      </c>
      <c r="C2376" s="8">
        <v>46261</v>
      </c>
      <c r="D2376" t="s">
        <v>2070</v>
      </c>
      <c r="E2376" t="s">
        <v>2073</v>
      </c>
      <c r="F2376" t="s">
        <v>11</v>
      </c>
      <c r="G2376">
        <v>892.97</v>
      </c>
      <c r="H2376" t="s">
        <v>2060</v>
      </c>
      <c r="I2376" t="str">
        <f>VLOOKUP(B2376,Customers!A:G,7,FALSE)</f>
        <v>SME</v>
      </c>
      <c r="Q2376" t="str">
        <f>IF(COUNTIF(Customers!$A$2:$A$1001,B2376)&gt;0,"Valid","Invalid")</f>
        <v>Valid</v>
      </c>
      <c r="R2376" t="str">
        <f>IF(COUNTIF(Branches!$A$2:$A$11,F2376)&gt;0,"Valid","Invalid")</f>
        <v>Valid</v>
      </c>
    </row>
    <row r="2377" spans="1:18" x14ac:dyDescent="0.25">
      <c r="A2377" t="s">
        <v>4448</v>
      </c>
      <c r="B2377" t="s">
        <v>201</v>
      </c>
      <c r="C2377" s="8">
        <v>46029</v>
      </c>
      <c r="D2377" t="s">
        <v>2070</v>
      </c>
      <c r="E2377" t="s">
        <v>2059</v>
      </c>
      <c r="F2377" t="s">
        <v>27</v>
      </c>
      <c r="G2377">
        <v>1634.86</v>
      </c>
      <c r="H2377" t="s">
        <v>2060</v>
      </c>
      <c r="I2377" t="str">
        <f>VLOOKUP(B2377,Customers!A:G,7,FALSE)</f>
        <v>Individual</v>
      </c>
      <c r="Q2377" t="str">
        <f>IF(COUNTIF(Customers!$A$2:$A$1001,B2377)&gt;0,"Valid","Invalid")</f>
        <v>Valid</v>
      </c>
      <c r="R2377" t="str">
        <f>IF(COUNTIF(Branches!$A$2:$A$11,F2377)&gt;0,"Valid","Invalid")</f>
        <v>Valid</v>
      </c>
    </row>
    <row r="2378" spans="1:18" x14ac:dyDescent="0.25">
      <c r="A2378" t="s">
        <v>4449</v>
      </c>
      <c r="B2378" t="s">
        <v>280</v>
      </c>
      <c r="C2378" s="8">
        <v>46114</v>
      </c>
      <c r="D2378" t="s">
        <v>2058</v>
      </c>
      <c r="E2378" t="s">
        <v>2063</v>
      </c>
      <c r="F2378" t="s">
        <v>16</v>
      </c>
      <c r="G2378">
        <v>824.74</v>
      </c>
      <c r="H2378" t="s">
        <v>2060</v>
      </c>
      <c r="I2378" t="str">
        <f>VLOOKUP(B2378,Customers!A:G,7,FALSE)</f>
        <v>Individual</v>
      </c>
      <c r="Q2378" t="str">
        <f>IF(COUNTIF(Customers!$A$2:$A$1001,B2378)&gt;0,"Valid","Invalid")</f>
        <v>Valid</v>
      </c>
      <c r="R2378" t="str">
        <f>IF(COUNTIF(Branches!$A$2:$A$11,F2378)&gt;0,"Valid","Invalid")</f>
        <v>Valid</v>
      </c>
    </row>
    <row r="2379" spans="1:18" x14ac:dyDescent="0.25">
      <c r="A2379" t="s">
        <v>4450</v>
      </c>
      <c r="B2379" t="s">
        <v>938</v>
      </c>
      <c r="C2379" s="8">
        <v>46135</v>
      </c>
      <c r="D2379" t="s">
        <v>2058</v>
      </c>
      <c r="E2379" t="s">
        <v>2068</v>
      </c>
      <c r="F2379" t="s">
        <v>29</v>
      </c>
      <c r="G2379">
        <v>129.54</v>
      </c>
      <c r="H2379" t="s">
        <v>2060</v>
      </c>
      <c r="I2379" t="str">
        <f>VLOOKUP(B2379,Customers!A:G,7,FALSE)</f>
        <v>Individual</v>
      </c>
      <c r="Q2379" t="str">
        <f>IF(COUNTIF(Customers!$A$2:$A$1001,B2379)&gt;0,"Valid","Invalid")</f>
        <v>Valid</v>
      </c>
      <c r="R2379" t="str">
        <f>IF(COUNTIF(Branches!$A$2:$A$11,F2379)&gt;0,"Valid","Invalid")</f>
        <v>Valid</v>
      </c>
    </row>
    <row r="2380" spans="1:18" x14ac:dyDescent="0.25">
      <c r="A2380" t="s">
        <v>4451</v>
      </c>
      <c r="B2380" t="s">
        <v>680</v>
      </c>
      <c r="C2380" s="8">
        <v>46025</v>
      </c>
      <c r="D2380" t="s">
        <v>2062</v>
      </c>
      <c r="E2380" t="s">
        <v>2059</v>
      </c>
      <c r="F2380" t="s">
        <v>29</v>
      </c>
      <c r="G2380">
        <v>422.16</v>
      </c>
      <c r="H2380" t="s">
        <v>2060</v>
      </c>
      <c r="I2380" t="str">
        <f>VLOOKUP(B2380,Customers!A:G,7,FALSE)</f>
        <v>Individual</v>
      </c>
      <c r="Q2380" t="str">
        <f>IF(COUNTIF(Customers!$A$2:$A$1001,B2380)&gt;0,"Valid","Invalid")</f>
        <v>Valid</v>
      </c>
      <c r="R2380" t="str">
        <f>IF(COUNTIF(Branches!$A$2:$A$11,F2380)&gt;0,"Valid","Invalid")</f>
        <v>Valid</v>
      </c>
    </row>
    <row r="2381" spans="1:18" x14ac:dyDescent="0.25">
      <c r="A2381" t="s">
        <v>4452</v>
      </c>
      <c r="B2381" t="s">
        <v>264</v>
      </c>
      <c r="C2381" s="8">
        <v>46129</v>
      </c>
      <c r="D2381" t="s">
        <v>2062</v>
      </c>
      <c r="E2381" t="s">
        <v>2068</v>
      </c>
      <c r="F2381" t="s">
        <v>16</v>
      </c>
      <c r="G2381">
        <v>313.69</v>
      </c>
      <c r="H2381" t="s">
        <v>2060</v>
      </c>
      <c r="I2381" t="str">
        <f>VLOOKUP(B2381,Customers!A:G,7,FALSE)</f>
        <v>Individual</v>
      </c>
      <c r="Q2381" t="str">
        <f>IF(COUNTIF(Customers!$A$2:$A$1001,B2381)&gt;0,"Valid","Invalid")</f>
        <v>Valid</v>
      </c>
      <c r="R2381" t="str">
        <f>IF(COUNTIF(Branches!$A$2:$A$11,F2381)&gt;0,"Valid","Invalid")</f>
        <v>Valid</v>
      </c>
    </row>
    <row r="2382" spans="1:18" x14ac:dyDescent="0.25">
      <c r="A2382" t="s">
        <v>4453</v>
      </c>
      <c r="B2382" t="s">
        <v>672</v>
      </c>
      <c r="C2382" s="8">
        <v>46085</v>
      </c>
      <c r="D2382" t="s">
        <v>2058</v>
      </c>
      <c r="E2382" t="s">
        <v>2063</v>
      </c>
      <c r="F2382" t="s">
        <v>16</v>
      </c>
      <c r="G2382">
        <v>412.9</v>
      </c>
      <c r="H2382" t="s">
        <v>2060</v>
      </c>
      <c r="I2382" t="str">
        <f>VLOOKUP(B2382,Customers!A:G,7,FALSE)</f>
        <v>Student</v>
      </c>
      <c r="Q2382" t="str">
        <f>IF(COUNTIF(Customers!$A$2:$A$1001,B2382)&gt;0,"Valid","Invalid")</f>
        <v>Valid</v>
      </c>
      <c r="R2382" t="str">
        <f>IF(COUNTIF(Branches!$A$2:$A$11,F2382)&gt;0,"Valid","Invalid")</f>
        <v>Valid</v>
      </c>
    </row>
    <row r="2383" spans="1:18" x14ac:dyDescent="0.25">
      <c r="A2383" t="s">
        <v>4454</v>
      </c>
      <c r="B2383" t="s">
        <v>594</v>
      </c>
      <c r="C2383" s="8">
        <v>46156</v>
      </c>
      <c r="D2383" t="s">
        <v>2070</v>
      </c>
      <c r="E2383" t="s">
        <v>2059</v>
      </c>
      <c r="F2383" t="s">
        <v>21</v>
      </c>
      <c r="G2383">
        <v>4883.76</v>
      </c>
      <c r="H2383" t="s">
        <v>2060</v>
      </c>
      <c r="I2383" t="str">
        <f>VLOOKUP(B2383,Customers!A:G,7,FALSE)</f>
        <v>SME</v>
      </c>
      <c r="Q2383" t="str">
        <f>IF(COUNTIF(Customers!$A$2:$A$1001,B2383)&gt;0,"Valid","Invalid")</f>
        <v>Valid</v>
      </c>
      <c r="R2383" t="str">
        <f>IF(COUNTIF(Branches!$A$2:$A$11,F2383)&gt;0,"Valid","Invalid")</f>
        <v>Valid</v>
      </c>
    </row>
    <row r="2384" spans="1:18" x14ac:dyDescent="0.25">
      <c r="A2384" t="s">
        <v>4455</v>
      </c>
      <c r="B2384" t="s">
        <v>489</v>
      </c>
      <c r="C2384" s="8">
        <v>46245</v>
      </c>
      <c r="D2384" t="s">
        <v>2058</v>
      </c>
      <c r="E2384" t="s">
        <v>2059</v>
      </c>
      <c r="F2384" t="s">
        <v>53</v>
      </c>
      <c r="G2384">
        <v>2495.2600000000002</v>
      </c>
      <c r="H2384" t="s">
        <v>2060</v>
      </c>
      <c r="I2384" t="str">
        <f>VLOOKUP(B2384,Customers!A:G,7,FALSE)</f>
        <v>SME</v>
      </c>
      <c r="Q2384" t="str">
        <f>IF(COUNTIF(Customers!$A$2:$A$1001,B2384)&gt;0,"Valid","Invalid")</f>
        <v>Valid</v>
      </c>
      <c r="R2384" t="str">
        <f>IF(COUNTIF(Branches!$A$2:$A$11,F2384)&gt;0,"Valid","Invalid")</f>
        <v>Valid</v>
      </c>
    </row>
    <row r="2385" spans="1:18" x14ac:dyDescent="0.25">
      <c r="A2385" t="s">
        <v>4456</v>
      </c>
      <c r="B2385" t="s">
        <v>233</v>
      </c>
      <c r="C2385" s="8">
        <v>46124</v>
      </c>
      <c r="D2385" t="s">
        <v>2058</v>
      </c>
      <c r="E2385" t="s">
        <v>2068</v>
      </c>
      <c r="F2385" t="s">
        <v>27</v>
      </c>
      <c r="G2385">
        <v>1262.54</v>
      </c>
      <c r="H2385" t="s">
        <v>2060</v>
      </c>
      <c r="I2385" t="str">
        <f>VLOOKUP(B2385,Customers!A:G,7,FALSE)</f>
        <v>Individual</v>
      </c>
      <c r="Q2385" t="str">
        <f>IF(COUNTIF(Customers!$A$2:$A$1001,B2385)&gt;0,"Valid","Invalid")</f>
        <v>Valid</v>
      </c>
      <c r="R2385" t="str">
        <f>IF(COUNTIF(Branches!$A$2:$A$11,F2385)&gt;0,"Valid","Invalid")</f>
        <v>Valid</v>
      </c>
    </row>
    <row r="2386" spans="1:18" x14ac:dyDescent="0.25">
      <c r="A2386" t="s">
        <v>4457</v>
      </c>
      <c r="B2386" t="s">
        <v>908</v>
      </c>
      <c r="C2386" s="8">
        <v>46037</v>
      </c>
      <c r="D2386" t="s">
        <v>2062</v>
      </c>
      <c r="E2386" t="s">
        <v>2068</v>
      </c>
      <c r="F2386" t="s">
        <v>47</v>
      </c>
      <c r="G2386">
        <v>1830.5</v>
      </c>
      <c r="H2386" t="s">
        <v>2060</v>
      </c>
      <c r="I2386" t="str">
        <f>VLOOKUP(B2386,Customers!A:G,7,FALSE)</f>
        <v>Individual</v>
      </c>
      <c r="Q2386" t="str">
        <f>IF(COUNTIF(Customers!$A$2:$A$1001,B2386)&gt;0,"Valid","Invalid")</f>
        <v>Valid</v>
      </c>
      <c r="R2386" t="str">
        <f>IF(COUNTIF(Branches!$A$2:$A$11,F2386)&gt;0,"Valid","Invalid")</f>
        <v>Valid</v>
      </c>
    </row>
    <row r="2387" spans="1:18" x14ac:dyDescent="0.25">
      <c r="A2387" t="s">
        <v>4458</v>
      </c>
      <c r="B2387" t="s">
        <v>241</v>
      </c>
      <c r="C2387" s="8">
        <v>46221</v>
      </c>
      <c r="D2387" t="s">
        <v>2058</v>
      </c>
      <c r="E2387" t="s">
        <v>2059</v>
      </c>
      <c r="F2387" t="s">
        <v>53</v>
      </c>
      <c r="G2387">
        <v>122.47</v>
      </c>
      <c r="H2387" t="s">
        <v>2115</v>
      </c>
      <c r="I2387" t="str">
        <f>VLOOKUP(B2387,Customers!A:G,7,FALSE)</f>
        <v>Individual</v>
      </c>
      <c r="Q2387" t="str">
        <f>IF(COUNTIF(Customers!$A$2:$A$1001,B2387)&gt;0,"Valid","Invalid")</f>
        <v>Valid</v>
      </c>
      <c r="R2387" t="str">
        <f>IF(COUNTIF(Branches!$A$2:$A$11,F2387)&gt;0,"Valid","Invalid")</f>
        <v>Valid</v>
      </c>
    </row>
    <row r="2388" spans="1:18" x14ac:dyDescent="0.25">
      <c r="A2388" t="s">
        <v>4459</v>
      </c>
      <c r="B2388" t="s">
        <v>1017</v>
      </c>
      <c r="C2388" s="8">
        <v>46193</v>
      </c>
      <c r="D2388" t="s">
        <v>2062</v>
      </c>
      <c r="E2388" t="s">
        <v>2063</v>
      </c>
      <c r="F2388" t="s">
        <v>53</v>
      </c>
      <c r="G2388">
        <v>1682.75</v>
      </c>
      <c r="H2388" t="s">
        <v>2060</v>
      </c>
      <c r="I2388" t="str">
        <f>VLOOKUP(B2388,Customers!A:G,7,FALSE)</f>
        <v>SME</v>
      </c>
      <c r="Q2388" t="str">
        <f>IF(COUNTIF(Customers!$A$2:$A$1001,B2388)&gt;0,"Valid","Invalid")</f>
        <v>Valid</v>
      </c>
      <c r="R2388" t="str">
        <f>IF(COUNTIF(Branches!$A$2:$A$11,F2388)&gt;0,"Valid","Invalid")</f>
        <v>Valid</v>
      </c>
    </row>
    <row r="2389" spans="1:18" x14ac:dyDescent="0.25">
      <c r="A2389" t="s">
        <v>4460</v>
      </c>
      <c r="B2389" t="s">
        <v>496</v>
      </c>
      <c r="C2389" s="8">
        <v>46244</v>
      </c>
      <c r="D2389" t="s">
        <v>2065</v>
      </c>
      <c r="E2389" t="s">
        <v>2059</v>
      </c>
      <c r="F2389" t="s">
        <v>29</v>
      </c>
      <c r="G2389">
        <v>2078.96</v>
      </c>
      <c r="H2389" t="s">
        <v>2060</v>
      </c>
      <c r="I2389" t="str">
        <f>VLOOKUP(B2389,Customers!A:G,7,FALSE)</f>
        <v>Individual</v>
      </c>
      <c r="Q2389" t="str">
        <f>IF(COUNTIF(Customers!$A$2:$A$1001,B2389)&gt;0,"Valid","Invalid")</f>
        <v>Valid</v>
      </c>
      <c r="R2389" t="str">
        <f>IF(COUNTIF(Branches!$A$2:$A$11,F2389)&gt;0,"Valid","Invalid")</f>
        <v>Valid</v>
      </c>
    </row>
    <row r="2390" spans="1:18" x14ac:dyDescent="0.25">
      <c r="A2390" t="s">
        <v>4461</v>
      </c>
      <c r="B2390" t="s">
        <v>868</v>
      </c>
      <c r="C2390" s="8">
        <v>46113</v>
      </c>
      <c r="D2390" t="s">
        <v>2067</v>
      </c>
      <c r="E2390" t="s">
        <v>2073</v>
      </c>
      <c r="F2390" t="s">
        <v>53</v>
      </c>
      <c r="G2390">
        <v>86.51</v>
      </c>
      <c r="H2390" t="s">
        <v>2060</v>
      </c>
      <c r="I2390" t="str">
        <f>VLOOKUP(B2390,Customers!A:G,7,FALSE)</f>
        <v>Individual</v>
      </c>
      <c r="Q2390" t="str">
        <f>IF(COUNTIF(Customers!$A$2:$A$1001,B2390)&gt;0,"Valid","Invalid")</f>
        <v>Valid</v>
      </c>
      <c r="R2390" t="str">
        <f>IF(COUNTIF(Branches!$A$2:$A$11,F2390)&gt;0,"Valid","Invalid")</f>
        <v>Valid</v>
      </c>
    </row>
    <row r="2391" spans="1:18" x14ac:dyDescent="0.25">
      <c r="A2391" t="s">
        <v>4462</v>
      </c>
      <c r="B2391" t="s">
        <v>295</v>
      </c>
      <c r="C2391" s="8">
        <v>46103</v>
      </c>
      <c r="D2391" t="s">
        <v>2065</v>
      </c>
      <c r="E2391" t="s">
        <v>2076</v>
      </c>
      <c r="F2391" t="s">
        <v>53</v>
      </c>
      <c r="G2391">
        <v>1746.27</v>
      </c>
      <c r="H2391" t="s">
        <v>2060</v>
      </c>
      <c r="I2391" t="str">
        <f>VLOOKUP(B2391,Customers!A:G,7,FALSE)</f>
        <v>Individual</v>
      </c>
      <c r="Q2391" t="str">
        <f>IF(COUNTIF(Customers!$A$2:$A$1001,B2391)&gt;0,"Valid","Invalid")</f>
        <v>Valid</v>
      </c>
      <c r="R2391" t="str">
        <f>IF(COUNTIF(Branches!$A$2:$A$11,F2391)&gt;0,"Valid","Invalid")</f>
        <v>Valid</v>
      </c>
    </row>
    <row r="2392" spans="1:18" x14ac:dyDescent="0.25">
      <c r="A2392" t="s">
        <v>4463</v>
      </c>
      <c r="B2392" t="s">
        <v>567</v>
      </c>
      <c r="C2392" s="8">
        <v>46168</v>
      </c>
      <c r="D2392" t="s">
        <v>2058</v>
      </c>
      <c r="E2392" t="s">
        <v>2068</v>
      </c>
      <c r="F2392" t="s">
        <v>39</v>
      </c>
      <c r="G2392">
        <v>195.57</v>
      </c>
      <c r="H2392" t="s">
        <v>2060</v>
      </c>
      <c r="I2392" t="str">
        <f>VLOOKUP(B2392,Customers!A:G,7,FALSE)</f>
        <v>Student</v>
      </c>
      <c r="Q2392" t="str">
        <f>IF(COUNTIF(Customers!$A$2:$A$1001,B2392)&gt;0,"Valid","Invalid")</f>
        <v>Valid</v>
      </c>
      <c r="R2392" t="str">
        <f>IF(COUNTIF(Branches!$A$2:$A$11,F2392)&gt;0,"Valid","Invalid")</f>
        <v>Valid</v>
      </c>
    </row>
    <row r="2393" spans="1:18" x14ac:dyDescent="0.25">
      <c r="A2393" t="s">
        <v>4464</v>
      </c>
      <c r="B2393" t="s">
        <v>310</v>
      </c>
      <c r="C2393" s="8">
        <v>46172</v>
      </c>
      <c r="D2393" t="s">
        <v>2067</v>
      </c>
      <c r="E2393" t="s">
        <v>2059</v>
      </c>
      <c r="F2393" t="s">
        <v>27</v>
      </c>
      <c r="G2393">
        <v>113.29</v>
      </c>
      <c r="H2393" t="s">
        <v>2060</v>
      </c>
      <c r="I2393" t="str">
        <f>VLOOKUP(B2393,Customers!A:G,7,FALSE)</f>
        <v>Individual</v>
      </c>
      <c r="Q2393" t="str">
        <f>IF(COUNTIF(Customers!$A$2:$A$1001,B2393)&gt;0,"Valid","Invalid")</f>
        <v>Valid</v>
      </c>
      <c r="R2393" t="str">
        <f>IF(COUNTIF(Branches!$A$2:$A$11,F2393)&gt;0,"Valid","Invalid")</f>
        <v>Valid</v>
      </c>
    </row>
    <row r="2394" spans="1:18" x14ac:dyDescent="0.25">
      <c r="A2394" t="s">
        <v>4465</v>
      </c>
      <c r="B2394" t="s">
        <v>36</v>
      </c>
      <c r="C2394" s="8">
        <v>46083</v>
      </c>
      <c r="D2394" t="s">
        <v>2070</v>
      </c>
      <c r="E2394" t="s">
        <v>2059</v>
      </c>
      <c r="F2394" t="s">
        <v>35</v>
      </c>
      <c r="G2394">
        <v>3060.45</v>
      </c>
      <c r="H2394" t="s">
        <v>2060</v>
      </c>
      <c r="I2394" t="str">
        <f>VLOOKUP(B2394,Customers!A:G,7,FALSE)</f>
        <v>Individual</v>
      </c>
      <c r="Q2394" t="str">
        <f>IF(COUNTIF(Customers!$A$2:$A$1001,B2394)&gt;0,"Valid","Invalid")</f>
        <v>Valid</v>
      </c>
      <c r="R2394" t="str">
        <f>IF(COUNTIF(Branches!$A$2:$A$11,F2394)&gt;0,"Valid","Invalid")</f>
        <v>Valid</v>
      </c>
    </row>
    <row r="2395" spans="1:18" x14ac:dyDescent="0.25">
      <c r="A2395" t="s">
        <v>4466</v>
      </c>
      <c r="B2395" t="s">
        <v>799</v>
      </c>
      <c r="C2395" s="8">
        <v>46142</v>
      </c>
      <c r="D2395" t="s">
        <v>2058</v>
      </c>
      <c r="E2395" t="s">
        <v>2059</v>
      </c>
      <c r="F2395" t="s">
        <v>11</v>
      </c>
      <c r="G2395">
        <v>296.77</v>
      </c>
      <c r="H2395" t="s">
        <v>2060</v>
      </c>
      <c r="I2395" t="str">
        <f>VLOOKUP(B2395,Customers!A:G,7,FALSE)</f>
        <v>Student</v>
      </c>
      <c r="Q2395" t="str">
        <f>IF(COUNTIF(Customers!$A$2:$A$1001,B2395)&gt;0,"Valid","Invalid")</f>
        <v>Valid</v>
      </c>
      <c r="R2395" t="str">
        <f>IF(COUNTIF(Branches!$A$2:$A$11,F2395)&gt;0,"Valid","Invalid")</f>
        <v>Valid</v>
      </c>
    </row>
    <row r="2396" spans="1:18" x14ac:dyDescent="0.25">
      <c r="A2396" t="s">
        <v>4467</v>
      </c>
      <c r="B2396" t="s">
        <v>987</v>
      </c>
      <c r="C2396" s="8">
        <v>46083</v>
      </c>
      <c r="D2396" t="s">
        <v>2062</v>
      </c>
      <c r="E2396" t="s">
        <v>2076</v>
      </c>
      <c r="F2396" t="s">
        <v>11</v>
      </c>
      <c r="G2396">
        <v>397.05</v>
      </c>
      <c r="H2396" t="s">
        <v>2060</v>
      </c>
      <c r="I2396" t="str">
        <f>VLOOKUP(B2396,Customers!A:G,7,FALSE)</f>
        <v>Individual</v>
      </c>
      <c r="Q2396" t="str">
        <f>IF(COUNTIF(Customers!$A$2:$A$1001,B2396)&gt;0,"Valid","Invalid")</f>
        <v>Valid</v>
      </c>
      <c r="R2396" t="str">
        <f>IF(COUNTIF(Branches!$A$2:$A$11,F2396)&gt;0,"Valid","Invalid")</f>
        <v>Valid</v>
      </c>
    </row>
    <row r="2397" spans="1:18" x14ac:dyDescent="0.25">
      <c r="A2397" t="s">
        <v>4468</v>
      </c>
      <c r="B2397" t="s">
        <v>238</v>
      </c>
      <c r="C2397" s="8">
        <v>46075</v>
      </c>
      <c r="D2397" t="s">
        <v>2067</v>
      </c>
      <c r="E2397" t="s">
        <v>2068</v>
      </c>
      <c r="F2397" t="s">
        <v>27</v>
      </c>
      <c r="G2397">
        <v>2185.5100000000002</v>
      </c>
      <c r="H2397" t="s">
        <v>2060</v>
      </c>
      <c r="I2397" t="str">
        <f>VLOOKUP(B2397,Customers!A:G,7,FALSE)</f>
        <v>Individual</v>
      </c>
      <c r="Q2397" t="str">
        <f>IF(COUNTIF(Customers!$A$2:$A$1001,B2397)&gt;0,"Valid","Invalid")</f>
        <v>Valid</v>
      </c>
      <c r="R2397" t="str">
        <f>IF(COUNTIF(Branches!$A$2:$A$11,F2397)&gt;0,"Valid","Invalid")</f>
        <v>Valid</v>
      </c>
    </row>
    <row r="2398" spans="1:18" x14ac:dyDescent="0.25">
      <c r="A2398" t="s">
        <v>4469</v>
      </c>
      <c r="B2398" t="s">
        <v>95</v>
      </c>
      <c r="C2398" s="8">
        <v>46048</v>
      </c>
      <c r="D2398" t="s">
        <v>2062</v>
      </c>
      <c r="E2398" t="s">
        <v>2059</v>
      </c>
      <c r="F2398" t="s">
        <v>47</v>
      </c>
      <c r="G2398">
        <v>598.70000000000005</v>
      </c>
      <c r="H2398" t="s">
        <v>2060</v>
      </c>
      <c r="I2398" t="str">
        <f>VLOOKUP(B2398,Customers!A:G,7,FALSE)</f>
        <v>SME</v>
      </c>
      <c r="Q2398" t="str">
        <f>IF(COUNTIF(Customers!$A$2:$A$1001,B2398)&gt;0,"Valid","Invalid")</f>
        <v>Valid</v>
      </c>
      <c r="R2398" t="str">
        <f>IF(COUNTIF(Branches!$A$2:$A$11,F2398)&gt;0,"Valid","Invalid")</f>
        <v>Valid</v>
      </c>
    </row>
    <row r="2399" spans="1:18" x14ac:dyDescent="0.25">
      <c r="A2399" t="s">
        <v>4470</v>
      </c>
      <c r="B2399" t="s">
        <v>925</v>
      </c>
      <c r="C2399" s="8">
        <v>46137</v>
      </c>
      <c r="D2399" t="s">
        <v>2058</v>
      </c>
      <c r="E2399" t="s">
        <v>2059</v>
      </c>
      <c r="F2399" t="s">
        <v>11</v>
      </c>
      <c r="G2399">
        <v>678.47</v>
      </c>
      <c r="H2399" t="s">
        <v>2060</v>
      </c>
      <c r="I2399" t="str">
        <f>VLOOKUP(B2399,Customers!A:G,7,FALSE)</f>
        <v>Individual</v>
      </c>
      <c r="Q2399" t="str">
        <f>IF(COUNTIF(Customers!$A$2:$A$1001,B2399)&gt;0,"Valid","Invalid")</f>
        <v>Valid</v>
      </c>
      <c r="R2399" t="str">
        <f>IF(COUNTIF(Branches!$A$2:$A$11,F2399)&gt;0,"Valid","Invalid")</f>
        <v>Valid</v>
      </c>
    </row>
    <row r="2400" spans="1:18" x14ac:dyDescent="0.25">
      <c r="A2400" t="s">
        <v>4471</v>
      </c>
      <c r="B2400" t="s">
        <v>431</v>
      </c>
      <c r="C2400" s="8">
        <v>46241</v>
      </c>
      <c r="D2400" t="s">
        <v>2058</v>
      </c>
      <c r="E2400" t="s">
        <v>2059</v>
      </c>
      <c r="F2400" t="s">
        <v>39</v>
      </c>
      <c r="G2400">
        <v>663.75</v>
      </c>
      <c r="H2400" t="s">
        <v>2060</v>
      </c>
      <c r="I2400" t="str">
        <f>VLOOKUP(B2400,Customers!A:G,7,FALSE)</f>
        <v>SME</v>
      </c>
      <c r="Q2400" t="str">
        <f>IF(COUNTIF(Customers!$A$2:$A$1001,B2400)&gt;0,"Valid","Invalid")</f>
        <v>Valid</v>
      </c>
      <c r="R2400" t="str">
        <f>IF(COUNTIF(Branches!$A$2:$A$11,F2400)&gt;0,"Valid","Invalid")</f>
        <v>Valid</v>
      </c>
    </row>
    <row r="2401" spans="1:18" x14ac:dyDescent="0.25">
      <c r="A2401" t="s">
        <v>4472</v>
      </c>
      <c r="B2401" t="s">
        <v>690</v>
      </c>
      <c r="C2401" s="8">
        <v>46062</v>
      </c>
      <c r="D2401" t="s">
        <v>2067</v>
      </c>
      <c r="E2401" t="s">
        <v>2063</v>
      </c>
      <c r="F2401" t="s">
        <v>53</v>
      </c>
      <c r="G2401">
        <v>1150.0899999999999</v>
      </c>
      <c r="H2401" t="s">
        <v>2060</v>
      </c>
      <c r="I2401" t="str">
        <f>VLOOKUP(B2401,Customers!A:G,7,FALSE)</f>
        <v>Individual</v>
      </c>
      <c r="Q2401" t="str">
        <f>IF(COUNTIF(Customers!$A$2:$A$1001,B2401)&gt;0,"Valid","Invalid")</f>
        <v>Valid</v>
      </c>
      <c r="R2401" t="str">
        <f>IF(COUNTIF(Branches!$A$2:$A$11,F2401)&gt;0,"Valid","Invalid")</f>
        <v>Valid</v>
      </c>
    </row>
    <row r="2402" spans="1:18" x14ac:dyDescent="0.25">
      <c r="A2402" t="s">
        <v>4473</v>
      </c>
      <c r="B2402" t="s">
        <v>155</v>
      </c>
      <c r="C2402" s="8">
        <v>46110</v>
      </c>
      <c r="D2402" t="s">
        <v>2058</v>
      </c>
      <c r="E2402" t="s">
        <v>2073</v>
      </c>
      <c r="F2402" t="s">
        <v>35</v>
      </c>
      <c r="G2402">
        <v>647.85</v>
      </c>
      <c r="H2402" t="s">
        <v>2115</v>
      </c>
      <c r="I2402" t="str">
        <f>VLOOKUP(B2402,Customers!A:G,7,FALSE)</f>
        <v>Student</v>
      </c>
      <c r="Q2402" t="str">
        <f>IF(COUNTIF(Customers!$A$2:$A$1001,B2402)&gt;0,"Valid","Invalid")</f>
        <v>Valid</v>
      </c>
      <c r="R2402" t="str">
        <f>IF(COUNTIF(Branches!$A$2:$A$11,F2402)&gt;0,"Valid","Invalid")</f>
        <v>Valid</v>
      </c>
    </row>
    <row r="2403" spans="1:18" x14ac:dyDescent="0.25">
      <c r="A2403" t="s">
        <v>4474</v>
      </c>
      <c r="B2403" t="s">
        <v>591</v>
      </c>
      <c r="C2403" s="8">
        <v>46138</v>
      </c>
      <c r="D2403" t="s">
        <v>2058</v>
      </c>
      <c r="E2403" t="s">
        <v>2063</v>
      </c>
      <c r="F2403" t="s">
        <v>39</v>
      </c>
      <c r="G2403">
        <v>910.62</v>
      </c>
      <c r="H2403" t="s">
        <v>2060</v>
      </c>
      <c r="I2403" t="str">
        <f>VLOOKUP(B2403,Customers!A:G,7,FALSE)</f>
        <v>Individual</v>
      </c>
      <c r="Q2403" t="str">
        <f>IF(COUNTIF(Customers!$A$2:$A$1001,B2403)&gt;0,"Valid","Invalid")</f>
        <v>Valid</v>
      </c>
      <c r="R2403" t="str">
        <f>IF(COUNTIF(Branches!$A$2:$A$11,F2403)&gt;0,"Valid","Invalid")</f>
        <v>Valid</v>
      </c>
    </row>
    <row r="2404" spans="1:18" x14ac:dyDescent="0.25">
      <c r="A2404" t="s">
        <v>4475</v>
      </c>
      <c r="B2404" t="s">
        <v>437</v>
      </c>
      <c r="C2404" s="8">
        <v>46158</v>
      </c>
      <c r="D2404" t="s">
        <v>2058</v>
      </c>
      <c r="E2404" t="s">
        <v>2068</v>
      </c>
      <c r="F2404" t="s">
        <v>29</v>
      </c>
      <c r="G2404">
        <v>491</v>
      </c>
      <c r="H2404" t="s">
        <v>2060</v>
      </c>
      <c r="I2404" t="str">
        <f>VLOOKUP(B2404,Customers!A:G,7,FALSE)</f>
        <v>Individual</v>
      </c>
      <c r="Q2404" t="str">
        <f>IF(COUNTIF(Customers!$A$2:$A$1001,B2404)&gt;0,"Valid","Invalid")</f>
        <v>Valid</v>
      </c>
      <c r="R2404" t="str">
        <f>IF(COUNTIF(Branches!$A$2:$A$11,F2404)&gt;0,"Valid","Invalid")</f>
        <v>Valid</v>
      </c>
    </row>
    <row r="2405" spans="1:18" x14ac:dyDescent="0.25">
      <c r="A2405" t="s">
        <v>4476</v>
      </c>
      <c r="B2405" t="s">
        <v>872</v>
      </c>
      <c r="C2405" s="8">
        <v>46043</v>
      </c>
      <c r="D2405" t="s">
        <v>2062</v>
      </c>
      <c r="E2405" t="s">
        <v>2076</v>
      </c>
      <c r="F2405" t="s">
        <v>53</v>
      </c>
      <c r="G2405">
        <v>1154.96</v>
      </c>
      <c r="H2405" t="s">
        <v>2060</v>
      </c>
      <c r="I2405" t="str">
        <f>VLOOKUP(B2405,Customers!A:G,7,FALSE)</f>
        <v>Individual</v>
      </c>
      <c r="Q2405" t="str">
        <f>IF(COUNTIF(Customers!$A$2:$A$1001,B2405)&gt;0,"Valid","Invalid")</f>
        <v>Valid</v>
      </c>
      <c r="R2405" t="str">
        <f>IF(COUNTIF(Branches!$A$2:$A$11,F2405)&gt;0,"Valid","Invalid")</f>
        <v>Valid</v>
      </c>
    </row>
    <row r="2406" spans="1:18" x14ac:dyDescent="0.25">
      <c r="A2406" t="s">
        <v>4477</v>
      </c>
      <c r="B2406" t="s">
        <v>369</v>
      </c>
      <c r="C2406" s="8">
        <v>46243</v>
      </c>
      <c r="D2406" t="s">
        <v>2062</v>
      </c>
      <c r="E2406" t="s">
        <v>2068</v>
      </c>
      <c r="F2406" t="s">
        <v>21</v>
      </c>
      <c r="G2406">
        <v>1111.92</v>
      </c>
      <c r="H2406" t="s">
        <v>2060</v>
      </c>
      <c r="I2406" t="str">
        <f>VLOOKUP(B2406,Customers!A:G,7,FALSE)</f>
        <v>SME</v>
      </c>
      <c r="Q2406" t="str">
        <f>IF(COUNTIF(Customers!$A$2:$A$1001,B2406)&gt;0,"Valid","Invalid")</f>
        <v>Valid</v>
      </c>
      <c r="R2406" t="str">
        <f>IF(COUNTIF(Branches!$A$2:$A$11,F2406)&gt;0,"Valid","Invalid")</f>
        <v>Valid</v>
      </c>
    </row>
    <row r="2407" spans="1:18" x14ac:dyDescent="0.25">
      <c r="A2407" t="s">
        <v>4478</v>
      </c>
      <c r="B2407" t="s">
        <v>305</v>
      </c>
      <c r="C2407" s="8">
        <v>46065</v>
      </c>
      <c r="D2407" t="s">
        <v>2070</v>
      </c>
      <c r="E2407" t="s">
        <v>2073</v>
      </c>
      <c r="F2407" t="s">
        <v>39</v>
      </c>
      <c r="G2407">
        <v>5420.19</v>
      </c>
      <c r="H2407" t="s">
        <v>2060</v>
      </c>
      <c r="I2407" t="str">
        <f>VLOOKUP(B2407,Customers!A:G,7,FALSE)</f>
        <v>Individual</v>
      </c>
      <c r="Q2407" t="str">
        <f>IF(COUNTIF(Customers!$A$2:$A$1001,B2407)&gt;0,"Valid","Invalid")</f>
        <v>Valid</v>
      </c>
      <c r="R2407" t="str">
        <f>IF(COUNTIF(Branches!$A$2:$A$11,F2407)&gt;0,"Valid","Invalid")</f>
        <v>Valid</v>
      </c>
    </row>
    <row r="2408" spans="1:18" x14ac:dyDescent="0.25">
      <c r="A2408" t="s">
        <v>4479</v>
      </c>
      <c r="B2408" t="s">
        <v>558</v>
      </c>
      <c r="C2408" s="8">
        <v>46043</v>
      </c>
      <c r="D2408" t="s">
        <v>2058</v>
      </c>
      <c r="E2408" t="s">
        <v>2076</v>
      </c>
      <c r="F2408" t="s">
        <v>35</v>
      </c>
      <c r="G2408">
        <v>554.88</v>
      </c>
      <c r="H2408" t="s">
        <v>2060</v>
      </c>
      <c r="I2408" t="str">
        <f>VLOOKUP(B2408,Customers!A:G,7,FALSE)</f>
        <v>Individual</v>
      </c>
      <c r="Q2408" t="str">
        <f>IF(COUNTIF(Customers!$A$2:$A$1001,B2408)&gt;0,"Valid","Invalid")</f>
        <v>Valid</v>
      </c>
      <c r="R2408" t="str">
        <f>IF(COUNTIF(Branches!$A$2:$A$11,F2408)&gt;0,"Valid","Invalid")</f>
        <v>Valid</v>
      </c>
    </row>
    <row r="2409" spans="1:18" x14ac:dyDescent="0.25">
      <c r="A2409" t="s">
        <v>4480</v>
      </c>
      <c r="B2409" t="s">
        <v>733</v>
      </c>
      <c r="C2409" s="8">
        <v>46153</v>
      </c>
      <c r="D2409" t="s">
        <v>2070</v>
      </c>
      <c r="E2409" t="s">
        <v>2068</v>
      </c>
      <c r="F2409" t="s">
        <v>21</v>
      </c>
      <c r="G2409">
        <v>675.76</v>
      </c>
      <c r="H2409" t="s">
        <v>2060</v>
      </c>
      <c r="I2409" t="str">
        <f>VLOOKUP(B2409,Customers!A:G,7,FALSE)</f>
        <v>Individual</v>
      </c>
      <c r="Q2409" t="str">
        <f>IF(COUNTIF(Customers!$A$2:$A$1001,B2409)&gt;0,"Valid","Invalid")</f>
        <v>Valid</v>
      </c>
      <c r="R2409" t="str">
        <f>IF(COUNTIF(Branches!$A$2:$A$11,F2409)&gt;0,"Valid","Invalid")</f>
        <v>Valid</v>
      </c>
    </row>
    <row r="2410" spans="1:18" x14ac:dyDescent="0.25">
      <c r="A2410" t="s">
        <v>4481</v>
      </c>
      <c r="B2410" t="s">
        <v>518</v>
      </c>
      <c r="C2410" s="8">
        <v>46053</v>
      </c>
      <c r="D2410" t="s">
        <v>2062</v>
      </c>
      <c r="E2410" t="s">
        <v>2063</v>
      </c>
      <c r="F2410" t="s">
        <v>29</v>
      </c>
      <c r="G2410">
        <v>1031.56</v>
      </c>
      <c r="H2410" t="s">
        <v>2060</v>
      </c>
      <c r="I2410" t="str">
        <f>VLOOKUP(B2410,Customers!A:G,7,FALSE)</f>
        <v>SME</v>
      </c>
      <c r="Q2410" t="str">
        <f>IF(COUNTIF(Customers!$A$2:$A$1001,B2410)&gt;0,"Valid","Invalid")</f>
        <v>Valid</v>
      </c>
      <c r="R2410" t="str">
        <f>IF(COUNTIF(Branches!$A$2:$A$11,F2410)&gt;0,"Valid","Invalid")</f>
        <v>Valid</v>
      </c>
    </row>
    <row r="2411" spans="1:18" x14ac:dyDescent="0.25">
      <c r="A2411" t="s">
        <v>4482</v>
      </c>
      <c r="B2411" t="s">
        <v>170</v>
      </c>
      <c r="C2411" s="8">
        <v>46177</v>
      </c>
      <c r="D2411" t="s">
        <v>2065</v>
      </c>
      <c r="E2411" t="s">
        <v>2076</v>
      </c>
      <c r="F2411" t="s">
        <v>29</v>
      </c>
      <c r="G2411">
        <v>2131.19</v>
      </c>
      <c r="H2411" t="s">
        <v>2060</v>
      </c>
      <c r="I2411" t="str">
        <f>VLOOKUP(B2411,Customers!A:G,7,FALSE)</f>
        <v>Individual</v>
      </c>
      <c r="Q2411" t="str">
        <f>IF(COUNTIF(Customers!$A$2:$A$1001,B2411)&gt;0,"Valid","Invalid")</f>
        <v>Valid</v>
      </c>
      <c r="R2411" t="str">
        <f>IF(COUNTIF(Branches!$A$2:$A$11,F2411)&gt;0,"Valid","Invalid")</f>
        <v>Valid</v>
      </c>
    </row>
    <row r="2412" spans="1:18" x14ac:dyDescent="0.25">
      <c r="A2412" t="s">
        <v>4483</v>
      </c>
      <c r="B2412" t="s">
        <v>731</v>
      </c>
      <c r="C2412" s="8">
        <v>46260</v>
      </c>
      <c r="D2412" t="s">
        <v>2067</v>
      </c>
      <c r="E2412" t="s">
        <v>2068</v>
      </c>
      <c r="F2412" t="s">
        <v>39</v>
      </c>
      <c r="G2412">
        <v>272.70999999999998</v>
      </c>
      <c r="H2412" t="s">
        <v>2060</v>
      </c>
      <c r="I2412" t="str">
        <f>VLOOKUP(B2412,Customers!A:G,7,FALSE)</f>
        <v>Individual</v>
      </c>
      <c r="Q2412" t="str">
        <f>IF(COUNTIF(Customers!$A$2:$A$1001,B2412)&gt;0,"Valid","Invalid")</f>
        <v>Valid</v>
      </c>
      <c r="R2412" t="str">
        <f>IF(COUNTIF(Branches!$A$2:$A$11,F2412)&gt;0,"Valid","Invalid")</f>
        <v>Valid</v>
      </c>
    </row>
    <row r="2413" spans="1:18" x14ac:dyDescent="0.25">
      <c r="A2413" t="s">
        <v>4484</v>
      </c>
      <c r="B2413" t="s">
        <v>954</v>
      </c>
      <c r="C2413" s="8">
        <v>46049</v>
      </c>
      <c r="D2413" t="s">
        <v>2065</v>
      </c>
      <c r="E2413" t="s">
        <v>2063</v>
      </c>
      <c r="F2413" t="s">
        <v>47</v>
      </c>
      <c r="G2413">
        <v>901.06</v>
      </c>
      <c r="H2413" t="s">
        <v>2060</v>
      </c>
      <c r="I2413" t="str">
        <f>VLOOKUP(B2413,Customers!A:G,7,FALSE)</f>
        <v>Individual</v>
      </c>
      <c r="Q2413" t="str">
        <f>IF(COUNTIF(Customers!$A$2:$A$1001,B2413)&gt;0,"Valid","Invalid")</f>
        <v>Valid</v>
      </c>
      <c r="R2413" t="str">
        <f>IF(COUNTIF(Branches!$A$2:$A$11,F2413)&gt;0,"Valid","Invalid")</f>
        <v>Valid</v>
      </c>
    </row>
    <row r="2414" spans="1:18" x14ac:dyDescent="0.25">
      <c r="A2414" t="s">
        <v>4485</v>
      </c>
      <c r="B2414" t="s">
        <v>973</v>
      </c>
      <c r="C2414" s="8">
        <v>46095</v>
      </c>
      <c r="D2414" t="s">
        <v>2065</v>
      </c>
      <c r="E2414" t="s">
        <v>2076</v>
      </c>
      <c r="F2414" t="s">
        <v>27</v>
      </c>
      <c r="G2414">
        <v>66.17</v>
      </c>
      <c r="H2414" t="s">
        <v>2060</v>
      </c>
      <c r="I2414" t="str">
        <f>VLOOKUP(B2414,Customers!A:G,7,FALSE)</f>
        <v>Individual</v>
      </c>
      <c r="Q2414" t="str">
        <f>IF(COUNTIF(Customers!$A$2:$A$1001,B2414)&gt;0,"Valid","Invalid")</f>
        <v>Valid</v>
      </c>
      <c r="R2414" t="str">
        <f>IF(COUNTIF(Branches!$A$2:$A$11,F2414)&gt;0,"Valid","Invalid")</f>
        <v>Valid</v>
      </c>
    </row>
    <row r="2415" spans="1:18" x14ac:dyDescent="0.25">
      <c r="A2415" t="s">
        <v>4486</v>
      </c>
      <c r="B2415" t="s">
        <v>393</v>
      </c>
      <c r="C2415" s="8">
        <v>46207</v>
      </c>
      <c r="D2415" t="s">
        <v>2065</v>
      </c>
      <c r="E2415" t="s">
        <v>2068</v>
      </c>
      <c r="F2415" t="s">
        <v>45</v>
      </c>
      <c r="G2415">
        <v>619.22</v>
      </c>
      <c r="H2415" t="s">
        <v>2060</v>
      </c>
      <c r="I2415" t="str">
        <f>VLOOKUP(B2415,Customers!A:G,7,FALSE)</f>
        <v>SME</v>
      </c>
      <c r="Q2415" t="str">
        <f>IF(COUNTIF(Customers!$A$2:$A$1001,B2415)&gt;0,"Valid","Invalid")</f>
        <v>Valid</v>
      </c>
      <c r="R2415" t="str">
        <f>IF(COUNTIF(Branches!$A$2:$A$11,F2415)&gt;0,"Valid","Invalid")</f>
        <v>Valid</v>
      </c>
    </row>
    <row r="2416" spans="1:18" x14ac:dyDescent="0.25">
      <c r="A2416" t="s">
        <v>4487</v>
      </c>
      <c r="B2416" t="s">
        <v>622</v>
      </c>
      <c r="C2416" s="8">
        <v>46119</v>
      </c>
      <c r="D2416" t="s">
        <v>2065</v>
      </c>
      <c r="E2416" t="s">
        <v>2068</v>
      </c>
      <c r="F2416" t="s">
        <v>27</v>
      </c>
      <c r="G2416">
        <v>2374.94</v>
      </c>
      <c r="H2416" t="s">
        <v>2060</v>
      </c>
      <c r="I2416" t="str">
        <f>VLOOKUP(B2416,Customers!A:G,7,FALSE)</f>
        <v>Individual</v>
      </c>
      <c r="Q2416" t="str">
        <f>IF(COUNTIF(Customers!$A$2:$A$1001,B2416)&gt;0,"Valid","Invalid")</f>
        <v>Valid</v>
      </c>
      <c r="R2416" t="str">
        <f>IF(COUNTIF(Branches!$A$2:$A$11,F2416)&gt;0,"Valid","Invalid")</f>
        <v>Valid</v>
      </c>
    </row>
    <row r="2417" spans="1:18" x14ac:dyDescent="0.25">
      <c r="A2417" t="s">
        <v>4488</v>
      </c>
      <c r="B2417" t="s">
        <v>536</v>
      </c>
      <c r="C2417" s="8">
        <v>46183</v>
      </c>
      <c r="D2417" t="s">
        <v>2062</v>
      </c>
      <c r="E2417" t="s">
        <v>2063</v>
      </c>
      <c r="F2417" t="s">
        <v>53</v>
      </c>
      <c r="G2417">
        <v>393.02</v>
      </c>
      <c r="H2417" t="s">
        <v>2060</v>
      </c>
      <c r="I2417" t="str">
        <f>VLOOKUP(B2417,Customers!A:G,7,FALSE)</f>
        <v>Individual</v>
      </c>
      <c r="Q2417" t="str">
        <f>IF(COUNTIF(Customers!$A$2:$A$1001,B2417)&gt;0,"Valid","Invalid")</f>
        <v>Valid</v>
      </c>
      <c r="R2417" t="str">
        <f>IF(COUNTIF(Branches!$A$2:$A$11,F2417)&gt;0,"Valid","Invalid")</f>
        <v>Valid</v>
      </c>
    </row>
    <row r="2418" spans="1:18" x14ac:dyDescent="0.25">
      <c r="A2418" t="s">
        <v>4489</v>
      </c>
      <c r="B2418" t="s">
        <v>663</v>
      </c>
      <c r="C2418" s="8">
        <v>46112</v>
      </c>
      <c r="D2418" t="s">
        <v>2067</v>
      </c>
      <c r="E2418" t="s">
        <v>2076</v>
      </c>
      <c r="F2418" t="s">
        <v>39</v>
      </c>
      <c r="G2418">
        <v>969.56</v>
      </c>
      <c r="H2418" t="s">
        <v>2060</v>
      </c>
      <c r="I2418" t="str">
        <f>VLOOKUP(B2418,Customers!A:G,7,FALSE)</f>
        <v>SME</v>
      </c>
      <c r="Q2418" t="str">
        <f>IF(COUNTIF(Customers!$A$2:$A$1001,B2418)&gt;0,"Valid","Invalid")</f>
        <v>Valid</v>
      </c>
      <c r="R2418" t="str">
        <f>IF(COUNTIF(Branches!$A$2:$A$11,F2418)&gt;0,"Valid","Invalid")</f>
        <v>Valid</v>
      </c>
    </row>
    <row r="2419" spans="1:18" x14ac:dyDescent="0.25">
      <c r="A2419" t="s">
        <v>4490</v>
      </c>
      <c r="B2419" t="s">
        <v>143</v>
      </c>
      <c r="C2419" s="8">
        <v>46242</v>
      </c>
      <c r="D2419" t="s">
        <v>2067</v>
      </c>
      <c r="E2419" t="s">
        <v>2063</v>
      </c>
      <c r="F2419" t="s">
        <v>29</v>
      </c>
      <c r="G2419">
        <v>478.71</v>
      </c>
      <c r="H2419" t="s">
        <v>2060</v>
      </c>
      <c r="I2419" t="str">
        <f>VLOOKUP(B2419,Customers!A:G,7,FALSE)</f>
        <v>SME</v>
      </c>
      <c r="Q2419" t="str">
        <f>IF(COUNTIF(Customers!$A$2:$A$1001,B2419)&gt;0,"Valid","Invalid")</f>
        <v>Valid</v>
      </c>
      <c r="R2419" t="str">
        <f>IF(COUNTIF(Branches!$A$2:$A$11,F2419)&gt;0,"Valid","Invalid")</f>
        <v>Valid</v>
      </c>
    </row>
    <row r="2420" spans="1:18" x14ac:dyDescent="0.25">
      <c r="A2420" t="s">
        <v>4491</v>
      </c>
      <c r="B2420" t="s">
        <v>328</v>
      </c>
      <c r="C2420" s="8">
        <v>46066</v>
      </c>
      <c r="D2420" t="s">
        <v>2062</v>
      </c>
      <c r="E2420" t="s">
        <v>2076</v>
      </c>
      <c r="F2420" t="s">
        <v>21</v>
      </c>
      <c r="G2420">
        <v>343.98</v>
      </c>
      <c r="H2420" t="s">
        <v>2060</v>
      </c>
      <c r="I2420" t="str">
        <f>VLOOKUP(B2420,Customers!A:G,7,FALSE)</f>
        <v>Individual</v>
      </c>
      <c r="Q2420" t="str">
        <f>IF(COUNTIF(Customers!$A$2:$A$1001,B2420)&gt;0,"Valid","Invalid")</f>
        <v>Valid</v>
      </c>
      <c r="R2420" t="str">
        <f>IF(COUNTIF(Branches!$A$2:$A$11,F2420)&gt;0,"Valid","Invalid")</f>
        <v>Valid</v>
      </c>
    </row>
    <row r="2421" spans="1:18" x14ac:dyDescent="0.25">
      <c r="A2421" t="s">
        <v>4492</v>
      </c>
      <c r="B2421" t="s">
        <v>863</v>
      </c>
      <c r="C2421" s="8">
        <v>46065</v>
      </c>
      <c r="D2421" t="s">
        <v>2062</v>
      </c>
      <c r="E2421" t="s">
        <v>2059</v>
      </c>
      <c r="F2421" t="s">
        <v>39</v>
      </c>
      <c r="G2421">
        <v>2146.27</v>
      </c>
      <c r="H2421" t="s">
        <v>2060</v>
      </c>
      <c r="I2421" t="str">
        <f>VLOOKUP(B2421,Customers!A:G,7,FALSE)</f>
        <v>Corporate</v>
      </c>
      <c r="Q2421" t="str">
        <f>IF(COUNTIF(Customers!$A$2:$A$1001,B2421)&gt;0,"Valid","Invalid")</f>
        <v>Valid</v>
      </c>
      <c r="R2421" t="str">
        <f>IF(COUNTIF(Branches!$A$2:$A$11,F2421)&gt;0,"Valid","Invalid")</f>
        <v>Valid</v>
      </c>
    </row>
    <row r="2422" spans="1:18" x14ac:dyDescent="0.25">
      <c r="A2422" t="s">
        <v>4493</v>
      </c>
      <c r="B2422" t="s">
        <v>667</v>
      </c>
      <c r="C2422" s="8">
        <v>46053</v>
      </c>
      <c r="D2422" t="s">
        <v>2070</v>
      </c>
      <c r="E2422" t="s">
        <v>2076</v>
      </c>
      <c r="F2422" t="s">
        <v>27</v>
      </c>
      <c r="G2422">
        <v>285.64</v>
      </c>
      <c r="H2422" t="s">
        <v>2060</v>
      </c>
      <c r="I2422" t="str">
        <f>VLOOKUP(B2422,Customers!A:G,7,FALSE)</f>
        <v>Individual</v>
      </c>
      <c r="Q2422" t="str">
        <f>IF(COUNTIF(Customers!$A$2:$A$1001,B2422)&gt;0,"Valid","Invalid")</f>
        <v>Valid</v>
      </c>
      <c r="R2422" t="str">
        <f>IF(COUNTIF(Branches!$A$2:$A$11,F2422)&gt;0,"Valid","Invalid")</f>
        <v>Valid</v>
      </c>
    </row>
    <row r="2423" spans="1:18" x14ac:dyDescent="0.25">
      <c r="A2423" t="s">
        <v>4494</v>
      </c>
      <c r="B2423" t="s">
        <v>670</v>
      </c>
      <c r="C2423" s="8">
        <v>46139</v>
      </c>
      <c r="D2423" t="s">
        <v>2058</v>
      </c>
      <c r="E2423" t="s">
        <v>2059</v>
      </c>
      <c r="F2423" t="s">
        <v>47</v>
      </c>
      <c r="G2423">
        <v>1088.95</v>
      </c>
      <c r="H2423" t="s">
        <v>2060</v>
      </c>
      <c r="I2423" t="str">
        <f>VLOOKUP(B2423,Customers!A:G,7,FALSE)</f>
        <v>SME</v>
      </c>
      <c r="Q2423" t="str">
        <f>IF(COUNTIF(Customers!$A$2:$A$1001,B2423)&gt;0,"Valid","Invalid")</f>
        <v>Valid</v>
      </c>
      <c r="R2423" t="str">
        <f>IF(COUNTIF(Branches!$A$2:$A$11,F2423)&gt;0,"Valid","Invalid")</f>
        <v>Valid</v>
      </c>
    </row>
    <row r="2424" spans="1:18" x14ac:dyDescent="0.25">
      <c r="A2424" t="s">
        <v>4495</v>
      </c>
      <c r="B2424" t="s">
        <v>183</v>
      </c>
      <c r="C2424" s="8">
        <v>46215</v>
      </c>
      <c r="D2424" t="s">
        <v>2067</v>
      </c>
      <c r="E2424" t="s">
        <v>2063</v>
      </c>
      <c r="F2424" t="s">
        <v>45</v>
      </c>
      <c r="G2424">
        <v>1105.83</v>
      </c>
      <c r="H2424" t="s">
        <v>2060</v>
      </c>
      <c r="I2424" t="str">
        <f>VLOOKUP(B2424,Customers!A:G,7,FALSE)</f>
        <v>Corporate</v>
      </c>
      <c r="Q2424" t="str">
        <f>IF(COUNTIF(Customers!$A$2:$A$1001,B2424)&gt;0,"Valid","Invalid")</f>
        <v>Valid</v>
      </c>
      <c r="R2424" t="str">
        <f>IF(COUNTIF(Branches!$A$2:$A$11,F2424)&gt;0,"Valid","Invalid")</f>
        <v>Valid</v>
      </c>
    </row>
    <row r="2425" spans="1:18" x14ac:dyDescent="0.25">
      <c r="A2425" t="s">
        <v>4496</v>
      </c>
      <c r="B2425" t="s">
        <v>365</v>
      </c>
      <c r="C2425" s="8">
        <v>46234</v>
      </c>
      <c r="D2425" t="s">
        <v>2067</v>
      </c>
      <c r="E2425" t="s">
        <v>2063</v>
      </c>
      <c r="F2425" t="s">
        <v>27</v>
      </c>
      <c r="G2425">
        <v>346.61</v>
      </c>
      <c r="H2425" t="s">
        <v>2060</v>
      </c>
      <c r="I2425" t="str">
        <f>VLOOKUP(B2425,Customers!A:G,7,FALSE)</f>
        <v>SME</v>
      </c>
      <c r="Q2425" t="str">
        <f>IF(COUNTIF(Customers!$A$2:$A$1001,B2425)&gt;0,"Valid","Invalid")</f>
        <v>Valid</v>
      </c>
      <c r="R2425" t="str">
        <f>IF(COUNTIF(Branches!$A$2:$A$11,F2425)&gt;0,"Valid","Invalid")</f>
        <v>Valid</v>
      </c>
    </row>
    <row r="2426" spans="1:18" x14ac:dyDescent="0.25">
      <c r="A2426" t="s">
        <v>4497</v>
      </c>
      <c r="B2426" t="s">
        <v>453</v>
      </c>
      <c r="C2426" s="8">
        <v>46098</v>
      </c>
      <c r="D2426" t="s">
        <v>2065</v>
      </c>
      <c r="E2426" t="s">
        <v>2063</v>
      </c>
      <c r="F2426" t="s">
        <v>29</v>
      </c>
      <c r="G2426">
        <v>949.26</v>
      </c>
      <c r="H2426" t="s">
        <v>2060</v>
      </c>
      <c r="I2426" t="str">
        <f>VLOOKUP(B2426,Customers!A:G,7,FALSE)</f>
        <v>Student</v>
      </c>
      <c r="Q2426" t="str">
        <f>IF(COUNTIF(Customers!$A$2:$A$1001,B2426)&gt;0,"Valid","Invalid")</f>
        <v>Valid</v>
      </c>
      <c r="R2426" t="str">
        <f>IF(COUNTIF(Branches!$A$2:$A$11,F2426)&gt;0,"Valid","Invalid")</f>
        <v>Valid</v>
      </c>
    </row>
    <row r="2427" spans="1:18" x14ac:dyDescent="0.25">
      <c r="A2427" t="s">
        <v>4498</v>
      </c>
      <c r="B2427" t="s">
        <v>247</v>
      </c>
      <c r="C2427" s="8">
        <v>46167</v>
      </c>
      <c r="D2427" t="s">
        <v>2065</v>
      </c>
      <c r="E2427" t="s">
        <v>2076</v>
      </c>
      <c r="F2427" t="s">
        <v>35</v>
      </c>
      <c r="G2427">
        <v>318.95999999999998</v>
      </c>
      <c r="H2427" t="s">
        <v>2060</v>
      </c>
      <c r="I2427" t="str">
        <f>VLOOKUP(B2427,Customers!A:G,7,FALSE)</f>
        <v>Individual</v>
      </c>
      <c r="Q2427" t="str">
        <f>IF(COUNTIF(Customers!$A$2:$A$1001,B2427)&gt;0,"Valid","Invalid")</f>
        <v>Valid</v>
      </c>
      <c r="R2427" t="str">
        <f>IF(COUNTIF(Branches!$A$2:$A$11,F2427)&gt;0,"Valid","Invalid")</f>
        <v>Valid</v>
      </c>
    </row>
    <row r="2428" spans="1:18" x14ac:dyDescent="0.25">
      <c r="A2428" t="s">
        <v>4499</v>
      </c>
      <c r="B2428" t="s">
        <v>334</v>
      </c>
      <c r="C2428" s="8">
        <v>46165</v>
      </c>
      <c r="D2428" t="s">
        <v>2067</v>
      </c>
      <c r="E2428" t="s">
        <v>2068</v>
      </c>
      <c r="F2428" t="s">
        <v>21</v>
      </c>
      <c r="G2428">
        <v>1368.94</v>
      </c>
      <c r="H2428" t="s">
        <v>2060</v>
      </c>
      <c r="I2428" t="str">
        <f>VLOOKUP(B2428,Customers!A:G,7,FALSE)</f>
        <v>Individual</v>
      </c>
      <c r="Q2428" t="str">
        <f>IF(COUNTIF(Customers!$A$2:$A$1001,B2428)&gt;0,"Valid","Invalid")</f>
        <v>Valid</v>
      </c>
      <c r="R2428" t="str">
        <f>IF(COUNTIF(Branches!$A$2:$A$11,F2428)&gt;0,"Valid","Invalid")</f>
        <v>Valid</v>
      </c>
    </row>
    <row r="2429" spans="1:18" x14ac:dyDescent="0.25">
      <c r="A2429" t="s">
        <v>4500</v>
      </c>
      <c r="B2429" t="s">
        <v>436</v>
      </c>
      <c r="C2429" s="8">
        <v>46056</v>
      </c>
      <c r="D2429" t="s">
        <v>2070</v>
      </c>
      <c r="E2429" t="s">
        <v>2063</v>
      </c>
      <c r="F2429" t="s">
        <v>27</v>
      </c>
      <c r="G2429">
        <v>218.12</v>
      </c>
      <c r="H2429" t="s">
        <v>2060</v>
      </c>
      <c r="I2429" t="str">
        <f>VLOOKUP(B2429,Customers!A:G,7,FALSE)</f>
        <v>Individual</v>
      </c>
      <c r="Q2429" t="str">
        <f>IF(COUNTIF(Customers!$A$2:$A$1001,B2429)&gt;0,"Valid","Invalid")</f>
        <v>Valid</v>
      </c>
      <c r="R2429" t="str">
        <f>IF(COUNTIF(Branches!$A$2:$A$11,F2429)&gt;0,"Valid","Invalid")</f>
        <v>Valid</v>
      </c>
    </row>
    <row r="2430" spans="1:18" x14ac:dyDescent="0.25">
      <c r="A2430" t="s">
        <v>4501</v>
      </c>
      <c r="B2430" t="s">
        <v>139</v>
      </c>
      <c r="C2430" s="8">
        <v>46264</v>
      </c>
      <c r="D2430" t="s">
        <v>2065</v>
      </c>
      <c r="E2430" t="s">
        <v>2063</v>
      </c>
      <c r="F2430" t="s">
        <v>53</v>
      </c>
      <c r="G2430">
        <v>578.47</v>
      </c>
      <c r="H2430" t="s">
        <v>2060</v>
      </c>
      <c r="I2430" t="str">
        <f>VLOOKUP(B2430,Customers!A:G,7,FALSE)</f>
        <v>SME</v>
      </c>
      <c r="Q2430" t="str">
        <f>IF(COUNTIF(Customers!$A$2:$A$1001,B2430)&gt;0,"Valid","Invalid")</f>
        <v>Valid</v>
      </c>
      <c r="R2430" t="str">
        <f>IF(COUNTIF(Branches!$A$2:$A$11,F2430)&gt;0,"Valid","Invalid")</f>
        <v>Valid</v>
      </c>
    </row>
    <row r="2431" spans="1:18" x14ac:dyDescent="0.25">
      <c r="A2431" t="s">
        <v>4502</v>
      </c>
      <c r="B2431" t="s">
        <v>674</v>
      </c>
      <c r="C2431" s="8">
        <v>46102</v>
      </c>
      <c r="D2431" t="s">
        <v>2065</v>
      </c>
      <c r="E2431" t="s">
        <v>2059</v>
      </c>
      <c r="F2431" t="s">
        <v>16</v>
      </c>
      <c r="G2431">
        <v>630.95000000000005</v>
      </c>
      <c r="H2431" t="s">
        <v>2060</v>
      </c>
      <c r="I2431" t="str">
        <f>VLOOKUP(B2431,Customers!A:G,7,FALSE)</f>
        <v>SME</v>
      </c>
      <c r="Q2431" t="str">
        <f>IF(COUNTIF(Customers!$A$2:$A$1001,B2431)&gt;0,"Valid","Invalid")</f>
        <v>Valid</v>
      </c>
      <c r="R2431" t="str">
        <f>IF(COUNTIF(Branches!$A$2:$A$11,F2431)&gt;0,"Valid","Invalid")</f>
        <v>Valid</v>
      </c>
    </row>
    <row r="2432" spans="1:18" x14ac:dyDescent="0.25">
      <c r="A2432" t="s">
        <v>4503</v>
      </c>
      <c r="B2432" t="s">
        <v>795</v>
      </c>
      <c r="C2432" s="8">
        <v>46026</v>
      </c>
      <c r="D2432" t="s">
        <v>2065</v>
      </c>
      <c r="E2432" t="s">
        <v>2076</v>
      </c>
      <c r="F2432" t="s">
        <v>21</v>
      </c>
      <c r="G2432">
        <v>2472.4299999999998</v>
      </c>
      <c r="H2432" t="s">
        <v>2060</v>
      </c>
      <c r="I2432" t="str">
        <f>VLOOKUP(B2432,Customers!A:G,7,FALSE)</f>
        <v>Individual</v>
      </c>
      <c r="Q2432" t="str">
        <f>IF(COUNTIF(Customers!$A$2:$A$1001,B2432)&gt;0,"Valid","Invalid")</f>
        <v>Valid</v>
      </c>
      <c r="R2432" t="str">
        <f>IF(COUNTIF(Branches!$A$2:$A$11,F2432)&gt;0,"Valid","Invalid")</f>
        <v>Valid</v>
      </c>
    </row>
    <row r="2433" spans="1:18" x14ac:dyDescent="0.25">
      <c r="A2433" t="s">
        <v>4504</v>
      </c>
      <c r="B2433" t="s">
        <v>546</v>
      </c>
      <c r="C2433" s="8">
        <v>46094</v>
      </c>
      <c r="D2433" t="s">
        <v>2062</v>
      </c>
      <c r="E2433" t="s">
        <v>2063</v>
      </c>
      <c r="F2433" t="s">
        <v>27</v>
      </c>
      <c r="G2433">
        <v>934.53</v>
      </c>
      <c r="H2433" t="s">
        <v>2060</v>
      </c>
      <c r="I2433" t="str">
        <f>VLOOKUP(B2433,Customers!A:G,7,FALSE)</f>
        <v>Individual</v>
      </c>
      <c r="Q2433" t="str">
        <f>IF(COUNTIF(Customers!$A$2:$A$1001,B2433)&gt;0,"Valid","Invalid")</f>
        <v>Valid</v>
      </c>
      <c r="R2433" t="str">
        <f>IF(COUNTIF(Branches!$A$2:$A$11,F2433)&gt;0,"Valid","Invalid")</f>
        <v>Valid</v>
      </c>
    </row>
    <row r="2434" spans="1:18" x14ac:dyDescent="0.25">
      <c r="A2434" t="s">
        <v>4505</v>
      </c>
      <c r="B2434" t="s">
        <v>929</v>
      </c>
      <c r="C2434" s="8">
        <v>46120</v>
      </c>
      <c r="D2434" t="s">
        <v>2067</v>
      </c>
      <c r="E2434" t="s">
        <v>2063</v>
      </c>
      <c r="F2434" t="s">
        <v>39</v>
      </c>
      <c r="G2434">
        <v>2111.1999999999998</v>
      </c>
      <c r="H2434" t="s">
        <v>2060</v>
      </c>
      <c r="I2434" t="str">
        <f>VLOOKUP(B2434,Customers!A:G,7,FALSE)</f>
        <v>Individual</v>
      </c>
      <c r="Q2434" t="str">
        <f>IF(COUNTIF(Customers!$A$2:$A$1001,B2434)&gt;0,"Valid","Invalid")</f>
        <v>Valid</v>
      </c>
      <c r="R2434" t="str">
        <f>IF(COUNTIF(Branches!$A$2:$A$11,F2434)&gt;0,"Valid","Invalid")</f>
        <v>Valid</v>
      </c>
    </row>
    <row r="2435" spans="1:18" x14ac:dyDescent="0.25">
      <c r="A2435" t="s">
        <v>4506</v>
      </c>
      <c r="B2435" t="s">
        <v>906</v>
      </c>
      <c r="C2435" s="8">
        <v>46132</v>
      </c>
      <c r="D2435" t="s">
        <v>2067</v>
      </c>
      <c r="E2435" t="s">
        <v>2063</v>
      </c>
      <c r="F2435" t="s">
        <v>11</v>
      </c>
      <c r="G2435">
        <v>1414.73</v>
      </c>
      <c r="H2435" t="s">
        <v>2060</v>
      </c>
      <c r="I2435" t="str">
        <f>VLOOKUP(B2435,Customers!A:G,7,FALSE)</f>
        <v>Individual</v>
      </c>
      <c r="Q2435" t="str">
        <f>IF(COUNTIF(Customers!$A$2:$A$1001,B2435)&gt;0,"Valid","Invalid")</f>
        <v>Valid</v>
      </c>
      <c r="R2435" t="str">
        <f>IF(COUNTIF(Branches!$A$2:$A$11,F2435)&gt;0,"Valid","Invalid")</f>
        <v>Valid</v>
      </c>
    </row>
    <row r="2436" spans="1:18" x14ac:dyDescent="0.25">
      <c r="A2436" t="s">
        <v>4507</v>
      </c>
      <c r="B2436" t="s">
        <v>246</v>
      </c>
      <c r="C2436" s="8">
        <v>46239</v>
      </c>
      <c r="D2436" t="s">
        <v>2065</v>
      </c>
      <c r="E2436" t="s">
        <v>2059</v>
      </c>
      <c r="F2436" t="s">
        <v>47</v>
      </c>
      <c r="G2436">
        <v>1405.72</v>
      </c>
      <c r="H2436" t="s">
        <v>2060</v>
      </c>
      <c r="I2436" t="str">
        <f>VLOOKUP(B2436,Customers!A:G,7,FALSE)</f>
        <v>SME</v>
      </c>
      <c r="Q2436" t="str">
        <f>IF(COUNTIF(Customers!$A$2:$A$1001,B2436)&gt;0,"Valid","Invalid")</f>
        <v>Valid</v>
      </c>
      <c r="R2436" t="str">
        <f>IF(COUNTIF(Branches!$A$2:$A$11,F2436)&gt;0,"Valid","Invalid")</f>
        <v>Valid</v>
      </c>
    </row>
    <row r="2437" spans="1:18" x14ac:dyDescent="0.25">
      <c r="A2437" t="s">
        <v>4508</v>
      </c>
      <c r="B2437" t="s">
        <v>971</v>
      </c>
      <c r="C2437" s="8">
        <v>46229</v>
      </c>
      <c r="D2437" t="s">
        <v>2067</v>
      </c>
      <c r="E2437" t="s">
        <v>2063</v>
      </c>
      <c r="F2437" t="s">
        <v>47</v>
      </c>
      <c r="G2437">
        <v>582.92999999999995</v>
      </c>
      <c r="H2437" t="s">
        <v>2060</v>
      </c>
      <c r="I2437" t="str">
        <f>VLOOKUP(B2437,Customers!A:G,7,FALSE)</f>
        <v>Individual</v>
      </c>
      <c r="Q2437" t="str">
        <f>IF(COUNTIF(Customers!$A$2:$A$1001,B2437)&gt;0,"Valid","Invalid")</f>
        <v>Valid</v>
      </c>
      <c r="R2437" t="str">
        <f>IF(COUNTIF(Branches!$A$2:$A$11,F2437)&gt;0,"Valid","Invalid")</f>
        <v>Valid</v>
      </c>
    </row>
    <row r="2438" spans="1:18" x14ac:dyDescent="0.25">
      <c r="A2438" t="s">
        <v>4509</v>
      </c>
      <c r="B2438" t="s">
        <v>466</v>
      </c>
      <c r="C2438" s="8">
        <v>46050</v>
      </c>
      <c r="D2438" t="s">
        <v>2065</v>
      </c>
      <c r="E2438" t="s">
        <v>2059</v>
      </c>
      <c r="F2438" t="s">
        <v>11</v>
      </c>
      <c r="G2438">
        <v>2255</v>
      </c>
      <c r="H2438" t="s">
        <v>2060</v>
      </c>
      <c r="I2438" t="str">
        <f>VLOOKUP(B2438,Customers!A:G,7,FALSE)</f>
        <v>Corporate</v>
      </c>
      <c r="Q2438" t="str">
        <f>IF(COUNTIF(Customers!$A$2:$A$1001,B2438)&gt;0,"Valid","Invalid")</f>
        <v>Valid</v>
      </c>
      <c r="R2438" t="str">
        <f>IF(COUNTIF(Branches!$A$2:$A$11,F2438)&gt;0,"Valid","Invalid")</f>
        <v>Valid</v>
      </c>
    </row>
    <row r="2439" spans="1:18" x14ac:dyDescent="0.25">
      <c r="A2439" t="s">
        <v>4510</v>
      </c>
      <c r="B2439" t="s">
        <v>431</v>
      </c>
      <c r="C2439" s="8">
        <v>46223</v>
      </c>
      <c r="D2439" t="s">
        <v>2058</v>
      </c>
      <c r="E2439" t="s">
        <v>2076</v>
      </c>
      <c r="F2439" t="s">
        <v>21</v>
      </c>
      <c r="G2439">
        <v>568.97</v>
      </c>
      <c r="H2439" t="s">
        <v>2060</v>
      </c>
      <c r="I2439" t="str">
        <f>VLOOKUP(B2439,Customers!A:G,7,FALSE)</f>
        <v>SME</v>
      </c>
      <c r="Q2439" t="str">
        <f>IF(COUNTIF(Customers!$A$2:$A$1001,B2439)&gt;0,"Valid","Invalid")</f>
        <v>Valid</v>
      </c>
      <c r="R2439" t="str">
        <f>IF(COUNTIF(Branches!$A$2:$A$11,F2439)&gt;0,"Valid","Invalid")</f>
        <v>Valid</v>
      </c>
    </row>
    <row r="2440" spans="1:18" x14ac:dyDescent="0.25">
      <c r="A2440" t="s">
        <v>4511</v>
      </c>
      <c r="B2440" t="s">
        <v>864</v>
      </c>
      <c r="C2440" s="8">
        <v>46152</v>
      </c>
      <c r="D2440" t="s">
        <v>2065</v>
      </c>
      <c r="E2440" t="s">
        <v>2076</v>
      </c>
      <c r="F2440" t="s">
        <v>29</v>
      </c>
      <c r="G2440">
        <v>144.05000000000001</v>
      </c>
      <c r="H2440" t="s">
        <v>2060</v>
      </c>
      <c r="I2440" t="str">
        <f>VLOOKUP(B2440,Customers!A:G,7,FALSE)</f>
        <v>Individual</v>
      </c>
      <c r="Q2440" t="str">
        <f>IF(COUNTIF(Customers!$A$2:$A$1001,B2440)&gt;0,"Valid","Invalid")</f>
        <v>Valid</v>
      </c>
      <c r="R2440" t="str">
        <f>IF(COUNTIF(Branches!$A$2:$A$11,F2440)&gt;0,"Valid","Invalid")</f>
        <v>Valid</v>
      </c>
    </row>
    <row r="2441" spans="1:18" x14ac:dyDescent="0.25">
      <c r="A2441" t="s">
        <v>4512</v>
      </c>
      <c r="B2441" t="s">
        <v>954</v>
      </c>
      <c r="C2441" s="8">
        <v>46039</v>
      </c>
      <c r="D2441" t="s">
        <v>2062</v>
      </c>
      <c r="E2441" t="s">
        <v>2063</v>
      </c>
      <c r="F2441" t="s">
        <v>21</v>
      </c>
      <c r="G2441">
        <v>655.38</v>
      </c>
      <c r="H2441" t="s">
        <v>2060</v>
      </c>
      <c r="I2441" t="str">
        <f>VLOOKUP(B2441,Customers!A:G,7,FALSE)</f>
        <v>Individual</v>
      </c>
      <c r="Q2441" t="str">
        <f>IF(COUNTIF(Customers!$A$2:$A$1001,B2441)&gt;0,"Valid","Invalid")</f>
        <v>Valid</v>
      </c>
      <c r="R2441" t="str">
        <f>IF(COUNTIF(Branches!$A$2:$A$11,F2441)&gt;0,"Valid","Invalid")</f>
        <v>Valid</v>
      </c>
    </row>
    <row r="2442" spans="1:18" x14ac:dyDescent="0.25">
      <c r="A2442" t="s">
        <v>4513</v>
      </c>
      <c r="B2442" t="s">
        <v>145</v>
      </c>
      <c r="C2442" s="8">
        <v>46080</v>
      </c>
      <c r="D2442" t="s">
        <v>2058</v>
      </c>
      <c r="E2442" t="s">
        <v>2076</v>
      </c>
      <c r="F2442" t="s">
        <v>27</v>
      </c>
      <c r="G2442">
        <v>1278.54</v>
      </c>
      <c r="H2442" t="s">
        <v>2060</v>
      </c>
      <c r="I2442" t="str">
        <f>VLOOKUP(B2442,Customers!A:G,7,FALSE)</f>
        <v>Individual</v>
      </c>
      <c r="Q2442" t="str">
        <f>IF(COUNTIF(Customers!$A$2:$A$1001,B2442)&gt;0,"Valid","Invalid")</f>
        <v>Valid</v>
      </c>
      <c r="R2442" t="str">
        <f>IF(COUNTIF(Branches!$A$2:$A$11,F2442)&gt;0,"Valid","Invalid")</f>
        <v>Valid</v>
      </c>
    </row>
    <row r="2443" spans="1:18" x14ac:dyDescent="0.25">
      <c r="A2443" t="s">
        <v>4514</v>
      </c>
      <c r="B2443" t="s">
        <v>927</v>
      </c>
      <c r="C2443" s="8">
        <v>46149</v>
      </c>
      <c r="D2443" t="s">
        <v>2062</v>
      </c>
      <c r="E2443" t="s">
        <v>2059</v>
      </c>
      <c r="F2443" t="s">
        <v>11</v>
      </c>
      <c r="G2443">
        <v>162.94</v>
      </c>
      <c r="H2443" t="s">
        <v>2060</v>
      </c>
      <c r="I2443" t="str">
        <f>VLOOKUP(B2443,Customers!A:G,7,FALSE)</f>
        <v>Individual</v>
      </c>
      <c r="Q2443" t="str">
        <f>IF(COUNTIF(Customers!$A$2:$A$1001,B2443)&gt;0,"Valid","Invalid")</f>
        <v>Valid</v>
      </c>
      <c r="R2443" t="str">
        <f>IF(COUNTIF(Branches!$A$2:$A$11,F2443)&gt;0,"Valid","Invalid")</f>
        <v>Valid</v>
      </c>
    </row>
    <row r="2444" spans="1:18" x14ac:dyDescent="0.25">
      <c r="A2444" t="s">
        <v>4515</v>
      </c>
      <c r="B2444" t="s">
        <v>386</v>
      </c>
      <c r="C2444" s="8">
        <v>46224</v>
      </c>
      <c r="D2444" t="s">
        <v>2067</v>
      </c>
      <c r="E2444" t="s">
        <v>2073</v>
      </c>
      <c r="F2444" t="s">
        <v>11</v>
      </c>
      <c r="G2444">
        <v>335.26</v>
      </c>
      <c r="H2444" t="s">
        <v>2060</v>
      </c>
      <c r="I2444" t="str">
        <f>VLOOKUP(B2444,Customers!A:G,7,FALSE)</f>
        <v>SME</v>
      </c>
      <c r="Q2444" t="str">
        <f>IF(COUNTIF(Customers!$A$2:$A$1001,B2444)&gt;0,"Valid","Invalid")</f>
        <v>Valid</v>
      </c>
      <c r="R2444" t="str">
        <f>IF(COUNTIF(Branches!$A$2:$A$11,F2444)&gt;0,"Valid","Invalid")</f>
        <v>Valid</v>
      </c>
    </row>
    <row r="2445" spans="1:18" x14ac:dyDescent="0.25">
      <c r="A2445" t="s">
        <v>4516</v>
      </c>
      <c r="B2445" t="s">
        <v>86</v>
      </c>
      <c r="C2445" s="8">
        <v>46031</v>
      </c>
      <c r="D2445" t="s">
        <v>2067</v>
      </c>
      <c r="E2445" t="s">
        <v>2063</v>
      </c>
      <c r="F2445" t="s">
        <v>27</v>
      </c>
      <c r="G2445">
        <v>237.32</v>
      </c>
      <c r="H2445" t="s">
        <v>2060</v>
      </c>
      <c r="I2445" t="str">
        <f>VLOOKUP(B2445,Customers!A:G,7,FALSE)</f>
        <v>Corporate</v>
      </c>
      <c r="Q2445" t="str">
        <f>IF(COUNTIF(Customers!$A$2:$A$1001,B2445)&gt;0,"Valid","Invalid")</f>
        <v>Valid</v>
      </c>
      <c r="R2445" t="str">
        <f>IF(COUNTIF(Branches!$A$2:$A$11,F2445)&gt;0,"Valid","Invalid")</f>
        <v>Valid</v>
      </c>
    </row>
    <row r="2446" spans="1:18" x14ac:dyDescent="0.25">
      <c r="A2446" t="s">
        <v>4517</v>
      </c>
      <c r="B2446" t="s">
        <v>954</v>
      </c>
      <c r="C2446" s="8">
        <v>46053</v>
      </c>
      <c r="D2446" t="s">
        <v>2065</v>
      </c>
      <c r="E2446" t="s">
        <v>2076</v>
      </c>
      <c r="F2446" t="s">
        <v>11</v>
      </c>
      <c r="G2446">
        <v>1784.19</v>
      </c>
      <c r="H2446" t="s">
        <v>2060</v>
      </c>
      <c r="I2446" t="str">
        <f>VLOOKUP(B2446,Customers!A:G,7,FALSE)</f>
        <v>Individual</v>
      </c>
      <c r="Q2446" t="str">
        <f>IF(COUNTIF(Customers!$A$2:$A$1001,B2446)&gt;0,"Valid","Invalid")</f>
        <v>Valid</v>
      </c>
      <c r="R2446" t="str">
        <f>IF(COUNTIF(Branches!$A$2:$A$11,F2446)&gt;0,"Valid","Invalid")</f>
        <v>Valid</v>
      </c>
    </row>
    <row r="2447" spans="1:18" x14ac:dyDescent="0.25">
      <c r="A2447" t="s">
        <v>4518</v>
      </c>
      <c r="B2447" t="s">
        <v>141</v>
      </c>
      <c r="C2447" s="8">
        <v>46216</v>
      </c>
      <c r="D2447" t="s">
        <v>2058</v>
      </c>
      <c r="E2447" t="s">
        <v>2076</v>
      </c>
      <c r="F2447" t="s">
        <v>53</v>
      </c>
      <c r="G2447">
        <v>4328.01</v>
      </c>
      <c r="H2447" t="s">
        <v>2060</v>
      </c>
      <c r="I2447" t="str">
        <f>VLOOKUP(B2447,Customers!A:G,7,FALSE)</f>
        <v>Individual</v>
      </c>
      <c r="Q2447" t="str">
        <f>IF(COUNTIF(Customers!$A$2:$A$1001,B2447)&gt;0,"Valid","Invalid")</f>
        <v>Valid</v>
      </c>
      <c r="R2447" t="str">
        <f>IF(COUNTIF(Branches!$A$2:$A$11,F2447)&gt;0,"Valid","Invalid")</f>
        <v>Valid</v>
      </c>
    </row>
    <row r="2448" spans="1:18" x14ac:dyDescent="0.25">
      <c r="A2448" t="s">
        <v>4519</v>
      </c>
      <c r="B2448" t="s">
        <v>458</v>
      </c>
      <c r="C2448" s="8">
        <v>46110</v>
      </c>
      <c r="D2448" t="s">
        <v>2058</v>
      </c>
      <c r="E2448" t="s">
        <v>2063</v>
      </c>
      <c r="F2448" t="s">
        <v>21</v>
      </c>
      <c r="G2448">
        <v>658.72</v>
      </c>
      <c r="H2448" t="s">
        <v>2060</v>
      </c>
      <c r="I2448" t="str">
        <f>VLOOKUP(B2448,Customers!A:G,7,FALSE)</f>
        <v>Individual</v>
      </c>
      <c r="Q2448" t="str">
        <f>IF(COUNTIF(Customers!$A$2:$A$1001,B2448)&gt;0,"Valid","Invalid")</f>
        <v>Valid</v>
      </c>
      <c r="R2448" t="str">
        <f>IF(COUNTIF(Branches!$A$2:$A$11,F2448)&gt;0,"Valid","Invalid")</f>
        <v>Valid</v>
      </c>
    </row>
    <row r="2449" spans="1:18" x14ac:dyDescent="0.25">
      <c r="A2449" t="s">
        <v>4520</v>
      </c>
      <c r="B2449" t="s">
        <v>411</v>
      </c>
      <c r="C2449" s="8">
        <v>46084</v>
      </c>
      <c r="D2449" t="s">
        <v>2067</v>
      </c>
      <c r="E2449" t="s">
        <v>2073</v>
      </c>
      <c r="F2449" t="s">
        <v>39</v>
      </c>
      <c r="G2449">
        <v>1382.34</v>
      </c>
      <c r="H2449" t="s">
        <v>2060</v>
      </c>
      <c r="I2449" t="str">
        <f>VLOOKUP(B2449,Customers!A:G,7,FALSE)</f>
        <v>Student</v>
      </c>
      <c r="Q2449" t="str">
        <f>IF(COUNTIF(Customers!$A$2:$A$1001,B2449)&gt;0,"Valid","Invalid")</f>
        <v>Valid</v>
      </c>
      <c r="R2449" t="str">
        <f>IF(COUNTIF(Branches!$A$2:$A$11,F2449)&gt;0,"Valid","Invalid")</f>
        <v>Valid</v>
      </c>
    </row>
    <row r="2450" spans="1:18" x14ac:dyDescent="0.25">
      <c r="A2450" t="s">
        <v>4521</v>
      </c>
      <c r="B2450" t="s">
        <v>61</v>
      </c>
      <c r="C2450" s="8">
        <v>46041</v>
      </c>
      <c r="D2450" t="s">
        <v>2062</v>
      </c>
      <c r="E2450" t="s">
        <v>2059</v>
      </c>
      <c r="F2450" t="s">
        <v>21</v>
      </c>
      <c r="G2450">
        <v>1346.84</v>
      </c>
      <c r="H2450" t="s">
        <v>2060</v>
      </c>
      <c r="I2450" t="str">
        <f>VLOOKUP(B2450,Customers!A:G,7,FALSE)</f>
        <v>Student</v>
      </c>
      <c r="Q2450" t="str">
        <f>IF(COUNTIF(Customers!$A$2:$A$1001,B2450)&gt;0,"Valid","Invalid")</f>
        <v>Valid</v>
      </c>
      <c r="R2450" t="str">
        <f>IF(COUNTIF(Branches!$A$2:$A$11,F2450)&gt;0,"Valid","Invalid")</f>
        <v>Valid</v>
      </c>
    </row>
    <row r="2451" spans="1:18" x14ac:dyDescent="0.25">
      <c r="A2451" t="s">
        <v>4522</v>
      </c>
      <c r="B2451" t="s">
        <v>1006</v>
      </c>
      <c r="C2451" s="8">
        <v>46103</v>
      </c>
      <c r="D2451" t="s">
        <v>2062</v>
      </c>
      <c r="E2451" t="s">
        <v>2076</v>
      </c>
      <c r="F2451" t="s">
        <v>21</v>
      </c>
      <c r="G2451">
        <v>3842.19</v>
      </c>
      <c r="H2451" t="s">
        <v>2060</v>
      </c>
      <c r="I2451" t="str">
        <f>VLOOKUP(B2451,Customers!A:G,7,FALSE)</f>
        <v>Individual</v>
      </c>
      <c r="Q2451" t="str">
        <f>IF(COUNTIF(Customers!$A$2:$A$1001,B2451)&gt;0,"Valid","Invalid")</f>
        <v>Valid</v>
      </c>
      <c r="R2451" t="str">
        <f>IF(COUNTIF(Branches!$A$2:$A$11,F2451)&gt;0,"Valid","Invalid")</f>
        <v>Valid</v>
      </c>
    </row>
    <row r="2452" spans="1:18" x14ac:dyDescent="0.25">
      <c r="A2452" t="s">
        <v>4523</v>
      </c>
      <c r="B2452" t="s">
        <v>838</v>
      </c>
      <c r="C2452" s="8">
        <v>46129</v>
      </c>
      <c r="D2452" t="s">
        <v>2062</v>
      </c>
      <c r="E2452" t="s">
        <v>2063</v>
      </c>
      <c r="F2452" t="s">
        <v>45</v>
      </c>
      <c r="G2452">
        <v>423.03</v>
      </c>
      <c r="H2452" t="s">
        <v>2060</v>
      </c>
      <c r="I2452" t="str">
        <f>VLOOKUP(B2452,Customers!A:G,7,FALSE)</f>
        <v>Individual</v>
      </c>
      <c r="Q2452" t="str">
        <f>IF(COUNTIF(Customers!$A$2:$A$1001,B2452)&gt;0,"Valid","Invalid")</f>
        <v>Valid</v>
      </c>
      <c r="R2452" t="str">
        <f>IF(COUNTIF(Branches!$A$2:$A$11,F2452)&gt;0,"Valid","Invalid")</f>
        <v>Valid</v>
      </c>
    </row>
    <row r="2453" spans="1:18" x14ac:dyDescent="0.25">
      <c r="A2453" t="s">
        <v>4524</v>
      </c>
      <c r="B2453" t="s">
        <v>807</v>
      </c>
      <c r="C2453" s="8">
        <v>46263</v>
      </c>
      <c r="D2453" t="s">
        <v>2065</v>
      </c>
      <c r="E2453" t="s">
        <v>2063</v>
      </c>
      <c r="F2453" t="s">
        <v>47</v>
      </c>
      <c r="G2453">
        <v>652.04999999999995</v>
      </c>
      <c r="H2453" t="s">
        <v>2115</v>
      </c>
      <c r="I2453" t="str">
        <f>VLOOKUP(B2453,Customers!A:G,7,FALSE)</f>
        <v>SME</v>
      </c>
      <c r="Q2453" t="str">
        <f>IF(COUNTIF(Customers!$A$2:$A$1001,B2453)&gt;0,"Valid","Invalid")</f>
        <v>Valid</v>
      </c>
      <c r="R2453" t="str">
        <f>IF(COUNTIF(Branches!$A$2:$A$11,F2453)&gt;0,"Valid","Invalid")</f>
        <v>Valid</v>
      </c>
    </row>
    <row r="2454" spans="1:18" x14ac:dyDescent="0.25">
      <c r="A2454" t="s">
        <v>4525</v>
      </c>
      <c r="B2454" t="s">
        <v>311</v>
      </c>
      <c r="C2454" s="8">
        <v>46224</v>
      </c>
      <c r="D2454" t="s">
        <v>2058</v>
      </c>
      <c r="E2454" t="s">
        <v>2059</v>
      </c>
      <c r="F2454" t="s">
        <v>16</v>
      </c>
      <c r="G2454">
        <v>577.79999999999995</v>
      </c>
      <c r="H2454" t="s">
        <v>2060</v>
      </c>
      <c r="I2454" t="str">
        <f>VLOOKUP(B2454,Customers!A:G,7,FALSE)</f>
        <v>Individual</v>
      </c>
      <c r="Q2454" t="str">
        <f>IF(COUNTIF(Customers!$A$2:$A$1001,B2454)&gt;0,"Valid","Invalid")</f>
        <v>Valid</v>
      </c>
      <c r="R2454" t="str">
        <f>IF(COUNTIF(Branches!$A$2:$A$11,F2454)&gt;0,"Valid","Invalid")</f>
        <v>Valid</v>
      </c>
    </row>
    <row r="2455" spans="1:18" x14ac:dyDescent="0.25">
      <c r="A2455" t="s">
        <v>4526</v>
      </c>
      <c r="B2455" t="s">
        <v>687</v>
      </c>
      <c r="C2455" s="8">
        <v>46264</v>
      </c>
      <c r="D2455" t="s">
        <v>2065</v>
      </c>
      <c r="E2455" t="s">
        <v>2063</v>
      </c>
      <c r="F2455" t="s">
        <v>53</v>
      </c>
      <c r="G2455">
        <v>876</v>
      </c>
      <c r="H2455" t="s">
        <v>2107</v>
      </c>
      <c r="I2455" t="str">
        <f>VLOOKUP(B2455,Customers!A:G,7,FALSE)</f>
        <v>Individual</v>
      </c>
      <c r="Q2455" t="str">
        <f>IF(COUNTIF(Customers!$A$2:$A$1001,B2455)&gt;0,"Valid","Invalid")</f>
        <v>Valid</v>
      </c>
      <c r="R2455" t="str">
        <f>IF(COUNTIF(Branches!$A$2:$A$11,F2455)&gt;0,"Valid","Invalid")</f>
        <v>Valid</v>
      </c>
    </row>
    <row r="2456" spans="1:18" x14ac:dyDescent="0.25">
      <c r="A2456" t="s">
        <v>4527</v>
      </c>
      <c r="B2456" t="s">
        <v>378</v>
      </c>
      <c r="C2456" s="8">
        <v>46077</v>
      </c>
      <c r="D2456" t="s">
        <v>2058</v>
      </c>
      <c r="E2456" t="s">
        <v>2059</v>
      </c>
      <c r="F2456" t="s">
        <v>21</v>
      </c>
      <c r="G2456">
        <v>9939.9500000000007</v>
      </c>
      <c r="H2456" t="s">
        <v>2060</v>
      </c>
      <c r="I2456" t="str">
        <f>VLOOKUP(B2456,Customers!A:G,7,FALSE)</f>
        <v>SME</v>
      </c>
      <c r="Q2456" t="str">
        <f>IF(COUNTIF(Customers!$A$2:$A$1001,B2456)&gt;0,"Valid","Invalid")</f>
        <v>Valid</v>
      </c>
      <c r="R2456" t="str">
        <f>IF(COUNTIF(Branches!$A$2:$A$11,F2456)&gt;0,"Valid","Invalid")</f>
        <v>Valid</v>
      </c>
    </row>
    <row r="2457" spans="1:18" x14ac:dyDescent="0.25">
      <c r="A2457" t="s">
        <v>4528</v>
      </c>
      <c r="B2457" t="s">
        <v>339</v>
      </c>
      <c r="C2457" s="8">
        <v>46178</v>
      </c>
      <c r="D2457" t="s">
        <v>2067</v>
      </c>
      <c r="E2457" t="s">
        <v>2059</v>
      </c>
      <c r="F2457" t="s">
        <v>39</v>
      </c>
      <c r="G2457">
        <v>837.83</v>
      </c>
      <c r="H2457" t="s">
        <v>2060</v>
      </c>
      <c r="I2457" t="str">
        <f>VLOOKUP(B2457,Customers!A:G,7,FALSE)</f>
        <v>SME</v>
      </c>
      <c r="Q2457" t="str">
        <f>IF(COUNTIF(Customers!$A$2:$A$1001,B2457)&gt;0,"Valid","Invalid")</f>
        <v>Valid</v>
      </c>
      <c r="R2457" t="str">
        <f>IF(COUNTIF(Branches!$A$2:$A$11,F2457)&gt;0,"Valid","Invalid")</f>
        <v>Valid</v>
      </c>
    </row>
    <row r="2458" spans="1:18" x14ac:dyDescent="0.25">
      <c r="A2458" t="s">
        <v>4529</v>
      </c>
      <c r="B2458" t="s">
        <v>518</v>
      </c>
      <c r="C2458" s="8">
        <v>46252</v>
      </c>
      <c r="D2458" t="s">
        <v>2065</v>
      </c>
      <c r="E2458" t="s">
        <v>2076</v>
      </c>
      <c r="F2458" t="s">
        <v>27</v>
      </c>
      <c r="G2458">
        <v>345.6</v>
      </c>
      <c r="H2458" t="s">
        <v>2060</v>
      </c>
      <c r="I2458" t="str">
        <f>VLOOKUP(B2458,Customers!A:G,7,FALSE)</f>
        <v>SME</v>
      </c>
      <c r="Q2458" t="str">
        <f>IF(COUNTIF(Customers!$A$2:$A$1001,B2458)&gt;0,"Valid","Invalid")</f>
        <v>Valid</v>
      </c>
      <c r="R2458" t="str">
        <f>IF(COUNTIF(Branches!$A$2:$A$11,F2458)&gt;0,"Valid","Invalid")</f>
        <v>Valid</v>
      </c>
    </row>
    <row r="2459" spans="1:18" x14ac:dyDescent="0.25">
      <c r="A2459" t="s">
        <v>4530</v>
      </c>
      <c r="B2459" t="s">
        <v>872</v>
      </c>
      <c r="C2459" s="8">
        <v>46134</v>
      </c>
      <c r="D2459" t="s">
        <v>2062</v>
      </c>
      <c r="E2459" t="s">
        <v>2059</v>
      </c>
      <c r="F2459" t="s">
        <v>16</v>
      </c>
      <c r="G2459">
        <v>256.08</v>
      </c>
      <c r="H2459" t="s">
        <v>2060</v>
      </c>
      <c r="I2459" t="str">
        <f>VLOOKUP(B2459,Customers!A:G,7,FALSE)</f>
        <v>Individual</v>
      </c>
      <c r="Q2459" t="str">
        <f>IF(COUNTIF(Customers!$A$2:$A$1001,B2459)&gt;0,"Valid","Invalid")</f>
        <v>Valid</v>
      </c>
      <c r="R2459" t="str">
        <f>IF(COUNTIF(Branches!$A$2:$A$11,F2459)&gt;0,"Valid","Invalid")</f>
        <v>Valid</v>
      </c>
    </row>
    <row r="2460" spans="1:18" x14ac:dyDescent="0.25">
      <c r="A2460" t="s">
        <v>4531</v>
      </c>
      <c r="B2460" t="s">
        <v>582</v>
      </c>
      <c r="C2460" s="8">
        <v>46242</v>
      </c>
      <c r="D2460" t="s">
        <v>2058</v>
      </c>
      <c r="E2460" t="s">
        <v>2063</v>
      </c>
      <c r="F2460" t="s">
        <v>47</v>
      </c>
      <c r="G2460">
        <v>2843.08</v>
      </c>
      <c r="H2460" t="s">
        <v>2060</v>
      </c>
      <c r="I2460" t="str">
        <f>VLOOKUP(B2460,Customers!A:G,7,FALSE)</f>
        <v>Individual</v>
      </c>
      <c r="Q2460" t="str">
        <f>IF(COUNTIF(Customers!$A$2:$A$1001,B2460)&gt;0,"Valid","Invalid")</f>
        <v>Valid</v>
      </c>
      <c r="R2460" t="str">
        <f>IF(COUNTIF(Branches!$A$2:$A$11,F2460)&gt;0,"Valid","Invalid")</f>
        <v>Valid</v>
      </c>
    </row>
    <row r="2461" spans="1:18" x14ac:dyDescent="0.25">
      <c r="A2461" t="s">
        <v>4532</v>
      </c>
      <c r="B2461" t="s">
        <v>595</v>
      </c>
      <c r="C2461" s="8">
        <v>46145</v>
      </c>
      <c r="D2461" t="s">
        <v>2067</v>
      </c>
      <c r="E2461" t="s">
        <v>2076</v>
      </c>
      <c r="F2461" t="s">
        <v>53</v>
      </c>
      <c r="G2461">
        <v>344.04</v>
      </c>
      <c r="H2461" t="s">
        <v>2060</v>
      </c>
      <c r="I2461" t="str">
        <f>VLOOKUP(B2461,Customers!A:G,7,FALSE)</f>
        <v>Individual</v>
      </c>
      <c r="Q2461" t="str">
        <f>IF(COUNTIF(Customers!$A$2:$A$1001,B2461)&gt;0,"Valid","Invalid")</f>
        <v>Valid</v>
      </c>
      <c r="R2461" t="str">
        <f>IF(COUNTIF(Branches!$A$2:$A$11,F2461)&gt;0,"Valid","Invalid")</f>
        <v>Valid</v>
      </c>
    </row>
    <row r="2462" spans="1:18" x14ac:dyDescent="0.25">
      <c r="A2462" t="s">
        <v>4533</v>
      </c>
      <c r="B2462" t="s">
        <v>303</v>
      </c>
      <c r="C2462" s="8">
        <v>46264</v>
      </c>
      <c r="D2462" t="s">
        <v>2065</v>
      </c>
      <c r="E2462" t="s">
        <v>2059</v>
      </c>
      <c r="F2462" t="s">
        <v>29</v>
      </c>
      <c r="G2462">
        <v>1577.48</v>
      </c>
      <c r="H2462" t="s">
        <v>2060</v>
      </c>
      <c r="I2462" t="str">
        <f>VLOOKUP(B2462,Customers!A:G,7,FALSE)</f>
        <v>SME</v>
      </c>
      <c r="Q2462" t="str">
        <f>IF(COUNTIF(Customers!$A$2:$A$1001,B2462)&gt;0,"Valid","Invalid")</f>
        <v>Valid</v>
      </c>
      <c r="R2462" t="str">
        <f>IF(COUNTIF(Branches!$A$2:$A$11,F2462)&gt;0,"Valid","Invalid")</f>
        <v>Valid</v>
      </c>
    </row>
    <row r="2463" spans="1:18" x14ac:dyDescent="0.25">
      <c r="A2463" t="s">
        <v>4534</v>
      </c>
      <c r="B2463" t="s">
        <v>580</v>
      </c>
      <c r="C2463" s="8">
        <v>46200</v>
      </c>
      <c r="D2463" t="s">
        <v>2058</v>
      </c>
      <c r="E2463" t="s">
        <v>2059</v>
      </c>
      <c r="F2463" t="s">
        <v>47</v>
      </c>
      <c r="G2463">
        <v>411.71</v>
      </c>
      <c r="H2463" t="s">
        <v>2060</v>
      </c>
      <c r="I2463" t="str">
        <f>VLOOKUP(B2463,Customers!A:G,7,FALSE)</f>
        <v>Individual</v>
      </c>
      <c r="Q2463" t="str">
        <f>IF(COUNTIF(Customers!$A$2:$A$1001,B2463)&gt;0,"Valid","Invalid")</f>
        <v>Valid</v>
      </c>
      <c r="R2463" t="str">
        <f>IF(COUNTIF(Branches!$A$2:$A$11,F2463)&gt;0,"Valid","Invalid")</f>
        <v>Valid</v>
      </c>
    </row>
    <row r="2464" spans="1:18" x14ac:dyDescent="0.25">
      <c r="A2464" t="s">
        <v>4535</v>
      </c>
      <c r="B2464" t="s">
        <v>634</v>
      </c>
      <c r="C2464" s="8">
        <v>46087</v>
      </c>
      <c r="D2464" t="s">
        <v>2070</v>
      </c>
      <c r="E2464" t="s">
        <v>2063</v>
      </c>
      <c r="F2464" t="s">
        <v>21</v>
      </c>
      <c r="G2464">
        <v>228.91</v>
      </c>
      <c r="H2464" t="s">
        <v>2060</v>
      </c>
      <c r="I2464" t="str">
        <f>VLOOKUP(B2464,Customers!A:G,7,FALSE)</f>
        <v>Individual</v>
      </c>
      <c r="Q2464" t="str">
        <f>IF(COUNTIF(Customers!$A$2:$A$1001,B2464)&gt;0,"Valid","Invalid")</f>
        <v>Valid</v>
      </c>
      <c r="R2464" t="str">
        <f>IF(COUNTIF(Branches!$A$2:$A$11,F2464)&gt;0,"Valid","Invalid")</f>
        <v>Valid</v>
      </c>
    </row>
    <row r="2465" spans="1:18" x14ac:dyDescent="0.25">
      <c r="A2465" t="s">
        <v>4536</v>
      </c>
      <c r="B2465" t="s">
        <v>202</v>
      </c>
      <c r="C2465" s="8">
        <v>46146</v>
      </c>
      <c r="D2465" t="s">
        <v>2058</v>
      </c>
      <c r="E2465" t="s">
        <v>2063</v>
      </c>
      <c r="F2465" t="s">
        <v>29</v>
      </c>
      <c r="G2465">
        <v>1488.02</v>
      </c>
      <c r="H2465" t="s">
        <v>2060</v>
      </c>
      <c r="I2465" t="str">
        <f>VLOOKUP(B2465,Customers!A:G,7,FALSE)</f>
        <v>Student</v>
      </c>
      <c r="Q2465" t="str">
        <f>IF(COUNTIF(Customers!$A$2:$A$1001,B2465)&gt;0,"Valid","Invalid")</f>
        <v>Valid</v>
      </c>
      <c r="R2465" t="str">
        <f>IF(COUNTIF(Branches!$A$2:$A$11,F2465)&gt;0,"Valid","Invalid")</f>
        <v>Valid</v>
      </c>
    </row>
    <row r="2466" spans="1:18" x14ac:dyDescent="0.25">
      <c r="A2466" t="s">
        <v>4537</v>
      </c>
      <c r="B2466" t="s">
        <v>354</v>
      </c>
      <c r="C2466" s="8">
        <v>46025</v>
      </c>
      <c r="D2466" t="s">
        <v>2070</v>
      </c>
      <c r="E2466" t="s">
        <v>2063</v>
      </c>
      <c r="F2466" t="s">
        <v>35</v>
      </c>
      <c r="G2466">
        <v>432.36</v>
      </c>
      <c r="H2466" t="s">
        <v>2060</v>
      </c>
      <c r="I2466" t="str">
        <f>VLOOKUP(B2466,Customers!A:G,7,FALSE)</f>
        <v>Individual</v>
      </c>
      <c r="Q2466" t="str">
        <f>IF(COUNTIF(Customers!$A$2:$A$1001,B2466)&gt;0,"Valid","Invalid")</f>
        <v>Valid</v>
      </c>
      <c r="R2466" t="str">
        <f>IF(COUNTIF(Branches!$A$2:$A$11,F2466)&gt;0,"Valid","Invalid")</f>
        <v>Valid</v>
      </c>
    </row>
    <row r="2467" spans="1:18" x14ac:dyDescent="0.25">
      <c r="A2467" t="s">
        <v>4538</v>
      </c>
      <c r="B2467" t="s">
        <v>8</v>
      </c>
      <c r="C2467" s="8">
        <v>46229</v>
      </c>
      <c r="D2467" t="s">
        <v>2065</v>
      </c>
      <c r="E2467" t="s">
        <v>2073</v>
      </c>
      <c r="F2467" t="s">
        <v>39</v>
      </c>
      <c r="G2467">
        <v>1243.18</v>
      </c>
      <c r="H2467" t="s">
        <v>2060</v>
      </c>
      <c r="I2467" t="str">
        <f>VLOOKUP(B2467,Customers!A:G,7,FALSE)</f>
        <v>Individual</v>
      </c>
      <c r="Q2467" t="str">
        <f>IF(COUNTIF(Customers!$A$2:$A$1001,B2467)&gt;0,"Valid","Invalid")</f>
        <v>Valid</v>
      </c>
      <c r="R2467" t="str">
        <f>IF(COUNTIF(Branches!$A$2:$A$11,F2467)&gt;0,"Valid","Invalid")</f>
        <v>Valid</v>
      </c>
    </row>
    <row r="2468" spans="1:18" x14ac:dyDescent="0.25">
      <c r="A2468" t="s">
        <v>4539</v>
      </c>
      <c r="B2468" t="s">
        <v>799</v>
      </c>
      <c r="C2468" s="8">
        <v>46202</v>
      </c>
      <c r="D2468" t="s">
        <v>2058</v>
      </c>
      <c r="E2468" t="s">
        <v>2059</v>
      </c>
      <c r="F2468" t="s">
        <v>53</v>
      </c>
      <c r="G2468">
        <v>1338.47</v>
      </c>
      <c r="H2468" t="s">
        <v>2060</v>
      </c>
      <c r="I2468" t="str">
        <f>VLOOKUP(B2468,Customers!A:G,7,FALSE)</f>
        <v>Student</v>
      </c>
      <c r="Q2468" t="str">
        <f>IF(COUNTIF(Customers!$A$2:$A$1001,B2468)&gt;0,"Valid","Invalid")</f>
        <v>Valid</v>
      </c>
      <c r="R2468" t="str">
        <f>IF(COUNTIF(Branches!$A$2:$A$11,F2468)&gt;0,"Valid","Invalid")</f>
        <v>Valid</v>
      </c>
    </row>
    <row r="2469" spans="1:18" x14ac:dyDescent="0.25">
      <c r="A2469" t="s">
        <v>4540</v>
      </c>
      <c r="B2469" t="s">
        <v>299</v>
      </c>
      <c r="C2469" s="8">
        <v>46160</v>
      </c>
      <c r="D2469" t="s">
        <v>2062</v>
      </c>
      <c r="E2469" t="s">
        <v>2063</v>
      </c>
      <c r="F2469" t="s">
        <v>11</v>
      </c>
      <c r="G2469">
        <v>1402.86</v>
      </c>
      <c r="H2469" t="s">
        <v>2060</v>
      </c>
      <c r="I2469" t="str">
        <f>VLOOKUP(B2469,Customers!A:G,7,FALSE)</f>
        <v>SME</v>
      </c>
      <c r="Q2469" t="str">
        <f>IF(COUNTIF(Customers!$A$2:$A$1001,B2469)&gt;0,"Valid","Invalid")</f>
        <v>Valid</v>
      </c>
      <c r="R2469" t="str">
        <f>IF(COUNTIF(Branches!$A$2:$A$11,F2469)&gt;0,"Valid","Invalid")</f>
        <v>Valid</v>
      </c>
    </row>
    <row r="2470" spans="1:18" x14ac:dyDescent="0.25">
      <c r="A2470" t="s">
        <v>4541</v>
      </c>
      <c r="B2470" t="s">
        <v>99</v>
      </c>
      <c r="C2470" s="8">
        <v>46043</v>
      </c>
      <c r="D2470" t="s">
        <v>2058</v>
      </c>
      <c r="E2470" t="s">
        <v>2063</v>
      </c>
      <c r="F2470" t="s">
        <v>29</v>
      </c>
      <c r="G2470">
        <v>621.32000000000005</v>
      </c>
      <c r="H2470" t="s">
        <v>2060</v>
      </c>
      <c r="I2470" t="str">
        <f>VLOOKUP(B2470,Customers!A:G,7,FALSE)</f>
        <v>Student</v>
      </c>
      <c r="Q2470" t="str">
        <f>IF(COUNTIF(Customers!$A$2:$A$1001,B2470)&gt;0,"Valid","Invalid")</f>
        <v>Valid</v>
      </c>
      <c r="R2470" t="str">
        <f>IF(COUNTIF(Branches!$A$2:$A$11,F2470)&gt;0,"Valid","Invalid")</f>
        <v>Valid</v>
      </c>
    </row>
    <row r="2471" spans="1:18" x14ac:dyDescent="0.25">
      <c r="A2471" t="s">
        <v>4542</v>
      </c>
      <c r="B2471" t="s">
        <v>521</v>
      </c>
      <c r="C2471" s="8">
        <v>46059</v>
      </c>
      <c r="D2471" t="s">
        <v>2065</v>
      </c>
      <c r="E2471" t="s">
        <v>2063</v>
      </c>
      <c r="F2471" t="s">
        <v>35</v>
      </c>
      <c r="G2471">
        <v>1613.54</v>
      </c>
      <c r="H2471" t="s">
        <v>2060</v>
      </c>
      <c r="I2471" t="str">
        <f>VLOOKUP(B2471,Customers!A:G,7,FALSE)</f>
        <v>Individual</v>
      </c>
      <c r="Q2471" t="str">
        <f>IF(COUNTIF(Customers!$A$2:$A$1001,B2471)&gt;0,"Valid","Invalid")</f>
        <v>Valid</v>
      </c>
      <c r="R2471" t="str">
        <f>IF(COUNTIF(Branches!$A$2:$A$11,F2471)&gt;0,"Valid","Invalid")</f>
        <v>Valid</v>
      </c>
    </row>
    <row r="2472" spans="1:18" x14ac:dyDescent="0.25">
      <c r="A2472" t="s">
        <v>4543</v>
      </c>
      <c r="B2472" t="s">
        <v>714</v>
      </c>
      <c r="C2472" s="8">
        <v>46037</v>
      </c>
      <c r="D2472" t="s">
        <v>2058</v>
      </c>
      <c r="E2472" t="s">
        <v>2059</v>
      </c>
      <c r="F2472" t="s">
        <v>21</v>
      </c>
      <c r="G2472">
        <v>322.94</v>
      </c>
      <c r="H2472" t="s">
        <v>2060</v>
      </c>
      <c r="I2472" t="str">
        <f>VLOOKUP(B2472,Customers!A:G,7,FALSE)</f>
        <v>Individual</v>
      </c>
      <c r="Q2472" t="str">
        <f>IF(COUNTIF(Customers!$A$2:$A$1001,B2472)&gt;0,"Valid","Invalid")</f>
        <v>Valid</v>
      </c>
      <c r="R2472" t="str">
        <f>IF(COUNTIF(Branches!$A$2:$A$11,F2472)&gt;0,"Valid","Invalid")</f>
        <v>Valid</v>
      </c>
    </row>
    <row r="2473" spans="1:18" x14ac:dyDescent="0.25">
      <c r="A2473" t="s">
        <v>4544</v>
      </c>
      <c r="B2473" t="s">
        <v>359</v>
      </c>
      <c r="C2473" s="8">
        <v>46109</v>
      </c>
      <c r="D2473" t="s">
        <v>2058</v>
      </c>
      <c r="E2473" t="s">
        <v>2063</v>
      </c>
      <c r="F2473" t="s">
        <v>11</v>
      </c>
      <c r="G2473">
        <v>69.819999999999993</v>
      </c>
      <c r="H2473" t="s">
        <v>2060</v>
      </c>
      <c r="I2473" t="str">
        <f>VLOOKUP(B2473,Customers!A:G,7,FALSE)</f>
        <v>SME</v>
      </c>
      <c r="Q2473" t="str">
        <f>IF(COUNTIF(Customers!$A$2:$A$1001,B2473)&gt;0,"Valid","Invalid")</f>
        <v>Valid</v>
      </c>
      <c r="R2473" t="str">
        <f>IF(COUNTIF(Branches!$A$2:$A$11,F2473)&gt;0,"Valid","Invalid")</f>
        <v>Valid</v>
      </c>
    </row>
    <row r="2474" spans="1:18" x14ac:dyDescent="0.25">
      <c r="A2474" t="s">
        <v>4545</v>
      </c>
      <c r="B2474" t="s">
        <v>884</v>
      </c>
      <c r="C2474" s="8">
        <v>46228</v>
      </c>
      <c r="D2474" t="s">
        <v>2062</v>
      </c>
      <c r="E2474" t="s">
        <v>2059</v>
      </c>
      <c r="F2474" t="s">
        <v>29</v>
      </c>
      <c r="G2474">
        <v>1647.3</v>
      </c>
      <c r="H2474" t="s">
        <v>2060</v>
      </c>
      <c r="I2474" t="str">
        <f>VLOOKUP(B2474,Customers!A:G,7,FALSE)</f>
        <v>SME</v>
      </c>
      <c r="Q2474" t="str">
        <f>IF(COUNTIF(Customers!$A$2:$A$1001,B2474)&gt;0,"Valid","Invalid")</f>
        <v>Valid</v>
      </c>
      <c r="R2474" t="str">
        <f>IF(COUNTIF(Branches!$A$2:$A$11,F2474)&gt;0,"Valid","Invalid")</f>
        <v>Valid</v>
      </c>
    </row>
    <row r="2475" spans="1:18" x14ac:dyDescent="0.25">
      <c r="A2475" t="s">
        <v>4546</v>
      </c>
      <c r="B2475" t="s">
        <v>238</v>
      </c>
      <c r="C2475" s="8">
        <v>46229</v>
      </c>
      <c r="D2475" t="s">
        <v>2062</v>
      </c>
      <c r="E2475" t="s">
        <v>2059</v>
      </c>
      <c r="F2475" t="s">
        <v>11</v>
      </c>
      <c r="G2475">
        <v>958.71</v>
      </c>
      <c r="H2475" t="s">
        <v>2115</v>
      </c>
      <c r="I2475" t="str">
        <f>VLOOKUP(B2475,Customers!A:G,7,FALSE)</f>
        <v>Individual</v>
      </c>
      <c r="Q2475" t="str">
        <f>IF(COUNTIF(Customers!$A$2:$A$1001,B2475)&gt;0,"Valid","Invalid")</f>
        <v>Valid</v>
      </c>
      <c r="R2475" t="str">
        <f>IF(COUNTIF(Branches!$A$2:$A$11,F2475)&gt;0,"Valid","Invalid")</f>
        <v>Valid</v>
      </c>
    </row>
    <row r="2476" spans="1:18" x14ac:dyDescent="0.25">
      <c r="A2476" t="s">
        <v>4547</v>
      </c>
      <c r="B2476" t="s">
        <v>259</v>
      </c>
      <c r="C2476" s="8">
        <v>46224</v>
      </c>
      <c r="D2476" t="s">
        <v>2062</v>
      </c>
      <c r="E2476" t="s">
        <v>2068</v>
      </c>
      <c r="F2476" t="s">
        <v>47</v>
      </c>
      <c r="G2476">
        <v>441.39</v>
      </c>
      <c r="H2476" t="s">
        <v>2060</v>
      </c>
      <c r="I2476" t="str">
        <f>VLOOKUP(B2476,Customers!A:G,7,FALSE)</f>
        <v>Individual</v>
      </c>
      <c r="Q2476" t="str">
        <f>IF(COUNTIF(Customers!$A$2:$A$1001,B2476)&gt;0,"Valid","Invalid")</f>
        <v>Valid</v>
      </c>
      <c r="R2476" t="str">
        <f>IF(COUNTIF(Branches!$A$2:$A$11,F2476)&gt;0,"Valid","Invalid")</f>
        <v>Valid</v>
      </c>
    </row>
    <row r="2477" spans="1:18" x14ac:dyDescent="0.25">
      <c r="A2477" t="s">
        <v>4548</v>
      </c>
      <c r="B2477" t="s">
        <v>188</v>
      </c>
      <c r="C2477" s="8">
        <v>46142</v>
      </c>
      <c r="D2477" t="s">
        <v>2058</v>
      </c>
      <c r="E2477" t="s">
        <v>2063</v>
      </c>
      <c r="F2477" t="s">
        <v>45</v>
      </c>
      <c r="G2477">
        <v>186.58</v>
      </c>
      <c r="H2477" t="s">
        <v>2060</v>
      </c>
      <c r="I2477" t="str">
        <f>VLOOKUP(B2477,Customers!A:G,7,FALSE)</f>
        <v>Corporate</v>
      </c>
      <c r="Q2477" t="str">
        <f>IF(COUNTIF(Customers!$A$2:$A$1001,B2477)&gt;0,"Valid","Invalid")</f>
        <v>Valid</v>
      </c>
      <c r="R2477" t="str">
        <f>IF(COUNTIF(Branches!$A$2:$A$11,F2477)&gt;0,"Valid","Invalid")</f>
        <v>Valid</v>
      </c>
    </row>
    <row r="2478" spans="1:18" x14ac:dyDescent="0.25">
      <c r="A2478" t="s">
        <v>4549</v>
      </c>
      <c r="B2478" t="s">
        <v>682</v>
      </c>
      <c r="C2478" s="8">
        <v>46159</v>
      </c>
      <c r="D2478" t="s">
        <v>2065</v>
      </c>
      <c r="E2478" t="s">
        <v>2059</v>
      </c>
      <c r="F2478" t="s">
        <v>21</v>
      </c>
      <c r="G2478">
        <v>106</v>
      </c>
      <c r="H2478" t="s">
        <v>2060</v>
      </c>
      <c r="I2478" t="str">
        <f>VLOOKUP(B2478,Customers!A:G,7,FALSE)</f>
        <v>Student</v>
      </c>
      <c r="Q2478" t="str">
        <f>IF(COUNTIF(Customers!$A$2:$A$1001,B2478)&gt;0,"Valid","Invalid")</f>
        <v>Valid</v>
      </c>
      <c r="R2478" t="str">
        <f>IF(COUNTIF(Branches!$A$2:$A$11,F2478)&gt;0,"Valid","Invalid")</f>
        <v>Valid</v>
      </c>
    </row>
    <row r="2479" spans="1:18" x14ac:dyDescent="0.25">
      <c r="A2479" t="s">
        <v>4550</v>
      </c>
      <c r="B2479" t="s">
        <v>664</v>
      </c>
      <c r="C2479" s="8">
        <v>46066</v>
      </c>
      <c r="D2479" t="s">
        <v>2067</v>
      </c>
      <c r="E2479" t="s">
        <v>2076</v>
      </c>
      <c r="F2479" t="s">
        <v>53</v>
      </c>
      <c r="G2479">
        <v>855.55</v>
      </c>
      <c r="H2479" t="s">
        <v>2060</v>
      </c>
      <c r="I2479" t="str">
        <f>VLOOKUP(B2479,Customers!A:G,7,FALSE)</f>
        <v>Individual</v>
      </c>
      <c r="Q2479" t="str">
        <f>IF(COUNTIF(Customers!$A$2:$A$1001,B2479)&gt;0,"Valid","Invalid")</f>
        <v>Valid</v>
      </c>
      <c r="R2479" t="str">
        <f>IF(COUNTIF(Branches!$A$2:$A$11,F2479)&gt;0,"Valid","Invalid")</f>
        <v>Valid</v>
      </c>
    </row>
    <row r="2480" spans="1:18" x14ac:dyDescent="0.25">
      <c r="A2480" t="s">
        <v>4551</v>
      </c>
      <c r="B2480" t="s">
        <v>500</v>
      </c>
      <c r="C2480" s="8">
        <v>46061</v>
      </c>
      <c r="D2480" t="s">
        <v>2062</v>
      </c>
      <c r="E2480" t="s">
        <v>2059</v>
      </c>
      <c r="F2480" t="s">
        <v>35</v>
      </c>
      <c r="G2480">
        <v>4225.05</v>
      </c>
      <c r="H2480" t="s">
        <v>2060</v>
      </c>
      <c r="I2480" t="str">
        <f>VLOOKUP(B2480,Customers!A:G,7,FALSE)</f>
        <v>Student</v>
      </c>
      <c r="Q2480" t="str">
        <f>IF(COUNTIF(Customers!$A$2:$A$1001,B2480)&gt;0,"Valid","Invalid")</f>
        <v>Valid</v>
      </c>
      <c r="R2480" t="str">
        <f>IF(COUNTIF(Branches!$A$2:$A$11,F2480)&gt;0,"Valid","Invalid")</f>
        <v>Valid</v>
      </c>
    </row>
    <row r="2481" spans="1:18" x14ac:dyDescent="0.25">
      <c r="A2481" t="s">
        <v>4552</v>
      </c>
      <c r="B2481" t="s">
        <v>254</v>
      </c>
      <c r="C2481" s="8">
        <v>46155</v>
      </c>
      <c r="D2481" t="s">
        <v>2070</v>
      </c>
      <c r="E2481" t="s">
        <v>2068</v>
      </c>
      <c r="F2481" t="s">
        <v>47</v>
      </c>
      <c r="G2481">
        <v>707.29</v>
      </c>
      <c r="H2481" t="s">
        <v>2060</v>
      </c>
      <c r="I2481" t="str">
        <f>VLOOKUP(B2481,Customers!A:G,7,FALSE)</f>
        <v>Individual</v>
      </c>
      <c r="Q2481" t="str">
        <f>IF(COUNTIF(Customers!$A$2:$A$1001,B2481)&gt;0,"Valid","Invalid")</f>
        <v>Valid</v>
      </c>
      <c r="R2481" t="str">
        <f>IF(COUNTIF(Branches!$A$2:$A$11,F2481)&gt;0,"Valid","Invalid")</f>
        <v>Valid</v>
      </c>
    </row>
    <row r="2482" spans="1:18" x14ac:dyDescent="0.25">
      <c r="A2482" t="s">
        <v>4553</v>
      </c>
      <c r="B2482" t="s">
        <v>233</v>
      </c>
      <c r="C2482" s="8">
        <v>46047</v>
      </c>
      <c r="D2482" t="s">
        <v>2065</v>
      </c>
      <c r="E2482" t="s">
        <v>2076</v>
      </c>
      <c r="F2482" t="s">
        <v>53</v>
      </c>
      <c r="G2482">
        <v>566.04</v>
      </c>
      <c r="H2482" t="s">
        <v>2060</v>
      </c>
      <c r="I2482" t="str">
        <f>VLOOKUP(B2482,Customers!A:G,7,FALSE)</f>
        <v>Individual</v>
      </c>
      <c r="Q2482" t="str">
        <f>IF(COUNTIF(Customers!$A$2:$A$1001,B2482)&gt;0,"Valid","Invalid")</f>
        <v>Valid</v>
      </c>
      <c r="R2482" t="str">
        <f>IF(COUNTIF(Branches!$A$2:$A$11,F2482)&gt;0,"Valid","Invalid")</f>
        <v>Valid</v>
      </c>
    </row>
    <row r="2483" spans="1:18" x14ac:dyDescent="0.25">
      <c r="A2483" t="s">
        <v>4554</v>
      </c>
      <c r="B2483" t="s">
        <v>831</v>
      </c>
      <c r="C2483" s="8">
        <v>46078</v>
      </c>
      <c r="D2483" t="s">
        <v>2058</v>
      </c>
      <c r="E2483" t="s">
        <v>2059</v>
      </c>
      <c r="F2483" t="s">
        <v>21</v>
      </c>
      <c r="G2483">
        <v>792.85</v>
      </c>
      <c r="H2483" t="s">
        <v>2060</v>
      </c>
      <c r="I2483" t="str">
        <f>VLOOKUP(B2483,Customers!A:G,7,FALSE)</f>
        <v>Corporate</v>
      </c>
      <c r="Q2483" t="str">
        <f>IF(COUNTIF(Customers!$A$2:$A$1001,B2483)&gt;0,"Valid","Invalid")</f>
        <v>Valid</v>
      </c>
      <c r="R2483" t="str">
        <f>IF(COUNTIF(Branches!$A$2:$A$11,F2483)&gt;0,"Valid","Invalid")</f>
        <v>Valid</v>
      </c>
    </row>
    <row r="2484" spans="1:18" x14ac:dyDescent="0.25">
      <c r="A2484" t="s">
        <v>4555</v>
      </c>
      <c r="B2484" t="s">
        <v>239</v>
      </c>
      <c r="C2484" s="8">
        <v>46256</v>
      </c>
      <c r="D2484" t="s">
        <v>2067</v>
      </c>
      <c r="E2484" t="s">
        <v>2059</v>
      </c>
      <c r="F2484" t="s">
        <v>29</v>
      </c>
      <c r="G2484">
        <v>7181.08</v>
      </c>
      <c r="H2484" t="s">
        <v>2060</v>
      </c>
      <c r="I2484" t="str">
        <f>VLOOKUP(B2484,Customers!A:G,7,FALSE)</f>
        <v>SME</v>
      </c>
      <c r="Q2484" t="str">
        <f>IF(COUNTIF(Customers!$A$2:$A$1001,B2484)&gt;0,"Valid","Invalid")</f>
        <v>Valid</v>
      </c>
      <c r="R2484" t="str">
        <f>IF(COUNTIF(Branches!$A$2:$A$11,F2484)&gt;0,"Valid","Invalid")</f>
        <v>Valid</v>
      </c>
    </row>
    <row r="2485" spans="1:18" x14ac:dyDescent="0.25">
      <c r="A2485" t="s">
        <v>4556</v>
      </c>
      <c r="B2485" t="s">
        <v>1033</v>
      </c>
      <c r="C2485" s="8">
        <v>46143</v>
      </c>
      <c r="D2485" t="s">
        <v>2065</v>
      </c>
      <c r="E2485" t="s">
        <v>2073</v>
      </c>
      <c r="F2485" t="s">
        <v>11</v>
      </c>
      <c r="G2485">
        <v>1723.14</v>
      </c>
      <c r="H2485" t="s">
        <v>2060</v>
      </c>
      <c r="I2485" t="str">
        <f>VLOOKUP(B2485,Customers!A:G,7,FALSE)</f>
        <v>Individual</v>
      </c>
      <c r="Q2485" t="str">
        <f>IF(COUNTIF(Customers!$A$2:$A$1001,B2485)&gt;0,"Valid","Invalid")</f>
        <v>Valid</v>
      </c>
      <c r="R2485" t="str">
        <f>IF(COUNTIF(Branches!$A$2:$A$11,F2485)&gt;0,"Valid","Invalid")</f>
        <v>Valid</v>
      </c>
    </row>
    <row r="2486" spans="1:18" x14ac:dyDescent="0.25">
      <c r="A2486" t="s">
        <v>4557</v>
      </c>
      <c r="B2486" t="s">
        <v>685</v>
      </c>
      <c r="C2486" s="8">
        <v>46112</v>
      </c>
      <c r="D2486" t="s">
        <v>2058</v>
      </c>
      <c r="E2486" t="s">
        <v>2076</v>
      </c>
      <c r="F2486" t="s">
        <v>27</v>
      </c>
      <c r="G2486">
        <v>319.39</v>
      </c>
      <c r="H2486" t="s">
        <v>2060</v>
      </c>
      <c r="I2486" t="str">
        <f>VLOOKUP(B2486,Customers!A:G,7,FALSE)</f>
        <v>Individual</v>
      </c>
      <c r="Q2486" t="str">
        <f>IF(COUNTIF(Customers!$A$2:$A$1001,B2486)&gt;0,"Valid","Invalid")</f>
        <v>Valid</v>
      </c>
      <c r="R2486" t="str">
        <f>IF(COUNTIF(Branches!$A$2:$A$11,F2486)&gt;0,"Valid","Invalid")</f>
        <v>Valid</v>
      </c>
    </row>
    <row r="2487" spans="1:18" x14ac:dyDescent="0.25">
      <c r="A2487" t="s">
        <v>4558</v>
      </c>
      <c r="B2487" t="s">
        <v>272</v>
      </c>
      <c r="C2487" s="8">
        <v>46086</v>
      </c>
      <c r="D2487" t="s">
        <v>2058</v>
      </c>
      <c r="E2487" t="s">
        <v>2073</v>
      </c>
      <c r="F2487" t="s">
        <v>11</v>
      </c>
      <c r="G2487">
        <v>835.56</v>
      </c>
      <c r="H2487" t="s">
        <v>2060</v>
      </c>
      <c r="I2487" t="str">
        <f>VLOOKUP(B2487,Customers!A:G,7,FALSE)</f>
        <v>Corporate</v>
      </c>
      <c r="Q2487" t="str">
        <f>IF(COUNTIF(Customers!$A$2:$A$1001,B2487)&gt;0,"Valid","Invalid")</f>
        <v>Valid</v>
      </c>
      <c r="R2487" t="str">
        <f>IF(COUNTIF(Branches!$A$2:$A$11,F2487)&gt;0,"Valid","Invalid")</f>
        <v>Valid</v>
      </c>
    </row>
    <row r="2488" spans="1:18" x14ac:dyDescent="0.25">
      <c r="A2488" t="s">
        <v>4559</v>
      </c>
      <c r="B2488" t="s">
        <v>177</v>
      </c>
      <c r="C2488" s="8">
        <v>46222</v>
      </c>
      <c r="D2488" t="s">
        <v>2065</v>
      </c>
      <c r="E2488" t="s">
        <v>2063</v>
      </c>
      <c r="F2488" t="s">
        <v>53</v>
      </c>
      <c r="G2488">
        <v>1132.79</v>
      </c>
      <c r="H2488" t="s">
        <v>2060</v>
      </c>
      <c r="I2488" t="str">
        <f>VLOOKUP(B2488,Customers!A:G,7,FALSE)</f>
        <v>Individual</v>
      </c>
      <c r="Q2488" t="str">
        <f>IF(COUNTIF(Customers!$A$2:$A$1001,B2488)&gt;0,"Valid","Invalid")</f>
        <v>Valid</v>
      </c>
      <c r="R2488" t="str">
        <f>IF(COUNTIF(Branches!$A$2:$A$11,F2488)&gt;0,"Valid","Invalid")</f>
        <v>Valid</v>
      </c>
    </row>
    <row r="2489" spans="1:18" x14ac:dyDescent="0.25">
      <c r="A2489" t="s">
        <v>4560</v>
      </c>
      <c r="B2489" t="s">
        <v>746</v>
      </c>
      <c r="C2489" s="8">
        <v>46236</v>
      </c>
      <c r="D2489" t="s">
        <v>2062</v>
      </c>
      <c r="E2489" t="s">
        <v>2059</v>
      </c>
      <c r="F2489" t="s">
        <v>27</v>
      </c>
      <c r="G2489">
        <v>282.5</v>
      </c>
      <c r="H2489" t="s">
        <v>2060</v>
      </c>
      <c r="I2489" t="str">
        <f>VLOOKUP(B2489,Customers!A:G,7,FALSE)</f>
        <v>Individual</v>
      </c>
      <c r="Q2489" t="str">
        <f>IF(COUNTIF(Customers!$A$2:$A$1001,B2489)&gt;0,"Valid","Invalid")</f>
        <v>Valid</v>
      </c>
      <c r="R2489" t="str">
        <f>IF(COUNTIF(Branches!$A$2:$A$11,F2489)&gt;0,"Valid","Invalid")</f>
        <v>Valid</v>
      </c>
    </row>
    <row r="2490" spans="1:18" x14ac:dyDescent="0.25">
      <c r="A2490" t="s">
        <v>4561</v>
      </c>
      <c r="B2490" t="s">
        <v>536</v>
      </c>
      <c r="C2490" s="8">
        <v>46202</v>
      </c>
      <c r="D2490" t="s">
        <v>2062</v>
      </c>
      <c r="E2490" t="s">
        <v>2073</v>
      </c>
      <c r="F2490" t="s">
        <v>11</v>
      </c>
      <c r="G2490">
        <v>1735.65</v>
      </c>
      <c r="H2490" t="s">
        <v>2060</v>
      </c>
      <c r="I2490" t="str">
        <f>VLOOKUP(B2490,Customers!A:G,7,FALSE)</f>
        <v>Individual</v>
      </c>
      <c r="Q2490" t="str">
        <f>IF(COUNTIF(Customers!$A$2:$A$1001,B2490)&gt;0,"Valid","Invalid")</f>
        <v>Valid</v>
      </c>
      <c r="R2490" t="str">
        <f>IF(COUNTIF(Branches!$A$2:$A$11,F2490)&gt;0,"Valid","Invalid")</f>
        <v>Valid</v>
      </c>
    </row>
    <row r="2491" spans="1:18" x14ac:dyDescent="0.25">
      <c r="A2491" t="s">
        <v>4562</v>
      </c>
      <c r="B2491" t="s">
        <v>593</v>
      </c>
      <c r="C2491" s="8">
        <v>46111</v>
      </c>
      <c r="D2491" t="s">
        <v>2070</v>
      </c>
      <c r="E2491" t="s">
        <v>2063</v>
      </c>
      <c r="F2491" t="s">
        <v>29</v>
      </c>
      <c r="G2491">
        <v>358.59</v>
      </c>
      <c r="H2491" t="s">
        <v>2060</v>
      </c>
      <c r="I2491" t="str">
        <f>VLOOKUP(B2491,Customers!A:G,7,FALSE)</f>
        <v>SME</v>
      </c>
      <c r="Q2491" t="str">
        <f>IF(COUNTIF(Customers!$A$2:$A$1001,B2491)&gt;0,"Valid","Invalid")</f>
        <v>Valid</v>
      </c>
      <c r="R2491" t="str">
        <f>IF(COUNTIF(Branches!$A$2:$A$11,F2491)&gt;0,"Valid","Invalid")</f>
        <v>Valid</v>
      </c>
    </row>
    <row r="2492" spans="1:18" x14ac:dyDescent="0.25">
      <c r="A2492" t="s">
        <v>4563</v>
      </c>
      <c r="B2492" t="s">
        <v>93</v>
      </c>
      <c r="C2492" s="8">
        <v>46134</v>
      </c>
      <c r="D2492" t="s">
        <v>2065</v>
      </c>
      <c r="E2492" t="s">
        <v>2073</v>
      </c>
      <c r="F2492" t="s">
        <v>29</v>
      </c>
      <c r="G2492">
        <v>179.3</v>
      </c>
      <c r="H2492" t="s">
        <v>2060</v>
      </c>
      <c r="I2492" t="str">
        <f>VLOOKUP(B2492,Customers!A:G,7,FALSE)</f>
        <v>Student</v>
      </c>
      <c r="Q2492" t="str">
        <f>IF(COUNTIF(Customers!$A$2:$A$1001,B2492)&gt;0,"Valid","Invalid")</f>
        <v>Valid</v>
      </c>
      <c r="R2492" t="str">
        <f>IF(COUNTIF(Branches!$A$2:$A$11,F2492)&gt;0,"Valid","Invalid")</f>
        <v>Valid</v>
      </c>
    </row>
    <row r="2493" spans="1:18" x14ac:dyDescent="0.25">
      <c r="A2493" t="s">
        <v>4564</v>
      </c>
      <c r="B2493" t="s">
        <v>970</v>
      </c>
      <c r="C2493" s="8">
        <v>46098</v>
      </c>
      <c r="D2493" t="s">
        <v>2058</v>
      </c>
      <c r="E2493" t="s">
        <v>2063</v>
      </c>
      <c r="F2493" t="s">
        <v>27</v>
      </c>
      <c r="G2493">
        <v>876.67</v>
      </c>
      <c r="H2493" t="s">
        <v>2060</v>
      </c>
      <c r="I2493" t="str">
        <f>VLOOKUP(B2493,Customers!A:G,7,FALSE)</f>
        <v>SME</v>
      </c>
      <c r="Q2493" t="str">
        <f>IF(COUNTIF(Customers!$A$2:$A$1001,B2493)&gt;0,"Valid","Invalid")</f>
        <v>Valid</v>
      </c>
      <c r="R2493" t="str">
        <f>IF(COUNTIF(Branches!$A$2:$A$11,F2493)&gt;0,"Valid","Invalid")</f>
        <v>Valid</v>
      </c>
    </row>
    <row r="2494" spans="1:18" x14ac:dyDescent="0.25">
      <c r="A2494" t="s">
        <v>4565</v>
      </c>
      <c r="B2494" t="s">
        <v>542</v>
      </c>
      <c r="C2494" s="8">
        <v>46159</v>
      </c>
      <c r="D2494" t="s">
        <v>2067</v>
      </c>
      <c r="E2494" t="s">
        <v>2073</v>
      </c>
      <c r="F2494" t="s">
        <v>47</v>
      </c>
      <c r="G2494">
        <v>748.33</v>
      </c>
      <c r="H2494" t="s">
        <v>2060</v>
      </c>
      <c r="I2494" t="str">
        <f>VLOOKUP(B2494,Customers!A:G,7,FALSE)</f>
        <v>Individual</v>
      </c>
      <c r="Q2494" t="str">
        <f>IF(COUNTIF(Customers!$A$2:$A$1001,B2494)&gt;0,"Valid","Invalid")</f>
        <v>Valid</v>
      </c>
      <c r="R2494" t="str">
        <f>IF(COUNTIF(Branches!$A$2:$A$11,F2494)&gt;0,"Valid","Invalid")</f>
        <v>Valid</v>
      </c>
    </row>
    <row r="2495" spans="1:18" x14ac:dyDescent="0.25">
      <c r="A2495" t="s">
        <v>4566</v>
      </c>
      <c r="B2495" t="s">
        <v>178</v>
      </c>
      <c r="C2495" s="8">
        <v>46160</v>
      </c>
      <c r="D2495" t="s">
        <v>2067</v>
      </c>
      <c r="E2495" t="s">
        <v>2059</v>
      </c>
      <c r="F2495" t="s">
        <v>35</v>
      </c>
      <c r="G2495">
        <v>811.58</v>
      </c>
      <c r="H2495" t="s">
        <v>2060</v>
      </c>
      <c r="I2495" t="str">
        <f>VLOOKUP(B2495,Customers!A:G,7,FALSE)</f>
        <v>Individual</v>
      </c>
      <c r="Q2495" t="str">
        <f>IF(COUNTIF(Customers!$A$2:$A$1001,B2495)&gt;0,"Valid","Invalid")</f>
        <v>Valid</v>
      </c>
      <c r="R2495" t="str">
        <f>IF(COUNTIF(Branches!$A$2:$A$11,F2495)&gt;0,"Valid","Invalid")</f>
        <v>Valid</v>
      </c>
    </row>
    <row r="2496" spans="1:18" x14ac:dyDescent="0.25">
      <c r="A2496" t="s">
        <v>4567</v>
      </c>
      <c r="B2496" t="s">
        <v>760</v>
      </c>
      <c r="C2496" s="8">
        <v>46262</v>
      </c>
      <c r="D2496" t="s">
        <v>2058</v>
      </c>
      <c r="E2496" t="s">
        <v>2063</v>
      </c>
      <c r="F2496" t="s">
        <v>45</v>
      </c>
      <c r="G2496">
        <v>378.17</v>
      </c>
      <c r="H2496" t="s">
        <v>2115</v>
      </c>
      <c r="I2496" t="str">
        <f>VLOOKUP(B2496,Customers!A:G,7,FALSE)</f>
        <v>Individual</v>
      </c>
      <c r="Q2496" t="str">
        <f>IF(COUNTIF(Customers!$A$2:$A$1001,B2496)&gt;0,"Valid","Invalid")</f>
        <v>Valid</v>
      </c>
      <c r="R2496" t="str">
        <f>IF(COUNTIF(Branches!$A$2:$A$11,F2496)&gt;0,"Valid","Invalid")</f>
        <v>Valid</v>
      </c>
    </row>
    <row r="2497" spans="1:18" x14ac:dyDescent="0.25">
      <c r="A2497" t="s">
        <v>4568</v>
      </c>
      <c r="B2497" t="s">
        <v>622</v>
      </c>
      <c r="C2497" s="8">
        <v>46032</v>
      </c>
      <c r="D2497" t="s">
        <v>2062</v>
      </c>
      <c r="E2497" t="s">
        <v>2068</v>
      </c>
      <c r="F2497" t="s">
        <v>11</v>
      </c>
      <c r="G2497">
        <v>434.8</v>
      </c>
      <c r="H2497" t="s">
        <v>2115</v>
      </c>
      <c r="I2497" t="str">
        <f>VLOOKUP(B2497,Customers!A:G,7,FALSE)</f>
        <v>Individual</v>
      </c>
      <c r="Q2497" t="str">
        <f>IF(COUNTIF(Customers!$A$2:$A$1001,B2497)&gt;0,"Valid","Invalid")</f>
        <v>Valid</v>
      </c>
      <c r="R2497" t="str">
        <f>IF(COUNTIF(Branches!$A$2:$A$11,F2497)&gt;0,"Valid","Invalid")</f>
        <v>Valid</v>
      </c>
    </row>
    <row r="2498" spans="1:18" x14ac:dyDescent="0.25">
      <c r="A2498" t="s">
        <v>4569</v>
      </c>
      <c r="B2498" t="s">
        <v>774</v>
      </c>
      <c r="C2498" s="8">
        <v>46223</v>
      </c>
      <c r="D2498" t="s">
        <v>2065</v>
      </c>
      <c r="E2498" t="s">
        <v>2063</v>
      </c>
      <c r="F2498" t="s">
        <v>45</v>
      </c>
      <c r="G2498">
        <v>2511.0300000000002</v>
      </c>
      <c r="H2498" t="s">
        <v>2060</v>
      </c>
      <c r="I2498" t="str">
        <f>VLOOKUP(B2498,Customers!A:G,7,FALSE)</f>
        <v>Individual</v>
      </c>
      <c r="Q2498" t="str">
        <f>IF(COUNTIF(Customers!$A$2:$A$1001,B2498)&gt;0,"Valid","Invalid")</f>
        <v>Valid</v>
      </c>
      <c r="R2498" t="str">
        <f>IF(COUNTIF(Branches!$A$2:$A$11,F2498)&gt;0,"Valid","Invalid")</f>
        <v>Valid</v>
      </c>
    </row>
    <row r="2499" spans="1:18" x14ac:dyDescent="0.25">
      <c r="A2499" t="s">
        <v>4570</v>
      </c>
      <c r="B2499" t="s">
        <v>577</v>
      </c>
      <c r="C2499" s="8">
        <v>46084</v>
      </c>
      <c r="D2499" t="s">
        <v>2070</v>
      </c>
      <c r="E2499" t="s">
        <v>2063</v>
      </c>
      <c r="F2499" t="s">
        <v>27</v>
      </c>
      <c r="G2499">
        <v>1262.8</v>
      </c>
      <c r="H2499" t="s">
        <v>2060</v>
      </c>
      <c r="I2499" t="str">
        <f>VLOOKUP(B2499,Customers!A:G,7,FALSE)</f>
        <v>Individual</v>
      </c>
      <c r="Q2499" t="str">
        <f>IF(COUNTIF(Customers!$A$2:$A$1001,B2499)&gt;0,"Valid","Invalid")</f>
        <v>Valid</v>
      </c>
      <c r="R2499" t="str">
        <f>IF(COUNTIF(Branches!$A$2:$A$11,F2499)&gt;0,"Valid","Invalid")</f>
        <v>Valid</v>
      </c>
    </row>
    <row r="2500" spans="1:18" x14ac:dyDescent="0.25">
      <c r="A2500" t="s">
        <v>4571</v>
      </c>
      <c r="B2500" t="s">
        <v>678</v>
      </c>
      <c r="C2500" s="8">
        <v>46112</v>
      </c>
      <c r="D2500" t="s">
        <v>2062</v>
      </c>
      <c r="E2500" t="s">
        <v>2063</v>
      </c>
      <c r="F2500" t="s">
        <v>29</v>
      </c>
      <c r="G2500">
        <v>312.08</v>
      </c>
      <c r="H2500" t="s">
        <v>2060</v>
      </c>
      <c r="I2500" t="str">
        <f>VLOOKUP(B2500,Customers!A:G,7,FALSE)</f>
        <v>SME</v>
      </c>
      <c r="Q2500" t="str">
        <f>IF(COUNTIF(Customers!$A$2:$A$1001,B2500)&gt;0,"Valid","Invalid")</f>
        <v>Valid</v>
      </c>
      <c r="R2500" t="str">
        <f>IF(COUNTIF(Branches!$A$2:$A$11,F2500)&gt;0,"Valid","Invalid")</f>
        <v>Valid</v>
      </c>
    </row>
    <row r="2501" spans="1:18" x14ac:dyDescent="0.25">
      <c r="A2501" t="s">
        <v>4572</v>
      </c>
      <c r="B2501" t="s">
        <v>142</v>
      </c>
      <c r="C2501" s="8">
        <v>46249</v>
      </c>
      <c r="D2501" t="s">
        <v>2062</v>
      </c>
      <c r="E2501" t="s">
        <v>2076</v>
      </c>
      <c r="F2501" t="s">
        <v>39</v>
      </c>
      <c r="G2501">
        <v>115.5</v>
      </c>
      <c r="H2501" t="s">
        <v>2060</v>
      </c>
      <c r="I2501" t="str">
        <f>VLOOKUP(B2501,Customers!A:G,7,FALSE)</f>
        <v>SME</v>
      </c>
      <c r="Q2501" t="str">
        <f>IF(COUNTIF(Customers!$A$2:$A$1001,B2501)&gt;0,"Valid","Invalid")</f>
        <v>Valid</v>
      </c>
      <c r="R2501" t="str">
        <f>IF(COUNTIF(Branches!$A$2:$A$11,F2501)&gt;0,"Valid","Invalid")</f>
        <v>Valid</v>
      </c>
    </row>
    <row r="2502" spans="1:18" x14ac:dyDescent="0.25">
      <c r="A2502" t="s">
        <v>4573</v>
      </c>
      <c r="B2502" t="s">
        <v>201</v>
      </c>
      <c r="C2502" s="8">
        <v>46241</v>
      </c>
      <c r="D2502" t="s">
        <v>2062</v>
      </c>
      <c r="E2502" t="s">
        <v>2073</v>
      </c>
      <c r="F2502" t="s">
        <v>39</v>
      </c>
      <c r="G2502">
        <v>325.57</v>
      </c>
      <c r="H2502" t="s">
        <v>2060</v>
      </c>
      <c r="I2502" t="str">
        <f>VLOOKUP(B2502,Customers!A:G,7,FALSE)</f>
        <v>Individual</v>
      </c>
      <c r="Q2502" t="str">
        <f>IF(COUNTIF(Customers!$A$2:$A$1001,B2502)&gt;0,"Valid","Invalid")</f>
        <v>Valid</v>
      </c>
      <c r="R2502" t="str">
        <f>IF(COUNTIF(Branches!$A$2:$A$11,F2502)&gt;0,"Valid","Invalid")</f>
        <v>Valid</v>
      </c>
    </row>
    <row r="2503" spans="1:18" x14ac:dyDescent="0.25">
      <c r="A2503" t="s">
        <v>4574</v>
      </c>
      <c r="B2503" t="s">
        <v>252</v>
      </c>
      <c r="C2503" s="8">
        <v>46082</v>
      </c>
      <c r="D2503" t="s">
        <v>2067</v>
      </c>
      <c r="E2503" t="s">
        <v>2063</v>
      </c>
      <c r="F2503" t="s">
        <v>29</v>
      </c>
      <c r="G2503">
        <v>950.8</v>
      </c>
      <c r="H2503" t="s">
        <v>2060</v>
      </c>
      <c r="I2503" t="str">
        <f>VLOOKUP(B2503,Customers!A:G,7,FALSE)</f>
        <v>Individual</v>
      </c>
      <c r="Q2503" t="str">
        <f>IF(COUNTIF(Customers!$A$2:$A$1001,B2503)&gt;0,"Valid","Invalid")</f>
        <v>Valid</v>
      </c>
      <c r="R2503" t="str">
        <f>IF(COUNTIF(Branches!$A$2:$A$11,F2503)&gt;0,"Valid","Invalid")</f>
        <v>Valid</v>
      </c>
    </row>
    <row r="2504" spans="1:18" x14ac:dyDescent="0.25">
      <c r="A2504" t="s">
        <v>4575</v>
      </c>
      <c r="B2504" t="s">
        <v>107</v>
      </c>
      <c r="C2504" s="8">
        <v>46245</v>
      </c>
      <c r="D2504" t="s">
        <v>2062</v>
      </c>
      <c r="E2504" t="s">
        <v>2059</v>
      </c>
      <c r="F2504" t="s">
        <v>11</v>
      </c>
      <c r="G2504">
        <v>431.85</v>
      </c>
      <c r="H2504" t="s">
        <v>2060</v>
      </c>
      <c r="I2504" t="str">
        <f>VLOOKUP(B2504,Customers!A:G,7,FALSE)</f>
        <v>SME</v>
      </c>
      <c r="Q2504" t="str">
        <f>IF(COUNTIF(Customers!$A$2:$A$1001,B2504)&gt;0,"Valid","Invalid")</f>
        <v>Valid</v>
      </c>
      <c r="R2504" t="str">
        <f>IF(COUNTIF(Branches!$A$2:$A$11,F2504)&gt;0,"Valid","Invalid")</f>
        <v>Valid</v>
      </c>
    </row>
    <row r="2505" spans="1:18" x14ac:dyDescent="0.25">
      <c r="A2505" t="s">
        <v>4576</v>
      </c>
      <c r="B2505" t="s">
        <v>754</v>
      </c>
      <c r="C2505" s="8">
        <v>46169</v>
      </c>
      <c r="D2505" t="s">
        <v>2067</v>
      </c>
      <c r="E2505" t="s">
        <v>2063</v>
      </c>
      <c r="F2505" t="s">
        <v>29</v>
      </c>
      <c r="G2505">
        <v>399.55</v>
      </c>
      <c r="H2505" t="s">
        <v>2060</v>
      </c>
      <c r="I2505" t="str">
        <f>VLOOKUP(B2505,Customers!A:G,7,FALSE)</f>
        <v>Individual</v>
      </c>
      <c r="Q2505" t="str">
        <f>IF(COUNTIF(Customers!$A$2:$A$1001,B2505)&gt;0,"Valid","Invalid")</f>
        <v>Valid</v>
      </c>
      <c r="R2505" t="str">
        <f>IF(COUNTIF(Branches!$A$2:$A$11,F2505)&gt;0,"Valid","Invalid")</f>
        <v>Valid</v>
      </c>
    </row>
    <row r="2506" spans="1:18" x14ac:dyDescent="0.25">
      <c r="A2506" t="s">
        <v>4577</v>
      </c>
      <c r="B2506" t="s">
        <v>703</v>
      </c>
      <c r="C2506" s="8">
        <v>46129</v>
      </c>
      <c r="D2506" t="s">
        <v>2062</v>
      </c>
      <c r="E2506" t="s">
        <v>2076</v>
      </c>
      <c r="F2506" t="s">
        <v>11</v>
      </c>
      <c r="G2506">
        <v>450.72</v>
      </c>
      <c r="H2506" t="s">
        <v>2060</v>
      </c>
      <c r="I2506" t="str">
        <f>VLOOKUP(B2506,Customers!A:G,7,FALSE)</f>
        <v>Individual</v>
      </c>
      <c r="Q2506" t="str">
        <f>IF(COUNTIF(Customers!$A$2:$A$1001,B2506)&gt;0,"Valid","Invalid")</f>
        <v>Valid</v>
      </c>
      <c r="R2506" t="str">
        <f>IF(COUNTIF(Branches!$A$2:$A$11,F2506)&gt;0,"Valid","Invalid")</f>
        <v>Valid</v>
      </c>
    </row>
    <row r="2507" spans="1:18" x14ac:dyDescent="0.25">
      <c r="A2507" t="s">
        <v>4578</v>
      </c>
      <c r="B2507" t="s">
        <v>617</v>
      </c>
      <c r="C2507" s="8">
        <v>46060</v>
      </c>
      <c r="D2507" t="s">
        <v>2065</v>
      </c>
      <c r="E2507" t="s">
        <v>2063</v>
      </c>
      <c r="F2507" t="s">
        <v>11</v>
      </c>
      <c r="G2507">
        <v>755.43</v>
      </c>
      <c r="H2507" t="s">
        <v>2060</v>
      </c>
      <c r="I2507" t="str">
        <f>VLOOKUP(B2507,Customers!A:G,7,FALSE)</f>
        <v>Individual</v>
      </c>
      <c r="Q2507" t="str">
        <f>IF(COUNTIF(Customers!$A$2:$A$1001,B2507)&gt;0,"Valid","Invalid")</f>
        <v>Valid</v>
      </c>
      <c r="R2507" t="str">
        <f>IF(COUNTIF(Branches!$A$2:$A$11,F2507)&gt;0,"Valid","Invalid")</f>
        <v>Valid</v>
      </c>
    </row>
    <row r="2508" spans="1:18" x14ac:dyDescent="0.25">
      <c r="A2508" t="s">
        <v>4579</v>
      </c>
      <c r="B2508" t="s">
        <v>126</v>
      </c>
      <c r="C2508" s="8">
        <v>46156</v>
      </c>
      <c r="D2508" t="s">
        <v>2067</v>
      </c>
      <c r="E2508" t="s">
        <v>2063</v>
      </c>
      <c r="F2508" t="s">
        <v>39</v>
      </c>
      <c r="G2508">
        <v>1780.46</v>
      </c>
      <c r="H2508" t="s">
        <v>2060</v>
      </c>
      <c r="I2508" t="str">
        <f>VLOOKUP(B2508,Customers!A:G,7,FALSE)</f>
        <v>Individual</v>
      </c>
      <c r="Q2508" t="str">
        <f>IF(COUNTIF(Customers!$A$2:$A$1001,B2508)&gt;0,"Valid","Invalid")</f>
        <v>Valid</v>
      </c>
      <c r="R2508" t="str">
        <f>IF(COUNTIF(Branches!$A$2:$A$11,F2508)&gt;0,"Valid","Invalid")</f>
        <v>Valid</v>
      </c>
    </row>
    <row r="2509" spans="1:18" x14ac:dyDescent="0.25">
      <c r="A2509" t="s">
        <v>4580</v>
      </c>
      <c r="B2509" t="s">
        <v>810</v>
      </c>
      <c r="C2509" s="8">
        <v>46165</v>
      </c>
      <c r="D2509" t="s">
        <v>2058</v>
      </c>
      <c r="E2509" t="s">
        <v>2063</v>
      </c>
      <c r="F2509" t="s">
        <v>47</v>
      </c>
      <c r="G2509">
        <v>812.07</v>
      </c>
      <c r="H2509" t="s">
        <v>2060</v>
      </c>
      <c r="I2509" t="str">
        <f>VLOOKUP(B2509,Customers!A:G,7,FALSE)</f>
        <v>Student</v>
      </c>
      <c r="Q2509" t="str">
        <f>IF(COUNTIF(Customers!$A$2:$A$1001,B2509)&gt;0,"Valid","Invalid")</f>
        <v>Valid</v>
      </c>
      <c r="R2509" t="str">
        <f>IF(COUNTIF(Branches!$A$2:$A$11,F2509)&gt;0,"Valid","Invalid")</f>
        <v>Valid</v>
      </c>
    </row>
    <row r="2510" spans="1:18" x14ac:dyDescent="0.25">
      <c r="A2510" t="s">
        <v>4581</v>
      </c>
      <c r="B2510" t="s">
        <v>912</v>
      </c>
      <c r="C2510" s="8">
        <v>46243</v>
      </c>
      <c r="D2510" t="s">
        <v>2067</v>
      </c>
      <c r="E2510" t="s">
        <v>2059</v>
      </c>
      <c r="F2510" t="s">
        <v>29</v>
      </c>
      <c r="G2510">
        <v>864.31</v>
      </c>
      <c r="H2510" t="s">
        <v>2060</v>
      </c>
      <c r="I2510" t="str">
        <f>VLOOKUP(B2510,Customers!A:G,7,FALSE)</f>
        <v>Individual</v>
      </c>
      <c r="Q2510" t="str">
        <f>IF(COUNTIF(Customers!$A$2:$A$1001,B2510)&gt;0,"Valid","Invalid")</f>
        <v>Valid</v>
      </c>
      <c r="R2510" t="str">
        <f>IF(COUNTIF(Branches!$A$2:$A$11,F2510)&gt;0,"Valid","Invalid")</f>
        <v>Valid</v>
      </c>
    </row>
    <row r="2511" spans="1:18" x14ac:dyDescent="0.25">
      <c r="A2511" t="s">
        <v>4582</v>
      </c>
      <c r="B2511" t="s">
        <v>265</v>
      </c>
      <c r="C2511" s="8">
        <v>46069</v>
      </c>
      <c r="D2511" t="s">
        <v>2067</v>
      </c>
      <c r="E2511" t="s">
        <v>2068</v>
      </c>
      <c r="F2511" t="s">
        <v>11</v>
      </c>
      <c r="G2511">
        <v>648.80999999999995</v>
      </c>
      <c r="H2511" t="s">
        <v>2060</v>
      </c>
      <c r="I2511" t="str">
        <f>VLOOKUP(B2511,Customers!A:G,7,FALSE)</f>
        <v>Individual</v>
      </c>
      <c r="Q2511" t="str">
        <f>IF(COUNTIF(Customers!$A$2:$A$1001,B2511)&gt;0,"Valid","Invalid")</f>
        <v>Valid</v>
      </c>
      <c r="R2511" t="str">
        <f>IF(COUNTIF(Branches!$A$2:$A$11,F2511)&gt;0,"Valid","Invalid")</f>
        <v>Valid</v>
      </c>
    </row>
    <row r="2512" spans="1:18" x14ac:dyDescent="0.25">
      <c r="A2512" t="s">
        <v>4583</v>
      </c>
      <c r="B2512" t="s">
        <v>115</v>
      </c>
      <c r="C2512" s="8">
        <v>46195</v>
      </c>
      <c r="D2512" t="s">
        <v>2058</v>
      </c>
      <c r="E2512" t="s">
        <v>2059</v>
      </c>
      <c r="F2512" t="s">
        <v>45</v>
      </c>
      <c r="G2512">
        <v>493.07</v>
      </c>
      <c r="H2512" t="s">
        <v>2060</v>
      </c>
      <c r="I2512" t="str">
        <f>VLOOKUP(B2512,Customers!A:G,7,FALSE)</f>
        <v>SME</v>
      </c>
      <c r="Q2512" t="str">
        <f>IF(COUNTIF(Customers!$A$2:$A$1001,B2512)&gt;0,"Valid","Invalid")</f>
        <v>Valid</v>
      </c>
      <c r="R2512" t="str">
        <f>IF(COUNTIF(Branches!$A$2:$A$11,F2512)&gt;0,"Valid","Invalid")</f>
        <v>Valid</v>
      </c>
    </row>
    <row r="2513" spans="1:18" x14ac:dyDescent="0.25">
      <c r="A2513" t="s">
        <v>4584</v>
      </c>
      <c r="B2513" t="s">
        <v>646</v>
      </c>
      <c r="C2513" s="8">
        <v>46155</v>
      </c>
      <c r="D2513" t="s">
        <v>2062</v>
      </c>
      <c r="E2513" t="s">
        <v>2063</v>
      </c>
      <c r="F2513" t="s">
        <v>11</v>
      </c>
      <c r="G2513">
        <v>1986.72</v>
      </c>
      <c r="H2513" t="s">
        <v>2060</v>
      </c>
      <c r="I2513" t="str">
        <f>VLOOKUP(B2513,Customers!A:G,7,FALSE)</f>
        <v>SME</v>
      </c>
      <c r="Q2513" t="str">
        <f>IF(COUNTIF(Customers!$A$2:$A$1001,B2513)&gt;0,"Valid","Invalid")</f>
        <v>Valid</v>
      </c>
      <c r="R2513" t="str">
        <f>IF(COUNTIF(Branches!$A$2:$A$11,F2513)&gt;0,"Valid","Invalid")</f>
        <v>Valid</v>
      </c>
    </row>
    <row r="2514" spans="1:18" x14ac:dyDescent="0.25">
      <c r="A2514" t="s">
        <v>4585</v>
      </c>
      <c r="B2514" t="s">
        <v>387</v>
      </c>
      <c r="C2514" s="8">
        <v>46100</v>
      </c>
      <c r="D2514" t="s">
        <v>2058</v>
      </c>
      <c r="E2514" t="s">
        <v>2059</v>
      </c>
      <c r="F2514" t="s">
        <v>53</v>
      </c>
      <c r="G2514">
        <v>1706.85</v>
      </c>
      <c r="H2514" t="s">
        <v>2060</v>
      </c>
      <c r="I2514" t="str">
        <f>VLOOKUP(B2514,Customers!A:G,7,FALSE)</f>
        <v>Individual</v>
      </c>
      <c r="Q2514" t="str">
        <f>IF(COUNTIF(Customers!$A$2:$A$1001,B2514)&gt;0,"Valid","Invalid")</f>
        <v>Valid</v>
      </c>
      <c r="R2514" t="str">
        <f>IF(COUNTIF(Branches!$A$2:$A$11,F2514)&gt;0,"Valid","Invalid")</f>
        <v>Valid</v>
      </c>
    </row>
    <row r="2515" spans="1:18" x14ac:dyDescent="0.25">
      <c r="A2515" t="s">
        <v>4586</v>
      </c>
      <c r="B2515" t="s">
        <v>880</v>
      </c>
      <c r="C2515" s="8">
        <v>46075</v>
      </c>
      <c r="D2515" t="s">
        <v>2067</v>
      </c>
      <c r="E2515" t="s">
        <v>2068</v>
      </c>
      <c r="F2515" t="s">
        <v>53</v>
      </c>
      <c r="G2515">
        <v>6280.97</v>
      </c>
      <c r="H2515" t="s">
        <v>2060</v>
      </c>
      <c r="I2515" t="str">
        <f>VLOOKUP(B2515,Customers!A:G,7,FALSE)</f>
        <v>SME</v>
      </c>
      <c r="Q2515" t="str">
        <f>IF(COUNTIF(Customers!$A$2:$A$1001,B2515)&gt;0,"Valid","Invalid")</f>
        <v>Valid</v>
      </c>
      <c r="R2515" t="str">
        <f>IF(COUNTIF(Branches!$A$2:$A$11,F2515)&gt;0,"Valid","Invalid")</f>
        <v>Valid</v>
      </c>
    </row>
    <row r="2516" spans="1:18" x14ac:dyDescent="0.25">
      <c r="A2516" t="s">
        <v>4587</v>
      </c>
      <c r="B2516" t="s">
        <v>1019</v>
      </c>
      <c r="C2516" s="8">
        <v>46216</v>
      </c>
      <c r="D2516" t="s">
        <v>2065</v>
      </c>
      <c r="E2516" t="s">
        <v>2063</v>
      </c>
      <c r="F2516" t="s">
        <v>21</v>
      </c>
      <c r="G2516">
        <v>1496.02</v>
      </c>
      <c r="H2516" t="s">
        <v>2060</v>
      </c>
      <c r="I2516" t="str">
        <f>VLOOKUP(B2516,Customers!A:G,7,FALSE)</f>
        <v>Individual</v>
      </c>
      <c r="Q2516" t="str">
        <f>IF(COUNTIF(Customers!$A$2:$A$1001,B2516)&gt;0,"Valid","Invalid")</f>
        <v>Valid</v>
      </c>
      <c r="R2516" t="str">
        <f>IF(COUNTIF(Branches!$A$2:$A$11,F2516)&gt;0,"Valid","Invalid")</f>
        <v>Valid</v>
      </c>
    </row>
    <row r="2517" spans="1:18" x14ac:dyDescent="0.25">
      <c r="A2517" t="s">
        <v>4588</v>
      </c>
      <c r="B2517" t="s">
        <v>932</v>
      </c>
      <c r="C2517" s="8">
        <v>46084</v>
      </c>
      <c r="D2517" t="s">
        <v>2067</v>
      </c>
      <c r="E2517" t="s">
        <v>2063</v>
      </c>
      <c r="F2517" t="s">
        <v>53</v>
      </c>
      <c r="G2517">
        <v>493.53</v>
      </c>
      <c r="H2517" t="s">
        <v>2060</v>
      </c>
      <c r="I2517" t="str">
        <f>VLOOKUP(B2517,Customers!A:G,7,FALSE)</f>
        <v>Individual</v>
      </c>
      <c r="Q2517" t="str">
        <f>IF(COUNTIF(Customers!$A$2:$A$1001,B2517)&gt;0,"Valid","Invalid")</f>
        <v>Valid</v>
      </c>
      <c r="R2517" t="str">
        <f>IF(COUNTIF(Branches!$A$2:$A$11,F2517)&gt;0,"Valid","Invalid")</f>
        <v>Valid</v>
      </c>
    </row>
    <row r="2518" spans="1:18" x14ac:dyDescent="0.25">
      <c r="A2518" t="s">
        <v>4589</v>
      </c>
      <c r="B2518" t="s">
        <v>284</v>
      </c>
      <c r="C2518" s="8">
        <v>46045</v>
      </c>
      <c r="D2518" t="s">
        <v>2058</v>
      </c>
      <c r="E2518" t="s">
        <v>2063</v>
      </c>
      <c r="F2518" t="s">
        <v>29</v>
      </c>
      <c r="G2518">
        <v>328.77</v>
      </c>
      <c r="H2518" t="s">
        <v>2060</v>
      </c>
      <c r="I2518" t="str">
        <f>VLOOKUP(B2518,Customers!A:G,7,FALSE)</f>
        <v>Individual</v>
      </c>
      <c r="Q2518" t="str">
        <f>IF(COUNTIF(Customers!$A$2:$A$1001,B2518)&gt;0,"Valid","Invalid")</f>
        <v>Valid</v>
      </c>
      <c r="R2518" t="str">
        <f>IF(COUNTIF(Branches!$A$2:$A$11,F2518)&gt;0,"Valid","Invalid")</f>
        <v>Valid</v>
      </c>
    </row>
    <row r="2519" spans="1:18" x14ac:dyDescent="0.25">
      <c r="A2519" t="s">
        <v>4590</v>
      </c>
      <c r="B2519" t="s">
        <v>310</v>
      </c>
      <c r="C2519" s="8">
        <v>46066</v>
      </c>
      <c r="D2519" t="s">
        <v>2062</v>
      </c>
      <c r="E2519" t="s">
        <v>2076</v>
      </c>
      <c r="F2519" t="s">
        <v>47</v>
      </c>
      <c r="G2519">
        <v>2106.84</v>
      </c>
      <c r="H2519" t="s">
        <v>2060</v>
      </c>
      <c r="I2519" t="str">
        <f>VLOOKUP(B2519,Customers!A:G,7,FALSE)</f>
        <v>Individual</v>
      </c>
      <c r="Q2519" t="str">
        <f>IF(COUNTIF(Customers!$A$2:$A$1001,B2519)&gt;0,"Valid","Invalid")</f>
        <v>Valid</v>
      </c>
      <c r="R2519" t="str">
        <f>IF(COUNTIF(Branches!$A$2:$A$11,F2519)&gt;0,"Valid","Invalid")</f>
        <v>Valid</v>
      </c>
    </row>
    <row r="2520" spans="1:18" x14ac:dyDescent="0.25">
      <c r="A2520" t="s">
        <v>4591</v>
      </c>
      <c r="B2520" t="s">
        <v>441</v>
      </c>
      <c r="C2520" s="8">
        <v>46074</v>
      </c>
      <c r="D2520" t="s">
        <v>2065</v>
      </c>
      <c r="E2520" t="s">
        <v>2076</v>
      </c>
      <c r="F2520" t="s">
        <v>47</v>
      </c>
      <c r="G2520">
        <v>359.61</v>
      </c>
      <c r="H2520" t="s">
        <v>2060</v>
      </c>
      <c r="I2520" t="str">
        <f>VLOOKUP(B2520,Customers!A:G,7,FALSE)</f>
        <v>Individual</v>
      </c>
      <c r="Q2520" t="str">
        <f>IF(COUNTIF(Customers!$A$2:$A$1001,B2520)&gt;0,"Valid","Invalid")</f>
        <v>Valid</v>
      </c>
      <c r="R2520" t="str">
        <f>IF(COUNTIF(Branches!$A$2:$A$11,F2520)&gt;0,"Valid","Invalid")</f>
        <v>Valid</v>
      </c>
    </row>
    <row r="2521" spans="1:18" x14ac:dyDescent="0.25">
      <c r="A2521" t="s">
        <v>4592</v>
      </c>
      <c r="B2521" t="s">
        <v>707</v>
      </c>
      <c r="C2521" s="8">
        <v>46068</v>
      </c>
      <c r="D2521" t="s">
        <v>2065</v>
      </c>
      <c r="E2521" t="s">
        <v>2059</v>
      </c>
      <c r="F2521" t="s">
        <v>27</v>
      </c>
      <c r="G2521">
        <v>1825.73</v>
      </c>
      <c r="H2521" t="s">
        <v>2060</v>
      </c>
      <c r="I2521" t="str">
        <f>VLOOKUP(B2521,Customers!A:G,7,FALSE)</f>
        <v>Individual</v>
      </c>
      <c r="Q2521" t="str">
        <f>IF(COUNTIF(Customers!$A$2:$A$1001,B2521)&gt;0,"Valid","Invalid")</f>
        <v>Valid</v>
      </c>
      <c r="R2521" t="str">
        <f>IF(COUNTIF(Branches!$A$2:$A$11,F2521)&gt;0,"Valid","Invalid")</f>
        <v>Valid</v>
      </c>
    </row>
    <row r="2522" spans="1:18" x14ac:dyDescent="0.25">
      <c r="A2522" t="s">
        <v>4593</v>
      </c>
      <c r="B2522" t="s">
        <v>152</v>
      </c>
      <c r="C2522" s="8">
        <v>46169</v>
      </c>
      <c r="D2522" t="s">
        <v>2067</v>
      </c>
      <c r="E2522" t="s">
        <v>2063</v>
      </c>
      <c r="F2522" t="s">
        <v>29</v>
      </c>
      <c r="G2522">
        <v>379.97</v>
      </c>
      <c r="H2522" t="s">
        <v>2060</v>
      </c>
      <c r="I2522" t="str">
        <f>VLOOKUP(B2522,Customers!A:G,7,FALSE)</f>
        <v>Individual</v>
      </c>
      <c r="Q2522" t="str">
        <f>IF(COUNTIF(Customers!$A$2:$A$1001,B2522)&gt;0,"Valid","Invalid")</f>
        <v>Valid</v>
      </c>
      <c r="R2522" t="str">
        <f>IF(COUNTIF(Branches!$A$2:$A$11,F2522)&gt;0,"Valid","Invalid")</f>
        <v>Valid</v>
      </c>
    </row>
    <row r="2523" spans="1:18" x14ac:dyDescent="0.25">
      <c r="A2523" t="s">
        <v>4594</v>
      </c>
      <c r="B2523" t="s">
        <v>473</v>
      </c>
      <c r="C2523" s="8">
        <v>46238</v>
      </c>
      <c r="D2523" t="s">
        <v>2067</v>
      </c>
      <c r="E2523" t="s">
        <v>2063</v>
      </c>
      <c r="F2523" t="s">
        <v>11</v>
      </c>
      <c r="G2523">
        <v>1151.8900000000001</v>
      </c>
      <c r="H2523" t="s">
        <v>2060</v>
      </c>
      <c r="I2523" t="str">
        <f>VLOOKUP(B2523,Customers!A:G,7,FALSE)</f>
        <v>Individual</v>
      </c>
      <c r="Q2523" t="str">
        <f>IF(COUNTIF(Customers!$A$2:$A$1001,B2523)&gt;0,"Valid","Invalid")</f>
        <v>Valid</v>
      </c>
      <c r="R2523" t="str">
        <f>IF(COUNTIF(Branches!$A$2:$A$11,F2523)&gt;0,"Valid","Invalid")</f>
        <v>Valid</v>
      </c>
    </row>
    <row r="2524" spans="1:18" x14ac:dyDescent="0.25">
      <c r="A2524" t="s">
        <v>4595</v>
      </c>
      <c r="B2524" t="s">
        <v>568</v>
      </c>
      <c r="C2524" s="8">
        <v>46106</v>
      </c>
      <c r="D2524" t="s">
        <v>2067</v>
      </c>
      <c r="E2524" t="s">
        <v>2073</v>
      </c>
      <c r="F2524" t="s">
        <v>27</v>
      </c>
      <c r="G2524">
        <v>281.52999999999997</v>
      </c>
      <c r="H2524" t="s">
        <v>2060</v>
      </c>
      <c r="I2524" t="str">
        <f>VLOOKUP(B2524,Customers!A:G,7,FALSE)</f>
        <v>Individual</v>
      </c>
      <c r="Q2524" t="str">
        <f>IF(COUNTIF(Customers!$A$2:$A$1001,B2524)&gt;0,"Valid","Invalid")</f>
        <v>Valid</v>
      </c>
      <c r="R2524" t="str">
        <f>IF(COUNTIF(Branches!$A$2:$A$11,F2524)&gt;0,"Valid","Invalid")</f>
        <v>Valid</v>
      </c>
    </row>
    <row r="2525" spans="1:18" x14ac:dyDescent="0.25">
      <c r="A2525" t="s">
        <v>4596</v>
      </c>
      <c r="B2525" t="s">
        <v>480</v>
      </c>
      <c r="C2525" s="8">
        <v>46069</v>
      </c>
      <c r="D2525" t="s">
        <v>2062</v>
      </c>
      <c r="E2525" t="s">
        <v>2063</v>
      </c>
      <c r="F2525" t="s">
        <v>11</v>
      </c>
      <c r="G2525">
        <v>1772.04</v>
      </c>
      <c r="H2525" t="s">
        <v>2060</v>
      </c>
      <c r="I2525" t="str">
        <f>VLOOKUP(B2525,Customers!A:G,7,FALSE)</f>
        <v>SME</v>
      </c>
      <c r="Q2525" t="str">
        <f>IF(COUNTIF(Customers!$A$2:$A$1001,B2525)&gt;0,"Valid","Invalid")</f>
        <v>Valid</v>
      </c>
      <c r="R2525" t="str">
        <f>IF(COUNTIF(Branches!$A$2:$A$11,F2525)&gt;0,"Valid","Invalid")</f>
        <v>Valid</v>
      </c>
    </row>
    <row r="2526" spans="1:18" x14ac:dyDescent="0.25">
      <c r="A2526" t="s">
        <v>4597</v>
      </c>
      <c r="B2526" t="s">
        <v>208</v>
      </c>
      <c r="C2526" s="8">
        <v>46113</v>
      </c>
      <c r="D2526" t="s">
        <v>2067</v>
      </c>
      <c r="E2526" t="s">
        <v>2073</v>
      </c>
      <c r="F2526" t="s">
        <v>39</v>
      </c>
      <c r="G2526">
        <v>236.59</v>
      </c>
      <c r="H2526" t="s">
        <v>2060</v>
      </c>
      <c r="I2526" t="str">
        <f>VLOOKUP(B2526,Customers!A:G,7,FALSE)</f>
        <v>Individual</v>
      </c>
      <c r="Q2526" t="str">
        <f>IF(COUNTIF(Customers!$A$2:$A$1001,B2526)&gt;0,"Valid","Invalid")</f>
        <v>Valid</v>
      </c>
      <c r="R2526" t="str">
        <f>IF(COUNTIF(Branches!$A$2:$A$11,F2526)&gt;0,"Valid","Invalid")</f>
        <v>Valid</v>
      </c>
    </row>
    <row r="2527" spans="1:18" x14ac:dyDescent="0.25">
      <c r="A2527" t="s">
        <v>4598</v>
      </c>
      <c r="B2527" t="s">
        <v>49</v>
      </c>
      <c r="C2527" s="8">
        <v>46074</v>
      </c>
      <c r="D2527" t="s">
        <v>2058</v>
      </c>
      <c r="E2527" t="s">
        <v>2059</v>
      </c>
      <c r="F2527" t="s">
        <v>11</v>
      </c>
      <c r="G2527">
        <v>1067.3699999999999</v>
      </c>
      <c r="H2527" t="s">
        <v>2060</v>
      </c>
      <c r="I2527" t="str">
        <f>VLOOKUP(B2527,Customers!A:G,7,FALSE)</f>
        <v>Individual</v>
      </c>
      <c r="Q2527" t="str">
        <f>IF(COUNTIF(Customers!$A$2:$A$1001,B2527)&gt;0,"Valid","Invalid")</f>
        <v>Valid</v>
      </c>
      <c r="R2527" t="str">
        <f>IF(COUNTIF(Branches!$A$2:$A$11,F2527)&gt;0,"Valid","Invalid")</f>
        <v>Valid</v>
      </c>
    </row>
    <row r="2528" spans="1:18" x14ac:dyDescent="0.25">
      <c r="A2528" t="s">
        <v>4599</v>
      </c>
      <c r="B2528" t="s">
        <v>999</v>
      </c>
      <c r="C2528" s="8">
        <v>46046</v>
      </c>
      <c r="D2528" t="s">
        <v>2058</v>
      </c>
      <c r="E2528" t="s">
        <v>2063</v>
      </c>
      <c r="F2528" t="s">
        <v>16</v>
      </c>
      <c r="G2528">
        <v>666.58</v>
      </c>
      <c r="H2528" t="s">
        <v>2060</v>
      </c>
      <c r="I2528" t="str">
        <f>VLOOKUP(B2528,Customers!A:G,7,FALSE)</f>
        <v>Individual</v>
      </c>
      <c r="Q2528" t="str">
        <f>IF(COUNTIF(Customers!$A$2:$A$1001,B2528)&gt;0,"Valid","Invalid")</f>
        <v>Valid</v>
      </c>
      <c r="R2528" t="str">
        <f>IF(COUNTIF(Branches!$A$2:$A$11,F2528)&gt;0,"Valid","Invalid")</f>
        <v>Valid</v>
      </c>
    </row>
    <row r="2529" spans="1:18" x14ac:dyDescent="0.25">
      <c r="A2529" t="s">
        <v>4600</v>
      </c>
      <c r="B2529" t="s">
        <v>790</v>
      </c>
      <c r="C2529" s="8">
        <v>46167</v>
      </c>
      <c r="D2529" t="s">
        <v>2065</v>
      </c>
      <c r="E2529" t="s">
        <v>2059</v>
      </c>
      <c r="F2529" t="s">
        <v>16</v>
      </c>
      <c r="G2529">
        <v>899.47</v>
      </c>
      <c r="H2529" t="s">
        <v>2060</v>
      </c>
      <c r="I2529" t="str">
        <f>VLOOKUP(B2529,Customers!A:G,7,FALSE)</f>
        <v>Individual</v>
      </c>
      <c r="Q2529" t="str">
        <f>IF(COUNTIF(Customers!$A$2:$A$1001,B2529)&gt;0,"Valid","Invalid")</f>
        <v>Valid</v>
      </c>
      <c r="R2529" t="str">
        <f>IF(COUNTIF(Branches!$A$2:$A$11,F2529)&gt;0,"Valid","Invalid")</f>
        <v>Valid</v>
      </c>
    </row>
    <row r="2530" spans="1:18" x14ac:dyDescent="0.25">
      <c r="A2530" t="s">
        <v>4601</v>
      </c>
      <c r="B2530" t="s">
        <v>936</v>
      </c>
      <c r="C2530" s="8">
        <v>46111</v>
      </c>
      <c r="D2530" t="s">
        <v>2062</v>
      </c>
      <c r="E2530" t="s">
        <v>2073</v>
      </c>
      <c r="F2530" t="s">
        <v>45</v>
      </c>
      <c r="G2530">
        <v>546.86</v>
      </c>
      <c r="H2530" t="s">
        <v>2060</v>
      </c>
      <c r="I2530" t="str">
        <f>VLOOKUP(B2530,Customers!A:G,7,FALSE)</f>
        <v>Individual</v>
      </c>
      <c r="Q2530" t="str">
        <f>IF(COUNTIF(Customers!$A$2:$A$1001,B2530)&gt;0,"Valid","Invalid")</f>
        <v>Valid</v>
      </c>
      <c r="R2530" t="str">
        <f>IF(COUNTIF(Branches!$A$2:$A$11,F2530)&gt;0,"Valid","Invalid")</f>
        <v>Valid</v>
      </c>
    </row>
    <row r="2531" spans="1:18" x14ac:dyDescent="0.25">
      <c r="A2531" t="s">
        <v>4602</v>
      </c>
      <c r="B2531" t="s">
        <v>92</v>
      </c>
      <c r="C2531" s="8">
        <v>46196</v>
      </c>
      <c r="D2531" t="s">
        <v>2058</v>
      </c>
      <c r="E2531" t="s">
        <v>2059</v>
      </c>
      <c r="F2531" t="s">
        <v>16</v>
      </c>
      <c r="G2531">
        <v>534.17999999999995</v>
      </c>
      <c r="H2531" t="s">
        <v>2060</v>
      </c>
      <c r="I2531" t="str">
        <f>VLOOKUP(B2531,Customers!A:G,7,FALSE)</f>
        <v>Individual</v>
      </c>
      <c r="Q2531" t="str">
        <f>IF(COUNTIF(Customers!$A$2:$A$1001,B2531)&gt;0,"Valid","Invalid")</f>
        <v>Valid</v>
      </c>
      <c r="R2531" t="str">
        <f>IF(COUNTIF(Branches!$A$2:$A$11,F2531)&gt;0,"Valid","Invalid")</f>
        <v>Valid</v>
      </c>
    </row>
    <row r="2532" spans="1:18" x14ac:dyDescent="0.25">
      <c r="A2532" t="s">
        <v>4603</v>
      </c>
      <c r="B2532" t="s">
        <v>629</v>
      </c>
      <c r="C2532" s="8">
        <v>46086</v>
      </c>
      <c r="D2532" t="s">
        <v>2067</v>
      </c>
      <c r="E2532" t="s">
        <v>2068</v>
      </c>
      <c r="F2532" t="s">
        <v>47</v>
      </c>
      <c r="G2532">
        <v>948.4</v>
      </c>
      <c r="H2532" t="s">
        <v>2060</v>
      </c>
      <c r="I2532" t="str">
        <f>VLOOKUP(B2532,Customers!A:G,7,FALSE)</f>
        <v>Individual</v>
      </c>
      <c r="Q2532" t="str">
        <f>IF(COUNTIF(Customers!$A$2:$A$1001,B2532)&gt;0,"Valid","Invalid")</f>
        <v>Valid</v>
      </c>
      <c r="R2532" t="str">
        <f>IF(COUNTIF(Branches!$A$2:$A$11,F2532)&gt;0,"Valid","Invalid")</f>
        <v>Valid</v>
      </c>
    </row>
    <row r="2533" spans="1:18" x14ac:dyDescent="0.25">
      <c r="A2533" t="s">
        <v>4604</v>
      </c>
      <c r="B2533" t="s">
        <v>139</v>
      </c>
      <c r="C2533" s="8">
        <v>46141</v>
      </c>
      <c r="D2533" t="s">
        <v>2062</v>
      </c>
      <c r="E2533" t="s">
        <v>2063</v>
      </c>
      <c r="F2533" t="s">
        <v>21</v>
      </c>
      <c r="G2533">
        <v>298.23</v>
      </c>
      <c r="H2533" t="s">
        <v>2060</v>
      </c>
      <c r="I2533" t="str">
        <f>VLOOKUP(B2533,Customers!A:G,7,FALSE)</f>
        <v>SME</v>
      </c>
      <c r="Q2533" t="str">
        <f>IF(COUNTIF(Customers!$A$2:$A$1001,B2533)&gt;0,"Valid","Invalid")</f>
        <v>Valid</v>
      </c>
      <c r="R2533" t="str">
        <f>IF(COUNTIF(Branches!$A$2:$A$11,F2533)&gt;0,"Valid","Invalid")</f>
        <v>Valid</v>
      </c>
    </row>
    <row r="2534" spans="1:18" x14ac:dyDescent="0.25">
      <c r="A2534" t="s">
        <v>4605</v>
      </c>
      <c r="B2534" t="s">
        <v>322</v>
      </c>
      <c r="C2534" s="8">
        <v>46245</v>
      </c>
      <c r="D2534" t="s">
        <v>2065</v>
      </c>
      <c r="E2534" t="s">
        <v>2059</v>
      </c>
      <c r="F2534" t="s">
        <v>11</v>
      </c>
      <c r="G2534">
        <v>296.48</v>
      </c>
      <c r="H2534" t="s">
        <v>2060</v>
      </c>
      <c r="I2534" t="str">
        <f>VLOOKUP(B2534,Customers!A:G,7,FALSE)</f>
        <v>Individual</v>
      </c>
      <c r="Q2534" t="str">
        <f>IF(COUNTIF(Customers!$A$2:$A$1001,B2534)&gt;0,"Valid","Invalid")</f>
        <v>Valid</v>
      </c>
      <c r="R2534" t="str">
        <f>IF(COUNTIF(Branches!$A$2:$A$11,F2534)&gt;0,"Valid","Invalid")</f>
        <v>Valid</v>
      </c>
    </row>
    <row r="2535" spans="1:18" x14ac:dyDescent="0.25">
      <c r="A2535" t="s">
        <v>4606</v>
      </c>
      <c r="B2535" t="s">
        <v>743</v>
      </c>
      <c r="C2535" s="8">
        <v>46178</v>
      </c>
      <c r="D2535" t="s">
        <v>2062</v>
      </c>
      <c r="E2535" t="s">
        <v>2068</v>
      </c>
      <c r="F2535" t="s">
        <v>21</v>
      </c>
      <c r="G2535">
        <v>567.62</v>
      </c>
      <c r="H2535" t="s">
        <v>2107</v>
      </c>
      <c r="I2535" t="str">
        <f>VLOOKUP(B2535,Customers!A:G,7,FALSE)</f>
        <v>Individual</v>
      </c>
      <c r="Q2535" t="str">
        <f>IF(COUNTIF(Customers!$A$2:$A$1001,B2535)&gt;0,"Valid","Invalid")</f>
        <v>Valid</v>
      </c>
      <c r="R2535" t="str">
        <f>IF(COUNTIF(Branches!$A$2:$A$11,F2535)&gt;0,"Valid","Invalid")</f>
        <v>Valid</v>
      </c>
    </row>
    <row r="2536" spans="1:18" x14ac:dyDescent="0.25">
      <c r="A2536" t="s">
        <v>4607</v>
      </c>
      <c r="B2536" t="s">
        <v>555</v>
      </c>
      <c r="C2536" s="8">
        <v>46200</v>
      </c>
      <c r="D2536" t="s">
        <v>2058</v>
      </c>
      <c r="E2536" t="s">
        <v>2073</v>
      </c>
      <c r="F2536" t="s">
        <v>11</v>
      </c>
      <c r="G2536">
        <v>545.95000000000005</v>
      </c>
      <c r="H2536" t="s">
        <v>2060</v>
      </c>
      <c r="I2536" t="str">
        <f>VLOOKUP(B2536,Customers!A:G,7,FALSE)</f>
        <v>SME</v>
      </c>
      <c r="Q2536" t="str">
        <f>IF(COUNTIF(Customers!$A$2:$A$1001,B2536)&gt;0,"Valid","Invalid")</f>
        <v>Valid</v>
      </c>
      <c r="R2536" t="str">
        <f>IF(COUNTIF(Branches!$A$2:$A$11,F2536)&gt;0,"Valid","Invalid")</f>
        <v>Valid</v>
      </c>
    </row>
    <row r="2537" spans="1:18" x14ac:dyDescent="0.25">
      <c r="A2537" t="s">
        <v>4608</v>
      </c>
      <c r="B2537" t="s">
        <v>656</v>
      </c>
      <c r="C2537" s="8">
        <v>46086</v>
      </c>
      <c r="D2537" t="s">
        <v>2058</v>
      </c>
      <c r="E2537" t="s">
        <v>2059</v>
      </c>
      <c r="F2537" t="s">
        <v>11</v>
      </c>
      <c r="G2537">
        <v>297.26</v>
      </c>
      <c r="H2537" t="s">
        <v>2060</v>
      </c>
      <c r="I2537" t="str">
        <f>VLOOKUP(B2537,Customers!A:G,7,FALSE)</f>
        <v>Individual</v>
      </c>
      <c r="Q2537" t="str">
        <f>IF(COUNTIF(Customers!$A$2:$A$1001,B2537)&gt;0,"Valid","Invalid")</f>
        <v>Valid</v>
      </c>
      <c r="R2537" t="str">
        <f>IF(COUNTIF(Branches!$A$2:$A$11,F2537)&gt;0,"Valid","Invalid")</f>
        <v>Valid</v>
      </c>
    </row>
    <row r="2538" spans="1:18" x14ac:dyDescent="0.25">
      <c r="A2538" t="s">
        <v>4609</v>
      </c>
      <c r="B2538" t="s">
        <v>316</v>
      </c>
      <c r="C2538" s="8">
        <v>46178</v>
      </c>
      <c r="D2538" t="s">
        <v>2062</v>
      </c>
      <c r="E2538" t="s">
        <v>2076</v>
      </c>
      <c r="F2538" t="s">
        <v>16</v>
      </c>
      <c r="G2538">
        <v>2047.17</v>
      </c>
      <c r="H2538" t="s">
        <v>2060</v>
      </c>
      <c r="I2538" t="str">
        <f>VLOOKUP(B2538,Customers!A:G,7,FALSE)</f>
        <v>Individual</v>
      </c>
      <c r="Q2538" t="str">
        <f>IF(COUNTIF(Customers!$A$2:$A$1001,B2538)&gt;0,"Valid","Invalid")</f>
        <v>Valid</v>
      </c>
      <c r="R2538" t="str">
        <f>IF(COUNTIF(Branches!$A$2:$A$11,F2538)&gt;0,"Valid","Invalid")</f>
        <v>Valid</v>
      </c>
    </row>
    <row r="2539" spans="1:18" x14ac:dyDescent="0.25">
      <c r="A2539" t="s">
        <v>4610</v>
      </c>
      <c r="B2539" t="s">
        <v>923</v>
      </c>
      <c r="C2539" s="8">
        <v>46108</v>
      </c>
      <c r="D2539" t="s">
        <v>2062</v>
      </c>
      <c r="E2539" t="s">
        <v>2063</v>
      </c>
      <c r="F2539" t="s">
        <v>47</v>
      </c>
      <c r="G2539">
        <v>581.45000000000005</v>
      </c>
      <c r="H2539" t="s">
        <v>2060</v>
      </c>
      <c r="I2539" t="str">
        <f>VLOOKUP(B2539,Customers!A:G,7,FALSE)</f>
        <v>Individual</v>
      </c>
      <c r="Q2539" t="str">
        <f>IF(COUNTIF(Customers!$A$2:$A$1001,B2539)&gt;0,"Valid","Invalid")</f>
        <v>Valid</v>
      </c>
      <c r="R2539" t="str">
        <f>IF(COUNTIF(Branches!$A$2:$A$11,F2539)&gt;0,"Valid","Invalid")</f>
        <v>Valid</v>
      </c>
    </row>
    <row r="2540" spans="1:18" x14ac:dyDescent="0.25">
      <c r="A2540" t="s">
        <v>4611</v>
      </c>
      <c r="B2540" t="s">
        <v>650</v>
      </c>
      <c r="C2540" s="8">
        <v>46078</v>
      </c>
      <c r="D2540" t="s">
        <v>2058</v>
      </c>
      <c r="E2540" t="s">
        <v>2063</v>
      </c>
      <c r="F2540" t="s">
        <v>21</v>
      </c>
      <c r="G2540">
        <v>647.64</v>
      </c>
      <c r="H2540" t="s">
        <v>2060</v>
      </c>
      <c r="I2540" t="str">
        <f>VLOOKUP(B2540,Customers!A:G,7,FALSE)</f>
        <v>Student</v>
      </c>
      <c r="Q2540" t="str">
        <f>IF(COUNTIF(Customers!$A$2:$A$1001,B2540)&gt;0,"Valid","Invalid")</f>
        <v>Valid</v>
      </c>
      <c r="R2540" t="str">
        <f>IF(COUNTIF(Branches!$A$2:$A$11,F2540)&gt;0,"Valid","Invalid")</f>
        <v>Valid</v>
      </c>
    </row>
    <row r="2541" spans="1:18" x14ac:dyDescent="0.25">
      <c r="A2541" t="s">
        <v>4612</v>
      </c>
      <c r="B2541" t="s">
        <v>788</v>
      </c>
      <c r="C2541" s="8">
        <v>46081</v>
      </c>
      <c r="D2541" t="s">
        <v>2062</v>
      </c>
      <c r="E2541" t="s">
        <v>2063</v>
      </c>
      <c r="F2541" t="s">
        <v>39</v>
      </c>
      <c r="G2541">
        <v>215.39</v>
      </c>
      <c r="H2541" t="s">
        <v>2060</v>
      </c>
      <c r="I2541" t="str">
        <f>VLOOKUP(B2541,Customers!A:G,7,FALSE)</f>
        <v>Student</v>
      </c>
      <c r="Q2541" t="str">
        <f>IF(COUNTIF(Customers!$A$2:$A$1001,B2541)&gt;0,"Valid","Invalid")</f>
        <v>Valid</v>
      </c>
      <c r="R2541" t="str">
        <f>IF(COUNTIF(Branches!$A$2:$A$11,F2541)&gt;0,"Valid","Invalid")</f>
        <v>Valid</v>
      </c>
    </row>
    <row r="2542" spans="1:18" x14ac:dyDescent="0.25">
      <c r="A2542" t="s">
        <v>4613</v>
      </c>
      <c r="B2542" t="s">
        <v>307</v>
      </c>
      <c r="C2542" s="8">
        <v>46155</v>
      </c>
      <c r="D2542" t="s">
        <v>2067</v>
      </c>
      <c r="E2542" t="s">
        <v>2063</v>
      </c>
      <c r="F2542" t="s">
        <v>11</v>
      </c>
      <c r="G2542">
        <v>6448.71</v>
      </c>
      <c r="H2542" t="s">
        <v>2060</v>
      </c>
      <c r="I2542" t="str">
        <f>VLOOKUP(B2542,Customers!A:G,7,FALSE)</f>
        <v>Individual</v>
      </c>
      <c r="Q2542" t="str">
        <f>IF(COUNTIF(Customers!$A$2:$A$1001,B2542)&gt;0,"Valid","Invalid")</f>
        <v>Valid</v>
      </c>
      <c r="R2542" t="str">
        <f>IF(COUNTIF(Branches!$A$2:$A$11,F2542)&gt;0,"Valid","Invalid")</f>
        <v>Valid</v>
      </c>
    </row>
    <row r="2543" spans="1:18" x14ac:dyDescent="0.25">
      <c r="A2543" t="s">
        <v>4614</v>
      </c>
      <c r="B2543" t="s">
        <v>871</v>
      </c>
      <c r="C2543" s="8">
        <v>46204</v>
      </c>
      <c r="D2543" t="s">
        <v>2058</v>
      </c>
      <c r="E2543" t="s">
        <v>2063</v>
      </c>
      <c r="F2543" t="s">
        <v>53</v>
      </c>
      <c r="G2543">
        <v>9201</v>
      </c>
      <c r="H2543" t="s">
        <v>2060</v>
      </c>
      <c r="I2543" t="str">
        <f>VLOOKUP(B2543,Customers!A:G,7,FALSE)</f>
        <v>Individual</v>
      </c>
      <c r="Q2543" t="str">
        <f>IF(COUNTIF(Customers!$A$2:$A$1001,B2543)&gt;0,"Valid","Invalid")</f>
        <v>Valid</v>
      </c>
      <c r="R2543" t="str">
        <f>IF(COUNTIF(Branches!$A$2:$A$11,F2543)&gt;0,"Valid","Invalid")</f>
        <v>Valid</v>
      </c>
    </row>
    <row r="2544" spans="1:18" x14ac:dyDescent="0.25">
      <c r="A2544" t="s">
        <v>4615</v>
      </c>
      <c r="B2544" t="s">
        <v>438</v>
      </c>
      <c r="C2544" s="8">
        <v>46194</v>
      </c>
      <c r="D2544" t="s">
        <v>2065</v>
      </c>
      <c r="E2544" t="s">
        <v>2063</v>
      </c>
      <c r="F2544" t="s">
        <v>29</v>
      </c>
      <c r="G2544">
        <v>372.26</v>
      </c>
      <c r="H2544" t="s">
        <v>2060</v>
      </c>
      <c r="I2544" t="str">
        <f>VLOOKUP(B2544,Customers!A:G,7,FALSE)</f>
        <v>Individual</v>
      </c>
      <c r="Q2544" t="str">
        <f>IF(COUNTIF(Customers!$A$2:$A$1001,B2544)&gt;0,"Valid","Invalid")</f>
        <v>Valid</v>
      </c>
      <c r="R2544" t="str">
        <f>IF(COUNTIF(Branches!$A$2:$A$11,F2544)&gt;0,"Valid","Invalid")</f>
        <v>Valid</v>
      </c>
    </row>
    <row r="2545" spans="1:18" x14ac:dyDescent="0.25">
      <c r="A2545" t="s">
        <v>4616</v>
      </c>
      <c r="B2545" t="s">
        <v>541</v>
      </c>
      <c r="C2545" s="8">
        <v>46192</v>
      </c>
      <c r="D2545" t="s">
        <v>2065</v>
      </c>
      <c r="E2545" t="s">
        <v>2073</v>
      </c>
      <c r="F2545" t="s">
        <v>35</v>
      </c>
      <c r="G2545">
        <v>2768.57</v>
      </c>
      <c r="H2545" t="s">
        <v>2060</v>
      </c>
      <c r="I2545" t="str">
        <f>VLOOKUP(B2545,Customers!A:G,7,FALSE)</f>
        <v>Individual</v>
      </c>
      <c r="Q2545" t="str">
        <f>IF(COUNTIF(Customers!$A$2:$A$1001,B2545)&gt;0,"Valid","Invalid")</f>
        <v>Valid</v>
      </c>
      <c r="R2545" t="str">
        <f>IF(COUNTIF(Branches!$A$2:$A$11,F2545)&gt;0,"Valid","Invalid")</f>
        <v>Valid</v>
      </c>
    </row>
    <row r="2546" spans="1:18" x14ac:dyDescent="0.25">
      <c r="A2546" t="s">
        <v>4617</v>
      </c>
      <c r="B2546" t="s">
        <v>122</v>
      </c>
      <c r="C2546" s="8">
        <v>46222</v>
      </c>
      <c r="D2546" t="s">
        <v>2062</v>
      </c>
      <c r="E2546" t="s">
        <v>2076</v>
      </c>
      <c r="F2546" t="s">
        <v>16</v>
      </c>
      <c r="G2546">
        <v>741.14</v>
      </c>
      <c r="H2546" t="s">
        <v>2060</v>
      </c>
      <c r="I2546" t="str">
        <f>VLOOKUP(B2546,Customers!A:G,7,FALSE)</f>
        <v>Individual</v>
      </c>
      <c r="Q2546" t="str">
        <f>IF(COUNTIF(Customers!$A$2:$A$1001,B2546)&gt;0,"Valid","Invalid")</f>
        <v>Valid</v>
      </c>
      <c r="R2546" t="str">
        <f>IF(COUNTIF(Branches!$A$2:$A$11,F2546)&gt;0,"Valid","Invalid")</f>
        <v>Valid</v>
      </c>
    </row>
    <row r="2547" spans="1:18" x14ac:dyDescent="0.25">
      <c r="A2547" t="s">
        <v>4618</v>
      </c>
      <c r="B2547" t="s">
        <v>358</v>
      </c>
      <c r="C2547" s="8">
        <v>46147</v>
      </c>
      <c r="D2547" t="s">
        <v>2065</v>
      </c>
      <c r="E2547" t="s">
        <v>2059</v>
      </c>
      <c r="F2547" t="s">
        <v>21</v>
      </c>
      <c r="G2547">
        <v>4039.07</v>
      </c>
      <c r="H2547" t="s">
        <v>2060</v>
      </c>
      <c r="I2547" t="str">
        <f>VLOOKUP(B2547,Customers!A:G,7,FALSE)</f>
        <v>Individual</v>
      </c>
      <c r="Q2547" t="str">
        <f>IF(COUNTIF(Customers!$A$2:$A$1001,B2547)&gt;0,"Valid","Invalid")</f>
        <v>Valid</v>
      </c>
      <c r="R2547" t="str">
        <f>IF(COUNTIF(Branches!$A$2:$A$11,F2547)&gt;0,"Valid","Invalid")</f>
        <v>Valid</v>
      </c>
    </row>
    <row r="2548" spans="1:18" x14ac:dyDescent="0.25">
      <c r="A2548" t="s">
        <v>4619</v>
      </c>
      <c r="B2548" t="s">
        <v>66</v>
      </c>
      <c r="C2548" s="8">
        <v>46252</v>
      </c>
      <c r="D2548" t="s">
        <v>2065</v>
      </c>
      <c r="E2548" t="s">
        <v>2073</v>
      </c>
      <c r="F2548" t="s">
        <v>45</v>
      </c>
      <c r="G2548">
        <v>1137.0999999999999</v>
      </c>
      <c r="H2548" t="s">
        <v>2060</v>
      </c>
      <c r="I2548" t="str">
        <f>VLOOKUP(B2548,Customers!A:G,7,FALSE)</f>
        <v>Individual</v>
      </c>
      <c r="Q2548" t="str">
        <f>IF(COUNTIF(Customers!$A$2:$A$1001,B2548)&gt;0,"Valid","Invalid")</f>
        <v>Valid</v>
      </c>
      <c r="R2548" t="str">
        <f>IF(COUNTIF(Branches!$A$2:$A$11,F2548)&gt;0,"Valid","Invalid")</f>
        <v>Valid</v>
      </c>
    </row>
    <row r="2549" spans="1:18" x14ac:dyDescent="0.25">
      <c r="A2549" t="s">
        <v>4620</v>
      </c>
      <c r="B2549" t="s">
        <v>374</v>
      </c>
      <c r="C2549" s="8">
        <v>46242</v>
      </c>
      <c r="D2549" t="s">
        <v>2062</v>
      </c>
      <c r="E2549" t="s">
        <v>2063</v>
      </c>
      <c r="F2549" t="s">
        <v>29</v>
      </c>
      <c r="G2549">
        <v>897.63</v>
      </c>
      <c r="H2549" t="s">
        <v>2060</v>
      </c>
      <c r="I2549" t="str">
        <f>VLOOKUP(B2549,Customers!A:G,7,FALSE)</f>
        <v>Individual</v>
      </c>
      <c r="Q2549" t="str">
        <f>IF(COUNTIF(Customers!$A$2:$A$1001,B2549)&gt;0,"Valid","Invalid")</f>
        <v>Valid</v>
      </c>
      <c r="R2549" t="str">
        <f>IF(COUNTIF(Branches!$A$2:$A$11,F2549)&gt;0,"Valid","Invalid")</f>
        <v>Valid</v>
      </c>
    </row>
    <row r="2550" spans="1:18" x14ac:dyDescent="0.25">
      <c r="A2550" t="s">
        <v>4621</v>
      </c>
      <c r="B2550" t="s">
        <v>87</v>
      </c>
      <c r="C2550" s="8">
        <v>46207</v>
      </c>
      <c r="D2550" t="s">
        <v>2065</v>
      </c>
      <c r="E2550" t="s">
        <v>2059</v>
      </c>
      <c r="F2550" t="s">
        <v>11</v>
      </c>
      <c r="G2550">
        <v>66.739999999999995</v>
      </c>
      <c r="H2550" t="s">
        <v>2060</v>
      </c>
      <c r="I2550" t="str">
        <f>VLOOKUP(B2550,Customers!A:G,7,FALSE)</f>
        <v>Individual</v>
      </c>
      <c r="Q2550" t="str">
        <f>IF(COUNTIF(Customers!$A$2:$A$1001,B2550)&gt;0,"Valid","Invalid")</f>
        <v>Valid</v>
      </c>
      <c r="R2550" t="str">
        <f>IF(COUNTIF(Branches!$A$2:$A$11,F2550)&gt;0,"Valid","Invalid")</f>
        <v>Valid</v>
      </c>
    </row>
    <row r="2551" spans="1:18" x14ac:dyDescent="0.25">
      <c r="A2551" t="s">
        <v>4622</v>
      </c>
      <c r="B2551" t="s">
        <v>115</v>
      </c>
      <c r="C2551" s="8">
        <v>46069</v>
      </c>
      <c r="D2551" t="s">
        <v>2067</v>
      </c>
      <c r="E2551" t="s">
        <v>2076</v>
      </c>
      <c r="F2551" t="s">
        <v>11</v>
      </c>
      <c r="G2551">
        <v>337.44</v>
      </c>
      <c r="H2551" t="s">
        <v>2060</v>
      </c>
      <c r="I2551" t="str">
        <f>VLOOKUP(B2551,Customers!A:G,7,FALSE)</f>
        <v>SME</v>
      </c>
      <c r="Q2551" t="str">
        <f>IF(COUNTIF(Customers!$A$2:$A$1001,B2551)&gt;0,"Valid","Invalid")</f>
        <v>Valid</v>
      </c>
      <c r="R2551" t="str">
        <f>IF(COUNTIF(Branches!$A$2:$A$11,F2551)&gt;0,"Valid","Invalid")</f>
        <v>Valid</v>
      </c>
    </row>
    <row r="2552" spans="1:18" x14ac:dyDescent="0.25">
      <c r="A2552" t="s">
        <v>4623</v>
      </c>
      <c r="B2552" t="s">
        <v>736</v>
      </c>
      <c r="C2552" s="8">
        <v>46226</v>
      </c>
      <c r="D2552" t="s">
        <v>2058</v>
      </c>
      <c r="E2552" t="s">
        <v>2063</v>
      </c>
      <c r="F2552" t="s">
        <v>27</v>
      </c>
      <c r="G2552">
        <v>829.25</v>
      </c>
      <c r="H2552" t="s">
        <v>2060</v>
      </c>
      <c r="I2552" t="str">
        <f>VLOOKUP(B2552,Customers!A:G,7,FALSE)</f>
        <v>Individual</v>
      </c>
      <c r="Q2552" t="str">
        <f>IF(COUNTIF(Customers!$A$2:$A$1001,B2552)&gt;0,"Valid","Invalid")</f>
        <v>Valid</v>
      </c>
      <c r="R2552" t="str">
        <f>IF(COUNTIF(Branches!$A$2:$A$11,F2552)&gt;0,"Valid","Invalid")</f>
        <v>Valid</v>
      </c>
    </row>
    <row r="2553" spans="1:18" x14ac:dyDescent="0.25">
      <c r="A2553" t="s">
        <v>4624</v>
      </c>
      <c r="B2553" t="s">
        <v>210</v>
      </c>
      <c r="C2553" s="8">
        <v>46143</v>
      </c>
      <c r="D2553" t="s">
        <v>2058</v>
      </c>
      <c r="E2553" t="s">
        <v>2076</v>
      </c>
      <c r="F2553" t="s">
        <v>47</v>
      </c>
      <c r="G2553">
        <v>990.95</v>
      </c>
      <c r="H2553" t="s">
        <v>2060</v>
      </c>
      <c r="I2553" t="str">
        <f>VLOOKUP(B2553,Customers!A:G,7,FALSE)</f>
        <v>SME</v>
      </c>
      <c r="Q2553" t="str">
        <f>IF(COUNTIF(Customers!$A$2:$A$1001,B2553)&gt;0,"Valid","Invalid")</f>
        <v>Valid</v>
      </c>
      <c r="R2553" t="str">
        <f>IF(COUNTIF(Branches!$A$2:$A$11,F2553)&gt;0,"Valid","Invalid")</f>
        <v>Valid</v>
      </c>
    </row>
    <row r="2554" spans="1:18" x14ac:dyDescent="0.25">
      <c r="A2554" t="s">
        <v>4625</v>
      </c>
      <c r="B2554" t="s">
        <v>986</v>
      </c>
      <c r="C2554" s="8">
        <v>46175</v>
      </c>
      <c r="D2554" t="s">
        <v>2062</v>
      </c>
      <c r="E2554" t="s">
        <v>2063</v>
      </c>
      <c r="F2554" t="s">
        <v>27</v>
      </c>
      <c r="G2554">
        <v>241.09</v>
      </c>
      <c r="H2554" t="s">
        <v>2060</v>
      </c>
      <c r="I2554" t="str">
        <f>VLOOKUP(B2554,Customers!A:G,7,FALSE)</f>
        <v>Individual</v>
      </c>
      <c r="Q2554" t="str">
        <f>IF(COUNTIF(Customers!$A$2:$A$1001,B2554)&gt;0,"Valid","Invalid")</f>
        <v>Valid</v>
      </c>
      <c r="R2554" t="str">
        <f>IF(COUNTIF(Branches!$A$2:$A$11,F2554)&gt;0,"Valid","Invalid")</f>
        <v>Valid</v>
      </c>
    </row>
    <row r="2555" spans="1:18" x14ac:dyDescent="0.25">
      <c r="A2555" t="s">
        <v>4626</v>
      </c>
      <c r="B2555" t="s">
        <v>656</v>
      </c>
      <c r="C2555" s="8">
        <v>46124</v>
      </c>
      <c r="D2555" t="s">
        <v>2058</v>
      </c>
      <c r="E2555" t="s">
        <v>2063</v>
      </c>
      <c r="F2555" t="s">
        <v>39</v>
      </c>
      <c r="G2555">
        <v>391.99</v>
      </c>
      <c r="H2555" t="s">
        <v>2060</v>
      </c>
      <c r="I2555" t="str">
        <f>VLOOKUP(B2555,Customers!A:G,7,FALSE)</f>
        <v>Individual</v>
      </c>
      <c r="Q2555" t="str">
        <f>IF(COUNTIF(Customers!$A$2:$A$1001,B2555)&gt;0,"Valid","Invalid")</f>
        <v>Valid</v>
      </c>
      <c r="R2555" t="str">
        <f>IF(COUNTIF(Branches!$A$2:$A$11,F2555)&gt;0,"Valid","Invalid")</f>
        <v>Valid</v>
      </c>
    </row>
    <row r="2556" spans="1:18" x14ac:dyDescent="0.25">
      <c r="A2556" t="s">
        <v>4627</v>
      </c>
      <c r="B2556" t="s">
        <v>539</v>
      </c>
      <c r="C2556" s="8">
        <v>46066</v>
      </c>
      <c r="D2556" t="s">
        <v>2058</v>
      </c>
      <c r="E2556" t="s">
        <v>2063</v>
      </c>
      <c r="F2556" t="s">
        <v>29</v>
      </c>
      <c r="G2556">
        <v>1412.97</v>
      </c>
      <c r="H2556" t="s">
        <v>2060</v>
      </c>
      <c r="I2556" t="str">
        <f>VLOOKUP(B2556,Customers!A:G,7,FALSE)</f>
        <v>SME</v>
      </c>
      <c r="Q2556" t="str">
        <f>IF(COUNTIF(Customers!$A$2:$A$1001,B2556)&gt;0,"Valid","Invalid")</f>
        <v>Valid</v>
      </c>
      <c r="R2556" t="str">
        <f>IF(COUNTIF(Branches!$A$2:$A$11,F2556)&gt;0,"Valid","Invalid")</f>
        <v>Valid</v>
      </c>
    </row>
    <row r="2557" spans="1:18" x14ac:dyDescent="0.25">
      <c r="A2557" t="s">
        <v>4628</v>
      </c>
      <c r="B2557" t="s">
        <v>613</v>
      </c>
      <c r="C2557" s="8">
        <v>46037</v>
      </c>
      <c r="D2557" t="s">
        <v>2062</v>
      </c>
      <c r="E2557" t="s">
        <v>2073</v>
      </c>
      <c r="F2557" t="s">
        <v>29</v>
      </c>
      <c r="G2557">
        <v>203.73</v>
      </c>
      <c r="H2557" t="s">
        <v>2060</v>
      </c>
      <c r="I2557" t="str">
        <f>VLOOKUP(B2557,Customers!A:G,7,FALSE)</f>
        <v>Individual</v>
      </c>
      <c r="Q2557" t="str">
        <f>IF(COUNTIF(Customers!$A$2:$A$1001,B2557)&gt;0,"Valid","Invalid")</f>
        <v>Valid</v>
      </c>
      <c r="R2557" t="str">
        <f>IF(COUNTIF(Branches!$A$2:$A$11,F2557)&gt;0,"Valid","Invalid")</f>
        <v>Valid</v>
      </c>
    </row>
    <row r="2558" spans="1:18" x14ac:dyDescent="0.25">
      <c r="A2558" t="s">
        <v>4629</v>
      </c>
      <c r="B2558" t="s">
        <v>112</v>
      </c>
      <c r="C2558" s="8">
        <v>46258</v>
      </c>
      <c r="D2558" t="s">
        <v>2058</v>
      </c>
      <c r="E2558" t="s">
        <v>2076</v>
      </c>
      <c r="F2558" t="s">
        <v>29</v>
      </c>
      <c r="G2558">
        <v>928.65</v>
      </c>
      <c r="H2558" t="s">
        <v>2060</v>
      </c>
      <c r="I2558" t="str">
        <f>VLOOKUP(B2558,Customers!A:G,7,FALSE)</f>
        <v>Individual</v>
      </c>
      <c r="Q2558" t="str">
        <f>IF(COUNTIF(Customers!$A$2:$A$1001,B2558)&gt;0,"Valid","Invalid")</f>
        <v>Valid</v>
      </c>
      <c r="R2558" t="str">
        <f>IF(COUNTIF(Branches!$A$2:$A$11,F2558)&gt;0,"Valid","Invalid")</f>
        <v>Valid</v>
      </c>
    </row>
    <row r="2559" spans="1:18" x14ac:dyDescent="0.25">
      <c r="A2559" t="s">
        <v>4630</v>
      </c>
      <c r="B2559" t="s">
        <v>354</v>
      </c>
      <c r="C2559" s="8">
        <v>46127</v>
      </c>
      <c r="D2559" t="s">
        <v>2058</v>
      </c>
      <c r="E2559" t="s">
        <v>2076</v>
      </c>
      <c r="F2559" t="s">
        <v>21</v>
      </c>
      <c r="G2559">
        <v>2801.62</v>
      </c>
      <c r="H2559" t="s">
        <v>2060</v>
      </c>
      <c r="I2559" t="str">
        <f>VLOOKUP(B2559,Customers!A:G,7,FALSE)</f>
        <v>Individual</v>
      </c>
      <c r="Q2559" t="str">
        <f>IF(COUNTIF(Customers!$A$2:$A$1001,B2559)&gt;0,"Valid","Invalid")</f>
        <v>Valid</v>
      </c>
      <c r="R2559" t="str">
        <f>IF(COUNTIF(Branches!$A$2:$A$11,F2559)&gt;0,"Valid","Invalid")</f>
        <v>Valid</v>
      </c>
    </row>
    <row r="2560" spans="1:18" x14ac:dyDescent="0.25">
      <c r="A2560" t="s">
        <v>4631</v>
      </c>
      <c r="B2560" t="s">
        <v>871</v>
      </c>
      <c r="C2560" s="8">
        <v>46073</v>
      </c>
      <c r="D2560" t="s">
        <v>2062</v>
      </c>
      <c r="E2560" t="s">
        <v>2059</v>
      </c>
      <c r="F2560" t="s">
        <v>11</v>
      </c>
      <c r="G2560">
        <v>1194.48</v>
      </c>
      <c r="H2560" t="s">
        <v>2060</v>
      </c>
      <c r="I2560" t="str">
        <f>VLOOKUP(B2560,Customers!A:G,7,FALSE)</f>
        <v>Individual</v>
      </c>
      <c r="Q2560" t="str">
        <f>IF(COUNTIF(Customers!$A$2:$A$1001,B2560)&gt;0,"Valid","Invalid")</f>
        <v>Valid</v>
      </c>
      <c r="R2560" t="str">
        <f>IF(COUNTIF(Branches!$A$2:$A$11,F2560)&gt;0,"Valid","Invalid")</f>
        <v>Valid</v>
      </c>
    </row>
    <row r="2561" spans="1:18" x14ac:dyDescent="0.25">
      <c r="A2561" t="s">
        <v>4632</v>
      </c>
      <c r="B2561" t="s">
        <v>411</v>
      </c>
      <c r="C2561" s="8">
        <v>46075</v>
      </c>
      <c r="D2561" t="s">
        <v>2067</v>
      </c>
      <c r="E2561" t="s">
        <v>2063</v>
      </c>
      <c r="F2561" t="s">
        <v>47</v>
      </c>
      <c r="G2561">
        <v>1136.25</v>
      </c>
      <c r="H2561" t="s">
        <v>2060</v>
      </c>
      <c r="I2561" t="str">
        <f>VLOOKUP(B2561,Customers!A:G,7,FALSE)</f>
        <v>Student</v>
      </c>
      <c r="Q2561" t="str">
        <f>IF(COUNTIF(Customers!$A$2:$A$1001,B2561)&gt;0,"Valid","Invalid")</f>
        <v>Valid</v>
      </c>
      <c r="R2561" t="str">
        <f>IF(COUNTIF(Branches!$A$2:$A$11,F2561)&gt;0,"Valid","Invalid")</f>
        <v>Valid</v>
      </c>
    </row>
    <row r="2562" spans="1:18" x14ac:dyDescent="0.25">
      <c r="A2562" t="s">
        <v>4633</v>
      </c>
      <c r="B2562" t="s">
        <v>117</v>
      </c>
      <c r="C2562" s="8">
        <v>46056</v>
      </c>
      <c r="D2562" t="s">
        <v>2067</v>
      </c>
      <c r="E2562" t="s">
        <v>2076</v>
      </c>
      <c r="F2562" t="s">
        <v>21</v>
      </c>
      <c r="G2562">
        <v>107.75</v>
      </c>
      <c r="H2562" t="s">
        <v>2060</v>
      </c>
      <c r="I2562" t="str">
        <f>VLOOKUP(B2562,Customers!A:G,7,FALSE)</f>
        <v>Student</v>
      </c>
      <c r="Q2562" t="str">
        <f>IF(COUNTIF(Customers!$A$2:$A$1001,B2562)&gt;0,"Valid","Invalid")</f>
        <v>Valid</v>
      </c>
      <c r="R2562" t="str">
        <f>IF(COUNTIF(Branches!$A$2:$A$11,F2562)&gt;0,"Valid","Invalid")</f>
        <v>Valid</v>
      </c>
    </row>
    <row r="2563" spans="1:18" x14ac:dyDescent="0.25">
      <c r="A2563" t="s">
        <v>4634</v>
      </c>
      <c r="B2563" t="s">
        <v>911</v>
      </c>
      <c r="C2563" s="8">
        <v>46146</v>
      </c>
      <c r="D2563" t="s">
        <v>2065</v>
      </c>
      <c r="E2563" t="s">
        <v>2059</v>
      </c>
      <c r="F2563" t="s">
        <v>29</v>
      </c>
      <c r="G2563">
        <v>357.13</v>
      </c>
      <c r="H2563" t="s">
        <v>2060</v>
      </c>
      <c r="I2563" t="str">
        <f>VLOOKUP(B2563,Customers!A:G,7,FALSE)</f>
        <v>Individual</v>
      </c>
      <c r="Q2563" t="str">
        <f>IF(COUNTIF(Customers!$A$2:$A$1001,B2563)&gt;0,"Valid","Invalid")</f>
        <v>Valid</v>
      </c>
      <c r="R2563" t="str">
        <f>IF(COUNTIF(Branches!$A$2:$A$11,F2563)&gt;0,"Valid","Invalid")</f>
        <v>Valid</v>
      </c>
    </row>
    <row r="2564" spans="1:18" x14ac:dyDescent="0.25">
      <c r="A2564" t="s">
        <v>4635</v>
      </c>
      <c r="B2564" t="s">
        <v>678</v>
      </c>
      <c r="C2564" s="8">
        <v>46259</v>
      </c>
      <c r="D2564" t="s">
        <v>2058</v>
      </c>
      <c r="E2564" t="s">
        <v>2063</v>
      </c>
      <c r="F2564" t="s">
        <v>53</v>
      </c>
      <c r="G2564">
        <v>6337.26</v>
      </c>
      <c r="H2564" t="s">
        <v>2060</v>
      </c>
      <c r="I2564" t="str">
        <f>VLOOKUP(B2564,Customers!A:G,7,FALSE)</f>
        <v>SME</v>
      </c>
      <c r="Q2564" t="str">
        <f>IF(COUNTIF(Customers!$A$2:$A$1001,B2564)&gt;0,"Valid","Invalid")</f>
        <v>Valid</v>
      </c>
      <c r="R2564" t="str">
        <f>IF(COUNTIF(Branches!$A$2:$A$11,F2564)&gt;0,"Valid","Invalid")</f>
        <v>Valid</v>
      </c>
    </row>
    <row r="2565" spans="1:18" x14ac:dyDescent="0.25">
      <c r="A2565" t="s">
        <v>4636</v>
      </c>
      <c r="B2565" t="s">
        <v>733</v>
      </c>
      <c r="C2565" s="8">
        <v>46099</v>
      </c>
      <c r="D2565" t="s">
        <v>2065</v>
      </c>
      <c r="E2565" t="s">
        <v>2076</v>
      </c>
      <c r="F2565" t="s">
        <v>21</v>
      </c>
      <c r="G2565">
        <v>446.23</v>
      </c>
      <c r="H2565" t="s">
        <v>2107</v>
      </c>
      <c r="I2565" t="str">
        <f>VLOOKUP(B2565,Customers!A:G,7,FALSE)</f>
        <v>Individual</v>
      </c>
      <c r="Q2565" t="str">
        <f>IF(COUNTIF(Customers!$A$2:$A$1001,B2565)&gt;0,"Valid","Invalid")</f>
        <v>Valid</v>
      </c>
      <c r="R2565" t="str">
        <f>IF(COUNTIF(Branches!$A$2:$A$11,F2565)&gt;0,"Valid","Invalid")</f>
        <v>Valid</v>
      </c>
    </row>
    <row r="2566" spans="1:18" x14ac:dyDescent="0.25">
      <c r="A2566" t="s">
        <v>4637</v>
      </c>
      <c r="B2566" t="s">
        <v>793</v>
      </c>
      <c r="C2566" s="8">
        <v>46158</v>
      </c>
      <c r="D2566" t="s">
        <v>2058</v>
      </c>
      <c r="E2566" t="s">
        <v>2063</v>
      </c>
      <c r="F2566" t="s">
        <v>27</v>
      </c>
      <c r="G2566">
        <v>2876.92</v>
      </c>
      <c r="H2566" t="s">
        <v>2060</v>
      </c>
      <c r="I2566" t="str">
        <f>VLOOKUP(B2566,Customers!A:G,7,FALSE)</f>
        <v>SME</v>
      </c>
      <c r="Q2566" t="str">
        <f>IF(COUNTIF(Customers!$A$2:$A$1001,B2566)&gt;0,"Valid","Invalid")</f>
        <v>Valid</v>
      </c>
      <c r="R2566" t="str">
        <f>IF(COUNTIF(Branches!$A$2:$A$11,F2566)&gt;0,"Valid","Invalid")</f>
        <v>Valid</v>
      </c>
    </row>
    <row r="2567" spans="1:18" x14ac:dyDescent="0.25">
      <c r="A2567" t="s">
        <v>4638</v>
      </c>
      <c r="B2567" t="s">
        <v>735</v>
      </c>
      <c r="C2567" s="8">
        <v>46145</v>
      </c>
      <c r="D2567" t="s">
        <v>2062</v>
      </c>
      <c r="E2567" t="s">
        <v>2063</v>
      </c>
      <c r="F2567" t="s">
        <v>27</v>
      </c>
      <c r="G2567">
        <v>441.05</v>
      </c>
      <c r="H2567" t="s">
        <v>2060</v>
      </c>
      <c r="I2567" t="str">
        <f>VLOOKUP(B2567,Customers!A:G,7,FALSE)</f>
        <v>Individual</v>
      </c>
      <c r="Q2567" t="str">
        <f>IF(COUNTIF(Customers!$A$2:$A$1001,B2567)&gt;0,"Valid","Invalid")</f>
        <v>Valid</v>
      </c>
      <c r="R2567" t="str">
        <f>IF(COUNTIF(Branches!$A$2:$A$11,F2567)&gt;0,"Valid","Invalid")</f>
        <v>Valid</v>
      </c>
    </row>
    <row r="2568" spans="1:18" x14ac:dyDescent="0.25">
      <c r="A2568" t="s">
        <v>4639</v>
      </c>
      <c r="B2568" t="s">
        <v>770</v>
      </c>
      <c r="C2568" s="8">
        <v>46227</v>
      </c>
      <c r="D2568" t="s">
        <v>2058</v>
      </c>
      <c r="E2568" t="s">
        <v>2068</v>
      </c>
      <c r="F2568" t="s">
        <v>29</v>
      </c>
      <c r="G2568">
        <v>615.34</v>
      </c>
      <c r="H2568" t="s">
        <v>2060</v>
      </c>
      <c r="I2568" t="str">
        <f>VLOOKUP(B2568,Customers!A:G,7,FALSE)</f>
        <v>Individual</v>
      </c>
      <c r="Q2568" t="str">
        <f>IF(COUNTIF(Customers!$A$2:$A$1001,B2568)&gt;0,"Valid","Invalid")</f>
        <v>Valid</v>
      </c>
      <c r="R2568" t="str">
        <f>IF(COUNTIF(Branches!$A$2:$A$11,F2568)&gt;0,"Valid","Invalid")</f>
        <v>Valid</v>
      </c>
    </row>
    <row r="2569" spans="1:18" x14ac:dyDescent="0.25">
      <c r="A2569" t="s">
        <v>4640</v>
      </c>
      <c r="B2569" t="s">
        <v>107</v>
      </c>
      <c r="C2569" s="8">
        <v>46250</v>
      </c>
      <c r="D2569" t="s">
        <v>2065</v>
      </c>
      <c r="E2569" t="s">
        <v>2076</v>
      </c>
      <c r="F2569" t="s">
        <v>47</v>
      </c>
      <c r="G2569">
        <v>1360.47</v>
      </c>
      <c r="H2569" t="s">
        <v>2060</v>
      </c>
      <c r="I2569" t="str">
        <f>VLOOKUP(B2569,Customers!A:G,7,FALSE)</f>
        <v>SME</v>
      </c>
      <c r="Q2569" t="str">
        <f>IF(COUNTIF(Customers!$A$2:$A$1001,B2569)&gt;0,"Valid","Invalid")</f>
        <v>Valid</v>
      </c>
      <c r="R2569" t="str">
        <f>IF(COUNTIF(Branches!$A$2:$A$11,F2569)&gt;0,"Valid","Invalid")</f>
        <v>Valid</v>
      </c>
    </row>
    <row r="2570" spans="1:18" x14ac:dyDescent="0.25">
      <c r="A2570" t="s">
        <v>4641</v>
      </c>
      <c r="B2570" t="s">
        <v>1007</v>
      </c>
      <c r="C2570" s="8">
        <v>46092</v>
      </c>
      <c r="D2570" t="s">
        <v>2062</v>
      </c>
      <c r="E2570" t="s">
        <v>2076</v>
      </c>
      <c r="F2570" t="s">
        <v>27</v>
      </c>
      <c r="G2570">
        <v>898.47</v>
      </c>
      <c r="H2570" t="s">
        <v>2060</v>
      </c>
      <c r="I2570" t="str">
        <f>VLOOKUP(B2570,Customers!A:G,7,FALSE)</f>
        <v>Individual</v>
      </c>
      <c r="Q2570" t="str">
        <f>IF(COUNTIF(Customers!$A$2:$A$1001,B2570)&gt;0,"Valid","Invalid")</f>
        <v>Valid</v>
      </c>
      <c r="R2570" t="str">
        <f>IF(COUNTIF(Branches!$A$2:$A$11,F2570)&gt;0,"Valid","Invalid")</f>
        <v>Valid</v>
      </c>
    </row>
    <row r="2571" spans="1:18" x14ac:dyDescent="0.25">
      <c r="A2571" t="s">
        <v>4642</v>
      </c>
      <c r="B2571" t="s">
        <v>892</v>
      </c>
      <c r="C2571" s="8">
        <v>46252</v>
      </c>
      <c r="D2571" t="s">
        <v>2065</v>
      </c>
      <c r="E2571" t="s">
        <v>2059</v>
      </c>
      <c r="F2571" t="s">
        <v>29</v>
      </c>
      <c r="G2571">
        <v>1189.77</v>
      </c>
      <c r="H2571" t="s">
        <v>2060</v>
      </c>
      <c r="I2571" t="str">
        <f>VLOOKUP(B2571,Customers!A:G,7,FALSE)</f>
        <v>Individual</v>
      </c>
      <c r="Q2571" t="str">
        <f>IF(COUNTIF(Customers!$A$2:$A$1001,B2571)&gt;0,"Valid","Invalid")</f>
        <v>Valid</v>
      </c>
      <c r="R2571" t="str">
        <f>IF(COUNTIF(Branches!$A$2:$A$11,F2571)&gt;0,"Valid","Invalid")</f>
        <v>Valid</v>
      </c>
    </row>
    <row r="2572" spans="1:18" x14ac:dyDescent="0.25">
      <c r="A2572" t="s">
        <v>4643</v>
      </c>
      <c r="B2572" t="s">
        <v>704</v>
      </c>
      <c r="C2572" s="8">
        <v>46246</v>
      </c>
      <c r="D2572" t="s">
        <v>2062</v>
      </c>
      <c r="E2572" t="s">
        <v>2059</v>
      </c>
      <c r="F2572" t="s">
        <v>35</v>
      </c>
      <c r="G2572">
        <v>358.39</v>
      </c>
      <c r="H2572" t="s">
        <v>2060</v>
      </c>
      <c r="I2572" t="str">
        <f>VLOOKUP(B2572,Customers!A:G,7,FALSE)</f>
        <v>Student</v>
      </c>
      <c r="Q2572" t="str">
        <f>IF(COUNTIF(Customers!$A$2:$A$1001,B2572)&gt;0,"Valid","Invalid")</f>
        <v>Valid</v>
      </c>
      <c r="R2572" t="str">
        <f>IF(COUNTIF(Branches!$A$2:$A$11,F2572)&gt;0,"Valid","Invalid")</f>
        <v>Valid</v>
      </c>
    </row>
    <row r="2573" spans="1:18" x14ac:dyDescent="0.25">
      <c r="A2573" t="s">
        <v>4644</v>
      </c>
      <c r="B2573" t="s">
        <v>795</v>
      </c>
      <c r="C2573" s="8">
        <v>46043</v>
      </c>
      <c r="D2573" t="s">
        <v>2058</v>
      </c>
      <c r="E2573" t="s">
        <v>2076</v>
      </c>
      <c r="F2573" t="s">
        <v>11</v>
      </c>
      <c r="G2573">
        <v>260.79000000000002</v>
      </c>
      <c r="H2573" t="s">
        <v>2060</v>
      </c>
      <c r="I2573" t="str">
        <f>VLOOKUP(B2573,Customers!A:G,7,FALSE)</f>
        <v>Individual</v>
      </c>
      <c r="Q2573" t="str">
        <f>IF(COUNTIF(Customers!$A$2:$A$1001,B2573)&gt;0,"Valid","Invalid")</f>
        <v>Valid</v>
      </c>
      <c r="R2573" t="str">
        <f>IF(COUNTIF(Branches!$A$2:$A$11,F2573)&gt;0,"Valid","Invalid")</f>
        <v>Valid</v>
      </c>
    </row>
    <row r="2574" spans="1:18" x14ac:dyDescent="0.25">
      <c r="A2574" t="s">
        <v>4645</v>
      </c>
      <c r="B2574" t="s">
        <v>690</v>
      </c>
      <c r="C2574" s="8">
        <v>46130</v>
      </c>
      <c r="D2574" t="s">
        <v>2065</v>
      </c>
      <c r="E2574" t="s">
        <v>2076</v>
      </c>
      <c r="F2574" t="s">
        <v>53</v>
      </c>
      <c r="G2574">
        <v>335</v>
      </c>
      <c r="H2574" t="s">
        <v>2060</v>
      </c>
      <c r="I2574" t="str">
        <f>VLOOKUP(B2574,Customers!A:G,7,FALSE)</f>
        <v>Individual</v>
      </c>
      <c r="Q2574" t="str">
        <f>IF(COUNTIF(Customers!$A$2:$A$1001,B2574)&gt;0,"Valid","Invalid")</f>
        <v>Valid</v>
      </c>
      <c r="R2574" t="str">
        <f>IF(COUNTIF(Branches!$A$2:$A$11,F2574)&gt;0,"Valid","Invalid")</f>
        <v>Valid</v>
      </c>
    </row>
    <row r="2575" spans="1:18" x14ac:dyDescent="0.25">
      <c r="A2575" t="s">
        <v>4646</v>
      </c>
      <c r="B2575" t="s">
        <v>107</v>
      </c>
      <c r="C2575" s="8">
        <v>46130</v>
      </c>
      <c r="D2575" t="s">
        <v>2062</v>
      </c>
      <c r="E2575" t="s">
        <v>2059</v>
      </c>
      <c r="F2575" t="s">
        <v>47</v>
      </c>
      <c r="G2575">
        <v>477.08</v>
      </c>
      <c r="H2575" t="s">
        <v>2060</v>
      </c>
      <c r="I2575" t="str">
        <f>VLOOKUP(B2575,Customers!A:G,7,FALSE)</f>
        <v>SME</v>
      </c>
      <c r="Q2575" t="str">
        <f>IF(COUNTIF(Customers!$A$2:$A$1001,B2575)&gt;0,"Valid","Invalid")</f>
        <v>Valid</v>
      </c>
      <c r="R2575" t="str">
        <f>IF(COUNTIF(Branches!$A$2:$A$11,F2575)&gt;0,"Valid","Invalid")</f>
        <v>Valid</v>
      </c>
    </row>
    <row r="2576" spans="1:18" x14ac:dyDescent="0.25">
      <c r="A2576" t="s">
        <v>4647</v>
      </c>
      <c r="B2576" t="s">
        <v>81</v>
      </c>
      <c r="C2576" s="8">
        <v>46263</v>
      </c>
      <c r="D2576" t="s">
        <v>2065</v>
      </c>
      <c r="E2576" t="s">
        <v>2073</v>
      </c>
      <c r="F2576" t="s">
        <v>35</v>
      </c>
      <c r="G2576">
        <v>645.95000000000005</v>
      </c>
      <c r="H2576" t="s">
        <v>2060</v>
      </c>
      <c r="I2576" t="str">
        <f>VLOOKUP(B2576,Customers!A:G,7,FALSE)</f>
        <v>Individual</v>
      </c>
      <c r="Q2576" t="str">
        <f>IF(COUNTIF(Customers!$A$2:$A$1001,B2576)&gt;0,"Valid","Invalid")</f>
        <v>Valid</v>
      </c>
      <c r="R2576" t="str">
        <f>IF(COUNTIF(Branches!$A$2:$A$11,F2576)&gt;0,"Valid","Invalid")</f>
        <v>Valid</v>
      </c>
    </row>
    <row r="2577" spans="1:18" x14ac:dyDescent="0.25">
      <c r="A2577" t="s">
        <v>4648</v>
      </c>
      <c r="B2577" t="s">
        <v>83</v>
      </c>
      <c r="C2577" s="8">
        <v>46157</v>
      </c>
      <c r="D2577" t="s">
        <v>2070</v>
      </c>
      <c r="E2577" t="s">
        <v>2073</v>
      </c>
      <c r="F2577" t="s">
        <v>39</v>
      </c>
      <c r="G2577">
        <v>2292.2199999999998</v>
      </c>
      <c r="H2577" t="s">
        <v>2060</v>
      </c>
      <c r="I2577" t="str">
        <f>VLOOKUP(B2577,Customers!A:G,7,FALSE)</f>
        <v>SME</v>
      </c>
      <c r="Q2577" t="str">
        <f>IF(COUNTIF(Customers!$A$2:$A$1001,B2577)&gt;0,"Valid","Invalid")</f>
        <v>Valid</v>
      </c>
      <c r="R2577" t="str">
        <f>IF(COUNTIF(Branches!$A$2:$A$11,F2577)&gt;0,"Valid","Invalid")</f>
        <v>Valid</v>
      </c>
    </row>
    <row r="2578" spans="1:18" x14ac:dyDescent="0.25">
      <c r="A2578" t="s">
        <v>4649</v>
      </c>
      <c r="B2578" t="s">
        <v>629</v>
      </c>
      <c r="C2578" s="8">
        <v>46112</v>
      </c>
      <c r="D2578" t="s">
        <v>2065</v>
      </c>
      <c r="E2578" t="s">
        <v>2059</v>
      </c>
      <c r="F2578" t="s">
        <v>53</v>
      </c>
      <c r="G2578">
        <v>886.55</v>
      </c>
      <c r="H2578" t="s">
        <v>2060</v>
      </c>
      <c r="I2578" t="str">
        <f>VLOOKUP(B2578,Customers!A:G,7,FALSE)</f>
        <v>Individual</v>
      </c>
      <c r="Q2578" t="str">
        <f>IF(COUNTIF(Customers!$A$2:$A$1001,B2578)&gt;0,"Valid","Invalid")</f>
        <v>Valid</v>
      </c>
      <c r="R2578" t="str">
        <f>IF(COUNTIF(Branches!$A$2:$A$11,F2578)&gt;0,"Valid","Invalid")</f>
        <v>Valid</v>
      </c>
    </row>
    <row r="2579" spans="1:18" x14ac:dyDescent="0.25">
      <c r="A2579" t="s">
        <v>4650</v>
      </c>
      <c r="B2579" t="s">
        <v>460</v>
      </c>
      <c r="C2579" s="8">
        <v>46101</v>
      </c>
      <c r="D2579" t="s">
        <v>2065</v>
      </c>
      <c r="E2579" t="s">
        <v>2068</v>
      </c>
      <c r="F2579" t="s">
        <v>27</v>
      </c>
      <c r="G2579">
        <v>1318.96</v>
      </c>
      <c r="H2579" t="s">
        <v>2060</v>
      </c>
      <c r="I2579" t="str">
        <f>VLOOKUP(B2579,Customers!A:G,7,FALSE)</f>
        <v>Individual</v>
      </c>
      <c r="Q2579" t="str">
        <f>IF(COUNTIF(Customers!$A$2:$A$1001,B2579)&gt;0,"Valid","Invalid")</f>
        <v>Valid</v>
      </c>
      <c r="R2579" t="str">
        <f>IF(COUNTIF(Branches!$A$2:$A$11,F2579)&gt;0,"Valid","Invalid")</f>
        <v>Valid</v>
      </c>
    </row>
    <row r="2580" spans="1:18" x14ac:dyDescent="0.25">
      <c r="A2580" t="s">
        <v>4651</v>
      </c>
      <c r="B2580" t="s">
        <v>185</v>
      </c>
      <c r="C2580" s="8">
        <v>46206</v>
      </c>
      <c r="D2580" t="s">
        <v>2065</v>
      </c>
      <c r="E2580" t="s">
        <v>2059</v>
      </c>
      <c r="F2580" t="s">
        <v>11</v>
      </c>
      <c r="G2580">
        <v>935.99</v>
      </c>
      <c r="H2580" t="s">
        <v>2060</v>
      </c>
      <c r="I2580" t="str">
        <f>VLOOKUP(B2580,Customers!A:G,7,FALSE)</f>
        <v>SME</v>
      </c>
      <c r="Q2580" t="str">
        <f>IF(COUNTIF(Customers!$A$2:$A$1001,B2580)&gt;0,"Valid","Invalid")</f>
        <v>Valid</v>
      </c>
      <c r="R2580" t="str">
        <f>IF(COUNTIF(Branches!$A$2:$A$11,F2580)&gt;0,"Valid","Invalid")</f>
        <v>Valid</v>
      </c>
    </row>
    <row r="2581" spans="1:18" x14ac:dyDescent="0.25">
      <c r="A2581" t="s">
        <v>4652</v>
      </c>
      <c r="B2581" t="s">
        <v>948</v>
      </c>
      <c r="C2581" s="8">
        <v>46199</v>
      </c>
      <c r="D2581" t="s">
        <v>2065</v>
      </c>
      <c r="E2581" t="s">
        <v>2059</v>
      </c>
      <c r="F2581" t="s">
        <v>53</v>
      </c>
      <c r="G2581">
        <v>266.27999999999997</v>
      </c>
      <c r="H2581" t="s">
        <v>2060</v>
      </c>
      <c r="I2581" t="str">
        <f>VLOOKUP(B2581,Customers!A:G,7,FALSE)</f>
        <v>SME</v>
      </c>
      <c r="Q2581" t="str">
        <f>IF(COUNTIF(Customers!$A$2:$A$1001,B2581)&gt;0,"Valid","Invalid")</f>
        <v>Valid</v>
      </c>
      <c r="R2581" t="str">
        <f>IF(COUNTIF(Branches!$A$2:$A$11,F2581)&gt;0,"Valid","Invalid")</f>
        <v>Valid</v>
      </c>
    </row>
    <row r="2582" spans="1:18" x14ac:dyDescent="0.25">
      <c r="A2582" t="s">
        <v>4653</v>
      </c>
      <c r="B2582" t="s">
        <v>166</v>
      </c>
      <c r="C2582" s="8">
        <v>46064</v>
      </c>
      <c r="D2582" t="s">
        <v>2062</v>
      </c>
      <c r="E2582" t="s">
        <v>2063</v>
      </c>
      <c r="F2582" t="s">
        <v>11</v>
      </c>
      <c r="G2582">
        <v>826.56</v>
      </c>
      <c r="H2582" t="s">
        <v>2060</v>
      </c>
      <c r="I2582" t="str">
        <f>VLOOKUP(B2582,Customers!A:G,7,FALSE)</f>
        <v>SME</v>
      </c>
      <c r="Q2582" t="str">
        <f>IF(COUNTIF(Customers!$A$2:$A$1001,B2582)&gt;0,"Valid","Invalid")</f>
        <v>Valid</v>
      </c>
      <c r="R2582" t="str">
        <f>IF(COUNTIF(Branches!$A$2:$A$11,F2582)&gt;0,"Valid","Invalid")</f>
        <v>Valid</v>
      </c>
    </row>
    <row r="2583" spans="1:18" x14ac:dyDescent="0.25">
      <c r="A2583" t="s">
        <v>4654</v>
      </c>
      <c r="B2583" t="s">
        <v>494</v>
      </c>
      <c r="C2583" s="8">
        <v>46173</v>
      </c>
      <c r="D2583" t="s">
        <v>2058</v>
      </c>
      <c r="E2583" t="s">
        <v>2059</v>
      </c>
      <c r="F2583" t="s">
        <v>53</v>
      </c>
      <c r="G2583">
        <v>925.91</v>
      </c>
      <c r="H2583" t="s">
        <v>2060</v>
      </c>
      <c r="I2583" t="str">
        <f>VLOOKUP(B2583,Customers!A:G,7,FALSE)</f>
        <v>Student</v>
      </c>
      <c r="Q2583" t="str">
        <f>IF(COUNTIF(Customers!$A$2:$A$1001,B2583)&gt;0,"Valid","Invalid")</f>
        <v>Valid</v>
      </c>
      <c r="R2583" t="str">
        <f>IF(COUNTIF(Branches!$A$2:$A$11,F2583)&gt;0,"Valid","Invalid")</f>
        <v>Valid</v>
      </c>
    </row>
    <row r="2584" spans="1:18" x14ac:dyDescent="0.25">
      <c r="A2584" t="s">
        <v>4655</v>
      </c>
      <c r="B2584" t="s">
        <v>677</v>
      </c>
      <c r="C2584" s="8">
        <v>46074</v>
      </c>
      <c r="D2584" t="s">
        <v>2062</v>
      </c>
      <c r="E2584" t="s">
        <v>2073</v>
      </c>
      <c r="F2584" t="s">
        <v>11</v>
      </c>
      <c r="G2584">
        <v>1737.01</v>
      </c>
      <c r="H2584" t="s">
        <v>2060</v>
      </c>
      <c r="I2584" t="str">
        <f>VLOOKUP(B2584,Customers!A:G,7,FALSE)</f>
        <v>Student</v>
      </c>
      <c r="Q2584" t="str">
        <f>IF(COUNTIF(Customers!$A$2:$A$1001,B2584)&gt;0,"Valid","Invalid")</f>
        <v>Valid</v>
      </c>
      <c r="R2584" t="str">
        <f>IF(COUNTIF(Branches!$A$2:$A$11,F2584)&gt;0,"Valid","Invalid")</f>
        <v>Valid</v>
      </c>
    </row>
    <row r="2585" spans="1:18" x14ac:dyDescent="0.25">
      <c r="A2585" t="s">
        <v>4656</v>
      </c>
      <c r="B2585" t="s">
        <v>915</v>
      </c>
      <c r="C2585" s="8">
        <v>46124</v>
      </c>
      <c r="D2585" t="s">
        <v>2065</v>
      </c>
      <c r="E2585" t="s">
        <v>2068</v>
      </c>
      <c r="F2585" t="s">
        <v>29</v>
      </c>
      <c r="G2585">
        <v>279.06</v>
      </c>
      <c r="H2585" t="s">
        <v>2060</v>
      </c>
      <c r="I2585" t="str">
        <f>VLOOKUP(B2585,Customers!A:G,7,FALSE)</f>
        <v>Corporate</v>
      </c>
      <c r="Q2585" t="str">
        <f>IF(COUNTIF(Customers!$A$2:$A$1001,B2585)&gt;0,"Valid","Invalid")</f>
        <v>Valid</v>
      </c>
      <c r="R2585" t="str">
        <f>IF(COUNTIF(Branches!$A$2:$A$11,F2585)&gt;0,"Valid","Invalid")</f>
        <v>Valid</v>
      </c>
    </row>
    <row r="2586" spans="1:18" x14ac:dyDescent="0.25">
      <c r="A2586" t="s">
        <v>4657</v>
      </c>
      <c r="B2586" t="s">
        <v>669</v>
      </c>
      <c r="C2586" s="8">
        <v>46127</v>
      </c>
      <c r="D2586" t="s">
        <v>2067</v>
      </c>
      <c r="E2586" t="s">
        <v>2068</v>
      </c>
      <c r="F2586" t="s">
        <v>29</v>
      </c>
      <c r="G2586">
        <v>105.59</v>
      </c>
      <c r="H2586" t="s">
        <v>2060</v>
      </c>
      <c r="I2586" t="str">
        <f>VLOOKUP(B2586,Customers!A:G,7,FALSE)</f>
        <v>SME</v>
      </c>
      <c r="Q2586" t="str">
        <f>IF(COUNTIF(Customers!$A$2:$A$1001,B2586)&gt;0,"Valid","Invalid")</f>
        <v>Valid</v>
      </c>
      <c r="R2586" t="str">
        <f>IF(COUNTIF(Branches!$A$2:$A$11,F2586)&gt;0,"Valid","Invalid")</f>
        <v>Valid</v>
      </c>
    </row>
    <row r="2587" spans="1:18" x14ac:dyDescent="0.25">
      <c r="A2587" t="s">
        <v>4658</v>
      </c>
      <c r="B2587" t="s">
        <v>1004</v>
      </c>
      <c r="C2587" s="8">
        <v>46101</v>
      </c>
      <c r="D2587" t="s">
        <v>2058</v>
      </c>
      <c r="E2587" t="s">
        <v>2063</v>
      </c>
      <c r="F2587" t="s">
        <v>47</v>
      </c>
      <c r="G2587">
        <v>969</v>
      </c>
      <c r="H2587" t="s">
        <v>2060</v>
      </c>
      <c r="I2587" t="str">
        <f>VLOOKUP(B2587,Customers!A:G,7,FALSE)</f>
        <v>SME</v>
      </c>
      <c r="Q2587" t="str">
        <f>IF(COUNTIF(Customers!$A$2:$A$1001,B2587)&gt;0,"Valid","Invalid")</f>
        <v>Valid</v>
      </c>
      <c r="R2587" t="str">
        <f>IF(COUNTIF(Branches!$A$2:$A$11,F2587)&gt;0,"Valid","Invalid")</f>
        <v>Valid</v>
      </c>
    </row>
    <row r="2588" spans="1:18" x14ac:dyDescent="0.25">
      <c r="A2588" t="s">
        <v>4659</v>
      </c>
      <c r="B2588" t="s">
        <v>1035</v>
      </c>
      <c r="C2588" s="8">
        <v>46134</v>
      </c>
      <c r="D2588" t="s">
        <v>2067</v>
      </c>
      <c r="E2588" t="s">
        <v>2059</v>
      </c>
      <c r="F2588" t="s">
        <v>47</v>
      </c>
      <c r="G2588">
        <v>1157.31</v>
      </c>
      <c r="H2588" t="s">
        <v>2060</v>
      </c>
      <c r="I2588" t="str">
        <f>VLOOKUP(B2588,Customers!A:G,7,FALSE)</f>
        <v>Individual</v>
      </c>
      <c r="Q2588" t="str">
        <f>IF(COUNTIF(Customers!$A$2:$A$1001,B2588)&gt;0,"Valid","Invalid")</f>
        <v>Valid</v>
      </c>
      <c r="R2588" t="str">
        <f>IF(COUNTIF(Branches!$A$2:$A$11,F2588)&gt;0,"Valid","Invalid")</f>
        <v>Valid</v>
      </c>
    </row>
    <row r="2589" spans="1:18" x14ac:dyDescent="0.25">
      <c r="A2589" t="s">
        <v>4660</v>
      </c>
      <c r="B2589" t="s">
        <v>907</v>
      </c>
      <c r="C2589" s="8">
        <v>46203</v>
      </c>
      <c r="D2589" t="s">
        <v>2058</v>
      </c>
      <c r="E2589" t="s">
        <v>2063</v>
      </c>
      <c r="F2589" t="s">
        <v>35</v>
      </c>
      <c r="G2589">
        <v>679</v>
      </c>
      <c r="H2589" t="s">
        <v>2060</v>
      </c>
      <c r="I2589" t="str">
        <f>VLOOKUP(B2589,Customers!A:G,7,FALSE)</f>
        <v>Individual</v>
      </c>
      <c r="Q2589" t="str">
        <f>IF(COUNTIF(Customers!$A$2:$A$1001,B2589)&gt;0,"Valid","Invalid")</f>
        <v>Valid</v>
      </c>
      <c r="R2589" t="str">
        <f>IF(COUNTIF(Branches!$A$2:$A$11,F2589)&gt;0,"Valid","Invalid")</f>
        <v>Valid</v>
      </c>
    </row>
    <row r="2590" spans="1:18" x14ac:dyDescent="0.25">
      <c r="A2590" t="s">
        <v>4661</v>
      </c>
      <c r="B2590" t="s">
        <v>543</v>
      </c>
      <c r="C2590" s="8">
        <v>46126</v>
      </c>
      <c r="D2590" t="s">
        <v>2058</v>
      </c>
      <c r="E2590" t="s">
        <v>2063</v>
      </c>
      <c r="F2590" t="s">
        <v>39</v>
      </c>
      <c r="G2590">
        <v>835.49</v>
      </c>
      <c r="H2590" t="s">
        <v>2060</v>
      </c>
      <c r="I2590" t="str">
        <f>VLOOKUP(B2590,Customers!A:G,7,FALSE)</f>
        <v>SME</v>
      </c>
      <c r="Q2590" t="str">
        <f>IF(COUNTIF(Customers!$A$2:$A$1001,B2590)&gt;0,"Valid","Invalid")</f>
        <v>Valid</v>
      </c>
      <c r="R2590" t="str">
        <f>IF(COUNTIF(Branches!$A$2:$A$11,F2590)&gt;0,"Valid","Invalid")</f>
        <v>Valid</v>
      </c>
    </row>
    <row r="2591" spans="1:18" x14ac:dyDescent="0.25">
      <c r="A2591" t="s">
        <v>4662</v>
      </c>
      <c r="B2591" t="s">
        <v>967</v>
      </c>
      <c r="C2591" s="8">
        <v>46038</v>
      </c>
      <c r="D2591" t="s">
        <v>2065</v>
      </c>
      <c r="E2591" t="s">
        <v>2059</v>
      </c>
      <c r="F2591" t="s">
        <v>16</v>
      </c>
      <c r="G2591">
        <v>1956.23</v>
      </c>
      <c r="H2591" t="s">
        <v>2060</v>
      </c>
      <c r="I2591" t="str">
        <f>VLOOKUP(B2591,Customers!A:G,7,FALSE)</f>
        <v>Individual</v>
      </c>
      <c r="Q2591" t="str">
        <f>IF(COUNTIF(Customers!$A$2:$A$1001,B2591)&gt;0,"Valid","Invalid")</f>
        <v>Valid</v>
      </c>
      <c r="R2591" t="str">
        <f>IF(COUNTIF(Branches!$A$2:$A$11,F2591)&gt;0,"Valid","Invalid")</f>
        <v>Valid</v>
      </c>
    </row>
    <row r="2592" spans="1:18" x14ac:dyDescent="0.25">
      <c r="A2592" t="s">
        <v>4663</v>
      </c>
      <c r="B2592" t="s">
        <v>812</v>
      </c>
      <c r="C2592" s="8">
        <v>46118</v>
      </c>
      <c r="D2592" t="s">
        <v>2062</v>
      </c>
      <c r="E2592" t="s">
        <v>2059</v>
      </c>
      <c r="F2592" t="s">
        <v>11</v>
      </c>
      <c r="G2592">
        <v>513.47</v>
      </c>
      <c r="H2592" t="s">
        <v>2060</v>
      </c>
      <c r="I2592" t="str">
        <f>VLOOKUP(B2592,Customers!A:G,7,FALSE)</f>
        <v>Individual</v>
      </c>
      <c r="Q2592" t="str">
        <f>IF(COUNTIF(Customers!$A$2:$A$1001,B2592)&gt;0,"Valid","Invalid")</f>
        <v>Valid</v>
      </c>
      <c r="R2592" t="str">
        <f>IF(COUNTIF(Branches!$A$2:$A$11,F2592)&gt;0,"Valid","Invalid")</f>
        <v>Valid</v>
      </c>
    </row>
    <row r="2593" spans="1:18" x14ac:dyDescent="0.25">
      <c r="A2593" t="s">
        <v>4664</v>
      </c>
      <c r="B2593" t="s">
        <v>282</v>
      </c>
      <c r="C2593" s="8">
        <v>46059</v>
      </c>
      <c r="D2593" t="s">
        <v>2062</v>
      </c>
      <c r="E2593" t="s">
        <v>2059</v>
      </c>
      <c r="F2593" t="s">
        <v>11</v>
      </c>
      <c r="G2593">
        <v>614.84</v>
      </c>
      <c r="H2593" t="s">
        <v>2060</v>
      </c>
      <c r="I2593" t="str">
        <f>VLOOKUP(B2593,Customers!A:G,7,FALSE)</f>
        <v>SME</v>
      </c>
      <c r="Q2593" t="str">
        <f>IF(COUNTIF(Customers!$A$2:$A$1001,B2593)&gt;0,"Valid","Invalid")</f>
        <v>Valid</v>
      </c>
      <c r="R2593" t="str">
        <f>IF(COUNTIF(Branches!$A$2:$A$11,F2593)&gt;0,"Valid","Invalid")</f>
        <v>Valid</v>
      </c>
    </row>
    <row r="2594" spans="1:18" x14ac:dyDescent="0.25">
      <c r="A2594" t="s">
        <v>4665</v>
      </c>
      <c r="B2594" t="s">
        <v>512</v>
      </c>
      <c r="C2594" s="8">
        <v>46168</v>
      </c>
      <c r="D2594" t="s">
        <v>2058</v>
      </c>
      <c r="E2594" t="s">
        <v>2059</v>
      </c>
      <c r="F2594" t="s">
        <v>21</v>
      </c>
      <c r="G2594">
        <v>879.22</v>
      </c>
      <c r="H2594" t="s">
        <v>2060</v>
      </c>
      <c r="I2594" t="str">
        <f>VLOOKUP(B2594,Customers!A:G,7,FALSE)</f>
        <v>Individual</v>
      </c>
      <c r="Q2594" t="str">
        <f>IF(COUNTIF(Customers!$A$2:$A$1001,B2594)&gt;0,"Valid","Invalid")</f>
        <v>Valid</v>
      </c>
      <c r="R2594" t="str">
        <f>IF(COUNTIF(Branches!$A$2:$A$11,F2594)&gt;0,"Valid","Invalid")</f>
        <v>Valid</v>
      </c>
    </row>
    <row r="2595" spans="1:18" x14ac:dyDescent="0.25">
      <c r="A2595" t="s">
        <v>4666</v>
      </c>
      <c r="B2595" t="s">
        <v>420</v>
      </c>
      <c r="C2595" s="8">
        <v>46170</v>
      </c>
      <c r="D2595" t="s">
        <v>2065</v>
      </c>
      <c r="E2595" t="s">
        <v>2063</v>
      </c>
      <c r="F2595" t="s">
        <v>27</v>
      </c>
      <c r="G2595">
        <v>239.89</v>
      </c>
      <c r="H2595" t="s">
        <v>2060</v>
      </c>
      <c r="I2595" t="str">
        <f>VLOOKUP(B2595,Customers!A:G,7,FALSE)</f>
        <v>Student</v>
      </c>
      <c r="Q2595" t="str">
        <f>IF(COUNTIF(Customers!$A$2:$A$1001,B2595)&gt;0,"Valid","Invalid")</f>
        <v>Valid</v>
      </c>
      <c r="R2595" t="str">
        <f>IF(COUNTIF(Branches!$A$2:$A$11,F2595)&gt;0,"Valid","Invalid")</f>
        <v>Valid</v>
      </c>
    </row>
    <row r="2596" spans="1:18" x14ac:dyDescent="0.25">
      <c r="A2596" t="s">
        <v>4667</v>
      </c>
      <c r="B2596" t="s">
        <v>139</v>
      </c>
      <c r="C2596" s="8">
        <v>46068</v>
      </c>
      <c r="D2596" t="s">
        <v>2065</v>
      </c>
      <c r="E2596" t="s">
        <v>2063</v>
      </c>
      <c r="F2596" t="s">
        <v>27</v>
      </c>
      <c r="G2596">
        <v>697.92</v>
      </c>
      <c r="H2596" t="s">
        <v>2060</v>
      </c>
      <c r="I2596" t="str">
        <f>VLOOKUP(B2596,Customers!A:G,7,FALSE)</f>
        <v>SME</v>
      </c>
      <c r="Q2596" t="str">
        <f>IF(COUNTIF(Customers!$A$2:$A$1001,B2596)&gt;0,"Valid","Invalid")</f>
        <v>Valid</v>
      </c>
      <c r="R2596" t="str">
        <f>IF(COUNTIF(Branches!$A$2:$A$11,F2596)&gt;0,"Valid","Invalid")</f>
        <v>Valid</v>
      </c>
    </row>
    <row r="2597" spans="1:18" x14ac:dyDescent="0.25">
      <c r="A2597" t="s">
        <v>4668</v>
      </c>
      <c r="B2597" t="s">
        <v>527</v>
      </c>
      <c r="C2597" s="8">
        <v>46024</v>
      </c>
      <c r="D2597" t="s">
        <v>2067</v>
      </c>
      <c r="E2597" t="s">
        <v>2068</v>
      </c>
      <c r="F2597" t="s">
        <v>27</v>
      </c>
      <c r="G2597">
        <v>762.24</v>
      </c>
      <c r="H2597" t="s">
        <v>2115</v>
      </c>
      <c r="I2597" t="str">
        <f>VLOOKUP(B2597,Customers!A:G,7,FALSE)</f>
        <v>Individual</v>
      </c>
      <c r="Q2597" t="str">
        <f>IF(COUNTIF(Customers!$A$2:$A$1001,B2597)&gt;0,"Valid","Invalid")</f>
        <v>Valid</v>
      </c>
      <c r="R2597" t="str">
        <f>IF(COUNTIF(Branches!$A$2:$A$11,F2597)&gt;0,"Valid","Invalid")</f>
        <v>Valid</v>
      </c>
    </row>
    <row r="2598" spans="1:18" x14ac:dyDescent="0.25">
      <c r="A2598" t="s">
        <v>4669</v>
      </c>
      <c r="B2598" t="s">
        <v>71</v>
      </c>
      <c r="C2598" s="8">
        <v>46141</v>
      </c>
      <c r="D2598" t="s">
        <v>2065</v>
      </c>
      <c r="E2598" t="s">
        <v>2063</v>
      </c>
      <c r="F2598" t="s">
        <v>27</v>
      </c>
      <c r="G2598">
        <v>4175.72</v>
      </c>
      <c r="H2598" t="s">
        <v>2060</v>
      </c>
      <c r="I2598" t="str">
        <f>VLOOKUP(B2598,Customers!A:G,7,FALSE)</f>
        <v>Individual</v>
      </c>
      <c r="Q2598" t="str">
        <f>IF(COUNTIF(Customers!$A$2:$A$1001,B2598)&gt;0,"Valid","Invalid")</f>
        <v>Valid</v>
      </c>
      <c r="R2598" t="str">
        <f>IF(COUNTIF(Branches!$A$2:$A$11,F2598)&gt;0,"Valid","Invalid")</f>
        <v>Valid</v>
      </c>
    </row>
    <row r="2599" spans="1:18" x14ac:dyDescent="0.25">
      <c r="A2599" t="s">
        <v>4670</v>
      </c>
      <c r="B2599" t="s">
        <v>692</v>
      </c>
      <c r="C2599" s="8">
        <v>46109</v>
      </c>
      <c r="D2599" t="s">
        <v>2065</v>
      </c>
      <c r="E2599" t="s">
        <v>2063</v>
      </c>
      <c r="F2599" t="s">
        <v>21</v>
      </c>
      <c r="G2599">
        <v>602.98</v>
      </c>
      <c r="H2599" t="s">
        <v>2060</v>
      </c>
      <c r="I2599" t="str">
        <f>VLOOKUP(B2599,Customers!A:G,7,FALSE)</f>
        <v>Individual</v>
      </c>
      <c r="Q2599" t="str">
        <f>IF(COUNTIF(Customers!$A$2:$A$1001,B2599)&gt;0,"Valid","Invalid")</f>
        <v>Valid</v>
      </c>
      <c r="R2599" t="str">
        <f>IF(COUNTIF(Branches!$A$2:$A$11,F2599)&gt;0,"Valid","Invalid")</f>
        <v>Valid</v>
      </c>
    </row>
    <row r="2600" spans="1:18" x14ac:dyDescent="0.25">
      <c r="A2600" t="s">
        <v>4671</v>
      </c>
      <c r="B2600" t="s">
        <v>587</v>
      </c>
      <c r="C2600" s="8">
        <v>46116</v>
      </c>
      <c r="D2600" t="s">
        <v>2062</v>
      </c>
      <c r="E2600" t="s">
        <v>2068</v>
      </c>
      <c r="F2600" t="s">
        <v>39</v>
      </c>
      <c r="G2600">
        <v>992.29</v>
      </c>
      <c r="H2600" t="s">
        <v>2060</v>
      </c>
      <c r="I2600" t="str">
        <f>VLOOKUP(B2600,Customers!A:G,7,FALSE)</f>
        <v>Individual</v>
      </c>
      <c r="Q2600" t="str">
        <f>IF(COUNTIF(Customers!$A$2:$A$1001,B2600)&gt;0,"Valid","Invalid")</f>
        <v>Valid</v>
      </c>
      <c r="R2600" t="str">
        <f>IF(COUNTIF(Branches!$A$2:$A$11,F2600)&gt;0,"Valid","Invalid")</f>
        <v>Valid</v>
      </c>
    </row>
    <row r="2601" spans="1:18" x14ac:dyDescent="0.25">
      <c r="A2601" t="s">
        <v>4672</v>
      </c>
      <c r="B2601" t="s">
        <v>558</v>
      </c>
      <c r="C2601" s="8">
        <v>46213</v>
      </c>
      <c r="D2601" t="s">
        <v>2058</v>
      </c>
      <c r="E2601" t="s">
        <v>2073</v>
      </c>
      <c r="F2601" t="s">
        <v>16</v>
      </c>
      <c r="G2601">
        <v>2035.75</v>
      </c>
      <c r="H2601" t="s">
        <v>2060</v>
      </c>
      <c r="I2601" t="str">
        <f>VLOOKUP(B2601,Customers!A:G,7,FALSE)</f>
        <v>Individual</v>
      </c>
      <c r="Q2601" t="str">
        <f>IF(COUNTIF(Customers!$A$2:$A$1001,B2601)&gt;0,"Valid","Invalid")</f>
        <v>Valid</v>
      </c>
      <c r="R2601" t="str">
        <f>IF(COUNTIF(Branches!$A$2:$A$11,F2601)&gt;0,"Valid","Invalid")</f>
        <v>Valid</v>
      </c>
    </row>
    <row r="2602" spans="1:18" x14ac:dyDescent="0.25">
      <c r="A2602" t="s">
        <v>4673</v>
      </c>
      <c r="B2602" t="s">
        <v>781</v>
      </c>
      <c r="C2602" s="8">
        <v>46025</v>
      </c>
      <c r="D2602" t="s">
        <v>2058</v>
      </c>
      <c r="E2602" t="s">
        <v>2076</v>
      </c>
      <c r="F2602" t="s">
        <v>16</v>
      </c>
      <c r="G2602">
        <v>351.61</v>
      </c>
      <c r="H2602" t="s">
        <v>2060</v>
      </c>
      <c r="I2602" t="str">
        <f>VLOOKUP(B2602,Customers!A:G,7,FALSE)</f>
        <v>SME</v>
      </c>
      <c r="Q2602" t="str">
        <f>IF(COUNTIF(Customers!$A$2:$A$1001,B2602)&gt;0,"Valid","Invalid")</f>
        <v>Valid</v>
      </c>
      <c r="R2602" t="str">
        <f>IF(COUNTIF(Branches!$A$2:$A$11,F2602)&gt;0,"Valid","Invalid")</f>
        <v>Valid</v>
      </c>
    </row>
    <row r="2603" spans="1:18" x14ac:dyDescent="0.25">
      <c r="A2603" t="s">
        <v>4674</v>
      </c>
      <c r="B2603" t="s">
        <v>371</v>
      </c>
      <c r="C2603" s="8">
        <v>46196</v>
      </c>
      <c r="D2603" t="s">
        <v>2065</v>
      </c>
      <c r="E2603" t="s">
        <v>2063</v>
      </c>
      <c r="F2603" t="s">
        <v>53</v>
      </c>
      <c r="G2603">
        <v>3215.51</v>
      </c>
      <c r="H2603" t="s">
        <v>2060</v>
      </c>
      <c r="I2603" t="str">
        <f>VLOOKUP(B2603,Customers!A:G,7,FALSE)</f>
        <v>Individual</v>
      </c>
      <c r="Q2603" t="str">
        <f>IF(COUNTIF(Customers!$A$2:$A$1001,B2603)&gt;0,"Valid","Invalid")</f>
        <v>Valid</v>
      </c>
      <c r="R2603" t="str">
        <f>IF(COUNTIF(Branches!$A$2:$A$11,F2603)&gt;0,"Valid","Invalid")</f>
        <v>Valid</v>
      </c>
    </row>
    <row r="2604" spans="1:18" x14ac:dyDescent="0.25">
      <c r="A2604" t="s">
        <v>4675</v>
      </c>
      <c r="B2604" t="s">
        <v>435</v>
      </c>
      <c r="C2604" s="8">
        <v>46253</v>
      </c>
      <c r="D2604" t="s">
        <v>2062</v>
      </c>
      <c r="E2604" t="s">
        <v>2063</v>
      </c>
      <c r="F2604" t="s">
        <v>29</v>
      </c>
      <c r="G2604">
        <v>4740.37</v>
      </c>
      <c r="H2604" t="s">
        <v>2060</v>
      </c>
      <c r="I2604" t="str">
        <f>VLOOKUP(B2604,Customers!A:G,7,FALSE)</f>
        <v>Individual</v>
      </c>
      <c r="Q2604" t="str">
        <f>IF(COUNTIF(Customers!$A$2:$A$1001,B2604)&gt;0,"Valid","Invalid")</f>
        <v>Valid</v>
      </c>
      <c r="R2604" t="str">
        <f>IF(COUNTIF(Branches!$A$2:$A$11,F2604)&gt;0,"Valid","Invalid")</f>
        <v>Valid</v>
      </c>
    </row>
    <row r="2605" spans="1:18" x14ac:dyDescent="0.25">
      <c r="A2605" t="s">
        <v>4676</v>
      </c>
      <c r="B2605" t="s">
        <v>334</v>
      </c>
      <c r="C2605" s="8">
        <v>46133</v>
      </c>
      <c r="D2605" t="s">
        <v>2065</v>
      </c>
      <c r="E2605" t="s">
        <v>2073</v>
      </c>
      <c r="F2605" t="s">
        <v>29</v>
      </c>
      <c r="G2605">
        <v>789.27</v>
      </c>
      <c r="H2605" t="s">
        <v>2115</v>
      </c>
      <c r="I2605" t="str">
        <f>VLOOKUP(B2605,Customers!A:G,7,FALSE)</f>
        <v>Individual</v>
      </c>
      <c r="Q2605" t="str">
        <f>IF(COUNTIF(Customers!$A$2:$A$1001,B2605)&gt;0,"Valid","Invalid")</f>
        <v>Valid</v>
      </c>
      <c r="R2605" t="str">
        <f>IF(COUNTIF(Branches!$A$2:$A$11,F2605)&gt;0,"Valid","Invalid")</f>
        <v>Valid</v>
      </c>
    </row>
    <row r="2606" spans="1:18" x14ac:dyDescent="0.25">
      <c r="A2606" t="s">
        <v>4677</v>
      </c>
      <c r="B2606" t="s">
        <v>143</v>
      </c>
      <c r="C2606" s="8">
        <v>46199</v>
      </c>
      <c r="D2606" t="s">
        <v>2062</v>
      </c>
      <c r="E2606" t="s">
        <v>2068</v>
      </c>
      <c r="F2606" t="s">
        <v>29</v>
      </c>
      <c r="G2606">
        <v>473.7</v>
      </c>
      <c r="H2606" t="s">
        <v>2060</v>
      </c>
      <c r="I2606" t="str">
        <f>VLOOKUP(B2606,Customers!A:G,7,FALSE)</f>
        <v>SME</v>
      </c>
      <c r="Q2606" t="str">
        <f>IF(COUNTIF(Customers!$A$2:$A$1001,B2606)&gt;0,"Valid","Invalid")</f>
        <v>Valid</v>
      </c>
      <c r="R2606" t="str">
        <f>IF(COUNTIF(Branches!$A$2:$A$11,F2606)&gt;0,"Valid","Invalid")</f>
        <v>Valid</v>
      </c>
    </row>
    <row r="2607" spans="1:18" x14ac:dyDescent="0.25">
      <c r="A2607" t="s">
        <v>4678</v>
      </c>
      <c r="B2607" t="s">
        <v>898</v>
      </c>
      <c r="C2607" s="8">
        <v>46023</v>
      </c>
      <c r="D2607" t="s">
        <v>2070</v>
      </c>
      <c r="E2607" t="s">
        <v>2059</v>
      </c>
      <c r="F2607" t="s">
        <v>29</v>
      </c>
      <c r="G2607">
        <v>4134.49</v>
      </c>
      <c r="H2607" t="s">
        <v>2060</v>
      </c>
      <c r="I2607" t="str">
        <f>VLOOKUP(B2607,Customers!A:G,7,FALSE)</f>
        <v>Student</v>
      </c>
      <c r="Q2607" t="str">
        <f>IF(COUNTIF(Customers!$A$2:$A$1001,B2607)&gt;0,"Valid","Invalid")</f>
        <v>Valid</v>
      </c>
      <c r="R2607" t="str">
        <f>IF(COUNTIF(Branches!$A$2:$A$11,F2607)&gt;0,"Valid","Invalid")</f>
        <v>Valid</v>
      </c>
    </row>
    <row r="2608" spans="1:18" x14ac:dyDescent="0.25">
      <c r="A2608" t="s">
        <v>4679</v>
      </c>
      <c r="B2608" t="s">
        <v>992</v>
      </c>
      <c r="C2608" s="8">
        <v>46127</v>
      </c>
      <c r="D2608" t="s">
        <v>2062</v>
      </c>
      <c r="E2608" t="s">
        <v>2063</v>
      </c>
      <c r="F2608" t="s">
        <v>11</v>
      </c>
      <c r="G2608">
        <v>1800.16</v>
      </c>
      <c r="H2608" t="s">
        <v>2060</v>
      </c>
      <c r="I2608" t="str">
        <f>VLOOKUP(B2608,Customers!A:G,7,FALSE)</f>
        <v>Individual</v>
      </c>
      <c r="Q2608" t="str">
        <f>IF(COUNTIF(Customers!$A$2:$A$1001,B2608)&gt;0,"Valid","Invalid")</f>
        <v>Valid</v>
      </c>
      <c r="R2608" t="str">
        <f>IF(COUNTIF(Branches!$A$2:$A$11,F2608)&gt;0,"Valid","Invalid")</f>
        <v>Valid</v>
      </c>
    </row>
    <row r="2609" spans="1:18" x14ac:dyDescent="0.25">
      <c r="A2609" t="s">
        <v>4680</v>
      </c>
      <c r="B2609" t="s">
        <v>568</v>
      </c>
      <c r="C2609" s="8">
        <v>46044</v>
      </c>
      <c r="D2609" t="s">
        <v>2070</v>
      </c>
      <c r="E2609" t="s">
        <v>2063</v>
      </c>
      <c r="F2609" t="s">
        <v>29</v>
      </c>
      <c r="G2609">
        <v>881.8</v>
      </c>
      <c r="H2609" t="s">
        <v>2060</v>
      </c>
      <c r="I2609" t="str">
        <f>VLOOKUP(B2609,Customers!A:G,7,FALSE)</f>
        <v>Individual</v>
      </c>
      <c r="Q2609" t="str">
        <f>IF(COUNTIF(Customers!$A$2:$A$1001,B2609)&gt;0,"Valid","Invalid")</f>
        <v>Valid</v>
      </c>
      <c r="R2609" t="str">
        <f>IF(COUNTIF(Branches!$A$2:$A$11,F2609)&gt;0,"Valid","Invalid")</f>
        <v>Valid</v>
      </c>
    </row>
    <row r="2610" spans="1:18" x14ac:dyDescent="0.25">
      <c r="A2610" t="s">
        <v>4681</v>
      </c>
      <c r="B2610" t="s">
        <v>863</v>
      </c>
      <c r="C2610" s="8">
        <v>46243</v>
      </c>
      <c r="D2610" t="s">
        <v>2058</v>
      </c>
      <c r="E2610" t="s">
        <v>2063</v>
      </c>
      <c r="F2610" t="s">
        <v>39</v>
      </c>
      <c r="G2610">
        <v>3384.1</v>
      </c>
      <c r="H2610" t="s">
        <v>2060</v>
      </c>
      <c r="I2610" t="str">
        <f>VLOOKUP(B2610,Customers!A:G,7,FALSE)</f>
        <v>Corporate</v>
      </c>
      <c r="Q2610" t="str">
        <f>IF(COUNTIF(Customers!$A$2:$A$1001,B2610)&gt;0,"Valid","Invalid")</f>
        <v>Valid</v>
      </c>
      <c r="R2610" t="str">
        <f>IF(COUNTIF(Branches!$A$2:$A$11,F2610)&gt;0,"Valid","Invalid")</f>
        <v>Valid</v>
      </c>
    </row>
    <row r="2611" spans="1:18" x14ac:dyDescent="0.25">
      <c r="A2611" t="s">
        <v>4682</v>
      </c>
      <c r="B2611" t="s">
        <v>119</v>
      </c>
      <c r="C2611" s="8">
        <v>46164</v>
      </c>
      <c r="D2611" t="s">
        <v>2065</v>
      </c>
      <c r="E2611" t="s">
        <v>2076</v>
      </c>
      <c r="F2611" t="s">
        <v>47</v>
      </c>
      <c r="G2611">
        <v>3044.2</v>
      </c>
      <c r="H2611" t="s">
        <v>2060</v>
      </c>
      <c r="I2611" t="str">
        <f>VLOOKUP(B2611,Customers!A:G,7,FALSE)</f>
        <v>Corporate</v>
      </c>
      <c r="Q2611" t="str">
        <f>IF(COUNTIF(Customers!$A$2:$A$1001,B2611)&gt;0,"Valid","Invalid")</f>
        <v>Valid</v>
      </c>
      <c r="R2611" t="str">
        <f>IF(COUNTIF(Branches!$A$2:$A$11,F2611)&gt;0,"Valid","Invalid")</f>
        <v>Valid</v>
      </c>
    </row>
    <row r="2612" spans="1:18" x14ac:dyDescent="0.25">
      <c r="A2612" t="s">
        <v>4683</v>
      </c>
      <c r="B2612" t="s">
        <v>972</v>
      </c>
      <c r="C2612" s="8">
        <v>46262</v>
      </c>
      <c r="D2612" t="s">
        <v>2065</v>
      </c>
      <c r="E2612" t="s">
        <v>2063</v>
      </c>
      <c r="F2612" t="s">
        <v>27</v>
      </c>
      <c r="G2612">
        <v>580.41</v>
      </c>
      <c r="H2612" t="s">
        <v>2060</v>
      </c>
      <c r="I2612" t="str">
        <f>VLOOKUP(B2612,Customers!A:G,7,FALSE)</f>
        <v>Individual</v>
      </c>
      <c r="Q2612" t="str">
        <f>IF(COUNTIF(Customers!$A$2:$A$1001,B2612)&gt;0,"Valid","Invalid")</f>
        <v>Valid</v>
      </c>
      <c r="R2612" t="str">
        <f>IF(COUNTIF(Branches!$A$2:$A$11,F2612)&gt;0,"Valid","Invalid")</f>
        <v>Valid</v>
      </c>
    </row>
    <row r="2613" spans="1:18" x14ac:dyDescent="0.25">
      <c r="A2613" t="s">
        <v>4684</v>
      </c>
      <c r="B2613" t="s">
        <v>326</v>
      </c>
      <c r="C2613" s="8">
        <v>46242</v>
      </c>
      <c r="D2613" t="s">
        <v>2067</v>
      </c>
      <c r="E2613" t="s">
        <v>2073</v>
      </c>
      <c r="F2613" t="s">
        <v>29</v>
      </c>
      <c r="G2613">
        <v>1041.83</v>
      </c>
      <c r="H2613" t="s">
        <v>2060</v>
      </c>
      <c r="I2613" t="str">
        <f>VLOOKUP(B2613,Customers!A:G,7,FALSE)</f>
        <v>Student</v>
      </c>
      <c r="Q2613" t="str">
        <f>IF(COUNTIF(Customers!$A$2:$A$1001,B2613)&gt;0,"Valid","Invalid")</f>
        <v>Valid</v>
      </c>
      <c r="R2613" t="str">
        <f>IF(COUNTIF(Branches!$A$2:$A$11,F2613)&gt;0,"Valid","Invalid")</f>
        <v>Valid</v>
      </c>
    </row>
    <row r="2614" spans="1:18" x14ac:dyDescent="0.25">
      <c r="A2614" t="s">
        <v>4685</v>
      </c>
      <c r="B2614" t="s">
        <v>1020</v>
      </c>
      <c r="C2614" s="8">
        <v>46235</v>
      </c>
      <c r="D2614" t="s">
        <v>2065</v>
      </c>
      <c r="E2614" t="s">
        <v>2063</v>
      </c>
      <c r="F2614" t="s">
        <v>45</v>
      </c>
      <c r="G2614">
        <v>1446.34</v>
      </c>
      <c r="H2614" t="s">
        <v>2060</v>
      </c>
      <c r="I2614" t="str">
        <f>VLOOKUP(B2614,Customers!A:G,7,FALSE)</f>
        <v>Individual</v>
      </c>
      <c r="Q2614" t="str">
        <f>IF(COUNTIF(Customers!$A$2:$A$1001,B2614)&gt;0,"Valid","Invalid")</f>
        <v>Valid</v>
      </c>
      <c r="R2614" t="str">
        <f>IF(COUNTIF(Branches!$A$2:$A$11,F2614)&gt;0,"Valid","Invalid")</f>
        <v>Valid</v>
      </c>
    </row>
    <row r="2615" spans="1:18" x14ac:dyDescent="0.25">
      <c r="A2615" t="s">
        <v>4686</v>
      </c>
      <c r="B2615" t="s">
        <v>744</v>
      </c>
      <c r="C2615" s="8">
        <v>46195</v>
      </c>
      <c r="D2615" t="s">
        <v>2058</v>
      </c>
      <c r="E2615" t="s">
        <v>2076</v>
      </c>
      <c r="F2615" t="s">
        <v>21</v>
      </c>
      <c r="G2615">
        <v>836.08</v>
      </c>
      <c r="H2615" t="s">
        <v>2060</v>
      </c>
      <c r="I2615" t="str">
        <f>VLOOKUP(B2615,Customers!A:G,7,FALSE)</f>
        <v>Individual</v>
      </c>
      <c r="Q2615" t="str">
        <f>IF(COUNTIF(Customers!$A$2:$A$1001,B2615)&gt;0,"Valid","Invalid")</f>
        <v>Valid</v>
      </c>
      <c r="R2615" t="str">
        <f>IF(COUNTIF(Branches!$A$2:$A$11,F2615)&gt;0,"Valid","Invalid")</f>
        <v>Valid</v>
      </c>
    </row>
    <row r="2616" spans="1:18" x14ac:dyDescent="0.25">
      <c r="A2616" t="s">
        <v>4687</v>
      </c>
      <c r="B2616" t="s">
        <v>499</v>
      </c>
      <c r="C2616" s="8">
        <v>46246</v>
      </c>
      <c r="D2616" t="s">
        <v>2065</v>
      </c>
      <c r="E2616" t="s">
        <v>2063</v>
      </c>
      <c r="F2616" t="s">
        <v>11</v>
      </c>
      <c r="G2616">
        <v>202.17</v>
      </c>
      <c r="H2616" t="s">
        <v>2060</v>
      </c>
      <c r="I2616" t="str">
        <f>VLOOKUP(B2616,Customers!A:G,7,FALSE)</f>
        <v>SME</v>
      </c>
      <c r="Q2616" t="str">
        <f>IF(COUNTIF(Customers!$A$2:$A$1001,B2616)&gt;0,"Valid","Invalid")</f>
        <v>Valid</v>
      </c>
      <c r="R2616" t="str">
        <f>IF(COUNTIF(Branches!$A$2:$A$11,F2616)&gt;0,"Valid","Invalid")</f>
        <v>Valid</v>
      </c>
    </row>
    <row r="2617" spans="1:18" x14ac:dyDescent="0.25">
      <c r="A2617" t="s">
        <v>4688</v>
      </c>
      <c r="B2617" t="s">
        <v>252</v>
      </c>
      <c r="C2617" s="8">
        <v>46156</v>
      </c>
      <c r="D2617" t="s">
        <v>2062</v>
      </c>
      <c r="E2617" t="s">
        <v>2059</v>
      </c>
      <c r="F2617" t="s">
        <v>35</v>
      </c>
      <c r="G2617">
        <v>317.89999999999998</v>
      </c>
      <c r="H2617" t="s">
        <v>2060</v>
      </c>
      <c r="I2617" t="str">
        <f>VLOOKUP(B2617,Customers!A:G,7,FALSE)</f>
        <v>Individual</v>
      </c>
      <c r="Q2617" t="str">
        <f>IF(COUNTIF(Customers!$A$2:$A$1001,B2617)&gt;0,"Valid","Invalid")</f>
        <v>Valid</v>
      </c>
      <c r="R2617" t="str">
        <f>IF(COUNTIF(Branches!$A$2:$A$11,F2617)&gt;0,"Valid","Invalid")</f>
        <v>Valid</v>
      </c>
    </row>
    <row r="2618" spans="1:18" x14ac:dyDescent="0.25">
      <c r="A2618" t="s">
        <v>4689</v>
      </c>
      <c r="B2618" t="s">
        <v>319</v>
      </c>
      <c r="C2618" s="8">
        <v>46087</v>
      </c>
      <c r="D2618" t="s">
        <v>2067</v>
      </c>
      <c r="E2618" t="s">
        <v>2063</v>
      </c>
      <c r="F2618" t="s">
        <v>47</v>
      </c>
      <c r="G2618">
        <v>208.88</v>
      </c>
      <c r="H2618" t="s">
        <v>2060</v>
      </c>
      <c r="I2618" t="str">
        <f>VLOOKUP(B2618,Customers!A:G,7,FALSE)</f>
        <v>Student</v>
      </c>
      <c r="Q2618" t="str">
        <f>IF(COUNTIF(Customers!$A$2:$A$1001,B2618)&gt;0,"Valid","Invalid")</f>
        <v>Valid</v>
      </c>
      <c r="R2618" t="str">
        <f>IF(COUNTIF(Branches!$A$2:$A$11,F2618)&gt;0,"Valid","Invalid")</f>
        <v>Valid</v>
      </c>
    </row>
    <row r="2619" spans="1:18" x14ac:dyDescent="0.25">
      <c r="A2619" t="s">
        <v>4690</v>
      </c>
      <c r="B2619" t="s">
        <v>770</v>
      </c>
      <c r="C2619" s="8">
        <v>46043</v>
      </c>
      <c r="D2619" t="s">
        <v>2067</v>
      </c>
      <c r="E2619" t="s">
        <v>2068</v>
      </c>
      <c r="F2619" t="s">
        <v>45</v>
      </c>
      <c r="G2619">
        <v>1329.99</v>
      </c>
      <c r="H2619" t="s">
        <v>2060</v>
      </c>
      <c r="I2619" t="str">
        <f>VLOOKUP(B2619,Customers!A:G,7,FALSE)</f>
        <v>Individual</v>
      </c>
      <c r="Q2619" t="str">
        <f>IF(COUNTIF(Customers!$A$2:$A$1001,B2619)&gt;0,"Valid","Invalid")</f>
        <v>Valid</v>
      </c>
      <c r="R2619" t="str">
        <f>IF(COUNTIF(Branches!$A$2:$A$11,F2619)&gt;0,"Valid","Invalid")</f>
        <v>Valid</v>
      </c>
    </row>
    <row r="2620" spans="1:18" x14ac:dyDescent="0.25">
      <c r="A2620" t="s">
        <v>4691</v>
      </c>
      <c r="B2620" t="s">
        <v>992</v>
      </c>
      <c r="C2620" s="8">
        <v>46026</v>
      </c>
      <c r="D2620" t="s">
        <v>2070</v>
      </c>
      <c r="E2620" t="s">
        <v>2059</v>
      </c>
      <c r="F2620" t="s">
        <v>27</v>
      </c>
      <c r="G2620">
        <v>248.55</v>
      </c>
      <c r="H2620" t="s">
        <v>2060</v>
      </c>
      <c r="I2620" t="str">
        <f>VLOOKUP(B2620,Customers!A:G,7,FALSE)</f>
        <v>Individual</v>
      </c>
      <c r="Q2620" t="str">
        <f>IF(COUNTIF(Customers!$A$2:$A$1001,B2620)&gt;0,"Valid","Invalid")</f>
        <v>Valid</v>
      </c>
      <c r="R2620" t="str">
        <f>IF(COUNTIF(Branches!$A$2:$A$11,F2620)&gt;0,"Valid","Invalid")</f>
        <v>Valid</v>
      </c>
    </row>
    <row r="2621" spans="1:18" x14ac:dyDescent="0.25">
      <c r="A2621" t="s">
        <v>4692</v>
      </c>
      <c r="B2621" t="s">
        <v>497</v>
      </c>
      <c r="C2621" s="8">
        <v>46153</v>
      </c>
      <c r="D2621" t="s">
        <v>2065</v>
      </c>
      <c r="E2621" t="s">
        <v>2063</v>
      </c>
      <c r="F2621" t="s">
        <v>11</v>
      </c>
      <c r="G2621">
        <v>984.78</v>
      </c>
      <c r="H2621" t="s">
        <v>2060</v>
      </c>
      <c r="I2621" t="str">
        <f>VLOOKUP(B2621,Customers!A:G,7,FALSE)</f>
        <v>Individual</v>
      </c>
      <c r="Q2621" t="str">
        <f>IF(COUNTIF(Customers!$A$2:$A$1001,B2621)&gt;0,"Valid","Invalid")</f>
        <v>Valid</v>
      </c>
      <c r="R2621" t="str">
        <f>IF(COUNTIF(Branches!$A$2:$A$11,F2621)&gt;0,"Valid","Invalid")</f>
        <v>Valid</v>
      </c>
    </row>
    <row r="2622" spans="1:18" x14ac:dyDescent="0.25">
      <c r="A2622" t="s">
        <v>4693</v>
      </c>
      <c r="B2622" t="s">
        <v>839</v>
      </c>
      <c r="C2622" s="8">
        <v>46135</v>
      </c>
      <c r="D2622" t="s">
        <v>2062</v>
      </c>
      <c r="E2622" t="s">
        <v>2068</v>
      </c>
      <c r="F2622" t="s">
        <v>29</v>
      </c>
      <c r="G2622">
        <v>5074.1000000000004</v>
      </c>
      <c r="H2622" t="s">
        <v>2060</v>
      </c>
      <c r="I2622" t="str">
        <f>VLOOKUP(B2622,Customers!A:G,7,FALSE)</f>
        <v>Individual</v>
      </c>
      <c r="Q2622" t="str">
        <f>IF(COUNTIF(Customers!$A$2:$A$1001,B2622)&gt;0,"Valid","Invalid")</f>
        <v>Valid</v>
      </c>
      <c r="R2622" t="str">
        <f>IF(COUNTIF(Branches!$A$2:$A$11,F2622)&gt;0,"Valid","Invalid")</f>
        <v>Valid</v>
      </c>
    </row>
    <row r="2623" spans="1:18" x14ac:dyDescent="0.25">
      <c r="A2623" t="s">
        <v>4694</v>
      </c>
      <c r="B2623" t="s">
        <v>382</v>
      </c>
      <c r="C2623" s="8">
        <v>46052</v>
      </c>
      <c r="D2623" t="s">
        <v>2062</v>
      </c>
      <c r="E2623" t="s">
        <v>2059</v>
      </c>
      <c r="F2623" t="s">
        <v>47</v>
      </c>
      <c r="G2623">
        <v>3387.24</v>
      </c>
      <c r="H2623" t="s">
        <v>2060</v>
      </c>
      <c r="I2623" t="str">
        <f>VLOOKUP(B2623,Customers!A:G,7,FALSE)</f>
        <v>SME</v>
      </c>
      <c r="Q2623" t="str">
        <f>IF(COUNTIF(Customers!$A$2:$A$1001,B2623)&gt;0,"Valid","Invalid")</f>
        <v>Valid</v>
      </c>
      <c r="R2623" t="str">
        <f>IF(COUNTIF(Branches!$A$2:$A$11,F2623)&gt;0,"Valid","Invalid")</f>
        <v>Valid</v>
      </c>
    </row>
    <row r="2624" spans="1:18" x14ac:dyDescent="0.25">
      <c r="A2624" t="s">
        <v>4695</v>
      </c>
      <c r="B2624" t="s">
        <v>231</v>
      </c>
      <c r="C2624" s="8">
        <v>46053</v>
      </c>
      <c r="D2624" t="s">
        <v>2065</v>
      </c>
      <c r="E2624" t="s">
        <v>2073</v>
      </c>
      <c r="F2624" t="s">
        <v>35</v>
      </c>
      <c r="G2624">
        <v>129.36000000000001</v>
      </c>
      <c r="H2624" t="s">
        <v>2060</v>
      </c>
      <c r="I2624" t="str">
        <f>VLOOKUP(B2624,Customers!A:G,7,FALSE)</f>
        <v>Individual</v>
      </c>
      <c r="Q2624" t="str">
        <f>IF(COUNTIF(Customers!$A$2:$A$1001,B2624)&gt;0,"Valid","Invalid")</f>
        <v>Valid</v>
      </c>
      <c r="R2624" t="str">
        <f>IF(COUNTIF(Branches!$A$2:$A$11,F2624)&gt;0,"Valid","Invalid")</f>
        <v>Valid</v>
      </c>
    </row>
    <row r="2625" spans="1:18" x14ac:dyDescent="0.25">
      <c r="A2625" t="s">
        <v>4696</v>
      </c>
      <c r="B2625" t="s">
        <v>194</v>
      </c>
      <c r="C2625" s="8">
        <v>46184</v>
      </c>
      <c r="D2625" t="s">
        <v>2058</v>
      </c>
      <c r="E2625" t="s">
        <v>2073</v>
      </c>
      <c r="F2625" t="s">
        <v>27</v>
      </c>
      <c r="G2625">
        <v>226.17</v>
      </c>
      <c r="H2625" t="s">
        <v>2115</v>
      </c>
      <c r="I2625" t="str">
        <f>VLOOKUP(B2625,Customers!A:G,7,FALSE)</f>
        <v>SME</v>
      </c>
      <c r="Q2625" t="str">
        <f>IF(COUNTIF(Customers!$A$2:$A$1001,B2625)&gt;0,"Valid","Invalid")</f>
        <v>Valid</v>
      </c>
      <c r="R2625" t="str">
        <f>IF(COUNTIF(Branches!$A$2:$A$11,F2625)&gt;0,"Valid","Invalid")</f>
        <v>Valid</v>
      </c>
    </row>
    <row r="2626" spans="1:18" x14ac:dyDescent="0.25">
      <c r="A2626" t="s">
        <v>4697</v>
      </c>
      <c r="B2626" t="s">
        <v>503</v>
      </c>
      <c r="C2626" s="8">
        <v>46233</v>
      </c>
      <c r="D2626" t="s">
        <v>2067</v>
      </c>
      <c r="E2626" t="s">
        <v>2073</v>
      </c>
      <c r="F2626" t="s">
        <v>47</v>
      </c>
      <c r="G2626">
        <v>373.71</v>
      </c>
      <c r="H2626" t="s">
        <v>2060</v>
      </c>
      <c r="I2626" t="str">
        <f>VLOOKUP(B2626,Customers!A:G,7,FALSE)</f>
        <v>SME</v>
      </c>
      <c r="Q2626" t="str">
        <f>IF(COUNTIF(Customers!$A$2:$A$1001,B2626)&gt;0,"Valid","Invalid")</f>
        <v>Valid</v>
      </c>
      <c r="R2626" t="str">
        <f>IF(COUNTIF(Branches!$A$2:$A$11,F2626)&gt;0,"Valid","Invalid")</f>
        <v>Valid</v>
      </c>
    </row>
    <row r="2627" spans="1:18" x14ac:dyDescent="0.25">
      <c r="A2627" t="s">
        <v>4698</v>
      </c>
      <c r="B2627" t="s">
        <v>140</v>
      </c>
      <c r="C2627" s="8">
        <v>46042</v>
      </c>
      <c r="D2627" t="s">
        <v>2062</v>
      </c>
      <c r="E2627" t="s">
        <v>2063</v>
      </c>
      <c r="F2627" t="s">
        <v>53</v>
      </c>
      <c r="G2627">
        <v>252.39</v>
      </c>
      <c r="H2627" t="s">
        <v>2060</v>
      </c>
      <c r="I2627" t="str">
        <f>VLOOKUP(B2627,Customers!A:G,7,FALSE)</f>
        <v>Individual</v>
      </c>
      <c r="Q2627" t="str">
        <f>IF(COUNTIF(Customers!$A$2:$A$1001,B2627)&gt;0,"Valid","Invalid")</f>
        <v>Valid</v>
      </c>
      <c r="R2627" t="str">
        <f>IF(COUNTIF(Branches!$A$2:$A$11,F2627)&gt;0,"Valid","Invalid")</f>
        <v>Valid</v>
      </c>
    </row>
    <row r="2628" spans="1:18" x14ac:dyDescent="0.25">
      <c r="A2628" t="s">
        <v>4699</v>
      </c>
      <c r="B2628" t="s">
        <v>68</v>
      </c>
      <c r="C2628" s="8">
        <v>46237</v>
      </c>
      <c r="D2628" t="s">
        <v>2058</v>
      </c>
      <c r="E2628" t="s">
        <v>2063</v>
      </c>
      <c r="F2628" t="s">
        <v>29</v>
      </c>
      <c r="G2628">
        <v>155.43</v>
      </c>
      <c r="H2628" t="s">
        <v>2060</v>
      </c>
      <c r="I2628" t="str">
        <f>VLOOKUP(B2628,Customers!A:G,7,FALSE)</f>
        <v>Student</v>
      </c>
      <c r="Q2628" t="str">
        <f>IF(COUNTIF(Customers!$A$2:$A$1001,B2628)&gt;0,"Valid","Invalid")</f>
        <v>Valid</v>
      </c>
      <c r="R2628" t="str">
        <f>IF(COUNTIF(Branches!$A$2:$A$11,F2628)&gt;0,"Valid","Invalid")</f>
        <v>Valid</v>
      </c>
    </row>
    <row r="2629" spans="1:18" x14ac:dyDescent="0.25">
      <c r="A2629" t="s">
        <v>4700</v>
      </c>
      <c r="B2629" t="s">
        <v>138</v>
      </c>
      <c r="C2629" s="8">
        <v>46076</v>
      </c>
      <c r="D2629" t="s">
        <v>2067</v>
      </c>
      <c r="E2629" t="s">
        <v>2073</v>
      </c>
      <c r="F2629" t="s">
        <v>29</v>
      </c>
      <c r="G2629">
        <v>803.65</v>
      </c>
      <c r="H2629" t="s">
        <v>2060</v>
      </c>
      <c r="I2629" t="str">
        <f>VLOOKUP(B2629,Customers!A:G,7,FALSE)</f>
        <v>Individual</v>
      </c>
      <c r="Q2629" t="str">
        <f>IF(COUNTIF(Customers!$A$2:$A$1001,B2629)&gt;0,"Valid","Invalid")</f>
        <v>Valid</v>
      </c>
      <c r="R2629" t="str">
        <f>IF(COUNTIF(Branches!$A$2:$A$11,F2629)&gt;0,"Valid","Invalid")</f>
        <v>Valid</v>
      </c>
    </row>
    <row r="2630" spans="1:18" x14ac:dyDescent="0.25">
      <c r="A2630" t="s">
        <v>4701</v>
      </c>
      <c r="B2630" t="s">
        <v>677</v>
      </c>
      <c r="C2630" s="8">
        <v>46254</v>
      </c>
      <c r="D2630" t="s">
        <v>2062</v>
      </c>
      <c r="E2630" t="s">
        <v>2059</v>
      </c>
      <c r="F2630" t="s">
        <v>35</v>
      </c>
      <c r="G2630">
        <v>1644.35</v>
      </c>
      <c r="H2630" t="s">
        <v>2060</v>
      </c>
      <c r="I2630" t="str">
        <f>VLOOKUP(B2630,Customers!A:G,7,FALSE)</f>
        <v>Student</v>
      </c>
      <c r="Q2630" t="str">
        <f>IF(COUNTIF(Customers!$A$2:$A$1001,B2630)&gt;0,"Valid","Invalid")</f>
        <v>Valid</v>
      </c>
      <c r="R2630" t="str">
        <f>IF(COUNTIF(Branches!$A$2:$A$11,F2630)&gt;0,"Valid","Invalid")</f>
        <v>Valid</v>
      </c>
    </row>
    <row r="2631" spans="1:18" x14ac:dyDescent="0.25">
      <c r="A2631" t="s">
        <v>4702</v>
      </c>
      <c r="B2631" t="s">
        <v>764</v>
      </c>
      <c r="C2631" s="8">
        <v>46148</v>
      </c>
      <c r="D2631" t="s">
        <v>2065</v>
      </c>
      <c r="E2631" t="s">
        <v>2063</v>
      </c>
      <c r="F2631" t="s">
        <v>53</v>
      </c>
      <c r="G2631">
        <v>2109.14</v>
      </c>
      <c r="H2631" t="s">
        <v>2060</v>
      </c>
      <c r="I2631" t="str">
        <f>VLOOKUP(B2631,Customers!A:G,7,FALSE)</f>
        <v>Individual</v>
      </c>
      <c r="Q2631" t="str">
        <f>IF(COUNTIF(Customers!$A$2:$A$1001,B2631)&gt;0,"Valid","Invalid")</f>
        <v>Valid</v>
      </c>
      <c r="R2631" t="str">
        <f>IF(COUNTIF(Branches!$A$2:$A$11,F2631)&gt;0,"Valid","Invalid")</f>
        <v>Valid</v>
      </c>
    </row>
    <row r="2632" spans="1:18" x14ac:dyDescent="0.25">
      <c r="A2632" t="s">
        <v>4703</v>
      </c>
      <c r="B2632" t="s">
        <v>363</v>
      </c>
      <c r="C2632" s="8">
        <v>46175</v>
      </c>
      <c r="D2632" t="s">
        <v>2062</v>
      </c>
      <c r="E2632" t="s">
        <v>2068</v>
      </c>
      <c r="F2632" t="s">
        <v>11</v>
      </c>
      <c r="G2632">
        <v>505.49</v>
      </c>
      <c r="H2632" t="s">
        <v>2060</v>
      </c>
      <c r="I2632" t="str">
        <f>VLOOKUP(B2632,Customers!A:G,7,FALSE)</f>
        <v>SME</v>
      </c>
      <c r="Q2632" t="str">
        <f>IF(COUNTIF(Customers!$A$2:$A$1001,B2632)&gt;0,"Valid","Invalid")</f>
        <v>Valid</v>
      </c>
      <c r="R2632" t="str">
        <f>IF(COUNTIF(Branches!$A$2:$A$11,F2632)&gt;0,"Valid","Invalid")</f>
        <v>Valid</v>
      </c>
    </row>
    <row r="2633" spans="1:18" x14ac:dyDescent="0.25">
      <c r="A2633" t="s">
        <v>4704</v>
      </c>
      <c r="B2633" t="s">
        <v>982</v>
      </c>
      <c r="C2633" s="8">
        <v>46037</v>
      </c>
      <c r="D2633" t="s">
        <v>2062</v>
      </c>
      <c r="E2633" t="s">
        <v>2063</v>
      </c>
      <c r="F2633" t="s">
        <v>16</v>
      </c>
      <c r="G2633">
        <v>618.99</v>
      </c>
      <c r="H2633" t="s">
        <v>2060</v>
      </c>
      <c r="I2633" t="str">
        <f>VLOOKUP(B2633,Customers!A:G,7,FALSE)</f>
        <v>Individual</v>
      </c>
      <c r="Q2633" t="str">
        <f>IF(COUNTIF(Customers!$A$2:$A$1001,B2633)&gt;0,"Valid","Invalid")</f>
        <v>Valid</v>
      </c>
      <c r="R2633" t="str">
        <f>IF(COUNTIF(Branches!$A$2:$A$11,F2633)&gt;0,"Valid","Invalid")</f>
        <v>Valid</v>
      </c>
    </row>
    <row r="2634" spans="1:18" x14ac:dyDescent="0.25">
      <c r="A2634" t="s">
        <v>4705</v>
      </c>
      <c r="B2634" t="s">
        <v>846</v>
      </c>
      <c r="C2634" s="8">
        <v>46188</v>
      </c>
      <c r="D2634" t="s">
        <v>2062</v>
      </c>
      <c r="E2634" t="s">
        <v>2076</v>
      </c>
      <c r="F2634" t="s">
        <v>11</v>
      </c>
      <c r="G2634">
        <v>1159.42</v>
      </c>
      <c r="H2634" t="s">
        <v>2060</v>
      </c>
      <c r="I2634" t="str">
        <f>VLOOKUP(B2634,Customers!A:G,7,FALSE)</f>
        <v>Individual</v>
      </c>
      <c r="Q2634" t="str">
        <f>IF(COUNTIF(Customers!$A$2:$A$1001,B2634)&gt;0,"Valid","Invalid")</f>
        <v>Valid</v>
      </c>
      <c r="R2634" t="str">
        <f>IF(COUNTIF(Branches!$A$2:$A$11,F2634)&gt;0,"Valid","Invalid")</f>
        <v>Valid</v>
      </c>
    </row>
    <row r="2635" spans="1:18" x14ac:dyDescent="0.25">
      <c r="A2635" t="s">
        <v>4706</v>
      </c>
      <c r="B2635" t="s">
        <v>729</v>
      </c>
      <c r="C2635" s="8">
        <v>46173</v>
      </c>
      <c r="D2635" t="s">
        <v>2062</v>
      </c>
      <c r="E2635" t="s">
        <v>2068</v>
      </c>
      <c r="F2635" t="s">
        <v>11</v>
      </c>
      <c r="G2635">
        <v>728.88</v>
      </c>
      <c r="H2635" t="s">
        <v>2060</v>
      </c>
      <c r="I2635" t="str">
        <f>VLOOKUP(B2635,Customers!A:G,7,FALSE)</f>
        <v>Individual</v>
      </c>
      <c r="Q2635" t="str">
        <f>IF(COUNTIF(Customers!$A$2:$A$1001,B2635)&gt;0,"Valid","Invalid")</f>
        <v>Valid</v>
      </c>
      <c r="R2635" t="str">
        <f>IF(COUNTIF(Branches!$A$2:$A$11,F2635)&gt;0,"Valid","Invalid")</f>
        <v>Valid</v>
      </c>
    </row>
    <row r="2636" spans="1:18" x14ac:dyDescent="0.25">
      <c r="A2636" t="s">
        <v>4707</v>
      </c>
      <c r="B2636" t="s">
        <v>630</v>
      </c>
      <c r="C2636" s="8">
        <v>46202</v>
      </c>
      <c r="D2636" t="s">
        <v>2067</v>
      </c>
      <c r="E2636" t="s">
        <v>2068</v>
      </c>
      <c r="F2636" t="s">
        <v>47</v>
      </c>
      <c r="G2636">
        <v>1827.32</v>
      </c>
      <c r="H2636" t="s">
        <v>2060</v>
      </c>
      <c r="I2636" t="str">
        <f>VLOOKUP(B2636,Customers!A:G,7,FALSE)</f>
        <v>Individual</v>
      </c>
      <c r="Q2636" t="str">
        <f>IF(COUNTIF(Customers!$A$2:$A$1001,B2636)&gt;0,"Valid","Invalid")</f>
        <v>Valid</v>
      </c>
      <c r="R2636" t="str">
        <f>IF(COUNTIF(Branches!$A$2:$A$11,F2636)&gt;0,"Valid","Invalid")</f>
        <v>Valid</v>
      </c>
    </row>
    <row r="2637" spans="1:18" x14ac:dyDescent="0.25">
      <c r="A2637" t="s">
        <v>4708</v>
      </c>
      <c r="B2637" t="s">
        <v>177</v>
      </c>
      <c r="C2637" s="8">
        <v>46216</v>
      </c>
      <c r="D2637" t="s">
        <v>2070</v>
      </c>
      <c r="E2637" t="s">
        <v>2063</v>
      </c>
      <c r="F2637" t="s">
        <v>27</v>
      </c>
      <c r="G2637">
        <v>1249.33</v>
      </c>
      <c r="H2637" t="s">
        <v>2060</v>
      </c>
      <c r="I2637" t="str">
        <f>VLOOKUP(B2637,Customers!A:G,7,FALSE)</f>
        <v>Individual</v>
      </c>
      <c r="Q2637" t="str">
        <f>IF(COUNTIF(Customers!$A$2:$A$1001,B2637)&gt;0,"Valid","Invalid")</f>
        <v>Valid</v>
      </c>
      <c r="R2637" t="str">
        <f>IF(COUNTIF(Branches!$A$2:$A$11,F2637)&gt;0,"Valid","Invalid")</f>
        <v>Valid</v>
      </c>
    </row>
    <row r="2638" spans="1:18" x14ac:dyDescent="0.25">
      <c r="A2638" t="s">
        <v>4709</v>
      </c>
      <c r="B2638" t="s">
        <v>512</v>
      </c>
      <c r="C2638" s="8">
        <v>46207</v>
      </c>
      <c r="D2638" t="s">
        <v>2067</v>
      </c>
      <c r="E2638" t="s">
        <v>2059</v>
      </c>
      <c r="F2638" t="s">
        <v>27</v>
      </c>
      <c r="G2638">
        <v>557.63</v>
      </c>
      <c r="H2638" t="s">
        <v>2060</v>
      </c>
      <c r="I2638" t="str">
        <f>VLOOKUP(B2638,Customers!A:G,7,FALSE)</f>
        <v>Individual</v>
      </c>
      <c r="Q2638" t="str">
        <f>IF(COUNTIF(Customers!$A$2:$A$1001,B2638)&gt;0,"Valid","Invalid")</f>
        <v>Valid</v>
      </c>
      <c r="R2638" t="str">
        <f>IF(COUNTIF(Branches!$A$2:$A$11,F2638)&gt;0,"Valid","Invalid")</f>
        <v>Valid</v>
      </c>
    </row>
    <row r="2639" spans="1:18" x14ac:dyDescent="0.25">
      <c r="A2639" t="s">
        <v>4710</v>
      </c>
      <c r="B2639" t="s">
        <v>65</v>
      </c>
      <c r="C2639" s="8">
        <v>46079</v>
      </c>
      <c r="D2639" t="s">
        <v>2058</v>
      </c>
      <c r="E2639" t="s">
        <v>2059</v>
      </c>
      <c r="F2639" t="s">
        <v>29</v>
      </c>
      <c r="G2639">
        <v>126.9</v>
      </c>
      <c r="H2639" t="s">
        <v>2060</v>
      </c>
      <c r="I2639" t="str">
        <f>VLOOKUP(B2639,Customers!A:G,7,FALSE)</f>
        <v>Student</v>
      </c>
      <c r="Q2639" t="str">
        <f>IF(COUNTIF(Customers!$A$2:$A$1001,B2639)&gt;0,"Valid","Invalid")</f>
        <v>Valid</v>
      </c>
      <c r="R2639" t="str">
        <f>IF(COUNTIF(Branches!$A$2:$A$11,F2639)&gt;0,"Valid","Invalid")</f>
        <v>Valid</v>
      </c>
    </row>
    <row r="2640" spans="1:18" x14ac:dyDescent="0.25">
      <c r="A2640" t="s">
        <v>4711</v>
      </c>
      <c r="B2640" t="s">
        <v>922</v>
      </c>
      <c r="C2640" s="8">
        <v>46101</v>
      </c>
      <c r="D2640" t="s">
        <v>2065</v>
      </c>
      <c r="E2640" t="s">
        <v>2059</v>
      </c>
      <c r="F2640" t="s">
        <v>39</v>
      </c>
      <c r="G2640">
        <v>3637.43</v>
      </c>
      <c r="H2640" t="s">
        <v>2060</v>
      </c>
      <c r="I2640" t="str">
        <f>VLOOKUP(B2640,Customers!A:G,7,FALSE)</f>
        <v>Individual</v>
      </c>
      <c r="Q2640" t="str">
        <f>IF(COUNTIF(Customers!$A$2:$A$1001,B2640)&gt;0,"Valid","Invalid")</f>
        <v>Valid</v>
      </c>
      <c r="R2640" t="str">
        <f>IF(COUNTIF(Branches!$A$2:$A$11,F2640)&gt;0,"Valid","Invalid")</f>
        <v>Valid</v>
      </c>
    </row>
    <row r="2641" spans="1:18" x14ac:dyDescent="0.25">
      <c r="A2641" t="s">
        <v>4712</v>
      </c>
      <c r="B2641" t="s">
        <v>973</v>
      </c>
      <c r="C2641" s="8">
        <v>46202</v>
      </c>
      <c r="D2641" t="s">
        <v>2070</v>
      </c>
      <c r="E2641" t="s">
        <v>2063</v>
      </c>
      <c r="F2641" t="s">
        <v>45</v>
      </c>
      <c r="G2641">
        <v>409.08</v>
      </c>
      <c r="H2641" t="s">
        <v>2060</v>
      </c>
      <c r="I2641" t="str">
        <f>VLOOKUP(B2641,Customers!A:G,7,FALSE)</f>
        <v>Individual</v>
      </c>
      <c r="Q2641" t="str">
        <f>IF(COUNTIF(Customers!$A$2:$A$1001,B2641)&gt;0,"Valid","Invalid")</f>
        <v>Valid</v>
      </c>
      <c r="R2641" t="str">
        <f>IF(COUNTIF(Branches!$A$2:$A$11,F2641)&gt;0,"Valid","Invalid")</f>
        <v>Valid</v>
      </c>
    </row>
    <row r="2642" spans="1:18" x14ac:dyDescent="0.25">
      <c r="A2642" t="s">
        <v>4713</v>
      </c>
      <c r="B2642" t="s">
        <v>99</v>
      </c>
      <c r="C2642" s="8">
        <v>46258</v>
      </c>
      <c r="D2642" t="s">
        <v>2062</v>
      </c>
      <c r="E2642" t="s">
        <v>2059</v>
      </c>
      <c r="F2642" t="s">
        <v>39</v>
      </c>
      <c r="G2642">
        <v>1161.6099999999999</v>
      </c>
      <c r="H2642" t="s">
        <v>2060</v>
      </c>
      <c r="I2642" t="str">
        <f>VLOOKUP(B2642,Customers!A:G,7,FALSE)</f>
        <v>Student</v>
      </c>
      <c r="Q2642" t="str">
        <f>IF(COUNTIF(Customers!$A$2:$A$1001,B2642)&gt;0,"Valid","Invalid")</f>
        <v>Valid</v>
      </c>
      <c r="R2642" t="str">
        <f>IF(COUNTIF(Branches!$A$2:$A$11,F2642)&gt;0,"Valid","Invalid")</f>
        <v>Valid</v>
      </c>
    </row>
    <row r="2643" spans="1:18" x14ac:dyDescent="0.25">
      <c r="A2643" t="s">
        <v>4714</v>
      </c>
      <c r="B2643" t="s">
        <v>598</v>
      </c>
      <c r="C2643" s="8">
        <v>46185</v>
      </c>
      <c r="D2643" t="s">
        <v>2062</v>
      </c>
      <c r="E2643" t="s">
        <v>2059</v>
      </c>
      <c r="F2643" t="s">
        <v>35</v>
      </c>
      <c r="G2643">
        <v>119.51</v>
      </c>
      <c r="H2643" t="s">
        <v>2060</v>
      </c>
      <c r="I2643" t="str">
        <f>VLOOKUP(B2643,Customers!A:G,7,FALSE)</f>
        <v>Individual</v>
      </c>
      <c r="Q2643" t="str">
        <f>IF(COUNTIF(Customers!$A$2:$A$1001,B2643)&gt;0,"Valid","Invalid")</f>
        <v>Valid</v>
      </c>
      <c r="R2643" t="str">
        <f>IF(COUNTIF(Branches!$A$2:$A$11,F2643)&gt;0,"Valid","Invalid")</f>
        <v>Valid</v>
      </c>
    </row>
    <row r="2644" spans="1:18" x14ac:dyDescent="0.25">
      <c r="A2644" t="s">
        <v>4715</v>
      </c>
      <c r="B2644" t="s">
        <v>123</v>
      </c>
      <c r="C2644" s="8">
        <v>46224</v>
      </c>
      <c r="D2644" t="s">
        <v>2065</v>
      </c>
      <c r="E2644" t="s">
        <v>2059</v>
      </c>
      <c r="F2644" t="s">
        <v>47</v>
      </c>
      <c r="G2644">
        <v>803.26</v>
      </c>
      <c r="H2644" t="s">
        <v>2115</v>
      </c>
      <c r="I2644" t="str">
        <f>VLOOKUP(B2644,Customers!A:G,7,FALSE)</f>
        <v>Corporate</v>
      </c>
      <c r="Q2644" t="str">
        <f>IF(COUNTIF(Customers!$A$2:$A$1001,B2644)&gt;0,"Valid","Invalid")</f>
        <v>Valid</v>
      </c>
      <c r="R2644" t="str">
        <f>IF(COUNTIF(Branches!$A$2:$A$11,F2644)&gt;0,"Valid","Invalid")</f>
        <v>Valid</v>
      </c>
    </row>
    <row r="2645" spans="1:18" x14ac:dyDescent="0.25">
      <c r="A2645" t="s">
        <v>4716</v>
      </c>
      <c r="B2645" t="s">
        <v>342</v>
      </c>
      <c r="C2645" s="8">
        <v>46036</v>
      </c>
      <c r="D2645" t="s">
        <v>2062</v>
      </c>
      <c r="E2645" t="s">
        <v>2068</v>
      </c>
      <c r="F2645" t="s">
        <v>47</v>
      </c>
      <c r="G2645">
        <v>898.08</v>
      </c>
      <c r="H2645" t="s">
        <v>2115</v>
      </c>
      <c r="I2645" t="str">
        <f>VLOOKUP(B2645,Customers!A:G,7,FALSE)</f>
        <v>Individual</v>
      </c>
      <c r="Q2645" t="str">
        <f>IF(COUNTIF(Customers!$A$2:$A$1001,B2645)&gt;0,"Valid","Invalid")</f>
        <v>Valid</v>
      </c>
      <c r="R2645" t="str">
        <f>IF(COUNTIF(Branches!$A$2:$A$11,F2645)&gt;0,"Valid","Invalid")</f>
        <v>Valid</v>
      </c>
    </row>
    <row r="2646" spans="1:18" x14ac:dyDescent="0.25">
      <c r="A2646" t="s">
        <v>4717</v>
      </c>
      <c r="B2646" t="s">
        <v>97</v>
      </c>
      <c r="C2646" s="8">
        <v>46113</v>
      </c>
      <c r="D2646" t="s">
        <v>2062</v>
      </c>
      <c r="E2646" t="s">
        <v>2059</v>
      </c>
      <c r="F2646" t="s">
        <v>39</v>
      </c>
      <c r="G2646">
        <v>942.56</v>
      </c>
      <c r="H2646" t="s">
        <v>2060</v>
      </c>
      <c r="I2646" t="str">
        <f>VLOOKUP(B2646,Customers!A:G,7,FALSE)</f>
        <v>Individual</v>
      </c>
      <c r="Q2646" t="str">
        <f>IF(COUNTIF(Customers!$A$2:$A$1001,B2646)&gt;0,"Valid","Invalid")</f>
        <v>Valid</v>
      </c>
      <c r="R2646" t="str">
        <f>IF(COUNTIF(Branches!$A$2:$A$11,F2646)&gt;0,"Valid","Invalid")</f>
        <v>Valid</v>
      </c>
    </row>
    <row r="2647" spans="1:18" x14ac:dyDescent="0.25">
      <c r="A2647" t="s">
        <v>4718</v>
      </c>
      <c r="B2647" t="s">
        <v>434</v>
      </c>
      <c r="C2647" s="8">
        <v>46036</v>
      </c>
      <c r="D2647" t="s">
        <v>2058</v>
      </c>
      <c r="E2647" t="s">
        <v>2063</v>
      </c>
      <c r="F2647" t="s">
        <v>47</v>
      </c>
      <c r="G2647">
        <v>16544.240000000002</v>
      </c>
      <c r="H2647" t="s">
        <v>2060</v>
      </c>
      <c r="I2647" t="str">
        <f>VLOOKUP(B2647,Customers!A:G,7,FALSE)</f>
        <v>Individual</v>
      </c>
      <c r="Q2647" t="str">
        <f>IF(COUNTIF(Customers!$A$2:$A$1001,B2647)&gt;0,"Valid","Invalid")</f>
        <v>Valid</v>
      </c>
      <c r="R2647" t="str">
        <f>IF(COUNTIF(Branches!$A$2:$A$11,F2647)&gt;0,"Valid","Invalid")</f>
        <v>Valid</v>
      </c>
    </row>
    <row r="2648" spans="1:18" x14ac:dyDescent="0.25">
      <c r="A2648" t="s">
        <v>4719</v>
      </c>
      <c r="B2648" t="s">
        <v>372</v>
      </c>
      <c r="C2648" s="8">
        <v>46121</v>
      </c>
      <c r="D2648" t="s">
        <v>2067</v>
      </c>
      <c r="E2648" t="s">
        <v>2076</v>
      </c>
      <c r="F2648" t="s">
        <v>29</v>
      </c>
      <c r="G2648">
        <v>432.2</v>
      </c>
      <c r="H2648" t="s">
        <v>2060</v>
      </c>
      <c r="I2648" t="str">
        <f>VLOOKUP(B2648,Customers!A:G,7,FALSE)</f>
        <v>Corporate</v>
      </c>
      <c r="Q2648" t="str">
        <f>IF(COUNTIF(Customers!$A$2:$A$1001,B2648)&gt;0,"Valid","Invalid")</f>
        <v>Valid</v>
      </c>
      <c r="R2648" t="str">
        <f>IF(COUNTIF(Branches!$A$2:$A$11,F2648)&gt;0,"Valid","Invalid")</f>
        <v>Valid</v>
      </c>
    </row>
    <row r="2649" spans="1:18" x14ac:dyDescent="0.25">
      <c r="A2649" t="s">
        <v>4720</v>
      </c>
      <c r="B2649" t="s">
        <v>990</v>
      </c>
      <c r="C2649" s="8">
        <v>46055</v>
      </c>
      <c r="D2649" t="s">
        <v>2058</v>
      </c>
      <c r="E2649" t="s">
        <v>2068</v>
      </c>
      <c r="F2649" t="s">
        <v>29</v>
      </c>
      <c r="G2649">
        <v>1845.79</v>
      </c>
      <c r="H2649" t="s">
        <v>2107</v>
      </c>
      <c r="I2649" t="str">
        <f>VLOOKUP(B2649,Customers!A:G,7,FALSE)</f>
        <v>Individual</v>
      </c>
      <c r="Q2649" t="str">
        <f>IF(COUNTIF(Customers!$A$2:$A$1001,B2649)&gt;0,"Valid","Invalid")</f>
        <v>Valid</v>
      </c>
      <c r="R2649" t="str">
        <f>IF(COUNTIF(Branches!$A$2:$A$11,F2649)&gt;0,"Valid","Invalid")</f>
        <v>Valid</v>
      </c>
    </row>
    <row r="2650" spans="1:18" x14ac:dyDescent="0.25">
      <c r="A2650" t="s">
        <v>4721</v>
      </c>
      <c r="B2650" t="s">
        <v>824</v>
      </c>
      <c r="C2650" s="8">
        <v>46202</v>
      </c>
      <c r="D2650" t="s">
        <v>2065</v>
      </c>
      <c r="E2650" t="s">
        <v>2063</v>
      </c>
      <c r="F2650" t="s">
        <v>21</v>
      </c>
      <c r="G2650">
        <v>1370.91</v>
      </c>
      <c r="H2650" t="s">
        <v>2060</v>
      </c>
      <c r="I2650" t="str">
        <f>VLOOKUP(B2650,Customers!A:G,7,FALSE)</f>
        <v>Individual</v>
      </c>
      <c r="Q2650" t="str">
        <f>IF(COUNTIF(Customers!$A$2:$A$1001,B2650)&gt;0,"Valid","Invalid")</f>
        <v>Valid</v>
      </c>
      <c r="R2650" t="str">
        <f>IF(COUNTIF(Branches!$A$2:$A$11,F2650)&gt;0,"Valid","Invalid")</f>
        <v>Valid</v>
      </c>
    </row>
    <row r="2651" spans="1:18" x14ac:dyDescent="0.25">
      <c r="A2651" t="s">
        <v>4722</v>
      </c>
      <c r="B2651" t="s">
        <v>449</v>
      </c>
      <c r="C2651" s="8">
        <v>46023</v>
      </c>
      <c r="D2651" t="s">
        <v>2067</v>
      </c>
      <c r="E2651" t="s">
        <v>2076</v>
      </c>
      <c r="F2651" t="s">
        <v>29</v>
      </c>
      <c r="G2651">
        <v>412.14</v>
      </c>
      <c r="H2651" t="s">
        <v>2060</v>
      </c>
      <c r="I2651" t="str">
        <f>VLOOKUP(B2651,Customers!A:G,7,FALSE)</f>
        <v>Individual</v>
      </c>
      <c r="Q2651" t="str">
        <f>IF(COUNTIF(Customers!$A$2:$A$1001,B2651)&gt;0,"Valid","Invalid")</f>
        <v>Valid</v>
      </c>
      <c r="R2651" t="str">
        <f>IF(COUNTIF(Branches!$A$2:$A$11,F2651)&gt;0,"Valid","Invalid")</f>
        <v>Valid</v>
      </c>
    </row>
    <row r="2652" spans="1:18" x14ac:dyDescent="0.25">
      <c r="A2652" t="s">
        <v>4723</v>
      </c>
      <c r="B2652" t="s">
        <v>322</v>
      </c>
      <c r="C2652" s="8">
        <v>46056</v>
      </c>
      <c r="D2652" t="s">
        <v>2065</v>
      </c>
      <c r="E2652" t="s">
        <v>2063</v>
      </c>
      <c r="F2652" t="s">
        <v>11</v>
      </c>
      <c r="G2652">
        <v>1818.32</v>
      </c>
      <c r="H2652" t="s">
        <v>2060</v>
      </c>
      <c r="I2652" t="str">
        <f>VLOOKUP(B2652,Customers!A:G,7,FALSE)</f>
        <v>Individual</v>
      </c>
      <c r="Q2652" t="str">
        <f>IF(COUNTIF(Customers!$A$2:$A$1001,B2652)&gt;0,"Valid","Invalid")</f>
        <v>Valid</v>
      </c>
      <c r="R2652" t="str">
        <f>IF(COUNTIF(Branches!$A$2:$A$11,F2652)&gt;0,"Valid","Invalid")</f>
        <v>Valid</v>
      </c>
    </row>
    <row r="2653" spans="1:18" x14ac:dyDescent="0.25">
      <c r="A2653" t="s">
        <v>4724</v>
      </c>
      <c r="B2653" t="s">
        <v>504</v>
      </c>
      <c r="C2653" s="8">
        <v>46041</v>
      </c>
      <c r="D2653" t="s">
        <v>2067</v>
      </c>
      <c r="E2653" t="s">
        <v>2059</v>
      </c>
      <c r="F2653" t="s">
        <v>29</v>
      </c>
      <c r="G2653">
        <v>689.3</v>
      </c>
      <c r="H2653" t="s">
        <v>2060</v>
      </c>
      <c r="I2653" t="str">
        <f>VLOOKUP(B2653,Customers!A:G,7,FALSE)</f>
        <v>Student</v>
      </c>
      <c r="Q2653" t="str">
        <f>IF(COUNTIF(Customers!$A$2:$A$1001,B2653)&gt;0,"Valid","Invalid")</f>
        <v>Valid</v>
      </c>
      <c r="R2653" t="str">
        <f>IF(COUNTIF(Branches!$A$2:$A$11,F2653)&gt;0,"Valid","Invalid")</f>
        <v>Valid</v>
      </c>
    </row>
    <row r="2654" spans="1:18" x14ac:dyDescent="0.25">
      <c r="A2654" t="s">
        <v>4725</v>
      </c>
      <c r="B2654" t="s">
        <v>116</v>
      </c>
      <c r="C2654" s="8">
        <v>46174</v>
      </c>
      <c r="D2654" t="s">
        <v>2065</v>
      </c>
      <c r="E2654" t="s">
        <v>2073</v>
      </c>
      <c r="F2654" t="s">
        <v>21</v>
      </c>
      <c r="G2654">
        <v>1949.33</v>
      </c>
      <c r="H2654" t="s">
        <v>2060</v>
      </c>
      <c r="I2654" t="str">
        <f>VLOOKUP(B2654,Customers!A:G,7,FALSE)</f>
        <v>Individual</v>
      </c>
      <c r="Q2654" t="str">
        <f>IF(COUNTIF(Customers!$A$2:$A$1001,B2654)&gt;0,"Valid","Invalid")</f>
        <v>Valid</v>
      </c>
      <c r="R2654" t="str">
        <f>IF(COUNTIF(Branches!$A$2:$A$11,F2654)&gt;0,"Valid","Invalid")</f>
        <v>Valid</v>
      </c>
    </row>
    <row r="2655" spans="1:18" x14ac:dyDescent="0.25">
      <c r="A2655" t="s">
        <v>4726</v>
      </c>
      <c r="B2655" t="s">
        <v>730</v>
      </c>
      <c r="C2655" s="8">
        <v>46256</v>
      </c>
      <c r="D2655" t="s">
        <v>2065</v>
      </c>
      <c r="E2655" t="s">
        <v>2073</v>
      </c>
      <c r="F2655" t="s">
        <v>27</v>
      </c>
      <c r="G2655">
        <v>5773.09</v>
      </c>
      <c r="H2655" t="s">
        <v>2060</v>
      </c>
      <c r="I2655" t="str">
        <f>VLOOKUP(B2655,Customers!A:G,7,FALSE)</f>
        <v>Individual</v>
      </c>
      <c r="Q2655" t="str">
        <f>IF(COUNTIF(Customers!$A$2:$A$1001,B2655)&gt;0,"Valid","Invalid")</f>
        <v>Valid</v>
      </c>
      <c r="R2655" t="str">
        <f>IF(COUNTIF(Branches!$A$2:$A$11,F2655)&gt;0,"Valid","Invalid")</f>
        <v>Valid</v>
      </c>
    </row>
    <row r="2656" spans="1:18" x14ac:dyDescent="0.25">
      <c r="A2656" t="s">
        <v>4727</v>
      </c>
      <c r="B2656" t="s">
        <v>822</v>
      </c>
      <c r="C2656" s="8">
        <v>46026</v>
      </c>
      <c r="D2656" t="s">
        <v>2065</v>
      </c>
      <c r="E2656" t="s">
        <v>2059</v>
      </c>
      <c r="F2656" t="s">
        <v>47</v>
      </c>
      <c r="G2656">
        <v>944.64</v>
      </c>
      <c r="H2656" t="s">
        <v>2060</v>
      </c>
      <c r="I2656" t="str">
        <f>VLOOKUP(B2656,Customers!A:G,7,FALSE)</f>
        <v>Individual</v>
      </c>
      <c r="Q2656" t="str">
        <f>IF(COUNTIF(Customers!$A$2:$A$1001,B2656)&gt;0,"Valid","Invalid")</f>
        <v>Valid</v>
      </c>
      <c r="R2656" t="str">
        <f>IF(COUNTIF(Branches!$A$2:$A$11,F2656)&gt;0,"Valid","Invalid")</f>
        <v>Valid</v>
      </c>
    </row>
    <row r="2657" spans="1:18" x14ac:dyDescent="0.25">
      <c r="A2657" t="s">
        <v>4728</v>
      </c>
      <c r="B2657" t="s">
        <v>113</v>
      </c>
      <c r="C2657" s="8">
        <v>46186</v>
      </c>
      <c r="D2657" t="s">
        <v>2062</v>
      </c>
      <c r="E2657" t="s">
        <v>2076</v>
      </c>
      <c r="F2657" t="s">
        <v>21</v>
      </c>
      <c r="G2657">
        <v>613.30999999999995</v>
      </c>
      <c r="H2657" t="s">
        <v>2060</v>
      </c>
      <c r="I2657" t="str">
        <f>VLOOKUP(B2657,Customers!A:G,7,FALSE)</f>
        <v>Individual</v>
      </c>
      <c r="Q2657" t="str">
        <f>IF(COUNTIF(Customers!$A$2:$A$1001,B2657)&gt;0,"Valid","Invalid")</f>
        <v>Valid</v>
      </c>
      <c r="R2657" t="str">
        <f>IF(COUNTIF(Branches!$A$2:$A$11,F2657)&gt;0,"Valid","Invalid")</f>
        <v>Valid</v>
      </c>
    </row>
    <row r="2658" spans="1:18" x14ac:dyDescent="0.25">
      <c r="A2658" t="s">
        <v>4729</v>
      </c>
      <c r="B2658" t="s">
        <v>992</v>
      </c>
      <c r="C2658" s="8">
        <v>46099</v>
      </c>
      <c r="D2658" t="s">
        <v>2058</v>
      </c>
      <c r="E2658" t="s">
        <v>2068</v>
      </c>
      <c r="F2658" t="s">
        <v>21</v>
      </c>
      <c r="G2658">
        <v>2325.19</v>
      </c>
      <c r="H2658" t="s">
        <v>2060</v>
      </c>
      <c r="I2658" t="str">
        <f>VLOOKUP(B2658,Customers!A:G,7,FALSE)</f>
        <v>Individual</v>
      </c>
      <c r="Q2658" t="str">
        <f>IF(COUNTIF(Customers!$A$2:$A$1001,B2658)&gt;0,"Valid","Invalid")</f>
        <v>Valid</v>
      </c>
      <c r="R2658" t="str">
        <f>IF(COUNTIF(Branches!$A$2:$A$11,F2658)&gt;0,"Valid","Invalid")</f>
        <v>Valid</v>
      </c>
    </row>
    <row r="2659" spans="1:18" x14ac:dyDescent="0.25">
      <c r="A2659" t="s">
        <v>4730</v>
      </c>
      <c r="B2659" t="s">
        <v>771</v>
      </c>
      <c r="C2659" s="8">
        <v>46080</v>
      </c>
      <c r="D2659" t="s">
        <v>2067</v>
      </c>
      <c r="E2659" t="s">
        <v>2073</v>
      </c>
      <c r="F2659" t="s">
        <v>27</v>
      </c>
      <c r="G2659">
        <v>3283.46</v>
      </c>
      <c r="H2659" t="s">
        <v>2060</v>
      </c>
      <c r="I2659" t="str">
        <f>VLOOKUP(B2659,Customers!A:G,7,FALSE)</f>
        <v>Student</v>
      </c>
      <c r="Q2659" t="str">
        <f>IF(COUNTIF(Customers!$A$2:$A$1001,B2659)&gt;0,"Valid","Invalid")</f>
        <v>Valid</v>
      </c>
      <c r="R2659" t="str">
        <f>IF(COUNTIF(Branches!$A$2:$A$11,F2659)&gt;0,"Valid","Invalid")</f>
        <v>Valid</v>
      </c>
    </row>
    <row r="2660" spans="1:18" x14ac:dyDescent="0.25">
      <c r="A2660" t="s">
        <v>4731</v>
      </c>
      <c r="B2660" t="s">
        <v>943</v>
      </c>
      <c r="C2660" s="8">
        <v>46182</v>
      </c>
      <c r="D2660" t="s">
        <v>2058</v>
      </c>
      <c r="E2660" t="s">
        <v>2059</v>
      </c>
      <c r="F2660" t="s">
        <v>47</v>
      </c>
      <c r="G2660">
        <v>335.88</v>
      </c>
      <c r="H2660" t="s">
        <v>2060</v>
      </c>
      <c r="I2660" t="str">
        <f>VLOOKUP(B2660,Customers!A:G,7,FALSE)</f>
        <v>Individual</v>
      </c>
      <c r="Q2660" t="str">
        <f>IF(COUNTIF(Customers!$A$2:$A$1001,B2660)&gt;0,"Valid","Invalid")</f>
        <v>Valid</v>
      </c>
      <c r="R2660" t="str">
        <f>IF(COUNTIF(Branches!$A$2:$A$11,F2660)&gt;0,"Valid","Invalid")</f>
        <v>Valid</v>
      </c>
    </row>
    <row r="2661" spans="1:18" x14ac:dyDescent="0.25">
      <c r="A2661" t="s">
        <v>4732</v>
      </c>
      <c r="B2661" t="s">
        <v>832</v>
      </c>
      <c r="C2661" s="8">
        <v>46159</v>
      </c>
      <c r="D2661" t="s">
        <v>2058</v>
      </c>
      <c r="E2661" t="s">
        <v>2059</v>
      </c>
      <c r="F2661" t="s">
        <v>27</v>
      </c>
      <c r="G2661">
        <v>516.48</v>
      </c>
      <c r="H2661" t="s">
        <v>2060</v>
      </c>
      <c r="I2661" t="str">
        <f>VLOOKUP(B2661,Customers!A:G,7,FALSE)</f>
        <v>Individual</v>
      </c>
      <c r="Q2661" t="str">
        <f>IF(COUNTIF(Customers!$A$2:$A$1001,B2661)&gt;0,"Valid","Invalid")</f>
        <v>Valid</v>
      </c>
      <c r="R2661" t="str">
        <f>IF(COUNTIF(Branches!$A$2:$A$11,F2661)&gt;0,"Valid","Invalid")</f>
        <v>Valid</v>
      </c>
    </row>
    <row r="2662" spans="1:18" x14ac:dyDescent="0.25">
      <c r="A2662" t="s">
        <v>4733</v>
      </c>
      <c r="B2662" t="s">
        <v>578</v>
      </c>
      <c r="C2662" s="8">
        <v>46125</v>
      </c>
      <c r="D2662" t="s">
        <v>2070</v>
      </c>
      <c r="E2662" t="s">
        <v>2059</v>
      </c>
      <c r="F2662" t="s">
        <v>16</v>
      </c>
      <c r="G2662">
        <v>1596.27</v>
      </c>
      <c r="H2662" t="s">
        <v>2060</v>
      </c>
      <c r="I2662" t="str">
        <f>VLOOKUP(B2662,Customers!A:G,7,FALSE)</f>
        <v>SME</v>
      </c>
      <c r="Q2662" t="str">
        <f>IF(COUNTIF(Customers!$A$2:$A$1001,B2662)&gt;0,"Valid","Invalid")</f>
        <v>Valid</v>
      </c>
      <c r="R2662" t="str">
        <f>IF(COUNTIF(Branches!$A$2:$A$11,F2662)&gt;0,"Valid","Invalid")</f>
        <v>Valid</v>
      </c>
    </row>
    <row r="2663" spans="1:18" x14ac:dyDescent="0.25">
      <c r="A2663" t="s">
        <v>4734</v>
      </c>
      <c r="B2663" t="s">
        <v>399</v>
      </c>
      <c r="C2663" s="8">
        <v>46230</v>
      </c>
      <c r="D2663" t="s">
        <v>2065</v>
      </c>
      <c r="E2663" t="s">
        <v>2063</v>
      </c>
      <c r="F2663" t="s">
        <v>29</v>
      </c>
      <c r="G2663">
        <v>711.92</v>
      </c>
      <c r="H2663" t="s">
        <v>2060</v>
      </c>
      <c r="I2663" t="str">
        <f>VLOOKUP(B2663,Customers!A:G,7,FALSE)</f>
        <v>Individual</v>
      </c>
      <c r="Q2663" t="str">
        <f>IF(COUNTIF(Customers!$A$2:$A$1001,B2663)&gt;0,"Valid","Invalid")</f>
        <v>Valid</v>
      </c>
      <c r="R2663" t="str">
        <f>IF(COUNTIF(Branches!$A$2:$A$11,F2663)&gt;0,"Valid","Invalid")</f>
        <v>Valid</v>
      </c>
    </row>
    <row r="2664" spans="1:18" x14ac:dyDescent="0.25">
      <c r="A2664" t="s">
        <v>4735</v>
      </c>
      <c r="B2664" t="s">
        <v>113</v>
      </c>
      <c r="C2664" s="8">
        <v>46264</v>
      </c>
      <c r="D2664" t="s">
        <v>2067</v>
      </c>
      <c r="E2664" t="s">
        <v>2059</v>
      </c>
      <c r="F2664" t="s">
        <v>47</v>
      </c>
      <c r="G2664">
        <v>312.83</v>
      </c>
      <c r="H2664" t="s">
        <v>2060</v>
      </c>
      <c r="I2664" t="str">
        <f>VLOOKUP(B2664,Customers!A:G,7,FALSE)</f>
        <v>Individual</v>
      </c>
      <c r="Q2664" t="str">
        <f>IF(COUNTIF(Customers!$A$2:$A$1001,B2664)&gt;0,"Valid","Invalid")</f>
        <v>Valid</v>
      </c>
      <c r="R2664" t="str">
        <f>IF(COUNTIF(Branches!$A$2:$A$11,F2664)&gt;0,"Valid","Invalid")</f>
        <v>Valid</v>
      </c>
    </row>
    <row r="2665" spans="1:18" x14ac:dyDescent="0.25">
      <c r="A2665" t="s">
        <v>4736</v>
      </c>
      <c r="B2665" t="s">
        <v>547</v>
      </c>
      <c r="C2665" s="8">
        <v>46089</v>
      </c>
      <c r="D2665" t="s">
        <v>2070</v>
      </c>
      <c r="E2665" t="s">
        <v>2068</v>
      </c>
      <c r="F2665" t="s">
        <v>11</v>
      </c>
      <c r="G2665">
        <v>1395.06</v>
      </c>
      <c r="H2665" t="s">
        <v>2060</v>
      </c>
      <c r="I2665" t="str">
        <f>VLOOKUP(B2665,Customers!A:G,7,FALSE)</f>
        <v>Individual</v>
      </c>
      <c r="Q2665" t="str">
        <f>IF(COUNTIF(Customers!$A$2:$A$1001,B2665)&gt;0,"Valid","Invalid")</f>
        <v>Valid</v>
      </c>
      <c r="R2665" t="str">
        <f>IF(COUNTIF(Branches!$A$2:$A$11,F2665)&gt;0,"Valid","Invalid")</f>
        <v>Valid</v>
      </c>
    </row>
    <row r="2666" spans="1:18" x14ac:dyDescent="0.25">
      <c r="A2666" t="s">
        <v>4737</v>
      </c>
      <c r="B2666" t="s">
        <v>200</v>
      </c>
      <c r="C2666" s="8">
        <v>46138</v>
      </c>
      <c r="D2666" t="s">
        <v>2067</v>
      </c>
      <c r="E2666" t="s">
        <v>2068</v>
      </c>
      <c r="F2666" t="s">
        <v>39</v>
      </c>
      <c r="G2666">
        <v>1590</v>
      </c>
      <c r="H2666" t="s">
        <v>2060</v>
      </c>
      <c r="I2666" t="str">
        <f>VLOOKUP(B2666,Customers!A:G,7,FALSE)</f>
        <v>SME</v>
      </c>
      <c r="Q2666" t="str">
        <f>IF(COUNTIF(Customers!$A$2:$A$1001,B2666)&gt;0,"Valid","Invalid")</f>
        <v>Valid</v>
      </c>
      <c r="R2666" t="str">
        <f>IF(COUNTIF(Branches!$A$2:$A$11,F2666)&gt;0,"Valid","Invalid")</f>
        <v>Valid</v>
      </c>
    </row>
    <row r="2667" spans="1:18" x14ac:dyDescent="0.25">
      <c r="A2667" t="s">
        <v>4738</v>
      </c>
      <c r="B2667" t="s">
        <v>36</v>
      </c>
      <c r="C2667" s="8">
        <v>46170</v>
      </c>
      <c r="D2667" t="s">
        <v>2065</v>
      </c>
      <c r="E2667" t="s">
        <v>2068</v>
      </c>
      <c r="F2667" t="s">
        <v>39</v>
      </c>
      <c r="G2667">
        <v>581.5</v>
      </c>
      <c r="H2667" t="s">
        <v>2060</v>
      </c>
      <c r="I2667" t="str">
        <f>VLOOKUP(B2667,Customers!A:G,7,FALSE)</f>
        <v>Individual</v>
      </c>
      <c r="Q2667" t="str">
        <f>IF(COUNTIF(Customers!$A$2:$A$1001,B2667)&gt;0,"Valid","Invalid")</f>
        <v>Valid</v>
      </c>
      <c r="R2667" t="str">
        <f>IF(COUNTIF(Branches!$A$2:$A$11,F2667)&gt;0,"Valid","Invalid")</f>
        <v>Valid</v>
      </c>
    </row>
    <row r="2668" spans="1:18" x14ac:dyDescent="0.25">
      <c r="A2668" t="s">
        <v>4739</v>
      </c>
      <c r="B2668" t="s">
        <v>211</v>
      </c>
      <c r="C2668" s="8">
        <v>46224</v>
      </c>
      <c r="D2668" t="s">
        <v>2065</v>
      </c>
      <c r="E2668" t="s">
        <v>2063</v>
      </c>
      <c r="F2668" t="s">
        <v>47</v>
      </c>
      <c r="G2668">
        <v>863.81</v>
      </c>
      <c r="H2668" t="s">
        <v>2060</v>
      </c>
      <c r="I2668" t="str">
        <f>VLOOKUP(B2668,Customers!A:G,7,FALSE)</f>
        <v>SME</v>
      </c>
      <c r="Q2668" t="str">
        <f>IF(COUNTIF(Customers!$A$2:$A$1001,B2668)&gt;0,"Valid","Invalid")</f>
        <v>Valid</v>
      </c>
      <c r="R2668" t="str">
        <f>IF(COUNTIF(Branches!$A$2:$A$11,F2668)&gt;0,"Valid","Invalid")</f>
        <v>Valid</v>
      </c>
    </row>
    <row r="2669" spans="1:18" x14ac:dyDescent="0.25">
      <c r="A2669" t="s">
        <v>4740</v>
      </c>
      <c r="B2669" t="s">
        <v>500</v>
      </c>
      <c r="C2669" s="8">
        <v>46142</v>
      </c>
      <c r="D2669" t="s">
        <v>2065</v>
      </c>
      <c r="E2669" t="s">
        <v>2059</v>
      </c>
      <c r="F2669" t="s">
        <v>47</v>
      </c>
      <c r="G2669">
        <v>456.43</v>
      </c>
      <c r="H2669" t="s">
        <v>2060</v>
      </c>
      <c r="I2669" t="str">
        <f>VLOOKUP(B2669,Customers!A:G,7,FALSE)</f>
        <v>Student</v>
      </c>
      <c r="Q2669" t="str">
        <f>IF(COUNTIF(Customers!$A$2:$A$1001,B2669)&gt;0,"Valid","Invalid")</f>
        <v>Valid</v>
      </c>
      <c r="R2669" t="str">
        <f>IF(COUNTIF(Branches!$A$2:$A$11,F2669)&gt;0,"Valid","Invalid")</f>
        <v>Valid</v>
      </c>
    </row>
    <row r="2670" spans="1:18" x14ac:dyDescent="0.25">
      <c r="A2670" t="s">
        <v>4741</v>
      </c>
      <c r="B2670" t="s">
        <v>345</v>
      </c>
      <c r="C2670" s="8">
        <v>46212</v>
      </c>
      <c r="D2670" t="s">
        <v>2070</v>
      </c>
      <c r="E2670" t="s">
        <v>2063</v>
      </c>
      <c r="F2670" t="s">
        <v>35</v>
      </c>
      <c r="G2670">
        <v>271.72000000000003</v>
      </c>
      <c r="H2670" t="s">
        <v>2060</v>
      </c>
      <c r="I2670" t="str">
        <f>VLOOKUP(B2670,Customers!A:G,7,FALSE)</f>
        <v>Individual</v>
      </c>
      <c r="Q2670" t="str">
        <f>IF(COUNTIF(Customers!$A$2:$A$1001,B2670)&gt;0,"Valid","Invalid")</f>
        <v>Valid</v>
      </c>
      <c r="R2670" t="str">
        <f>IF(COUNTIF(Branches!$A$2:$A$11,F2670)&gt;0,"Valid","Invalid")</f>
        <v>Valid</v>
      </c>
    </row>
    <row r="2671" spans="1:18" x14ac:dyDescent="0.25">
      <c r="A2671" t="s">
        <v>4742</v>
      </c>
      <c r="B2671" t="s">
        <v>626</v>
      </c>
      <c r="C2671" s="8">
        <v>46208</v>
      </c>
      <c r="D2671" t="s">
        <v>2065</v>
      </c>
      <c r="E2671" t="s">
        <v>2063</v>
      </c>
      <c r="F2671" t="s">
        <v>21</v>
      </c>
      <c r="G2671">
        <v>494.2</v>
      </c>
      <c r="H2671" t="s">
        <v>2060</v>
      </c>
      <c r="I2671" t="str">
        <f>VLOOKUP(B2671,Customers!A:G,7,FALSE)</f>
        <v>Individual</v>
      </c>
      <c r="Q2671" t="str">
        <f>IF(COUNTIF(Customers!$A$2:$A$1001,B2671)&gt;0,"Valid","Invalid")</f>
        <v>Valid</v>
      </c>
      <c r="R2671" t="str">
        <f>IF(COUNTIF(Branches!$A$2:$A$11,F2671)&gt;0,"Valid","Invalid")</f>
        <v>Valid</v>
      </c>
    </row>
    <row r="2672" spans="1:18" x14ac:dyDescent="0.25">
      <c r="A2672" t="s">
        <v>4743</v>
      </c>
      <c r="B2672" t="s">
        <v>283</v>
      </c>
      <c r="C2672" s="8">
        <v>46044</v>
      </c>
      <c r="D2672" t="s">
        <v>2070</v>
      </c>
      <c r="E2672" t="s">
        <v>2073</v>
      </c>
      <c r="F2672" t="s">
        <v>16</v>
      </c>
      <c r="G2672">
        <v>874.74</v>
      </c>
      <c r="H2672" t="s">
        <v>2060</v>
      </c>
      <c r="I2672" t="str">
        <f>VLOOKUP(B2672,Customers!A:G,7,FALSE)</f>
        <v>Individual</v>
      </c>
      <c r="Q2672" t="str">
        <f>IF(COUNTIF(Customers!$A$2:$A$1001,B2672)&gt;0,"Valid","Invalid")</f>
        <v>Valid</v>
      </c>
      <c r="R2672" t="str">
        <f>IF(COUNTIF(Branches!$A$2:$A$11,F2672)&gt;0,"Valid","Invalid")</f>
        <v>Valid</v>
      </c>
    </row>
    <row r="2673" spans="1:18" x14ac:dyDescent="0.25">
      <c r="A2673" t="s">
        <v>4744</v>
      </c>
      <c r="B2673" t="s">
        <v>158</v>
      </c>
      <c r="C2673" s="8">
        <v>46134</v>
      </c>
      <c r="D2673" t="s">
        <v>2070</v>
      </c>
      <c r="E2673" t="s">
        <v>2059</v>
      </c>
      <c r="F2673" t="s">
        <v>45</v>
      </c>
      <c r="G2673">
        <v>185.84</v>
      </c>
      <c r="H2673" t="s">
        <v>2115</v>
      </c>
      <c r="I2673" t="str">
        <f>VLOOKUP(B2673,Customers!A:G,7,FALSE)</f>
        <v>Individual</v>
      </c>
      <c r="Q2673" t="str">
        <f>IF(COUNTIF(Customers!$A$2:$A$1001,B2673)&gt;0,"Valid","Invalid")</f>
        <v>Valid</v>
      </c>
      <c r="R2673" t="str">
        <f>IF(COUNTIF(Branches!$A$2:$A$11,F2673)&gt;0,"Valid","Invalid")</f>
        <v>Valid</v>
      </c>
    </row>
    <row r="2674" spans="1:18" x14ac:dyDescent="0.25">
      <c r="A2674" t="s">
        <v>4745</v>
      </c>
      <c r="B2674" t="s">
        <v>222</v>
      </c>
      <c r="C2674" s="8">
        <v>46217</v>
      </c>
      <c r="D2674" t="s">
        <v>2058</v>
      </c>
      <c r="E2674" t="s">
        <v>2068</v>
      </c>
      <c r="F2674" t="s">
        <v>11</v>
      </c>
      <c r="G2674">
        <v>531.65</v>
      </c>
      <c r="H2674" t="s">
        <v>2060</v>
      </c>
      <c r="I2674" t="str">
        <f>VLOOKUP(B2674,Customers!A:G,7,FALSE)</f>
        <v>Corporate</v>
      </c>
      <c r="Q2674" t="str">
        <f>IF(COUNTIF(Customers!$A$2:$A$1001,B2674)&gt;0,"Valid","Invalid")</f>
        <v>Valid</v>
      </c>
      <c r="R2674" t="str">
        <f>IF(COUNTIF(Branches!$A$2:$A$11,F2674)&gt;0,"Valid","Invalid")</f>
        <v>Valid</v>
      </c>
    </row>
    <row r="2675" spans="1:18" x14ac:dyDescent="0.25">
      <c r="A2675" t="s">
        <v>4746</v>
      </c>
      <c r="B2675" t="s">
        <v>66</v>
      </c>
      <c r="C2675" s="8">
        <v>46097</v>
      </c>
      <c r="D2675" t="s">
        <v>2065</v>
      </c>
      <c r="E2675" t="s">
        <v>2063</v>
      </c>
      <c r="F2675" t="s">
        <v>29</v>
      </c>
      <c r="G2675">
        <v>886.99</v>
      </c>
      <c r="H2675" t="s">
        <v>2060</v>
      </c>
      <c r="I2675" t="str">
        <f>VLOOKUP(B2675,Customers!A:G,7,FALSE)</f>
        <v>Individual</v>
      </c>
      <c r="Q2675" t="str">
        <f>IF(COUNTIF(Customers!$A$2:$A$1001,B2675)&gt;0,"Valid","Invalid")</f>
        <v>Valid</v>
      </c>
      <c r="R2675" t="str">
        <f>IF(COUNTIF(Branches!$A$2:$A$11,F2675)&gt;0,"Valid","Invalid")</f>
        <v>Valid</v>
      </c>
    </row>
    <row r="2676" spans="1:18" x14ac:dyDescent="0.25">
      <c r="A2676" t="s">
        <v>4747</v>
      </c>
      <c r="B2676" t="s">
        <v>1036</v>
      </c>
      <c r="C2676" s="8">
        <v>46239</v>
      </c>
      <c r="D2676" t="s">
        <v>2065</v>
      </c>
      <c r="E2676" t="s">
        <v>2059</v>
      </c>
      <c r="F2676" t="s">
        <v>39</v>
      </c>
      <c r="G2676">
        <v>2682.92</v>
      </c>
      <c r="H2676" t="s">
        <v>2060</v>
      </c>
      <c r="I2676" t="str">
        <f>VLOOKUP(B2676,Customers!A:G,7,FALSE)</f>
        <v>Corporate</v>
      </c>
      <c r="Q2676" t="str">
        <f>IF(COUNTIF(Customers!$A$2:$A$1001,B2676)&gt;0,"Valid","Invalid")</f>
        <v>Valid</v>
      </c>
      <c r="R2676" t="str">
        <f>IF(COUNTIF(Branches!$A$2:$A$11,F2676)&gt;0,"Valid","Invalid")</f>
        <v>Valid</v>
      </c>
    </row>
    <row r="2677" spans="1:18" x14ac:dyDescent="0.25">
      <c r="A2677" t="s">
        <v>4748</v>
      </c>
      <c r="B2677" t="s">
        <v>1001</v>
      </c>
      <c r="C2677" s="8">
        <v>46256</v>
      </c>
      <c r="D2677" t="s">
        <v>2058</v>
      </c>
      <c r="E2677" t="s">
        <v>2076</v>
      </c>
      <c r="F2677" t="s">
        <v>11</v>
      </c>
      <c r="G2677">
        <v>594.30999999999995</v>
      </c>
      <c r="H2677" t="s">
        <v>2060</v>
      </c>
      <c r="I2677" t="str">
        <f>VLOOKUP(B2677,Customers!A:G,7,FALSE)</f>
        <v>Individual</v>
      </c>
      <c r="Q2677" t="str">
        <f>IF(COUNTIF(Customers!$A$2:$A$1001,B2677)&gt;0,"Valid","Invalid")</f>
        <v>Valid</v>
      </c>
      <c r="R2677" t="str">
        <f>IF(COUNTIF(Branches!$A$2:$A$11,F2677)&gt;0,"Valid","Invalid")</f>
        <v>Valid</v>
      </c>
    </row>
    <row r="2678" spans="1:18" x14ac:dyDescent="0.25">
      <c r="A2678" t="s">
        <v>4749</v>
      </c>
      <c r="B2678" t="s">
        <v>800</v>
      </c>
      <c r="C2678" s="8">
        <v>46198</v>
      </c>
      <c r="D2678" t="s">
        <v>2067</v>
      </c>
      <c r="E2678" t="s">
        <v>2063</v>
      </c>
      <c r="F2678" t="s">
        <v>53</v>
      </c>
      <c r="G2678">
        <v>233.71</v>
      </c>
      <c r="H2678" t="s">
        <v>2060</v>
      </c>
      <c r="I2678" t="str">
        <f>VLOOKUP(B2678,Customers!A:G,7,FALSE)</f>
        <v>Individual</v>
      </c>
      <c r="Q2678" t="str">
        <f>IF(COUNTIF(Customers!$A$2:$A$1001,B2678)&gt;0,"Valid","Invalid")</f>
        <v>Valid</v>
      </c>
      <c r="R2678" t="str">
        <f>IF(COUNTIF(Branches!$A$2:$A$11,F2678)&gt;0,"Valid","Invalid")</f>
        <v>Valid</v>
      </c>
    </row>
    <row r="2679" spans="1:18" x14ac:dyDescent="0.25">
      <c r="A2679" t="s">
        <v>4750</v>
      </c>
      <c r="B2679" t="s">
        <v>607</v>
      </c>
      <c r="C2679" s="8">
        <v>46158</v>
      </c>
      <c r="D2679" t="s">
        <v>2058</v>
      </c>
      <c r="E2679" t="s">
        <v>2063</v>
      </c>
      <c r="F2679" t="s">
        <v>53</v>
      </c>
      <c r="G2679">
        <v>658.75</v>
      </c>
      <c r="H2679" t="s">
        <v>2060</v>
      </c>
      <c r="I2679" t="str">
        <f>VLOOKUP(B2679,Customers!A:G,7,FALSE)</f>
        <v>Individual</v>
      </c>
      <c r="Q2679" t="str">
        <f>IF(COUNTIF(Customers!$A$2:$A$1001,B2679)&gt;0,"Valid","Invalid")</f>
        <v>Valid</v>
      </c>
      <c r="R2679" t="str">
        <f>IF(COUNTIF(Branches!$A$2:$A$11,F2679)&gt;0,"Valid","Invalid")</f>
        <v>Valid</v>
      </c>
    </row>
    <row r="2680" spans="1:18" x14ac:dyDescent="0.25">
      <c r="A2680" t="s">
        <v>4751</v>
      </c>
      <c r="B2680" t="s">
        <v>348</v>
      </c>
      <c r="C2680" s="8">
        <v>46223</v>
      </c>
      <c r="D2680" t="s">
        <v>2067</v>
      </c>
      <c r="E2680" t="s">
        <v>2063</v>
      </c>
      <c r="F2680" t="s">
        <v>16</v>
      </c>
      <c r="G2680">
        <v>461.02</v>
      </c>
      <c r="H2680" t="s">
        <v>2060</v>
      </c>
      <c r="I2680" t="str">
        <f>VLOOKUP(B2680,Customers!A:G,7,FALSE)</f>
        <v>Individual</v>
      </c>
      <c r="Q2680" t="str">
        <f>IF(COUNTIF(Customers!$A$2:$A$1001,B2680)&gt;0,"Valid","Invalid")</f>
        <v>Valid</v>
      </c>
      <c r="R2680" t="str">
        <f>IF(COUNTIF(Branches!$A$2:$A$11,F2680)&gt;0,"Valid","Invalid")</f>
        <v>Valid</v>
      </c>
    </row>
    <row r="2681" spans="1:18" x14ac:dyDescent="0.25">
      <c r="A2681" t="s">
        <v>4752</v>
      </c>
      <c r="B2681" t="s">
        <v>410</v>
      </c>
      <c r="C2681" s="8">
        <v>46165</v>
      </c>
      <c r="D2681" t="s">
        <v>2070</v>
      </c>
      <c r="E2681" t="s">
        <v>2076</v>
      </c>
      <c r="F2681" t="s">
        <v>29</v>
      </c>
      <c r="G2681">
        <v>1411.18</v>
      </c>
      <c r="H2681" t="s">
        <v>2060</v>
      </c>
      <c r="I2681" t="str">
        <f>VLOOKUP(B2681,Customers!A:G,7,FALSE)</f>
        <v>Individual</v>
      </c>
      <c r="Q2681" t="str">
        <f>IF(COUNTIF(Customers!$A$2:$A$1001,B2681)&gt;0,"Valid","Invalid")</f>
        <v>Valid</v>
      </c>
      <c r="R2681" t="str">
        <f>IF(COUNTIF(Branches!$A$2:$A$11,F2681)&gt;0,"Valid","Invalid")</f>
        <v>Valid</v>
      </c>
    </row>
    <row r="2682" spans="1:18" x14ac:dyDescent="0.25">
      <c r="A2682" t="s">
        <v>4753</v>
      </c>
      <c r="B2682" t="s">
        <v>694</v>
      </c>
      <c r="C2682" s="8">
        <v>46054</v>
      </c>
      <c r="D2682" t="s">
        <v>2058</v>
      </c>
      <c r="E2682" t="s">
        <v>2073</v>
      </c>
      <c r="F2682" t="s">
        <v>47</v>
      </c>
      <c r="G2682">
        <v>579.46</v>
      </c>
      <c r="H2682" t="s">
        <v>2060</v>
      </c>
      <c r="I2682" t="str">
        <f>VLOOKUP(B2682,Customers!A:G,7,FALSE)</f>
        <v>Student</v>
      </c>
      <c r="Q2682" t="str">
        <f>IF(COUNTIF(Customers!$A$2:$A$1001,B2682)&gt;0,"Valid","Invalid")</f>
        <v>Valid</v>
      </c>
      <c r="R2682" t="str">
        <f>IF(COUNTIF(Branches!$A$2:$A$11,F2682)&gt;0,"Valid","Invalid")</f>
        <v>Valid</v>
      </c>
    </row>
    <row r="2683" spans="1:18" x14ac:dyDescent="0.25">
      <c r="A2683" t="s">
        <v>4754</v>
      </c>
      <c r="B2683" t="s">
        <v>868</v>
      </c>
      <c r="C2683" s="8">
        <v>46203</v>
      </c>
      <c r="D2683" t="s">
        <v>2058</v>
      </c>
      <c r="E2683" t="s">
        <v>2068</v>
      </c>
      <c r="F2683" t="s">
        <v>27</v>
      </c>
      <c r="G2683">
        <v>54.02</v>
      </c>
      <c r="H2683" t="s">
        <v>2060</v>
      </c>
      <c r="I2683" t="str">
        <f>VLOOKUP(B2683,Customers!A:G,7,FALSE)</f>
        <v>Individual</v>
      </c>
      <c r="Q2683" t="str">
        <f>IF(COUNTIF(Customers!$A$2:$A$1001,B2683)&gt;0,"Valid","Invalid")</f>
        <v>Valid</v>
      </c>
      <c r="R2683" t="str">
        <f>IF(COUNTIF(Branches!$A$2:$A$11,F2683)&gt;0,"Valid","Invalid")</f>
        <v>Valid</v>
      </c>
    </row>
    <row r="2684" spans="1:18" x14ac:dyDescent="0.25">
      <c r="A2684" t="s">
        <v>4755</v>
      </c>
      <c r="B2684" t="s">
        <v>634</v>
      </c>
      <c r="C2684" s="8">
        <v>46089</v>
      </c>
      <c r="D2684" t="s">
        <v>2062</v>
      </c>
      <c r="E2684" t="s">
        <v>2073</v>
      </c>
      <c r="F2684" t="s">
        <v>35</v>
      </c>
      <c r="G2684">
        <v>32585.56</v>
      </c>
      <c r="H2684" t="s">
        <v>2060</v>
      </c>
      <c r="I2684" t="str">
        <f>VLOOKUP(B2684,Customers!A:G,7,FALSE)</f>
        <v>Individual</v>
      </c>
      <c r="Q2684" t="str">
        <f>IF(COUNTIF(Customers!$A$2:$A$1001,B2684)&gt;0,"Valid","Invalid")</f>
        <v>Valid</v>
      </c>
      <c r="R2684" t="str">
        <f>IF(COUNTIF(Branches!$A$2:$A$11,F2684)&gt;0,"Valid","Invalid")</f>
        <v>Valid</v>
      </c>
    </row>
    <row r="2685" spans="1:18" x14ac:dyDescent="0.25">
      <c r="A2685" t="s">
        <v>4756</v>
      </c>
      <c r="B2685" t="s">
        <v>1030</v>
      </c>
      <c r="C2685" s="8">
        <v>46026</v>
      </c>
      <c r="D2685" t="s">
        <v>2065</v>
      </c>
      <c r="E2685" t="s">
        <v>2068</v>
      </c>
      <c r="F2685" t="s">
        <v>35</v>
      </c>
      <c r="G2685">
        <v>936.7</v>
      </c>
      <c r="H2685" t="s">
        <v>2060</v>
      </c>
      <c r="I2685" t="str">
        <f>VLOOKUP(B2685,Customers!A:G,7,FALSE)</f>
        <v>Individual</v>
      </c>
      <c r="Q2685" t="str">
        <f>IF(COUNTIF(Customers!$A$2:$A$1001,B2685)&gt;0,"Valid","Invalid")</f>
        <v>Valid</v>
      </c>
      <c r="R2685" t="str">
        <f>IF(COUNTIF(Branches!$A$2:$A$11,F2685)&gt;0,"Valid","Invalid")</f>
        <v>Valid</v>
      </c>
    </row>
    <row r="2686" spans="1:18" x14ac:dyDescent="0.25">
      <c r="A2686" t="s">
        <v>4757</v>
      </c>
      <c r="B2686" t="s">
        <v>92</v>
      </c>
      <c r="C2686" s="8">
        <v>46052</v>
      </c>
      <c r="D2686" t="s">
        <v>2065</v>
      </c>
      <c r="E2686" t="s">
        <v>2068</v>
      </c>
      <c r="F2686" t="s">
        <v>27</v>
      </c>
      <c r="G2686">
        <v>888.2</v>
      </c>
      <c r="H2686" t="s">
        <v>2060</v>
      </c>
      <c r="I2686" t="str">
        <f>VLOOKUP(B2686,Customers!A:G,7,FALSE)</f>
        <v>Individual</v>
      </c>
      <c r="Q2686" t="str">
        <f>IF(COUNTIF(Customers!$A$2:$A$1001,B2686)&gt;0,"Valid","Invalid")</f>
        <v>Valid</v>
      </c>
      <c r="R2686" t="str">
        <f>IF(COUNTIF(Branches!$A$2:$A$11,F2686)&gt;0,"Valid","Invalid")</f>
        <v>Valid</v>
      </c>
    </row>
    <row r="2687" spans="1:18" x14ac:dyDescent="0.25">
      <c r="A2687" t="s">
        <v>4758</v>
      </c>
      <c r="B2687" t="s">
        <v>829</v>
      </c>
      <c r="C2687" s="8">
        <v>46035</v>
      </c>
      <c r="D2687" t="s">
        <v>2065</v>
      </c>
      <c r="E2687" t="s">
        <v>2059</v>
      </c>
      <c r="F2687" t="s">
        <v>29</v>
      </c>
      <c r="G2687">
        <v>173.92</v>
      </c>
      <c r="H2687" t="s">
        <v>2060</v>
      </c>
      <c r="I2687" t="str">
        <f>VLOOKUP(B2687,Customers!A:G,7,FALSE)</f>
        <v>Individual</v>
      </c>
      <c r="Q2687" t="str">
        <f>IF(COUNTIF(Customers!$A$2:$A$1001,B2687)&gt;0,"Valid","Invalid")</f>
        <v>Valid</v>
      </c>
      <c r="R2687" t="str">
        <f>IF(COUNTIF(Branches!$A$2:$A$11,F2687)&gt;0,"Valid","Invalid")</f>
        <v>Valid</v>
      </c>
    </row>
    <row r="2688" spans="1:18" x14ac:dyDescent="0.25">
      <c r="A2688" t="s">
        <v>4759</v>
      </c>
      <c r="B2688" t="s">
        <v>311</v>
      </c>
      <c r="C2688" s="8">
        <v>46258</v>
      </c>
      <c r="D2688" t="s">
        <v>2065</v>
      </c>
      <c r="E2688" t="s">
        <v>2059</v>
      </c>
      <c r="F2688" t="s">
        <v>11</v>
      </c>
      <c r="G2688">
        <v>187.81</v>
      </c>
      <c r="H2688" t="s">
        <v>2060</v>
      </c>
      <c r="I2688" t="str">
        <f>VLOOKUP(B2688,Customers!A:G,7,FALSE)</f>
        <v>Individual</v>
      </c>
      <c r="Q2688" t="str">
        <f>IF(COUNTIF(Customers!$A$2:$A$1001,B2688)&gt;0,"Valid","Invalid")</f>
        <v>Valid</v>
      </c>
      <c r="R2688" t="str">
        <f>IF(COUNTIF(Branches!$A$2:$A$11,F2688)&gt;0,"Valid","Invalid")</f>
        <v>Valid</v>
      </c>
    </row>
    <row r="2689" spans="1:18" x14ac:dyDescent="0.25">
      <c r="A2689" t="s">
        <v>4760</v>
      </c>
      <c r="B2689" t="s">
        <v>502</v>
      </c>
      <c r="C2689" s="8">
        <v>46043</v>
      </c>
      <c r="D2689" t="s">
        <v>2058</v>
      </c>
      <c r="E2689" t="s">
        <v>2059</v>
      </c>
      <c r="F2689" t="s">
        <v>35</v>
      </c>
      <c r="G2689">
        <v>741.04</v>
      </c>
      <c r="H2689" t="s">
        <v>2060</v>
      </c>
      <c r="I2689" t="str">
        <f>VLOOKUP(B2689,Customers!A:G,7,FALSE)</f>
        <v>SME</v>
      </c>
      <c r="Q2689" t="str">
        <f>IF(COUNTIF(Customers!$A$2:$A$1001,B2689)&gt;0,"Valid","Invalid")</f>
        <v>Valid</v>
      </c>
      <c r="R2689" t="str">
        <f>IF(COUNTIF(Branches!$A$2:$A$11,F2689)&gt;0,"Valid","Invalid")</f>
        <v>Valid</v>
      </c>
    </row>
    <row r="2690" spans="1:18" x14ac:dyDescent="0.25">
      <c r="A2690" t="s">
        <v>4761</v>
      </c>
      <c r="B2690" t="s">
        <v>716</v>
      </c>
      <c r="C2690" s="8">
        <v>46063</v>
      </c>
      <c r="D2690" t="s">
        <v>2067</v>
      </c>
      <c r="E2690" t="s">
        <v>2068</v>
      </c>
      <c r="F2690" t="s">
        <v>53</v>
      </c>
      <c r="G2690">
        <v>1137.03</v>
      </c>
      <c r="H2690" t="s">
        <v>2060</v>
      </c>
      <c r="I2690" t="str">
        <f>VLOOKUP(B2690,Customers!A:G,7,FALSE)</f>
        <v>Individual</v>
      </c>
      <c r="Q2690" t="str">
        <f>IF(COUNTIF(Customers!$A$2:$A$1001,B2690)&gt;0,"Valid","Invalid")</f>
        <v>Valid</v>
      </c>
      <c r="R2690" t="str">
        <f>IF(COUNTIF(Branches!$A$2:$A$11,F2690)&gt;0,"Valid","Invalid")</f>
        <v>Valid</v>
      </c>
    </row>
    <row r="2691" spans="1:18" x14ac:dyDescent="0.25">
      <c r="A2691" t="s">
        <v>4762</v>
      </c>
      <c r="B2691" t="s">
        <v>494</v>
      </c>
      <c r="C2691" s="8">
        <v>46143</v>
      </c>
      <c r="D2691" t="s">
        <v>2067</v>
      </c>
      <c r="E2691" t="s">
        <v>2063</v>
      </c>
      <c r="F2691" t="s">
        <v>21</v>
      </c>
      <c r="G2691">
        <v>1639.45</v>
      </c>
      <c r="H2691" t="s">
        <v>2060</v>
      </c>
      <c r="I2691" t="str">
        <f>VLOOKUP(B2691,Customers!A:G,7,FALSE)</f>
        <v>Student</v>
      </c>
      <c r="Q2691" t="str">
        <f>IF(COUNTIF(Customers!$A$2:$A$1001,B2691)&gt;0,"Valid","Invalid")</f>
        <v>Valid</v>
      </c>
      <c r="R2691" t="str">
        <f>IF(COUNTIF(Branches!$A$2:$A$11,F2691)&gt;0,"Valid","Invalid")</f>
        <v>Valid</v>
      </c>
    </row>
    <row r="2692" spans="1:18" x14ac:dyDescent="0.25">
      <c r="A2692" t="s">
        <v>4763</v>
      </c>
      <c r="B2692" t="s">
        <v>1017</v>
      </c>
      <c r="C2692" s="8">
        <v>46260</v>
      </c>
      <c r="D2692" t="s">
        <v>2070</v>
      </c>
      <c r="E2692" t="s">
        <v>2063</v>
      </c>
      <c r="F2692" t="s">
        <v>47</v>
      </c>
      <c r="G2692">
        <v>1030.1300000000001</v>
      </c>
      <c r="H2692" t="s">
        <v>2060</v>
      </c>
      <c r="I2692" t="str">
        <f>VLOOKUP(B2692,Customers!A:G,7,FALSE)</f>
        <v>SME</v>
      </c>
      <c r="Q2692" t="str">
        <f>IF(COUNTIF(Customers!$A$2:$A$1001,B2692)&gt;0,"Valid","Invalid")</f>
        <v>Valid</v>
      </c>
      <c r="R2692" t="str">
        <f>IF(COUNTIF(Branches!$A$2:$A$11,F2692)&gt;0,"Valid","Invalid")</f>
        <v>Valid</v>
      </c>
    </row>
    <row r="2693" spans="1:18" x14ac:dyDescent="0.25">
      <c r="A2693" t="s">
        <v>4764</v>
      </c>
      <c r="B2693" t="s">
        <v>708</v>
      </c>
      <c r="C2693" s="8">
        <v>46041</v>
      </c>
      <c r="D2693" t="s">
        <v>2065</v>
      </c>
      <c r="E2693" t="s">
        <v>2073</v>
      </c>
      <c r="F2693" t="s">
        <v>29</v>
      </c>
      <c r="G2693">
        <v>248.16</v>
      </c>
      <c r="H2693" t="s">
        <v>2060</v>
      </c>
      <c r="I2693" t="str">
        <f>VLOOKUP(B2693,Customers!A:G,7,FALSE)</f>
        <v>Student</v>
      </c>
      <c r="Q2693" t="str">
        <f>IF(COUNTIF(Customers!$A$2:$A$1001,B2693)&gt;0,"Valid","Invalid")</f>
        <v>Valid</v>
      </c>
      <c r="R2693" t="str">
        <f>IF(COUNTIF(Branches!$A$2:$A$11,F2693)&gt;0,"Valid","Invalid")</f>
        <v>Valid</v>
      </c>
    </row>
    <row r="2694" spans="1:18" x14ac:dyDescent="0.25">
      <c r="A2694" t="s">
        <v>4765</v>
      </c>
      <c r="B2694" t="s">
        <v>287</v>
      </c>
      <c r="C2694" s="8">
        <v>46253</v>
      </c>
      <c r="D2694" t="s">
        <v>2058</v>
      </c>
      <c r="E2694" t="s">
        <v>2063</v>
      </c>
      <c r="F2694" t="s">
        <v>27</v>
      </c>
      <c r="G2694">
        <v>66.39</v>
      </c>
      <c r="H2694" t="s">
        <v>2060</v>
      </c>
      <c r="I2694" t="str">
        <f>VLOOKUP(B2694,Customers!A:G,7,FALSE)</f>
        <v>Individual</v>
      </c>
      <c r="Q2694" t="str">
        <f>IF(COUNTIF(Customers!$A$2:$A$1001,B2694)&gt;0,"Valid","Invalid")</f>
        <v>Valid</v>
      </c>
      <c r="R2694" t="str">
        <f>IF(COUNTIF(Branches!$A$2:$A$11,F2694)&gt;0,"Valid","Invalid")</f>
        <v>Valid</v>
      </c>
    </row>
    <row r="2695" spans="1:18" x14ac:dyDescent="0.25">
      <c r="A2695" t="s">
        <v>4766</v>
      </c>
      <c r="B2695" t="s">
        <v>736</v>
      </c>
      <c r="C2695" s="8">
        <v>46070</v>
      </c>
      <c r="D2695" t="s">
        <v>2065</v>
      </c>
      <c r="E2695" t="s">
        <v>2073</v>
      </c>
      <c r="F2695" t="s">
        <v>45</v>
      </c>
      <c r="G2695">
        <v>734.93</v>
      </c>
      <c r="H2695" t="s">
        <v>2060</v>
      </c>
      <c r="I2695" t="str">
        <f>VLOOKUP(B2695,Customers!A:G,7,FALSE)</f>
        <v>Individual</v>
      </c>
      <c r="Q2695" t="str">
        <f>IF(COUNTIF(Customers!$A$2:$A$1001,B2695)&gt;0,"Valid","Invalid")</f>
        <v>Valid</v>
      </c>
      <c r="R2695" t="str">
        <f>IF(COUNTIF(Branches!$A$2:$A$11,F2695)&gt;0,"Valid","Invalid")</f>
        <v>Valid</v>
      </c>
    </row>
    <row r="2696" spans="1:18" x14ac:dyDescent="0.25">
      <c r="A2696" t="s">
        <v>4767</v>
      </c>
      <c r="B2696" t="s">
        <v>1032</v>
      </c>
      <c r="C2696" s="8">
        <v>46108</v>
      </c>
      <c r="D2696" t="s">
        <v>2067</v>
      </c>
      <c r="E2696" t="s">
        <v>2076</v>
      </c>
      <c r="F2696" t="s">
        <v>16</v>
      </c>
      <c r="G2696">
        <v>476.29</v>
      </c>
      <c r="H2696" t="s">
        <v>2060</v>
      </c>
      <c r="I2696" t="str">
        <f>VLOOKUP(B2696,Customers!A:G,7,FALSE)</f>
        <v>Individual</v>
      </c>
      <c r="Q2696" t="str">
        <f>IF(COUNTIF(Customers!$A$2:$A$1001,B2696)&gt;0,"Valid","Invalid")</f>
        <v>Valid</v>
      </c>
      <c r="R2696" t="str">
        <f>IF(COUNTIF(Branches!$A$2:$A$11,F2696)&gt;0,"Valid","Invalid")</f>
        <v>Valid</v>
      </c>
    </row>
    <row r="2697" spans="1:18" x14ac:dyDescent="0.25">
      <c r="A2697" t="s">
        <v>4768</v>
      </c>
      <c r="B2697" t="s">
        <v>114</v>
      </c>
      <c r="C2697" s="8">
        <v>46085</v>
      </c>
      <c r="D2697" t="s">
        <v>2058</v>
      </c>
      <c r="E2697" t="s">
        <v>2063</v>
      </c>
      <c r="F2697" t="s">
        <v>45</v>
      </c>
      <c r="G2697">
        <v>229.85</v>
      </c>
      <c r="H2697" t="s">
        <v>2060</v>
      </c>
      <c r="I2697" t="str">
        <f>VLOOKUP(B2697,Customers!A:G,7,FALSE)</f>
        <v>Individual</v>
      </c>
      <c r="Q2697" t="str">
        <f>IF(COUNTIF(Customers!$A$2:$A$1001,B2697)&gt;0,"Valid","Invalid")</f>
        <v>Valid</v>
      </c>
      <c r="R2697" t="str">
        <f>IF(COUNTIF(Branches!$A$2:$A$11,F2697)&gt;0,"Valid","Invalid")</f>
        <v>Valid</v>
      </c>
    </row>
    <row r="2698" spans="1:18" x14ac:dyDescent="0.25">
      <c r="A2698" t="s">
        <v>4769</v>
      </c>
      <c r="B2698" t="s">
        <v>572</v>
      </c>
      <c r="C2698" s="8">
        <v>46170</v>
      </c>
      <c r="D2698" t="s">
        <v>2070</v>
      </c>
      <c r="E2698" t="s">
        <v>2076</v>
      </c>
      <c r="F2698" t="s">
        <v>27</v>
      </c>
      <c r="G2698">
        <v>1859.49</v>
      </c>
      <c r="H2698" t="s">
        <v>2060</v>
      </c>
      <c r="I2698" t="str">
        <f>VLOOKUP(B2698,Customers!A:G,7,FALSE)</f>
        <v>Individual</v>
      </c>
      <c r="Q2698" t="str">
        <f>IF(COUNTIF(Customers!$A$2:$A$1001,B2698)&gt;0,"Valid","Invalid")</f>
        <v>Valid</v>
      </c>
      <c r="R2698" t="str">
        <f>IF(COUNTIF(Branches!$A$2:$A$11,F2698)&gt;0,"Valid","Invalid")</f>
        <v>Valid</v>
      </c>
    </row>
    <row r="2699" spans="1:18" x14ac:dyDescent="0.25">
      <c r="A2699" t="s">
        <v>4770</v>
      </c>
      <c r="B2699" t="s">
        <v>144</v>
      </c>
      <c r="C2699" s="8">
        <v>46214</v>
      </c>
      <c r="D2699" t="s">
        <v>2067</v>
      </c>
      <c r="E2699" t="s">
        <v>2068</v>
      </c>
      <c r="F2699" t="s">
        <v>27</v>
      </c>
      <c r="G2699">
        <v>168.08</v>
      </c>
      <c r="H2699" t="s">
        <v>2060</v>
      </c>
      <c r="I2699" t="str">
        <f>VLOOKUP(B2699,Customers!A:G,7,FALSE)</f>
        <v>Student</v>
      </c>
      <c r="Q2699" t="str">
        <f>IF(COUNTIF(Customers!$A$2:$A$1001,B2699)&gt;0,"Valid","Invalid")</f>
        <v>Valid</v>
      </c>
      <c r="R2699" t="str">
        <f>IF(COUNTIF(Branches!$A$2:$A$11,F2699)&gt;0,"Valid","Invalid")</f>
        <v>Valid</v>
      </c>
    </row>
    <row r="2700" spans="1:18" x14ac:dyDescent="0.25">
      <c r="A2700" t="s">
        <v>4771</v>
      </c>
      <c r="B2700" t="s">
        <v>311</v>
      </c>
      <c r="C2700" s="8">
        <v>46059</v>
      </c>
      <c r="D2700" t="s">
        <v>2065</v>
      </c>
      <c r="E2700" t="s">
        <v>2063</v>
      </c>
      <c r="F2700" t="s">
        <v>45</v>
      </c>
      <c r="G2700">
        <v>1505.63</v>
      </c>
      <c r="H2700" t="s">
        <v>2060</v>
      </c>
      <c r="I2700" t="str">
        <f>VLOOKUP(B2700,Customers!A:G,7,FALSE)</f>
        <v>Individual</v>
      </c>
      <c r="Q2700" t="str">
        <f>IF(COUNTIF(Customers!$A$2:$A$1001,B2700)&gt;0,"Valid","Invalid")</f>
        <v>Valid</v>
      </c>
      <c r="R2700" t="str">
        <f>IF(COUNTIF(Branches!$A$2:$A$11,F2700)&gt;0,"Valid","Invalid")</f>
        <v>Valid</v>
      </c>
    </row>
    <row r="2701" spans="1:18" x14ac:dyDescent="0.25">
      <c r="A2701" t="s">
        <v>4772</v>
      </c>
      <c r="B2701" t="s">
        <v>802</v>
      </c>
      <c r="C2701" s="8">
        <v>46053</v>
      </c>
      <c r="D2701" t="s">
        <v>2067</v>
      </c>
      <c r="E2701" t="s">
        <v>2068</v>
      </c>
      <c r="F2701" t="s">
        <v>29</v>
      </c>
      <c r="G2701">
        <v>198.32</v>
      </c>
      <c r="H2701" t="s">
        <v>2060</v>
      </c>
      <c r="I2701" t="str">
        <f>VLOOKUP(B2701,Customers!A:G,7,FALSE)</f>
        <v>Individual</v>
      </c>
      <c r="Q2701" t="str">
        <f>IF(COUNTIF(Customers!$A$2:$A$1001,B2701)&gt;0,"Valid","Invalid")</f>
        <v>Valid</v>
      </c>
      <c r="R2701" t="str">
        <f>IF(COUNTIF(Branches!$A$2:$A$11,F2701)&gt;0,"Valid","Invalid")</f>
        <v>Valid</v>
      </c>
    </row>
    <row r="2702" spans="1:18" x14ac:dyDescent="0.25">
      <c r="A2702" t="s">
        <v>4773</v>
      </c>
      <c r="B2702" t="s">
        <v>48</v>
      </c>
      <c r="C2702" s="8">
        <v>46096</v>
      </c>
      <c r="D2702" t="s">
        <v>2065</v>
      </c>
      <c r="E2702" t="s">
        <v>2068</v>
      </c>
      <c r="F2702" t="s">
        <v>16</v>
      </c>
      <c r="G2702">
        <v>928.98</v>
      </c>
      <c r="H2702" t="s">
        <v>2060</v>
      </c>
      <c r="I2702" t="str">
        <f>VLOOKUP(B2702,Customers!A:G,7,FALSE)</f>
        <v>Individual</v>
      </c>
      <c r="Q2702" t="str">
        <f>IF(COUNTIF(Customers!$A$2:$A$1001,B2702)&gt;0,"Valid","Invalid")</f>
        <v>Valid</v>
      </c>
      <c r="R2702" t="str">
        <f>IF(COUNTIF(Branches!$A$2:$A$11,F2702)&gt;0,"Valid","Invalid")</f>
        <v>Valid</v>
      </c>
    </row>
    <row r="2703" spans="1:18" x14ac:dyDescent="0.25">
      <c r="A2703" t="s">
        <v>4774</v>
      </c>
      <c r="B2703" t="s">
        <v>408</v>
      </c>
      <c r="C2703" s="8">
        <v>46168</v>
      </c>
      <c r="D2703" t="s">
        <v>2065</v>
      </c>
      <c r="E2703" t="s">
        <v>2063</v>
      </c>
      <c r="F2703" t="s">
        <v>27</v>
      </c>
      <c r="G2703">
        <v>2067.25</v>
      </c>
      <c r="H2703" t="s">
        <v>2060</v>
      </c>
      <c r="I2703" t="str">
        <f>VLOOKUP(B2703,Customers!A:G,7,FALSE)</f>
        <v>Individual</v>
      </c>
      <c r="Q2703" t="str">
        <f>IF(COUNTIF(Customers!$A$2:$A$1001,B2703)&gt;0,"Valid","Invalid")</f>
        <v>Valid</v>
      </c>
      <c r="R2703" t="str">
        <f>IF(COUNTIF(Branches!$A$2:$A$11,F2703)&gt;0,"Valid","Invalid")</f>
        <v>Valid</v>
      </c>
    </row>
    <row r="2704" spans="1:18" x14ac:dyDescent="0.25">
      <c r="A2704" t="s">
        <v>4775</v>
      </c>
      <c r="B2704" t="s">
        <v>342</v>
      </c>
      <c r="C2704" s="8">
        <v>46129</v>
      </c>
      <c r="D2704" t="s">
        <v>2058</v>
      </c>
      <c r="E2704" t="s">
        <v>2063</v>
      </c>
      <c r="F2704" t="s">
        <v>16</v>
      </c>
      <c r="G2704">
        <v>579.44000000000005</v>
      </c>
      <c r="H2704" t="s">
        <v>2060</v>
      </c>
      <c r="I2704" t="str">
        <f>VLOOKUP(B2704,Customers!A:G,7,FALSE)</f>
        <v>Individual</v>
      </c>
      <c r="Q2704" t="str">
        <f>IF(COUNTIF(Customers!$A$2:$A$1001,B2704)&gt;0,"Valid","Invalid")</f>
        <v>Valid</v>
      </c>
      <c r="R2704" t="str">
        <f>IF(COUNTIF(Branches!$A$2:$A$11,F2704)&gt;0,"Valid","Invalid")</f>
        <v>Valid</v>
      </c>
    </row>
    <row r="2705" spans="1:18" x14ac:dyDescent="0.25">
      <c r="A2705" t="s">
        <v>4776</v>
      </c>
      <c r="B2705" t="s">
        <v>710</v>
      </c>
      <c r="C2705" s="8">
        <v>46125</v>
      </c>
      <c r="D2705" t="s">
        <v>2065</v>
      </c>
      <c r="E2705" t="s">
        <v>2063</v>
      </c>
      <c r="F2705" t="s">
        <v>21</v>
      </c>
      <c r="G2705">
        <v>4402.46</v>
      </c>
      <c r="H2705" t="s">
        <v>2060</v>
      </c>
      <c r="I2705" t="str">
        <f>VLOOKUP(B2705,Customers!A:G,7,FALSE)</f>
        <v>Individual</v>
      </c>
      <c r="Q2705" t="str">
        <f>IF(COUNTIF(Customers!$A$2:$A$1001,B2705)&gt;0,"Valid","Invalid")</f>
        <v>Valid</v>
      </c>
      <c r="R2705" t="str">
        <f>IF(COUNTIF(Branches!$A$2:$A$11,F2705)&gt;0,"Valid","Invalid")</f>
        <v>Valid</v>
      </c>
    </row>
    <row r="2706" spans="1:18" x14ac:dyDescent="0.25">
      <c r="A2706" t="s">
        <v>4777</v>
      </c>
      <c r="B2706" t="s">
        <v>242</v>
      </c>
      <c r="C2706" s="8">
        <v>46132</v>
      </c>
      <c r="D2706" t="s">
        <v>2067</v>
      </c>
      <c r="E2706" t="s">
        <v>2063</v>
      </c>
      <c r="F2706" t="s">
        <v>29</v>
      </c>
      <c r="G2706">
        <v>5529.69</v>
      </c>
      <c r="H2706" t="s">
        <v>2060</v>
      </c>
      <c r="I2706" t="str">
        <f>VLOOKUP(B2706,Customers!A:G,7,FALSE)</f>
        <v>Individual</v>
      </c>
      <c r="Q2706" t="str">
        <f>IF(COUNTIF(Customers!$A$2:$A$1001,B2706)&gt;0,"Valid","Invalid")</f>
        <v>Valid</v>
      </c>
      <c r="R2706" t="str">
        <f>IF(COUNTIF(Branches!$A$2:$A$11,F2706)&gt;0,"Valid","Invalid")</f>
        <v>Valid</v>
      </c>
    </row>
    <row r="2707" spans="1:18" x14ac:dyDescent="0.25">
      <c r="A2707" t="s">
        <v>4778</v>
      </c>
      <c r="B2707" t="s">
        <v>1019</v>
      </c>
      <c r="C2707" s="8">
        <v>46042</v>
      </c>
      <c r="D2707" t="s">
        <v>2058</v>
      </c>
      <c r="E2707" t="s">
        <v>2063</v>
      </c>
      <c r="F2707" t="s">
        <v>47</v>
      </c>
      <c r="G2707">
        <v>1029.8599999999999</v>
      </c>
      <c r="H2707" t="s">
        <v>2060</v>
      </c>
      <c r="I2707" t="str">
        <f>VLOOKUP(B2707,Customers!A:G,7,FALSE)</f>
        <v>Individual</v>
      </c>
      <c r="Q2707" t="str">
        <f>IF(COUNTIF(Customers!$A$2:$A$1001,B2707)&gt;0,"Valid","Invalid")</f>
        <v>Valid</v>
      </c>
      <c r="R2707" t="str">
        <f>IF(COUNTIF(Branches!$A$2:$A$11,F2707)&gt;0,"Valid","Invalid")</f>
        <v>Valid</v>
      </c>
    </row>
    <row r="2708" spans="1:18" x14ac:dyDescent="0.25">
      <c r="A2708" t="s">
        <v>4779</v>
      </c>
      <c r="B2708" t="s">
        <v>149</v>
      </c>
      <c r="C2708" s="8">
        <v>46232</v>
      </c>
      <c r="D2708" t="s">
        <v>2067</v>
      </c>
      <c r="E2708" t="s">
        <v>2076</v>
      </c>
      <c r="F2708" t="s">
        <v>11</v>
      </c>
      <c r="G2708">
        <v>1396.03</v>
      </c>
      <c r="H2708" t="s">
        <v>2060</v>
      </c>
      <c r="I2708" t="str">
        <f>VLOOKUP(B2708,Customers!A:G,7,FALSE)</f>
        <v>Individual</v>
      </c>
      <c r="Q2708" t="str">
        <f>IF(COUNTIF(Customers!$A$2:$A$1001,B2708)&gt;0,"Valid","Invalid")</f>
        <v>Valid</v>
      </c>
      <c r="R2708" t="str">
        <f>IF(COUNTIF(Branches!$A$2:$A$11,F2708)&gt;0,"Valid","Invalid")</f>
        <v>Valid</v>
      </c>
    </row>
    <row r="2709" spans="1:18" x14ac:dyDescent="0.25">
      <c r="A2709" t="s">
        <v>4780</v>
      </c>
      <c r="B2709" t="s">
        <v>718</v>
      </c>
      <c r="C2709" s="8">
        <v>46161</v>
      </c>
      <c r="D2709" t="s">
        <v>2065</v>
      </c>
      <c r="E2709" t="s">
        <v>2059</v>
      </c>
      <c r="F2709" t="s">
        <v>47</v>
      </c>
      <c r="G2709">
        <v>2346.5700000000002</v>
      </c>
      <c r="H2709" t="s">
        <v>2060</v>
      </c>
      <c r="I2709" t="str">
        <f>VLOOKUP(B2709,Customers!A:G,7,FALSE)</f>
        <v>SME</v>
      </c>
      <c r="Q2709" t="str">
        <f>IF(COUNTIF(Customers!$A$2:$A$1001,B2709)&gt;0,"Valid","Invalid")</f>
        <v>Valid</v>
      </c>
      <c r="R2709" t="str">
        <f>IF(COUNTIF(Branches!$A$2:$A$11,F2709)&gt;0,"Valid","Invalid")</f>
        <v>Valid</v>
      </c>
    </row>
    <row r="2710" spans="1:18" x14ac:dyDescent="0.25">
      <c r="A2710" t="s">
        <v>4781</v>
      </c>
      <c r="B2710" t="s">
        <v>903</v>
      </c>
      <c r="C2710" s="8">
        <v>46108</v>
      </c>
      <c r="D2710" t="s">
        <v>2070</v>
      </c>
      <c r="E2710" t="s">
        <v>2068</v>
      </c>
      <c r="F2710" t="s">
        <v>53</v>
      </c>
      <c r="G2710">
        <v>1400.28</v>
      </c>
      <c r="H2710" t="s">
        <v>2060</v>
      </c>
      <c r="I2710" t="str">
        <f>VLOOKUP(B2710,Customers!A:G,7,FALSE)</f>
        <v>Student</v>
      </c>
      <c r="Q2710" t="str">
        <f>IF(COUNTIF(Customers!$A$2:$A$1001,B2710)&gt;0,"Valid","Invalid")</f>
        <v>Valid</v>
      </c>
      <c r="R2710" t="str">
        <f>IF(COUNTIF(Branches!$A$2:$A$11,F2710)&gt;0,"Valid","Invalid")</f>
        <v>Valid</v>
      </c>
    </row>
    <row r="2711" spans="1:18" x14ac:dyDescent="0.25">
      <c r="A2711" t="s">
        <v>4782</v>
      </c>
      <c r="B2711" t="s">
        <v>291</v>
      </c>
      <c r="C2711" s="8">
        <v>46066</v>
      </c>
      <c r="D2711" t="s">
        <v>2067</v>
      </c>
      <c r="E2711" t="s">
        <v>2063</v>
      </c>
      <c r="F2711" t="s">
        <v>27</v>
      </c>
      <c r="G2711">
        <v>1257.96</v>
      </c>
      <c r="H2711" t="s">
        <v>2060</v>
      </c>
      <c r="I2711" t="str">
        <f>VLOOKUP(B2711,Customers!A:G,7,FALSE)</f>
        <v>Individual</v>
      </c>
      <c r="Q2711" t="str">
        <f>IF(COUNTIF(Customers!$A$2:$A$1001,B2711)&gt;0,"Valid","Invalid")</f>
        <v>Valid</v>
      </c>
      <c r="R2711" t="str">
        <f>IF(COUNTIF(Branches!$A$2:$A$11,F2711)&gt;0,"Valid","Invalid")</f>
        <v>Valid</v>
      </c>
    </row>
    <row r="2712" spans="1:18" x14ac:dyDescent="0.25">
      <c r="A2712" t="s">
        <v>4783</v>
      </c>
      <c r="B2712" t="s">
        <v>479</v>
      </c>
      <c r="C2712" s="8">
        <v>46104</v>
      </c>
      <c r="D2712" t="s">
        <v>2062</v>
      </c>
      <c r="E2712" t="s">
        <v>2059</v>
      </c>
      <c r="F2712" t="s">
        <v>53</v>
      </c>
      <c r="G2712">
        <v>481.03</v>
      </c>
      <c r="H2712" t="s">
        <v>2060</v>
      </c>
      <c r="I2712" t="str">
        <f>VLOOKUP(B2712,Customers!A:G,7,FALSE)</f>
        <v>Individual</v>
      </c>
      <c r="Q2712" t="str">
        <f>IF(COUNTIF(Customers!$A$2:$A$1001,B2712)&gt;0,"Valid","Invalid")</f>
        <v>Valid</v>
      </c>
      <c r="R2712" t="str">
        <f>IF(COUNTIF(Branches!$A$2:$A$11,F2712)&gt;0,"Valid","Invalid")</f>
        <v>Valid</v>
      </c>
    </row>
    <row r="2713" spans="1:18" x14ac:dyDescent="0.25">
      <c r="A2713" t="s">
        <v>4784</v>
      </c>
      <c r="B2713" t="s">
        <v>223</v>
      </c>
      <c r="C2713" s="8">
        <v>46086</v>
      </c>
      <c r="D2713" t="s">
        <v>2067</v>
      </c>
      <c r="E2713" t="s">
        <v>2076</v>
      </c>
      <c r="F2713" t="s">
        <v>29</v>
      </c>
      <c r="G2713">
        <v>150.30000000000001</v>
      </c>
      <c r="H2713" t="s">
        <v>2060</v>
      </c>
      <c r="I2713" t="str">
        <f>VLOOKUP(B2713,Customers!A:G,7,FALSE)</f>
        <v>Student</v>
      </c>
      <c r="Q2713" t="str">
        <f>IF(COUNTIF(Customers!$A$2:$A$1001,B2713)&gt;0,"Valid","Invalid")</f>
        <v>Valid</v>
      </c>
      <c r="R2713" t="str">
        <f>IF(COUNTIF(Branches!$A$2:$A$11,F2713)&gt;0,"Valid","Invalid")</f>
        <v>Valid</v>
      </c>
    </row>
    <row r="2714" spans="1:18" x14ac:dyDescent="0.25">
      <c r="A2714" t="s">
        <v>4785</v>
      </c>
      <c r="B2714" t="s">
        <v>897</v>
      </c>
      <c r="C2714" s="8">
        <v>46144</v>
      </c>
      <c r="D2714" t="s">
        <v>2067</v>
      </c>
      <c r="E2714" t="s">
        <v>2068</v>
      </c>
      <c r="F2714" t="s">
        <v>16</v>
      </c>
      <c r="G2714">
        <v>202.33</v>
      </c>
      <c r="H2714" t="s">
        <v>2060</v>
      </c>
      <c r="I2714" t="str">
        <f>VLOOKUP(B2714,Customers!A:G,7,FALSE)</f>
        <v>Individual</v>
      </c>
      <c r="Q2714" t="str">
        <f>IF(COUNTIF(Customers!$A$2:$A$1001,B2714)&gt;0,"Valid","Invalid")</f>
        <v>Valid</v>
      </c>
      <c r="R2714" t="str">
        <f>IF(COUNTIF(Branches!$A$2:$A$11,F2714)&gt;0,"Valid","Invalid")</f>
        <v>Valid</v>
      </c>
    </row>
    <row r="2715" spans="1:18" x14ac:dyDescent="0.25">
      <c r="A2715" t="s">
        <v>4786</v>
      </c>
      <c r="B2715" t="s">
        <v>264</v>
      </c>
      <c r="C2715" s="8">
        <v>46184</v>
      </c>
      <c r="D2715" t="s">
        <v>2067</v>
      </c>
      <c r="E2715" t="s">
        <v>2059</v>
      </c>
      <c r="F2715" t="s">
        <v>53</v>
      </c>
      <c r="G2715">
        <v>8798.77</v>
      </c>
      <c r="H2715" t="s">
        <v>2060</v>
      </c>
      <c r="I2715" t="str">
        <f>VLOOKUP(B2715,Customers!A:G,7,FALSE)</f>
        <v>Individual</v>
      </c>
      <c r="Q2715" t="str">
        <f>IF(COUNTIF(Customers!$A$2:$A$1001,B2715)&gt;0,"Valid","Invalid")</f>
        <v>Valid</v>
      </c>
      <c r="R2715" t="str">
        <f>IF(COUNTIF(Branches!$A$2:$A$11,F2715)&gt;0,"Valid","Invalid")</f>
        <v>Valid</v>
      </c>
    </row>
    <row r="2716" spans="1:18" x14ac:dyDescent="0.25">
      <c r="A2716" t="s">
        <v>4787</v>
      </c>
      <c r="B2716" t="s">
        <v>566</v>
      </c>
      <c r="C2716" s="8">
        <v>46109</v>
      </c>
      <c r="D2716" t="s">
        <v>2067</v>
      </c>
      <c r="E2716" t="s">
        <v>2059</v>
      </c>
      <c r="F2716" t="s">
        <v>35</v>
      </c>
      <c r="G2716">
        <v>1121.54</v>
      </c>
      <c r="H2716" t="s">
        <v>2060</v>
      </c>
      <c r="I2716" t="str">
        <f>VLOOKUP(B2716,Customers!A:G,7,FALSE)</f>
        <v>Individual</v>
      </c>
      <c r="Q2716" t="str">
        <f>IF(COUNTIF(Customers!$A$2:$A$1001,B2716)&gt;0,"Valid","Invalid")</f>
        <v>Valid</v>
      </c>
      <c r="R2716" t="str">
        <f>IF(COUNTIF(Branches!$A$2:$A$11,F2716)&gt;0,"Valid","Invalid")</f>
        <v>Valid</v>
      </c>
    </row>
    <row r="2717" spans="1:18" x14ac:dyDescent="0.25">
      <c r="A2717" t="s">
        <v>4788</v>
      </c>
      <c r="B2717" t="s">
        <v>706</v>
      </c>
      <c r="C2717" s="8">
        <v>46087</v>
      </c>
      <c r="D2717" t="s">
        <v>2065</v>
      </c>
      <c r="E2717" t="s">
        <v>2068</v>
      </c>
      <c r="F2717" t="s">
        <v>29</v>
      </c>
      <c r="G2717">
        <v>635.44000000000005</v>
      </c>
      <c r="H2717" t="s">
        <v>2060</v>
      </c>
      <c r="I2717" t="str">
        <f>VLOOKUP(B2717,Customers!A:G,7,FALSE)</f>
        <v>SME</v>
      </c>
      <c r="Q2717" t="str">
        <f>IF(COUNTIF(Customers!$A$2:$A$1001,B2717)&gt;0,"Valid","Invalid")</f>
        <v>Valid</v>
      </c>
      <c r="R2717" t="str">
        <f>IF(COUNTIF(Branches!$A$2:$A$11,F2717)&gt;0,"Valid","Invalid")</f>
        <v>Valid</v>
      </c>
    </row>
    <row r="2718" spans="1:18" x14ac:dyDescent="0.25">
      <c r="A2718" t="s">
        <v>4789</v>
      </c>
      <c r="B2718" t="s">
        <v>392</v>
      </c>
      <c r="C2718" s="8">
        <v>46077</v>
      </c>
      <c r="D2718" t="s">
        <v>2067</v>
      </c>
      <c r="E2718" t="s">
        <v>2063</v>
      </c>
      <c r="F2718" t="s">
        <v>45</v>
      </c>
      <c r="G2718">
        <v>2873.62</v>
      </c>
      <c r="H2718" t="s">
        <v>2060</v>
      </c>
      <c r="I2718" t="str">
        <f>VLOOKUP(B2718,Customers!A:G,7,FALSE)</f>
        <v>SME</v>
      </c>
      <c r="Q2718" t="str">
        <f>IF(COUNTIF(Customers!$A$2:$A$1001,B2718)&gt;0,"Valid","Invalid")</f>
        <v>Valid</v>
      </c>
      <c r="R2718" t="str">
        <f>IF(COUNTIF(Branches!$A$2:$A$11,F2718)&gt;0,"Valid","Invalid")</f>
        <v>Valid</v>
      </c>
    </row>
    <row r="2719" spans="1:18" x14ac:dyDescent="0.25">
      <c r="A2719" t="s">
        <v>4790</v>
      </c>
      <c r="B2719" t="s">
        <v>661</v>
      </c>
      <c r="C2719" s="8">
        <v>46096</v>
      </c>
      <c r="D2719" t="s">
        <v>2062</v>
      </c>
      <c r="E2719" t="s">
        <v>2063</v>
      </c>
      <c r="F2719" t="s">
        <v>47</v>
      </c>
      <c r="G2719">
        <v>383.96</v>
      </c>
      <c r="H2719" t="s">
        <v>2060</v>
      </c>
      <c r="I2719" t="str">
        <f>VLOOKUP(B2719,Customers!A:G,7,FALSE)</f>
        <v>SME</v>
      </c>
      <c r="Q2719" t="str">
        <f>IF(COUNTIF(Customers!$A$2:$A$1001,B2719)&gt;0,"Valid","Invalid")</f>
        <v>Valid</v>
      </c>
      <c r="R2719" t="str">
        <f>IF(COUNTIF(Branches!$A$2:$A$11,F2719)&gt;0,"Valid","Invalid")</f>
        <v>Valid</v>
      </c>
    </row>
    <row r="2720" spans="1:18" x14ac:dyDescent="0.25">
      <c r="A2720" t="s">
        <v>4791</v>
      </c>
      <c r="B2720" t="s">
        <v>8</v>
      </c>
      <c r="C2720" s="8">
        <v>46139</v>
      </c>
      <c r="D2720" t="s">
        <v>2058</v>
      </c>
      <c r="E2720" t="s">
        <v>2059</v>
      </c>
      <c r="F2720" t="s">
        <v>39</v>
      </c>
      <c r="G2720">
        <v>1455.51</v>
      </c>
      <c r="H2720" t="s">
        <v>2060</v>
      </c>
      <c r="I2720" t="str">
        <f>VLOOKUP(B2720,Customers!A:G,7,FALSE)</f>
        <v>Individual</v>
      </c>
      <c r="Q2720" t="str">
        <f>IF(COUNTIF(Customers!$A$2:$A$1001,B2720)&gt;0,"Valid","Invalid")</f>
        <v>Valid</v>
      </c>
      <c r="R2720" t="str">
        <f>IF(COUNTIF(Branches!$A$2:$A$11,F2720)&gt;0,"Valid","Invalid")</f>
        <v>Valid</v>
      </c>
    </row>
    <row r="2721" spans="1:18" x14ac:dyDescent="0.25">
      <c r="A2721" t="s">
        <v>4792</v>
      </c>
      <c r="B2721" t="s">
        <v>591</v>
      </c>
      <c r="C2721" s="8">
        <v>46151</v>
      </c>
      <c r="D2721" t="s">
        <v>2065</v>
      </c>
      <c r="E2721" t="s">
        <v>2068</v>
      </c>
      <c r="F2721" t="s">
        <v>39</v>
      </c>
      <c r="G2721">
        <v>877.6</v>
      </c>
      <c r="H2721" t="s">
        <v>2060</v>
      </c>
      <c r="I2721" t="str">
        <f>VLOOKUP(B2721,Customers!A:G,7,FALSE)</f>
        <v>Individual</v>
      </c>
      <c r="Q2721" t="str">
        <f>IF(COUNTIF(Customers!$A$2:$A$1001,B2721)&gt;0,"Valid","Invalid")</f>
        <v>Valid</v>
      </c>
      <c r="R2721" t="str">
        <f>IF(COUNTIF(Branches!$A$2:$A$11,F2721)&gt;0,"Valid","Invalid")</f>
        <v>Valid</v>
      </c>
    </row>
    <row r="2722" spans="1:18" x14ac:dyDescent="0.25">
      <c r="A2722" t="s">
        <v>4793</v>
      </c>
      <c r="B2722" t="s">
        <v>598</v>
      </c>
      <c r="C2722" s="8">
        <v>46188</v>
      </c>
      <c r="D2722" t="s">
        <v>2058</v>
      </c>
      <c r="E2722" t="s">
        <v>2063</v>
      </c>
      <c r="F2722" t="s">
        <v>35</v>
      </c>
      <c r="G2722">
        <v>1286.95</v>
      </c>
      <c r="H2722" t="s">
        <v>2060</v>
      </c>
      <c r="I2722" t="str">
        <f>VLOOKUP(B2722,Customers!A:G,7,FALSE)</f>
        <v>Individual</v>
      </c>
      <c r="Q2722" t="str">
        <f>IF(COUNTIF(Customers!$A$2:$A$1001,B2722)&gt;0,"Valid","Invalid")</f>
        <v>Valid</v>
      </c>
      <c r="R2722" t="str">
        <f>IF(COUNTIF(Branches!$A$2:$A$11,F2722)&gt;0,"Valid","Invalid")</f>
        <v>Valid</v>
      </c>
    </row>
    <row r="2723" spans="1:18" x14ac:dyDescent="0.25">
      <c r="A2723" t="s">
        <v>4794</v>
      </c>
      <c r="B2723" t="s">
        <v>965</v>
      </c>
      <c r="C2723" s="8">
        <v>46253</v>
      </c>
      <c r="D2723" t="s">
        <v>2062</v>
      </c>
      <c r="E2723" t="s">
        <v>2059</v>
      </c>
      <c r="F2723" t="s">
        <v>11</v>
      </c>
      <c r="G2723">
        <v>580.33000000000004</v>
      </c>
      <c r="H2723" t="s">
        <v>2060</v>
      </c>
      <c r="I2723" t="str">
        <f>VLOOKUP(B2723,Customers!A:G,7,FALSE)</f>
        <v>SME</v>
      </c>
      <c r="Q2723" t="str">
        <f>IF(COUNTIF(Customers!$A$2:$A$1001,B2723)&gt;0,"Valid","Invalid")</f>
        <v>Valid</v>
      </c>
      <c r="R2723" t="str">
        <f>IF(COUNTIF(Branches!$A$2:$A$11,F2723)&gt;0,"Valid","Invalid")</f>
        <v>Valid</v>
      </c>
    </row>
    <row r="2724" spans="1:18" x14ac:dyDescent="0.25">
      <c r="A2724" t="s">
        <v>4795</v>
      </c>
      <c r="B2724" t="s">
        <v>458</v>
      </c>
      <c r="C2724" s="8">
        <v>46263</v>
      </c>
      <c r="D2724" t="s">
        <v>2062</v>
      </c>
      <c r="E2724" t="s">
        <v>2076</v>
      </c>
      <c r="F2724" t="s">
        <v>29</v>
      </c>
      <c r="G2724">
        <v>309.61</v>
      </c>
      <c r="H2724" t="s">
        <v>2060</v>
      </c>
      <c r="I2724" t="str">
        <f>VLOOKUP(B2724,Customers!A:G,7,FALSE)</f>
        <v>Individual</v>
      </c>
      <c r="Q2724" t="str">
        <f>IF(COUNTIF(Customers!$A$2:$A$1001,B2724)&gt;0,"Valid","Invalid")</f>
        <v>Valid</v>
      </c>
      <c r="R2724" t="str">
        <f>IF(COUNTIF(Branches!$A$2:$A$11,F2724)&gt;0,"Valid","Invalid")</f>
        <v>Valid</v>
      </c>
    </row>
    <row r="2725" spans="1:18" x14ac:dyDescent="0.25">
      <c r="A2725" t="s">
        <v>4796</v>
      </c>
      <c r="B2725" t="s">
        <v>658</v>
      </c>
      <c r="C2725" s="8">
        <v>46159</v>
      </c>
      <c r="D2725" t="s">
        <v>2065</v>
      </c>
      <c r="E2725" t="s">
        <v>2073</v>
      </c>
      <c r="F2725" t="s">
        <v>35</v>
      </c>
      <c r="G2725">
        <v>356.78</v>
      </c>
      <c r="H2725" t="s">
        <v>2060</v>
      </c>
      <c r="I2725" t="str">
        <f>VLOOKUP(B2725,Customers!A:G,7,FALSE)</f>
        <v>Student</v>
      </c>
      <c r="Q2725" t="str">
        <f>IF(COUNTIF(Customers!$A$2:$A$1001,B2725)&gt;0,"Valid","Invalid")</f>
        <v>Valid</v>
      </c>
      <c r="R2725" t="str">
        <f>IF(COUNTIF(Branches!$A$2:$A$11,F2725)&gt;0,"Valid","Invalid")</f>
        <v>Valid</v>
      </c>
    </row>
    <row r="2726" spans="1:18" x14ac:dyDescent="0.25">
      <c r="A2726" t="s">
        <v>4797</v>
      </c>
      <c r="B2726" t="s">
        <v>197</v>
      </c>
      <c r="C2726" s="8">
        <v>46117</v>
      </c>
      <c r="D2726" t="s">
        <v>2062</v>
      </c>
      <c r="E2726" t="s">
        <v>2063</v>
      </c>
      <c r="F2726" t="s">
        <v>11</v>
      </c>
      <c r="G2726">
        <v>370.97</v>
      </c>
      <c r="H2726" t="s">
        <v>2060</v>
      </c>
      <c r="I2726" t="str">
        <f>VLOOKUP(B2726,Customers!A:G,7,FALSE)</f>
        <v>Individual</v>
      </c>
      <c r="Q2726" t="str">
        <f>IF(COUNTIF(Customers!$A$2:$A$1001,B2726)&gt;0,"Valid","Invalid")</f>
        <v>Valid</v>
      </c>
      <c r="R2726" t="str">
        <f>IF(COUNTIF(Branches!$A$2:$A$11,F2726)&gt;0,"Valid","Invalid")</f>
        <v>Valid</v>
      </c>
    </row>
    <row r="2727" spans="1:18" x14ac:dyDescent="0.25">
      <c r="A2727" t="s">
        <v>4798</v>
      </c>
      <c r="B2727" t="s">
        <v>197</v>
      </c>
      <c r="C2727" s="8">
        <v>46221</v>
      </c>
      <c r="D2727" t="s">
        <v>2067</v>
      </c>
      <c r="E2727" t="s">
        <v>2063</v>
      </c>
      <c r="F2727" t="s">
        <v>47</v>
      </c>
      <c r="G2727">
        <v>810</v>
      </c>
      <c r="H2727" t="s">
        <v>2060</v>
      </c>
      <c r="I2727" t="str">
        <f>VLOOKUP(B2727,Customers!A:G,7,FALSE)</f>
        <v>Individual</v>
      </c>
      <c r="Q2727" t="str">
        <f>IF(COUNTIF(Customers!$A$2:$A$1001,B2727)&gt;0,"Valid","Invalid")</f>
        <v>Valid</v>
      </c>
      <c r="R2727" t="str">
        <f>IF(COUNTIF(Branches!$A$2:$A$11,F2727)&gt;0,"Valid","Invalid")</f>
        <v>Valid</v>
      </c>
    </row>
    <row r="2728" spans="1:18" x14ac:dyDescent="0.25">
      <c r="A2728" t="s">
        <v>4799</v>
      </c>
      <c r="B2728" t="s">
        <v>909</v>
      </c>
      <c r="C2728" s="8">
        <v>46167</v>
      </c>
      <c r="D2728" t="s">
        <v>2067</v>
      </c>
      <c r="E2728" t="s">
        <v>2059</v>
      </c>
      <c r="F2728" t="s">
        <v>53</v>
      </c>
      <c r="G2728">
        <v>171.38</v>
      </c>
      <c r="H2728" t="s">
        <v>2060</v>
      </c>
      <c r="I2728" t="str">
        <f>VLOOKUP(B2728,Customers!A:G,7,FALSE)</f>
        <v>Individual</v>
      </c>
      <c r="Q2728" t="str">
        <f>IF(COUNTIF(Customers!$A$2:$A$1001,B2728)&gt;0,"Valid","Invalid")</f>
        <v>Valid</v>
      </c>
      <c r="R2728" t="str">
        <f>IF(COUNTIF(Branches!$A$2:$A$11,F2728)&gt;0,"Valid","Invalid")</f>
        <v>Valid</v>
      </c>
    </row>
    <row r="2729" spans="1:18" x14ac:dyDescent="0.25">
      <c r="A2729" t="s">
        <v>4800</v>
      </c>
      <c r="B2729" t="s">
        <v>164</v>
      </c>
      <c r="C2729" s="8">
        <v>46121</v>
      </c>
      <c r="D2729" t="s">
        <v>2058</v>
      </c>
      <c r="E2729" t="s">
        <v>2059</v>
      </c>
      <c r="F2729" t="s">
        <v>29</v>
      </c>
      <c r="G2729">
        <v>233.36</v>
      </c>
      <c r="H2729" t="s">
        <v>2060</v>
      </c>
      <c r="I2729" t="str">
        <f>VLOOKUP(B2729,Customers!A:G,7,FALSE)</f>
        <v>Individual</v>
      </c>
      <c r="Q2729" t="str">
        <f>IF(COUNTIF(Customers!$A$2:$A$1001,B2729)&gt;0,"Valid","Invalid")</f>
        <v>Valid</v>
      </c>
      <c r="R2729" t="str">
        <f>IF(COUNTIF(Branches!$A$2:$A$11,F2729)&gt;0,"Valid","Invalid")</f>
        <v>Valid</v>
      </c>
    </row>
    <row r="2730" spans="1:18" x14ac:dyDescent="0.25">
      <c r="A2730" t="s">
        <v>4801</v>
      </c>
      <c r="B2730" t="s">
        <v>760</v>
      </c>
      <c r="C2730" s="8">
        <v>46134</v>
      </c>
      <c r="D2730" t="s">
        <v>2062</v>
      </c>
      <c r="E2730" t="s">
        <v>2076</v>
      </c>
      <c r="F2730" t="s">
        <v>11</v>
      </c>
      <c r="G2730">
        <v>930.32</v>
      </c>
      <c r="H2730" t="s">
        <v>2060</v>
      </c>
      <c r="I2730" t="str">
        <f>VLOOKUP(B2730,Customers!A:G,7,FALSE)</f>
        <v>Individual</v>
      </c>
      <c r="Q2730" t="str">
        <f>IF(COUNTIF(Customers!$A$2:$A$1001,B2730)&gt;0,"Valid","Invalid")</f>
        <v>Valid</v>
      </c>
      <c r="R2730" t="str">
        <f>IF(COUNTIF(Branches!$A$2:$A$11,F2730)&gt;0,"Valid","Invalid")</f>
        <v>Valid</v>
      </c>
    </row>
    <row r="2731" spans="1:18" x14ac:dyDescent="0.25">
      <c r="A2731" t="s">
        <v>4802</v>
      </c>
      <c r="B2731" t="s">
        <v>187</v>
      </c>
      <c r="C2731" s="8">
        <v>46251</v>
      </c>
      <c r="D2731" t="s">
        <v>2070</v>
      </c>
      <c r="E2731" t="s">
        <v>2076</v>
      </c>
      <c r="F2731" t="s">
        <v>11</v>
      </c>
      <c r="G2731">
        <v>715.03</v>
      </c>
      <c r="H2731" t="s">
        <v>2060</v>
      </c>
      <c r="I2731" t="str">
        <f>VLOOKUP(B2731,Customers!A:G,7,FALSE)</f>
        <v>Corporate</v>
      </c>
      <c r="Q2731" t="str">
        <f>IF(COUNTIF(Customers!$A$2:$A$1001,B2731)&gt;0,"Valid","Invalid")</f>
        <v>Valid</v>
      </c>
      <c r="R2731" t="str">
        <f>IF(COUNTIF(Branches!$A$2:$A$11,F2731)&gt;0,"Valid","Invalid")</f>
        <v>Valid</v>
      </c>
    </row>
    <row r="2732" spans="1:18" x14ac:dyDescent="0.25">
      <c r="A2732" t="s">
        <v>4803</v>
      </c>
      <c r="B2732" t="s">
        <v>482</v>
      </c>
      <c r="C2732" s="8">
        <v>46074</v>
      </c>
      <c r="D2732" t="s">
        <v>2070</v>
      </c>
      <c r="E2732" t="s">
        <v>2068</v>
      </c>
      <c r="F2732" t="s">
        <v>47</v>
      </c>
      <c r="G2732">
        <v>982.63</v>
      </c>
      <c r="H2732" t="s">
        <v>2060</v>
      </c>
      <c r="I2732" t="str">
        <f>VLOOKUP(B2732,Customers!A:G,7,FALSE)</f>
        <v>Individual</v>
      </c>
      <c r="Q2732" t="str">
        <f>IF(COUNTIF(Customers!$A$2:$A$1001,B2732)&gt;0,"Valid","Invalid")</f>
        <v>Valid</v>
      </c>
      <c r="R2732" t="str">
        <f>IF(COUNTIF(Branches!$A$2:$A$11,F2732)&gt;0,"Valid","Invalid")</f>
        <v>Valid</v>
      </c>
    </row>
    <row r="2733" spans="1:18" x14ac:dyDescent="0.25">
      <c r="A2733" t="s">
        <v>4804</v>
      </c>
      <c r="B2733" t="s">
        <v>805</v>
      </c>
      <c r="C2733" s="8">
        <v>46168</v>
      </c>
      <c r="D2733" t="s">
        <v>2065</v>
      </c>
      <c r="E2733" t="s">
        <v>2068</v>
      </c>
      <c r="F2733" t="s">
        <v>53</v>
      </c>
      <c r="G2733">
        <v>776.62</v>
      </c>
      <c r="H2733" t="s">
        <v>2060</v>
      </c>
      <c r="I2733" t="str">
        <f>VLOOKUP(B2733,Customers!A:G,7,FALSE)</f>
        <v>Individual</v>
      </c>
      <c r="Q2733" t="str">
        <f>IF(COUNTIF(Customers!$A$2:$A$1001,B2733)&gt;0,"Valid","Invalid")</f>
        <v>Valid</v>
      </c>
      <c r="R2733" t="str">
        <f>IF(COUNTIF(Branches!$A$2:$A$11,F2733)&gt;0,"Valid","Invalid")</f>
        <v>Valid</v>
      </c>
    </row>
    <row r="2734" spans="1:18" x14ac:dyDescent="0.25">
      <c r="A2734" t="s">
        <v>4805</v>
      </c>
      <c r="B2734" t="s">
        <v>509</v>
      </c>
      <c r="C2734" s="8">
        <v>46213</v>
      </c>
      <c r="D2734" t="s">
        <v>2070</v>
      </c>
      <c r="E2734" t="s">
        <v>2073</v>
      </c>
      <c r="F2734" t="s">
        <v>11</v>
      </c>
      <c r="G2734">
        <v>10086.469999999999</v>
      </c>
      <c r="H2734" t="s">
        <v>2060</v>
      </c>
      <c r="I2734" t="str">
        <f>VLOOKUP(B2734,Customers!A:G,7,FALSE)</f>
        <v>Student</v>
      </c>
      <c r="Q2734" t="str">
        <f>IF(COUNTIF(Customers!$A$2:$A$1001,B2734)&gt;0,"Valid","Invalid")</f>
        <v>Valid</v>
      </c>
      <c r="R2734" t="str">
        <f>IF(COUNTIF(Branches!$A$2:$A$11,F2734)&gt;0,"Valid","Invalid")</f>
        <v>Valid</v>
      </c>
    </row>
    <row r="2735" spans="1:18" x14ac:dyDescent="0.25">
      <c r="A2735" t="s">
        <v>4806</v>
      </c>
      <c r="B2735" t="s">
        <v>501</v>
      </c>
      <c r="C2735" s="8">
        <v>46055</v>
      </c>
      <c r="D2735" t="s">
        <v>2065</v>
      </c>
      <c r="E2735" t="s">
        <v>2059</v>
      </c>
      <c r="F2735" t="s">
        <v>21</v>
      </c>
      <c r="G2735">
        <v>922.18</v>
      </c>
      <c r="H2735" t="s">
        <v>2060</v>
      </c>
      <c r="I2735" t="str">
        <f>VLOOKUP(B2735,Customers!A:G,7,FALSE)</f>
        <v>Individual</v>
      </c>
      <c r="Q2735" t="str">
        <f>IF(COUNTIF(Customers!$A$2:$A$1001,B2735)&gt;0,"Valid","Invalid")</f>
        <v>Valid</v>
      </c>
      <c r="R2735" t="str">
        <f>IF(COUNTIF(Branches!$A$2:$A$11,F2735)&gt;0,"Valid","Invalid")</f>
        <v>Valid</v>
      </c>
    </row>
    <row r="2736" spans="1:18" x14ac:dyDescent="0.25">
      <c r="A2736" t="s">
        <v>4807</v>
      </c>
      <c r="B2736" t="s">
        <v>768</v>
      </c>
      <c r="C2736" s="8">
        <v>46026</v>
      </c>
      <c r="D2736" t="s">
        <v>2065</v>
      </c>
      <c r="E2736" t="s">
        <v>2073</v>
      </c>
      <c r="F2736" t="s">
        <v>35</v>
      </c>
      <c r="G2736">
        <v>556.08000000000004</v>
      </c>
      <c r="H2736" t="s">
        <v>2060</v>
      </c>
      <c r="I2736" t="str">
        <f>VLOOKUP(B2736,Customers!A:G,7,FALSE)</f>
        <v>Individual</v>
      </c>
      <c r="Q2736" t="str">
        <f>IF(COUNTIF(Customers!$A$2:$A$1001,B2736)&gt;0,"Valid","Invalid")</f>
        <v>Valid</v>
      </c>
      <c r="R2736" t="str">
        <f>IF(COUNTIF(Branches!$A$2:$A$11,F2736)&gt;0,"Valid","Invalid")</f>
        <v>Valid</v>
      </c>
    </row>
    <row r="2737" spans="1:18" x14ac:dyDescent="0.25">
      <c r="A2737" t="s">
        <v>4808</v>
      </c>
      <c r="B2737" t="s">
        <v>64</v>
      </c>
      <c r="C2737" s="8">
        <v>46109</v>
      </c>
      <c r="D2737" t="s">
        <v>2058</v>
      </c>
      <c r="E2737" t="s">
        <v>2063</v>
      </c>
      <c r="F2737" t="s">
        <v>29</v>
      </c>
      <c r="G2737">
        <v>898.86</v>
      </c>
      <c r="H2737" t="s">
        <v>2060</v>
      </c>
      <c r="I2737" t="str">
        <f>VLOOKUP(B2737,Customers!A:G,7,FALSE)</f>
        <v>SME</v>
      </c>
      <c r="Q2737" t="str">
        <f>IF(COUNTIF(Customers!$A$2:$A$1001,B2737)&gt;0,"Valid","Invalid")</f>
        <v>Valid</v>
      </c>
      <c r="R2737" t="str">
        <f>IF(COUNTIF(Branches!$A$2:$A$11,F2737)&gt;0,"Valid","Invalid")</f>
        <v>Valid</v>
      </c>
    </row>
    <row r="2738" spans="1:18" x14ac:dyDescent="0.25">
      <c r="A2738" t="s">
        <v>4809</v>
      </c>
      <c r="B2738" t="s">
        <v>511</v>
      </c>
      <c r="C2738" s="8">
        <v>46097</v>
      </c>
      <c r="D2738" t="s">
        <v>2067</v>
      </c>
      <c r="E2738" t="s">
        <v>2076</v>
      </c>
      <c r="F2738" t="s">
        <v>45</v>
      </c>
      <c r="G2738">
        <v>2252.86</v>
      </c>
      <c r="H2738" t="s">
        <v>2060</v>
      </c>
      <c r="I2738" t="str">
        <f>VLOOKUP(B2738,Customers!A:G,7,FALSE)</f>
        <v>SME</v>
      </c>
      <c r="Q2738" t="str">
        <f>IF(COUNTIF(Customers!$A$2:$A$1001,B2738)&gt;0,"Valid","Invalid")</f>
        <v>Valid</v>
      </c>
      <c r="R2738" t="str">
        <f>IF(COUNTIF(Branches!$A$2:$A$11,F2738)&gt;0,"Valid","Invalid")</f>
        <v>Valid</v>
      </c>
    </row>
    <row r="2739" spans="1:18" x14ac:dyDescent="0.25">
      <c r="A2739" t="s">
        <v>4810</v>
      </c>
      <c r="B2739" t="s">
        <v>595</v>
      </c>
      <c r="C2739" s="8">
        <v>46202</v>
      </c>
      <c r="D2739" t="s">
        <v>2058</v>
      </c>
      <c r="E2739" t="s">
        <v>2059</v>
      </c>
      <c r="F2739" t="s">
        <v>16</v>
      </c>
      <c r="G2739">
        <v>773.07</v>
      </c>
      <c r="H2739" t="s">
        <v>2060</v>
      </c>
      <c r="I2739" t="str">
        <f>VLOOKUP(B2739,Customers!A:G,7,FALSE)</f>
        <v>Individual</v>
      </c>
      <c r="Q2739" t="str">
        <f>IF(COUNTIF(Customers!$A$2:$A$1001,B2739)&gt;0,"Valid","Invalid")</f>
        <v>Valid</v>
      </c>
      <c r="R2739" t="str">
        <f>IF(COUNTIF(Branches!$A$2:$A$11,F2739)&gt;0,"Valid","Invalid")</f>
        <v>Valid</v>
      </c>
    </row>
    <row r="2740" spans="1:18" x14ac:dyDescent="0.25">
      <c r="A2740" t="s">
        <v>4811</v>
      </c>
      <c r="B2740" t="s">
        <v>116</v>
      </c>
      <c r="C2740" s="8">
        <v>46031</v>
      </c>
      <c r="D2740" t="s">
        <v>2067</v>
      </c>
      <c r="E2740" t="s">
        <v>2068</v>
      </c>
      <c r="F2740" t="s">
        <v>39</v>
      </c>
      <c r="G2740">
        <v>1611.19</v>
      </c>
      <c r="H2740" t="s">
        <v>2060</v>
      </c>
      <c r="I2740" t="str">
        <f>VLOOKUP(B2740,Customers!A:G,7,FALSE)</f>
        <v>Individual</v>
      </c>
      <c r="Q2740" t="str">
        <f>IF(COUNTIF(Customers!$A$2:$A$1001,B2740)&gt;0,"Valid","Invalid")</f>
        <v>Valid</v>
      </c>
      <c r="R2740" t="str">
        <f>IF(COUNTIF(Branches!$A$2:$A$11,F2740)&gt;0,"Valid","Invalid")</f>
        <v>Valid</v>
      </c>
    </row>
    <row r="2741" spans="1:18" x14ac:dyDescent="0.25">
      <c r="A2741" t="s">
        <v>4812</v>
      </c>
      <c r="B2741" t="s">
        <v>73</v>
      </c>
      <c r="C2741" s="8">
        <v>46086</v>
      </c>
      <c r="D2741" t="s">
        <v>2070</v>
      </c>
      <c r="E2741" t="s">
        <v>2059</v>
      </c>
      <c r="F2741" t="s">
        <v>16</v>
      </c>
      <c r="G2741">
        <v>1207.18</v>
      </c>
      <c r="H2741" t="s">
        <v>2060</v>
      </c>
      <c r="I2741" t="str">
        <f>VLOOKUP(B2741,Customers!A:G,7,FALSE)</f>
        <v>Individual</v>
      </c>
      <c r="Q2741" t="str">
        <f>IF(COUNTIF(Customers!$A$2:$A$1001,B2741)&gt;0,"Valid","Invalid")</f>
        <v>Valid</v>
      </c>
      <c r="R2741" t="str">
        <f>IF(COUNTIF(Branches!$A$2:$A$11,F2741)&gt;0,"Valid","Invalid")</f>
        <v>Valid</v>
      </c>
    </row>
    <row r="2742" spans="1:18" x14ac:dyDescent="0.25">
      <c r="A2742" t="s">
        <v>4813</v>
      </c>
      <c r="B2742" t="s">
        <v>278</v>
      </c>
      <c r="C2742" s="8">
        <v>46052</v>
      </c>
      <c r="D2742" t="s">
        <v>2065</v>
      </c>
      <c r="E2742" t="s">
        <v>2068</v>
      </c>
      <c r="F2742" t="s">
        <v>11</v>
      </c>
      <c r="G2742">
        <v>607.64</v>
      </c>
      <c r="H2742" t="s">
        <v>2060</v>
      </c>
      <c r="I2742" t="str">
        <f>VLOOKUP(B2742,Customers!A:G,7,FALSE)</f>
        <v>Individual</v>
      </c>
      <c r="Q2742" t="str">
        <f>IF(COUNTIF(Customers!$A$2:$A$1001,B2742)&gt;0,"Valid","Invalid")</f>
        <v>Valid</v>
      </c>
      <c r="R2742" t="str">
        <f>IF(COUNTIF(Branches!$A$2:$A$11,F2742)&gt;0,"Valid","Invalid")</f>
        <v>Valid</v>
      </c>
    </row>
    <row r="2743" spans="1:18" x14ac:dyDescent="0.25">
      <c r="A2743" t="s">
        <v>4814</v>
      </c>
      <c r="B2743" t="s">
        <v>595</v>
      </c>
      <c r="C2743" s="8">
        <v>46158</v>
      </c>
      <c r="D2743" t="s">
        <v>2065</v>
      </c>
      <c r="E2743" t="s">
        <v>2073</v>
      </c>
      <c r="F2743" t="s">
        <v>45</v>
      </c>
      <c r="G2743">
        <v>907.67</v>
      </c>
      <c r="H2743" t="s">
        <v>2060</v>
      </c>
      <c r="I2743" t="str">
        <f>VLOOKUP(B2743,Customers!A:G,7,FALSE)</f>
        <v>Individual</v>
      </c>
      <c r="Q2743" t="str">
        <f>IF(COUNTIF(Customers!$A$2:$A$1001,B2743)&gt;0,"Valid","Invalid")</f>
        <v>Valid</v>
      </c>
      <c r="R2743" t="str">
        <f>IF(COUNTIF(Branches!$A$2:$A$11,F2743)&gt;0,"Valid","Invalid")</f>
        <v>Valid</v>
      </c>
    </row>
    <row r="2744" spans="1:18" x14ac:dyDescent="0.25">
      <c r="A2744" t="s">
        <v>4815</v>
      </c>
      <c r="B2744" t="s">
        <v>628</v>
      </c>
      <c r="C2744" s="8">
        <v>46254</v>
      </c>
      <c r="D2744" t="s">
        <v>2070</v>
      </c>
      <c r="E2744" t="s">
        <v>2076</v>
      </c>
      <c r="F2744" t="s">
        <v>39</v>
      </c>
      <c r="G2744">
        <v>4019.54</v>
      </c>
      <c r="H2744" t="s">
        <v>2060</v>
      </c>
      <c r="I2744" t="str">
        <f>VLOOKUP(B2744,Customers!A:G,7,FALSE)</f>
        <v>Individual</v>
      </c>
      <c r="Q2744" t="str">
        <f>IF(COUNTIF(Customers!$A$2:$A$1001,B2744)&gt;0,"Valid","Invalid")</f>
        <v>Valid</v>
      </c>
      <c r="R2744" t="str">
        <f>IF(COUNTIF(Branches!$A$2:$A$11,F2744)&gt;0,"Valid","Invalid")</f>
        <v>Valid</v>
      </c>
    </row>
    <row r="2745" spans="1:18" x14ac:dyDescent="0.25">
      <c r="A2745" t="s">
        <v>4816</v>
      </c>
      <c r="B2745" t="s">
        <v>375</v>
      </c>
      <c r="C2745" s="8">
        <v>46155</v>
      </c>
      <c r="D2745" t="s">
        <v>2065</v>
      </c>
      <c r="E2745" t="s">
        <v>2068</v>
      </c>
      <c r="F2745" t="s">
        <v>11</v>
      </c>
      <c r="G2745">
        <v>1035.95</v>
      </c>
      <c r="H2745" t="s">
        <v>2060</v>
      </c>
      <c r="I2745" t="str">
        <f>VLOOKUP(B2745,Customers!A:G,7,FALSE)</f>
        <v>SME</v>
      </c>
      <c r="Q2745" t="str">
        <f>IF(COUNTIF(Customers!$A$2:$A$1001,B2745)&gt;0,"Valid","Invalid")</f>
        <v>Valid</v>
      </c>
      <c r="R2745" t="str">
        <f>IF(COUNTIF(Branches!$A$2:$A$11,F2745)&gt;0,"Valid","Invalid")</f>
        <v>Valid</v>
      </c>
    </row>
    <row r="2746" spans="1:18" x14ac:dyDescent="0.25">
      <c r="A2746" t="s">
        <v>4817</v>
      </c>
      <c r="B2746" t="s">
        <v>946</v>
      </c>
      <c r="C2746" s="8">
        <v>46098</v>
      </c>
      <c r="D2746" t="s">
        <v>2058</v>
      </c>
      <c r="E2746" t="s">
        <v>2063</v>
      </c>
      <c r="F2746" t="s">
        <v>39</v>
      </c>
      <c r="G2746">
        <v>303.07</v>
      </c>
      <c r="H2746" t="s">
        <v>2060</v>
      </c>
      <c r="I2746" t="str">
        <f>VLOOKUP(B2746,Customers!A:G,7,FALSE)</f>
        <v>Individual</v>
      </c>
      <c r="Q2746" t="str">
        <f>IF(COUNTIF(Customers!$A$2:$A$1001,B2746)&gt;0,"Valid","Invalid")</f>
        <v>Valid</v>
      </c>
      <c r="R2746" t="str">
        <f>IF(COUNTIF(Branches!$A$2:$A$11,F2746)&gt;0,"Valid","Invalid")</f>
        <v>Valid</v>
      </c>
    </row>
    <row r="2747" spans="1:18" x14ac:dyDescent="0.25">
      <c r="A2747" t="s">
        <v>4818</v>
      </c>
      <c r="B2747" t="s">
        <v>899</v>
      </c>
      <c r="C2747" s="8">
        <v>46213</v>
      </c>
      <c r="D2747" t="s">
        <v>2058</v>
      </c>
      <c r="E2747" t="s">
        <v>2063</v>
      </c>
      <c r="F2747" t="s">
        <v>27</v>
      </c>
      <c r="G2747">
        <v>590.22</v>
      </c>
      <c r="H2747" t="s">
        <v>2060</v>
      </c>
      <c r="I2747" t="str">
        <f>VLOOKUP(B2747,Customers!A:G,7,FALSE)</f>
        <v>Corporate</v>
      </c>
      <c r="Q2747" t="str">
        <f>IF(COUNTIF(Customers!$A$2:$A$1001,B2747)&gt;0,"Valid","Invalid")</f>
        <v>Valid</v>
      </c>
      <c r="R2747" t="str">
        <f>IF(COUNTIF(Branches!$A$2:$A$11,F2747)&gt;0,"Valid","Invalid")</f>
        <v>Valid</v>
      </c>
    </row>
    <row r="2748" spans="1:18" x14ac:dyDescent="0.25">
      <c r="A2748" t="s">
        <v>4819</v>
      </c>
      <c r="B2748" t="s">
        <v>838</v>
      </c>
      <c r="C2748" s="8">
        <v>46151</v>
      </c>
      <c r="D2748" t="s">
        <v>2058</v>
      </c>
      <c r="E2748" t="s">
        <v>2073</v>
      </c>
      <c r="F2748" t="s">
        <v>47</v>
      </c>
      <c r="G2748">
        <v>98.08</v>
      </c>
      <c r="H2748" t="s">
        <v>2060</v>
      </c>
      <c r="I2748" t="str">
        <f>VLOOKUP(B2748,Customers!A:G,7,FALSE)</f>
        <v>Individual</v>
      </c>
      <c r="Q2748" t="str">
        <f>IF(COUNTIF(Customers!$A$2:$A$1001,B2748)&gt;0,"Valid","Invalid")</f>
        <v>Valid</v>
      </c>
      <c r="R2748" t="str">
        <f>IF(COUNTIF(Branches!$A$2:$A$11,F2748)&gt;0,"Valid","Invalid")</f>
        <v>Valid</v>
      </c>
    </row>
    <row r="2749" spans="1:18" x14ac:dyDescent="0.25">
      <c r="A2749" t="s">
        <v>4820</v>
      </c>
      <c r="B2749" t="s">
        <v>990</v>
      </c>
      <c r="C2749" s="8">
        <v>46037</v>
      </c>
      <c r="D2749" t="s">
        <v>2058</v>
      </c>
      <c r="E2749" t="s">
        <v>2076</v>
      </c>
      <c r="F2749" t="s">
        <v>47</v>
      </c>
      <c r="G2749">
        <v>932.06</v>
      </c>
      <c r="H2749" t="s">
        <v>2060</v>
      </c>
      <c r="I2749" t="str">
        <f>VLOOKUP(B2749,Customers!A:G,7,FALSE)</f>
        <v>Individual</v>
      </c>
      <c r="Q2749" t="str">
        <f>IF(COUNTIF(Customers!$A$2:$A$1001,B2749)&gt;0,"Valid","Invalid")</f>
        <v>Valid</v>
      </c>
      <c r="R2749" t="str">
        <f>IF(COUNTIF(Branches!$A$2:$A$11,F2749)&gt;0,"Valid","Invalid")</f>
        <v>Valid</v>
      </c>
    </row>
    <row r="2750" spans="1:18" x14ac:dyDescent="0.25">
      <c r="A2750" t="s">
        <v>4821</v>
      </c>
      <c r="B2750" t="s">
        <v>318</v>
      </c>
      <c r="C2750" s="8">
        <v>46111</v>
      </c>
      <c r="D2750" t="s">
        <v>2065</v>
      </c>
      <c r="E2750" t="s">
        <v>2059</v>
      </c>
      <c r="F2750" t="s">
        <v>21</v>
      </c>
      <c r="G2750">
        <v>3017.13</v>
      </c>
      <c r="H2750" t="s">
        <v>2107</v>
      </c>
      <c r="I2750" t="str">
        <f>VLOOKUP(B2750,Customers!A:G,7,FALSE)</f>
        <v>Individual</v>
      </c>
      <c r="Q2750" t="str">
        <f>IF(COUNTIF(Customers!$A$2:$A$1001,B2750)&gt;0,"Valid","Invalid")</f>
        <v>Valid</v>
      </c>
      <c r="R2750" t="str">
        <f>IF(COUNTIF(Branches!$A$2:$A$11,F2750)&gt;0,"Valid","Invalid")</f>
        <v>Valid</v>
      </c>
    </row>
    <row r="2751" spans="1:18" x14ac:dyDescent="0.25">
      <c r="A2751" t="s">
        <v>4822</v>
      </c>
      <c r="B2751" t="s">
        <v>152</v>
      </c>
      <c r="C2751" s="8">
        <v>46232</v>
      </c>
      <c r="D2751" t="s">
        <v>2062</v>
      </c>
      <c r="E2751" t="s">
        <v>2059</v>
      </c>
      <c r="F2751" t="s">
        <v>21</v>
      </c>
      <c r="G2751">
        <v>212.43</v>
      </c>
      <c r="H2751" t="s">
        <v>2060</v>
      </c>
      <c r="I2751" t="str">
        <f>VLOOKUP(B2751,Customers!A:G,7,FALSE)</f>
        <v>Individual</v>
      </c>
      <c r="Q2751" t="str">
        <f>IF(COUNTIF(Customers!$A$2:$A$1001,B2751)&gt;0,"Valid","Invalid")</f>
        <v>Valid</v>
      </c>
      <c r="R2751" t="str">
        <f>IF(COUNTIF(Branches!$A$2:$A$11,F2751)&gt;0,"Valid","Invalid")</f>
        <v>Valid</v>
      </c>
    </row>
    <row r="2752" spans="1:18" x14ac:dyDescent="0.25">
      <c r="A2752" t="s">
        <v>4823</v>
      </c>
      <c r="B2752" t="s">
        <v>307</v>
      </c>
      <c r="C2752" s="8">
        <v>46188</v>
      </c>
      <c r="D2752" t="s">
        <v>2065</v>
      </c>
      <c r="E2752" t="s">
        <v>2063</v>
      </c>
      <c r="F2752" t="s">
        <v>27</v>
      </c>
      <c r="G2752">
        <v>943.63</v>
      </c>
      <c r="H2752" t="s">
        <v>2060</v>
      </c>
      <c r="I2752" t="str">
        <f>VLOOKUP(B2752,Customers!A:G,7,FALSE)</f>
        <v>Individual</v>
      </c>
      <c r="Q2752" t="str">
        <f>IF(COUNTIF(Customers!$A$2:$A$1001,B2752)&gt;0,"Valid","Invalid")</f>
        <v>Valid</v>
      </c>
      <c r="R2752" t="str">
        <f>IF(COUNTIF(Branches!$A$2:$A$11,F2752)&gt;0,"Valid","Invalid")</f>
        <v>Valid</v>
      </c>
    </row>
    <row r="2753" spans="1:18" x14ac:dyDescent="0.25">
      <c r="A2753" t="s">
        <v>4824</v>
      </c>
      <c r="B2753" t="s">
        <v>954</v>
      </c>
      <c r="C2753" s="8">
        <v>46192</v>
      </c>
      <c r="D2753" t="s">
        <v>2067</v>
      </c>
      <c r="E2753" t="s">
        <v>2059</v>
      </c>
      <c r="F2753" t="s">
        <v>27</v>
      </c>
      <c r="G2753">
        <v>2176.41</v>
      </c>
      <c r="H2753" t="s">
        <v>2060</v>
      </c>
      <c r="I2753" t="str">
        <f>VLOOKUP(B2753,Customers!A:G,7,FALSE)</f>
        <v>Individual</v>
      </c>
      <c r="Q2753" t="str">
        <f>IF(COUNTIF(Customers!$A$2:$A$1001,B2753)&gt;0,"Valid","Invalid")</f>
        <v>Valid</v>
      </c>
      <c r="R2753" t="str">
        <f>IF(COUNTIF(Branches!$A$2:$A$11,F2753)&gt;0,"Valid","Invalid")</f>
        <v>Valid</v>
      </c>
    </row>
    <row r="2754" spans="1:18" x14ac:dyDescent="0.25">
      <c r="A2754" t="s">
        <v>4825</v>
      </c>
      <c r="B2754" t="s">
        <v>373</v>
      </c>
      <c r="C2754" s="8">
        <v>46150</v>
      </c>
      <c r="D2754" t="s">
        <v>2065</v>
      </c>
      <c r="E2754" t="s">
        <v>2059</v>
      </c>
      <c r="F2754" t="s">
        <v>47</v>
      </c>
      <c r="G2754">
        <v>2419.0700000000002</v>
      </c>
      <c r="H2754" t="s">
        <v>2060</v>
      </c>
      <c r="I2754" t="str">
        <f>VLOOKUP(B2754,Customers!A:G,7,FALSE)</f>
        <v>Student</v>
      </c>
      <c r="Q2754" t="str">
        <f>IF(COUNTIF(Customers!$A$2:$A$1001,B2754)&gt;0,"Valid","Invalid")</f>
        <v>Valid</v>
      </c>
      <c r="R2754" t="str">
        <f>IF(COUNTIF(Branches!$A$2:$A$11,F2754)&gt;0,"Valid","Invalid")</f>
        <v>Valid</v>
      </c>
    </row>
    <row r="2755" spans="1:18" x14ac:dyDescent="0.25">
      <c r="A2755" t="s">
        <v>4826</v>
      </c>
      <c r="B2755" t="s">
        <v>350</v>
      </c>
      <c r="C2755" s="8">
        <v>46196</v>
      </c>
      <c r="D2755" t="s">
        <v>2058</v>
      </c>
      <c r="E2755" t="s">
        <v>2063</v>
      </c>
      <c r="F2755" t="s">
        <v>53</v>
      </c>
      <c r="G2755">
        <v>2921.35</v>
      </c>
      <c r="H2755" t="s">
        <v>2115</v>
      </c>
      <c r="I2755" t="str">
        <f>VLOOKUP(B2755,Customers!A:G,7,FALSE)</f>
        <v>Corporate</v>
      </c>
      <c r="Q2755" t="str">
        <f>IF(COUNTIF(Customers!$A$2:$A$1001,B2755)&gt;0,"Valid","Invalid")</f>
        <v>Valid</v>
      </c>
      <c r="R2755" t="str">
        <f>IF(COUNTIF(Branches!$A$2:$A$11,F2755)&gt;0,"Valid","Invalid")</f>
        <v>Valid</v>
      </c>
    </row>
    <row r="2756" spans="1:18" x14ac:dyDescent="0.25">
      <c r="A2756" t="s">
        <v>4827</v>
      </c>
      <c r="B2756" t="s">
        <v>89</v>
      </c>
      <c r="C2756" s="8">
        <v>46203</v>
      </c>
      <c r="D2756" t="s">
        <v>2058</v>
      </c>
      <c r="E2756" t="s">
        <v>2063</v>
      </c>
      <c r="F2756" t="s">
        <v>35</v>
      </c>
      <c r="G2756">
        <v>125.43</v>
      </c>
      <c r="H2756" t="s">
        <v>2060</v>
      </c>
      <c r="I2756" t="str">
        <f>VLOOKUP(B2756,Customers!A:G,7,FALSE)</f>
        <v>SME</v>
      </c>
      <c r="Q2756" t="str">
        <f>IF(COUNTIF(Customers!$A$2:$A$1001,B2756)&gt;0,"Valid","Invalid")</f>
        <v>Valid</v>
      </c>
      <c r="R2756" t="str">
        <f>IF(COUNTIF(Branches!$A$2:$A$11,F2756)&gt;0,"Valid","Invalid")</f>
        <v>Valid</v>
      </c>
    </row>
    <row r="2757" spans="1:18" x14ac:dyDescent="0.25">
      <c r="A2757" t="s">
        <v>4828</v>
      </c>
      <c r="B2757" t="s">
        <v>104</v>
      </c>
      <c r="C2757" s="8">
        <v>46048</v>
      </c>
      <c r="D2757" t="s">
        <v>2070</v>
      </c>
      <c r="E2757" t="s">
        <v>2059</v>
      </c>
      <c r="F2757" t="s">
        <v>35</v>
      </c>
      <c r="G2757">
        <v>1346.05</v>
      </c>
      <c r="H2757" t="s">
        <v>2060</v>
      </c>
      <c r="I2757" t="str">
        <f>VLOOKUP(B2757,Customers!A:G,7,FALSE)</f>
        <v>Student</v>
      </c>
      <c r="Q2757" t="str">
        <f>IF(COUNTIF(Customers!$A$2:$A$1001,B2757)&gt;0,"Valid","Invalid")</f>
        <v>Valid</v>
      </c>
      <c r="R2757" t="str">
        <f>IF(COUNTIF(Branches!$A$2:$A$11,F2757)&gt;0,"Valid","Invalid")</f>
        <v>Valid</v>
      </c>
    </row>
    <row r="2758" spans="1:18" x14ac:dyDescent="0.25">
      <c r="A2758" t="s">
        <v>4829</v>
      </c>
      <c r="B2758" t="s">
        <v>732</v>
      </c>
      <c r="C2758" s="8">
        <v>46083</v>
      </c>
      <c r="D2758" t="s">
        <v>2062</v>
      </c>
      <c r="E2758" t="s">
        <v>2059</v>
      </c>
      <c r="F2758" t="s">
        <v>39</v>
      </c>
      <c r="G2758">
        <v>180.27</v>
      </c>
      <c r="H2758" t="s">
        <v>2060</v>
      </c>
      <c r="I2758" t="str">
        <f>VLOOKUP(B2758,Customers!A:G,7,FALSE)</f>
        <v>SME</v>
      </c>
      <c r="Q2758" t="str">
        <f>IF(COUNTIF(Customers!$A$2:$A$1001,B2758)&gt;0,"Valid","Invalid")</f>
        <v>Valid</v>
      </c>
      <c r="R2758" t="str">
        <f>IF(COUNTIF(Branches!$A$2:$A$11,F2758)&gt;0,"Valid","Invalid")</f>
        <v>Valid</v>
      </c>
    </row>
    <row r="2759" spans="1:18" x14ac:dyDescent="0.25">
      <c r="A2759" t="s">
        <v>4830</v>
      </c>
      <c r="B2759" t="s">
        <v>68</v>
      </c>
      <c r="C2759" s="8">
        <v>46254</v>
      </c>
      <c r="D2759" t="s">
        <v>2058</v>
      </c>
      <c r="E2759" t="s">
        <v>2063</v>
      </c>
      <c r="F2759" t="s">
        <v>16</v>
      </c>
      <c r="G2759">
        <v>299.37</v>
      </c>
      <c r="H2759" t="s">
        <v>2060</v>
      </c>
      <c r="I2759" t="str">
        <f>VLOOKUP(B2759,Customers!A:G,7,FALSE)</f>
        <v>Student</v>
      </c>
      <c r="Q2759" t="str">
        <f>IF(COUNTIF(Customers!$A$2:$A$1001,B2759)&gt;0,"Valid","Invalid")</f>
        <v>Valid</v>
      </c>
      <c r="R2759" t="str">
        <f>IF(COUNTIF(Branches!$A$2:$A$11,F2759)&gt;0,"Valid","Invalid")</f>
        <v>Valid</v>
      </c>
    </row>
    <row r="2760" spans="1:18" x14ac:dyDescent="0.25">
      <c r="A2760" t="s">
        <v>4831</v>
      </c>
      <c r="B2760" t="s">
        <v>834</v>
      </c>
      <c r="C2760" s="8">
        <v>46145</v>
      </c>
      <c r="D2760" t="s">
        <v>2070</v>
      </c>
      <c r="E2760" t="s">
        <v>2059</v>
      </c>
      <c r="F2760" t="s">
        <v>35</v>
      </c>
      <c r="G2760">
        <v>1846.64</v>
      </c>
      <c r="H2760" t="s">
        <v>2060</v>
      </c>
      <c r="I2760" t="str">
        <f>VLOOKUP(B2760,Customers!A:G,7,FALSE)</f>
        <v>SME</v>
      </c>
      <c r="Q2760" t="str">
        <f>IF(COUNTIF(Customers!$A$2:$A$1001,B2760)&gt;0,"Valid","Invalid")</f>
        <v>Valid</v>
      </c>
      <c r="R2760" t="str">
        <f>IF(COUNTIF(Branches!$A$2:$A$11,F2760)&gt;0,"Valid","Invalid")</f>
        <v>Valid</v>
      </c>
    </row>
    <row r="2761" spans="1:18" x14ac:dyDescent="0.25">
      <c r="A2761" t="s">
        <v>4832</v>
      </c>
      <c r="B2761" t="s">
        <v>856</v>
      </c>
      <c r="C2761" s="8">
        <v>46089</v>
      </c>
      <c r="D2761" t="s">
        <v>2067</v>
      </c>
      <c r="E2761" t="s">
        <v>2073</v>
      </c>
      <c r="F2761" t="s">
        <v>29</v>
      </c>
      <c r="G2761">
        <v>951.51</v>
      </c>
      <c r="H2761" t="s">
        <v>2060</v>
      </c>
      <c r="I2761" t="str">
        <f>VLOOKUP(B2761,Customers!A:G,7,FALSE)</f>
        <v>Individual</v>
      </c>
      <c r="Q2761" t="str">
        <f>IF(COUNTIF(Customers!$A$2:$A$1001,B2761)&gt;0,"Valid","Invalid")</f>
        <v>Valid</v>
      </c>
      <c r="R2761" t="str">
        <f>IF(COUNTIF(Branches!$A$2:$A$11,F2761)&gt;0,"Valid","Invalid")</f>
        <v>Valid</v>
      </c>
    </row>
    <row r="2762" spans="1:18" x14ac:dyDescent="0.25">
      <c r="A2762" t="s">
        <v>4833</v>
      </c>
      <c r="B2762" t="s">
        <v>424</v>
      </c>
      <c r="C2762" s="8">
        <v>46204</v>
      </c>
      <c r="D2762" t="s">
        <v>2058</v>
      </c>
      <c r="E2762" t="s">
        <v>2059</v>
      </c>
      <c r="F2762" t="s">
        <v>11</v>
      </c>
      <c r="G2762">
        <v>1679.64</v>
      </c>
      <c r="H2762" t="s">
        <v>2060</v>
      </c>
      <c r="I2762" t="str">
        <f>VLOOKUP(B2762,Customers!A:G,7,FALSE)</f>
        <v>Corporate</v>
      </c>
      <c r="Q2762" t="str">
        <f>IF(COUNTIF(Customers!$A$2:$A$1001,B2762)&gt;0,"Valid","Invalid")</f>
        <v>Valid</v>
      </c>
      <c r="R2762" t="str">
        <f>IF(COUNTIF(Branches!$A$2:$A$11,F2762)&gt;0,"Valid","Invalid")</f>
        <v>Valid</v>
      </c>
    </row>
    <row r="2763" spans="1:18" x14ac:dyDescent="0.25">
      <c r="A2763" t="s">
        <v>4834</v>
      </c>
      <c r="B2763" t="s">
        <v>287</v>
      </c>
      <c r="C2763" s="8">
        <v>46172</v>
      </c>
      <c r="D2763" t="s">
        <v>2058</v>
      </c>
      <c r="E2763" t="s">
        <v>2068</v>
      </c>
      <c r="F2763" t="s">
        <v>29</v>
      </c>
      <c r="G2763">
        <v>320.82</v>
      </c>
      <c r="H2763" t="s">
        <v>2060</v>
      </c>
      <c r="I2763" t="str">
        <f>VLOOKUP(B2763,Customers!A:G,7,FALSE)</f>
        <v>Individual</v>
      </c>
      <c r="Q2763" t="str">
        <f>IF(COUNTIF(Customers!$A$2:$A$1001,B2763)&gt;0,"Valid","Invalid")</f>
        <v>Valid</v>
      </c>
      <c r="R2763" t="str">
        <f>IF(COUNTIF(Branches!$A$2:$A$11,F2763)&gt;0,"Valid","Invalid")</f>
        <v>Valid</v>
      </c>
    </row>
    <row r="2764" spans="1:18" x14ac:dyDescent="0.25">
      <c r="A2764" t="s">
        <v>4835</v>
      </c>
      <c r="B2764" t="s">
        <v>147</v>
      </c>
      <c r="C2764" s="8">
        <v>46048</v>
      </c>
      <c r="D2764" t="s">
        <v>2067</v>
      </c>
      <c r="E2764" t="s">
        <v>2073</v>
      </c>
      <c r="F2764" t="s">
        <v>53</v>
      </c>
      <c r="G2764">
        <v>3546.1</v>
      </c>
      <c r="H2764" t="s">
        <v>2060</v>
      </c>
      <c r="I2764" t="str">
        <f>VLOOKUP(B2764,Customers!A:G,7,FALSE)</f>
        <v>Individual</v>
      </c>
      <c r="Q2764" t="str">
        <f>IF(COUNTIF(Customers!$A$2:$A$1001,B2764)&gt;0,"Valid","Invalid")</f>
        <v>Valid</v>
      </c>
      <c r="R2764" t="str">
        <f>IF(COUNTIF(Branches!$A$2:$A$11,F2764)&gt;0,"Valid","Invalid")</f>
        <v>Valid</v>
      </c>
    </row>
    <row r="2765" spans="1:18" x14ac:dyDescent="0.25">
      <c r="A2765" t="s">
        <v>4836</v>
      </c>
      <c r="B2765" t="s">
        <v>130</v>
      </c>
      <c r="C2765" s="8">
        <v>46105</v>
      </c>
      <c r="D2765" t="s">
        <v>2062</v>
      </c>
      <c r="E2765" t="s">
        <v>2063</v>
      </c>
      <c r="F2765" t="s">
        <v>21</v>
      </c>
      <c r="G2765">
        <v>1617.01</v>
      </c>
      <c r="H2765" t="s">
        <v>2060</v>
      </c>
      <c r="I2765" t="str">
        <f>VLOOKUP(B2765,Customers!A:G,7,FALSE)</f>
        <v>SME</v>
      </c>
      <c r="Q2765" t="str">
        <f>IF(COUNTIF(Customers!$A$2:$A$1001,B2765)&gt;0,"Valid","Invalid")</f>
        <v>Valid</v>
      </c>
      <c r="R2765" t="str">
        <f>IF(COUNTIF(Branches!$A$2:$A$11,F2765)&gt;0,"Valid","Invalid")</f>
        <v>Valid</v>
      </c>
    </row>
    <row r="2766" spans="1:18" x14ac:dyDescent="0.25">
      <c r="A2766" t="s">
        <v>4837</v>
      </c>
      <c r="B2766" t="s">
        <v>448</v>
      </c>
      <c r="C2766" s="8">
        <v>46258</v>
      </c>
      <c r="D2766" t="s">
        <v>2065</v>
      </c>
      <c r="E2766" t="s">
        <v>2063</v>
      </c>
      <c r="F2766" t="s">
        <v>29</v>
      </c>
      <c r="G2766">
        <v>1976.93</v>
      </c>
      <c r="H2766" t="s">
        <v>2060</v>
      </c>
      <c r="I2766" t="str">
        <f>VLOOKUP(B2766,Customers!A:G,7,FALSE)</f>
        <v>Student</v>
      </c>
      <c r="Q2766" t="str">
        <f>IF(COUNTIF(Customers!$A$2:$A$1001,B2766)&gt;0,"Valid","Invalid")</f>
        <v>Valid</v>
      </c>
      <c r="R2766" t="str">
        <f>IF(COUNTIF(Branches!$A$2:$A$11,F2766)&gt;0,"Valid","Invalid")</f>
        <v>Valid</v>
      </c>
    </row>
    <row r="2767" spans="1:18" x14ac:dyDescent="0.25">
      <c r="A2767" t="s">
        <v>4838</v>
      </c>
      <c r="B2767" t="s">
        <v>215</v>
      </c>
      <c r="C2767" s="8">
        <v>46130</v>
      </c>
      <c r="D2767" t="s">
        <v>2058</v>
      </c>
      <c r="E2767" t="s">
        <v>2059</v>
      </c>
      <c r="F2767" t="s">
        <v>35</v>
      </c>
      <c r="G2767">
        <v>275.83999999999997</v>
      </c>
      <c r="H2767" t="s">
        <v>2060</v>
      </c>
      <c r="I2767" t="str">
        <f>VLOOKUP(B2767,Customers!A:G,7,FALSE)</f>
        <v>Individual</v>
      </c>
      <c r="Q2767" t="str">
        <f>IF(COUNTIF(Customers!$A$2:$A$1001,B2767)&gt;0,"Valid","Invalid")</f>
        <v>Valid</v>
      </c>
      <c r="R2767" t="str">
        <f>IF(COUNTIF(Branches!$A$2:$A$11,F2767)&gt;0,"Valid","Invalid")</f>
        <v>Valid</v>
      </c>
    </row>
    <row r="2768" spans="1:18" x14ac:dyDescent="0.25">
      <c r="A2768" t="s">
        <v>4839</v>
      </c>
      <c r="B2768" t="s">
        <v>83</v>
      </c>
      <c r="C2768" s="8">
        <v>46133</v>
      </c>
      <c r="D2768" t="s">
        <v>2062</v>
      </c>
      <c r="E2768" t="s">
        <v>2059</v>
      </c>
      <c r="F2768" t="s">
        <v>27</v>
      </c>
      <c r="G2768">
        <v>2621.2399999999998</v>
      </c>
      <c r="H2768" t="s">
        <v>2107</v>
      </c>
      <c r="I2768" t="str">
        <f>VLOOKUP(B2768,Customers!A:G,7,FALSE)</f>
        <v>SME</v>
      </c>
      <c r="Q2768" t="str">
        <f>IF(COUNTIF(Customers!$A$2:$A$1001,B2768)&gt;0,"Valid","Invalid")</f>
        <v>Valid</v>
      </c>
      <c r="R2768" t="str">
        <f>IF(COUNTIF(Branches!$A$2:$A$11,F2768)&gt;0,"Valid","Invalid")</f>
        <v>Valid</v>
      </c>
    </row>
    <row r="2769" spans="1:18" x14ac:dyDescent="0.25">
      <c r="A2769" t="s">
        <v>4840</v>
      </c>
      <c r="B2769" t="s">
        <v>832</v>
      </c>
      <c r="C2769" s="8">
        <v>46082</v>
      </c>
      <c r="D2769" t="s">
        <v>2062</v>
      </c>
      <c r="E2769" t="s">
        <v>2059</v>
      </c>
      <c r="F2769" t="s">
        <v>21</v>
      </c>
      <c r="G2769">
        <v>592.20000000000005</v>
      </c>
      <c r="H2769" t="s">
        <v>2060</v>
      </c>
      <c r="I2769" t="str">
        <f>VLOOKUP(B2769,Customers!A:G,7,FALSE)</f>
        <v>Individual</v>
      </c>
      <c r="Q2769" t="str">
        <f>IF(COUNTIF(Customers!$A$2:$A$1001,B2769)&gt;0,"Valid","Invalid")</f>
        <v>Valid</v>
      </c>
      <c r="R2769" t="str">
        <f>IF(COUNTIF(Branches!$A$2:$A$11,F2769)&gt;0,"Valid","Invalid")</f>
        <v>Valid</v>
      </c>
    </row>
    <row r="2770" spans="1:18" x14ac:dyDescent="0.25">
      <c r="A2770" t="s">
        <v>4841</v>
      </c>
      <c r="B2770" t="s">
        <v>890</v>
      </c>
      <c r="C2770" s="8">
        <v>46061</v>
      </c>
      <c r="D2770" t="s">
        <v>2062</v>
      </c>
      <c r="E2770" t="s">
        <v>2063</v>
      </c>
      <c r="F2770" t="s">
        <v>29</v>
      </c>
      <c r="G2770">
        <v>440.88</v>
      </c>
      <c r="H2770" t="s">
        <v>2060</v>
      </c>
      <c r="I2770" t="str">
        <f>VLOOKUP(B2770,Customers!A:G,7,FALSE)</f>
        <v>Student</v>
      </c>
      <c r="Q2770" t="str">
        <f>IF(COUNTIF(Customers!$A$2:$A$1001,B2770)&gt;0,"Valid","Invalid")</f>
        <v>Valid</v>
      </c>
      <c r="R2770" t="str">
        <f>IF(COUNTIF(Branches!$A$2:$A$11,F2770)&gt;0,"Valid","Invalid")</f>
        <v>Valid</v>
      </c>
    </row>
    <row r="2771" spans="1:18" x14ac:dyDescent="0.25">
      <c r="A2771" t="s">
        <v>4842</v>
      </c>
      <c r="B2771" t="s">
        <v>912</v>
      </c>
      <c r="C2771" s="8">
        <v>46145</v>
      </c>
      <c r="D2771" t="s">
        <v>2058</v>
      </c>
      <c r="E2771" t="s">
        <v>2076</v>
      </c>
      <c r="F2771" t="s">
        <v>29</v>
      </c>
      <c r="G2771">
        <v>1518.48</v>
      </c>
      <c r="H2771" t="s">
        <v>2060</v>
      </c>
      <c r="I2771" t="str">
        <f>VLOOKUP(B2771,Customers!A:G,7,FALSE)</f>
        <v>Individual</v>
      </c>
      <c r="Q2771" t="str">
        <f>IF(COUNTIF(Customers!$A$2:$A$1001,B2771)&gt;0,"Valid","Invalid")</f>
        <v>Valid</v>
      </c>
      <c r="R2771" t="str">
        <f>IF(COUNTIF(Branches!$A$2:$A$11,F2771)&gt;0,"Valid","Invalid")</f>
        <v>Valid</v>
      </c>
    </row>
    <row r="2772" spans="1:18" x14ac:dyDescent="0.25">
      <c r="A2772" t="s">
        <v>4843</v>
      </c>
      <c r="B2772" t="s">
        <v>642</v>
      </c>
      <c r="C2772" s="8">
        <v>46058</v>
      </c>
      <c r="D2772" t="s">
        <v>2058</v>
      </c>
      <c r="E2772" t="s">
        <v>2063</v>
      </c>
      <c r="F2772" t="s">
        <v>39</v>
      </c>
      <c r="G2772">
        <v>1455.66</v>
      </c>
      <c r="H2772" t="s">
        <v>2060</v>
      </c>
      <c r="I2772" t="str">
        <f>VLOOKUP(B2772,Customers!A:G,7,FALSE)</f>
        <v>Individual</v>
      </c>
      <c r="Q2772" t="str">
        <f>IF(COUNTIF(Customers!$A$2:$A$1001,B2772)&gt;0,"Valid","Invalid")</f>
        <v>Valid</v>
      </c>
      <c r="R2772" t="str">
        <f>IF(COUNTIF(Branches!$A$2:$A$11,F2772)&gt;0,"Valid","Invalid")</f>
        <v>Valid</v>
      </c>
    </row>
    <row r="2773" spans="1:18" x14ac:dyDescent="0.25">
      <c r="A2773" t="s">
        <v>4844</v>
      </c>
      <c r="B2773" t="s">
        <v>414</v>
      </c>
      <c r="C2773" s="8">
        <v>46043</v>
      </c>
      <c r="D2773" t="s">
        <v>2067</v>
      </c>
      <c r="E2773" t="s">
        <v>2073</v>
      </c>
      <c r="F2773" t="s">
        <v>45</v>
      </c>
      <c r="G2773">
        <v>348.34</v>
      </c>
      <c r="H2773" t="s">
        <v>2060</v>
      </c>
      <c r="I2773" t="str">
        <f>VLOOKUP(B2773,Customers!A:G,7,FALSE)</f>
        <v>Individual</v>
      </c>
      <c r="Q2773" t="str">
        <f>IF(COUNTIF(Customers!$A$2:$A$1001,B2773)&gt;0,"Valid","Invalid")</f>
        <v>Valid</v>
      </c>
      <c r="R2773" t="str">
        <f>IF(COUNTIF(Branches!$A$2:$A$11,F2773)&gt;0,"Valid","Invalid")</f>
        <v>Valid</v>
      </c>
    </row>
    <row r="2774" spans="1:18" x14ac:dyDescent="0.25">
      <c r="A2774" t="s">
        <v>4845</v>
      </c>
      <c r="B2774" t="s">
        <v>762</v>
      </c>
      <c r="C2774" s="8">
        <v>46191</v>
      </c>
      <c r="D2774" t="s">
        <v>2067</v>
      </c>
      <c r="E2774" t="s">
        <v>2063</v>
      </c>
      <c r="F2774" t="s">
        <v>35</v>
      </c>
      <c r="G2774">
        <v>6350.58</v>
      </c>
      <c r="H2774" t="s">
        <v>2060</v>
      </c>
      <c r="I2774" t="str">
        <f>VLOOKUP(B2774,Customers!A:G,7,FALSE)</f>
        <v>SME</v>
      </c>
      <c r="Q2774" t="str">
        <f>IF(COUNTIF(Customers!$A$2:$A$1001,B2774)&gt;0,"Valid","Invalid")</f>
        <v>Valid</v>
      </c>
      <c r="R2774" t="str">
        <f>IF(COUNTIF(Branches!$A$2:$A$11,F2774)&gt;0,"Valid","Invalid")</f>
        <v>Valid</v>
      </c>
    </row>
    <row r="2775" spans="1:18" x14ac:dyDescent="0.25">
      <c r="A2775" t="s">
        <v>4846</v>
      </c>
      <c r="B2775" t="s">
        <v>625</v>
      </c>
      <c r="C2775" s="8">
        <v>46140</v>
      </c>
      <c r="D2775" t="s">
        <v>2062</v>
      </c>
      <c r="E2775" t="s">
        <v>2073</v>
      </c>
      <c r="F2775" t="s">
        <v>39</v>
      </c>
      <c r="G2775">
        <v>4985.8100000000004</v>
      </c>
      <c r="H2775" t="s">
        <v>2060</v>
      </c>
      <c r="I2775" t="str">
        <f>VLOOKUP(B2775,Customers!A:G,7,FALSE)</f>
        <v>Individual</v>
      </c>
      <c r="Q2775" t="str">
        <f>IF(COUNTIF(Customers!$A$2:$A$1001,B2775)&gt;0,"Valid","Invalid")</f>
        <v>Valid</v>
      </c>
      <c r="R2775" t="str">
        <f>IF(COUNTIF(Branches!$A$2:$A$11,F2775)&gt;0,"Valid","Invalid")</f>
        <v>Valid</v>
      </c>
    </row>
    <row r="2776" spans="1:18" x14ac:dyDescent="0.25">
      <c r="A2776" t="s">
        <v>4847</v>
      </c>
      <c r="B2776" t="s">
        <v>928</v>
      </c>
      <c r="C2776" s="8">
        <v>46070</v>
      </c>
      <c r="D2776" t="s">
        <v>2070</v>
      </c>
      <c r="E2776" t="s">
        <v>2063</v>
      </c>
      <c r="F2776" t="s">
        <v>47</v>
      </c>
      <c r="G2776">
        <v>1487.77</v>
      </c>
      <c r="H2776" t="s">
        <v>2060</v>
      </c>
      <c r="I2776" t="str">
        <f>VLOOKUP(B2776,Customers!A:G,7,FALSE)</f>
        <v>SME</v>
      </c>
      <c r="Q2776" t="str">
        <f>IF(COUNTIF(Customers!$A$2:$A$1001,B2776)&gt;0,"Valid","Invalid")</f>
        <v>Valid</v>
      </c>
      <c r="R2776" t="str">
        <f>IF(COUNTIF(Branches!$A$2:$A$11,F2776)&gt;0,"Valid","Invalid")</f>
        <v>Valid</v>
      </c>
    </row>
    <row r="2777" spans="1:18" x14ac:dyDescent="0.25">
      <c r="A2777" t="s">
        <v>4848</v>
      </c>
      <c r="B2777" t="s">
        <v>239</v>
      </c>
      <c r="C2777" s="8">
        <v>46048</v>
      </c>
      <c r="D2777" t="s">
        <v>2062</v>
      </c>
      <c r="E2777" t="s">
        <v>2063</v>
      </c>
      <c r="F2777" t="s">
        <v>47</v>
      </c>
      <c r="G2777">
        <v>1249.3800000000001</v>
      </c>
      <c r="H2777" t="s">
        <v>2060</v>
      </c>
      <c r="I2777" t="str">
        <f>VLOOKUP(B2777,Customers!A:G,7,FALSE)</f>
        <v>SME</v>
      </c>
      <c r="Q2777" t="str">
        <f>IF(COUNTIF(Customers!$A$2:$A$1001,B2777)&gt;0,"Valid","Invalid")</f>
        <v>Valid</v>
      </c>
      <c r="R2777" t="str">
        <f>IF(COUNTIF(Branches!$A$2:$A$11,F2777)&gt;0,"Valid","Invalid")</f>
        <v>Valid</v>
      </c>
    </row>
    <row r="2778" spans="1:18" x14ac:dyDescent="0.25">
      <c r="A2778" t="s">
        <v>4849</v>
      </c>
      <c r="B2778" t="s">
        <v>483</v>
      </c>
      <c r="C2778" s="8">
        <v>46213</v>
      </c>
      <c r="D2778" t="s">
        <v>2065</v>
      </c>
      <c r="E2778" t="s">
        <v>2063</v>
      </c>
      <c r="F2778" t="s">
        <v>35</v>
      </c>
      <c r="G2778">
        <v>1129.79</v>
      </c>
      <c r="H2778" t="s">
        <v>2060</v>
      </c>
      <c r="I2778" t="str">
        <f>VLOOKUP(B2778,Customers!A:G,7,FALSE)</f>
        <v>Corporate</v>
      </c>
      <c r="Q2778" t="str">
        <f>IF(COUNTIF(Customers!$A$2:$A$1001,B2778)&gt;0,"Valid","Invalid")</f>
        <v>Valid</v>
      </c>
      <c r="R2778" t="str">
        <f>IF(COUNTIF(Branches!$A$2:$A$11,F2778)&gt;0,"Valid","Invalid")</f>
        <v>Valid</v>
      </c>
    </row>
    <row r="2779" spans="1:18" x14ac:dyDescent="0.25">
      <c r="A2779" t="s">
        <v>4850</v>
      </c>
      <c r="B2779" t="s">
        <v>957</v>
      </c>
      <c r="C2779" s="8">
        <v>46227</v>
      </c>
      <c r="D2779" t="s">
        <v>2062</v>
      </c>
      <c r="E2779" t="s">
        <v>2073</v>
      </c>
      <c r="F2779" t="s">
        <v>29</v>
      </c>
      <c r="G2779">
        <v>172.43</v>
      </c>
      <c r="H2779" t="s">
        <v>2060</v>
      </c>
      <c r="I2779" t="str">
        <f>VLOOKUP(B2779,Customers!A:G,7,FALSE)</f>
        <v>Individual</v>
      </c>
      <c r="Q2779" t="str">
        <f>IF(COUNTIF(Customers!$A$2:$A$1001,B2779)&gt;0,"Valid","Invalid")</f>
        <v>Valid</v>
      </c>
      <c r="R2779" t="str">
        <f>IF(COUNTIF(Branches!$A$2:$A$11,F2779)&gt;0,"Valid","Invalid")</f>
        <v>Valid</v>
      </c>
    </row>
    <row r="2780" spans="1:18" x14ac:dyDescent="0.25">
      <c r="A2780" t="s">
        <v>4851</v>
      </c>
      <c r="B2780" t="s">
        <v>971</v>
      </c>
      <c r="C2780" s="8">
        <v>46058</v>
      </c>
      <c r="D2780" t="s">
        <v>2070</v>
      </c>
      <c r="E2780" t="s">
        <v>2063</v>
      </c>
      <c r="F2780" t="s">
        <v>39</v>
      </c>
      <c r="G2780">
        <v>909.42</v>
      </c>
      <c r="H2780" t="s">
        <v>2060</v>
      </c>
      <c r="I2780" t="str">
        <f>VLOOKUP(B2780,Customers!A:G,7,FALSE)</f>
        <v>Individual</v>
      </c>
      <c r="Q2780" t="str">
        <f>IF(COUNTIF(Customers!$A$2:$A$1001,B2780)&gt;0,"Valid","Invalid")</f>
        <v>Valid</v>
      </c>
      <c r="R2780" t="str">
        <f>IF(COUNTIF(Branches!$A$2:$A$11,F2780)&gt;0,"Valid","Invalid")</f>
        <v>Valid</v>
      </c>
    </row>
    <row r="2781" spans="1:18" x14ac:dyDescent="0.25">
      <c r="A2781" t="s">
        <v>4852</v>
      </c>
      <c r="B2781" t="s">
        <v>335</v>
      </c>
      <c r="C2781" s="8">
        <v>46174</v>
      </c>
      <c r="D2781" t="s">
        <v>2067</v>
      </c>
      <c r="E2781" t="s">
        <v>2076</v>
      </c>
      <c r="F2781" t="s">
        <v>27</v>
      </c>
      <c r="G2781">
        <v>897.44</v>
      </c>
      <c r="H2781" t="s">
        <v>2060</v>
      </c>
      <c r="I2781" t="str">
        <f>VLOOKUP(B2781,Customers!A:G,7,FALSE)</f>
        <v>Individual</v>
      </c>
      <c r="Q2781" t="str">
        <f>IF(COUNTIF(Customers!$A$2:$A$1001,B2781)&gt;0,"Valid","Invalid")</f>
        <v>Valid</v>
      </c>
      <c r="R2781" t="str">
        <f>IF(COUNTIF(Branches!$A$2:$A$11,F2781)&gt;0,"Valid","Invalid")</f>
        <v>Valid</v>
      </c>
    </row>
    <row r="2782" spans="1:18" x14ac:dyDescent="0.25">
      <c r="A2782" t="s">
        <v>4853</v>
      </c>
      <c r="B2782" t="s">
        <v>346</v>
      </c>
      <c r="C2782" s="8">
        <v>46150</v>
      </c>
      <c r="D2782" t="s">
        <v>2058</v>
      </c>
      <c r="E2782" t="s">
        <v>2068</v>
      </c>
      <c r="F2782" t="s">
        <v>53</v>
      </c>
      <c r="G2782">
        <v>456.68</v>
      </c>
      <c r="H2782" t="s">
        <v>2060</v>
      </c>
      <c r="I2782" t="str">
        <f>VLOOKUP(B2782,Customers!A:G,7,FALSE)</f>
        <v>SME</v>
      </c>
      <c r="Q2782" t="str">
        <f>IF(COUNTIF(Customers!$A$2:$A$1001,B2782)&gt;0,"Valid","Invalid")</f>
        <v>Valid</v>
      </c>
      <c r="R2782" t="str">
        <f>IF(COUNTIF(Branches!$A$2:$A$11,F2782)&gt;0,"Valid","Invalid")</f>
        <v>Valid</v>
      </c>
    </row>
    <row r="2783" spans="1:18" x14ac:dyDescent="0.25">
      <c r="A2783" t="s">
        <v>4854</v>
      </c>
      <c r="B2783" t="s">
        <v>761</v>
      </c>
      <c r="C2783" s="8">
        <v>46255</v>
      </c>
      <c r="D2783" t="s">
        <v>2062</v>
      </c>
      <c r="E2783" t="s">
        <v>2076</v>
      </c>
      <c r="F2783" t="s">
        <v>53</v>
      </c>
      <c r="G2783">
        <v>596.24</v>
      </c>
      <c r="H2783" t="s">
        <v>2060</v>
      </c>
      <c r="I2783" t="str">
        <f>VLOOKUP(B2783,Customers!A:G,7,FALSE)</f>
        <v>SME</v>
      </c>
      <c r="Q2783" t="str">
        <f>IF(COUNTIF(Customers!$A$2:$A$1001,B2783)&gt;0,"Valid","Invalid")</f>
        <v>Valid</v>
      </c>
      <c r="R2783" t="str">
        <f>IF(COUNTIF(Branches!$A$2:$A$11,F2783)&gt;0,"Valid","Invalid")</f>
        <v>Valid</v>
      </c>
    </row>
    <row r="2784" spans="1:18" x14ac:dyDescent="0.25">
      <c r="A2784" t="s">
        <v>4855</v>
      </c>
      <c r="B2784" t="s">
        <v>531</v>
      </c>
      <c r="C2784" s="8">
        <v>46240</v>
      </c>
      <c r="D2784" t="s">
        <v>2058</v>
      </c>
      <c r="E2784" t="s">
        <v>2059</v>
      </c>
      <c r="F2784" t="s">
        <v>16</v>
      </c>
      <c r="G2784">
        <v>75.09</v>
      </c>
      <c r="H2784" t="s">
        <v>2060</v>
      </c>
      <c r="I2784" t="str">
        <f>VLOOKUP(B2784,Customers!A:G,7,FALSE)</f>
        <v>Individual</v>
      </c>
      <c r="Q2784" t="str">
        <f>IF(COUNTIF(Customers!$A$2:$A$1001,B2784)&gt;0,"Valid","Invalid")</f>
        <v>Valid</v>
      </c>
      <c r="R2784" t="str">
        <f>IF(COUNTIF(Branches!$A$2:$A$11,F2784)&gt;0,"Valid","Invalid")</f>
        <v>Valid</v>
      </c>
    </row>
    <row r="2785" spans="1:18" x14ac:dyDescent="0.25">
      <c r="A2785" t="s">
        <v>4856</v>
      </c>
      <c r="B2785" t="s">
        <v>376</v>
      </c>
      <c r="C2785" s="8">
        <v>46171</v>
      </c>
      <c r="D2785" t="s">
        <v>2070</v>
      </c>
      <c r="E2785" t="s">
        <v>2073</v>
      </c>
      <c r="F2785" t="s">
        <v>35</v>
      </c>
      <c r="G2785">
        <v>271.16000000000003</v>
      </c>
      <c r="H2785" t="s">
        <v>2060</v>
      </c>
      <c r="I2785" t="str">
        <f>VLOOKUP(B2785,Customers!A:G,7,FALSE)</f>
        <v>SME</v>
      </c>
      <c r="Q2785" t="str">
        <f>IF(COUNTIF(Customers!$A$2:$A$1001,B2785)&gt;0,"Valid","Invalid")</f>
        <v>Valid</v>
      </c>
      <c r="R2785" t="str">
        <f>IF(COUNTIF(Branches!$A$2:$A$11,F2785)&gt;0,"Valid","Invalid")</f>
        <v>Valid</v>
      </c>
    </row>
    <row r="2786" spans="1:18" x14ac:dyDescent="0.25">
      <c r="A2786" t="s">
        <v>4857</v>
      </c>
      <c r="B2786" t="s">
        <v>983</v>
      </c>
      <c r="C2786" s="8">
        <v>46168</v>
      </c>
      <c r="D2786" t="s">
        <v>2067</v>
      </c>
      <c r="E2786" t="s">
        <v>2068</v>
      </c>
      <c r="F2786" t="s">
        <v>35</v>
      </c>
      <c r="G2786">
        <v>2042.29</v>
      </c>
      <c r="H2786" t="s">
        <v>2060</v>
      </c>
      <c r="I2786" t="str">
        <f>VLOOKUP(B2786,Customers!A:G,7,FALSE)</f>
        <v>Individual</v>
      </c>
      <c r="Q2786" t="str">
        <f>IF(COUNTIF(Customers!$A$2:$A$1001,B2786)&gt;0,"Valid","Invalid")</f>
        <v>Valid</v>
      </c>
      <c r="R2786" t="str">
        <f>IF(COUNTIF(Branches!$A$2:$A$11,F2786)&gt;0,"Valid","Invalid")</f>
        <v>Valid</v>
      </c>
    </row>
    <row r="2787" spans="1:18" x14ac:dyDescent="0.25">
      <c r="A2787" t="s">
        <v>4858</v>
      </c>
      <c r="B2787" t="s">
        <v>961</v>
      </c>
      <c r="C2787" s="8">
        <v>46037</v>
      </c>
      <c r="D2787" t="s">
        <v>2062</v>
      </c>
      <c r="E2787" t="s">
        <v>2059</v>
      </c>
      <c r="F2787" t="s">
        <v>11</v>
      </c>
      <c r="G2787">
        <v>4587.99</v>
      </c>
      <c r="H2787" t="s">
        <v>2060</v>
      </c>
      <c r="I2787" t="str">
        <f>VLOOKUP(B2787,Customers!A:G,7,FALSE)</f>
        <v>SME</v>
      </c>
      <c r="Q2787" t="str">
        <f>IF(COUNTIF(Customers!$A$2:$A$1001,B2787)&gt;0,"Valid","Invalid")</f>
        <v>Valid</v>
      </c>
      <c r="R2787" t="str">
        <f>IF(COUNTIF(Branches!$A$2:$A$11,F2787)&gt;0,"Valid","Invalid")</f>
        <v>Valid</v>
      </c>
    </row>
    <row r="2788" spans="1:18" x14ac:dyDescent="0.25">
      <c r="A2788" t="s">
        <v>4859</v>
      </c>
      <c r="B2788" t="s">
        <v>684</v>
      </c>
      <c r="C2788" s="8">
        <v>46101</v>
      </c>
      <c r="D2788" t="s">
        <v>2062</v>
      </c>
      <c r="E2788" t="s">
        <v>2059</v>
      </c>
      <c r="F2788" t="s">
        <v>29</v>
      </c>
      <c r="G2788">
        <v>316.27999999999997</v>
      </c>
      <c r="H2788" t="s">
        <v>2060</v>
      </c>
      <c r="I2788" t="str">
        <f>VLOOKUP(B2788,Customers!A:G,7,FALSE)</f>
        <v>Student</v>
      </c>
      <c r="Q2788" t="str">
        <f>IF(COUNTIF(Customers!$A$2:$A$1001,B2788)&gt;0,"Valid","Invalid")</f>
        <v>Valid</v>
      </c>
      <c r="R2788" t="str">
        <f>IF(COUNTIF(Branches!$A$2:$A$11,F2788)&gt;0,"Valid","Invalid")</f>
        <v>Valid</v>
      </c>
    </row>
    <row r="2789" spans="1:18" x14ac:dyDescent="0.25">
      <c r="A2789" t="s">
        <v>4860</v>
      </c>
      <c r="B2789" t="s">
        <v>880</v>
      </c>
      <c r="C2789" s="8">
        <v>46156</v>
      </c>
      <c r="D2789" t="s">
        <v>2058</v>
      </c>
      <c r="E2789" t="s">
        <v>2073</v>
      </c>
      <c r="F2789" t="s">
        <v>16</v>
      </c>
      <c r="G2789">
        <v>975.4</v>
      </c>
      <c r="H2789" t="s">
        <v>2060</v>
      </c>
      <c r="I2789" t="str">
        <f>VLOOKUP(B2789,Customers!A:G,7,FALSE)</f>
        <v>SME</v>
      </c>
      <c r="Q2789" t="str">
        <f>IF(COUNTIF(Customers!$A$2:$A$1001,B2789)&gt;0,"Valid","Invalid")</f>
        <v>Valid</v>
      </c>
      <c r="R2789" t="str">
        <f>IF(COUNTIF(Branches!$A$2:$A$11,F2789)&gt;0,"Valid","Invalid")</f>
        <v>Valid</v>
      </c>
    </row>
    <row r="2790" spans="1:18" x14ac:dyDescent="0.25">
      <c r="A2790" t="s">
        <v>4861</v>
      </c>
      <c r="B2790" t="s">
        <v>102</v>
      </c>
      <c r="C2790" s="8">
        <v>46193</v>
      </c>
      <c r="D2790" t="s">
        <v>2062</v>
      </c>
      <c r="E2790" t="s">
        <v>2073</v>
      </c>
      <c r="F2790" t="s">
        <v>29</v>
      </c>
      <c r="G2790">
        <v>2436.66</v>
      </c>
      <c r="H2790" t="s">
        <v>2060</v>
      </c>
      <c r="I2790" t="str">
        <f>VLOOKUP(B2790,Customers!A:G,7,FALSE)</f>
        <v>Corporate</v>
      </c>
      <c r="Q2790" t="str">
        <f>IF(COUNTIF(Customers!$A$2:$A$1001,B2790)&gt;0,"Valid","Invalid")</f>
        <v>Valid</v>
      </c>
      <c r="R2790" t="str">
        <f>IF(COUNTIF(Branches!$A$2:$A$11,F2790)&gt;0,"Valid","Invalid")</f>
        <v>Valid</v>
      </c>
    </row>
    <row r="2791" spans="1:18" x14ac:dyDescent="0.25">
      <c r="A2791" t="s">
        <v>4862</v>
      </c>
      <c r="B2791" t="s">
        <v>830</v>
      </c>
      <c r="C2791" s="8">
        <v>46181</v>
      </c>
      <c r="D2791" t="s">
        <v>2058</v>
      </c>
      <c r="E2791" t="s">
        <v>2059</v>
      </c>
      <c r="F2791" t="s">
        <v>27</v>
      </c>
      <c r="G2791">
        <v>482.89</v>
      </c>
      <c r="H2791" t="s">
        <v>2060</v>
      </c>
      <c r="I2791" t="str">
        <f>VLOOKUP(B2791,Customers!A:G,7,FALSE)</f>
        <v>Corporate</v>
      </c>
      <c r="Q2791" t="str">
        <f>IF(COUNTIF(Customers!$A$2:$A$1001,B2791)&gt;0,"Valid","Invalid")</f>
        <v>Valid</v>
      </c>
      <c r="R2791" t="str">
        <f>IF(COUNTIF(Branches!$A$2:$A$11,F2791)&gt;0,"Valid","Invalid")</f>
        <v>Valid</v>
      </c>
    </row>
    <row r="2792" spans="1:18" x14ac:dyDescent="0.25">
      <c r="A2792" t="s">
        <v>4863</v>
      </c>
      <c r="B2792" t="s">
        <v>460</v>
      </c>
      <c r="C2792" s="8">
        <v>46050</v>
      </c>
      <c r="D2792" t="s">
        <v>2067</v>
      </c>
      <c r="E2792" t="s">
        <v>2068</v>
      </c>
      <c r="F2792" t="s">
        <v>47</v>
      </c>
      <c r="G2792">
        <v>1597.58</v>
      </c>
      <c r="H2792" t="s">
        <v>2060</v>
      </c>
      <c r="I2792" t="str">
        <f>VLOOKUP(B2792,Customers!A:G,7,FALSE)</f>
        <v>Individual</v>
      </c>
      <c r="Q2792" t="str">
        <f>IF(COUNTIF(Customers!$A$2:$A$1001,B2792)&gt;0,"Valid","Invalid")</f>
        <v>Valid</v>
      </c>
      <c r="R2792" t="str">
        <f>IF(COUNTIF(Branches!$A$2:$A$11,F2792)&gt;0,"Valid","Invalid")</f>
        <v>Valid</v>
      </c>
    </row>
    <row r="2793" spans="1:18" x14ac:dyDescent="0.25">
      <c r="A2793" t="s">
        <v>4864</v>
      </c>
      <c r="B2793" t="s">
        <v>578</v>
      </c>
      <c r="C2793" s="8">
        <v>46158</v>
      </c>
      <c r="D2793" t="s">
        <v>2065</v>
      </c>
      <c r="E2793" t="s">
        <v>2063</v>
      </c>
      <c r="F2793" t="s">
        <v>27</v>
      </c>
      <c r="G2793">
        <v>785.41</v>
      </c>
      <c r="H2793" t="s">
        <v>2060</v>
      </c>
      <c r="I2793" t="str">
        <f>VLOOKUP(B2793,Customers!A:G,7,FALSE)</f>
        <v>SME</v>
      </c>
      <c r="Q2793" t="str">
        <f>IF(COUNTIF(Customers!$A$2:$A$1001,B2793)&gt;0,"Valid","Invalid")</f>
        <v>Valid</v>
      </c>
      <c r="R2793" t="str">
        <f>IF(COUNTIF(Branches!$A$2:$A$11,F2793)&gt;0,"Valid","Invalid")</f>
        <v>Valid</v>
      </c>
    </row>
    <row r="2794" spans="1:18" x14ac:dyDescent="0.25">
      <c r="A2794" t="s">
        <v>4865</v>
      </c>
      <c r="B2794" t="s">
        <v>962</v>
      </c>
      <c r="C2794" s="8">
        <v>46179</v>
      </c>
      <c r="D2794" t="s">
        <v>2067</v>
      </c>
      <c r="E2794" t="s">
        <v>2059</v>
      </c>
      <c r="F2794" t="s">
        <v>11</v>
      </c>
      <c r="G2794">
        <v>2671.52</v>
      </c>
      <c r="H2794" t="s">
        <v>2060</v>
      </c>
      <c r="I2794" t="str">
        <f>VLOOKUP(B2794,Customers!A:G,7,FALSE)</f>
        <v>Individual</v>
      </c>
      <c r="Q2794" t="str">
        <f>IF(COUNTIF(Customers!$A$2:$A$1001,B2794)&gt;0,"Valid","Invalid")</f>
        <v>Valid</v>
      </c>
      <c r="R2794" t="str">
        <f>IF(COUNTIF(Branches!$A$2:$A$11,F2794)&gt;0,"Valid","Invalid")</f>
        <v>Valid</v>
      </c>
    </row>
    <row r="2795" spans="1:18" x14ac:dyDescent="0.25">
      <c r="A2795" t="s">
        <v>4866</v>
      </c>
      <c r="B2795" t="s">
        <v>667</v>
      </c>
      <c r="C2795" s="8">
        <v>46171</v>
      </c>
      <c r="D2795" t="s">
        <v>2062</v>
      </c>
      <c r="E2795" t="s">
        <v>2063</v>
      </c>
      <c r="F2795" t="s">
        <v>35</v>
      </c>
      <c r="G2795">
        <v>225.33</v>
      </c>
      <c r="H2795" t="s">
        <v>2115</v>
      </c>
      <c r="I2795" t="str">
        <f>VLOOKUP(B2795,Customers!A:G,7,FALSE)</f>
        <v>Individual</v>
      </c>
      <c r="Q2795" t="str">
        <f>IF(COUNTIF(Customers!$A$2:$A$1001,B2795)&gt;0,"Valid","Invalid")</f>
        <v>Valid</v>
      </c>
      <c r="R2795" t="str">
        <f>IF(COUNTIF(Branches!$A$2:$A$11,F2795)&gt;0,"Valid","Invalid")</f>
        <v>Valid</v>
      </c>
    </row>
    <row r="2796" spans="1:18" x14ac:dyDescent="0.25">
      <c r="A2796" t="s">
        <v>4867</v>
      </c>
      <c r="B2796" t="s">
        <v>531</v>
      </c>
      <c r="C2796" s="8">
        <v>46231</v>
      </c>
      <c r="D2796" t="s">
        <v>2070</v>
      </c>
      <c r="E2796" t="s">
        <v>2063</v>
      </c>
      <c r="F2796" t="s">
        <v>16</v>
      </c>
      <c r="G2796">
        <v>269.19</v>
      </c>
      <c r="H2796" t="s">
        <v>2060</v>
      </c>
      <c r="I2796" t="str">
        <f>VLOOKUP(B2796,Customers!A:G,7,FALSE)</f>
        <v>Individual</v>
      </c>
      <c r="Q2796" t="str">
        <f>IF(COUNTIF(Customers!$A$2:$A$1001,B2796)&gt;0,"Valid","Invalid")</f>
        <v>Valid</v>
      </c>
      <c r="R2796" t="str">
        <f>IF(COUNTIF(Branches!$A$2:$A$11,F2796)&gt;0,"Valid","Invalid")</f>
        <v>Valid</v>
      </c>
    </row>
    <row r="2797" spans="1:18" x14ac:dyDescent="0.25">
      <c r="A2797" t="s">
        <v>4868</v>
      </c>
      <c r="B2797" t="s">
        <v>920</v>
      </c>
      <c r="C2797" s="8">
        <v>46142</v>
      </c>
      <c r="D2797" t="s">
        <v>2065</v>
      </c>
      <c r="E2797" t="s">
        <v>2076</v>
      </c>
      <c r="F2797" t="s">
        <v>53</v>
      </c>
      <c r="G2797">
        <v>1074.42</v>
      </c>
      <c r="H2797" t="s">
        <v>2060</v>
      </c>
      <c r="I2797" t="str">
        <f>VLOOKUP(B2797,Customers!A:G,7,FALSE)</f>
        <v>Individual</v>
      </c>
      <c r="Q2797" t="str">
        <f>IF(COUNTIF(Customers!$A$2:$A$1001,B2797)&gt;0,"Valid","Invalid")</f>
        <v>Valid</v>
      </c>
      <c r="R2797" t="str">
        <f>IF(COUNTIF(Branches!$A$2:$A$11,F2797)&gt;0,"Valid","Invalid")</f>
        <v>Valid</v>
      </c>
    </row>
    <row r="2798" spans="1:18" x14ac:dyDescent="0.25">
      <c r="A2798" t="s">
        <v>4869</v>
      </c>
      <c r="B2798" t="s">
        <v>1037</v>
      </c>
      <c r="C2798" s="8">
        <v>46263</v>
      </c>
      <c r="D2798" t="s">
        <v>2067</v>
      </c>
      <c r="E2798" t="s">
        <v>2059</v>
      </c>
      <c r="F2798" t="s">
        <v>29</v>
      </c>
      <c r="G2798">
        <v>894.45</v>
      </c>
      <c r="H2798" t="s">
        <v>2060</v>
      </c>
      <c r="I2798" t="str">
        <f>VLOOKUP(B2798,Customers!A:G,7,FALSE)</f>
        <v>SME</v>
      </c>
      <c r="Q2798" t="str">
        <f>IF(COUNTIF(Customers!$A$2:$A$1001,B2798)&gt;0,"Valid","Invalid")</f>
        <v>Valid</v>
      </c>
      <c r="R2798" t="str">
        <f>IF(COUNTIF(Branches!$A$2:$A$11,F2798)&gt;0,"Valid","Invalid")</f>
        <v>Valid</v>
      </c>
    </row>
    <row r="2799" spans="1:18" x14ac:dyDescent="0.25">
      <c r="A2799" t="s">
        <v>4870</v>
      </c>
      <c r="B2799" t="s">
        <v>1000</v>
      </c>
      <c r="C2799" s="8">
        <v>46110</v>
      </c>
      <c r="D2799" t="s">
        <v>2065</v>
      </c>
      <c r="E2799" t="s">
        <v>2063</v>
      </c>
      <c r="F2799" t="s">
        <v>39</v>
      </c>
      <c r="G2799">
        <v>767.91</v>
      </c>
      <c r="H2799" t="s">
        <v>2060</v>
      </c>
      <c r="I2799" t="str">
        <f>VLOOKUP(B2799,Customers!A:G,7,FALSE)</f>
        <v>SME</v>
      </c>
      <c r="Q2799" t="str">
        <f>IF(COUNTIF(Customers!$A$2:$A$1001,B2799)&gt;0,"Valid","Invalid")</f>
        <v>Valid</v>
      </c>
      <c r="R2799" t="str">
        <f>IF(COUNTIF(Branches!$A$2:$A$11,F2799)&gt;0,"Valid","Invalid")</f>
        <v>Valid</v>
      </c>
    </row>
    <row r="2800" spans="1:18" x14ac:dyDescent="0.25">
      <c r="A2800" t="s">
        <v>4871</v>
      </c>
      <c r="B2800" t="s">
        <v>355</v>
      </c>
      <c r="C2800" s="8">
        <v>46208</v>
      </c>
      <c r="D2800" t="s">
        <v>2058</v>
      </c>
      <c r="E2800" t="s">
        <v>2059</v>
      </c>
      <c r="F2800" t="s">
        <v>11</v>
      </c>
      <c r="G2800">
        <v>1444.96</v>
      </c>
      <c r="H2800" t="s">
        <v>2060</v>
      </c>
      <c r="I2800" t="str">
        <f>VLOOKUP(B2800,Customers!A:G,7,FALSE)</f>
        <v>Corporate</v>
      </c>
      <c r="Q2800" t="str">
        <f>IF(COUNTIF(Customers!$A$2:$A$1001,B2800)&gt;0,"Valid","Invalid")</f>
        <v>Valid</v>
      </c>
      <c r="R2800" t="str">
        <f>IF(COUNTIF(Branches!$A$2:$A$11,F2800)&gt;0,"Valid","Invalid")</f>
        <v>Valid</v>
      </c>
    </row>
    <row r="2801" spans="1:18" x14ac:dyDescent="0.25">
      <c r="A2801" t="s">
        <v>4872</v>
      </c>
      <c r="B2801" t="s">
        <v>980</v>
      </c>
      <c r="C2801" s="8">
        <v>46210</v>
      </c>
      <c r="D2801" t="s">
        <v>2070</v>
      </c>
      <c r="E2801" t="s">
        <v>2059</v>
      </c>
      <c r="F2801" t="s">
        <v>16</v>
      </c>
      <c r="G2801">
        <v>320.33</v>
      </c>
      <c r="H2801" t="s">
        <v>2060</v>
      </c>
      <c r="I2801" t="str">
        <f>VLOOKUP(B2801,Customers!A:G,7,FALSE)</f>
        <v>Individual</v>
      </c>
      <c r="Q2801" t="str">
        <f>IF(COUNTIF(Customers!$A$2:$A$1001,B2801)&gt;0,"Valid","Invalid")</f>
        <v>Valid</v>
      </c>
      <c r="R2801" t="str">
        <f>IF(COUNTIF(Branches!$A$2:$A$11,F2801)&gt;0,"Valid","Invalid")</f>
        <v>Valid</v>
      </c>
    </row>
    <row r="2802" spans="1:18" x14ac:dyDescent="0.25">
      <c r="A2802" t="s">
        <v>4873</v>
      </c>
      <c r="B2802" t="s">
        <v>875</v>
      </c>
      <c r="C2802" s="8">
        <v>46200</v>
      </c>
      <c r="D2802" t="s">
        <v>2058</v>
      </c>
      <c r="E2802" t="s">
        <v>2073</v>
      </c>
      <c r="F2802" t="s">
        <v>29</v>
      </c>
      <c r="G2802">
        <v>206.55</v>
      </c>
      <c r="H2802" t="s">
        <v>2060</v>
      </c>
      <c r="I2802" t="str">
        <f>VLOOKUP(B2802,Customers!A:G,7,FALSE)</f>
        <v>Student</v>
      </c>
      <c r="Q2802" t="str">
        <f>IF(COUNTIF(Customers!$A$2:$A$1001,B2802)&gt;0,"Valid","Invalid")</f>
        <v>Valid</v>
      </c>
      <c r="R2802" t="str">
        <f>IF(COUNTIF(Branches!$A$2:$A$11,F2802)&gt;0,"Valid","Invalid")</f>
        <v>Valid</v>
      </c>
    </row>
    <row r="2803" spans="1:18" x14ac:dyDescent="0.25">
      <c r="A2803" t="s">
        <v>4874</v>
      </c>
      <c r="B2803" t="s">
        <v>664</v>
      </c>
      <c r="C2803" s="8">
        <v>46250</v>
      </c>
      <c r="D2803" t="s">
        <v>2058</v>
      </c>
      <c r="E2803" t="s">
        <v>2068</v>
      </c>
      <c r="F2803" t="s">
        <v>29</v>
      </c>
      <c r="G2803">
        <v>492.7</v>
      </c>
      <c r="H2803" t="s">
        <v>2060</v>
      </c>
      <c r="I2803" t="str">
        <f>VLOOKUP(B2803,Customers!A:G,7,FALSE)</f>
        <v>Individual</v>
      </c>
      <c r="Q2803" t="str">
        <f>IF(COUNTIF(Customers!$A$2:$A$1001,B2803)&gt;0,"Valid","Invalid")</f>
        <v>Valid</v>
      </c>
      <c r="R2803" t="str">
        <f>IF(COUNTIF(Branches!$A$2:$A$11,F2803)&gt;0,"Valid","Invalid")</f>
        <v>Valid</v>
      </c>
    </row>
    <row r="2804" spans="1:18" x14ac:dyDescent="0.25">
      <c r="A2804" t="s">
        <v>4875</v>
      </c>
      <c r="B2804" t="s">
        <v>111</v>
      </c>
      <c r="C2804" s="8">
        <v>46053</v>
      </c>
      <c r="D2804" t="s">
        <v>2058</v>
      </c>
      <c r="E2804" t="s">
        <v>2059</v>
      </c>
      <c r="F2804" t="s">
        <v>39</v>
      </c>
      <c r="G2804">
        <v>550.99</v>
      </c>
      <c r="H2804" t="s">
        <v>2060</v>
      </c>
      <c r="I2804" t="str">
        <f>VLOOKUP(B2804,Customers!A:G,7,FALSE)</f>
        <v>Student</v>
      </c>
      <c r="Q2804" t="str">
        <f>IF(COUNTIF(Customers!$A$2:$A$1001,B2804)&gt;0,"Valid","Invalid")</f>
        <v>Valid</v>
      </c>
      <c r="R2804" t="str">
        <f>IF(COUNTIF(Branches!$A$2:$A$11,F2804)&gt;0,"Valid","Invalid")</f>
        <v>Valid</v>
      </c>
    </row>
    <row r="2805" spans="1:18" x14ac:dyDescent="0.25">
      <c r="A2805" t="s">
        <v>4876</v>
      </c>
      <c r="B2805" t="s">
        <v>752</v>
      </c>
      <c r="C2805" s="8">
        <v>46069</v>
      </c>
      <c r="D2805" t="s">
        <v>2065</v>
      </c>
      <c r="E2805" t="s">
        <v>2073</v>
      </c>
      <c r="F2805" t="s">
        <v>21</v>
      </c>
      <c r="G2805">
        <v>611.71</v>
      </c>
      <c r="H2805" t="s">
        <v>2115</v>
      </c>
      <c r="I2805" t="str">
        <f>VLOOKUP(B2805,Customers!A:G,7,FALSE)</f>
        <v>Individual</v>
      </c>
      <c r="Q2805" t="str">
        <f>IF(COUNTIF(Customers!$A$2:$A$1001,B2805)&gt;0,"Valid","Invalid")</f>
        <v>Valid</v>
      </c>
      <c r="R2805" t="str">
        <f>IF(COUNTIF(Branches!$A$2:$A$11,F2805)&gt;0,"Valid","Invalid")</f>
        <v>Valid</v>
      </c>
    </row>
    <row r="2806" spans="1:18" x14ac:dyDescent="0.25">
      <c r="A2806" t="s">
        <v>4877</v>
      </c>
      <c r="B2806" t="s">
        <v>977</v>
      </c>
      <c r="C2806" s="8">
        <v>46056</v>
      </c>
      <c r="D2806" t="s">
        <v>2062</v>
      </c>
      <c r="E2806" t="s">
        <v>2059</v>
      </c>
      <c r="F2806" t="s">
        <v>53</v>
      </c>
      <c r="G2806">
        <v>2890.1</v>
      </c>
      <c r="H2806" t="s">
        <v>2060</v>
      </c>
      <c r="I2806" t="str">
        <f>VLOOKUP(B2806,Customers!A:G,7,FALSE)</f>
        <v>Corporate</v>
      </c>
      <c r="Q2806" t="str">
        <f>IF(COUNTIF(Customers!$A$2:$A$1001,B2806)&gt;0,"Valid","Invalid")</f>
        <v>Valid</v>
      </c>
      <c r="R2806" t="str">
        <f>IF(COUNTIF(Branches!$A$2:$A$11,F2806)&gt;0,"Valid","Invalid")</f>
        <v>Valid</v>
      </c>
    </row>
    <row r="2807" spans="1:18" x14ac:dyDescent="0.25">
      <c r="A2807" t="s">
        <v>4878</v>
      </c>
      <c r="B2807" t="s">
        <v>95</v>
      </c>
      <c r="C2807" s="8">
        <v>46024</v>
      </c>
      <c r="D2807" t="s">
        <v>2058</v>
      </c>
      <c r="E2807" t="s">
        <v>2076</v>
      </c>
      <c r="F2807" t="s">
        <v>47</v>
      </c>
      <c r="G2807">
        <v>1755.34</v>
      </c>
      <c r="H2807" t="s">
        <v>2060</v>
      </c>
      <c r="I2807" t="str">
        <f>VLOOKUP(B2807,Customers!A:G,7,FALSE)</f>
        <v>SME</v>
      </c>
      <c r="Q2807" t="str">
        <f>IF(COUNTIF(Customers!$A$2:$A$1001,B2807)&gt;0,"Valid","Invalid")</f>
        <v>Valid</v>
      </c>
      <c r="R2807" t="str">
        <f>IF(COUNTIF(Branches!$A$2:$A$11,F2807)&gt;0,"Valid","Invalid")</f>
        <v>Valid</v>
      </c>
    </row>
    <row r="2808" spans="1:18" x14ac:dyDescent="0.25">
      <c r="A2808" t="s">
        <v>4879</v>
      </c>
      <c r="B2808" t="s">
        <v>424</v>
      </c>
      <c r="C2808" s="8">
        <v>46128</v>
      </c>
      <c r="D2808" t="s">
        <v>2058</v>
      </c>
      <c r="E2808" t="s">
        <v>2073</v>
      </c>
      <c r="F2808" t="s">
        <v>11</v>
      </c>
      <c r="G2808">
        <v>1384.7</v>
      </c>
      <c r="H2808" t="s">
        <v>2060</v>
      </c>
      <c r="I2808" t="str">
        <f>VLOOKUP(B2808,Customers!A:G,7,FALSE)</f>
        <v>Corporate</v>
      </c>
      <c r="Q2808" t="str">
        <f>IF(COUNTIF(Customers!$A$2:$A$1001,B2808)&gt;0,"Valid","Invalid")</f>
        <v>Valid</v>
      </c>
      <c r="R2808" t="str">
        <f>IF(COUNTIF(Branches!$A$2:$A$11,F2808)&gt;0,"Valid","Invalid")</f>
        <v>Valid</v>
      </c>
    </row>
    <row r="2809" spans="1:18" x14ac:dyDescent="0.25">
      <c r="A2809" t="s">
        <v>4880</v>
      </c>
      <c r="B2809" t="s">
        <v>48</v>
      </c>
      <c r="C2809" s="8">
        <v>46217</v>
      </c>
      <c r="D2809" t="s">
        <v>2062</v>
      </c>
      <c r="E2809" t="s">
        <v>2059</v>
      </c>
      <c r="F2809" t="s">
        <v>11</v>
      </c>
      <c r="G2809">
        <v>1014.35</v>
      </c>
      <c r="H2809" t="s">
        <v>2060</v>
      </c>
      <c r="I2809" t="str">
        <f>VLOOKUP(B2809,Customers!A:G,7,FALSE)</f>
        <v>Individual</v>
      </c>
      <c r="Q2809" t="str">
        <f>IF(COUNTIF(Customers!$A$2:$A$1001,B2809)&gt;0,"Valid","Invalid")</f>
        <v>Valid</v>
      </c>
      <c r="R2809" t="str">
        <f>IF(COUNTIF(Branches!$A$2:$A$11,F2809)&gt;0,"Valid","Invalid")</f>
        <v>Valid</v>
      </c>
    </row>
    <row r="2810" spans="1:18" x14ac:dyDescent="0.25">
      <c r="A2810" t="s">
        <v>4881</v>
      </c>
      <c r="B2810" t="s">
        <v>268</v>
      </c>
      <c r="C2810" s="8">
        <v>46116</v>
      </c>
      <c r="D2810" t="s">
        <v>2062</v>
      </c>
      <c r="E2810" t="s">
        <v>2076</v>
      </c>
      <c r="F2810" t="s">
        <v>47</v>
      </c>
      <c r="G2810">
        <v>526.27</v>
      </c>
      <c r="H2810" t="s">
        <v>2060</v>
      </c>
      <c r="I2810" t="str">
        <f>VLOOKUP(B2810,Customers!A:G,7,FALSE)</f>
        <v>Individual</v>
      </c>
      <c r="Q2810" t="str">
        <f>IF(COUNTIF(Customers!$A$2:$A$1001,B2810)&gt;0,"Valid","Invalid")</f>
        <v>Valid</v>
      </c>
      <c r="R2810" t="str">
        <f>IF(COUNTIF(Branches!$A$2:$A$11,F2810)&gt;0,"Valid","Invalid")</f>
        <v>Valid</v>
      </c>
    </row>
    <row r="2811" spans="1:18" x14ac:dyDescent="0.25">
      <c r="A2811" t="s">
        <v>4882</v>
      </c>
      <c r="B2811" t="s">
        <v>655</v>
      </c>
      <c r="C2811" s="8">
        <v>46094</v>
      </c>
      <c r="D2811" t="s">
        <v>2062</v>
      </c>
      <c r="E2811" t="s">
        <v>2063</v>
      </c>
      <c r="F2811" t="s">
        <v>35</v>
      </c>
      <c r="G2811">
        <v>345.87</v>
      </c>
      <c r="H2811" t="s">
        <v>2060</v>
      </c>
      <c r="I2811" t="str">
        <f>VLOOKUP(B2811,Customers!A:G,7,FALSE)</f>
        <v>Individual</v>
      </c>
      <c r="Q2811" t="str">
        <f>IF(COUNTIF(Customers!$A$2:$A$1001,B2811)&gt;0,"Valid","Invalid")</f>
        <v>Valid</v>
      </c>
      <c r="R2811" t="str">
        <f>IF(COUNTIF(Branches!$A$2:$A$11,F2811)&gt;0,"Valid","Invalid")</f>
        <v>Valid</v>
      </c>
    </row>
    <row r="2812" spans="1:18" x14ac:dyDescent="0.25">
      <c r="A2812" t="s">
        <v>4883</v>
      </c>
      <c r="B2812" t="s">
        <v>715</v>
      </c>
      <c r="C2812" s="8">
        <v>46074</v>
      </c>
      <c r="D2812" t="s">
        <v>2070</v>
      </c>
      <c r="E2812" t="s">
        <v>2063</v>
      </c>
      <c r="F2812" t="s">
        <v>29</v>
      </c>
      <c r="G2812">
        <v>245.39</v>
      </c>
      <c r="H2812" t="s">
        <v>2060</v>
      </c>
      <c r="I2812" t="str">
        <f>VLOOKUP(B2812,Customers!A:G,7,FALSE)</f>
        <v>Individual</v>
      </c>
      <c r="Q2812" t="str">
        <f>IF(COUNTIF(Customers!$A$2:$A$1001,B2812)&gt;0,"Valid","Invalid")</f>
        <v>Valid</v>
      </c>
      <c r="R2812" t="str">
        <f>IF(COUNTIF(Branches!$A$2:$A$11,F2812)&gt;0,"Valid","Invalid")</f>
        <v>Valid</v>
      </c>
    </row>
    <row r="2813" spans="1:18" x14ac:dyDescent="0.25">
      <c r="A2813" t="s">
        <v>4884</v>
      </c>
      <c r="B2813" t="s">
        <v>236</v>
      </c>
      <c r="C2813" s="8">
        <v>46157</v>
      </c>
      <c r="D2813" t="s">
        <v>2070</v>
      </c>
      <c r="E2813" t="s">
        <v>2059</v>
      </c>
      <c r="F2813" t="s">
        <v>11</v>
      </c>
      <c r="G2813">
        <v>405.65</v>
      </c>
      <c r="H2813" t="s">
        <v>2107</v>
      </c>
      <c r="I2813" t="str">
        <f>VLOOKUP(B2813,Customers!A:G,7,FALSE)</f>
        <v>Individual</v>
      </c>
      <c r="Q2813" t="str">
        <f>IF(COUNTIF(Customers!$A$2:$A$1001,B2813)&gt;0,"Valid","Invalid")</f>
        <v>Valid</v>
      </c>
      <c r="R2813" t="str">
        <f>IF(COUNTIF(Branches!$A$2:$A$11,F2813)&gt;0,"Valid","Invalid")</f>
        <v>Valid</v>
      </c>
    </row>
    <row r="2814" spans="1:18" x14ac:dyDescent="0.25">
      <c r="A2814" t="s">
        <v>4885</v>
      </c>
      <c r="B2814" t="s">
        <v>954</v>
      </c>
      <c r="C2814" s="8">
        <v>46226</v>
      </c>
      <c r="D2814" t="s">
        <v>2058</v>
      </c>
      <c r="E2814" t="s">
        <v>2073</v>
      </c>
      <c r="F2814" t="s">
        <v>21</v>
      </c>
      <c r="G2814">
        <v>778.27</v>
      </c>
      <c r="H2814" t="s">
        <v>2060</v>
      </c>
      <c r="I2814" t="str">
        <f>VLOOKUP(B2814,Customers!A:G,7,FALSE)</f>
        <v>Individual</v>
      </c>
      <c r="Q2814" t="str">
        <f>IF(COUNTIF(Customers!$A$2:$A$1001,B2814)&gt;0,"Valid","Invalid")</f>
        <v>Valid</v>
      </c>
      <c r="R2814" t="str">
        <f>IF(COUNTIF(Branches!$A$2:$A$11,F2814)&gt;0,"Valid","Invalid")</f>
        <v>Valid</v>
      </c>
    </row>
    <row r="2815" spans="1:18" x14ac:dyDescent="0.25">
      <c r="A2815" t="s">
        <v>4886</v>
      </c>
      <c r="B2815" t="s">
        <v>392</v>
      </c>
      <c r="C2815" s="8">
        <v>46169</v>
      </c>
      <c r="D2815" t="s">
        <v>2065</v>
      </c>
      <c r="E2815" t="s">
        <v>2059</v>
      </c>
      <c r="F2815" t="s">
        <v>29</v>
      </c>
      <c r="G2815">
        <v>255.96</v>
      </c>
      <c r="H2815" t="s">
        <v>2060</v>
      </c>
      <c r="I2815" t="str">
        <f>VLOOKUP(B2815,Customers!A:G,7,FALSE)</f>
        <v>SME</v>
      </c>
      <c r="Q2815" t="str">
        <f>IF(COUNTIF(Customers!$A$2:$A$1001,B2815)&gt;0,"Valid","Invalid")</f>
        <v>Valid</v>
      </c>
      <c r="R2815" t="str">
        <f>IF(COUNTIF(Branches!$A$2:$A$11,F2815)&gt;0,"Valid","Invalid")</f>
        <v>Valid</v>
      </c>
    </row>
    <row r="2816" spans="1:18" x14ac:dyDescent="0.25">
      <c r="A2816" t="s">
        <v>4887</v>
      </c>
      <c r="B2816" t="s">
        <v>69</v>
      </c>
      <c r="C2816" s="8">
        <v>46112</v>
      </c>
      <c r="D2816" t="s">
        <v>2067</v>
      </c>
      <c r="E2816" t="s">
        <v>2073</v>
      </c>
      <c r="F2816" t="s">
        <v>35</v>
      </c>
      <c r="G2816">
        <v>962.49</v>
      </c>
      <c r="H2816" t="s">
        <v>2060</v>
      </c>
      <c r="I2816" t="str">
        <f>VLOOKUP(B2816,Customers!A:G,7,FALSE)</f>
        <v>Individual</v>
      </c>
      <c r="Q2816" t="str">
        <f>IF(COUNTIF(Customers!$A$2:$A$1001,B2816)&gt;0,"Valid","Invalid")</f>
        <v>Valid</v>
      </c>
      <c r="R2816" t="str">
        <f>IF(COUNTIF(Branches!$A$2:$A$11,F2816)&gt;0,"Valid","Invalid")</f>
        <v>Valid</v>
      </c>
    </row>
    <row r="2817" spans="1:18" x14ac:dyDescent="0.25">
      <c r="A2817" t="s">
        <v>4888</v>
      </c>
      <c r="B2817" t="s">
        <v>198</v>
      </c>
      <c r="C2817" s="8">
        <v>46114</v>
      </c>
      <c r="D2817" t="s">
        <v>2062</v>
      </c>
      <c r="E2817" t="s">
        <v>2073</v>
      </c>
      <c r="F2817" t="s">
        <v>39</v>
      </c>
      <c r="G2817">
        <v>668.85</v>
      </c>
      <c r="H2817" t="s">
        <v>2060</v>
      </c>
      <c r="I2817" t="str">
        <f>VLOOKUP(B2817,Customers!A:G,7,FALSE)</f>
        <v>Individual</v>
      </c>
      <c r="Q2817" t="str">
        <f>IF(COUNTIF(Customers!$A$2:$A$1001,B2817)&gt;0,"Valid","Invalid")</f>
        <v>Valid</v>
      </c>
      <c r="R2817" t="str">
        <f>IF(COUNTIF(Branches!$A$2:$A$11,F2817)&gt;0,"Valid","Invalid")</f>
        <v>Valid</v>
      </c>
    </row>
    <row r="2818" spans="1:18" x14ac:dyDescent="0.25">
      <c r="A2818" t="s">
        <v>4889</v>
      </c>
      <c r="B2818" t="s">
        <v>795</v>
      </c>
      <c r="C2818" s="8">
        <v>46165</v>
      </c>
      <c r="D2818" t="s">
        <v>2065</v>
      </c>
      <c r="E2818" t="s">
        <v>2063</v>
      </c>
      <c r="F2818" t="s">
        <v>29</v>
      </c>
      <c r="G2818">
        <v>546.04999999999995</v>
      </c>
      <c r="H2818" t="s">
        <v>2115</v>
      </c>
      <c r="I2818" t="str">
        <f>VLOOKUP(B2818,Customers!A:G,7,FALSE)</f>
        <v>Individual</v>
      </c>
      <c r="Q2818" t="str">
        <f>IF(COUNTIF(Customers!$A$2:$A$1001,B2818)&gt;0,"Valid","Invalid")</f>
        <v>Valid</v>
      </c>
      <c r="R2818" t="str">
        <f>IF(COUNTIF(Branches!$A$2:$A$11,F2818)&gt;0,"Valid","Invalid")</f>
        <v>Valid</v>
      </c>
    </row>
    <row r="2819" spans="1:18" x14ac:dyDescent="0.25">
      <c r="A2819" t="s">
        <v>4890</v>
      </c>
      <c r="B2819" t="s">
        <v>1020</v>
      </c>
      <c r="C2819" s="8">
        <v>46100</v>
      </c>
      <c r="D2819" t="s">
        <v>2065</v>
      </c>
      <c r="E2819" t="s">
        <v>2059</v>
      </c>
      <c r="F2819" t="s">
        <v>35</v>
      </c>
      <c r="G2819">
        <v>2595.5</v>
      </c>
      <c r="H2819" t="s">
        <v>2060</v>
      </c>
      <c r="I2819" t="str">
        <f>VLOOKUP(B2819,Customers!A:G,7,FALSE)</f>
        <v>Individual</v>
      </c>
      <c r="Q2819" t="str">
        <f>IF(COUNTIF(Customers!$A$2:$A$1001,B2819)&gt;0,"Valid","Invalid")</f>
        <v>Valid</v>
      </c>
      <c r="R2819" t="str">
        <f>IF(COUNTIF(Branches!$A$2:$A$11,F2819)&gt;0,"Valid","Invalid")</f>
        <v>Valid</v>
      </c>
    </row>
    <row r="2820" spans="1:18" x14ac:dyDescent="0.25">
      <c r="A2820" t="s">
        <v>4891</v>
      </c>
      <c r="B2820" t="s">
        <v>837</v>
      </c>
      <c r="C2820" s="8">
        <v>46198</v>
      </c>
      <c r="D2820" t="s">
        <v>2065</v>
      </c>
      <c r="E2820" t="s">
        <v>2076</v>
      </c>
      <c r="F2820" t="s">
        <v>53</v>
      </c>
      <c r="G2820">
        <v>69.36</v>
      </c>
      <c r="H2820" t="s">
        <v>2060</v>
      </c>
      <c r="I2820" t="str">
        <f>VLOOKUP(B2820,Customers!A:G,7,FALSE)</f>
        <v>Individual</v>
      </c>
      <c r="Q2820" t="str">
        <f>IF(COUNTIF(Customers!$A$2:$A$1001,B2820)&gt;0,"Valid","Invalid")</f>
        <v>Valid</v>
      </c>
      <c r="R2820" t="str">
        <f>IF(COUNTIF(Branches!$A$2:$A$11,F2820)&gt;0,"Valid","Invalid")</f>
        <v>Valid</v>
      </c>
    </row>
    <row r="2821" spans="1:18" x14ac:dyDescent="0.25">
      <c r="A2821" t="s">
        <v>4892</v>
      </c>
      <c r="B2821" t="s">
        <v>933</v>
      </c>
      <c r="C2821" s="8">
        <v>46147</v>
      </c>
      <c r="D2821" t="s">
        <v>2062</v>
      </c>
      <c r="E2821" t="s">
        <v>2059</v>
      </c>
      <c r="F2821" t="s">
        <v>39</v>
      </c>
      <c r="G2821">
        <v>553.5</v>
      </c>
      <c r="H2821" t="s">
        <v>2060</v>
      </c>
      <c r="I2821" t="str">
        <f>VLOOKUP(B2821,Customers!A:G,7,FALSE)</f>
        <v>Student</v>
      </c>
      <c r="Q2821" t="str">
        <f>IF(COUNTIF(Customers!$A$2:$A$1001,B2821)&gt;0,"Valid","Invalid")</f>
        <v>Valid</v>
      </c>
      <c r="R2821" t="str">
        <f>IF(COUNTIF(Branches!$A$2:$A$11,F2821)&gt;0,"Valid","Invalid")</f>
        <v>Valid</v>
      </c>
    </row>
    <row r="2822" spans="1:18" x14ac:dyDescent="0.25">
      <c r="A2822" t="s">
        <v>4893</v>
      </c>
      <c r="B2822" t="s">
        <v>509</v>
      </c>
      <c r="C2822" s="8">
        <v>46164</v>
      </c>
      <c r="D2822" t="s">
        <v>2058</v>
      </c>
      <c r="E2822" t="s">
        <v>2063</v>
      </c>
      <c r="F2822" t="s">
        <v>35</v>
      </c>
      <c r="G2822">
        <v>77.290000000000006</v>
      </c>
      <c r="H2822" t="s">
        <v>2107</v>
      </c>
      <c r="I2822" t="str">
        <f>VLOOKUP(B2822,Customers!A:G,7,FALSE)</f>
        <v>Student</v>
      </c>
      <c r="Q2822" t="str">
        <f>IF(COUNTIF(Customers!$A$2:$A$1001,B2822)&gt;0,"Valid","Invalid")</f>
        <v>Valid</v>
      </c>
      <c r="R2822" t="str">
        <f>IF(COUNTIF(Branches!$A$2:$A$11,F2822)&gt;0,"Valid","Invalid")</f>
        <v>Valid</v>
      </c>
    </row>
    <row r="2823" spans="1:18" x14ac:dyDescent="0.25">
      <c r="A2823" t="s">
        <v>4894</v>
      </c>
      <c r="B2823" t="s">
        <v>569</v>
      </c>
      <c r="C2823" s="8">
        <v>46153</v>
      </c>
      <c r="D2823" t="s">
        <v>2067</v>
      </c>
      <c r="E2823" t="s">
        <v>2073</v>
      </c>
      <c r="F2823" t="s">
        <v>35</v>
      </c>
      <c r="G2823">
        <v>1031.29</v>
      </c>
      <c r="H2823" t="s">
        <v>2060</v>
      </c>
      <c r="I2823" t="str">
        <f>VLOOKUP(B2823,Customers!A:G,7,FALSE)</f>
        <v>Individual</v>
      </c>
      <c r="Q2823" t="str">
        <f>IF(COUNTIF(Customers!$A$2:$A$1001,B2823)&gt;0,"Valid","Invalid")</f>
        <v>Valid</v>
      </c>
      <c r="R2823" t="str">
        <f>IF(COUNTIF(Branches!$A$2:$A$11,F2823)&gt;0,"Valid","Invalid")</f>
        <v>Valid</v>
      </c>
    </row>
    <row r="2824" spans="1:18" x14ac:dyDescent="0.25">
      <c r="A2824" t="s">
        <v>4895</v>
      </c>
      <c r="B2824" t="s">
        <v>1002</v>
      </c>
      <c r="C2824" s="8">
        <v>46072</v>
      </c>
      <c r="D2824" t="s">
        <v>2065</v>
      </c>
      <c r="E2824" t="s">
        <v>2068</v>
      </c>
      <c r="F2824" t="s">
        <v>11</v>
      </c>
      <c r="G2824">
        <v>1740.94</v>
      </c>
      <c r="H2824" t="s">
        <v>2060</v>
      </c>
      <c r="I2824" t="str">
        <f>VLOOKUP(B2824,Customers!A:G,7,FALSE)</f>
        <v>Student</v>
      </c>
      <c r="Q2824" t="str">
        <f>IF(COUNTIF(Customers!$A$2:$A$1001,B2824)&gt;0,"Valid","Invalid")</f>
        <v>Valid</v>
      </c>
      <c r="R2824" t="str">
        <f>IF(COUNTIF(Branches!$A$2:$A$11,F2824)&gt;0,"Valid","Invalid")</f>
        <v>Valid</v>
      </c>
    </row>
    <row r="2825" spans="1:18" x14ac:dyDescent="0.25">
      <c r="A2825" t="s">
        <v>4896</v>
      </c>
      <c r="B2825" t="s">
        <v>830</v>
      </c>
      <c r="C2825" s="8">
        <v>46115</v>
      </c>
      <c r="D2825" t="s">
        <v>2062</v>
      </c>
      <c r="E2825" t="s">
        <v>2059</v>
      </c>
      <c r="F2825" t="s">
        <v>47</v>
      </c>
      <c r="G2825">
        <v>210.38</v>
      </c>
      <c r="H2825" t="s">
        <v>2060</v>
      </c>
      <c r="I2825" t="str">
        <f>VLOOKUP(B2825,Customers!A:G,7,FALSE)</f>
        <v>Corporate</v>
      </c>
      <c r="Q2825" t="str">
        <f>IF(COUNTIF(Customers!$A$2:$A$1001,B2825)&gt;0,"Valid","Invalid")</f>
        <v>Valid</v>
      </c>
      <c r="R2825" t="str">
        <f>IF(COUNTIF(Branches!$A$2:$A$11,F2825)&gt;0,"Valid","Invalid")</f>
        <v>Valid</v>
      </c>
    </row>
    <row r="2826" spans="1:18" x14ac:dyDescent="0.25">
      <c r="A2826" t="s">
        <v>4897</v>
      </c>
      <c r="B2826" t="s">
        <v>890</v>
      </c>
      <c r="C2826" s="8">
        <v>46146</v>
      </c>
      <c r="D2826" t="s">
        <v>2067</v>
      </c>
      <c r="E2826" t="s">
        <v>2076</v>
      </c>
      <c r="F2826" t="s">
        <v>47</v>
      </c>
      <c r="G2826">
        <v>239.11</v>
      </c>
      <c r="H2826" t="s">
        <v>2060</v>
      </c>
      <c r="I2826" t="str">
        <f>VLOOKUP(B2826,Customers!A:G,7,FALSE)</f>
        <v>Student</v>
      </c>
      <c r="Q2826" t="str">
        <f>IF(COUNTIF(Customers!$A$2:$A$1001,B2826)&gt;0,"Valid","Invalid")</f>
        <v>Valid</v>
      </c>
      <c r="R2826" t="str">
        <f>IF(COUNTIF(Branches!$A$2:$A$11,F2826)&gt;0,"Valid","Invalid")</f>
        <v>Valid</v>
      </c>
    </row>
    <row r="2827" spans="1:18" x14ac:dyDescent="0.25">
      <c r="A2827" t="s">
        <v>4898</v>
      </c>
      <c r="B2827" t="s">
        <v>461</v>
      </c>
      <c r="C2827" s="8">
        <v>46076</v>
      </c>
      <c r="D2827" t="s">
        <v>2065</v>
      </c>
      <c r="E2827" t="s">
        <v>2063</v>
      </c>
      <c r="F2827" t="s">
        <v>21</v>
      </c>
      <c r="G2827">
        <v>148.66999999999999</v>
      </c>
      <c r="H2827" t="s">
        <v>2060</v>
      </c>
      <c r="I2827" t="str">
        <f>VLOOKUP(B2827,Customers!A:G,7,FALSE)</f>
        <v>Individual</v>
      </c>
      <c r="Q2827" t="str">
        <f>IF(COUNTIF(Customers!$A$2:$A$1001,B2827)&gt;0,"Valid","Invalid")</f>
        <v>Valid</v>
      </c>
      <c r="R2827" t="str">
        <f>IF(COUNTIF(Branches!$A$2:$A$11,F2827)&gt;0,"Valid","Invalid")</f>
        <v>Valid</v>
      </c>
    </row>
    <row r="2828" spans="1:18" x14ac:dyDescent="0.25">
      <c r="A2828" t="s">
        <v>4899</v>
      </c>
      <c r="B2828" t="s">
        <v>386</v>
      </c>
      <c r="C2828" s="8">
        <v>46156</v>
      </c>
      <c r="D2828" t="s">
        <v>2058</v>
      </c>
      <c r="E2828" t="s">
        <v>2059</v>
      </c>
      <c r="F2828" t="s">
        <v>35</v>
      </c>
      <c r="G2828">
        <v>865.79</v>
      </c>
      <c r="H2828" t="s">
        <v>2060</v>
      </c>
      <c r="I2828" t="str">
        <f>VLOOKUP(B2828,Customers!A:G,7,FALSE)</f>
        <v>SME</v>
      </c>
      <c r="Q2828" t="str">
        <f>IF(COUNTIF(Customers!$A$2:$A$1001,B2828)&gt;0,"Valid","Invalid")</f>
        <v>Valid</v>
      </c>
      <c r="R2828" t="str">
        <f>IF(COUNTIF(Branches!$A$2:$A$11,F2828)&gt;0,"Valid","Invalid")</f>
        <v>Valid</v>
      </c>
    </row>
    <row r="2829" spans="1:18" x14ac:dyDescent="0.25">
      <c r="A2829" t="s">
        <v>4900</v>
      </c>
      <c r="B2829" t="s">
        <v>732</v>
      </c>
      <c r="C2829" s="8">
        <v>46199</v>
      </c>
      <c r="D2829" t="s">
        <v>2058</v>
      </c>
      <c r="E2829" t="s">
        <v>2073</v>
      </c>
      <c r="F2829" t="s">
        <v>29</v>
      </c>
      <c r="G2829">
        <v>577.79</v>
      </c>
      <c r="H2829" t="s">
        <v>2060</v>
      </c>
      <c r="I2829" t="str">
        <f>VLOOKUP(B2829,Customers!A:G,7,FALSE)</f>
        <v>SME</v>
      </c>
      <c r="Q2829" t="str">
        <f>IF(COUNTIF(Customers!$A$2:$A$1001,B2829)&gt;0,"Valid","Invalid")</f>
        <v>Valid</v>
      </c>
      <c r="R2829" t="str">
        <f>IF(COUNTIF(Branches!$A$2:$A$11,F2829)&gt;0,"Valid","Invalid")</f>
        <v>Valid</v>
      </c>
    </row>
    <row r="2830" spans="1:18" x14ac:dyDescent="0.25">
      <c r="A2830" t="s">
        <v>4901</v>
      </c>
      <c r="B2830" t="s">
        <v>973</v>
      </c>
      <c r="C2830" s="8">
        <v>46173</v>
      </c>
      <c r="D2830" t="s">
        <v>2067</v>
      </c>
      <c r="E2830" t="s">
        <v>2068</v>
      </c>
      <c r="F2830" t="s">
        <v>29</v>
      </c>
      <c r="G2830">
        <v>614.83000000000004</v>
      </c>
      <c r="H2830" t="s">
        <v>2060</v>
      </c>
      <c r="I2830" t="str">
        <f>VLOOKUP(B2830,Customers!A:G,7,FALSE)</f>
        <v>Individual</v>
      </c>
      <c r="Q2830" t="str">
        <f>IF(COUNTIF(Customers!$A$2:$A$1001,B2830)&gt;0,"Valid","Invalid")</f>
        <v>Valid</v>
      </c>
      <c r="R2830" t="str">
        <f>IF(COUNTIF(Branches!$A$2:$A$11,F2830)&gt;0,"Valid","Invalid")</f>
        <v>Valid</v>
      </c>
    </row>
    <row r="2831" spans="1:18" x14ac:dyDescent="0.25">
      <c r="A2831" t="s">
        <v>4902</v>
      </c>
      <c r="B2831" t="s">
        <v>951</v>
      </c>
      <c r="C2831" s="8">
        <v>46242</v>
      </c>
      <c r="D2831" t="s">
        <v>2058</v>
      </c>
      <c r="E2831" t="s">
        <v>2063</v>
      </c>
      <c r="F2831" t="s">
        <v>45</v>
      </c>
      <c r="G2831">
        <v>562.29999999999995</v>
      </c>
      <c r="H2831" t="s">
        <v>2115</v>
      </c>
      <c r="I2831" t="str">
        <f>VLOOKUP(B2831,Customers!A:G,7,FALSE)</f>
        <v>Individual</v>
      </c>
      <c r="Q2831" t="str">
        <f>IF(COUNTIF(Customers!$A$2:$A$1001,B2831)&gt;0,"Valid","Invalid")</f>
        <v>Valid</v>
      </c>
      <c r="R2831" t="str">
        <f>IF(COUNTIF(Branches!$A$2:$A$11,F2831)&gt;0,"Valid","Invalid")</f>
        <v>Valid</v>
      </c>
    </row>
    <row r="2832" spans="1:18" x14ac:dyDescent="0.25">
      <c r="A2832" t="s">
        <v>4903</v>
      </c>
      <c r="B2832" t="s">
        <v>183</v>
      </c>
      <c r="C2832" s="8">
        <v>46100</v>
      </c>
      <c r="D2832" t="s">
        <v>2065</v>
      </c>
      <c r="E2832" t="s">
        <v>2059</v>
      </c>
      <c r="F2832" t="s">
        <v>11</v>
      </c>
      <c r="G2832">
        <v>306.86</v>
      </c>
      <c r="H2832" t="s">
        <v>2060</v>
      </c>
      <c r="I2832" t="str">
        <f>VLOOKUP(B2832,Customers!A:G,7,FALSE)</f>
        <v>Corporate</v>
      </c>
      <c r="Q2832" t="str">
        <f>IF(COUNTIF(Customers!$A$2:$A$1001,B2832)&gt;0,"Valid","Invalid")</f>
        <v>Valid</v>
      </c>
      <c r="R2832" t="str">
        <f>IF(COUNTIF(Branches!$A$2:$A$11,F2832)&gt;0,"Valid","Invalid")</f>
        <v>Valid</v>
      </c>
    </row>
    <row r="2833" spans="1:18" x14ac:dyDescent="0.25">
      <c r="A2833" t="s">
        <v>4904</v>
      </c>
      <c r="B2833" t="s">
        <v>412</v>
      </c>
      <c r="C2833" s="8">
        <v>46100</v>
      </c>
      <c r="D2833" t="s">
        <v>2062</v>
      </c>
      <c r="E2833" t="s">
        <v>2076</v>
      </c>
      <c r="F2833" t="s">
        <v>47</v>
      </c>
      <c r="G2833">
        <v>2519.65</v>
      </c>
      <c r="H2833" t="s">
        <v>2060</v>
      </c>
      <c r="I2833" t="str">
        <f>VLOOKUP(B2833,Customers!A:G,7,FALSE)</f>
        <v>Individual</v>
      </c>
      <c r="Q2833" t="str">
        <f>IF(COUNTIF(Customers!$A$2:$A$1001,B2833)&gt;0,"Valid","Invalid")</f>
        <v>Valid</v>
      </c>
      <c r="R2833" t="str">
        <f>IF(COUNTIF(Branches!$A$2:$A$11,F2833)&gt;0,"Valid","Invalid")</f>
        <v>Valid</v>
      </c>
    </row>
    <row r="2834" spans="1:18" x14ac:dyDescent="0.25">
      <c r="A2834" t="s">
        <v>4905</v>
      </c>
      <c r="B2834" t="s">
        <v>726</v>
      </c>
      <c r="C2834" s="8">
        <v>46042</v>
      </c>
      <c r="D2834" t="s">
        <v>2065</v>
      </c>
      <c r="E2834" t="s">
        <v>2059</v>
      </c>
      <c r="F2834" t="s">
        <v>47</v>
      </c>
      <c r="G2834">
        <v>1066.72</v>
      </c>
      <c r="H2834" t="s">
        <v>2060</v>
      </c>
      <c r="I2834" t="str">
        <f>VLOOKUP(B2834,Customers!A:G,7,FALSE)</f>
        <v>Individual</v>
      </c>
      <c r="Q2834" t="str">
        <f>IF(COUNTIF(Customers!$A$2:$A$1001,B2834)&gt;0,"Valid","Invalid")</f>
        <v>Valid</v>
      </c>
      <c r="R2834" t="str">
        <f>IF(COUNTIF(Branches!$A$2:$A$11,F2834)&gt;0,"Valid","Invalid")</f>
        <v>Valid</v>
      </c>
    </row>
    <row r="2835" spans="1:18" x14ac:dyDescent="0.25">
      <c r="A2835" t="s">
        <v>4906</v>
      </c>
      <c r="B2835" t="s">
        <v>713</v>
      </c>
      <c r="C2835" s="8">
        <v>46227</v>
      </c>
      <c r="D2835" t="s">
        <v>2065</v>
      </c>
      <c r="E2835" t="s">
        <v>2063</v>
      </c>
      <c r="F2835" t="s">
        <v>11</v>
      </c>
      <c r="G2835">
        <v>248.47</v>
      </c>
      <c r="H2835" t="s">
        <v>2060</v>
      </c>
      <c r="I2835" t="str">
        <f>VLOOKUP(B2835,Customers!A:G,7,FALSE)</f>
        <v>SME</v>
      </c>
      <c r="Q2835" t="str">
        <f>IF(COUNTIF(Customers!$A$2:$A$1001,B2835)&gt;0,"Valid","Invalid")</f>
        <v>Valid</v>
      </c>
      <c r="R2835" t="str">
        <f>IF(COUNTIF(Branches!$A$2:$A$11,F2835)&gt;0,"Valid","Invalid")</f>
        <v>Valid</v>
      </c>
    </row>
    <row r="2836" spans="1:18" x14ac:dyDescent="0.25">
      <c r="A2836" t="s">
        <v>4907</v>
      </c>
      <c r="B2836" t="s">
        <v>454</v>
      </c>
      <c r="C2836" s="8">
        <v>46113</v>
      </c>
      <c r="D2836" t="s">
        <v>2062</v>
      </c>
      <c r="E2836" t="s">
        <v>2059</v>
      </c>
      <c r="F2836" t="s">
        <v>16</v>
      </c>
      <c r="G2836">
        <v>403.21</v>
      </c>
      <c r="H2836" t="s">
        <v>2107</v>
      </c>
      <c r="I2836" t="str">
        <f>VLOOKUP(B2836,Customers!A:G,7,FALSE)</f>
        <v>Corporate</v>
      </c>
      <c r="Q2836" t="str">
        <f>IF(COUNTIF(Customers!$A$2:$A$1001,B2836)&gt;0,"Valid","Invalid")</f>
        <v>Valid</v>
      </c>
      <c r="R2836" t="str">
        <f>IF(COUNTIF(Branches!$A$2:$A$11,F2836)&gt;0,"Valid","Invalid")</f>
        <v>Valid</v>
      </c>
    </row>
    <row r="2837" spans="1:18" x14ac:dyDescent="0.25">
      <c r="A2837" t="s">
        <v>4908</v>
      </c>
      <c r="B2837" t="s">
        <v>725</v>
      </c>
      <c r="C2837" s="8">
        <v>46210</v>
      </c>
      <c r="D2837" t="s">
        <v>2062</v>
      </c>
      <c r="E2837" t="s">
        <v>2076</v>
      </c>
      <c r="F2837" t="s">
        <v>16</v>
      </c>
      <c r="G2837">
        <v>339.66</v>
      </c>
      <c r="H2837" t="s">
        <v>2060</v>
      </c>
      <c r="I2837" t="str">
        <f>VLOOKUP(B2837,Customers!A:G,7,FALSE)</f>
        <v>Individual</v>
      </c>
      <c r="Q2837" t="str">
        <f>IF(COUNTIF(Customers!$A$2:$A$1001,B2837)&gt;0,"Valid","Invalid")</f>
        <v>Valid</v>
      </c>
      <c r="R2837" t="str">
        <f>IF(COUNTIF(Branches!$A$2:$A$11,F2837)&gt;0,"Valid","Invalid")</f>
        <v>Valid</v>
      </c>
    </row>
    <row r="2838" spans="1:18" x14ac:dyDescent="0.25">
      <c r="A2838" t="s">
        <v>4909</v>
      </c>
      <c r="B2838" t="s">
        <v>532</v>
      </c>
      <c r="C2838" s="8">
        <v>46121</v>
      </c>
      <c r="D2838" t="s">
        <v>2065</v>
      </c>
      <c r="E2838" t="s">
        <v>2063</v>
      </c>
      <c r="F2838" t="s">
        <v>11</v>
      </c>
      <c r="G2838">
        <v>3314.06</v>
      </c>
      <c r="H2838" t="s">
        <v>2060</v>
      </c>
      <c r="I2838" t="str">
        <f>VLOOKUP(B2838,Customers!A:G,7,FALSE)</f>
        <v>Individual</v>
      </c>
      <c r="Q2838" t="str">
        <f>IF(COUNTIF(Customers!$A$2:$A$1001,B2838)&gt;0,"Valid","Invalid")</f>
        <v>Valid</v>
      </c>
      <c r="R2838" t="str">
        <f>IF(COUNTIF(Branches!$A$2:$A$11,F2838)&gt;0,"Valid","Invalid")</f>
        <v>Valid</v>
      </c>
    </row>
    <row r="2839" spans="1:18" x14ac:dyDescent="0.25">
      <c r="A2839" t="s">
        <v>4910</v>
      </c>
      <c r="B2839" t="s">
        <v>597</v>
      </c>
      <c r="C2839" s="8">
        <v>46195</v>
      </c>
      <c r="D2839" t="s">
        <v>2065</v>
      </c>
      <c r="E2839" t="s">
        <v>2063</v>
      </c>
      <c r="F2839" t="s">
        <v>16</v>
      </c>
      <c r="G2839">
        <v>1654.44</v>
      </c>
      <c r="H2839" t="s">
        <v>2060</v>
      </c>
      <c r="I2839" t="str">
        <f>VLOOKUP(B2839,Customers!A:G,7,FALSE)</f>
        <v>Individual</v>
      </c>
      <c r="Q2839" t="str">
        <f>IF(COUNTIF(Customers!$A$2:$A$1001,B2839)&gt;0,"Valid","Invalid")</f>
        <v>Valid</v>
      </c>
      <c r="R2839" t="str">
        <f>IF(COUNTIF(Branches!$A$2:$A$11,F2839)&gt;0,"Valid","Invalid")</f>
        <v>Valid</v>
      </c>
    </row>
    <row r="2840" spans="1:18" x14ac:dyDescent="0.25">
      <c r="A2840" t="s">
        <v>4911</v>
      </c>
      <c r="B2840" t="s">
        <v>294</v>
      </c>
      <c r="C2840" s="8">
        <v>46211</v>
      </c>
      <c r="D2840" t="s">
        <v>2062</v>
      </c>
      <c r="E2840" t="s">
        <v>2063</v>
      </c>
      <c r="F2840" t="s">
        <v>11</v>
      </c>
      <c r="G2840">
        <v>715.88</v>
      </c>
      <c r="H2840" t="s">
        <v>2060</v>
      </c>
      <c r="I2840" t="str">
        <f>VLOOKUP(B2840,Customers!A:G,7,FALSE)</f>
        <v>Individual</v>
      </c>
      <c r="Q2840" t="str">
        <f>IF(COUNTIF(Customers!$A$2:$A$1001,B2840)&gt;0,"Valid","Invalid")</f>
        <v>Valid</v>
      </c>
      <c r="R2840" t="str">
        <f>IF(COUNTIF(Branches!$A$2:$A$11,F2840)&gt;0,"Valid","Invalid")</f>
        <v>Valid</v>
      </c>
    </row>
    <row r="2841" spans="1:18" x14ac:dyDescent="0.25">
      <c r="A2841" t="s">
        <v>4912</v>
      </c>
      <c r="B2841" t="s">
        <v>998</v>
      </c>
      <c r="C2841" s="8">
        <v>46078</v>
      </c>
      <c r="D2841" t="s">
        <v>2062</v>
      </c>
      <c r="E2841" t="s">
        <v>2059</v>
      </c>
      <c r="F2841" t="s">
        <v>35</v>
      </c>
      <c r="G2841">
        <v>4479.3</v>
      </c>
      <c r="H2841" t="s">
        <v>2060</v>
      </c>
      <c r="I2841" t="str">
        <f>VLOOKUP(B2841,Customers!A:G,7,FALSE)</f>
        <v>Individual</v>
      </c>
      <c r="Q2841" t="str">
        <f>IF(COUNTIF(Customers!$A$2:$A$1001,B2841)&gt;0,"Valid","Invalid")</f>
        <v>Valid</v>
      </c>
      <c r="R2841" t="str">
        <f>IF(COUNTIF(Branches!$A$2:$A$11,F2841)&gt;0,"Valid","Invalid")</f>
        <v>Valid</v>
      </c>
    </row>
    <row r="2842" spans="1:18" x14ac:dyDescent="0.25">
      <c r="A2842" t="s">
        <v>4913</v>
      </c>
      <c r="B2842" t="s">
        <v>724</v>
      </c>
      <c r="C2842" s="8">
        <v>46024</v>
      </c>
      <c r="D2842" t="s">
        <v>2067</v>
      </c>
      <c r="E2842" t="s">
        <v>2059</v>
      </c>
      <c r="F2842" t="s">
        <v>47</v>
      </c>
      <c r="G2842">
        <v>3470.46</v>
      </c>
      <c r="H2842" t="s">
        <v>2060</v>
      </c>
      <c r="I2842" t="str">
        <f>VLOOKUP(B2842,Customers!A:G,7,FALSE)</f>
        <v>SME</v>
      </c>
      <c r="Q2842" t="str">
        <f>IF(COUNTIF(Customers!$A$2:$A$1001,B2842)&gt;0,"Valid","Invalid")</f>
        <v>Valid</v>
      </c>
      <c r="R2842" t="str">
        <f>IF(COUNTIF(Branches!$A$2:$A$11,F2842)&gt;0,"Valid","Invalid")</f>
        <v>Valid</v>
      </c>
    </row>
    <row r="2843" spans="1:18" x14ac:dyDescent="0.25">
      <c r="A2843" t="s">
        <v>4914</v>
      </c>
      <c r="B2843" t="s">
        <v>139</v>
      </c>
      <c r="C2843" s="8">
        <v>46127</v>
      </c>
      <c r="D2843" t="s">
        <v>2058</v>
      </c>
      <c r="E2843" t="s">
        <v>2063</v>
      </c>
      <c r="F2843" t="s">
        <v>45</v>
      </c>
      <c r="G2843">
        <v>645.03</v>
      </c>
      <c r="H2843" t="s">
        <v>2060</v>
      </c>
      <c r="I2843" t="str">
        <f>VLOOKUP(B2843,Customers!A:G,7,FALSE)</f>
        <v>SME</v>
      </c>
      <c r="Q2843" t="str">
        <f>IF(COUNTIF(Customers!$A$2:$A$1001,B2843)&gt;0,"Valid","Invalid")</f>
        <v>Valid</v>
      </c>
      <c r="R2843" t="str">
        <f>IF(COUNTIF(Branches!$A$2:$A$11,F2843)&gt;0,"Valid","Invalid")</f>
        <v>Valid</v>
      </c>
    </row>
    <row r="2844" spans="1:18" x14ac:dyDescent="0.25">
      <c r="A2844" t="s">
        <v>4915</v>
      </c>
      <c r="B2844" t="s">
        <v>157</v>
      </c>
      <c r="C2844" s="8">
        <v>46195</v>
      </c>
      <c r="D2844" t="s">
        <v>2065</v>
      </c>
      <c r="E2844" t="s">
        <v>2063</v>
      </c>
      <c r="F2844" t="s">
        <v>11</v>
      </c>
      <c r="G2844">
        <v>538.85</v>
      </c>
      <c r="H2844" t="s">
        <v>2060</v>
      </c>
      <c r="I2844" t="str">
        <f>VLOOKUP(B2844,Customers!A:G,7,FALSE)</f>
        <v>SME</v>
      </c>
      <c r="Q2844" t="str">
        <f>IF(COUNTIF(Customers!$A$2:$A$1001,B2844)&gt;0,"Valid","Invalid")</f>
        <v>Valid</v>
      </c>
      <c r="R2844" t="str">
        <f>IF(COUNTIF(Branches!$A$2:$A$11,F2844)&gt;0,"Valid","Invalid")</f>
        <v>Valid</v>
      </c>
    </row>
    <row r="2845" spans="1:18" x14ac:dyDescent="0.25">
      <c r="A2845" t="s">
        <v>4916</v>
      </c>
      <c r="B2845" t="s">
        <v>457</v>
      </c>
      <c r="C2845" s="8">
        <v>46190</v>
      </c>
      <c r="D2845" t="s">
        <v>2058</v>
      </c>
      <c r="E2845" t="s">
        <v>2068</v>
      </c>
      <c r="F2845" t="s">
        <v>47</v>
      </c>
      <c r="G2845">
        <v>565.46</v>
      </c>
      <c r="H2845" t="s">
        <v>2060</v>
      </c>
      <c r="I2845" t="str">
        <f>VLOOKUP(B2845,Customers!A:G,7,FALSE)</f>
        <v>SME</v>
      </c>
      <c r="Q2845" t="str">
        <f>IF(COUNTIF(Customers!$A$2:$A$1001,B2845)&gt;0,"Valid","Invalid")</f>
        <v>Valid</v>
      </c>
      <c r="R2845" t="str">
        <f>IF(COUNTIF(Branches!$A$2:$A$11,F2845)&gt;0,"Valid","Invalid")</f>
        <v>Valid</v>
      </c>
    </row>
    <row r="2846" spans="1:18" x14ac:dyDescent="0.25">
      <c r="A2846" t="s">
        <v>4917</v>
      </c>
      <c r="B2846" t="s">
        <v>388</v>
      </c>
      <c r="C2846" s="8">
        <v>46134</v>
      </c>
      <c r="D2846" t="s">
        <v>2065</v>
      </c>
      <c r="E2846" t="s">
        <v>2063</v>
      </c>
      <c r="F2846" t="s">
        <v>16</v>
      </c>
      <c r="G2846">
        <v>313.33</v>
      </c>
      <c r="H2846" t="s">
        <v>2060</v>
      </c>
      <c r="I2846" t="str">
        <f>VLOOKUP(B2846,Customers!A:G,7,FALSE)</f>
        <v>SME</v>
      </c>
      <c r="Q2846" t="str">
        <f>IF(COUNTIF(Customers!$A$2:$A$1001,B2846)&gt;0,"Valid","Invalid")</f>
        <v>Valid</v>
      </c>
      <c r="R2846" t="str">
        <f>IF(COUNTIF(Branches!$A$2:$A$11,F2846)&gt;0,"Valid","Invalid")</f>
        <v>Valid</v>
      </c>
    </row>
    <row r="2847" spans="1:18" x14ac:dyDescent="0.25">
      <c r="A2847" t="s">
        <v>4918</v>
      </c>
      <c r="B2847" t="s">
        <v>695</v>
      </c>
      <c r="C2847" s="8">
        <v>46046</v>
      </c>
      <c r="D2847" t="s">
        <v>2067</v>
      </c>
      <c r="E2847" t="s">
        <v>2059</v>
      </c>
      <c r="F2847" t="s">
        <v>47</v>
      </c>
      <c r="G2847">
        <v>4600.75</v>
      </c>
      <c r="H2847" t="s">
        <v>2060</v>
      </c>
      <c r="I2847" t="str">
        <f>VLOOKUP(B2847,Customers!A:G,7,FALSE)</f>
        <v>Individual</v>
      </c>
      <c r="Q2847" t="str">
        <f>IF(COUNTIF(Customers!$A$2:$A$1001,B2847)&gt;0,"Valid","Invalid")</f>
        <v>Valid</v>
      </c>
      <c r="R2847" t="str">
        <f>IF(COUNTIF(Branches!$A$2:$A$11,F2847)&gt;0,"Valid","Invalid")</f>
        <v>Valid</v>
      </c>
    </row>
    <row r="2848" spans="1:18" x14ac:dyDescent="0.25">
      <c r="A2848" t="s">
        <v>4919</v>
      </c>
      <c r="B2848" t="s">
        <v>76</v>
      </c>
      <c r="C2848" s="8">
        <v>46179</v>
      </c>
      <c r="D2848" t="s">
        <v>2065</v>
      </c>
      <c r="E2848" t="s">
        <v>2073</v>
      </c>
      <c r="F2848" t="s">
        <v>16</v>
      </c>
      <c r="G2848">
        <v>296.95999999999998</v>
      </c>
      <c r="H2848" t="s">
        <v>2060</v>
      </c>
      <c r="I2848" t="str">
        <f>VLOOKUP(B2848,Customers!A:G,7,FALSE)</f>
        <v>Individual</v>
      </c>
      <c r="Q2848" t="str">
        <f>IF(COUNTIF(Customers!$A$2:$A$1001,B2848)&gt;0,"Valid","Invalid")</f>
        <v>Valid</v>
      </c>
      <c r="R2848" t="str">
        <f>IF(COUNTIF(Branches!$A$2:$A$11,F2848)&gt;0,"Valid","Invalid")</f>
        <v>Valid</v>
      </c>
    </row>
    <row r="2849" spans="1:18" x14ac:dyDescent="0.25">
      <c r="A2849" t="s">
        <v>4920</v>
      </c>
      <c r="B2849" t="s">
        <v>405</v>
      </c>
      <c r="C2849" s="8">
        <v>46217</v>
      </c>
      <c r="D2849" t="s">
        <v>2067</v>
      </c>
      <c r="E2849" t="s">
        <v>2076</v>
      </c>
      <c r="F2849" t="s">
        <v>29</v>
      </c>
      <c r="G2849">
        <v>1935.85</v>
      </c>
      <c r="H2849" t="s">
        <v>2060</v>
      </c>
      <c r="I2849" t="str">
        <f>VLOOKUP(B2849,Customers!A:G,7,FALSE)</f>
        <v>Student</v>
      </c>
      <c r="Q2849" t="str">
        <f>IF(COUNTIF(Customers!$A$2:$A$1001,B2849)&gt;0,"Valid","Invalid")</f>
        <v>Valid</v>
      </c>
      <c r="R2849" t="str">
        <f>IF(COUNTIF(Branches!$A$2:$A$11,F2849)&gt;0,"Valid","Invalid")</f>
        <v>Valid</v>
      </c>
    </row>
    <row r="2850" spans="1:18" x14ac:dyDescent="0.25">
      <c r="A2850" t="s">
        <v>4921</v>
      </c>
      <c r="B2850" t="s">
        <v>63</v>
      </c>
      <c r="C2850" s="8">
        <v>46131</v>
      </c>
      <c r="D2850" t="s">
        <v>2067</v>
      </c>
      <c r="E2850" t="s">
        <v>2076</v>
      </c>
      <c r="F2850" t="s">
        <v>29</v>
      </c>
      <c r="G2850">
        <v>1620.59</v>
      </c>
      <c r="H2850" t="s">
        <v>2060</v>
      </c>
      <c r="I2850" t="str">
        <f>VLOOKUP(B2850,Customers!A:G,7,FALSE)</f>
        <v>Individual</v>
      </c>
      <c r="Q2850" t="str">
        <f>IF(COUNTIF(Customers!$A$2:$A$1001,B2850)&gt;0,"Valid","Invalid")</f>
        <v>Valid</v>
      </c>
      <c r="R2850" t="str">
        <f>IF(COUNTIF(Branches!$A$2:$A$11,F2850)&gt;0,"Valid","Invalid")</f>
        <v>Valid</v>
      </c>
    </row>
    <row r="2851" spans="1:18" x14ac:dyDescent="0.25">
      <c r="A2851" t="s">
        <v>4922</v>
      </c>
      <c r="B2851" t="s">
        <v>1004</v>
      </c>
      <c r="C2851" s="8">
        <v>46090</v>
      </c>
      <c r="D2851" t="s">
        <v>2067</v>
      </c>
      <c r="E2851" t="s">
        <v>2059</v>
      </c>
      <c r="F2851" t="s">
        <v>35</v>
      </c>
      <c r="G2851">
        <v>598.91999999999996</v>
      </c>
      <c r="H2851" t="s">
        <v>2060</v>
      </c>
      <c r="I2851" t="str">
        <f>VLOOKUP(B2851,Customers!A:G,7,FALSE)</f>
        <v>SME</v>
      </c>
      <c r="Q2851" t="str">
        <f>IF(COUNTIF(Customers!$A$2:$A$1001,B2851)&gt;0,"Valid","Invalid")</f>
        <v>Valid</v>
      </c>
      <c r="R2851" t="str">
        <f>IF(COUNTIF(Branches!$A$2:$A$11,F2851)&gt;0,"Valid","Invalid")</f>
        <v>Valid</v>
      </c>
    </row>
    <row r="2852" spans="1:18" x14ac:dyDescent="0.25">
      <c r="A2852" t="s">
        <v>4923</v>
      </c>
      <c r="B2852" t="s">
        <v>930</v>
      </c>
      <c r="C2852" s="8">
        <v>46136</v>
      </c>
      <c r="D2852" t="s">
        <v>2065</v>
      </c>
      <c r="E2852" t="s">
        <v>2063</v>
      </c>
      <c r="F2852" t="s">
        <v>27</v>
      </c>
      <c r="G2852">
        <v>4964.3900000000003</v>
      </c>
      <c r="H2852" t="s">
        <v>2060</v>
      </c>
      <c r="I2852" t="str">
        <f>VLOOKUP(B2852,Customers!A:G,7,FALSE)</f>
        <v>Individual</v>
      </c>
      <c r="Q2852" t="str">
        <f>IF(COUNTIF(Customers!$A$2:$A$1001,B2852)&gt;0,"Valid","Invalid")</f>
        <v>Valid</v>
      </c>
      <c r="R2852" t="str">
        <f>IF(COUNTIF(Branches!$A$2:$A$11,F2852)&gt;0,"Valid","Invalid")</f>
        <v>Valid</v>
      </c>
    </row>
    <row r="2853" spans="1:18" x14ac:dyDescent="0.25">
      <c r="A2853" t="s">
        <v>4924</v>
      </c>
      <c r="B2853" t="s">
        <v>823</v>
      </c>
      <c r="C2853" s="8">
        <v>46216</v>
      </c>
      <c r="D2853" t="s">
        <v>2067</v>
      </c>
      <c r="E2853" t="s">
        <v>2076</v>
      </c>
      <c r="F2853" t="s">
        <v>53</v>
      </c>
      <c r="G2853">
        <v>170.87</v>
      </c>
      <c r="H2853" t="s">
        <v>2060</v>
      </c>
      <c r="I2853" t="str">
        <f>VLOOKUP(B2853,Customers!A:G,7,FALSE)</f>
        <v>Individual</v>
      </c>
      <c r="Q2853" t="str">
        <f>IF(COUNTIF(Customers!$A$2:$A$1001,B2853)&gt;0,"Valid","Invalid")</f>
        <v>Valid</v>
      </c>
      <c r="R2853" t="str">
        <f>IF(COUNTIF(Branches!$A$2:$A$11,F2853)&gt;0,"Valid","Invalid")</f>
        <v>Valid</v>
      </c>
    </row>
    <row r="2854" spans="1:18" x14ac:dyDescent="0.25">
      <c r="A2854" t="s">
        <v>4925</v>
      </c>
      <c r="B2854" t="s">
        <v>1015</v>
      </c>
      <c r="C2854" s="8">
        <v>46106</v>
      </c>
      <c r="D2854" t="s">
        <v>2062</v>
      </c>
      <c r="E2854" t="s">
        <v>2076</v>
      </c>
      <c r="F2854" t="s">
        <v>29</v>
      </c>
      <c r="G2854">
        <v>750.18</v>
      </c>
      <c r="H2854" t="s">
        <v>2060</v>
      </c>
      <c r="I2854" t="str">
        <f>VLOOKUP(B2854,Customers!A:G,7,FALSE)</f>
        <v>SME</v>
      </c>
      <c r="Q2854" t="str">
        <f>IF(COUNTIF(Customers!$A$2:$A$1001,B2854)&gt;0,"Valid","Invalid")</f>
        <v>Valid</v>
      </c>
      <c r="R2854" t="str">
        <f>IF(COUNTIF(Branches!$A$2:$A$11,F2854)&gt;0,"Valid","Invalid")</f>
        <v>Valid</v>
      </c>
    </row>
    <row r="2855" spans="1:18" x14ac:dyDescent="0.25">
      <c r="A2855" t="s">
        <v>4926</v>
      </c>
      <c r="B2855" t="s">
        <v>46</v>
      </c>
      <c r="C2855" s="8">
        <v>46204</v>
      </c>
      <c r="D2855" t="s">
        <v>2067</v>
      </c>
      <c r="E2855" t="s">
        <v>2063</v>
      </c>
      <c r="F2855" t="s">
        <v>27</v>
      </c>
      <c r="G2855">
        <v>498.18</v>
      </c>
      <c r="H2855" t="s">
        <v>2060</v>
      </c>
      <c r="I2855" t="str">
        <f>VLOOKUP(B2855,Customers!A:G,7,FALSE)</f>
        <v>Individual</v>
      </c>
      <c r="Q2855" t="str">
        <f>IF(COUNTIF(Customers!$A$2:$A$1001,B2855)&gt;0,"Valid","Invalid")</f>
        <v>Valid</v>
      </c>
      <c r="R2855" t="str">
        <f>IF(COUNTIF(Branches!$A$2:$A$11,F2855)&gt;0,"Valid","Invalid")</f>
        <v>Valid</v>
      </c>
    </row>
    <row r="2856" spans="1:18" x14ac:dyDescent="0.25">
      <c r="A2856" t="s">
        <v>4927</v>
      </c>
      <c r="B2856" t="s">
        <v>958</v>
      </c>
      <c r="C2856" s="8">
        <v>46203</v>
      </c>
      <c r="D2856" t="s">
        <v>2062</v>
      </c>
      <c r="E2856" t="s">
        <v>2059</v>
      </c>
      <c r="F2856" t="s">
        <v>11</v>
      </c>
      <c r="G2856">
        <v>2123.02</v>
      </c>
      <c r="H2856" t="s">
        <v>2060</v>
      </c>
      <c r="I2856" t="str">
        <f>VLOOKUP(B2856,Customers!A:G,7,FALSE)</f>
        <v>Individual</v>
      </c>
      <c r="Q2856" t="str">
        <f>IF(COUNTIF(Customers!$A$2:$A$1001,B2856)&gt;0,"Valid","Invalid")</f>
        <v>Valid</v>
      </c>
      <c r="R2856" t="str">
        <f>IF(COUNTIF(Branches!$A$2:$A$11,F2856)&gt;0,"Valid","Invalid")</f>
        <v>Valid</v>
      </c>
    </row>
    <row r="2857" spans="1:18" x14ac:dyDescent="0.25">
      <c r="A2857" t="s">
        <v>4928</v>
      </c>
      <c r="B2857" t="s">
        <v>991</v>
      </c>
      <c r="C2857" s="8">
        <v>46229</v>
      </c>
      <c r="D2857" t="s">
        <v>2067</v>
      </c>
      <c r="E2857" t="s">
        <v>2073</v>
      </c>
      <c r="F2857" t="s">
        <v>53</v>
      </c>
      <c r="G2857">
        <v>1156.98</v>
      </c>
      <c r="H2857" t="s">
        <v>2060</v>
      </c>
      <c r="I2857" t="str">
        <f>VLOOKUP(B2857,Customers!A:G,7,FALSE)</f>
        <v>Individual</v>
      </c>
      <c r="Q2857" t="str">
        <f>IF(COUNTIF(Customers!$A$2:$A$1001,B2857)&gt;0,"Valid","Invalid")</f>
        <v>Valid</v>
      </c>
      <c r="R2857" t="str">
        <f>IF(COUNTIF(Branches!$A$2:$A$11,F2857)&gt;0,"Valid","Invalid")</f>
        <v>Valid</v>
      </c>
    </row>
    <row r="2858" spans="1:18" x14ac:dyDescent="0.25">
      <c r="A2858" t="s">
        <v>4929</v>
      </c>
      <c r="B2858" t="s">
        <v>856</v>
      </c>
      <c r="C2858" s="8">
        <v>46071</v>
      </c>
      <c r="D2858" t="s">
        <v>2067</v>
      </c>
      <c r="E2858" t="s">
        <v>2063</v>
      </c>
      <c r="F2858" t="s">
        <v>39</v>
      </c>
      <c r="G2858">
        <v>144.41999999999999</v>
      </c>
      <c r="H2858" t="s">
        <v>2060</v>
      </c>
      <c r="I2858" t="str">
        <f>VLOOKUP(B2858,Customers!A:G,7,FALSE)</f>
        <v>Individual</v>
      </c>
      <c r="Q2858" t="str">
        <f>IF(COUNTIF(Customers!$A$2:$A$1001,B2858)&gt;0,"Valid","Invalid")</f>
        <v>Valid</v>
      </c>
      <c r="R2858" t="str">
        <f>IF(COUNTIF(Branches!$A$2:$A$11,F2858)&gt;0,"Valid","Invalid")</f>
        <v>Valid</v>
      </c>
    </row>
    <row r="2859" spans="1:18" x14ac:dyDescent="0.25">
      <c r="A2859" t="s">
        <v>4930</v>
      </c>
      <c r="B2859" t="s">
        <v>863</v>
      </c>
      <c r="C2859" s="8">
        <v>46054</v>
      </c>
      <c r="D2859" t="s">
        <v>2058</v>
      </c>
      <c r="E2859" t="s">
        <v>2059</v>
      </c>
      <c r="F2859" t="s">
        <v>39</v>
      </c>
      <c r="G2859">
        <v>2805.9</v>
      </c>
      <c r="H2859" t="s">
        <v>2060</v>
      </c>
      <c r="I2859" t="str">
        <f>VLOOKUP(B2859,Customers!A:G,7,FALSE)</f>
        <v>Corporate</v>
      </c>
      <c r="Q2859" t="str">
        <f>IF(COUNTIF(Customers!$A$2:$A$1001,B2859)&gt;0,"Valid","Invalid")</f>
        <v>Valid</v>
      </c>
      <c r="R2859" t="str">
        <f>IF(COUNTIF(Branches!$A$2:$A$11,F2859)&gt;0,"Valid","Invalid")</f>
        <v>Valid</v>
      </c>
    </row>
    <row r="2860" spans="1:18" x14ac:dyDescent="0.25">
      <c r="A2860" t="s">
        <v>4931</v>
      </c>
      <c r="B2860" t="s">
        <v>523</v>
      </c>
      <c r="C2860" s="8">
        <v>46083</v>
      </c>
      <c r="D2860" t="s">
        <v>2070</v>
      </c>
      <c r="E2860" t="s">
        <v>2059</v>
      </c>
      <c r="F2860" t="s">
        <v>16</v>
      </c>
      <c r="G2860">
        <v>1320.1</v>
      </c>
      <c r="H2860" t="s">
        <v>2060</v>
      </c>
      <c r="I2860" t="str">
        <f>VLOOKUP(B2860,Customers!A:G,7,FALSE)</f>
        <v>SME</v>
      </c>
      <c r="Q2860" t="str">
        <f>IF(COUNTIF(Customers!$A$2:$A$1001,B2860)&gt;0,"Valid","Invalid")</f>
        <v>Valid</v>
      </c>
      <c r="R2860" t="str">
        <f>IF(COUNTIF(Branches!$A$2:$A$11,F2860)&gt;0,"Valid","Invalid")</f>
        <v>Valid</v>
      </c>
    </row>
    <row r="2861" spans="1:18" x14ac:dyDescent="0.25">
      <c r="A2861" t="s">
        <v>4932</v>
      </c>
      <c r="B2861" t="s">
        <v>226</v>
      </c>
      <c r="C2861" s="8">
        <v>46192</v>
      </c>
      <c r="D2861" t="s">
        <v>2065</v>
      </c>
      <c r="E2861" t="s">
        <v>2068</v>
      </c>
      <c r="F2861" t="s">
        <v>39</v>
      </c>
      <c r="G2861">
        <v>288.45</v>
      </c>
      <c r="H2861" t="s">
        <v>2060</v>
      </c>
      <c r="I2861" t="str">
        <f>VLOOKUP(B2861,Customers!A:G,7,FALSE)</f>
        <v>Individual</v>
      </c>
      <c r="Q2861" t="str">
        <f>IF(COUNTIF(Customers!$A$2:$A$1001,B2861)&gt;0,"Valid","Invalid")</f>
        <v>Valid</v>
      </c>
      <c r="R2861" t="str">
        <f>IF(COUNTIF(Branches!$A$2:$A$11,F2861)&gt;0,"Valid","Invalid")</f>
        <v>Valid</v>
      </c>
    </row>
    <row r="2862" spans="1:18" x14ac:dyDescent="0.25">
      <c r="A2862" t="s">
        <v>4933</v>
      </c>
      <c r="B2862" t="s">
        <v>910</v>
      </c>
      <c r="C2862" s="8">
        <v>46151</v>
      </c>
      <c r="D2862" t="s">
        <v>2065</v>
      </c>
      <c r="E2862" t="s">
        <v>2068</v>
      </c>
      <c r="F2862" t="s">
        <v>11</v>
      </c>
      <c r="G2862">
        <v>572.67999999999995</v>
      </c>
      <c r="H2862" t="s">
        <v>2060</v>
      </c>
      <c r="I2862" t="str">
        <f>VLOOKUP(B2862,Customers!A:G,7,FALSE)</f>
        <v>Student</v>
      </c>
      <c r="Q2862" t="str">
        <f>IF(COUNTIF(Customers!$A$2:$A$1001,B2862)&gt;0,"Valid","Invalid")</f>
        <v>Valid</v>
      </c>
      <c r="R2862" t="str">
        <f>IF(COUNTIF(Branches!$A$2:$A$11,F2862)&gt;0,"Valid","Invalid")</f>
        <v>Valid</v>
      </c>
    </row>
    <row r="2863" spans="1:18" x14ac:dyDescent="0.25">
      <c r="A2863" t="s">
        <v>4934</v>
      </c>
      <c r="B2863" t="s">
        <v>333</v>
      </c>
      <c r="C2863" s="8">
        <v>46213</v>
      </c>
      <c r="D2863" t="s">
        <v>2058</v>
      </c>
      <c r="E2863" t="s">
        <v>2068</v>
      </c>
      <c r="F2863" t="s">
        <v>11</v>
      </c>
      <c r="G2863">
        <v>221.43</v>
      </c>
      <c r="H2863" t="s">
        <v>2060</v>
      </c>
      <c r="I2863" t="str">
        <f>VLOOKUP(B2863,Customers!A:G,7,FALSE)</f>
        <v>Individual</v>
      </c>
      <c r="Q2863" t="str">
        <f>IF(COUNTIF(Customers!$A$2:$A$1001,B2863)&gt;0,"Valid","Invalid")</f>
        <v>Valid</v>
      </c>
      <c r="R2863" t="str">
        <f>IF(COUNTIF(Branches!$A$2:$A$11,F2863)&gt;0,"Valid","Invalid")</f>
        <v>Valid</v>
      </c>
    </row>
    <row r="2864" spans="1:18" x14ac:dyDescent="0.25">
      <c r="A2864" t="s">
        <v>4935</v>
      </c>
      <c r="B2864" t="s">
        <v>220</v>
      </c>
      <c r="C2864" s="8">
        <v>46124</v>
      </c>
      <c r="D2864" t="s">
        <v>2070</v>
      </c>
      <c r="E2864" t="s">
        <v>2059</v>
      </c>
      <c r="F2864" t="s">
        <v>53</v>
      </c>
      <c r="G2864">
        <v>684.82</v>
      </c>
      <c r="H2864" t="s">
        <v>2060</v>
      </c>
      <c r="I2864" t="str">
        <f>VLOOKUP(B2864,Customers!A:G,7,FALSE)</f>
        <v>Individual</v>
      </c>
      <c r="Q2864" t="str">
        <f>IF(COUNTIF(Customers!$A$2:$A$1001,B2864)&gt;0,"Valid","Invalid")</f>
        <v>Valid</v>
      </c>
      <c r="R2864" t="str">
        <f>IF(COUNTIF(Branches!$A$2:$A$11,F2864)&gt;0,"Valid","Invalid")</f>
        <v>Valid</v>
      </c>
    </row>
    <row r="2865" spans="1:18" x14ac:dyDescent="0.25">
      <c r="A2865" t="s">
        <v>4936</v>
      </c>
      <c r="B2865" t="s">
        <v>902</v>
      </c>
      <c r="C2865" s="8">
        <v>46057</v>
      </c>
      <c r="D2865" t="s">
        <v>2070</v>
      </c>
      <c r="E2865" t="s">
        <v>2063</v>
      </c>
      <c r="F2865" t="s">
        <v>47</v>
      </c>
      <c r="G2865">
        <v>943.99</v>
      </c>
      <c r="H2865" t="s">
        <v>2060</v>
      </c>
      <c r="I2865" t="str">
        <f>VLOOKUP(B2865,Customers!A:G,7,FALSE)</f>
        <v>SME</v>
      </c>
      <c r="Q2865" t="str">
        <f>IF(COUNTIF(Customers!$A$2:$A$1001,B2865)&gt;0,"Valid","Invalid")</f>
        <v>Valid</v>
      </c>
      <c r="R2865" t="str">
        <f>IF(COUNTIF(Branches!$A$2:$A$11,F2865)&gt;0,"Valid","Invalid")</f>
        <v>Valid</v>
      </c>
    </row>
    <row r="2866" spans="1:18" x14ac:dyDescent="0.25">
      <c r="A2866" t="s">
        <v>4937</v>
      </c>
      <c r="B2866" t="s">
        <v>586</v>
      </c>
      <c r="C2866" s="8">
        <v>46073</v>
      </c>
      <c r="D2866" t="s">
        <v>2058</v>
      </c>
      <c r="E2866" t="s">
        <v>2059</v>
      </c>
      <c r="F2866" t="s">
        <v>11</v>
      </c>
      <c r="G2866">
        <v>581.35</v>
      </c>
      <c r="H2866" t="s">
        <v>2060</v>
      </c>
      <c r="I2866" t="str">
        <f>VLOOKUP(B2866,Customers!A:G,7,FALSE)</f>
        <v>Individual</v>
      </c>
      <c r="Q2866" t="str">
        <f>IF(COUNTIF(Customers!$A$2:$A$1001,B2866)&gt;0,"Valid","Invalid")</f>
        <v>Valid</v>
      </c>
      <c r="R2866" t="str">
        <f>IF(COUNTIF(Branches!$A$2:$A$11,F2866)&gt;0,"Valid","Invalid")</f>
        <v>Valid</v>
      </c>
    </row>
    <row r="2867" spans="1:18" x14ac:dyDescent="0.25">
      <c r="A2867" t="s">
        <v>4938</v>
      </c>
      <c r="B2867" t="s">
        <v>920</v>
      </c>
      <c r="C2867" s="8">
        <v>46221</v>
      </c>
      <c r="D2867" t="s">
        <v>2067</v>
      </c>
      <c r="E2867" t="s">
        <v>2076</v>
      </c>
      <c r="F2867" t="s">
        <v>45</v>
      </c>
      <c r="G2867">
        <v>517.77</v>
      </c>
      <c r="H2867" t="s">
        <v>2060</v>
      </c>
      <c r="I2867" t="str">
        <f>VLOOKUP(B2867,Customers!A:G,7,FALSE)</f>
        <v>Individual</v>
      </c>
      <c r="Q2867" t="str">
        <f>IF(COUNTIF(Customers!$A$2:$A$1001,B2867)&gt;0,"Valid","Invalid")</f>
        <v>Valid</v>
      </c>
      <c r="R2867" t="str">
        <f>IF(COUNTIF(Branches!$A$2:$A$11,F2867)&gt;0,"Valid","Invalid")</f>
        <v>Valid</v>
      </c>
    </row>
    <row r="2868" spans="1:18" x14ac:dyDescent="0.25">
      <c r="A2868" t="s">
        <v>4939</v>
      </c>
      <c r="B2868" t="s">
        <v>71</v>
      </c>
      <c r="C2868" s="8">
        <v>46067</v>
      </c>
      <c r="D2868" t="s">
        <v>2058</v>
      </c>
      <c r="E2868" t="s">
        <v>2076</v>
      </c>
      <c r="F2868" t="s">
        <v>35</v>
      </c>
      <c r="G2868">
        <v>161.94999999999999</v>
      </c>
      <c r="H2868" t="s">
        <v>2060</v>
      </c>
      <c r="I2868" t="str">
        <f>VLOOKUP(B2868,Customers!A:G,7,FALSE)</f>
        <v>Individual</v>
      </c>
      <c r="Q2868" t="str">
        <f>IF(COUNTIF(Customers!$A$2:$A$1001,B2868)&gt;0,"Valid","Invalid")</f>
        <v>Valid</v>
      </c>
      <c r="R2868" t="str">
        <f>IF(COUNTIF(Branches!$A$2:$A$11,F2868)&gt;0,"Valid","Invalid")</f>
        <v>Valid</v>
      </c>
    </row>
    <row r="2869" spans="1:18" x14ac:dyDescent="0.25">
      <c r="A2869" t="s">
        <v>4940</v>
      </c>
      <c r="B2869" t="s">
        <v>46</v>
      </c>
      <c r="C2869" s="8">
        <v>46099</v>
      </c>
      <c r="D2869" t="s">
        <v>2058</v>
      </c>
      <c r="E2869" t="s">
        <v>2073</v>
      </c>
      <c r="F2869" t="s">
        <v>39</v>
      </c>
      <c r="G2869">
        <v>1138.24</v>
      </c>
      <c r="H2869" t="s">
        <v>2060</v>
      </c>
      <c r="I2869" t="str">
        <f>VLOOKUP(B2869,Customers!A:G,7,FALSE)</f>
        <v>Individual</v>
      </c>
      <c r="Q2869" t="str">
        <f>IF(COUNTIF(Customers!$A$2:$A$1001,B2869)&gt;0,"Valid","Invalid")</f>
        <v>Valid</v>
      </c>
      <c r="R2869" t="str">
        <f>IF(COUNTIF(Branches!$A$2:$A$11,F2869)&gt;0,"Valid","Invalid")</f>
        <v>Valid</v>
      </c>
    </row>
    <row r="2870" spans="1:18" x14ac:dyDescent="0.25">
      <c r="A2870" t="s">
        <v>4941</v>
      </c>
      <c r="B2870" t="s">
        <v>961</v>
      </c>
      <c r="C2870" s="8">
        <v>46135</v>
      </c>
      <c r="D2870" t="s">
        <v>2058</v>
      </c>
      <c r="E2870" t="s">
        <v>2059</v>
      </c>
      <c r="F2870" t="s">
        <v>27</v>
      </c>
      <c r="G2870">
        <v>118.57</v>
      </c>
      <c r="H2870" t="s">
        <v>2060</v>
      </c>
      <c r="I2870" t="str">
        <f>VLOOKUP(B2870,Customers!A:G,7,FALSE)</f>
        <v>SME</v>
      </c>
      <c r="Q2870" t="str">
        <f>IF(COUNTIF(Customers!$A$2:$A$1001,B2870)&gt;0,"Valid","Invalid")</f>
        <v>Valid</v>
      </c>
      <c r="R2870" t="str">
        <f>IF(COUNTIF(Branches!$A$2:$A$11,F2870)&gt;0,"Valid","Invalid")</f>
        <v>Valid</v>
      </c>
    </row>
    <row r="2871" spans="1:18" x14ac:dyDescent="0.25">
      <c r="A2871" t="s">
        <v>4942</v>
      </c>
      <c r="B2871" t="s">
        <v>673</v>
      </c>
      <c r="C2871" s="8">
        <v>46087</v>
      </c>
      <c r="D2871" t="s">
        <v>2062</v>
      </c>
      <c r="E2871" t="s">
        <v>2076</v>
      </c>
      <c r="F2871" t="s">
        <v>53</v>
      </c>
      <c r="G2871">
        <v>838.05</v>
      </c>
      <c r="H2871" t="s">
        <v>2060</v>
      </c>
      <c r="I2871" t="str">
        <f>VLOOKUP(B2871,Customers!A:G,7,FALSE)</f>
        <v>Individual</v>
      </c>
      <c r="Q2871" t="str">
        <f>IF(COUNTIF(Customers!$A$2:$A$1001,B2871)&gt;0,"Valid","Invalid")</f>
        <v>Valid</v>
      </c>
      <c r="R2871" t="str">
        <f>IF(COUNTIF(Branches!$A$2:$A$11,F2871)&gt;0,"Valid","Invalid")</f>
        <v>Valid</v>
      </c>
    </row>
    <row r="2872" spans="1:18" x14ac:dyDescent="0.25">
      <c r="A2872" t="s">
        <v>4943</v>
      </c>
      <c r="B2872" t="s">
        <v>633</v>
      </c>
      <c r="C2872" s="8">
        <v>46036</v>
      </c>
      <c r="D2872" t="s">
        <v>2062</v>
      </c>
      <c r="E2872" t="s">
        <v>2059</v>
      </c>
      <c r="F2872" t="s">
        <v>39</v>
      </c>
      <c r="G2872">
        <v>134.4</v>
      </c>
      <c r="H2872" t="s">
        <v>2060</v>
      </c>
      <c r="I2872" t="str">
        <f>VLOOKUP(B2872,Customers!A:G,7,FALSE)</f>
        <v>Individual</v>
      </c>
      <c r="Q2872" t="str">
        <f>IF(COUNTIF(Customers!$A$2:$A$1001,B2872)&gt;0,"Valid","Invalid")</f>
        <v>Valid</v>
      </c>
      <c r="R2872" t="str">
        <f>IF(COUNTIF(Branches!$A$2:$A$11,F2872)&gt;0,"Valid","Invalid")</f>
        <v>Valid</v>
      </c>
    </row>
    <row r="2873" spans="1:18" x14ac:dyDescent="0.25">
      <c r="A2873" t="s">
        <v>4944</v>
      </c>
      <c r="B2873" t="s">
        <v>195</v>
      </c>
      <c r="C2873" s="8">
        <v>46115</v>
      </c>
      <c r="D2873" t="s">
        <v>2058</v>
      </c>
      <c r="E2873" t="s">
        <v>2063</v>
      </c>
      <c r="F2873" t="s">
        <v>45</v>
      </c>
      <c r="G2873">
        <v>854.49</v>
      </c>
      <c r="H2873" t="s">
        <v>2060</v>
      </c>
      <c r="I2873" t="str">
        <f>VLOOKUP(B2873,Customers!A:G,7,FALSE)</f>
        <v>Individual</v>
      </c>
      <c r="Q2873" t="str">
        <f>IF(COUNTIF(Customers!$A$2:$A$1001,B2873)&gt;0,"Valid","Invalid")</f>
        <v>Valid</v>
      </c>
      <c r="R2873" t="str">
        <f>IF(COUNTIF(Branches!$A$2:$A$11,F2873)&gt;0,"Valid","Invalid")</f>
        <v>Valid</v>
      </c>
    </row>
    <row r="2874" spans="1:18" x14ac:dyDescent="0.25">
      <c r="A2874" t="s">
        <v>4945</v>
      </c>
      <c r="B2874" t="s">
        <v>532</v>
      </c>
      <c r="C2874" s="8">
        <v>46153</v>
      </c>
      <c r="D2874" t="s">
        <v>2067</v>
      </c>
      <c r="E2874" t="s">
        <v>2059</v>
      </c>
      <c r="F2874" t="s">
        <v>21</v>
      </c>
      <c r="G2874">
        <v>807.45</v>
      </c>
      <c r="H2874" t="s">
        <v>2060</v>
      </c>
      <c r="I2874" t="str">
        <f>VLOOKUP(B2874,Customers!A:G,7,FALSE)</f>
        <v>Individual</v>
      </c>
      <c r="Q2874" t="str">
        <f>IF(COUNTIF(Customers!$A$2:$A$1001,B2874)&gt;0,"Valid","Invalid")</f>
        <v>Valid</v>
      </c>
      <c r="R2874" t="str">
        <f>IF(COUNTIF(Branches!$A$2:$A$11,F2874)&gt;0,"Valid","Invalid")</f>
        <v>Valid</v>
      </c>
    </row>
    <row r="2875" spans="1:18" x14ac:dyDescent="0.25">
      <c r="A2875" t="s">
        <v>4946</v>
      </c>
      <c r="B2875" t="s">
        <v>367</v>
      </c>
      <c r="C2875" s="8">
        <v>46260</v>
      </c>
      <c r="D2875" t="s">
        <v>2058</v>
      </c>
      <c r="E2875" t="s">
        <v>2059</v>
      </c>
      <c r="F2875" t="s">
        <v>29</v>
      </c>
      <c r="G2875">
        <v>1216.03</v>
      </c>
      <c r="H2875" t="s">
        <v>2060</v>
      </c>
      <c r="I2875" t="str">
        <f>VLOOKUP(B2875,Customers!A:G,7,FALSE)</f>
        <v>Individual</v>
      </c>
      <c r="Q2875" t="str">
        <f>IF(COUNTIF(Customers!$A$2:$A$1001,B2875)&gt;0,"Valid","Invalid")</f>
        <v>Valid</v>
      </c>
      <c r="R2875" t="str">
        <f>IF(COUNTIF(Branches!$A$2:$A$11,F2875)&gt;0,"Valid","Invalid")</f>
        <v>Valid</v>
      </c>
    </row>
    <row r="2876" spans="1:18" x14ac:dyDescent="0.25">
      <c r="A2876" t="s">
        <v>4947</v>
      </c>
      <c r="B2876" t="s">
        <v>652</v>
      </c>
      <c r="C2876" s="8">
        <v>46046</v>
      </c>
      <c r="D2876" t="s">
        <v>2067</v>
      </c>
      <c r="E2876" t="s">
        <v>2073</v>
      </c>
      <c r="F2876" t="s">
        <v>21</v>
      </c>
      <c r="G2876">
        <v>1924.24</v>
      </c>
      <c r="H2876" t="s">
        <v>2060</v>
      </c>
      <c r="I2876" t="str">
        <f>VLOOKUP(B2876,Customers!A:G,7,FALSE)</f>
        <v>Student</v>
      </c>
      <c r="Q2876" t="str">
        <f>IF(COUNTIF(Customers!$A$2:$A$1001,B2876)&gt;0,"Valid","Invalid")</f>
        <v>Valid</v>
      </c>
      <c r="R2876" t="str">
        <f>IF(COUNTIF(Branches!$A$2:$A$11,F2876)&gt;0,"Valid","Invalid")</f>
        <v>Valid</v>
      </c>
    </row>
    <row r="2877" spans="1:18" x14ac:dyDescent="0.25">
      <c r="A2877" t="s">
        <v>4948</v>
      </c>
      <c r="B2877" t="s">
        <v>887</v>
      </c>
      <c r="C2877" s="8">
        <v>46087</v>
      </c>
      <c r="D2877" t="s">
        <v>2067</v>
      </c>
      <c r="E2877" t="s">
        <v>2059</v>
      </c>
      <c r="F2877" t="s">
        <v>21</v>
      </c>
      <c r="G2877">
        <v>2315.98</v>
      </c>
      <c r="H2877" t="s">
        <v>2115</v>
      </c>
      <c r="I2877" t="str">
        <f>VLOOKUP(B2877,Customers!A:G,7,FALSE)</f>
        <v>Individual</v>
      </c>
      <c r="Q2877" t="str">
        <f>IF(COUNTIF(Customers!$A$2:$A$1001,B2877)&gt;0,"Valid","Invalid")</f>
        <v>Valid</v>
      </c>
      <c r="R2877" t="str">
        <f>IF(COUNTIF(Branches!$A$2:$A$11,F2877)&gt;0,"Valid","Invalid")</f>
        <v>Valid</v>
      </c>
    </row>
    <row r="2878" spans="1:18" x14ac:dyDescent="0.25">
      <c r="A2878" t="s">
        <v>4949</v>
      </c>
      <c r="B2878" t="s">
        <v>119</v>
      </c>
      <c r="C2878" s="8">
        <v>46198</v>
      </c>
      <c r="D2878" t="s">
        <v>2065</v>
      </c>
      <c r="E2878" t="s">
        <v>2073</v>
      </c>
      <c r="F2878" t="s">
        <v>29</v>
      </c>
      <c r="G2878">
        <v>162.38</v>
      </c>
      <c r="H2878" t="s">
        <v>2060</v>
      </c>
      <c r="I2878" t="str">
        <f>VLOOKUP(B2878,Customers!A:G,7,FALSE)</f>
        <v>Corporate</v>
      </c>
      <c r="Q2878" t="str">
        <f>IF(COUNTIF(Customers!$A$2:$A$1001,B2878)&gt;0,"Valid","Invalid")</f>
        <v>Valid</v>
      </c>
      <c r="R2878" t="str">
        <f>IF(COUNTIF(Branches!$A$2:$A$11,F2878)&gt;0,"Valid","Invalid")</f>
        <v>Valid</v>
      </c>
    </row>
    <row r="2879" spans="1:18" x14ac:dyDescent="0.25">
      <c r="A2879" t="s">
        <v>4950</v>
      </c>
      <c r="B2879" t="s">
        <v>594</v>
      </c>
      <c r="C2879" s="8">
        <v>46160</v>
      </c>
      <c r="D2879" t="s">
        <v>2065</v>
      </c>
      <c r="E2879" t="s">
        <v>2059</v>
      </c>
      <c r="F2879" t="s">
        <v>29</v>
      </c>
      <c r="G2879">
        <v>766.47</v>
      </c>
      <c r="H2879" t="s">
        <v>2060</v>
      </c>
      <c r="I2879" t="str">
        <f>VLOOKUP(B2879,Customers!A:G,7,FALSE)</f>
        <v>SME</v>
      </c>
      <c r="Q2879" t="str">
        <f>IF(COUNTIF(Customers!$A$2:$A$1001,B2879)&gt;0,"Valid","Invalid")</f>
        <v>Valid</v>
      </c>
      <c r="R2879" t="str">
        <f>IF(COUNTIF(Branches!$A$2:$A$11,F2879)&gt;0,"Valid","Invalid")</f>
        <v>Valid</v>
      </c>
    </row>
    <row r="2880" spans="1:18" x14ac:dyDescent="0.25">
      <c r="A2880" t="s">
        <v>4951</v>
      </c>
      <c r="B2880" t="s">
        <v>618</v>
      </c>
      <c r="C2880" s="8">
        <v>46035</v>
      </c>
      <c r="D2880" t="s">
        <v>2058</v>
      </c>
      <c r="E2880" t="s">
        <v>2063</v>
      </c>
      <c r="F2880" t="s">
        <v>45</v>
      </c>
      <c r="G2880">
        <v>6068.95</v>
      </c>
      <c r="H2880" t="s">
        <v>2060</v>
      </c>
      <c r="I2880" t="str">
        <f>VLOOKUP(B2880,Customers!A:G,7,FALSE)</f>
        <v>Individual</v>
      </c>
      <c r="Q2880" t="str">
        <f>IF(COUNTIF(Customers!$A$2:$A$1001,B2880)&gt;0,"Valid","Invalid")</f>
        <v>Valid</v>
      </c>
      <c r="R2880" t="str">
        <f>IF(COUNTIF(Branches!$A$2:$A$11,F2880)&gt;0,"Valid","Invalid")</f>
        <v>Valid</v>
      </c>
    </row>
    <row r="2881" spans="1:18" x14ac:dyDescent="0.25">
      <c r="A2881" t="s">
        <v>4952</v>
      </c>
      <c r="B2881" t="s">
        <v>598</v>
      </c>
      <c r="C2881" s="8">
        <v>46250</v>
      </c>
      <c r="D2881" t="s">
        <v>2062</v>
      </c>
      <c r="E2881" t="s">
        <v>2063</v>
      </c>
      <c r="F2881" t="s">
        <v>27</v>
      </c>
      <c r="G2881">
        <v>915.16</v>
      </c>
      <c r="H2881" t="s">
        <v>2060</v>
      </c>
      <c r="I2881" t="str">
        <f>VLOOKUP(B2881,Customers!A:G,7,FALSE)</f>
        <v>Individual</v>
      </c>
      <c r="Q2881" t="str">
        <f>IF(COUNTIF(Customers!$A$2:$A$1001,B2881)&gt;0,"Valid","Invalid")</f>
        <v>Valid</v>
      </c>
      <c r="R2881" t="str">
        <f>IF(COUNTIF(Branches!$A$2:$A$11,F2881)&gt;0,"Valid","Invalid")</f>
        <v>Valid</v>
      </c>
    </row>
    <row r="2882" spans="1:18" x14ac:dyDescent="0.25">
      <c r="A2882" t="s">
        <v>4953</v>
      </c>
      <c r="B2882" t="s">
        <v>607</v>
      </c>
      <c r="C2882" s="8">
        <v>46223</v>
      </c>
      <c r="D2882" t="s">
        <v>2065</v>
      </c>
      <c r="E2882" t="s">
        <v>2063</v>
      </c>
      <c r="F2882" t="s">
        <v>45</v>
      </c>
      <c r="G2882">
        <v>353.77</v>
      </c>
      <c r="H2882" t="s">
        <v>2060</v>
      </c>
      <c r="I2882" t="str">
        <f>VLOOKUP(B2882,Customers!A:G,7,FALSE)</f>
        <v>Individual</v>
      </c>
      <c r="Q2882" t="str">
        <f>IF(COUNTIF(Customers!$A$2:$A$1001,B2882)&gt;0,"Valid","Invalid")</f>
        <v>Valid</v>
      </c>
      <c r="R2882" t="str">
        <f>IF(COUNTIF(Branches!$A$2:$A$11,F2882)&gt;0,"Valid","Invalid")</f>
        <v>Valid</v>
      </c>
    </row>
    <row r="2883" spans="1:18" x14ac:dyDescent="0.25">
      <c r="A2883" t="s">
        <v>4954</v>
      </c>
      <c r="B2883" t="s">
        <v>625</v>
      </c>
      <c r="C2883" s="8">
        <v>46164</v>
      </c>
      <c r="D2883" t="s">
        <v>2058</v>
      </c>
      <c r="E2883" t="s">
        <v>2059</v>
      </c>
      <c r="F2883" t="s">
        <v>47</v>
      </c>
      <c r="G2883">
        <v>750.17</v>
      </c>
      <c r="H2883" t="s">
        <v>2060</v>
      </c>
      <c r="I2883" t="str">
        <f>VLOOKUP(B2883,Customers!A:G,7,FALSE)</f>
        <v>Individual</v>
      </c>
      <c r="Q2883" t="str">
        <f>IF(COUNTIF(Customers!$A$2:$A$1001,B2883)&gt;0,"Valid","Invalid")</f>
        <v>Valid</v>
      </c>
      <c r="R2883" t="str">
        <f>IF(COUNTIF(Branches!$A$2:$A$11,F2883)&gt;0,"Valid","Invalid")</f>
        <v>Valid</v>
      </c>
    </row>
    <row r="2884" spans="1:18" x14ac:dyDescent="0.25">
      <c r="A2884" t="s">
        <v>4955</v>
      </c>
      <c r="B2884" t="s">
        <v>56</v>
      </c>
      <c r="C2884" s="8">
        <v>46122</v>
      </c>
      <c r="D2884" t="s">
        <v>2067</v>
      </c>
      <c r="E2884" t="s">
        <v>2063</v>
      </c>
      <c r="F2884" t="s">
        <v>29</v>
      </c>
      <c r="G2884">
        <v>553.54</v>
      </c>
      <c r="H2884" t="s">
        <v>2060</v>
      </c>
      <c r="I2884" t="str">
        <f>VLOOKUP(B2884,Customers!A:G,7,FALSE)</f>
        <v>Individual</v>
      </c>
      <c r="Q2884" t="str">
        <f>IF(COUNTIF(Customers!$A$2:$A$1001,B2884)&gt;0,"Valid","Invalid")</f>
        <v>Valid</v>
      </c>
      <c r="R2884" t="str">
        <f>IF(COUNTIF(Branches!$A$2:$A$11,F2884)&gt;0,"Valid","Invalid")</f>
        <v>Valid</v>
      </c>
    </row>
    <row r="2885" spans="1:18" x14ac:dyDescent="0.25">
      <c r="A2885" t="s">
        <v>4956</v>
      </c>
      <c r="B2885" t="s">
        <v>168</v>
      </c>
      <c r="C2885" s="8">
        <v>46160</v>
      </c>
      <c r="D2885" t="s">
        <v>2065</v>
      </c>
      <c r="E2885" t="s">
        <v>2059</v>
      </c>
      <c r="F2885" t="s">
        <v>47</v>
      </c>
      <c r="G2885">
        <v>250.52</v>
      </c>
      <c r="H2885" t="s">
        <v>2060</v>
      </c>
      <c r="I2885" t="str">
        <f>VLOOKUP(B2885,Customers!A:G,7,FALSE)</f>
        <v>SME</v>
      </c>
      <c r="Q2885" t="str">
        <f>IF(COUNTIF(Customers!$A$2:$A$1001,B2885)&gt;0,"Valid","Invalid")</f>
        <v>Valid</v>
      </c>
      <c r="R2885" t="str">
        <f>IF(COUNTIF(Branches!$A$2:$A$11,F2885)&gt;0,"Valid","Invalid")</f>
        <v>Valid</v>
      </c>
    </row>
    <row r="2886" spans="1:18" x14ac:dyDescent="0.25">
      <c r="A2886" t="s">
        <v>4957</v>
      </c>
      <c r="B2886" t="s">
        <v>503</v>
      </c>
      <c r="C2886" s="8">
        <v>46190</v>
      </c>
      <c r="D2886" t="s">
        <v>2070</v>
      </c>
      <c r="E2886" t="s">
        <v>2073</v>
      </c>
      <c r="F2886" t="s">
        <v>53</v>
      </c>
      <c r="G2886">
        <v>1937.4</v>
      </c>
      <c r="H2886" t="s">
        <v>2060</v>
      </c>
      <c r="I2886" t="str">
        <f>VLOOKUP(B2886,Customers!A:G,7,FALSE)</f>
        <v>SME</v>
      </c>
      <c r="Q2886" t="str">
        <f>IF(COUNTIF(Customers!$A$2:$A$1001,B2886)&gt;0,"Valid","Invalid")</f>
        <v>Valid</v>
      </c>
      <c r="R2886" t="str">
        <f>IF(COUNTIF(Branches!$A$2:$A$11,F2886)&gt;0,"Valid","Invalid")</f>
        <v>Valid</v>
      </c>
    </row>
    <row r="2887" spans="1:18" x14ac:dyDescent="0.25">
      <c r="A2887" t="s">
        <v>4958</v>
      </c>
      <c r="B2887" t="s">
        <v>494</v>
      </c>
      <c r="C2887" s="8">
        <v>46173</v>
      </c>
      <c r="D2887" t="s">
        <v>2062</v>
      </c>
      <c r="E2887" t="s">
        <v>2076</v>
      </c>
      <c r="F2887" t="s">
        <v>27</v>
      </c>
      <c r="G2887">
        <v>1457.32</v>
      </c>
      <c r="H2887" t="s">
        <v>2060</v>
      </c>
      <c r="I2887" t="str">
        <f>VLOOKUP(B2887,Customers!A:G,7,FALSE)</f>
        <v>Student</v>
      </c>
      <c r="Q2887" t="str">
        <f>IF(COUNTIF(Customers!$A$2:$A$1001,B2887)&gt;0,"Valid","Invalid")</f>
        <v>Valid</v>
      </c>
      <c r="R2887" t="str">
        <f>IF(COUNTIF(Branches!$A$2:$A$11,F2887)&gt;0,"Valid","Invalid")</f>
        <v>Valid</v>
      </c>
    </row>
    <row r="2888" spans="1:18" x14ac:dyDescent="0.25">
      <c r="A2888" t="s">
        <v>4959</v>
      </c>
      <c r="B2888" t="s">
        <v>340</v>
      </c>
      <c r="C2888" s="8">
        <v>46121</v>
      </c>
      <c r="D2888" t="s">
        <v>2065</v>
      </c>
      <c r="E2888" t="s">
        <v>2068</v>
      </c>
      <c r="F2888" t="s">
        <v>35</v>
      </c>
      <c r="G2888">
        <v>213.9</v>
      </c>
      <c r="H2888" t="s">
        <v>2060</v>
      </c>
      <c r="I2888" t="str">
        <f>VLOOKUP(B2888,Customers!A:G,7,FALSE)</f>
        <v>Individual</v>
      </c>
      <c r="Q2888" t="str">
        <f>IF(COUNTIF(Customers!$A$2:$A$1001,B2888)&gt;0,"Valid","Invalid")</f>
        <v>Valid</v>
      </c>
      <c r="R2888" t="str">
        <f>IF(COUNTIF(Branches!$A$2:$A$11,F2888)&gt;0,"Valid","Invalid")</f>
        <v>Valid</v>
      </c>
    </row>
    <row r="2889" spans="1:18" x14ac:dyDescent="0.25">
      <c r="A2889" t="s">
        <v>4960</v>
      </c>
      <c r="B2889" t="s">
        <v>993</v>
      </c>
      <c r="C2889" s="8">
        <v>46077</v>
      </c>
      <c r="D2889" t="s">
        <v>2062</v>
      </c>
      <c r="E2889" t="s">
        <v>2063</v>
      </c>
      <c r="F2889" t="s">
        <v>21</v>
      </c>
      <c r="G2889">
        <v>740.06</v>
      </c>
      <c r="H2889" t="s">
        <v>2060</v>
      </c>
      <c r="I2889" t="str">
        <f>VLOOKUP(B2889,Customers!A:G,7,FALSE)</f>
        <v>SME</v>
      </c>
      <c r="Q2889" t="str">
        <f>IF(COUNTIF(Customers!$A$2:$A$1001,B2889)&gt;0,"Valid","Invalid")</f>
        <v>Valid</v>
      </c>
      <c r="R2889" t="str">
        <f>IF(COUNTIF(Branches!$A$2:$A$11,F2889)&gt;0,"Valid","Invalid")</f>
        <v>Valid</v>
      </c>
    </row>
    <row r="2890" spans="1:18" x14ac:dyDescent="0.25">
      <c r="A2890" t="s">
        <v>4961</v>
      </c>
      <c r="B2890" t="s">
        <v>968</v>
      </c>
      <c r="C2890" s="8">
        <v>46085</v>
      </c>
      <c r="D2890" t="s">
        <v>2067</v>
      </c>
      <c r="E2890" t="s">
        <v>2059</v>
      </c>
      <c r="F2890" t="s">
        <v>16</v>
      </c>
      <c r="G2890">
        <v>461.06</v>
      </c>
      <c r="H2890" t="s">
        <v>2060</v>
      </c>
      <c r="I2890" t="str">
        <f>VLOOKUP(B2890,Customers!A:G,7,FALSE)</f>
        <v>SME</v>
      </c>
      <c r="Q2890" t="str">
        <f>IF(COUNTIF(Customers!$A$2:$A$1001,B2890)&gt;0,"Valid","Invalid")</f>
        <v>Valid</v>
      </c>
      <c r="R2890" t="str">
        <f>IF(COUNTIF(Branches!$A$2:$A$11,F2890)&gt;0,"Valid","Invalid")</f>
        <v>Valid</v>
      </c>
    </row>
    <row r="2891" spans="1:18" x14ac:dyDescent="0.25">
      <c r="A2891" t="s">
        <v>4962</v>
      </c>
      <c r="B2891" t="s">
        <v>305</v>
      </c>
      <c r="C2891" s="8">
        <v>46093</v>
      </c>
      <c r="D2891" t="s">
        <v>2070</v>
      </c>
      <c r="E2891" t="s">
        <v>2063</v>
      </c>
      <c r="F2891" t="s">
        <v>29</v>
      </c>
      <c r="G2891">
        <v>163.76</v>
      </c>
      <c r="H2891" t="s">
        <v>2115</v>
      </c>
      <c r="I2891" t="str">
        <f>VLOOKUP(B2891,Customers!A:G,7,FALSE)</f>
        <v>Individual</v>
      </c>
      <c r="Q2891" t="str">
        <f>IF(COUNTIF(Customers!$A$2:$A$1001,B2891)&gt;0,"Valid","Invalid")</f>
        <v>Valid</v>
      </c>
      <c r="R2891" t="str">
        <f>IF(COUNTIF(Branches!$A$2:$A$11,F2891)&gt;0,"Valid","Invalid")</f>
        <v>Valid</v>
      </c>
    </row>
    <row r="2892" spans="1:18" x14ac:dyDescent="0.25">
      <c r="A2892" t="s">
        <v>4963</v>
      </c>
      <c r="B2892" t="s">
        <v>837</v>
      </c>
      <c r="C2892" s="8">
        <v>46192</v>
      </c>
      <c r="D2892" t="s">
        <v>2067</v>
      </c>
      <c r="E2892" t="s">
        <v>2068</v>
      </c>
      <c r="F2892" t="s">
        <v>29</v>
      </c>
      <c r="G2892">
        <v>197.39</v>
      </c>
      <c r="H2892" t="s">
        <v>2060</v>
      </c>
      <c r="I2892" t="str">
        <f>VLOOKUP(B2892,Customers!A:G,7,FALSE)</f>
        <v>Individual</v>
      </c>
      <c r="Q2892" t="str">
        <f>IF(COUNTIF(Customers!$A$2:$A$1001,B2892)&gt;0,"Valid","Invalid")</f>
        <v>Valid</v>
      </c>
      <c r="R2892" t="str">
        <f>IF(COUNTIF(Branches!$A$2:$A$11,F2892)&gt;0,"Valid","Invalid")</f>
        <v>Valid</v>
      </c>
    </row>
    <row r="2893" spans="1:18" x14ac:dyDescent="0.25">
      <c r="A2893" t="s">
        <v>4964</v>
      </c>
      <c r="B2893" t="s">
        <v>433</v>
      </c>
      <c r="C2893" s="8">
        <v>46121</v>
      </c>
      <c r="D2893" t="s">
        <v>2065</v>
      </c>
      <c r="E2893" t="s">
        <v>2063</v>
      </c>
      <c r="F2893" t="s">
        <v>29</v>
      </c>
      <c r="G2893">
        <v>229.07</v>
      </c>
      <c r="H2893" t="s">
        <v>2060</v>
      </c>
      <c r="I2893" t="str">
        <f>VLOOKUP(B2893,Customers!A:G,7,FALSE)</f>
        <v>Individual</v>
      </c>
      <c r="Q2893" t="str">
        <f>IF(COUNTIF(Customers!$A$2:$A$1001,B2893)&gt;0,"Valid","Invalid")</f>
        <v>Valid</v>
      </c>
      <c r="R2893" t="str">
        <f>IF(COUNTIF(Branches!$A$2:$A$11,F2893)&gt;0,"Valid","Invalid")</f>
        <v>Valid</v>
      </c>
    </row>
    <row r="2894" spans="1:18" x14ac:dyDescent="0.25">
      <c r="A2894" t="s">
        <v>4965</v>
      </c>
      <c r="B2894" t="s">
        <v>156</v>
      </c>
      <c r="C2894" s="8">
        <v>46088</v>
      </c>
      <c r="D2894" t="s">
        <v>2058</v>
      </c>
      <c r="E2894" t="s">
        <v>2059</v>
      </c>
      <c r="F2894" t="s">
        <v>27</v>
      </c>
      <c r="G2894">
        <v>766.3</v>
      </c>
      <c r="H2894" t="s">
        <v>2060</v>
      </c>
      <c r="I2894" t="str">
        <f>VLOOKUP(B2894,Customers!A:G,7,FALSE)</f>
        <v>Individual</v>
      </c>
      <c r="Q2894" t="str">
        <f>IF(COUNTIF(Customers!$A$2:$A$1001,B2894)&gt;0,"Valid","Invalid")</f>
        <v>Valid</v>
      </c>
      <c r="R2894" t="str">
        <f>IF(COUNTIF(Branches!$A$2:$A$11,F2894)&gt;0,"Valid","Invalid")</f>
        <v>Valid</v>
      </c>
    </row>
    <row r="2895" spans="1:18" x14ac:dyDescent="0.25">
      <c r="A2895" t="s">
        <v>4966</v>
      </c>
      <c r="B2895" t="s">
        <v>284</v>
      </c>
      <c r="C2895" s="8">
        <v>46101</v>
      </c>
      <c r="D2895" t="s">
        <v>2062</v>
      </c>
      <c r="E2895" t="s">
        <v>2059</v>
      </c>
      <c r="F2895" t="s">
        <v>47</v>
      </c>
      <c r="G2895">
        <v>513.91</v>
      </c>
      <c r="H2895" t="s">
        <v>2060</v>
      </c>
      <c r="I2895" t="str">
        <f>VLOOKUP(B2895,Customers!A:G,7,FALSE)</f>
        <v>Individual</v>
      </c>
      <c r="Q2895" t="str">
        <f>IF(COUNTIF(Customers!$A$2:$A$1001,B2895)&gt;0,"Valid","Invalid")</f>
        <v>Valid</v>
      </c>
      <c r="R2895" t="str">
        <f>IF(COUNTIF(Branches!$A$2:$A$11,F2895)&gt;0,"Valid","Invalid")</f>
        <v>Valid</v>
      </c>
    </row>
    <row r="2896" spans="1:18" x14ac:dyDescent="0.25">
      <c r="A2896" t="s">
        <v>4967</v>
      </c>
      <c r="B2896" t="s">
        <v>606</v>
      </c>
      <c r="C2896" s="8">
        <v>46095</v>
      </c>
      <c r="D2896" t="s">
        <v>2065</v>
      </c>
      <c r="E2896" t="s">
        <v>2059</v>
      </c>
      <c r="F2896" t="s">
        <v>39</v>
      </c>
      <c r="G2896">
        <v>311.32</v>
      </c>
      <c r="H2896" t="s">
        <v>2060</v>
      </c>
      <c r="I2896" t="str">
        <f>VLOOKUP(B2896,Customers!A:G,7,FALSE)</f>
        <v>SME</v>
      </c>
      <c r="Q2896" t="str">
        <f>IF(COUNTIF(Customers!$A$2:$A$1001,B2896)&gt;0,"Valid","Invalid")</f>
        <v>Valid</v>
      </c>
      <c r="R2896" t="str">
        <f>IF(COUNTIF(Branches!$A$2:$A$11,F2896)&gt;0,"Valid","Invalid")</f>
        <v>Valid</v>
      </c>
    </row>
    <row r="2897" spans="1:18" x14ac:dyDescent="0.25">
      <c r="A2897" t="s">
        <v>4968</v>
      </c>
      <c r="B2897" t="s">
        <v>72</v>
      </c>
      <c r="C2897" s="8">
        <v>46069</v>
      </c>
      <c r="D2897" t="s">
        <v>2062</v>
      </c>
      <c r="E2897" t="s">
        <v>2068</v>
      </c>
      <c r="F2897" t="s">
        <v>29</v>
      </c>
      <c r="G2897">
        <v>549.01</v>
      </c>
      <c r="H2897" t="s">
        <v>2060</v>
      </c>
      <c r="I2897" t="str">
        <f>VLOOKUP(B2897,Customers!A:G,7,FALSE)</f>
        <v>Individual</v>
      </c>
      <c r="Q2897" t="str">
        <f>IF(COUNTIF(Customers!$A$2:$A$1001,B2897)&gt;0,"Valid","Invalid")</f>
        <v>Valid</v>
      </c>
      <c r="R2897" t="str">
        <f>IF(COUNTIF(Branches!$A$2:$A$11,F2897)&gt;0,"Valid","Invalid")</f>
        <v>Valid</v>
      </c>
    </row>
    <row r="2898" spans="1:18" x14ac:dyDescent="0.25">
      <c r="A2898" t="s">
        <v>4969</v>
      </c>
      <c r="B2898" t="s">
        <v>283</v>
      </c>
      <c r="C2898" s="8">
        <v>46103</v>
      </c>
      <c r="D2898" t="s">
        <v>2065</v>
      </c>
      <c r="E2898" t="s">
        <v>2063</v>
      </c>
      <c r="F2898" t="s">
        <v>29</v>
      </c>
      <c r="G2898">
        <v>1715.63</v>
      </c>
      <c r="H2898" t="s">
        <v>2060</v>
      </c>
      <c r="I2898" t="str">
        <f>VLOOKUP(B2898,Customers!A:G,7,FALSE)</f>
        <v>Individual</v>
      </c>
      <c r="Q2898" t="str">
        <f>IF(COUNTIF(Customers!$A$2:$A$1001,B2898)&gt;0,"Valid","Invalid")</f>
        <v>Valid</v>
      </c>
      <c r="R2898" t="str">
        <f>IF(COUNTIF(Branches!$A$2:$A$11,F2898)&gt;0,"Valid","Invalid")</f>
        <v>Valid</v>
      </c>
    </row>
    <row r="2899" spans="1:18" x14ac:dyDescent="0.25">
      <c r="A2899" t="s">
        <v>4970</v>
      </c>
      <c r="B2899" t="s">
        <v>55</v>
      </c>
      <c r="C2899" s="8">
        <v>46148</v>
      </c>
      <c r="D2899" t="s">
        <v>2062</v>
      </c>
      <c r="E2899" t="s">
        <v>2059</v>
      </c>
      <c r="F2899" t="s">
        <v>53</v>
      </c>
      <c r="G2899">
        <v>1160.5999999999999</v>
      </c>
      <c r="H2899" t="s">
        <v>2060</v>
      </c>
      <c r="I2899" t="str">
        <f>VLOOKUP(B2899,Customers!A:G,7,FALSE)</f>
        <v>SME</v>
      </c>
      <c r="Q2899" t="str">
        <f>IF(COUNTIF(Customers!$A$2:$A$1001,B2899)&gt;0,"Valid","Invalid")</f>
        <v>Valid</v>
      </c>
      <c r="R2899" t="str">
        <f>IF(COUNTIF(Branches!$A$2:$A$11,F2899)&gt;0,"Valid","Invalid")</f>
        <v>Valid</v>
      </c>
    </row>
    <row r="2900" spans="1:18" x14ac:dyDescent="0.25">
      <c r="A2900" t="s">
        <v>4971</v>
      </c>
      <c r="B2900" t="s">
        <v>146</v>
      </c>
      <c r="C2900" s="8">
        <v>46253</v>
      </c>
      <c r="D2900" t="s">
        <v>2065</v>
      </c>
      <c r="E2900" t="s">
        <v>2068</v>
      </c>
      <c r="F2900" t="s">
        <v>11</v>
      </c>
      <c r="G2900">
        <v>2212.48</v>
      </c>
      <c r="H2900" t="s">
        <v>2060</v>
      </c>
      <c r="I2900" t="str">
        <f>VLOOKUP(B2900,Customers!A:G,7,FALSE)</f>
        <v>Student</v>
      </c>
      <c r="Q2900" t="str">
        <f>IF(COUNTIF(Customers!$A$2:$A$1001,B2900)&gt;0,"Valid","Invalid")</f>
        <v>Valid</v>
      </c>
      <c r="R2900" t="str">
        <f>IF(COUNTIF(Branches!$A$2:$A$11,F2900)&gt;0,"Valid","Invalid")</f>
        <v>Valid</v>
      </c>
    </row>
    <row r="2901" spans="1:18" x14ac:dyDescent="0.25">
      <c r="A2901" t="s">
        <v>4972</v>
      </c>
      <c r="B2901" t="s">
        <v>644</v>
      </c>
      <c r="C2901" s="8">
        <v>46074</v>
      </c>
      <c r="D2901" t="s">
        <v>2062</v>
      </c>
      <c r="E2901" t="s">
        <v>2059</v>
      </c>
      <c r="F2901" t="s">
        <v>45</v>
      </c>
      <c r="G2901">
        <v>646.57000000000005</v>
      </c>
      <c r="H2901" t="s">
        <v>2060</v>
      </c>
      <c r="I2901" t="str">
        <f>VLOOKUP(B2901,Customers!A:G,7,FALSE)</f>
        <v>Individual</v>
      </c>
      <c r="Q2901" t="str">
        <f>IF(COUNTIF(Customers!$A$2:$A$1001,B2901)&gt;0,"Valid","Invalid")</f>
        <v>Valid</v>
      </c>
      <c r="R2901" t="str">
        <f>IF(COUNTIF(Branches!$A$2:$A$11,F2901)&gt;0,"Valid","Invalid")</f>
        <v>Valid</v>
      </c>
    </row>
    <row r="2902" spans="1:18" x14ac:dyDescent="0.25">
      <c r="A2902" t="s">
        <v>4973</v>
      </c>
      <c r="B2902" t="s">
        <v>432</v>
      </c>
      <c r="C2902" s="8">
        <v>46168</v>
      </c>
      <c r="D2902" t="s">
        <v>2058</v>
      </c>
      <c r="E2902" t="s">
        <v>2059</v>
      </c>
      <c r="F2902" t="s">
        <v>45</v>
      </c>
      <c r="G2902">
        <v>4034.18</v>
      </c>
      <c r="H2902" t="s">
        <v>2060</v>
      </c>
      <c r="I2902" t="str">
        <f>VLOOKUP(B2902,Customers!A:G,7,FALSE)</f>
        <v>SME</v>
      </c>
      <c r="Q2902" t="str">
        <f>IF(COUNTIF(Customers!$A$2:$A$1001,B2902)&gt;0,"Valid","Invalid")</f>
        <v>Valid</v>
      </c>
      <c r="R2902" t="str">
        <f>IF(COUNTIF(Branches!$A$2:$A$11,F2902)&gt;0,"Valid","Invalid")</f>
        <v>Valid</v>
      </c>
    </row>
    <row r="2903" spans="1:18" x14ac:dyDescent="0.25">
      <c r="A2903" t="s">
        <v>4974</v>
      </c>
      <c r="B2903" t="s">
        <v>448</v>
      </c>
      <c r="C2903" s="8">
        <v>46229</v>
      </c>
      <c r="D2903" t="s">
        <v>2067</v>
      </c>
      <c r="E2903" t="s">
        <v>2063</v>
      </c>
      <c r="F2903" t="s">
        <v>29</v>
      </c>
      <c r="G2903">
        <v>1150.6500000000001</v>
      </c>
      <c r="H2903" t="s">
        <v>2060</v>
      </c>
      <c r="I2903" t="str">
        <f>VLOOKUP(B2903,Customers!A:G,7,FALSE)</f>
        <v>Student</v>
      </c>
      <c r="Q2903" t="str">
        <f>IF(COUNTIF(Customers!$A$2:$A$1001,B2903)&gt;0,"Valid","Invalid")</f>
        <v>Valid</v>
      </c>
      <c r="R2903" t="str">
        <f>IF(COUNTIF(Branches!$A$2:$A$11,F2903)&gt;0,"Valid","Invalid")</f>
        <v>Valid</v>
      </c>
    </row>
    <row r="2904" spans="1:18" x14ac:dyDescent="0.25">
      <c r="A2904" t="s">
        <v>4975</v>
      </c>
      <c r="B2904" t="s">
        <v>1025</v>
      </c>
      <c r="C2904" s="8">
        <v>46168</v>
      </c>
      <c r="D2904" t="s">
        <v>2070</v>
      </c>
      <c r="E2904" t="s">
        <v>2068</v>
      </c>
      <c r="F2904" t="s">
        <v>45</v>
      </c>
      <c r="G2904">
        <v>498.24</v>
      </c>
      <c r="H2904" t="s">
        <v>2060</v>
      </c>
      <c r="I2904" t="str">
        <f>VLOOKUP(B2904,Customers!A:G,7,FALSE)</f>
        <v>Individual</v>
      </c>
      <c r="Q2904" t="str">
        <f>IF(COUNTIF(Customers!$A$2:$A$1001,B2904)&gt;0,"Valid","Invalid")</f>
        <v>Valid</v>
      </c>
      <c r="R2904" t="str">
        <f>IF(COUNTIF(Branches!$A$2:$A$11,F2904)&gt;0,"Valid","Invalid")</f>
        <v>Valid</v>
      </c>
    </row>
    <row r="2905" spans="1:18" x14ac:dyDescent="0.25">
      <c r="A2905" t="s">
        <v>4976</v>
      </c>
      <c r="B2905" t="s">
        <v>686</v>
      </c>
      <c r="C2905" s="8">
        <v>46174</v>
      </c>
      <c r="D2905" t="s">
        <v>2070</v>
      </c>
      <c r="E2905" t="s">
        <v>2073</v>
      </c>
      <c r="F2905" t="s">
        <v>27</v>
      </c>
      <c r="G2905">
        <v>891.54</v>
      </c>
      <c r="H2905" t="s">
        <v>2060</v>
      </c>
      <c r="I2905" t="str">
        <f>VLOOKUP(B2905,Customers!A:G,7,FALSE)</f>
        <v>SME</v>
      </c>
      <c r="Q2905" t="str">
        <f>IF(COUNTIF(Customers!$A$2:$A$1001,B2905)&gt;0,"Valid","Invalid")</f>
        <v>Valid</v>
      </c>
      <c r="R2905" t="str">
        <f>IF(COUNTIF(Branches!$A$2:$A$11,F2905)&gt;0,"Valid","Invalid")</f>
        <v>Valid</v>
      </c>
    </row>
    <row r="2906" spans="1:18" x14ac:dyDescent="0.25">
      <c r="A2906" t="s">
        <v>4977</v>
      </c>
      <c r="B2906" t="s">
        <v>781</v>
      </c>
      <c r="C2906" s="8">
        <v>46045</v>
      </c>
      <c r="D2906" t="s">
        <v>2058</v>
      </c>
      <c r="E2906" t="s">
        <v>2076</v>
      </c>
      <c r="F2906" t="s">
        <v>27</v>
      </c>
      <c r="G2906">
        <v>233.21</v>
      </c>
      <c r="H2906" t="s">
        <v>2060</v>
      </c>
      <c r="I2906" t="str">
        <f>VLOOKUP(B2906,Customers!A:G,7,FALSE)</f>
        <v>SME</v>
      </c>
      <c r="Q2906" t="str">
        <f>IF(COUNTIF(Customers!$A$2:$A$1001,B2906)&gt;0,"Valid","Invalid")</f>
        <v>Valid</v>
      </c>
      <c r="R2906" t="str">
        <f>IF(COUNTIF(Branches!$A$2:$A$11,F2906)&gt;0,"Valid","Invalid")</f>
        <v>Valid</v>
      </c>
    </row>
    <row r="2907" spans="1:18" x14ac:dyDescent="0.25">
      <c r="A2907" t="s">
        <v>4978</v>
      </c>
      <c r="B2907" t="s">
        <v>32</v>
      </c>
      <c r="C2907" s="8">
        <v>46162</v>
      </c>
      <c r="D2907" t="s">
        <v>2065</v>
      </c>
      <c r="E2907" t="s">
        <v>2068</v>
      </c>
      <c r="F2907" t="s">
        <v>29</v>
      </c>
      <c r="G2907">
        <v>598.13</v>
      </c>
      <c r="H2907" t="s">
        <v>2060</v>
      </c>
      <c r="I2907" t="str">
        <f>VLOOKUP(B2907,Customers!A:G,7,FALSE)</f>
        <v>Individual</v>
      </c>
      <c r="Q2907" t="str">
        <f>IF(COUNTIF(Customers!$A$2:$A$1001,B2907)&gt;0,"Valid","Invalid")</f>
        <v>Valid</v>
      </c>
      <c r="R2907" t="str">
        <f>IF(COUNTIF(Branches!$A$2:$A$11,F2907)&gt;0,"Valid","Invalid")</f>
        <v>Valid</v>
      </c>
    </row>
    <row r="2908" spans="1:18" x14ac:dyDescent="0.25">
      <c r="A2908" t="s">
        <v>4979</v>
      </c>
      <c r="B2908" t="s">
        <v>482</v>
      </c>
      <c r="C2908" s="8">
        <v>46173</v>
      </c>
      <c r="D2908" t="s">
        <v>2058</v>
      </c>
      <c r="E2908" t="s">
        <v>2059</v>
      </c>
      <c r="F2908" t="s">
        <v>21</v>
      </c>
      <c r="G2908">
        <v>1248.8399999999999</v>
      </c>
      <c r="H2908" t="s">
        <v>2060</v>
      </c>
      <c r="I2908" t="str">
        <f>VLOOKUP(B2908,Customers!A:G,7,FALSE)</f>
        <v>Individual</v>
      </c>
      <c r="Q2908" t="str">
        <f>IF(COUNTIF(Customers!$A$2:$A$1001,B2908)&gt;0,"Valid","Invalid")</f>
        <v>Valid</v>
      </c>
      <c r="R2908" t="str">
        <f>IF(COUNTIF(Branches!$A$2:$A$11,F2908)&gt;0,"Valid","Invalid")</f>
        <v>Valid</v>
      </c>
    </row>
    <row r="2909" spans="1:18" x14ac:dyDescent="0.25">
      <c r="A2909" t="s">
        <v>4980</v>
      </c>
      <c r="B2909" t="s">
        <v>366</v>
      </c>
      <c r="C2909" s="8">
        <v>46043</v>
      </c>
      <c r="D2909" t="s">
        <v>2058</v>
      </c>
      <c r="E2909" t="s">
        <v>2063</v>
      </c>
      <c r="F2909" t="s">
        <v>29</v>
      </c>
      <c r="G2909">
        <v>1497.68</v>
      </c>
      <c r="H2909" t="s">
        <v>2115</v>
      </c>
      <c r="I2909" t="str">
        <f>VLOOKUP(B2909,Customers!A:G,7,FALSE)</f>
        <v>Corporate</v>
      </c>
      <c r="Q2909" t="str">
        <f>IF(COUNTIF(Customers!$A$2:$A$1001,B2909)&gt;0,"Valid","Invalid")</f>
        <v>Valid</v>
      </c>
      <c r="R2909" t="str">
        <f>IF(COUNTIF(Branches!$A$2:$A$11,F2909)&gt;0,"Valid","Invalid")</f>
        <v>Valid</v>
      </c>
    </row>
    <row r="2910" spans="1:18" x14ac:dyDescent="0.25">
      <c r="A2910" t="s">
        <v>4981</v>
      </c>
      <c r="B2910" t="s">
        <v>925</v>
      </c>
      <c r="C2910" s="8">
        <v>46086</v>
      </c>
      <c r="D2910" t="s">
        <v>2058</v>
      </c>
      <c r="E2910" t="s">
        <v>2063</v>
      </c>
      <c r="F2910" t="s">
        <v>47</v>
      </c>
      <c r="G2910">
        <v>539.07000000000005</v>
      </c>
      <c r="H2910" t="s">
        <v>2060</v>
      </c>
      <c r="I2910" t="str">
        <f>VLOOKUP(B2910,Customers!A:G,7,FALSE)</f>
        <v>Individual</v>
      </c>
      <c r="Q2910" t="str">
        <f>IF(COUNTIF(Customers!$A$2:$A$1001,B2910)&gt;0,"Valid","Invalid")</f>
        <v>Valid</v>
      </c>
      <c r="R2910" t="str">
        <f>IF(COUNTIF(Branches!$A$2:$A$11,F2910)&gt;0,"Valid","Invalid")</f>
        <v>Valid</v>
      </c>
    </row>
    <row r="2911" spans="1:18" x14ac:dyDescent="0.25">
      <c r="A2911" t="s">
        <v>4982</v>
      </c>
      <c r="B2911" t="s">
        <v>328</v>
      </c>
      <c r="C2911" s="8">
        <v>46240</v>
      </c>
      <c r="D2911" t="s">
        <v>2058</v>
      </c>
      <c r="E2911" t="s">
        <v>2076</v>
      </c>
      <c r="F2911" t="s">
        <v>29</v>
      </c>
      <c r="G2911">
        <v>12505.08</v>
      </c>
      <c r="H2911" t="s">
        <v>2060</v>
      </c>
      <c r="I2911" t="str">
        <f>VLOOKUP(B2911,Customers!A:G,7,FALSE)</f>
        <v>Individual</v>
      </c>
      <c r="Q2911" t="str">
        <f>IF(COUNTIF(Customers!$A$2:$A$1001,B2911)&gt;0,"Valid","Invalid")</f>
        <v>Valid</v>
      </c>
      <c r="R2911" t="str">
        <f>IF(COUNTIF(Branches!$A$2:$A$11,F2911)&gt;0,"Valid","Invalid")</f>
        <v>Valid</v>
      </c>
    </row>
    <row r="2912" spans="1:18" x14ac:dyDescent="0.25">
      <c r="A2912" t="s">
        <v>4983</v>
      </c>
      <c r="B2912" t="s">
        <v>801</v>
      </c>
      <c r="C2912" s="8">
        <v>46094</v>
      </c>
      <c r="D2912" t="s">
        <v>2065</v>
      </c>
      <c r="E2912" t="s">
        <v>2059</v>
      </c>
      <c r="F2912" t="s">
        <v>27</v>
      </c>
      <c r="G2912">
        <v>683.89</v>
      </c>
      <c r="H2912" t="s">
        <v>2060</v>
      </c>
      <c r="I2912" t="str">
        <f>VLOOKUP(B2912,Customers!A:G,7,FALSE)</f>
        <v>SME</v>
      </c>
      <c r="Q2912" t="str">
        <f>IF(COUNTIF(Customers!$A$2:$A$1001,B2912)&gt;0,"Valid","Invalid")</f>
        <v>Valid</v>
      </c>
      <c r="R2912" t="str">
        <f>IF(COUNTIF(Branches!$A$2:$A$11,F2912)&gt;0,"Valid","Invalid")</f>
        <v>Valid</v>
      </c>
    </row>
    <row r="2913" spans="1:18" x14ac:dyDescent="0.25">
      <c r="A2913" t="s">
        <v>4984</v>
      </c>
      <c r="B2913" t="s">
        <v>549</v>
      </c>
      <c r="C2913" s="8">
        <v>46244</v>
      </c>
      <c r="D2913" t="s">
        <v>2062</v>
      </c>
      <c r="E2913" t="s">
        <v>2068</v>
      </c>
      <c r="F2913" t="s">
        <v>39</v>
      </c>
      <c r="G2913">
        <v>151.65</v>
      </c>
      <c r="H2913" t="s">
        <v>2060</v>
      </c>
      <c r="I2913" t="str">
        <f>VLOOKUP(B2913,Customers!A:G,7,FALSE)</f>
        <v>Individual</v>
      </c>
      <c r="Q2913" t="str">
        <f>IF(COUNTIF(Customers!$A$2:$A$1001,B2913)&gt;0,"Valid","Invalid")</f>
        <v>Valid</v>
      </c>
      <c r="R2913" t="str">
        <f>IF(COUNTIF(Branches!$A$2:$A$11,F2913)&gt;0,"Valid","Invalid")</f>
        <v>Valid</v>
      </c>
    </row>
    <row r="2914" spans="1:18" x14ac:dyDescent="0.25">
      <c r="A2914" t="s">
        <v>4985</v>
      </c>
      <c r="B2914" t="s">
        <v>950</v>
      </c>
      <c r="C2914" s="8">
        <v>46184</v>
      </c>
      <c r="D2914" t="s">
        <v>2062</v>
      </c>
      <c r="E2914" t="s">
        <v>2076</v>
      </c>
      <c r="F2914" t="s">
        <v>35</v>
      </c>
      <c r="G2914">
        <v>2733.31</v>
      </c>
      <c r="H2914" t="s">
        <v>2060</v>
      </c>
      <c r="I2914" t="str">
        <f>VLOOKUP(B2914,Customers!A:G,7,FALSE)</f>
        <v>Individual</v>
      </c>
      <c r="Q2914" t="str">
        <f>IF(COUNTIF(Customers!$A$2:$A$1001,B2914)&gt;0,"Valid","Invalid")</f>
        <v>Valid</v>
      </c>
      <c r="R2914" t="str">
        <f>IF(COUNTIF(Branches!$A$2:$A$11,F2914)&gt;0,"Valid","Invalid")</f>
        <v>Valid</v>
      </c>
    </row>
    <row r="2915" spans="1:18" x14ac:dyDescent="0.25">
      <c r="A2915" t="s">
        <v>4986</v>
      </c>
      <c r="B2915" t="s">
        <v>399</v>
      </c>
      <c r="C2915" s="8">
        <v>46152</v>
      </c>
      <c r="D2915" t="s">
        <v>2065</v>
      </c>
      <c r="E2915" t="s">
        <v>2073</v>
      </c>
      <c r="F2915" t="s">
        <v>21</v>
      </c>
      <c r="G2915">
        <v>1490.89</v>
      </c>
      <c r="H2915" t="s">
        <v>2060</v>
      </c>
      <c r="I2915" t="str">
        <f>VLOOKUP(B2915,Customers!A:G,7,FALSE)</f>
        <v>Individual</v>
      </c>
      <c r="Q2915" t="str">
        <f>IF(COUNTIF(Customers!$A$2:$A$1001,B2915)&gt;0,"Valid","Invalid")</f>
        <v>Valid</v>
      </c>
      <c r="R2915" t="str">
        <f>IF(COUNTIF(Branches!$A$2:$A$11,F2915)&gt;0,"Valid","Invalid")</f>
        <v>Valid</v>
      </c>
    </row>
    <row r="2916" spans="1:18" x14ac:dyDescent="0.25">
      <c r="A2916" t="s">
        <v>4987</v>
      </c>
      <c r="B2916" t="s">
        <v>947</v>
      </c>
      <c r="C2916" s="8">
        <v>46091</v>
      </c>
      <c r="D2916" t="s">
        <v>2058</v>
      </c>
      <c r="E2916" t="s">
        <v>2059</v>
      </c>
      <c r="F2916" t="s">
        <v>16</v>
      </c>
      <c r="G2916">
        <v>1024.22</v>
      </c>
      <c r="H2916" t="s">
        <v>2060</v>
      </c>
      <c r="I2916" t="str">
        <f>VLOOKUP(B2916,Customers!A:G,7,FALSE)</f>
        <v>Individual</v>
      </c>
      <c r="Q2916" t="str">
        <f>IF(COUNTIF(Customers!$A$2:$A$1001,B2916)&gt;0,"Valid","Invalid")</f>
        <v>Valid</v>
      </c>
      <c r="R2916" t="str">
        <f>IF(COUNTIF(Branches!$A$2:$A$11,F2916)&gt;0,"Valid","Invalid")</f>
        <v>Valid</v>
      </c>
    </row>
    <row r="2917" spans="1:18" x14ac:dyDescent="0.25">
      <c r="A2917" t="s">
        <v>4988</v>
      </c>
      <c r="B2917" t="s">
        <v>637</v>
      </c>
      <c r="C2917" s="8">
        <v>46181</v>
      </c>
      <c r="D2917" t="s">
        <v>2058</v>
      </c>
      <c r="E2917" t="s">
        <v>2059</v>
      </c>
      <c r="F2917" t="s">
        <v>21</v>
      </c>
      <c r="G2917">
        <v>510.34</v>
      </c>
      <c r="H2917" t="s">
        <v>2060</v>
      </c>
      <c r="I2917" t="str">
        <f>VLOOKUP(B2917,Customers!A:G,7,FALSE)</f>
        <v>Individual</v>
      </c>
      <c r="Q2917" t="str">
        <f>IF(COUNTIF(Customers!$A$2:$A$1001,B2917)&gt;0,"Valid","Invalid")</f>
        <v>Valid</v>
      </c>
      <c r="R2917" t="str">
        <f>IF(COUNTIF(Branches!$A$2:$A$11,F2917)&gt;0,"Valid","Invalid")</f>
        <v>Valid</v>
      </c>
    </row>
    <row r="2918" spans="1:18" x14ac:dyDescent="0.25">
      <c r="A2918" t="s">
        <v>4989</v>
      </c>
      <c r="B2918" t="s">
        <v>754</v>
      </c>
      <c r="C2918" s="8">
        <v>46247</v>
      </c>
      <c r="D2918" t="s">
        <v>2058</v>
      </c>
      <c r="E2918" t="s">
        <v>2063</v>
      </c>
      <c r="F2918" t="s">
        <v>11</v>
      </c>
      <c r="G2918">
        <v>1203.93</v>
      </c>
      <c r="H2918" t="s">
        <v>2060</v>
      </c>
      <c r="I2918" t="str">
        <f>VLOOKUP(B2918,Customers!A:G,7,FALSE)</f>
        <v>Individual</v>
      </c>
      <c r="Q2918" t="str">
        <f>IF(COUNTIF(Customers!$A$2:$A$1001,B2918)&gt;0,"Valid","Invalid")</f>
        <v>Valid</v>
      </c>
      <c r="R2918" t="str">
        <f>IF(COUNTIF(Branches!$A$2:$A$11,F2918)&gt;0,"Valid","Invalid")</f>
        <v>Valid</v>
      </c>
    </row>
    <row r="2919" spans="1:18" x14ac:dyDescent="0.25">
      <c r="A2919" t="s">
        <v>4990</v>
      </c>
      <c r="B2919" t="s">
        <v>256</v>
      </c>
      <c r="C2919" s="8">
        <v>46090</v>
      </c>
      <c r="D2919" t="s">
        <v>2065</v>
      </c>
      <c r="E2919" t="s">
        <v>2059</v>
      </c>
      <c r="F2919" t="s">
        <v>27</v>
      </c>
      <c r="G2919">
        <v>4101.12</v>
      </c>
      <c r="H2919" t="s">
        <v>2060</v>
      </c>
      <c r="I2919" t="str">
        <f>VLOOKUP(B2919,Customers!A:G,7,FALSE)</f>
        <v>SME</v>
      </c>
      <c r="Q2919" t="str">
        <f>IF(COUNTIF(Customers!$A$2:$A$1001,B2919)&gt;0,"Valid","Invalid")</f>
        <v>Valid</v>
      </c>
      <c r="R2919" t="str">
        <f>IF(COUNTIF(Branches!$A$2:$A$11,F2919)&gt;0,"Valid","Invalid")</f>
        <v>Valid</v>
      </c>
    </row>
    <row r="2920" spans="1:18" x14ac:dyDescent="0.25">
      <c r="A2920" t="s">
        <v>4991</v>
      </c>
      <c r="B2920" t="s">
        <v>444</v>
      </c>
      <c r="C2920" s="8">
        <v>46220</v>
      </c>
      <c r="D2920" t="s">
        <v>2058</v>
      </c>
      <c r="E2920" t="s">
        <v>2068</v>
      </c>
      <c r="F2920" t="s">
        <v>53</v>
      </c>
      <c r="G2920">
        <v>993.9</v>
      </c>
      <c r="H2920" t="s">
        <v>2060</v>
      </c>
      <c r="I2920" t="str">
        <f>VLOOKUP(B2920,Customers!A:G,7,FALSE)</f>
        <v>Student</v>
      </c>
      <c r="Q2920" t="str">
        <f>IF(COUNTIF(Customers!$A$2:$A$1001,B2920)&gt;0,"Valid","Invalid")</f>
        <v>Valid</v>
      </c>
      <c r="R2920" t="str">
        <f>IF(COUNTIF(Branches!$A$2:$A$11,F2920)&gt;0,"Valid","Invalid")</f>
        <v>Valid</v>
      </c>
    </row>
    <row r="2921" spans="1:18" x14ac:dyDescent="0.25">
      <c r="A2921" t="s">
        <v>4992</v>
      </c>
      <c r="B2921" t="s">
        <v>1030</v>
      </c>
      <c r="C2921" s="8">
        <v>46237</v>
      </c>
      <c r="D2921" t="s">
        <v>2067</v>
      </c>
      <c r="E2921" t="s">
        <v>2063</v>
      </c>
      <c r="F2921" t="s">
        <v>27</v>
      </c>
      <c r="G2921">
        <v>186.79</v>
      </c>
      <c r="H2921" t="s">
        <v>2060</v>
      </c>
      <c r="I2921" t="str">
        <f>VLOOKUP(B2921,Customers!A:G,7,FALSE)</f>
        <v>Individual</v>
      </c>
      <c r="Q2921" t="str">
        <f>IF(COUNTIF(Customers!$A$2:$A$1001,B2921)&gt;0,"Valid","Invalid")</f>
        <v>Valid</v>
      </c>
      <c r="R2921" t="str">
        <f>IF(COUNTIF(Branches!$A$2:$A$11,F2921)&gt;0,"Valid","Invalid")</f>
        <v>Valid</v>
      </c>
    </row>
    <row r="2922" spans="1:18" x14ac:dyDescent="0.25">
      <c r="A2922" t="s">
        <v>4993</v>
      </c>
      <c r="B2922" t="s">
        <v>791</v>
      </c>
      <c r="C2922" s="8">
        <v>46259</v>
      </c>
      <c r="D2922" t="s">
        <v>2058</v>
      </c>
      <c r="E2922" t="s">
        <v>2073</v>
      </c>
      <c r="F2922" t="s">
        <v>27</v>
      </c>
      <c r="G2922">
        <v>25.7</v>
      </c>
      <c r="H2922" t="s">
        <v>2060</v>
      </c>
      <c r="I2922" t="str">
        <f>VLOOKUP(B2922,Customers!A:G,7,FALSE)</f>
        <v>SME</v>
      </c>
      <c r="Q2922" t="str">
        <f>IF(COUNTIF(Customers!$A$2:$A$1001,B2922)&gt;0,"Valid","Invalid")</f>
        <v>Valid</v>
      </c>
      <c r="R2922" t="str">
        <f>IF(COUNTIF(Branches!$A$2:$A$11,F2922)&gt;0,"Valid","Invalid")</f>
        <v>Valid</v>
      </c>
    </row>
    <row r="2923" spans="1:18" x14ac:dyDescent="0.25">
      <c r="A2923" t="s">
        <v>4994</v>
      </c>
      <c r="B2923" t="s">
        <v>961</v>
      </c>
      <c r="C2923" s="8">
        <v>46169</v>
      </c>
      <c r="D2923" t="s">
        <v>2062</v>
      </c>
      <c r="E2923" t="s">
        <v>2073</v>
      </c>
      <c r="F2923" t="s">
        <v>39</v>
      </c>
      <c r="G2923">
        <v>1193.4000000000001</v>
      </c>
      <c r="H2923" t="s">
        <v>2060</v>
      </c>
      <c r="I2923" t="str">
        <f>VLOOKUP(B2923,Customers!A:G,7,FALSE)</f>
        <v>SME</v>
      </c>
      <c r="Q2923" t="str">
        <f>IF(COUNTIF(Customers!$A$2:$A$1001,B2923)&gt;0,"Valid","Invalid")</f>
        <v>Valid</v>
      </c>
      <c r="R2923" t="str">
        <f>IF(COUNTIF(Branches!$A$2:$A$11,F2923)&gt;0,"Valid","Invalid")</f>
        <v>Valid</v>
      </c>
    </row>
    <row r="2924" spans="1:18" x14ac:dyDescent="0.25">
      <c r="A2924" t="s">
        <v>4995</v>
      </c>
      <c r="B2924" t="s">
        <v>870</v>
      </c>
      <c r="C2924" s="8">
        <v>46150</v>
      </c>
      <c r="D2924" t="s">
        <v>2062</v>
      </c>
      <c r="E2924" t="s">
        <v>2076</v>
      </c>
      <c r="F2924" t="s">
        <v>29</v>
      </c>
      <c r="G2924">
        <v>303.11</v>
      </c>
      <c r="H2924" t="s">
        <v>2060</v>
      </c>
      <c r="I2924" t="str">
        <f>VLOOKUP(B2924,Customers!A:G,7,FALSE)</f>
        <v>SME</v>
      </c>
      <c r="Q2924" t="str">
        <f>IF(COUNTIF(Customers!$A$2:$A$1001,B2924)&gt;0,"Valid","Invalid")</f>
        <v>Valid</v>
      </c>
      <c r="R2924" t="str">
        <f>IF(COUNTIF(Branches!$A$2:$A$11,F2924)&gt;0,"Valid","Invalid")</f>
        <v>Valid</v>
      </c>
    </row>
    <row r="2925" spans="1:18" x14ac:dyDescent="0.25">
      <c r="A2925" t="s">
        <v>4996</v>
      </c>
      <c r="B2925" t="s">
        <v>808</v>
      </c>
      <c r="C2925" s="8">
        <v>46129</v>
      </c>
      <c r="D2925" t="s">
        <v>2065</v>
      </c>
      <c r="E2925" t="s">
        <v>2063</v>
      </c>
      <c r="F2925" t="s">
        <v>21</v>
      </c>
      <c r="G2925">
        <v>735.31</v>
      </c>
      <c r="H2925" t="s">
        <v>2060</v>
      </c>
      <c r="I2925" t="str">
        <f>VLOOKUP(B2925,Customers!A:G,7,FALSE)</f>
        <v>Individual</v>
      </c>
      <c r="Q2925" t="str">
        <f>IF(COUNTIF(Customers!$A$2:$A$1001,B2925)&gt;0,"Valid","Invalid")</f>
        <v>Valid</v>
      </c>
      <c r="R2925" t="str">
        <f>IF(COUNTIF(Branches!$A$2:$A$11,F2925)&gt;0,"Valid","Invalid")</f>
        <v>Valid</v>
      </c>
    </row>
    <row r="2926" spans="1:18" x14ac:dyDescent="0.25">
      <c r="A2926" t="s">
        <v>4997</v>
      </c>
      <c r="B2926" t="s">
        <v>659</v>
      </c>
      <c r="C2926" s="8">
        <v>46131</v>
      </c>
      <c r="D2926" t="s">
        <v>2058</v>
      </c>
      <c r="E2926" t="s">
        <v>2063</v>
      </c>
      <c r="F2926" t="s">
        <v>29</v>
      </c>
      <c r="G2926">
        <v>361.74</v>
      </c>
      <c r="H2926" t="s">
        <v>2060</v>
      </c>
      <c r="I2926" t="str">
        <f>VLOOKUP(B2926,Customers!A:G,7,FALSE)</f>
        <v>SME</v>
      </c>
      <c r="Q2926" t="str">
        <f>IF(COUNTIF(Customers!$A$2:$A$1001,B2926)&gt;0,"Valid","Invalid")</f>
        <v>Valid</v>
      </c>
      <c r="R2926" t="str">
        <f>IF(COUNTIF(Branches!$A$2:$A$11,F2926)&gt;0,"Valid","Invalid")</f>
        <v>Valid</v>
      </c>
    </row>
    <row r="2927" spans="1:18" x14ac:dyDescent="0.25">
      <c r="A2927" t="s">
        <v>4998</v>
      </c>
      <c r="B2927" t="s">
        <v>806</v>
      </c>
      <c r="C2927" s="8">
        <v>46094</v>
      </c>
      <c r="D2927" t="s">
        <v>2070</v>
      </c>
      <c r="E2927" t="s">
        <v>2063</v>
      </c>
      <c r="F2927" t="s">
        <v>29</v>
      </c>
      <c r="G2927">
        <v>336.67</v>
      </c>
      <c r="H2927" t="s">
        <v>2060</v>
      </c>
      <c r="I2927" t="str">
        <f>VLOOKUP(B2927,Customers!A:G,7,FALSE)</f>
        <v>Student</v>
      </c>
      <c r="Q2927" t="str">
        <f>IF(COUNTIF(Customers!$A$2:$A$1001,B2927)&gt;0,"Valid","Invalid")</f>
        <v>Valid</v>
      </c>
      <c r="R2927" t="str">
        <f>IF(COUNTIF(Branches!$A$2:$A$11,F2927)&gt;0,"Valid","Invalid")</f>
        <v>Valid</v>
      </c>
    </row>
    <row r="2928" spans="1:18" x14ac:dyDescent="0.25">
      <c r="A2928" t="s">
        <v>4999</v>
      </c>
      <c r="B2928" t="s">
        <v>1031</v>
      </c>
      <c r="C2928" s="8">
        <v>46125</v>
      </c>
      <c r="D2928" t="s">
        <v>2065</v>
      </c>
      <c r="E2928" t="s">
        <v>2063</v>
      </c>
      <c r="F2928" t="s">
        <v>27</v>
      </c>
      <c r="G2928">
        <v>377.94</v>
      </c>
      <c r="H2928" t="s">
        <v>2060</v>
      </c>
      <c r="I2928" t="str">
        <f>VLOOKUP(B2928,Customers!A:G,7,FALSE)</f>
        <v>SME</v>
      </c>
      <c r="Q2928" t="str">
        <f>IF(COUNTIF(Customers!$A$2:$A$1001,B2928)&gt;0,"Valid","Invalid")</f>
        <v>Valid</v>
      </c>
      <c r="R2928" t="str">
        <f>IF(COUNTIF(Branches!$A$2:$A$11,F2928)&gt;0,"Valid","Invalid")</f>
        <v>Valid</v>
      </c>
    </row>
    <row r="2929" spans="1:18" x14ac:dyDescent="0.25">
      <c r="A2929" t="s">
        <v>5000</v>
      </c>
      <c r="B2929" t="s">
        <v>832</v>
      </c>
      <c r="C2929" s="8">
        <v>46163</v>
      </c>
      <c r="D2929" t="s">
        <v>2062</v>
      </c>
      <c r="E2929" t="s">
        <v>2059</v>
      </c>
      <c r="F2929" t="s">
        <v>27</v>
      </c>
      <c r="G2929">
        <v>413.69</v>
      </c>
      <c r="H2929" t="s">
        <v>2060</v>
      </c>
      <c r="I2929" t="str">
        <f>VLOOKUP(B2929,Customers!A:G,7,FALSE)</f>
        <v>Individual</v>
      </c>
      <c r="Q2929" t="str">
        <f>IF(COUNTIF(Customers!$A$2:$A$1001,B2929)&gt;0,"Valid","Invalid")</f>
        <v>Valid</v>
      </c>
      <c r="R2929" t="str">
        <f>IF(COUNTIF(Branches!$A$2:$A$11,F2929)&gt;0,"Valid","Invalid")</f>
        <v>Valid</v>
      </c>
    </row>
    <row r="2930" spans="1:18" x14ac:dyDescent="0.25">
      <c r="A2930" t="s">
        <v>5001</v>
      </c>
      <c r="B2930" t="s">
        <v>257</v>
      </c>
      <c r="C2930" s="8">
        <v>46087</v>
      </c>
      <c r="D2930" t="s">
        <v>2062</v>
      </c>
      <c r="E2930" t="s">
        <v>2063</v>
      </c>
      <c r="F2930" t="s">
        <v>29</v>
      </c>
      <c r="G2930">
        <v>1765.58</v>
      </c>
      <c r="H2930" t="s">
        <v>2060</v>
      </c>
      <c r="I2930" t="str">
        <f>VLOOKUP(B2930,Customers!A:G,7,FALSE)</f>
        <v>Corporate</v>
      </c>
      <c r="Q2930" t="str">
        <f>IF(COUNTIF(Customers!$A$2:$A$1001,B2930)&gt;0,"Valid","Invalid")</f>
        <v>Valid</v>
      </c>
      <c r="R2930" t="str">
        <f>IF(COUNTIF(Branches!$A$2:$A$11,F2930)&gt;0,"Valid","Invalid")</f>
        <v>Valid</v>
      </c>
    </row>
    <row r="2931" spans="1:18" x14ac:dyDescent="0.25">
      <c r="A2931" t="s">
        <v>5002</v>
      </c>
      <c r="B2931" t="s">
        <v>633</v>
      </c>
      <c r="C2931" s="8">
        <v>46156</v>
      </c>
      <c r="D2931" t="s">
        <v>2062</v>
      </c>
      <c r="E2931" t="s">
        <v>2076</v>
      </c>
      <c r="F2931" t="s">
        <v>27</v>
      </c>
      <c r="G2931">
        <v>1441.79</v>
      </c>
      <c r="H2931" t="s">
        <v>2060</v>
      </c>
      <c r="I2931" t="str">
        <f>VLOOKUP(B2931,Customers!A:G,7,FALSE)</f>
        <v>Individual</v>
      </c>
      <c r="Q2931" t="str">
        <f>IF(COUNTIF(Customers!$A$2:$A$1001,B2931)&gt;0,"Valid","Invalid")</f>
        <v>Valid</v>
      </c>
      <c r="R2931" t="str">
        <f>IF(COUNTIF(Branches!$A$2:$A$11,F2931)&gt;0,"Valid","Invalid")</f>
        <v>Valid</v>
      </c>
    </row>
    <row r="2932" spans="1:18" x14ac:dyDescent="0.25">
      <c r="A2932" t="s">
        <v>5003</v>
      </c>
      <c r="B2932" t="s">
        <v>143</v>
      </c>
      <c r="C2932" s="8">
        <v>46221</v>
      </c>
      <c r="D2932" t="s">
        <v>2067</v>
      </c>
      <c r="E2932" t="s">
        <v>2059</v>
      </c>
      <c r="F2932" t="s">
        <v>27</v>
      </c>
      <c r="G2932">
        <v>242.74</v>
      </c>
      <c r="H2932" t="s">
        <v>2060</v>
      </c>
      <c r="I2932" t="str">
        <f>VLOOKUP(B2932,Customers!A:G,7,FALSE)</f>
        <v>SME</v>
      </c>
      <c r="Q2932" t="str">
        <f>IF(COUNTIF(Customers!$A$2:$A$1001,B2932)&gt;0,"Valid","Invalid")</f>
        <v>Valid</v>
      </c>
      <c r="R2932" t="str">
        <f>IF(COUNTIF(Branches!$A$2:$A$11,F2932)&gt;0,"Valid","Invalid")</f>
        <v>Valid</v>
      </c>
    </row>
    <row r="2933" spans="1:18" x14ac:dyDescent="0.25">
      <c r="A2933" t="s">
        <v>5004</v>
      </c>
      <c r="B2933" t="s">
        <v>619</v>
      </c>
      <c r="C2933" s="8">
        <v>46134</v>
      </c>
      <c r="D2933" t="s">
        <v>2067</v>
      </c>
      <c r="E2933" t="s">
        <v>2063</v>
      </c>
      <c r="F2933" t="s">
        <v>29</v>
      </c>
      <c r="G2933">
        <v>278.18</v>
      </c>
      <c r="H2933" t="s">
        <v>2060</v>
      </c>
      <c r="I2933" t="str">
        <f>VLOOKUP(B2933,Customers!A:G,7,FALSE)</f>
        <v>Individual</v>
      </c>
      <c r="Q2933" t="str">
        <f>IF(COUNTIF(Customers!$A$2:$A$1001,B2933)&gt;0,"Valid","Invalid")</f>
        <v>Valid</v>
      </c>
      <c r="R2933" t="str">
        <f>IF(COUNTIF(Branches!$A$2:$A$11,F2933)&gt;0,"Valid","Invalid")</f>
        <v>Valid</v>
      </c>
    </row>
    <row r="2934" spans="1:18" x14ac:dyDescent="0.25">
      <c r="A2934" t="s">
        <v>5005</v>
      </c>
      <c r="B2934" t="s">
        <v>647</v>
      </c>
      <c r="C2934" s="8">
        <v>46177</v>
      </c>
      <c r="D2934" t="s">
        <v>2062</v>
      </c>
      <c r="E2934" t="s">
        <v>2059</v>
      </c>
      <c r="F2934" t="s">
        <v>21</v>
      </c>
      <c r="G2934">
        <v>1186.93</v>
      </c>
      <c r="H2934" t="s">
        <v>2060</v>
      </c>
      <c r="I2934" t="str">
        <f>VLOOKUP(B2934,Customers!A:G,7,FALSE)</f>
        <v>Individual</v>
      </c>
      <c r="Q2934" t="str">
        <f>IF(COUNTIF(Customers!$A$2:$A$1001,B2934)&gt;0,"Valid","Invalid")</f>
        <v>Valid</v>
      </c>
      <c r="R2934" t="str">
        <f>IF(COUNTIF(Branches!$A$2:$A$11,F2934)&gt;0,"Valid","Invalid")</f>
        <v>Valid</v>
      </c>
    </row>
    <row r="2935" spans="1:18" x14ac:dyDescent="0.25">
      <c r="A2935" t="s">
        <v>5006</v>
      </c>
      <c r="B2935" t="s">
        <v>762</v>
      </c>
      <c r="C2935" s="8">
        <v>46101</v>
      </c>
      <c r="D2935" t="s">
        <v>2067</v>
      </c>
      <c r="E2935" t="s">
        <v>2073</v>
      </c>
      <c r="F2935" t="s">
        <v>47</v>
      </c>
      <c r="G2935">
        <v>2327.39</v>
      </c>
      <c r="H2935" t="s">
        <v>2060</v>
      </c>
      <c r="I2935" t="str">
        <f>VLOOKUP(B2935,Customers!A:G,7,FALSE)</f>
        <v>SME</v>
      </c>
      <c r="Q2935" t="str">
        <f>IF(COUNTIF(Customers!$A$2:$A$1001,B2935)&gt;0,"Valid","Invalid")</f>
        <v>Valid</v>
      </c>
      <c r="R2935" t="str">
        <f>IF(COUNTIF(Branches!$A$2:$A$11,F2935)&gt;0,"Valid","Invalid")</f>
        <v>Valid</v>
      </c>
    </row>
    <row r="2936" spans="1:18" x14ac:dyDescent="0.25">
      <c r="A2936" t="s">
        <v>5007</v>
      </c>
      <c r="B2936" t="s">
        <v>324</v>
      </c>
      <c r="C2936" s="8">
        <v>46202</v>
      </c>
      <c r="D2936" t="s">
        <v>2065</v>
      </c>
      <c r="E2936" t="s">
        <v>2076</v>
      </c>
      <c r="F2936" t="s">
        <v>45</v>
      </c>
      <c r="G2936">
        <v>2291.91</v>
      </c>
      <c r="H2936" t="s">
        <v>2060</v>
      </c>
      <c r="I2936" t="str">
        <f>VLOOKUP(B2936,Customers!A:G,7,FALSE)</f>
        <v>Individual</v>
      </c>
      <c r="Q2936" t="str">
        <f>IF(COUNTIF(Customers!$A$2:$A$1001,B2936)&gt;0,"Valid","Invalid")</f>
        <v>Valid</v>
      </c>
      <c r="R2936" t="str">
        <f>IF(COUNTIF(Branches!$A$2:$A$11,F2936)&gt;0,"Valid","Invalid")</f>
        <v>Valid</v>
      </c>
    </row>
    <row r="2937" spans="1:18" x14ac:dyDescent="0.25">
      <c r="A2937" t="s">
        <v>5008</v>
      </c>
      <c r="B2937" t="s">
        <v>787</v>
      </c>
      <c r="C2937" s="8">
        <v>46148</v>
      </c>
      <c r="D2937" t="s">
        <v>2058</v>
      </c>
      <c r="E2937" t="s">
        <v>2059</v>
      </c>
      <c r="F2937" t="s">
        <v>11</v>
      </c>
      <c r="G2937">
        <v>298</v>
      </c>
      <c r="H2937" t="s">
        <v>2060</v>
      </c>
      <c r="I2937" t="str">
        <f>VLOOKUP(B2937,Customers!A:G,7,FALSE)</f>
        <v>Student</v>
      </c>
      <c r="Q2937" t="str">
        <f>IF(COUNTIF(Customers!$A$2:$A$1001,B2937)&gt;0,"Valid","Invalid")</f>
        <v>Valid</v>
      </c>
      <c r="R2937" t="str">
        <f>IF(COUNTIF(Branches!$A$2:$A$11,F2937)&gt;0,"Valid","Invalid")</f>
        <v>Valid</v>
      </c>
    </row>
    <row r="2938" spans="1:18" x14ac:dyDescent="0.25">
      <c r="A2938" t="s">
        <v>5009</v>
      </c>
      <c r="B2938" t="s">
        <v>32</v>
      </c>
      <c r="C2938" s="8">
        <v>46248</v>
      </c>
      <c r="D2938" t="s">
        <v>2065</v>
      </c>
      <c r="E2938" t="s">
        <v>2068</v>
      </c>
      <c r="F2938" t="s">
        <v>53</v>
      </c>
      <c r="G2938">
        <v>2184.87</v>
      </c>
      <c r="H2938" t="s">
        <v>2060</v>
      </c>
      <c r="I2938" t="str">
        <f>VLOOKUP(B2938,Customers!A:G,7,FALSE)</f>
        <v>Individual</v>
      </c>
      <c r="Q2938" t="str">
        <f>IF(COUNTIF(Customers!$A$2:$A$1001,B2938)&gt;0,"Valid","Invalid")</f>
        <v>Valid</v>
      </c>
      <c r="R2938" t="str">
        <f>IF(COUNTIF(Branches!$A$2:$A$11,F2938)&gt;0,"Valid","Invalid")</f>
        <v>Valid</v>
      </c>
    </row>
    <row r="2939" spans="1:18" x14ac:dyDescent="0.25">
      <c r="A2939" t="s">
        <v>5010</v>
      </c>
      <c r="B2939" t="s">
        <v>844</v>
      </c>
      <c r="C2939" s="8">
        <v>46143</v>
      </c>
      <c r="D2939" t="s">
        <v>2062</v>
      </c>
      <c r="E2939" t="s">
        <v>2076</v>
      </c>
      <c r="F2939" t="s">
        <v>35</v>
      </c>
      <c r="G2939">
        <v>137.51</v>
      </c>
      <c r="H2939" t="s">
        <v>2060</v>
      </c>
      <c r="I2939" t="str">
        <f>VLOOKUP(B2939,Customers!A:G,7,FALSE)</f>
        <v>Individual</v>
      </c>
      <c r="Q2939" t="str">
        <f>IF(COUNTIF(Customers!$A$2:$A$1001,B2939)&gt;0,"Valid","Invalid")</f>
        <v>Valid</v>
      </c>
      <c r="R2939" t="str">
        <f>IF(COUNTIF(Branches!$A$2:$A$11,F2939)&gt;0,"Valid","Invalid")</f>
        <v>Valid</v>
      </c>
    </row>
    <row r="2940" spans="1:18" x14ac:dyDescent="0.25">
      <c r="A2940" t="s">
        <v>5011</v>
      </c>
      <c r="B2940" t="s">
        <v>226</v>
      </c>
      <c r="C2940" s="8">
        <v>46109</v>
      </c>
      <c r="D2940" t="s">
        <v>2058</v>
      </c>
      <c r="E2940" t="s">
        <v>2068</v>
      </c>
      <c r="F2940" t="s">
        <v>45</v>
      </c>
      <c r="G2940">
        <v>663.23</v>
      </c>
      <c r="H2940" t="s">
        <v>2060</v>
      </c>
      <c r="I2940" t="str">
        <f>VLOOKUP(B2940,Customers!A:G,7,FALSE)</f>
        <v>Individual</v>
      </c>
      <c r="Q2940" t="str">
        <f>IF(COUNTIF(Customers!$A$2:$A$1001,B2940)&gt;0,"Valid","Invalid")</f>
        <v>Valid</v>
      </c>
      <c r="R2940" t="str">
        <f>IF(COUNTIF(Branches!$A$2:$A$11,F2940)&gt;0,"Valid","Invalid")</f>
        <v>Valid</v>
      </c>
    </row>
    <row r="2941" spans="1:18" x14ac:dyDescent="0.25">
      <c r="A2941" t="s">
        <v>5012</v>
      </c>
      <c r="B2941" t="s">
        <v>117</v>
      </c>
      <c r="C2941" s="8">
        <v>46070</v>
      </c>
      <c r="D2941" t="s">
        <v>2062</v>
      </c>
      <c r="E2941" t="s">
        <v>2063</v>
      </c>
      <c r="F2941" t="s">
        <v>45</v>
      </c>
      <c r="G2941">
        <v>1322.17</v>
      </c>
      <c r="H2941" t="s">
        <v>2060</v>
      </c>
      <c r="I2941" t="str">
        <f>VLOOKUP(B2941,Customers!A:G,7,FALSE)</f>
        <v>Student</v>
      </c>
      <c r="Q2941" t="str">
        <f>IF(COUNTIF(Customers!$A$2:$A$1001,B2941)&gt;0,"Valid","Invalid")</f>
        <v>Valid</v>
      </c>
      <c r="R2941" t="str">
        <f>IF(COUNTIF(Branches!$A$2:$A$11,F2941)&gt;0,"Valid","Invalid")</f>
        <v>Valid</v>
      </c>
    </row>
    <row r="2942" spans="1:18" x14ac:dyDescent="0.25">
      <c r="A2942" t="s">
        <v>5013</v>
      </c>
      <c r="B2942" t="s">
        <v>144</v>
      </c>
      <c r="C2942" s="8">
        <v>46263</v>
      </c>
      <c r="D2942" t="s">
        <v>2062</v>
      </c>
      <c r="E2942" t="s">
        <v>2068</v>
      </c>
      <c r="F2942" t="s">
        <v>47</v>
      </c>
      <c r="G2942">
        <v>101.62</v>
      </c>
      <c r="H2942" t="s">
        <v>2060</v>
      </c>
      <c r="I2942" t="str">
        <f>VLOOKUP(B2942,Customers!A:G,7,FALSE)</f>
        <v>Student</v>
      </c>
      <c r="Q2942" t="str">
        <f>IF(COUNTIF(Customers!$A$2:$A$1001,B2942)&gt;0,"Valid","Invalid")</f>
        <v>Valid</v>
      </c>
      <c r="R2942" t="str">
        <f>IF(COUNTIF(Branches!$A$2:$A$11,F2942)&gt;0,"Valid","Invalid")</f>
        <v>Valid</v>
      </c>
    </row>
    <row r="2943" spans="1:18" x14ac:dyDescent="0.25">
      <c r="A2943" t="s">
        <v>5014</v>
      </c>
      <c r="B2943" t="s">
        <v>359</v>
      </c>
      <c r="C2943" s="8">
        <v>46110</v>
      </c>
      <c r="D2943" t="s">
        <v>2065</v>
      </c>
      <c r="E2943" t="s">
        <v>2063</v>
      </c>
      <c r="F2943" t="s">
        <v>29</v>
      </c>
      <c r="G2943">
        <v>6587.02</v>
      </c>
      <c r="H2943" t="s">
        <v>2060</v>
      </c>
      <c r="I2943" t="str">
        <f>VLOOKUP(B2943,Customers!A:G,7,FALSE)</f>
        <v>SME</v>
      </c>
      <c r="Q2943" t="str">
        <f>IF(COUNTIF(Customers!$A$2:$A$1001,B2943)&gt;0,"Valid","Invalid")</f>
        <v>Valid</v>
      </c>
      <c r="R2943" t="str">
        <f>IF(COUNTIF(Branches!$A$2:$A$11,F2943)&gt;0,"Valid","Invalid")</f>
        <v>Valid</v>
      </c>
    </row>
    <row r="2944" spans="1:18" x14ac:dyDescent="0.25">
      <c r="A2944" t="s">
        <v>5015</v>
      </c>
      <c r="B2944" t="s">
        <v>617</v>
      </c>
      <c r="C2944" s="8">
        <v>46229</v>
      </c>
      <c r="D2944" t="s">
        <v>2067</v>
      </c>
      <c r="E2944" t="s">
        <v>2073</v>
      </c>
      <c r="F2944" t="s">
        <v>27</v>
      </c>
      <c r="G2944">
        <v>3061.61</v>
      </c>
      <c r="H2944" t="s">
        <v>2060</v>
      </c>
      <c r="I2944" t="str">
        <f>VLOOKUP(B2944,Customers!A:G,7,FALSE)</f>
        <v>Individual</v>
      </c>
      <c r="Q2944" t="str">
        <f>IF(COUNTIF(Customers!$A$2:$A$1001,B2944)&gt;0,"Valid","Invalid")</f>
        <v>Valid</v>
      </c>
      <c r="R2944" t="str">
        <f>IF(COUNTIF(Branches!$A$2:$A$11,F2944)&gt;0,"Valid","Invalid")</f>
        <v>Valid</v>
      </c>
    </row>
    <row r="2945" spans="1:18" x14ac:dyDescent="0.25">
      <c r="A2945" t="s">
        <v>5016</v>
      </c>
      <c r="B2945" t="s">
        <v>724</v>
      </c>
      <c r="C2945" s="8">
        <v>46249</v>
      </c>
      <c r="D2945" t="s">
        <v>2062</v>
      </c>
      <c r="E2945" t="s">
        <v>2063</v>
      </c>
      <c r="F2945" t="s">
        <v>53</v>
      </c>
      <c r="G2945">
        <v>1551.54</v>
      </c>
      <c r="H2945" t="s">
        <v>2060</v>
      </c>
      <c r="I2945" t="str">
        <f>VLOOKUP(B2945,Customers!A:G,7,FALSE)</f>
        <v>SME</v>
      </c>
      <c r="Q2945" t="str">
        <f>IF(COUNTIF(Customers!$A$2:$A$1001,B2945)&gt;0,"Valid","Invalid")</f>
        <v>Valid</v>
      </c>
      <c r="R2945" t="str">
        <f>IF(COUNTIF(Branches!$A$2:$A$11,F2945)&gt;0,"Valid","Invalid")</f>
        <v>Valid</v>
      </c>
    </row>
    <row r="2946" spans="1:18" x14ac:dyDescent="0.25">
      <c r="A2946" t="s">
        <v>5017</v>
      </c>
      <c r="B2946" t="s">
        <v>384</v>
      </c>
      <c r="C2946" s="8">
        <v>46090</v>
      </c>
      <c r="D2946" t="s">
        <v>2067</v>
      </c>
      <c r="E2946" t="s">
        <v>2073</v>
      </c>
      <c r="F2946" t="s">
        <v>35</v>
      </c>
      <c r="G2946">
        <v>309.5</v>
      </c>
      <c r="H2946" t="s">
        <v>2060</v>
      </c>
      <c r="I2946" t="str">
        <f>VLOOKUP(B2946,Customers!A:G,7,FALSE)</f>
        <v>Individual</v>
      </c>
      <c r="Q2946" t="str">
        <f>IF(COUNTIF(Customers!$A$2:$A$1001,B2946)&gt;0,"Valid","Invalid")</f>
        <v>Valid</v>
      </c>
      <c r="R2946" t="str">
        <f>IF(COUNTIF(Branches!$A$2:$A$11,F2946)&gt;0,"Valid","Invalid")</f>
        <v>Valid</v>
      </c>
    </row>
    <row r="2947" spans="1:18" x14ac:dyDescent="0.25">
      <c r="A2947" t="s">
        <v>5018</v>
      </c>
      <c r="B2947" t="s">
        <v>901</v>
      </c>
      <c r="C2947" s="8">
        <v>46194</v>
      </c>
      <c r="D2947" t="s">
        <v>2070</v>
      </c>
      <c r="E2947" t="s">
        <v>2073</v>
      </c>
      <c r="F2947" t="s">
        <v>11</v>
      </c>
      <c r="G2947">
        <v>758.92</v>
      </c>
      <c r="H2947" t="s">
        <v>2060</v>
      </c>
      <c r="I2947" t="str">
        <f>VLOOKUP(B2947,Customers!A:G,7,FALSE)</f>
        <v>SME</v>
      </c>
      <c r="Q2947" t="str">
        <f>IF(COUNTIF(Customers!$A$2:$A$1001,B2947)&gt;0,"Valid","Invalid")</f>
        <v>Valid</v>
      </c>
      <c r="R2947" t="str">
        <f>IF(COUNTIF(Branches!$A$2:$A$11,F2947)&gt;0,"Valid","Invalid")</f>
        <v>Valid</v>
      </c>
    </row>
    <row r="2948" spans="1:18" x14ac:dyDescent="0.25">
      <c r="A2948" t="s">
        <v>5019</v>
      </c>
      <c r="B2948" t="s">
        <v>366</v>
      </c>
      <c r="C2948" s="8">
        <v>46123</v>
      </c>
      <c r="D2948" t="s">
        <v>2062</v>
      </c>
      <c r="E2948" t="s">
        <v>2063</v>
      </c>
      <c r="F2948" t="s">
        <v>53</v>
      </c>
      <c r="G2948">
        <v>1790.8</v>
      </c>
      <c r="H2948" t="s">
        <v>2060</v>
      </c>
      <c r="I2948" t="str">
        <f>VLOOKUP(B2948,Customers!A:G,7,FALSE)</f>
        <v>Corporate</v>
      </c>
      <c r="Q2948" t="str">
        <f>IF(COUNTIF(Customers!$A$2:$A$1001,B2948)&gt;0,"Valid","Invalid")</f>
        <v>Valid</v>
      </c>
      <c r="R2948" t="str">
        <f>IF(COUNTIF(Branches!$A$2:$A$11,F2948)&gt;0,"Valid","Invalid")</f>
        <v>Valid</v>
      </c>
    </row>
    <row r="2949" spans="1:18" x14ac:dyDescent="0.25">
      <c r="A2949" t="s">
        <v>5020</v>
      </c>
      <c r="B2949" t="s">
        <v>593</v>
      </c>
      <c r="C2949" s="8">
        <v>46039</v>
      </c>
      <c r="D2949" t="s">
        <v>2065</v>
      </c>
      <c r="E2949" t="s">
        <v>2073</v>
      </c>
      <c r="F2949" t="s">
        <v>27</v>
      </c>
      <c r="G2949">
        <v>264.37</v>
      </c>
      <c r="H2949" t="s">
        <v>2060</v>
      </c>
      <c r="I2949" t="str">
        <f>VLOOKUP(B2949,Customers!A:G,7,FALSE)</f>
        <v>SME</v>
      </c>
      <c r="Q2949" t="str">
        <f>IF(COUNTIF(Customers!$A$2:$A$1001,B2949)&gt;0,"Valid","Invalid")</f>
        <v>Valid</v>
      </c>
      <c r="R2949" t="str">
        <f>IF(COUNTIF(Branches!$A$2:$A$11,F2949)&gt;0,"Valid","Invalid")</f>
        <v>Valid</v>
      </c>
    </row>
    <row r="2950" spans="1:18" x14ac:dyDescent="0.25">
      <c r="A2950" t="s">
        <v>5021</v>
      </c>
      <c r="B2950" t="s">
        <v>737</v>
      </c>
      <c r="C2950" s="8">
        <v>46245</v>
      </c>
      <c r="D2950" t="s">
        <v>2062</v>
      </c>
      <c r="E2950" t="s">
        <v>2063</v>
      </c>
      <c r="F2950" t="s">
        <v>45</v>
      </c>
      <c r="G2950">
        <v>678.26</v>
      </c>
      <c r="H2950" t="s">
        <v>2107</v>
      </c>
      <c r="I2950" t="str">
        <f>VLOOKUP(B2950,Customers!A:G,7,FALSE)</f>
        <v>Individual</v>
      </c>
      <c r="Q2950" t="str">
        <f>IF(COUNTIF(Customers!$A$2:$A$1001,B2950)&gt;0,"Valid","Invalid")</f>
        <v>Valid</v>
      </c>
      <c r="R2950" t="str">
        <f>IF(COUNTIF(Branches!$A$2:$A$11,F2950)&gt;0,"Valid","Invalid")</f>
        <v>Valid</v>
      </c>
    </row>
    <row r="2951" spans="1:18" x14ac:dyDescent="0.25">
      <c r="A2951" t="s">
        <v>5022</v>
      </c>
      <c r="B2951" t="s">
        <v>340</v>
      </c>
      <c r="C2951" s="8">
        <v>46060</v>
      </c>
      <c r="D2951" t="s">
        <v>2065</v>
      </c>
      <c r="E2951" t="s">
        <v>2063</v>
      </c>
      <c r="F2951" t="s">
        <v>47</v>
      </c>
      <c r="G2951">
        <v>2019.05</v>
      </c>
      <c r="H2951" t="s">
        <v>2060</v>
      </c>
      <c r="I2951" t="str">
        <f>VLOOKUP(B2951,Customers!A:G,7,FALSE)</f>
        <v>Individual</v>
      </c>
      <c r="Q2951" t="str">
        <f>IF(COUNTIF(Customers!$A$2:$A$1001,B2951)&gt;0,"Valid","Invalid")</f>
        <v>Valid</v>
      </c>
      <c r="R2951" t="str">
        <f>IF(COUNTIF(Branches!$A$2:$A$11,F2951)&gt;0,"Valid","Invalid")</f>
        <v>Valid</v>
      </c>
    </row>
    <row r="2952" spans="1:18" x14ac:dyDescent="0.25">
      <c r="A2952" t="s">
        <v>5023</v>
      </c>
      <c r="B2952" t="s">
        <v>237</v>
      </c>
      <c r="C2952" s="8">
        <v>46160</v>
      </c>
      <c r="D2952" t="s">
        <v>2065</v>
      </c>
      <c r="E2952" t="s">
        <v>2059</v>
      </c>
      <c r="F2952" t="s">
        <v>16</v>
      </c>
      <c r="G2952">
        <v>182.25</v>
      </c>
      <c r="H2952" t="s">
        <v>2060</v>
      </c>
      <c r="I2952" t="str">
        <f>VLOOKUP(B2952,Customers!A:G,7,FALSE)</f>
        <v>Individual</v>
      </c>
      <c r="Q2952" t="str">
        <f>IF(COUNTIF(Customers!$A$2:$A$1001,B2952)&gt;0,"Valid","Invalid")</f>
        <v>Valid</v>
      </c>
      <c r="R2952" t="str">
        <f>IF(COUNTIF(Branches!$A$2:$A$11,F2952)&gt;0,"Valid","Invalid")</f>
        <v>Valid</v>
      </c>
    </row>
    <row r="2953" spans="1:18" x14ac:dyDescent="0.25">
      <c r="A2953" t="s">
        <v>5024</v>
      </c>
      <c r="B2953" t="s">
        <v>931</v>
      </c>
      <c r="C2953" s="8">
        <v>46076</v>
      </c>
      <c r="D2953" t="s">
        <v>2062</v>
      </c>
      <c r="E2953" t="s">
        <v>2073</v>
      </c>
      <c r="F2953" t="s">
        <v>27</v>
      </c>
      <c r="G2953">
        <v>1132.77</v>
      </c>
      <c r="H2953" t="s">
        <v>2060</v>
      </c>
      <c r="I2953" t="str">
        <f>VLOOKUP(B2953,Customers!A:G,7,FALSE)</f>
        <v>SME</v>
      </c>
      <c r="Q2953" t="str">
        <f>IF(COUNTIF(Customers!$A$2:$A$1001,B2953)&gt;0,"Valid","Invalid")</f>
        <v>Valid</v>
      </c>
      <c r="R2953" t="str">
        <f>IF(COUNTIF(Branches!$A$2:$A$11,F2953)&gt;0,"Valid","Invalid")</f>
        <v>Valid</v>
      </c>
    </row>
    <row r="2954" spans="1:18" x14ac:dyDescent="0.25">
      <c r="A2954" t="s">
        <v>5025</v>
      </c>
      <c r="B2954" t="s">
        <v>457</v>
      </c>
      <c r="C2954" s="8">
        <v>46264</v>
      </c>
      <c r="D2954" t="s">
        <v>2062</v>
      </c>
      <c r="E2954" t="s">
        <v>2059</v>
      </c>
      <c r="F2954" t="s">
        <v>45</v>
      </c>
      <c r="G2954">
        <v>140.5</v>
      </c>
      <c r="H2954" t="s">
        <v>2060</v>
      </c>
      <c r="I2954" t="str">
        <f>VLOOKUP(B2954,Customers!A:G,7,FALSE)</f>
        <v>SME</v>
      </c>
      <c r="Q2954" t="str">
        <f>IF(COUNTIF(Customers!$A$2:$A$1001,B2954)&gt;0,"Valid","Invalid")</f>
        <v>Valid</v>
      </c>
      <c r="R2954" t="str">
        <f>IF(COUNTIF(Branches!$A$2:$A$11,F2954)&gt;0,"Valid","Invalid")</f>
        <v>Valid</v>
      </c>
    </row>
    <row r="2955" spans="1:18" x14ac:dyDescent="0.25">
      <c r="A2955" t="s">
        <v>5026</v>
      </c>
      <c r="B2955" t="s">
        <v>73</v>
      </c>
      <c r="C2955" s="8">
        <v>46241</v>
      </c>
      <c r="D2955" t="s">
        <v>2058</v>
      </c>
      <c r="E2955" t="s">
        <v>2059</v>
      </c>
      <c r="F2955" t="s">
        <v>27</v>
      </c>
      <c r="G2955">
        <v>316.13</v>
      </c>
      <c r="H2955" t="s">
        <v>2060</v>
      </c>
      <c r="I2955" t="str">
        <f>VLOOKUP(B2955,Customers!A:G,7,FALSE)</f>
        <v>Individual</v>
      </c>
      <c r="Q2955" t="str">
        <f>IF(COUNTIF(Customers!$A$2:$A$1001,B2955)&gt;0,"Valid","Invalid")</f>
        <v>Valid</v>
      </c>
      <c r="R2955" t="str">
        <f>IF(COUNTIF(Branches!$A$2:$A$11,F2955)&gt;0,"Valid","Invalid")</f>
        <v>Valid</v>
      </c>
    </row>
    <row r="2956" spans="1:18" x14ac:dyDescent="0.25">
      <c r="A2956" t="s">
        <v>5027</v>
      </c>
      <c r="B2956" t="s">
        <v>770</v>
      </c>
      <c r="C2956" s="8">
        <v>46256</v>
      </c>
      <c r="D2956" t="s">
        <v>2067</v>
      </c>
      <c r="E2956" t="s">
        <v>2076</v>
      </c>
      <c r="F2956" t="s">
        <v>21</v>
      </c>
      <c r="G2956">
        <v>490.49</v>
      </c>
      <c r="H2956" t="s">
        <v>2060</v>
      </c>
      <c r="I2956" t="str">
        <f>VLOOKUP(B2956,Customers!A:G,7,FALSE)</f>
        <v>Individual</v>
      </c>
      <c r="Q2956" t="str">
        <f>IF(COUNTIF(Customers!$A$2:$A$1001,B2956)&gt;0,"Valid","Invalid")</f>
        <v>Valid</v>
      </c>
      <c r="R2956" t="str">
        <f>IF(COUNTIF(Branches!$A$2:$A$11,F2956)&gt;0,"Valid","Invalid")</f>
        <v>Valid</v>
      </c>
    </row>
    <row r="2957" spans="1:18" x14ac:dyDescent="0.25">
      <c r="A2957" t="s">
        <v>5028</v>
      </c>
      <c r="B2957" t="s">
        <v>345</v>
      </c>
      <c r="C2957" s="8">
        <v>46156</v>
      </c>
      <c r="D2957" t="s">
        <v>2067</v>
      </c>
      <c r="E2957" t="s">
        <v>2073</v>
      </c>
      <c r="F2957" t="s">
        <v>29</v>
      </c>
      <c r="G2957">
        <v>1357.71</v>
      </c>
      <c r="H2957" t="s">
        <v>2060</v>
      </c>
      <c r="I2957" t="str">
        <f>VLOOKUP(B2957,Customers!A:G,7,FALSE)</f>
        <v>Individual</v>
      </c>
      <c r="Q2957" t="str">
        <f>IF(COUNTIF(Customers!$A$2:$A$1001,B2957)&gt;0,"Valid","Invalid")</f>
        <v>Valid</v>
      </c>
      <c r="R2957" t="str">
        <f>IF(COUNTIF(Branches!$A$2:$A$11,F2957)&gt;0,"Valid","Invalid")</f>
        <v>Valid</v>
      </c>
    </row>
    <row r="2958" spans="1:18" x14ac:dyDescent="0.25">
      <c r="A2958" t="s">
        <v>5029</v>
      </c>
      <c r="B2958" t="s">
        <v>23</v>
      </c>
      <c r="C2958" s="8">
        <v>46156</v>
      </c>
      <c r="D2958" t="s">
        <v>2067</v>
      </c>
      <c r="E2958" t="s">
        <v>2068</v>
      </c>
      <c r="F2958" t="s">
        <v>45</v>
      </c>
      <c r="G2958">
        <v>403.11</v>
      </c>
      <c r="H2958" t="s">
        <v>2060</v>
      </c>
      <c r="I2958" t="str">
        <f>VLOOKUP(B2958,Customers!A:G,7,FALSE)</f>
        <v>Individual</v>
      </c>
      <c r="Q2958" t="str">
        <f>IF(COUNTIF(Customers!$A$2:$A$1001,B2958)&gt;0,"Valid","Invalid")</f>
        <v>Valid</v>
      </c>
      <c r="R2958" t="str">
        <f>IF(COUNTIF(Branches!$A$2:$A$11,F2958)&gt;0,"Valid","Invalid")</f>
        <v>Valid</v>
      </c>
    </row>
    <row r="2959" spans="1:18" x14ac:dyDescent="0.25">
      <c r="A2959" t="s">
        <v>5030</v>
      </c>
      <c r="B2959" t="s">
        <v>671</v>
      </c>
      <c r="C2959" s="8">
        <v>46074</v>
      </c>
      <c r="D2959" t="s">
        <v>2067</v>
      </c>
      <c r="E2959" t="s">
        <v>2063</v>
      </c>
      <c r="F2959" t="s">
        <v>27</v>
      </c>
      <c r="G2959">
        <v>921.08</v>
      </c>
      <c r="H2959" t="s">
        <v>2060</v>
      </c>
      <c r="I2959" t="str">
        <f>VLOOKUP(B2959,Customers!A:G,7,FALSE)</f>
        <v>Individual</v>
      </c>
      <c r="Q2959" t="str">
        <f>IF(COUNTIF(Customers!$A$2:$A$1001,B2959)&gt;0,"Valid","Invalid")</f>
        <v>Valid</v>
      </c>
      <c r="R2959" t="str">
        <f>IF(COUNTIF(Branches!$A$2:$A$11,F2959)&gt;0,"Valid","Invalid")</f>
        <v>Valid</v>
      </c>
    </row>
    <row r="2960" spans="1:18" x14ac:dyDescent="0.25">
      <c r="A2960" t="s">
        <v>5031</v>
      </c>
      <c r="B2960" t="s">
        <v>886</v>
      </c>
      <c r="C2960" s="8">
        <v>46037</v>
      </c>
      <c r="D2960" t="s">
        <v>2065</v>
      </c>
      <c r="E2960" t="s">
        <v>2063</v>
      </c>
      <c r="F2960" t="s">
        <v>53</v>
      </c>
      <c r="G2960">
        <v>408.61</v>
      </c>
      <c r="H2960" t="s">
        <v>2060</v>
      </c>
      <c r="I2960" t="str">
        <f>VLOOKUP(B2960,Customers!A:G,7,FALSE)</f>
        <v>SME</v>
      </c>
      <c r="Q2960" t="str">
        <f>IF(COUNTIF(Customers!$A$2:$A$1001,B2960)&gt;0,"Valid","Invalid")</f>
        <v>Valid</v>
      </c>
      <c r="R2960" t="str">
        <f>IF(COUNTIF(Branches!$A$2:$A$11,F2960)&gt;0,"Valid","Invalid")</f>
        <v>Valid</v>
      </c>
    </row>
    <row r="2961" spans="1:18" x14ac:dyDescent="0.25">
      <c r="A2961" t="s">
        <v>5032</v>
      </c>
      <c r="B2961" t="s">
        <v>113</v>
      </c>
      <c r="C2961" s="8">
        <v>46090</v>
      </c>
      <c r="D2961" t="s">
        <v>2058</v>
      </c>
      <c r="E2961" t="s">
        <v>2063</v>
      </c>
      <c r="F2961" t="s">
        <v>29</v>
      </c>
      <c r="G2961">
        <v>477.89</v>
      </c>
      <c r="H2961" t="s">
        <v>2060</v>
      </c>
      <c r="I2961" t="str">
        <f>VLOOKUP(B2961,Customers!A:G,7,FALSE)</f>
        <v>Individual</v>
      </c>
      <c r="Q2961" t="str">
        <f>IF(COUNTIF(Customers!$A$2:$A$1001,B2961)&gt;0,"Valid","Invalid")</f>
        <v>Valid</v>
      </c>
      <c r="R2961" t="str">
        <f>IF(COUNTIF(Branches!$A$2:$A$11,F2961)&gt;0,"Valid","Invalid")</f>
        <v>Valid</v>
      </c>
    </row>
    <row r="2962" spans="1:18" x14ac:dyDescent="0.25">
      <c r="A2962" t="s">
        <v>5033</v>
      </c>
      <c r="B2962" t="s">
        <v>506</v>
      </c>
      <c r="C2962" s="8">
        <v>46207</v>
      </c>
      <c r="D2962" t="s">
        <v>2062</v>
      </c>
      <c r="E2962" t="s">
        <v>2076</v>
      </c>
      <c r="F2962" t="s">
        <v>21</v>
      </c>
      <c r="G2962">
        <v>2837.45</v>
      </c>
      <c r="H2962" t="s">
        <v>2060</v>
      </c>
      <c r="I2962" t="str">
        <f>VLOOKUP(B2962,Customers!A:G,7,FALSE)</f>
        <v>Individual</v>
      </c>
      <c r="Q2962" t="str">
        <f>IF(COUNTIF(Customers!$A$2:$A$1001,B2962)&gt;0,"Valid","Invalid")</f>
        <v>Valid</v>
      </c>
      <c r="R2962" t="str">
        <f>IF(COUNTIF(Branches!$A$2:$A$11,F2962)&gt;0,"Valid","Invalid")</f>
        <v>Valid</v>
      </c>
    </row>
    <row r="2963" spans="1:18" x14ac:dyDescent="0.25">
      <c r="A2963" t="s">
        <v>5034</v>
      </c>
      <c r="B2963" t="s">
        <v>215</v>
      </c>
      <c r="C2963" s="8">
        <v>46134</v>
      </c>
      <c r="D2963" t="s">
        <v>2067</v>
      </c>
      <c r="E2963" t="s">
        <v>2063</v>
      </c>
      <c r="F2963" t="s">
        <v>29</v>
      </c>
      <c r="G2963">
        <v>257.18</v>
      </c>
      <c r="H2963" t="s">
        <v>2060</v>
      </c>
      <c r="I2963" t="str">
        <f>VLOOKUP(B2963,Customers!A:G,7,FALSE)</f>
        <v>Individual</v>
      </c>
      <c r="Q2963" t="str">
        <f>IF(COUNTIF(Customers!$A$2:$A$1001,B2963)&gt;0,"Valid","Invalid")</f>
        <v>Valid</v>
      </c>
      <c r="R2963" t="str">
        <f>IF(COUNTIF(Branches!$A$2:$A$11,F2963)&gt;0,"Valid","Invalid")</f>
        <v>Valid</v>
      </c>
    </row>
    <row r="2964" spans="1:18" x14ac:dyDescent="0.25">
      <c r="A2964" t="s">
        <v>5035</v>
      </c>
      <c r="B2964" t="s">
        <v>683</v>
      </c>
      <c r="C2964" s="8">
        <v>46206</v>
      </c>
      <c r="D2964" t="s">
        <v>2065</v>
      </c>
      <c r="E2964" t="s">
        <v>2063</v>
      </c>
      <c r="F2964" t="s">
        <v>47</v>
      </c>
      <c r="G2964">
        <v>1735.68</v>
      </c>
      <c r="H2964" t="s">
        <v>2060</v>
      </c>
      <c r="I2964" t="str">
        <f>VLOOKUP(B2964,Customers!A:G,7,FALSE)</f>
        <v>Individual</v>
      </c>
      <c r="Q2964" t="str">
        <f>IF(COUNTIF(Customers!$A$2:$A$1001,B2964)&gt;0,"Valid","Invalid")</f>
        <v>Valid</v>
      </c>
      <c r="R2964" t="str">
        <f>IF(COUNTIF(Branches!$A$2:$A$11,F2964)&gt;0,"Valid","Invalid")</f>
        <v>Valid</v>
      </c>
    </row>
    <row r="2965" spans="1:18" x14ac:dyDescent="0.25">
      <c r="A2965" t="s">
        <v>5036</v>
      </c>
      <c r="B2965" t="s">
        <v>861</v>
      </c>
      <c r="C2965" s="8">
        <v>46126</v>
      </c>
      <c r="D2965" t="s">
        <v>2062</v>
      </c>
      <c r="E2965" t="s">
        <v>2068</v>
      </c>
      <c r="F2965" t="s">
        <v>29</v>
      </c>
      <c r="G2965">
        <v>811.54</v>
      </c>
      <c r="H2965" t="s">
        <v>2060</v>
      </c>
      <c r="I2965" t="str">
        <f>VLOOKUP(B2965,Customers!A:G,7,FALSE)</f>
        <v>SME</v>
      </c>
      <c r="Q2965" t="str">
        <f>IF(COUNTIF(Customers!$A$2:$A$1001,B2965)&gt;0,"Valid","Invalid")</f>
        <v>Valid</v>
      </c>
      <c r="R2965" t="str">
        <f>IF(COUNTIF(Branches!$A$2:$A$11,F2965)&gt;0,"Valid","Invalid")</f>
        <v>Valid</v>
      </c>
    </row>
    <row r="2966" spans="1:18" x14ac:dyDescent="0.25">
      <c r="A2966" t="s">
        <v>5037</v>
      </c>
      <c r="B2966" t="s">
        <v>779</v>
      </c>
      <c r="C2966" s="8">
        <v>46029</v>
      </c>
      <c r="D2966" t="s">
        <v>2062</v>
      </c>
      <c r="E2966" t="s">
        <v>2063</v>
      </c>
      <c r="F2966" t="s">
        <v>29</v>
      </c>
      <c r="G2966">
        <v>456.89</v>
      </c>
      <c r="H2966" t="s">
        <v>2060</v>
      </c>
      <c r="I2966" t="str">
        <f>VLOOKUP(B2966,Customers!A:G,7,FALSE)</f>
        <v>SME</v>
      </c>
      <c r="Q2966" t="str">
        <f>IF(COUNTIF(Customers!$A$2:$A$1001,B2966)&gt;0,"Valid","Invalid")</f>
        <v>Valid</v>
      </c>
      <c r="R2966" t="str">
        <f>IF(COUNTIF(Branches!$A$2:$A$11,F2966)&gt;0,"Valid","Invalid")</f>
        <v>Valid</v>
      </c>
    </row>
    <row r="2967" spans="1:18" x14ac:dyDescent="0.25">
      <c r="A2967" t="s">
        <v>5038</v>
      </c>
      <c r="B2967" t="s">
        <v>314</v>
      </c>
      <c r="C2967" s="8">
        <v>46073</v>
      </c>
      <c r="D2967" t="s">
        <v>2070</v>
      </c>
      <c r="E2967" t="s">
        <v>2059</v>
      </c>
      <c r="F2967" t="s">
        <v>39</v>
      </c>
      <c r="G2967">
        <v>240.44</v>
      </c>
      <c r="H2967" t="s">
        <v>2060</v>
      </c>
      <c r="I2967" t="str">
        <f>VLOOKUP(B2967,Customers!A:G,7,FALSE)</f>
        <v>Corporate</v>
      </c>
      <c r="Q2967" t="str">
        <f>IF(COUNTIF(Customers!$A$2:$A$1001,B2967)&gt;0,"Valid","Invalid")</f>
        <v>Valid</v>
      </c>
      <c r="R2967" t="str">
        <f>IF(COUNTIF(Branches!$A$2:$A$11,F2967)&gt;0,"Valid","Invalid")</f>
        <v>Valid</v>
      </c>
    </row>
    <row r="2968" spans="1:18" x14ac:dyDescent="0.25">
      <c r="A2968" t="s">
        <v>5039</v>
      </c>
      <c r="B2968" t="s">
        <v>188</v>
      </c>
      <c r="C2968" s="8">
        <v>46080</v>
      </c>
      <c r="D2968" t="s">
        <v>2065</v>
      </c>
      <c r="E2968" t="s">
        <v>2059</v>
      </c>
      <c r="F2968" t="s">
        <v>47</v>
      </c>
      <c r="G2968">
        <v>258.20999999999998</v>
      </c>
      <c r="H2968" t="s">
        <v>2060</v>
      </c>
      <c r="I2968" t="str">
        <f>VLOOKUP(B2968,Customers!A:G,7,FALSE)</f>
        <v>Corporate</v>
      </c>
      <c r="Q2968" t="str">
        <f>IF(COUNTIF(Customers!$A$2:$A$1001,B2968)&gt;0,"Valid","Invalid")</f>
        <v>Valid</v>
      </c>
      <c r="R2968" t="str">
        <f>IF(COUNTIF(Branches!$A$2:$A$11,F2968)&gt;0,"Valid","Invalid")</f>
        <v>Valid</v>
      </c>
    </row>
    <row r="2969" spans="1:18" x14ac:dyDescent="0.25">
      <c r="A2969" t="s">
        <v>5040</v>
      </c>
      <c r="B2969" t="s">
        <v>200</v>
      </c>
      <c r="C2969" s="8">
        <v>46263</v>
      </c>
      <c r="D2969" t="s">
        <v>2065</v>
      </c>
      <c r="E2969" t="s">
        <v>2063</v>
      </c>
      <c r="F2969" t="s">
        <v>29</v>
      </c>
      <c r="G2969">
        <v>388.14</v>
      </c>
      <c r="H2969" t="s">
        <v>2060</v>
      </c>
      <c r="I2969" t="str">
        <f>VLOOKUP(B2969,Customers!A:G,7,FALSE)</f>
        <v>SME</v>
      </c>
      <c r="Q2969" t="str">
        <f>IF(COUNTIF(Customers!$A$2:$A$1001,B2969)&gt;0,"Valid","Invalid")</f>
        <v>Valid</v>
      </c>
      <c r="R2969" t="str">
        <f>IF(COUNTIF(Branches!$A$2:$A$11,F2969)&gt;0,"Valid","Invalid")</f>
        <v>Valid</v>
      </c>
    </row>
    <row r="2970" spans="1:18" x14ac:dyDescent="0.25">
      <c r="A2970" t="s">
        <v>5041</v>
      </c>
      <c r="B2970" t="s">
        <v>328</v>
      </c>
      <c r="C2970" s="8">
        <v>46214</v>
      </c>
      <c r="D2970" t="s">
        <v>2058</v>
      </c>
      <c r="E2970" t="s">
        <v>2059</v>
      </c>
      <c r="F2970" t="s">
        <v>11</v>
      </c>
      <c r="G2970">
        <v>699.21</v>
      </c>
      <c r="H2970" t="s">
        <v>2060</v>
      </c>
      <c r="I2970" t="str">
        <f>VLOOKUP(B2970,Customers!A:G,7,FALSE)</f>
        <v>Individual</v>
      </c>
      <c r="Q2970" t="str">
        <f>IF(COUNTIF(Customers!$A$2:$A$1001,B2970)&gt;0,"Valid","Invalid")</f>
        <v>Valid</v>
      </c>
      <c r="R2970" t="str">
        <f>IF(COUNTIF(Branches!$A$2:$A$11,F2970)&gt;0,"Valid","Invalid")</f>
        <v>Valid</v>
      </c>
    </row>
    <row r="2971" spans="1:18" x14ac:dyDescent="0.25">
      <c r="A2971" t="s">
        <v>5042</v>
      </c>
      <c r="B2971" t="s">
        <v>416</v>
      </c>
      <c r="C2971" s="8">
        <v>46131</v>
      </c>
      <c r="D2971" t="s">
        <v>2058</v>
      </c>
      <c r="E2971" t="s">
        <v>2059</v>
      </c>
      <c r="F2971" t="s">
        <v>53</v>
      </c>
      <c r="G2971">
        <v>1485.5</v>
      </c>
      <c r="H2971" t="s">
        <v>2060</v>
      </c>
      <c r="I2971" t="str">
        <f>VLOOKUP(B2971,Customers!A:G,7,FALSE)</f>
        <v>Individual</v>
      </c>
      <c r="Q2971" t="str">
        <f>IF(COUNTIF(Customers!$A$2:$A$1001,B2971)&gt;0,"Valid","Invalid")</f>
        <v>Valid</v>
      </c>
      <c r="R2971" t="str">
        <f>IF(COUNTIF(Branches!$A$2:$A$11,F2971)&gt;0,"Valid","Invalid")</f>
        <v>Valid</v>
      </c>
    </row>
    <row r="2972" spans="1:18" x14ac:dyDescent="0.25">
      <c r="A2972" t="s">
        <v>5043</v>
      </c>
      <c r="B2972" t="s">
        <v>659</v>
      </c>
      <c r="C2972" s="8">
        <v>46133</v>
      </c>
      <c r="D2972" t="s">
        <v>2058</v>
      </c>
      <c r="E2972" t="s">
        <v>2068</v>
      </c>
      <c r="F2972" t="s">
        <v>27</v>
      </c>
      <c r="G2972">
        <v>601.70000000000005</v>
      </c>
      <c r="H2972" t="s">
        <v>2107</v>
      </c>
      <c r="I2972" t="str">
        <f>VLOOKUP(B2972,Customers!A:G,7,FALSE)</f>
        <v>SME</v>
      </c>
      <c r="Q2972" t="str">
        <f>IF(COUNTIF(Customers!$A$2:$A$1001,B2972)&gt;0,"Valid","Invalid")</f>
        <v>Valid</v>
      </c>
      <c r="R2972" t="str">
        <f>IF(COUNTIF(Branches!$A$2:$A$11,F2972)&gt;0,"Valid","Invalid")</f>
        <v>Valid</v>
      </c>
    </row>
    <row r="2973" spans="1:18" x14ac:dyDescent="0.25">
      <c r="A2973" t="s">
        <v>5044</v>
      </c>
      <c r="B2973" t="s">
        <v>676</v>
      </c>
      <c r="C2973" s="8">
        <v>46176</v>
      </c>
      <c r="D2973" t="s">
        <v>2058</v>
      </c>
      <c r="E2973" t="s">
        <v>2063</v>
      </c>
      <c r="F2973" t="s">
        <v>11</v>
      </c>
      <c r="G2973">
        <v>643.35</v>
      </c>
      <c r="H2973" t="s">
        <v>2060</v>
      </c>
      <c r="I2973" t="str">
        <f>VLOOKUP(B2973,Customers!A:G,7,FALSE)</f>
        <v>Individual</v>
      </c>
      <c r="Q2973" t="str">
        <f>IF(COUNTIF(Customers!$A$2:$A$1001,B2973)&gt;0,"Valid","Invalid")</f>
        <v>Valid</v>
      </c>
      <c r="R2973" t="str">
        <f>IF(COUNTIF(Branches!$A$2:$A$11,F2973)&gt;0,"Valid","Invalid")</f>
        <v>Valid</v>
      </c>
    </row>
    <row r="2974" spans="1:18" x14ac:dyDescent="0.25">
      <c r="A2974" t="s">
        <v>5045</v>
      </c>
      <c r="B2974" t="s">
        <v>790</v>
      </c>
      <c r="C2974" s="8">
        <v>46208</v>
      </c>
      <c r="D2974" t="s">
        <v>2065</v>
      </c>
      <c r="E2974" t="s">
        <v>2059</v>
      </c>
      <c r="F2974" t="s">
        <v>53</v>
      </c>
      <c r="G2974">
        <v>746.96</v>
      </c>
      <c r="H2974" t="s">
        <v>2060</v>
      </c>
      <c r="I2974" t="str">
        <f>VLOOKUP(B2974,Customers!A:G,7,FALSE)</f>
        <v>Individual</v>
      </c>
      <c r="Q2974" t="str">
        <f>IF(COUNTIF(Customers!$A$2:$A$1001,B2974)&gt;0,"Valid","Invalid")</f>
        <v>Valid</v>
      </c>
      <c r="R2974" t="str">
        <f>IF(COUNTIF(Branches!$A$2:$A$11,F2974)&gt;0,"Valid","Invalid")</f>
        <v>Valid</v>
      </c>
    </row>
    <row r="2975" spans="1:18" x14ac:dyDescent="0.25">
      <c r="A2975" t="s">
        <v>5046</v>
      </c>
      <c r="B2975" t="s">
        <v>348</v>
      </c>
      <c r="C2975" s="8">
        <v>46053</v>
      </c>
      <c r="D2975" t="s">
        <v>2067</v>
      </c>
      <c r="E2975" t="s">
        <v>2068</v>
      </c>
      <c r="F2975" t="s">
        <v>53</v>
      </c>
      <c r="G2975">
        <v>1308.68</v>
      </c>
      <c r="H2975" t="s">
        <v>2060</v>
      </c>
      <c r="I2975" t="str">
        <f>VLOOKUP(B2975,Customers!A:G,7,FALSE)</f>
        <v>Individual</v>
      </c>
      <c r="Q2975" t="str">
        <f>IF(COUNTIF(Customers!$A$2:$A$1001,B2975)&gt;0,"Valid","Invalid")</f>
        <v>Valid</v>
      </c>
      <c r="R2975" t="str">
        <f>IF(COUNTIF(Branches!$A$2:$A$11,F2975)&gt;0,"Valid","Invalid")</f>
        <v>Valid</v>
      </c>
    </row>
    <row r="2976" spans="1:18" x14ac:dyDescent="0.25">
      <c r="A2976" t="s">
        <v>5047</v>
      </c>
      <c r="B2976" t="s">
        <v>968</v>
      </c>
      <c r="C2976" s="8">
        <v>46216</v>
      </c>
      <c r="D2976" t="s">
        <v>2058</v>
      </c>
      <c r="E2976" t="s">
        <v>2068</v>
      </c>
      <c r="F2976" t="s">
        <v>45</v>
      </c>
      <c r="G2976">
        <v>1548.13</v>
      </c>
      <c r="H2976" t="s">
        <v>2060</v>
      </c>
      <c r="I2976" t="str">
        <f>VLOOKUP(B2976,Customers!A:G,7,FALSE)</f>
        <v>SME</v>
      </c>
      <c r="Q2976" t="str">
        <f>IF(COUNTIF(Customers!$A$2:$A$1001,B2976)&gt;0,"Valid","Invalid")</f>
        <v>Valid</v>
      </c>
      <c r="R2976" t="str">
        <f>IF(COUNTIF(Branches!$A$2:$A$11,F2976)&gt;0,"Valid","Invalid")</f>
        <v>Valid</v>
      </c>
    </row>
    <row r="2977" spans="1:18" x14ac:dyDescent="0.25">
      <c r="A2977" t="s">
        <v>5048</v>
      </c>
      <c r="B2977" t="s">
        <v>1017</v>
      </c>
      <c r="C2977" s="8">
        <v>46114</v>
      </c>
      <c r="D2977" t="s">
        <v>2067</v>
      </c>
      <c r="E2977" t="s">
        <v>2068</v>
      </c>
      <c r="F2977" t="s">
        <v>29</v>
      </c>
      <c r="G2977">
        <v>202.97</v>
      </c>
      <c r="H2977" t="s">
        <v>2060</v>
      </c>
      <c r="I2977" t="str">
        <f>VLOOKUP(B2977,Customers!A:G,7,FALSE)</f>
        <v>SME</v>
      </c>
      <c r="Q2977" t="str">
        <f>IF(COUNTIF(Customers!$A$2:$A$1001,B2977)&gt;0,"Valid","Invalid")</f>
        <v>Valid</v>
      </c>
      <c r="R2977" t="str">
        <f>IF(COUNTIF(Branches!$A$2:$A$11,F2977)&gt;0,"Valid","Invalid")</f>
        <v>Valid</v>
      </c>
    </row>
    <row r="2978" spans="1:18" x14ac:dyDescent="0.25">
      <c r="A2978" t="s">
        <v>5049</v>
      </c>
      <c r="B2978" t="s">
        <v>951</v>
      </c>
      <c r="C2978" s="8">
        <v>46128</v>
      </c>
      <c r="D2978" t="s">
        <v>2058</v>
      </c>
      <c r="E2978" t="s">
        <v>2073</v>
      </c>
      <c r="F2978" t="s">
        <v>35</v>
      </c>
      <c r="G2978">
        <v>612.73</v>
      </c>
      <c r="H2978" t="s">
        <v>2060</v>
      </c>
      <c r="I2978" t="str">
        <f>VLOOKUP(B2978,Customers!A:G,7,FALSE)</f>
        <v>Individual</v>
      </c>
      <c r="Q2978" t="str">
        <f>IF(COUNTIF(Customers!$A$2:$A$1001,B2978)&gt;0,"Valid","Invalid")</f>
        <v>Valid</v>
      </c>
      <c r="R2978" t="str">
        <f>IF(COUNTIF(Branches!$A$2:$A$11,F2978)&gt;0,"Valid","Invalid")</f>
        <v>Valid</v>
      </c>
    </row>
    <row r="2979" spans="1:18" x14ac:dyDescent="0.25">
      <c r="A2979" t="s">
        <v>5050</v>
      </c>
      <c r="B2979" t="s">
        <v>427</v>
      </c>
      <c r="C2979" s="8">
        <v>46035</v>
      </c>
      <c r="D2979" t="s">
        <v>2067</v>
      </c>
      <c r="E2979" t="s">
        <v>2068</v>
      </c>
      <c r="F2979" t="s">
        <v>47</v>
      </c>
      <c r="G2979">
        <v>2772.22</v>
      </c>
      <c r="H2979" t="s">
        <v>2060</v>
      </c>
      <c r="I2979" t="str">
        <f>VLOOKUP(B2979,Customers!A:G,7,FALSE)</f>
        <v>Individual</v>
      </c>
      <c r="Q2979" t="str">
        <f>IF(COUNTIF(Customers!$A$2:$A$1001,B2979)&gt;0,"Valid","Invalid")</f>
        <v>Valid</v>
      </c>
      <c r="R2979" t="str">
        <f>IF(COUNTIF(Branches!$A$2:$A$11,F2979)&gt;0,"Valid","Invalid")</f>
        <v>Valid</v>
      </c>
    </row>
    <row r="2980" spans="1:18" x14ac:dyDescent="0.25">
      <c r="A2980" t="s">
        <v>5051</v>
      </c>
      <c r="B2980" t="s">
        <v>895</v>
      </c>
      <c r="C2980" s="8">
        <v>46168</v>
      </c>
      <c r="D2980" t="s">
        <v>2067</v>
      </c>
      <c r="E2980" t="s">
        <v>2059</v>
      </c>
      <c r="F2980" t="s">
        <v>21</v>
      </c>
      <c r="G2980">
        <v>217.87</v>
      </c>
      <c r="H2980" t="s">
        <v>2060</v>
      </c>
      <c r="I2980" t="str">
        <f>VLOOKUP(B2980,Customers!A:G,7,FALSE)</f>
        <v>SME</v>
      </c>
      <c r="Q2980" t="str">
        <f>IF(COUNTIF(Customers!$A$2:$A$1001,B2980)&gt;0,"Valid","Invalid")</f>
        <v>Valid</v>
      </c>
      <c r="R2980" t="str">
        <f>IF(COUNTIF(Branches!$A$2:$A$11,F2980)&gt;0,"Valid","Invalid")</f>
        <v>Valid</v>
      </c>
    </row>
    <row r="2981" spans="1:18" x14ac:dyDescent="0.25">
      <c r="A2981" t="s">
        <v>5052</v>
      </c>
      <c r="B2981" t="s">
        <v>696</v>
      </c>
      <c r="C2981" s="8">
        <v>46244</v>
      </c>
      <c r="D2981" t="s">
        <v>2067</v>
      </c>
      <c r="E2981" t="s">
        <v>2068</v>
      </c>
      <c r="F2981" t="s">
        <v>11</v>
      </c>
      <c r="G2981">
        <v>875.08</v>
      </c>
      <c r="H2981" t="s">
        <v>2060</v>
      </c>
      <c r="I2981" t="str">
        <f>VLOOKUP(B2981,Customers!A:G,7,FALSE)</f>
        <v>Individual</v>
      </c>
      <c r="Q2981" t="str">
        <f>IF(COUNTIF(Customers!$A$2:$A$1001,B2981)&gt;0,"Valid","Invalid")</f>
        <v>Valid</v>
      </c>
      <c r="R2981" t="str">
        <f>IF(COUNTIF(Branches!$A$2:$A$11,F2981)&gt;0,"Valid","Invalid")</f>
        <v>Valid</v>
      </c>
    </row>
    <row r="2982" spans="1:18" x14ac:dyDescent="0.25">
      <c r="A2982" t="s">
        <v>5053</v>
      </c>
      <c r="B2982" t="s">
        <v>802</v>
      </c>
      <c r="C2982" s="8">
        <v>46141</v>
      </c>
      <c r="D2982" t="s">
        <v>2067</v>
      </c>
      <c r="E2982" t="s">
        <v>2059</v>
      </c>
      <c r="F2982" t="s">
        <v>11</v>
      </c>
      <c r="G2982">
        <v>684.82</v>
      </c>
      <c r="H2982" t="s">
        <v>2060</v>
      </c>
      <c r="I2982" t="str">
        <f>VLOOKUP(B2982,Customers!A:G,7,FALSE)</f>
        <v>Individual</v>
      </c>
      <c r="Q2982" t="str">
        <f>IF(COUNTIF(Customers!$A$2:$A$1001,B2982)&gt;0,"Valid","Invalid")</f>
        <v>Valid</v>
      </c>
      <c r="R2982" t="str">
        <f>IF(COUNTIF(Branches!$A$2:$A$11,F2982)&gt;0,"Valid","Invalid")</f>
        <v>Valid</v>
      </c>
    </row>
    <row r="2983" spans="1:18" x14ac:dyDescent="0.25">
      <c r="A2983" t="s">
        <v>5054</v>
      </c>
      <c r="B2983" t="s">
        <v>220</v>
      </c>
      <c r="C2983" s="8">
        <v>46225</v>
      </c>
      <c r="D2983" t="s">
        <v>2065</v>
      </c>
      <c r="E2983" t="s">
        <v>2063</v>
      </c>
      <c r="F2983" t="s">
        <v>39</v>
      </c>
      <c r="G2983">
        <v>460.97</v>
      </c>
      <c r="H2983" t="s">
        <v>2060</v>
      </c>
      <c r="I2983" t="str">
        <f>VLOOKUP(B2983,Customers!A:G,7,FALSE)</f>
        <v>Individual</v>
      </c>
      <c r="Q2983" t="str">
        <f>IF(COUNTIF(Customers!$A$2:$A$1001,B2983)&gt;0,"Valid","Invalid")</f>
        <v>Valid</v>
      </c>
      <c r="R2983" t="str">
        <f>IF(COUNTIF(Branches!$A$2:$A$11,F2983)&gt;0,"Valid","Invalid")</f>
        <v>Valid</v>
      </c>
    </row>
    <row r="2984" spans="1:18" x14ac:dyDescent="0.25">
      <c r="A2984" t="s">
        <v>5055</v>
      </c>
      <c r="B2984" t="s">
        <v>859</v>
      </c>
      <c r="C2984" s="8">
        <v>46163</v>
      </c>
      <c r="D2984" t="s">
        <v>2058</v>
      </c>
      <c r="E2984" t="s">
        <v>2063</v>
      </c>
      <c r="F2984" t="s">
        <v>21</v>
      </c>
      <c r="G2984">
        <v>3986.95</v>
      </c>
      <c r="H2984" t="s">
        <v>2060</v>
      </c>
      <c r="I2984" t="str">
        <f>VLOOKUP(B2984,Customers!A:G,7,FALSE)</f>
        <v>Individual</v>
      </c>
      <c r="Q2984" t="str">
        <f>IF(COUNTIF(Customers!$A$2:$A$1001,B2984)&gt;0,"Valid","Invalid")</f>
        <v>Valid</v>
      </c>
      <c r="R2984" t="str">
        <f>IF(COUNTIF(Branches!$A$2:$A$11,F2984)&gt;0,"Valid","Invalid")</f>
        <v>Valid</v>
      </c>
    </row>
    <row r="2985" spans="1:18" x14ac:dyDescent="0.25">
      <c r="A2985" t="s">
        <v>5056</v>
      </c>
      <c r="B2985" t="s">
        <v>344</v>
      </c>
      <c r="C2985" s="8">
        <v>46137</v>
      </c>
      <c r="D2985" t="s">
        <v>2062</v>
      </c>
      <c r="E2985" t="s">
        <v>2063</v>
      </c>
      <c r="F2985" t="s">
        <v>53</v>
      </c>
      <c r="G2985">
        <v>842.89</v>
      </c>
      <c r="H2985" t="s">
        <v>2060</v>
      </c>
      <c r="I2985" t="str">
        <f>VLOOKUP(B2985,Customers!A:G,7,FALSE)</f>
        <v>SME</v>
      </c>
      <c r="Q2985" t="str">
        <f>IF(COUNTIF(Customers!$A$2:$A$1001,B2985)&gt;0,"Valid","Invalid")</f>
        <v>Valid</v>
      </c>
      <c r="R2985" t="str">
        <f>IF(COUNTIF(Branches!$A$2:$A$11,F2985)&gt;0,"Valid","Invalid")</f>
        <v>Valid</v>
      </c>
    </row>
    <row r="2986" spans="1:18" x14ac:dyDescent="0.25">
      <c r="A2986" t="s">
        <v>5057</v>
      </c>
      <c r="B2986" t="s">
        <v>108</v>
      </c>
      <c r="C2986" s="8">
        <v>46174</v>
      </c>
      <c r="D2986" t="s">
        <v>2067</v>
      </c>
      <c r="E2986" t="s">
        <v>2063</v>
      </c>
      <c r="F2986" t="s">
        <v>53</v>
      </c>
      <c r="G2986">
        <v>3681.76</v>
      </c>
      <c r="H2986" t="s">
        <v>2060</v>
      </c>
      <c r="I2986" t="str">
        <f>VLOOKUP(B2986,Customers!A:G,7,FALSE)</f>
        <v>Individual</v>
      </c>
      <c r="Q2986" t="str">
        <f>IF(COUNTIF(Customers!$A$2:$A$1001,B2986)&gt;0,"Valid","Invalid")</f>
        <v>Valid</v>
      </c>
      <c r="R2986" t="str">
        <f>IF(COUNTIF(Branches!$A$2:$A$11,F2986)&gt;0,"Valid","Invalid")</f>
        <v>Valid</v>
      </c>
    </row>
    <row r="2987" spans="1:18" x14ac:dyDescent="0.25">
      <c r="A2987" t="s">
        <v>5058</v>
      </c>
      <c r="B2987" t="s">
        <v>256</v>
      </c>
      <c r="C2987" s="8">
        <v>46079</v>
      </c>
      <c r="D2987" t="s">
        <v>2065</v>
      </c>
      <c r="E2987" t="s">
        <v>2063</v>
      </c>
      <c r="F2987" t="s">
        <v>29</v>
      </c>
      <c r="G2987">
        <v>816.99</v>
      </c>
      <c r="H2987" t="s">
        <v>2060</v>
      </c>
      <c r="I2987" t="str">
        <f>VLOOKUP(B2987,Customers!A:G,7,FALSE)</f>
        <v>SME</v>
      </c>
      <c r="Q2987" t="str">
        <f>IF(COUNTIF(Customers!$A$2:$A$1001,B2987)&gt;0,"Valid","Invalid")</f>
        <v>Valid</v>
      </c>
      <c r="R2987" t="str">
        <f>IF(COUNTIF(Branches!$A$2:$A$11,F2987)&gt;0,"Valid","Invalid")</f>
        <v>Valid</v>
      </c>
    </row>
    <row r="2988" spans="1:18" x14ac:dyDescent="0.25">
      <c r="A2988" t="s">
        <v>5059</v>
      </c>
      <c r="B2988" t="s">
        <v>757</v>
      </c>
      <c r="C2988" s="8">
        <v>46148</v>
      </c>
      <c r="D2988" t="s">
        <v>2070</v>
      </c>
      <c r="E2988" t="s">
        <v>2063</v>
      </c>
      <c r="F2988" t="s">
        <v>35</v>
      </c>
      <c r="G2988">
        <v>1287.24</v>
      </c>
      <c r="H2988" t="s">
        <v>2060</v>
      </c>
      <c r="I2988" t="str">
        <f>VLOOKUP(B2988,Customers!A:G,7,FALSE)</f>
        <v>Individual</v>
      </c>
      <c r="Q2988" t="str">
        <f>IF(COUNTIF(Customers!$A$2:$A$1001,B2988)&gt;0,"Valid","Invalid")</f>
        <v>Valid</v>
      </c>
      <c r="R2988" t="str">
        <f>IF(COUNTIF(Branches!$A$2:$A$11,F2988)&gt;0,"Valid","Invalid")</f>
        <v>Valid</v>
      </c>
    </row>
    <row r="2989" spans="1:18" x14ac:dyDescent="0.25">
      <c r="A2989" t="s">
        <v>5060</v>
      </c>
      <c r="B2989" t="s">
        <v>209</v>
      </c>
      <c r="C2989" s="8">
        <v>46179</v>
      </c>
      <c r="D2989" t="s">
        <v>2065</v>
      </c>
      <c r="E2989" t="s">
        <v>2068</v>
      </c>
      <c r="F2989" t="s">
        <v>45</v>
      </c>
      <c r="G2989">
        <v>456.13</v>
      </c>
      <c r="H2989" t="s">
        <v>2060</v>
      </c>
      <c r="I2989" t="str">
        <f>VLOOKUP(B2989,Customers!A:G,7,FALSE)</f>
        <v>Individual</v>
      </c>
      <c r="Q2989" t="str">
        <f>IF(COUNTIF(Customers!$A$2:$A$1001,B2989)&gt;0,"Valid","Invalid")</f>
        <v>Valid</v>
      </c>
      <c r="R2989" t="str">
        <f>IF(COUNTIF(Branches!$A$2:$A$11,F2989)&gt;0,"Valid","Invalid")</f>
        <v>Valid</v>
      </c>
    </row>
    <row r="2990" spans="1:18" x14ac:dyDescent="0.25">
      <c r="A2990" t="s">
        <v>5061</v>
      </c>
      <c r="B2990" t="s">
        <v>691</v>
      </c>
      <c r="C2990" s="8">
        <v>46206</v>
      </c>
      <c r="D2990" t="s">
        <v>2065</v>
      </c>
      <c r="E2990" t="s">
        <v>2073</v>
      </c>
      <c r="F2990" t="s">
        <v>11</v>
      </c>
      <c r="G2990">
        <v>461.23</v>
      </c>
      <c r="H2990" t="s">
        <v>2060</v>
      </c>
      <c r="I2990" t="str">
        <f>VLOOKUP(B2990,Customers!A:G,7,FALSE)</f>
        <v>Individual</v>
      </c>
      <c r="Q2990" t="str">
        <f>IF(COUNTIF(Customers!$A$2:$A$1001,B2990)&gt;0,"Valid","Invalid")</f>
        <v>Valid</v>
      </c>
      <c r="R2990" t="str">
        <f>IF(COUNTIF(Branches!$A$2:$A$11,F2990)&gt;0,"Valid","Invalid")</f>
        <v>Valid</v>
      </c>
    </row>
    <row r="2991" spans="1:18" x14ac:dyDescent="0.25">
      <c r="A2991" t="s">
        <v>5062</v>
      </c>
      <c r="B2991" t="s">
        <v>310</v>
      </c>
      <c r="C2991" s="8">
        <v>46076</v>
      </c>
      <c r="D2991" t="s">
        <v>2067</v>
      </c>
      <c r="E2991" t="s">
        <v>2059</v>
      </c>
      <c r="F2991" t="s">
        <v>21</v>
      </c>
      <c r="G2991">
        <v>1223.3499999999999</v>
      </c>
      <c r="H2991" t="s">
        <v>2060</v>
      </c>
      <c r="I2991" t="str">
        <f>VLOOKUP(B2991,Customers!A:G,7,FALSE)</f>
        <v>Individual</v>
      </c>
      <c r="Q2991" t="str">
        <f>IF(COUNTIF(Customers!$A$2:$A$1001,B2991)&gt;0,"Valid","Invalid")</f>
        <v>Valid</v>
      </c>
      <c r="R2991" t="str">
        <f>IF(COUNTIF(Branches!$A$2:$A$11,F2991)&gt;0,"Valid","Invalid")</f>
        <v>Valid</v>
      </c>
    </row>
    <row r="2992" spans="1:18" x14ac:dyDescent="0.25">
      <c r="A2992" t="s">
        <v>5063</v>
      </c>
      <c r="B2992" t="s">
        <v>764</v>
      </c>
      <c r="C2992" s="8">
        <v>46155</v>
      </c>
      <c r="D2992" t="s">
        <v>2062</v>
      </c>
      <c r="E2992" t="s">
        <v>2068</v>
      </c>
      <c r="F2992" t="s">
        <v>11</v>
      </c>
      <c r="G2992">
        <v>1246</v>
      </c>
      <c r="H2992" t="s">
        <v>2060</v>
      </c>
      <c r="I2992" t="str">
        <f>VLOOKUP(B2992,Customers!A:G,7,FALSE)</f>
        <v>Individual</v>
      </c>
      <c r="Q2992" t="str">
        <f>IF(COUNTIF(Customers!$A$2:$A$1001,B2992)&gt;0,"Valid","Invalid")</f>
        <v>Valid</v>
      </c>
      <c r="R2992" t="str">
        <f>IF(COUNTIF(Branches!$A$2:$A$11,F2992)&gt;0,"Valid","Invalid")</f>
        <v>Valid</v>
      </c>
    </row>
    <row r="2993" spans="1:18" x14ac:dyDescent="0.25">
      <c r="A2993" t="s">
        <v>5064</v>
      </c>
      <c r="B2993" t="s">
        <v>506</v>
      </c>
      <c r="C2993" s="8">
        <v>46185</v>
      </c>
      <c r="D2993" t="s">
        <v>2067</v>
      </c>
      <c r="E2993" t="s">
        <v>2063</v>
      </c>
      <c r="F2993" t="s">
        <v>21</v>
      </c>
      <c r="G2993">
        <v>1477.32</v>
      </c>
      <c r="H2993" t="s">
        <v>2060</v>
      </c>
      <c r="I2993" t="str">
        <f>VLOOKUP(B2993,Customers!A:G,7,FALSE)</f>
        <v>Individual</v>
      </c>
      <c r="Q2993" t="str">
        <f>IF(COUNTIF(Customers!$A$2:$A$1001,B2993)&gt;0,"Valid","Invalid")</f>
        <v>Valid</v>
      </c>
      <c r="R2993" t="str">
        <f>IF(COUNTIF(Branches!$A$2:$A$11,F2993)&gt;0,"Valid","Invalid")</f>
        <v>Valid</v>
      </c>
    </row>
    <row r="2994" spans="1:18" x14ac:dyDescent="0.25">
      <c r="A2994" t="s">
        <v>5065</v>
      </c>
      <c r="B2994" t="s">
        <v>307</v>
      </c>
      <c r="C2994" s="8">
        <v>46041</v>
      </c>
      <c r="D2994" t="s">
        <v>2058</v>
      </c>
      <c r="E2994" t="s">
        <v>2073</v>
      </c>
      <c r="F2994" t="s">
        <v>27</v>
      </c>
      <c r="G2994">
        <v>1184.03</v>
      </c>
      <c r="H2994" t="s">
        <v>2060</v>
      </c>
      <c r="I2994" t="str">
        <f>VLOOKUP(B2994,Customers!A:G,7,FALSE)</f>
        <v>Individual</v>
      </c>
      <c r="Q2994" t="str">
        <f>IF(COUNTIF(Customers!$A$2:$A$1001,B2994)&gt;0,"Valid","Invalid")</f>
        <v>Valid</v>
      </c>
      <c r="R2994" t="str">
        <f>IF(COUNTIF(Branches!$A$2:$A$11,F2994)&gt;0,"Valid","Invalid")</f>
        <v>Valid</v>
      </c>
    </row>
    <row r="2995" spans="1:18" x14ac:dyDescent="0.25">
      <c r="A2995" t="s">
        <v>5066</v>
      </c>
      <c r="B2995" t="s">
        <v>54</v>
      </c>
      <c r="C2995" s="8">
        <v>46205</v>
      </c>
      <c r="D2995" t="s">
        <v>2067</v>
      </c>
      <c r="E2995" t="s">
        <v>2059</v>
      </c>
      <c r="F2995" t="s">
        <v>53</v>
      </c>
      <c r="G2995">
        <v>213.49</v>
      </c>
      <c r="H2995" t="s">
        <v>2060</v>
      </c>
      <c r="I2995" t="str">
        <f>VLOOKUP(B2995,Customers!A:G,7,FALSE)</f>
        <v>Individual</v>
      </c>
      <c r="Q2995" t="str">
        <f>IF(COUNTIF(Customers!$A$2:$A$1001,B2995)&gt;0,"Valid","Invalid")</f>
        <v>Valid</v>
      </c>
      <c r="R2995" t="str">
        <f>IF(COUNTIF(Branches!$A$2:$A$11,F2995)&gt;0,"Valid","Invalid")</f>
        <v>Valid</v>
      </c>
    </row>
    <row r="2996" spans="1:18" x14ac:dyDescent="0.25">
      <c r="A2996" t="s">
        <v>5067</v>
      </c>
      <c r="B2996" t="s">
        <v>616</v>
      </c>
      <c r="C2996" s="8">
        <v>46099</v>
      </c>
      <c r="D2996" t="s">
        <v>2065</v>
      </c>
      <c r="E2996" t="s">
        <v>2063</v>
      </c>
      <c r="F2996" t="s">
        <v>29</v>
      </c>
      <c r="G2996">
        <v>362.72</v>
      </c>
      <c r="H2996" t="s">
        <v>2060</v>
      </c>
      <c r="I2996" t="str">
        <f>VLOOKUP(B2996,Customers!A:G,7,FALSE)</f>
        <v>Individual</v>
      </c>
      <c r="Q2996" t="str">
        <f>IF(COUNTIF(Customers!$A$2:$A$1001,B2996)&gt;0,"Valid","Invalid")</f>
        <v>Valid</v>
      </c>
      <c r="R2996" t="str">
        <f>IF(COUNTIF(Branches!$A$2:$A$11,F2996)&gt;0,"Valid","Invalid")</f>
        <v>Valid</v>
      </c>
    </row>
    <row r="2997" spans="1:18" x14ac:dyDescent="0.25">
      <c r="A2997" t="s">
        <v>5068</v>
      </c>
      <c r="B2997" t="s">
        <v>1033</v>
      </c>
      <c r="C2997" s="8">
        <v>46091</v>
      </c>
      <c r="D2997" t="s">
        <v>2067</v>
      </c>
      <c r="E2997" t="s">
        <v>2063</v>
      </c>
      <c r="F2997" t="s">
        <v>16</v>
      </c>
      <c r="G2997">
        <v>1900.63</v>
      </c>
      <c r="H2997" t="s">
        <v>2060</v>
      </c>
      <c r="I2997" t="str">
        <f>VLOOKUP(B2997,Customers!A:G,7,FALSE)</f>
        <v>Individual</v>
      </c>
      <c r="Q2997" t="str">
        <f>IF(COUNTIF(Customers!$A$2:$A$1001,B2997)&gt;0,"Valid","Invalid")</f>
        <v>Valid</v>
      </c>
      <c r="R2997" t="str">
        <f>IF(COUNTIF(Branches!$A$2:$A$11,F2997)&gt;0,"Valid","Invalid")</f>
        <v>Valid</v>
      </c>
    </row>
    <row r="2998" spans="1:18" x14ac:dyDescent="0.25">
      <c r="A2998" t="s">
        <v>5069</v>
      </c>
      <c r="B2998" t="s">
        <v>853</v>
      </c>
      <c r="C2998" s="8">
        <v>46066</v>
      </c>
      <c r="D2998" t="s">
        <v>2062</v>
      </c>
      <c r="E2998" t="s">
        <v>2063</v>
      </c>
      <c r="F2998" t="s">
        <v>45</v>
      </c>
      <c r="G2998">
        <v>114.61</v>
      </c>
      <c r="H2998" t="s">
        <v>2107</v>
      </c>
      <c r="I2998" t="str">
        <f>VLOOKUP(B2998,Customers!A:G,7,FALSE)</f>
        <v>Individual</v>
      </c>
      <c r="Q2998" t="str">
        <f>IF(COUNTIF(Customers!$A$2:$A$1001,B2998)&gt;0,"Valid","Invalid")</f>
        <v>Valid</v>
      </c>
      <c r="R2998" t="str">
        <f>IF(COUNTIF(Branches!$A$2:$A$11,F2998)&gt;0,"Valid","Invalid")</f>
        <v>Valid</v>
      </c>
    </row>
    <row r="2999" spans="1:18" x14ac:dyDescent="0.25">
      <c r="A2999" t="s">
        <v>5070</v>
      </c>
      <c r="B2999" t="s">
        <v>541</v>
      </c>
      <c r="C2999" s="8">
        <v>46228</v>
      </c>
      <c r="D2999" t="s">
        <v>2058</v>
      </c>
      <c r="E2999" t="s">
        <v>2063</v>
      </c>
      <c r="F2999" t="s">
        <v>45</v>
      </c>
      <c r="G2999">
        <v>1088.56</v>
      </c>
      <c r="H2999" t="s">
        <v>2060</v>
      </c>
      <c r="I2999" t="str">
        <f>VLOOKUP(B2999,Customers!A:G,7,FALSE)</f>
        <v>Individual</v>
      </c>
      <c r="Q2999" t="str">
        <f>IF(COUNTIF(Customers!$A$2:$A$1001,B2999)&gt;0,"Valid","Invalid")</f>
        <v>Valid</v>
      </c>
      <c r="R2999" t="str">
        <f>IF(COUNTIF(Branches!$A$2:$A$11,F2999)&gt;0,"Valid","Invalid")</f>
        <v>Valid</v>
      </c>
    </row>
    <row r="3000" spans="1:18" x14ac:dyDescent="0.25">
      <c r="A3000" t="s">
        <v>5071</v>
      </c>
      <c r="B3000" t="s">
        <v>183</v>
      </c>
      <c r="C3000" s="8">
        <v>46060</v>
      </c>
      <c r="D3000" t="s">
        <v>2065</v>
      </c>
      <c r="E3000" t="s">
        <v>2063</v>
      </c>
      <c r="F3000" t="s">
        <v>11</v>
      </c>
      <c r="G3000">
        <v>726.41</v>
      </c>
      <c r="H3000" t="s">
        <v>2060</v>
      </c>
      <c r="I3000" t="str">
        <f>VLOOKUP(B3000,Customers!A:G,7,FALSE)</f>
        <v>Corporate</v>
      </c>
      <c r="Q3000" t="str">
        <f>IF(COUNTIF(Customers!$A$2:$A$1001,B3000)&gt;0,"Valid","Invalid")</f>
        <v>Valid</v>
      </c>
      <c r="R3000" t="str">
        <f>IF(COUNTIF(Branches!$A$2:$A$11,F3000)&gt;0,"Valid","Invalid")</f>
        <v>Valid</v>
      </c>
    </row>
    <row r="3001" spans="1:18" x14ac:dyDescent="0.25">
      <c r="A3001" t="s">
        <v>5072</v>
      </c>
      <c r="B3001" t="s">
        <v>467</v>
      </c>
      <c r="C3001" s="8">
        <v>46084</v>
      </c>
      <c r="D3001" t="s">
        <v>2065</v>
      </c>
      <c r="E3001" t="s">
        <v>2063</v>
      </c>
      <c r="F3001" t="s">
        <v>11</v>
      </c>
      <c r="G3001">
        <v>1899.95</v>
      </c>
      <c r="H3001" t="s">
        <v>2060</v>
      </c>
      <c r="I3001" t="str">
        <f>VLOOKUP(B3001,Customers!A:G,7,FALSE)</f>
        <v>SME</v>
      </c>
      <c r="Q3001" t="str">
        <f>IF(COUNTIF(Customers!$A$2:$A$1001,B3001)&gt;0,"Valid","Invalid")</f>
        <v>Valid</v>
      </c>
      <c r="R3001" t="str">
        <f>IF(COUNTIF(Branches!$A$2:$A$11,F3001)&gt;0,"Valid","Invalid")</f>
        <v>Valid</v>
      </c>
    </row>
    <row r="3002" spans="1:18" x14ac:dyDescent="0.25">
      <c r="A3002" t="s">
        <v>5073</v>
      </c>
      <c r="B3002" t="s">
        <v>201</v>
      </c>
      <c r="C3002" s="8">
        <v>46044</v>
      </c>
      <c r="D3002" t="s">
        <v>2058</v>
      </c>
      <c r="E3002" t="s">
        <v>2063</v>
      </c>
      <c r="F3002" t="s">
        <v>27</v>
      </c>
      <c r="G3002">
        <v>1232.28</v>
      </c>
      <c r="H3002" t="s">
        <v>2115</v>
      </c>
      <c r="I3002" t="str">
        <f>VLOOKUP(B3002,Customers!A:G,7,FALSE)</f>
        <v>Individual</v>
      </c>
      <c r="Q3002" t="str">
        <f>IF(COUNTIF(Customers!$A$2:$A$1001,B3002)&gt;0,"Valid","Invalid")</f>
        <v>Valid</v>
      </c>
      <c r="R3002" t="str">
        <f>IF(COUNTIF(Branches!$A$2:$A$11,F3002)&gt;0,"Valid","Invalid")</f>
        <v>Valid</v>
      </c>
    </row>
    <row r="3003" spans="1:18" x14ac:dyDescent="0.25">
      <c r="A3003" t="s">
        <v>5074</v>
      </c>
      <c r="B3003" t="s">
        <v>928</v>
      </c>
      <c r="C3003" s="8">
        <v>46095</v>
      </c>
      <c r="D3003" t="s">
        <v>2062</v>
      </c>
      <c r="E3003" t="s">
        <v>2063</v>
      </c>
      <c r="F3003" t="s">
        <v>45</v>
      </c>
      <c r="G3003">
        <v>418.23</v>
      </c>
      <c r="H3003" t="s">
        <v>2060</v>
      </c>
      <c r="I3003" t="str">
        <f>VLOOKUP(B3003,Customers!A:G,7,FALSE)</f>
        <v>SME</v>
      </c>
      <c r="Q3003" t="str">
        <f>IF(COUNTIF(Customers!$A$2:$A$1001,B3003)&gt;0,"Valid","Invalid")</f>
        <v>Valid</v>
      </c>
      <c r="R3003" t="str">
        <f>IF(COUNTIF(Branches!$A$2:$A$11,F3003)&gt;0,"Valid","Invalid")</f>
        <v>Valid</v>
      </c>
    </row>
    <row r="3004" spans="1:18" x14ac:dyDescent="0.25">
      <c r="A3004" t="s">
        <v>5075</v>
      </c>
      <c r="B3004" t="s">
        <v>348</v>
      </c>
      <c r="C3004" s="8">
        <v>46263</v>
      </c>
      <c r="D3004" t="s">
        <v>2067</v>
      </c>
      <c r="E3004" t="s">
        <v>2073</v>
      </c>
      <c r="F3004" t="s">
        <v>16</v>
      </c>
      <c r="G3004">
        <v>399.67</v>
      </c>
      <c r="H3004" t="s">
        <v>2060</v>
      </c>
      <c r="I3004" t="str">
        <f>VLOOKUP(B3004,Customers!A:G,7,FALSE)</f>
        <v>Individual</v>
      </c>
      <c r="Q3004" t="str">
        <f>IF(COUNTIF(Customers!$A$2:$A$1001,B3004)&gt;0,"Valid","Invalid")</f>
        <v>Valid</v>
      </c>
      <c r="R3004" t="str">
        <f>IF(COUNTIF(Branches!$A$2:$A$11,F3004)&gt;0,"Valid","Invalid")</f>
        <v>Valid</v>
      </c>
    </row>
    <row r="3005" spans="1:18" x14ac:dyDescent="0.25">
      <c r="A3005" t="s">
        <v>5076</v>
      </c>
      <c r="B3005" t="s">
        <v>556</v>
      </c>
      <c r="C3005" s="8">
        <v>46190</v>
      </c>
      <c r="D3005" t="s">
        <v>2058</v>
      </c>
      <c r="E3005" t="s">
        <v>2063</v>
      </c>
      <c r="F3005" t="s">
        <v>47</v>
      </c>
      <c r="G3005">
        <v>481.65</v>
      </c>
      <c r="H3005" t="s">
        <v>2060</v>
      </c>
      <c r="I3005" t="str">
        <f>VLOOKUP(B3005,Customers!A:G,7,FALSE)</f>
        <v>Individual</v>
      </c>
      <c r="Q3005" t="str">
        <f>IF(COUNTIF(Customers!$A$2:$A$1001,B3005)&gt;0,"Valid","Invalid")</f>
        <v>Valid</v>
      </c>
      <c r="R3005" t="str">
        <f>IF(COUNTIF(Branches!$A$2:$A$11,F3005)&gt;0,"Valid","Invalid")</f>
        <v>Valid</v>
      </c>
    </row>
    <row r="3006" spans="1:18" x14ac:dyDescent="0.25">
      <c r="A3006" t="s">
        <v>5077</v>
      </c>
      <c r="B3006" t="s">
        <v>46</v>
      </c>
      <c r="C3006" s="8">
        <v>46176</v>
      </c>
      <c r="D3006" t="s">
        <v>2065</v>
      </c>
      <c r="E3006" t="s">
        <v>2063</v>
      </c>
      <c r="F3006" t="s">
        <v>27</v>
      </c>
      <c r="G3006">
        <v>1451.08</v>
      </c>
      <c r="H3006" t="s">
        <v>2060</v>
      </c>
      <c r="I3006" t="str">
        <f>VLOOKUP(B3006,Customers!A:G,7,FALSE)</f>
        <v>Individual</v>
      </c>
      <c r="Q3006" t="str">
        <f>IF(COUNTIF(Customers!$A$2:$A$1001,B3006)&gt;0,"Valid","Invalid")</f>
        <v>Valid</v>
      </c>
      <c r="R3006" t="str">
        <f>IF(COUNTIF(Branches!$A$2:$A$11,F3006)&gt;0,"Valid","Invalid")</f>
        <v>Valid</v>
      </c>
    </row>
    <row r="3007" spans="1:18" x14ac:dyDescent="0.25">
      <c r="A3007" t="s">
        <v>5078</v>
      </c>
      <c r="B3007" t="s">
        <v>168</v>
      </c>
      <c r="C3007" s="8">
        <v>46259</v>
      </c>
      <c r="D3007" t="s">
        <v>2067</v>
      </c>
      <c r="E3007" t="s">
        <v>2076</v>
      </c>
      <c r="F3007" t="s">
        <v>21</v>
      </c>
      <c r="G3007">
        <v>81.27</v>
      </c>
      <c r="H3007" t="s">
        <v>2060</v>
      </c>
      <c r="I3007" t="str">
        <f>VLOOKUP(B3007,Customers!A:G,7,FALSE)</f>
        <v>SME</v>
      </c>
      <c r="Q3007" t="str">
        <f>IF(COUNTIF(Customers!$A$2:$A$1001,B3007)&gt;0,"Valid","Invalid")</f>
        <v>Valid</v>
      </c>
      <c r="R3007" t="str">
        <f>IF(COUNTIF(Branches!$A$2:$A$11,F3007)&gt;0,"Valid","Invalid")</f>
        <v>Valid</v>
      </c>
    </row>
    <row r="3008" spans="1:18" x14ac:dyDescent="0.25">
      <c r="A3008" t="s">
        <v>5079</v>
      </c>
      <c r="B3008" t="s">
        <v>892</v>
      </c>
      <c r="C3008" s="8">
        <v>46147</v>
      </c>
      <c r="D3008" t="s">
        <v>2065</v>
      </c>
      <c r="E3008" t="s">
        <v>2068</v>
      </c>
      <c r="F3008" t="s">
        <v>47</v>
      </c>
      <c r="G3008">
        <v>950.87</v>
      </c>
      <c r="H3008" t="s">
        <v>2060</v>
      </c>
      <c r="I3008" t="str">
        <f>VLOOKUP(B3008,Customers!A:G,7,FALSE)</f>
        <v>Individual</v>
      </c>
      <c r="Q3008" t="str">
        <f>IF(COUNTIF(Customers!$A$2:$A$1001,B3008)&gt;0,"Valid","Invalid")</f>
        <v>Valid</v>
      </c>
      <c r="R3008" t="str">
        <f>IF(COUNTIF(Branches!$A$2:$A$11,F3008)&gt;0,"Valid","Invalid")</f>
        <v>Valid</v>
      </c>
    </row>
    <row r="3009" spans="1:18" x14ac:dyDescent="0.25">
      <c r="A3009" t="s">
        <v>5080</v>
      </c>
      <c r="B3009" t="s">
        <v>793</v>
      </c>
      <c r="C3009" s="8">
        <v>46027</v>
      </c>
      <c r="D3009" t="s">
        <v>2062</v>
      </c>
      <c r="E3009" t="s">
        <v>2059</v>
      </c>
      <c r="F3009" t="s">
        <v>11</v>
      </c>
      <c r="G3009">
        <v>335.95</v>
      </c>
      <c r="H3009" t="s">
        <v>2060</v>
      </c>
      <c r="I3009" t="str">
        <f>VLOOKUP(B3009,Customers!A:G,7,FALSE)</f>
        <v>SME</v>
      </c>
      <c r="Q3009" t="str">
        <f>IF(COUNTIF(Customers!$A$2:$A$1001,B3009)&gt;0,"Valid","Invalid")</f>
        <v>Valid</v>
      </c>
      <c r="R3009" t="str">
        <f>IF(COUNTIF(Branches!$A$2:$A$11,F3009)&gt;0,"Valid","Invalid")</f>
        <v>Valid</v>
      </c>
    </row>
    <row r="3010" spans="1:18" x14ac:dyDescent="0.25">
      <c r="A3010" t="s">
        <v>5081</v>
      </c>
      <c r="B3010" t="s">
        <v>477</v>
      </c>
      <c r="C3010" s="8">
        <v>46243</v>
      </c>
      <c r="D3010" t="s">
        <v>2067</v>
      </c>
      <c r="E3010" t="s">
        <v>2068</v>
      </c>
      <c r="F3010" t="s">
        <v>47</v>
      </c>
      <c r="G3010">
        <v>983.22</v>
      </c>
      <c r="H3010" t="s">
        <v>2060</v>
      </c>
      <c r="I3010" t="str">
        <f>VLOOKUP(B3010,Customers!A:G,7,FALSE)</f>
        <v>Individual</v>
      </c>
      <c r="Q3010" t="str">
        <f>IF(COUNTIF(Customers!$A$2:$A$1001,B3010)&gt;0,"Valid","Invalid")</f>
        <v>Valid</v>
      </c>
      <c r="R3010" t="str">
        <f>IF(COUNTIF(Branches!$A$2:$A$11,F3010)&gt;0,"Valid","Invalid")</f>
        <v>Valid</v>
      </c>
    </row>
    <row r="3011" spans="1:18" x14ac:dyDescent="0.25">
      <c r="A3011" t="s">
        <v>5082</v>
      </c>
      <c r="B3011" t="s">
        <v>781</v>
      </c>
      <c r="C3011" s="8">
        <v>46076</v>
      </c>
      <c r="D3011" t="s">
        <v>2062</v>
      </c>
      <c r="E3011" t="s">
        <v>2059</v>
      </c>
      <c r="F3011" t="s">
        <v>39</v>
      </c>
      <c r="G3011">
        <v>1146.53</v>
      </c>
      <c r="H3011" t="s">
        <v>2060</v>
      </c>
      <c r="I3011" t="str">
        <f>VLOOKUP(B3011,Customers!A:G,7,FALSE)</f>
        <v>SME</v>
      </c>
      <c r="Q3011" t="str">
        <f>IF(COUNTIF(Customers!$A$2:$A$1001,B3011)&gt;0,"Valid","Invalid")</f>
        <v>Valid</v>
      </c>
      <c r="R3011" t="str">
        <f>IF(COUNTIF(Branches!$A$2:$A$11,F3011)&gt;0,"Valid","Invalid")</f>
        <v>Valid</v>
      </c>
    </row>
    <row r="3012" spans="1:18" x14ac:dyDescent="0.25">
      <c r="A3012" t="s">
        <v>5083</v>
      </c>
      <c r="B3012" t="s">
        <v>778</v>
      </c>
      <c r="C3012" s="8">
        <v>46108</v>
      </c>
      <c r="D3012" t="s">
        <v>2062</v>
      </c>
      <c r="E3012" t="s">
        <v>2063</v>
      </c>
      <c r="F3012" t="s">
        <v>35</v>
      </c>
      <c r="G3012">
        <v>154.11000000000001</v>
      </c>
      <c r="H3012" t="s">
        <v>2060</v>
      </c>
      <c r="I3012" t="str">
        <f>VLOOKUP(B3012,Customers!A:G,7,FALSE)</f>
        <v>SME</v>
      </c>
      <c r="Q3012" t="str">
        <f>IF(COUNTIF(Customers!$A$2:$A$1001,B3012)&gt;0,"Valid","Invalid")</f>
        <v>Valid</v>
      </c>
      <c r="R3012" t="str">
        <f>IF(COUNTIF(Branches!$A$2:$A$11,F3012)&gt;0,"Valid","Invalid")</f>
        <v>Valid</v>
      </c>
    </row>
    <row r="3013" spans="1:18" x14ac:dyDescent="0.25">
      <c r="A3013" t="s">
        <v>5084</v>
      </c>
      <c r="B3013" t="s">
        <v>712</v>
      </c>
      <c r="C3013" s="8">
        <v>46199</v>
      </c>
      <c r="D3013" t="s">
        <v>2062</v>
      </c>
      <c r="E3013" t="s">
        <v>2063</v>
      </c>
      <c r="F3013" t="s">
        <v>35</v>
      </c>
      <c r="G3013">
        <v>647.51</v>
      </c>
      <c r="H3013" t="s">
        <v>2060</v>
      </c>
      <c r="I3013" t="str">
        <f>VLOOKUP(B3013,Customers!A:G,7,FALSE)</f>
        <v>SME</v>
      </c>
      <c r="Q3013" t="str">
        <f>IF(COUNTIF(Customers!$A$2:$A$1001,B3013)&gt;0,"Valid","Invalid")</f>
        <v>Valid</v>
      </c>
      <c r="R3013" t="str">
        <f>IF(COUNTIF(Branches!$A$2:$A$11,F3013)&gt;0,"Valid","Invalid")</f>
        <v>Valid</v>
      </c>
    </row>
    <row r="3014" spans="1:18" x14ac:dyDescent="0.25">
      <c r="A3014" t="s">
        <v>5085</v>
      </c>
      <c r="B3014" t="s">
        <v>833</v>
      </c>
      <c r="C3014" s="8">
        <v>46025</v>
      </c>
      <c r="D3014" t="s">
        <v>2067</v>
      </c>
      <c r="E3014" t="s">
        <v>2076</v>
      </c>
      <c r="F3014" t="s">
        <v>39</v>
      </c>
      <c r="G3014">
        <v>949.15</v>
      </c>
      <c r="H3014" t="s">
        <v>2060</v>
      </c>
      <c r="I3014" t="str">
        <f>VLOOKUP(B3014,Customers!A:G,7,FALSE)</f>
        <v>SME</v>
      </c>
      <c r="Q3014" t="str">
        <f>IF(COUNTIF(Customers!$A$2:$A$1001,B3014)&gt;0,"Valid","Invalid")</f>
        <v>Valid</v>
      </c>
      <c r="R3014" t="str">
        <f>IF(COUNTIF(Branches!$A$2:$A$11,F3014)&gt;0,"Valid","Invalid")</f>
        <v>Valid</v>
      </c>
    </row>
    <row r="3015" spans="1:18" x14ac:dyDescent="0.25">
      <c r="A3015" t="s">
        <v>5086</v>
      </c>
      <c r="B3015" t="s">
        <v>301</v>
      </c>
      <c r="C3015" s="8">
        <v>46242</v>
      </c>
      <c r="D3015" t="s">
        <v>2065</v>
      </c>
      <c r="E3015" t="s">
        <v>2059</v>
      </c>
      <c r="F3015" t="s">
        <v>11</v>
      </c>
      <c r="G3015">
        <v>887.09</v>
      </c>
      <c r="H3015" t="s">
        <v>2060</v>
      </c>
      <c r="I3015" t="str">
        <f>VLOOKUP(B3015,Customers!A:G,7,FALSE)</f>
        <v>Individual</v>
      </c>
      <c r="Q3015" t="str">
        <f>IF(COUNTIF(Customers!$A$2:$A$1001,B3015)&gt;0,"Valid","Invalid")</f>
        <v>Valid</v>
      </c>
      <c r="R3015" t="str">
        <f>IF(COUNTIF(Branches!$A$2:$A$11,F3015)&gt;0,"Valid","Invalid")</f>
        <v>Valid</v>
      </c>
    </row>
    <row r="3016" spans="1:18" x14ac:dyDescent="0.25">
      <c r="A3016" t="s">
        <v>5087</v>
      </c>
      <c r="B3016" t="s">
        <v>681</v>
      </c>
      <c r="C3016" s="8">
        <v>46060</v>
      </c>
      <c r="D3016" t="s">
        <v>2070</v>
      </c>
      <c r="E3016" t="s">
        <v>2076</v>
      </c>
      <c r="F3016" t="s">
        <v>39</v>
      </c>
      <c r="G3016">
        <v>718.96</v>
      </c>
      <c r="H3016" t="s">
        <v>2060</v>
      </c>
      <c r="I3016" t="str">
        <f>VLOOKUP(B3016,Customers!A:G,7,FALSE)</f>
        <v>Corporate</v>
      </c>
      <c r="Q3016" t="str">
        <f>IF(COUNTIF(Customers!$A$2:$A$1001,B3016)&gt;0,"Valid","Invalid")</f>
        <v>Valid</v>
      </c>
      <c r="R3016" t="str">
        <f>IF(COUNTIF(Branches!$A$2:$A$11,F3016)&gt;0,"Valid","Invalid")</f>
        <v>Valid</v>
      </c>
    </row>
    <row r="3017" spans="1:18" x14ac:dyDescent="0.25">
      <c r="A3017" t="s">
        <v>5088</v>
      </c>
      <c r="B3017" t="s">
        <v>981</v>
      </c>
      <c r="C3017" s="8">
        <v>46164</v>
      </c>
      <c r="D3017" t="s">
        <v>2062</v>
      </c>
      <c r="E3017" t="s">
        <v>2063</v>
      </c>
      <c r="F3017" t="s">
        <v>35</v>
      </c>
      <c r="G3017">
        <v>239.63</v>
      </c>
      <c r="H3017" t="s">
        <v>2115</v>
      </c>
      <c r="I3017" t="str">
        <f>VLOOKUP(B3017,Customers!A:G,7,FALSE)</f>
        <v>Individual</v>
      </c>
      <c r="Q3017" t="str">
        <f>IF(COUNTIF(Customers!$A$2:$A$1001,B3017)&gt;0,"Valid","Invalid")</f>
        <v>Valid</v>
      </c>
      <c r="R3017" t="str">
        <f>IF(COUNTIF(Branches!$A$2:$A$11,F3017)&gt;0,"Valid","Invalid")</f>
        <v>Valid</v>
      </c>
    </row>
    <row r="3018" spans="1:18" x14ac:dyDescent="0.25">
      <c r="A3018" t="s">
        <v>5089</v>
      </c>
      <c r="B3018" t="s">
        <v>262</v>
      </c>
      <c r="C3018" s="8">
        <v>46197</v>
      </c>
      <c r="D3018" t="s">
        <v>2062</v>
      </c>
      <c r="E3018" t="s">
        <v>2076</v>
      </c>
      <c r="F3018" t="s">
        <v>39</v>
      </c>
      <c r="G3018">
        <v>279.04000000000002</v>
      </c>
      <c r="H3018" t="s">
        <v>2060</v>
      </c>
      <c r="I3018" t="str">
        <f>VLOOKUP(B3018,Customers!A:G,7,FALSE)</f>
        <v>Individual</v>
      </c>
      <c r="Q3018" t="str">
        <f>IF(COUNTIF(Customers!$A$2:$A$1001,B3018)&gt;0,"Valid","Invalid")</f>
        <v>Valid</v>
      </c>
      <c r="R3018" t="str">
        <f>IF(COUNTIF(Branches!$A$2:$A$11,F3018)&gt;0,"Valid","Invalid")</f>
        <v>Valid</v>
      </c>
    </row>
    <row r="3019" spans="1:18" x14ac:dyDescent="0.25">
      <c r="A3019" t="s">
        <v>5090</v>
      </c>
      <c r="B3019" t="s">
        <v>296</v>
      </c>
      <c r="C3019" s="8">
        <v>46164</v>
      </c>
      <c r="D3019" t="s">
        <v>2065</v>
      </c>
      <c r="E3019" t="s">
        <v>2059</v>
      </c>
      <c r="F3019" t="s">
        <v>53</v>
      </c>
      <c r="G3019">
        <v>204.78</v>
      </c>
      <c r="H3019" t="s">
        <v>2060</v>
      </c>
      <c r="I3019" t="str">
        <f>VLOOKUP(B3019,Customers!A:G,7,FALSE)</f>
        <v>Individual</v>
      </c>
      <c r="Q3019" t="str">
        <f>IF(COUNTIF(Customers!$A$2:$A$1001,B3019)&gt;0,"Valid","Invalid")</f>
        <v>Valid</v>
      </c>
      <c r="R3019" t="str">
        <f>IF(COUNTIF(Branches!$A$2:$A$11,F3019)&gt;0,"Valid","Invalid")</f>
        <v>Valid</v>
      </c>
    </row>
    <row r="3020" spans="1:18" x14ac:dyDescent="0.25">
      <c r="A3020" t="s">
        <v>5091</v>
      </c>
      <c r="B3020" t="s">
        <v>272</v>
      </c>
      <c r="C3020" s="8">
        <v>46257</v>
      </c>
      <c r="D3020" t="s">
        <v>2067</v>
      </c>
      <c r="E3020" t="s">
        <v>2059</v>
      </c>
      <c r="F3020" t="s">
        <v>35</v>
      </c>
      <c r="G3020">
        <v>1413.81</v>
      </c>
      <c r="H3020" t="s">
        <v>2060</v>
      </c>
      <c r="I3020" t="str">
        <f>VLOOKUP(B3020,Customers!A:G,7,FALSE)</f>
        <v>Corporate</v>
      </c>
      <c r="Q3020" t="str">
        <f>IF(COUNTIF(Customers!$A$2:$A$1001,B3020)&gt;0,"Valid","Invalid")</f>
        <v>Valid</v>
      </c>
      <c r="R3020" t="str">
        <f>IF(COUNTIF(Branches!$A$2:$A$11,F3020)&gt;0,"Valid","Invalid")</f>
        <v>Valid</v>
      </c>
    </row>
    <row r="3021" spans="1:18" x14ac:dyDescent="0.25">
      <c r="A3021" t="s">
        <v>5092</v>
      </c>
      <c r="B3021" t="s">
        <v>374</v>
      </c>
      <c r="C3021" s="8">
        <v>46225</v>
      </c>
      <c r="D3021" t="s">
        <v>2062</v>
      </c>
      <c r="E3021" t="s">
        <v>2059</v>
      </c>
      <c r="F3021" t="s">
        <v>45</v>
      </c>
      <c r="G3021">
        <v>723.74</v>
      </c>
      <c r="H3021" t="s">
        <v>2060</v>
      </c>
      <c r="I3021" t="str">
        <f>VLOOKUP(B3021,Customers!A:G,7,FALSE)</f>
        <v>Individual</v>
      </c>
      <c r="Q3021" t="str">
        <f>IF(COUNTIF(Customers!$A$2:$A$1001,B3021)&gt;0,"Valid","Invalid")</f>
        <v>Valid</v>
      </c>
      <c r="R3021" t="str">
        <f>IF(COUNTIF(Branches!$A$2:$A$11,F3021)&gt;0,"Valid","Invalid")</f>
        <v>Valid</v>
      </c>
    </row>
    <row r="3022" spans="1:18" x14ac:dyDescent="0.25">
      <c r="A3022" t="s">
        <v>5093</v>
      </c>
      <c r="B3022" t="s">
        <v>447</v>
      </c>
      <c r="C3022" s="8">
        <v>46095</v>
      </c>
      <c r="D3022" t="s">
        <v>2065</v>
      </c>
      <c r="E3022" t="s">
        <v>2076</v>
      </c>
      <c r="F3022" t="s">
        <v>35</v>
      </c>
      <c r="G3022">
        <v>771.43</v>
      </c>
      <c r="H3022" t="s">
        <v>2060</v>
      </c>
      <c r="I3022" t="str">
        <f>VLOOKUP(B3022,Customers!A:G,7,FALSE)</f>
        <v>Individual</v>
      </c>
      <c r="Q3022" t="str">
        <f>IF(COUNTIF(Customers!$A$2:$A$1001,B3022)&gt;0,"Valid","Invalid")</f>
        <v>Valid</v>
      </c>
      <c r="R3022" t="str">
        <f>IF(COUNTIF(Branches!$A$2:$A$11,F3022)&gt;0,"Valid","Invalid")</f>
        <v>Valid</v>
      </c>
    </row>
    <row r="3023" spans="1:18" x14ac:dyDescent="0.25">
      <c r="A3023" t="s">
        <v>5094</v>
      </c>
      <c r="B3023" t="s">
        <v>866</v>
      </c>
      <c r="C3023" s="8">
        <v>46060</v>
      </c>
      <c r="D3023" t="s">
        <v>2058</v>
      </c>
      <c r="E3023" t="s">
        <v>2063</v>
      </c>
      <c r="F3023" t="s">
        <v>35</v>
      </c>
      <c r="G3023">
        <v>147.6</v>
      </c>
      <c r="H3023" t="s">
        <v>2115</v>
      </c>
      <c r="I3023" t="str">
        <f>VLOOKUP(B3023,Customers!A:G,7,FALSE)</f>
        <v>Individual</v>
      </c>
      <c r="Q3023" t="str">
        <f>IF(COUNTIF(Customers!$A$2:$A$1001,B3023)&gt;0,"Valid","Invalid")</f>
        <v>Valid</v>
      </c>
      <c r="R3023" t="str">
        <f>IF(COUNTIF(Branches!$A$2:$A$11,F3023)&gt;0,"Valid","Invalid")</f>
        <v>Valid</v>
      </c>
    </row>
    <row r="3024" spans="1:18" x14ac:dyDescent="0.25">
      <c r="A3024" t="s">
        <v>5095</v>
      </c>
      <c r="B3024" t="s">
        <v>1013</v>
      </c>
      <c r="C3024" s="8">
        <v>46214</v>
      </c>
      <c r="D3024" t="s">
        <v>2067</v>
      </c>
      <c r="E3024" t="s">
        <v>2068</v>
      </c>
      <c r="F3024" t="s">
        <v>11</v>
      </c>
      <c r="G3024">
        <v>785.56</v>
      </c>
      <c r="H3024" t="s">
        <v>2060</v>
      </c>
      <c r="I3024" t="str">
        <f>VLOOKUP(B3024,Customers!A:G,7,FALSE)</f>
        <v>Student</v>
      </c>
      <c r="Q3024" t="str">
        <f>IF(COUNTIF(Customers!$A$2:$A$1001,B3024)&gt;0,"Valid","Invalid")</f>
        <v>Valid</v>
      </c>
      <c r="R3024" t="str">
        <f>IF(COUNTIF(Branches!$A$2:$A$11,F3024)&gt;0,"Valid","Invalid")</f>
        <v>Valid</v>
      </c>
    </row>
    <row r="3025" spans="1:18" x14ac:dyDescent="0.25">
      <c r="A3025" t="s">
        <v>5096</v>
      </c>
      <c r="B3025" t="s">
        <v>58</v>
      </c>
      <c r="C3025" s="8">
        <v>46261</v>
      </c>
      <c r="D3025" t="s">
        <v>2065</v>
      </c>
      <c r="E3025" t="s">
        <v>2076</v>
      </c>
      <c r="F3025" t="s">
        <v>35</v>
      </c>
      <c r="G3025">
        <v>1530.94</v>
      </c>
      <c r="H3025" t="s">
        <v>2060</v>
      </c>
      <c r="I3025" t="str">
        <f>VLOOKUP(B3025,Customers!A:G,7,FALSE)</f>
        <v>Individual</v>
      </c>
      <c r="Q3025" t="str">
        <f>IF(COUNTIF(Customers!$A$2:$A$1001,B3025)&gt;0,"Valid","Invalid")</f>
        <v>Valid</v>
      </c>
      <c r="R3025" t="str">
        <f>IF(COUNTIF(Branches!$A$2:$A$11,F3025)&gt;0,"Valid","Invalid")</f>
        <v>Valid</v>
      </c>
    </row>
    <row r="3026" spans="1:18" x14ac:dyDescent="0.25">
      <c r="A3026" t="s">
        <v>5097</v>
      </c>
      <c r="B3026" t="s">
        <v>309</v>
      </c>
      <c r="C3026" s="8">
        <v>46194</v>
      </c>
      <c r="D3026" t="s">
        <v>2065</v>
      </c>
      <c r="E3026" t="s">
        <v>2063</v>
      </c>
      <c r="F3026" t="s">
        <v>27</v>
      </c>
      <c r="G3026">
        <v>128.79</v>
      </c>
      <c r="H3026" t="s">
        <v>2060</v>
      </c>
      <c r="I3026" t="str">
        <f>VLOOKUP(B3026,Customers!A:G,7,FALSE)</f>
        <v>SME</v>
      </c>
      <c r="Q3026" t="str">
        <f>IF(COUNTIF(Customers!$A$2:$A$1001,B3026)&gt;0,"Valid","Invalid")</f>
        <v>Valid</v>
      </c>
      <c r="R3026" t="str">
        <f>IF(COUNTIF(Branches!$A$2:$A$11,F3026)&gt;0,"Valid","Invalid")</f>
        <v>Valid</v>
      </c>
    </row>
    <row r="3027" spans="1:18" x14ac:dyDescent="0.25">
      <c r="A3027" t="s">
        <v>5098</v>
      </c>
      <c r="B3027" t="s">
        <v>131</v>
      </c>
      <c r="C3027" s="8">
        <v>46147</v>
      </c>
      <c r="D3027" t="s">
        <v>2067</v>
      </c>
      <c r="E3027" t="s">
        <v>2073</v>
      </c>
      <c r="F3027" t="s">
        <v>29</v>
      </c>
      <c r="G3027">
        <v>475.61</v>
      </c>
      <c r="H3027" t="s">
        <v>2060</v>
      </c>
      <c r="I3027" t="str">
        <f>VLOOKUP(B3027,Customers!A:G,7,FALSE)</f>
        <v>Individual</v>
      </c>
      <c r="Q3027" t="str">
        <f>IF(COUNTIF(Customers!$A$2:$A$1001,B3027)&gt;0,"Valid","Invalid")</f>
        <v>Valid</v>
      </c>
      <c r="R3027" t="str">
        <f>IF(COUNTIF(Branches!$A$2:$A$11,F3027)&gt;0,"Valid","Invalid")</f>
        <v>Valid</v>
      </c>
    </row>
    <row r="3028" spans="1:18" x14ac:dyDescent="0.25">
      <c r="A3028" t="s">
        <v>5099</v>
      </c>
      <c r="B3028" t="s">
        <v>178</v>
      </c>
      <c r="C3028" s="8">
        <v>46092</v>
      </c>
      <c r="D3028" t="s">
        <v>2065</v>
      </c>
      <c r="E3028" t="s">
        <v>2076</v>
      </c>
      <c r="F3028" t="s">
        <v>39</v>
      </c>
      <c r="G3028">
        <v>168.96</v>
      </c>
      <c r="H3028" t="s">
        <v>2060</v>
      </c>
      <c r="I3028" t="str">
        <f>VLOOKUP(B3028,Customers!A:G,7,FALSE)</f>
        <v>Individual</v>
      </c>
      <c r="Q3028" t="str">
        <f>IF(COUNTIF(Customers!$A$2:$A$1001,B3028)&gt;0,"Valid","Invalid")</f>
        <v>Valid</v>
      </c>
      <c r="R3028" t="str">
        <f>IF(COUNTIF(Branches!$A$2:$A$11,F3028)&gt;0,"Valid","Invalid")</f>
        <v>Valid</v>
      </c>
    </row>
    <row r="3029" spans="1:18" x14ac:dyDescent="0.25">
      <c r="A3029" t="s">
        <v>5100</v>
      </c>
      <c r="B3029" t="s">
        <v>732</v>
      </c>
      <c r="C3029" s="8">
        <v>46087</v>
      </c>
      <c r="D3029" t="s">
        <v>2058</v>
      </c>
      <c r="E3029" t="s">
        <v>2059</v>
      </c>
      <c r="F3029" t="s">
        <v>53</v>
      </c>
      <c r="G3029">
        <v>533.64</v>
      </c>
      <c r="H3029" t="s">
        <v>2060</v>
      </c>
      <c r="I3029" t="str">
        <f>VLOOKUP(B3029,Customers!A:G,7,FALSE)</f>
        <v>SME</v>
      </c>
      <c r="Q3029" t="str">
        <f>IF(COUNTIF(Customers!$A$2:$A$1001,B3029)&gt;0,"Valid","Invalid")</f>
        <v>Valid</v>
      </c>
      <c r="R3029" t="str">
        <f>IF(COUNTIF(Branches!$A$2:$A$11,F3029)&gt;0,"Valid","Invalid")</f>
        <v>Valid</v>
      </c>
    </row>
    <row r="3030" spans="1:18" x14ac:dyDescent="0.25">
      <c r="A3030" t="s">
        <v>5101</v>
      </c>
      <c r="B3030" t="s">
        <v>756</v>
      </c>
      <c r="C3030" s="8">
        <v>46047</v>
      </c>
      <c r="D3030" t="s">
        <v>2065</v>
      </c>
      <c r="E3030" t="s">
        <v>2063</v>
      </c>
      <c r="F3030" t="s">
        <v>47</v>
      </c>
      <c r="G3030">
        <v>329.97</v>
      </c>
      <c r="H3030" t="s">
        <v>2060</v>
      </c>
      <c r="I3030" t="str">
        <f>VLOOKUP(B3030,Customers!A:G,7,FALSE)</f>
        <v>Individual</v>
      </c>
      <c r="Q3030" t="str">
        <f>IF(COUNTIF(Customers!$A$2:$A$1001,B3030)&gt;0,"Valid","Invalid")</f>
        <v>Valid</v>
      </c>
      <c r="R3030" t="str">
        <f>IF(COUNTIF(Branches!$A$2:$A$11,F3030)&gt;0,"Valid","Invalid")</f>
        <v>Valid</v>
      </c>
    </row>
    <row r="3031" spans="1:18" x14ac:dyDescent="0.25">
      <c r="A3031" t="s">
        <v>5102</v>
      </c>
      <c r="B3031" t="s">
        <v>940</v>
      </c>
      <c r="C3031" s="8">
        <v>46038</v>
      </c>
      <c r="D3031" t="s">
        <v>2065</v>
      </c>
      <c r="E3031" t="s">
        <v>2059</v>
      </c>
      <c r="F3031" t="s">
        <v>16</v>
      </c>
      <c r="G3031">
        <v>1189.05</v>
      </c>
      <c r="H3031" t="s">
        <v>2060</v>
      </c>
      <c r="I3031" t="str">
        <f>VLOOKUP(B3031,Customers!A:G,7,FALSE)</f>
        <v>Individual</v>
      </c>
      <c r="Q3031" t="str">
        <f>IF(COUNTIF(Customers!$A$2:$A$1001,B3031)&gt;0,"Valid","Invalid")</f>
        <v>Valid</v>
      </c>
      <c r="R3031" t="str">
        <f>IF(COUNTIF(Branches!$A$2:$A$11,F3031)&gt;0,"Valid","Invalid")</f>
        <v>Valid</v>
      </c>
    </row>
    <row r="3032" spans="1:18" x14ac:dyDescent="0.25">
      <c r="A3032" t="s">
        <v>5103</v>
      </c>
      <c r="B3032" t="s">
        <v>1012</v>
      </c>
      <c r="C3032" s="8">
        <v>46037</v>
      </c>
      <c r="D3032" t="s">
        <v>2062</v>
      </c>
      <c r="E3032" t="s">
        <v>2063</v>
      </c>
      <c r="F3032" t="s">
        <v>29</v>
      </c>
      <c r="G3032">
        <v>962.22</v>
      </c>
      <c r="H3032" t="s">
        <v>2060</v>
      </c>
      <c r="I3032" t="str">
        <f>VLOOKUP(B3032,Customers!A:G,7,FALSE)</f>
        <v>Individual</v>
      </c>
      <c r="Q3032" t="str">
        <f>IF(COUNTIF(Customers!$A$2:$A$1001,B3032)&gt;0,"Valid","Invalid")</f>
        <v>Valid</v>
      </c>
      <c r="R3032" t="str">
        <f>IF(COUNTIF(Branches!$A$2:$A$11,F3032)&gt;0,"Valid","Invalid")</f>
        <v>Valid</v>
      </c>
    </row>
    <row r="3033" spans="1:18" x14ac:dyDescent="0.25">
      <c r="A3033" t="s">
        <v>5104</v>
      </c>
      <c r="B3033" t="s">
        <v>117</v>
      </c>
      <c r="C3033" s="8">
        <v>46248</v>
      </c>
      <c r="D3033" t="s">
        <v>2067</v>
      </c>
      <c r="E3033" t="s">
        <v>2059</v>
      </c>
      <c r="F3033" t="s">
        <v>16</v>
      </c>
      <c r="G3033">
        <v>2955.74</v>
      </c>
      <c r="H3033" t="s">
        <v>2060</v>
      </c>
      <c r="I3033" t="str">
        <f>VLOOKUP(B3033,Customers!A:G,7,FALSE)</f>
        <v>Student</v>
      </c>
      <c r="Q3033" t="str">
        <f>IF(COUNTIF(Customers!$A$2:$A$1001,B3033)&gt;0,"Valid","Invalid")</f>
        <v>Valid</v>
      </c>
      <c r="R3033" t="str">
        <f>IF(COUNTIF(Branches!$A$2:$A$11,F3033)&gt;0,"Valid","Invalid")</f>
        <v>Valid</v>
      </c>
    </row>
    <row r="3034" spans="1:18" x14ac:dyDescent="0.25">
      <c r="A3034" t="s">
        <v>5105</v>
      </c>
      <c r="B3034" t="s">
        <v>312</v>
      </c>
      <c r="C3034" s="8">
        <v>46231</v>
      </c>
      <c r="D3034" t="s">
        <v>2067</v>
      </c>
      <c r="E3034" t="s">
        <v>2059</v>
      </c>
      <c r="F3034" t="s">
        <v>29</v>
      </c>
      <c r="G3034">
        <v>769.64</v>
      </c>
      <c r="H3034" t="s">
        <v>2060</v>
      </c>
      <c r="I3034" t="str">
        <f>VLOOKUP(B3034,Customers!A:G,7,FALSE)</f>
        <v>SME</v>
      </c>
      <c r="Q3034" t="str">
        <f>IF(COUNTIF(Customers!$A$2:$A$1001,B3034)&gt;0,"Valid","Invalid")</f>
        <v>Valid</v>
      </c>
      <c r="R3034" t="str">
        <f>IF(COUNTIF(Branches!$A$2:$A$11,F3034)&gt;0,"Valid","Invalid")</f>
        <v>Valid</v>
      </c>
    </row>
    <row r="3035" spans="1:18" x14ac:dyDescent="0.25">
      <c r="A3035" t="s">
        <v>5106</v>
      </c>
      <c r="B3035" t="s">
        <v>314</v>
      </c>
      <c r="C3035" s="8">
        <v>46153</v>
      </c>
      <c r="D3035" t="s">
        <v>2062</v>
      </c>
      <c r="E3035" t="s">
        <v>2076</v>
      </c>
      <c r="F3035" t="s">
        <v>11</v>
      </c>
      <c r="G3035">
        <v>1139.6600000000001</v>
      </c>
      <c r="H3035" t="s">
        <v>2060</v>
      </c>
      <c r="I3035" t="str">
        <f>VLOOKUP(B3035,Customers!A:G,7,FALSE)</f>
        <v>Corporate</v>
      </c>
      <c r="Q3035" t="str">
        <f>IF(COUNTIF(Customers!$A$2:$A$1001,B3035)&gt;0,"Valid","Invalid")</f>
        <v>Valid</v>
      </c>
      <c r="R3035" t="str">
        <f>IF(COUNTIF(Branches!$A$2:$A$11,F3035)&gt;0,"Valid","Invalid")</f>
        <v>Valid</v>
      </c>
    </row>
    <row r="3036" spans="1:18" x14ac:dyDescent="0.25">
      <c r="A3036" t="s">
        <v>5107</v>
      </c>
      <c r="B3036" t="s">
        <v>921</v>
      </c>
      <c r="C3036" s="8">
        <v>46217</v>
      </c>
      <c r="D3036" t="s">
        <v>2062</v>
      </c>
      <c r="E3036" t="s">
        <v>2063</v>
      </c>
      <c r="F3036" t="s">
        <v>53</v>
      </c>
      <c r="G3036">
        <v>465.12</v>
      </c>
      <c r="H3036" t="s">
        <v>2060</v>
      </c>
      <c r="I3036" t="str">
        <f>VLOOKUP(B3036,Customers!A:G,7,FALSE)</f>
        <v>Individual</v>
      </c>
      <c r="Q3036" t="str">
        <f>IF(COUNTIF(Customers!$A$2:$A$1001,B3036)&gt;0,"Valid","Invalid")</f>
        <v>Valid</v>
      </c>
      <c r="R3036" t="str">
        <f>IF(COUNTIF(Branches!$A$2:$A$11,F3036)&gt;0,"Valid","Invalid")</f>
        <v>Valid</v>
      </c>
    </row>
    <row r="3037" spans="1:18" x14ac:dyDescent="0.25">
      <c r="A3037" t="s">
        <v>5108</v>
      </c>
      <c r="B3037" t="s">
        <v>996</v>
      </c>
      <c r="C3037" s="8">
        <v>46059</v>
      </c>
      <c r="D3037" t="s">
        <v>2065</v>
      </c>
      <c r="E3037" t="s">
        <v>2068</v>
      </c>
      <c r="F3037" t="s">
        <v>21</v>
      </c>
      <c r="G3037">
        <v>269.60000000000002</v>
      </c>
      <c r="H3037" t="s">
        <v>2060</v>
      </c>
      <c r="I3037" t="str">
        <f>VLOOKUP(B3037,Customers!A:G,7,FALSE)</f>
        <v>Corporate</v>
      </c>
      <c r="Q3037" t="str">
        <f>IF(COUNTIF(Customers!$A$2:$A$1001,B3037)&gt;0,"Valid","Invalid")</f>
        <v>Valid</v>
      </c>
      <c r="R3037" t="str">
        <f>IF(COUNTIF(Branches!$A$2:$A$11,F3037)&gt;0,"Valid","Invalid")</f>
        <v>Valid</v>
      </c>
    </row>
    <row r="3038" spans="1:18" x14ac:dyDescent="0.25">
      <c r="A3038" t="s">
        <v>5109</v>
      </c>
      <c r="B3038" t="s">
        <v>503</v>
      </c>
      <c r="C3038" s="8">
        <v>46231</v>
      </c>
      <c r="D3038" t="s">
        <v>2067</v>
      </c>
      <c r="E3038" t="s">
        <v>2063</v>
      </c>
      <c r="F3038" t="s">
        <v>47</v>
      </c>
      <c r="G3038">
        <v>1872</v>
      </c>
      <c r="H3038" t="s">
        <v>2060</v>
      </c>
      <c r="I3038" t="str">
        <f>VLOOKUP(B3038,Customers!A:G,7,FALSE)</f>
        <v>SME</v>
      </c>
      <c r="Q3038" t="str">
        <f>IF(COUNTIF(Customers!$A$2:$A$1001,B3038)&gt;0,"Valid","Invalid")</f>
        <v>Valid</v>
      </c>
      <c r="R3038" t="str">
        <f>IF(COUNTIF(Branches!$A$2:$A$11,F3038)&gt;0,"Valid","Invalid")</f>
        <v>Valid</v>
      </c>
    </row>
    <row r="3039" spans="1:18" x14ac:dyDescent="0.25">
      <c r="A3039" t="s">
        <v>5110</v>
      </c>
      <c r="B3039" t="s">
        <v>245</v>
      </c>
      <c r="C3039" s="8">
        <v>46205</v>
      </c>
      <c r="D3039" t="s">
        <v>2058</v>
      </c>
      <c r="E3039" t="s">
        <v>2059</v>
      </c>
      <c r="F3039" t="s">
        <v>16</v>
      </c>
      <c r="G3039">
        <v>2816.51</v>
      </c>
      <c r="H3039" t="s">
        <v>2060</v>
      </c>
      <c r="I3039" t="str">
        <f>VLOOKUP(B3039,Customers!A:G,7,FALSE)</f>
        <v>Individual</v>
      </c>
      <c r="Q3039" t="str">
        <f>IF(COUNTIF(Customers!$A$2:$A$1001,B3039)&gt;0,"Valid","Invalid")</f>
        <v>Valid</v>
      </c>
      <c r="R3039" t="str">
        <f>IF(COUNTIF(Branches!$A$2:$A$11,F3039)&gt;0,"Valid","Invalid")</f>
        <v>Valid</v>
      </c>
    </row>
    <row r="3040" spans="1:18" x14ac:dyDescent="0.25">
      <c r="A3040" t="s">
        <v>5111</v>
      </c>
      <c r="B3040" t="s">
        <v>334</v>
      </c>
      <c r="C3040" s="8">
        <v>46147</v>
      </c>
      <c r="D3040" t="s">
        <v>2067</v>
      </c>
      <c r="E3040" t="s">
        <v>2068</v>
      </c>
      <c r="F3040" t="s">
        <v>21</v>
      </c>
      <c r="G3040">
        <v>1645.26</v>
      </c>
      <c r="H3040" t="s">
        <v>2060</v>
      </c>
      <c r="I3040" t="str">
        <f>VLOOKUP(B3040,Customers!A:G,7,FALSE)</f>
        <v>Individual</v>
      </c>
      <c r="Q3040" t="str">
        <f>IF(COUNTIF(Customers!$A$2:$A$1001,B3040)&gt;0,"Valid","Invalid")</f>
        <v>Valid</v>
      </c>
      <c r="R3040" t="str">
        <f>IF(COUNTIF(Branches!$A$2:$A$11,F3040)&gt;0,"Valid","Invalid")</f>
        <v>Valid</v>
      </c>
    </row>
    <row r="3041" spans="1:18" x14ac:dyDescent="0.25">
      <c r="A3041" t="s">
        <v>5112</v>
      </c>
      <c r="B3041" t="s">
        <v>73</v>
      </c>
      <c r="C3041" s="8">
        <v>46135</v>
      </c>
      <c r="D3041" t="s">
        <v>2062</v>
      </c>
      <c r="E3041" t="s">
        <v>2076</v>
      </c>
      <c r="F3041" t="s">
        <v>45</v>
      </c>
      <c r="G3041">
        <v>926.33</v>
      </c>
      <c r="H3041" t="s">
        <v>2060</v>
      </c>
      <c r="I3041" t="str">
        <f>VLOOKUP(B3041,Customers!A:G,7,FALSE)</f>
        <v>Individual</v>
      </c>
      <c r="Q3041" t="str">
        <f>IF(COUNTIF(Customers!$A$2:$A$1001,B3041)&gt;0,"Valid","Invalid")</f>
        <v>Valid</v>
      </c>
      <c r="R3041" t="str">
        <f>IF(COUNTIF(Branches!$A$2:$A$11,F3041)&gt;0,"Valid","Invalid")</f>
        <v>Valid</v>
      </c>
    </row>
    <row r="3042" spans="1:18" x14ac:dyDescent="0.25">
      <c r="A3042" t="s">
        <v>5113</v>
      </c>
      <c r="B3042" t="s">
        <v>986</v>
      </c>
      <c r="C3042" s="8">
        <v>46188</v>
      </c>
      <c r="D3042" t="s">
        <v>2070</v>
      </c>
      <c r="E3042" t="s">
        <v>2063</v>
      </c>
      <c r="F3042" t="s">
        <v>29</v>
      </c>
      <c r="G3042">
        <v>306.70999999999998</v>
      </c>
      <c r="H3042" t="s">
        <v>2060</v>
      </c>
      <c r="I3042" t="str">
        <f>VLOOKUP(B3042,Customers!A:G,7,FALSE)</f>
        <v>Individual</v>
      </c>
      <c r="Q3042" t="str">
        <f>IF(COUNTIF(Customers!$A$2:$A$1001,B3042)&gt;0,"Valid","Invalid")</f>
        <v>Valid</v>
      </c>
      <c r="R3042" t="str">
        <f>IF(COUNTIF(Branches!$A$2:$A$11,F3042)&gt;0,"Valid","Invalid")</f>
        <v>Valid</v>
      </c>
    </row>
    <row r="3043" spans="1:18" x14ac:dyDescent="0.25">
      <c r="A3043" t="s">
        <v>5114</v>
      </c>
      <c r="B3043" t="s">
        <v>326</v>
      </c>
      <c r="C3043" s="8">
        <v>46213</v>
      </c>
      <c r="D3043" t="s">
        <v>2070</v>
      </c>
      <c r="E3043" t="s">
        <v>2059</v>
      </c>
      <c r="F3043" t="s">
        <v>53</v>
      </c>
      <c r="G3043">
        <v>2544.34</v>
      </c>
      <c r="H3043" t="s">
        <v>2060</v>
      </c>
      <c r="I3043" t="str">
        <f>VLOOKUP(B3043,Customers!A:G,7,FALSE)</f>
        <v>Student</v>
      </c>
      <c r="Q3043" t="str">
        <f>IF(COUNTIF(Customers!$A$2:$A$1001,B3043)&gt;0,"Valid","Invalid")</f>
        <v>Valid</v>
      </c>
      <c r="R3043" t="str">
        <f>IF(COUNTIF(Branches!$A$2:$A$11,F3043)&gt;0,"Valid","Invalid")</f>
        <v>Valid</v>
      </c>
    </row>
    <row r="3044" spans="1:18" x14ac:dyDescent="0.25">
      <c r="A3044" t="s">
        <v>5115</v>
      </c>
      <c r="B3044" t="s">
        <v>160</v>
      </c>
      <c r="C3044" s="8">
        <v>46023</v>
      </c>
      <c r="D3044" t="s">
        <v>2065</v>
      </c>
      <c r="E3044" t="s">
        <v>2063</v>
      </c>
      <c r="F3044" t="s">
        <v>16</v>
      </c>
      <c r="G3044">
        <v>1450.28</v>
      </c>
      <c r="H3044" t="s">
        <v>2060</v>
      </c>
      <c r="I3044" t="str">
        <f>VLOOKUP(B3044,Customers!A:G,7,FALSE)</f>
        <v>Individual</v>
      </c>
      <c r="Q3044" t="str">
        <f>IF(COUNTIF(Customers!$A$2:$A$1001,B3044)&gt;0,"Valid","Invalid")</f>
        <v>Valid</v>
      </c>
      <c r="R3044" t="str">
        <f>IF(COUNTIF(Branches!$A$2:$A$11,F3044)&gt;0,"Valid","Invalid")</f>
        <v>Valid</v>
      </c>
    </row>
    <row r="3045" spans="1:18" x14ac:dyDescent="0.25">
      <c r="A3045" t="s">
        <v>5116</v>
      </c>
      <c r="B3045" t="s">
        <v>914</v>
      </c>
      <c r="C3045" s="8">
        <v>46093</v>
      </c>
      <c r="D3045" t="s">
        <v>2065</v>
      </c>
      <c r="E3045" t="s">
        <v>2076</v>
      </c>
      <c r="F3045" t="s">
        <v>47</v>
      </c>
      <c r="G3045">
        <v>6154.13</v>
      </c>
      <c r="H3045" t="s">
        <v>2060</v>
      </c>
      <c r="I3045" t="str">
        <f>VLOOKUP(B3045,Customers!A:G,7,FALSE)</f>
        <v>SME</v>
      </c>
      <c r="Q3045" t="str">
        <f>IF(COUNTIF(Customers!$A$2:$A$1001,B3045)&gt;0,"Valid","Invalid")</f>
        <v>Valid</v>
      </c>
      <c r="R3045" t="str">
        <f>IF(COUNTIF(Branches!$A$2:$A$11,F3045)&gt;0,"Valid","Invalid")</f>
        <v>Valid</v>
      </c>
    </row>
    <row r="3046" spans="1:18" x14ac:dyDescent="0.25">
      <c r="A3046" t="s">
        <v>5117</v>
      </c>
      <c r="B3046" t="s">
        <v>1007</v>
      </c>
      <c r="C3046" s="8">
        <v>46240</v>
      </c>
      <c r="D3046" t="s">
        <v>2070</v>
      </c>
      <c r="E3046" t="s">
        <v>2063</v>
      </c>
      <c r="F3046" t="s">
        <v>29</v>
      </c>
      <c r="G3046">
        <v>256.10000000000002</v>
      </c>
      <c r="H3046" t="s">
        <v>2060</v>
      </c>
      <c r="I3046" t="str">
        <f>VLOOKUP(B3046,Customers!A:G,7,FALSE)</f>
        <v>Individual</v>
      </c>
      <c r="Q3046" t="str">
        <f>IF(COUNTIF(Customers!$A$2:$A$1001,B3046)&gt;0,"Valid","Invalid")</f>
        <v>Valid</v>
      </c>
      <c r="R3046" t="str">
        <f>IF(COUNTIF(Branches!$A$2:$A$11,F3046)&gt;0,"Valid","Invalid")</f>
        <v>Valid</v>
      </c>
    </row>
    <row r="3047" spans="1:18" x14ac:dyDescent="0.25">
      <c r="A3047" t="s">
        <v>5118</v>
      </c>
      <c r="B3047" t="s">
        <v>321</v>
      </c>
      <c r="C3047" s="8">
        <v>46261</v>
      </c>
      <c r="D3047" t="s">
        <v>2067</v>
      </c>
      <c r="E3047" t="s">
        <v>2076</v>
      </c>
      <c r="F3047" t="s">
        <v>53</v>
      </c>
      <c r="G3047">
        <v>1924.78</v>
      </c>
      <c r="H3047" t="s">
        <v>2060</v>
      </c>
      <c r="I3047" t="str">
        <f>VLOOKUP(B3047,Customers!A:G,7,FALSE)</f>
        <v>SME</v>
      </c>
      <c r="Q3047" t="str">
        <f>IF(COUNTIF(Customers!$A$2:$A$1001,B3047)&gt;0,"Valid","Invalid")</f>
        <v>Valid</v>
      </c>
      <c r="R3047" t="str">
        <f>IF(COUNTIF(Branches!$A$2:$A$11,F3047)&gt;0,"Valid","Invalid")</f>
        <v>Valid</v>
      </c>
    </row>
    <row r="3048" spans="1:18" x14ac:dyDescent="0.25">
      <c r="A3048" t="s">
        <v>5119</v>
      </c>
      <c r="B3048" t="s">
        <v>916</v>
      </c>
      <c r="C3048" s="8">
        <v>46125</v>
      </c>
      <c r="D3048" t="s">
        <v>2065</v>
      </c>
      <c r="E3048" t="s">
        <v>2059</v>
      </c>
      <c r="F3048" t="s">
        <v>16</v>
      </c>
      <c r="G3048">
        <v>1406.85</v>
      </c>
      <c r="H3048" t="s">
        <v>2060</v>
      </c>
      <c r="I3048" t="str">
        <f>VLOOKUP(B3048,Customers!A:G,7,FALSE)</f>
        <v>Individual</v>
      </c>
      <c r="Q3048" t="str">
        <f>IF(COUNTIF(Customers!$A$2:$A$1001,B3048)&gt;0,"Valid","Invalid")</f>
        <v>Valid</v>
      </c>
      <c r="R3048" t="str">
        <f>IF(COUNTIF(Branches!$A$2:$A$11,F3048)&gt;0,"Valid","Invalid")</f>
        <v>Valid</v>
      </c>
    </row>
    <row r="3049" spans="1:18" x14ac:dyDescent="0.25">
      <c r="A3049" t="s">
        <v>5120</v>
      </c>
      <c r="B3049" t="s">
        <v>217</v>
      </c>
      <c r="C3049" s="8">
        <v>46041</v>
      </c>
      <c r="D3049" t="s">
        <v>2062</v>
      </c>
      <c r="E3049" t="s">
        <v>2063</v>
      </c>
      <c r="F3049" t="s">
        <v>53</v>
      </c>
      <c r="G3049">
        <v>577.08000000000004</v>
      </c>
      <c r="H3049" t="s">
        <v>2060</v>
      </c>
      <c r="I3049" t="str">
        <f>VLOOKUP(B3049,Customers!A:G,7,FALSE)</f>
        <v>Individual</v>
      </c>
      <c r="Q3049" t="str">
        <f>IF(COUNTIF(Customers!$A$2:$A$1001,B3049)&gt;0,"Valid","Invalid")</f>
        <v>Valid</v>
      </c>
      <c r="R3049" t="str">
        <f>IF(COUNTIF(Branches!$A$2:$A$11,F3049)&gt;0,"Valid","Invalid")</f>
        <v>Valid</v>
      </c>
    </row>
    <row r="3050" spans="1:18" x14ac:dyDescent="0.25">
      <c r="A3050" t="s">
        <v>5121</v>
      </c>
      <c r="B3050" t="s">
        <v>133</v>
      </c>
      <c r="C3050" s="8">
        <v>46074</v>
      </c>
      <c r="D3050" t="s">
        <v>2067</v>
      </c>
      <c r="E3050" t="s">
        <v>2063</v>
      </c>
      <c r="F3050" t="s">
        <v>11</v>
      </c>
      <c r="G3050">
        <v>3177.45</v>
      </c>
      <c r="H3050" t="s">
        <v>2115</v>
      </c>
      <c r="I3050" t="str">
        <f>VLOOKUP(B3050,Customers!A:G,7,FALSE)</f>
        <v>SME</v>
      </c>
      <c r="Q3050" t="str">
        <f>IF(COUNTIF(Customers!$A$2:$A$1001,B3050)&gt;0,"Valid","Invalid")</f>
        <v>Valid</v>
      </c>
      <c r="R3050" t="str">
        <f>IF(COUNTIF(Branches!$A$2:$A$11,F3050)&gt;0,"Valid","Invalid")</f>
        <v>Valid</v>
      </c>
    </row>
    <row r="3051" spans="1:18" x14ac:dyDescent="0.25">
      <c r="A3051" t="s">
        <v>5122</v>
      </c>
      <c r="B3051" t="s">
        <v>228</v>
      </c>
      <c r="C3051" s="8">
        <v>46140</v>
      </c>
      <c r="D3051" t="s">
        <v>2065</v>
      </c>
      <c r="E3051" t="s">
        <v>2063</v>
      </c>
      <c r="F3051" t="s">
        <v>39</v>
      </c>
      <c r="G3051">
        <v>1214.81</v>
      </c>
      <c r="H3051" t="s">
        <v>2060</v>
      </c>
      <c r="I3051" t="str">
        <f>VLOOKUP(B3051,Customers!A:G,7,FALSE)</f>
        <v>SME</v>
      </c>
      <c r="Q3051" t="str">
        <f>IF(COUNTIF(Customers!$A$2:$A$1001,B3051)&gt;0,"Valid","Invalid")</f>
        <v>Valid</v>
      </c>
      <c r="R3051" t="str">
        <f>IF(COUNTIF(Branches!$A$2:$A$11,F3051)&gt;0,"Valid","Invalid")</f>
        <v>Valid</v>
      </c>
    </row>
    <row r="3052" spans="1:18" x14ac:dyDescent="0.25">
      <c r="A3052" t="s">
        <v>5123</v>
      </c>
      <c r="B3052" t="s">
        <v>110</v>
      </c>
      <c r="C3052" s="8">
        <v>46180</v>
      </c>
      <c r="D3052" t="s">
        <v>2062</v>
      </c>
      <c r="E3052" t="s">
        <v>2059</v>
      </c>
      <c r="F3052" t="s">
        <v>16</v>
      </c>
      <c r="G3052">
        <v>318.33999999999997</v>
      </c>
      <c r="H3052" t="s">
        <v>2060</v>
      </c>
      <c r="I3052" t="str">
        <f>VLOOKUP(B3052,Customers!A:G,7,FALSE)</f>
        <v>Individual</v>
      </c>
      <c r="Q3052" t="str">
        <f>IF(COUNTIF(Customers!$A$2:$A$1001,B3052)&gt;0,"Valid","Invalid")</f>
        <v>Valid</v>
      </c>
      <c r="R3052" t="str">
        <f>IF(COUNTIF(Branches!$A$2:$A$11,F3052)&gt;0,"Valid","Invalid")</f>
        <v>Valid</v>
      </c>
    </row>
    <row r="3053" spans="1:18" x14ac:dyDescent="0.25">
      <c r="A3053" t="s">
        <v>5124</v>
      </c>
      <c r="B3053" t="s">
        <v>485</v>
      </c>
      <c r="C3053" s="8">
        <v>46129</v>
      </c>
      <c r="D3053" t="s">
        <v>2065</v>
      </c>
      <c r="E3053" t="s">
        <v>2059</v>
      </c>
      <c r="F3053" t="s">
        <v>29</v>
      </c>
      <c r="G3053">
        <v>721.74</v>
      </c>
      <c r="H3053" t="s">
        <v>2060</v>
      </c>
      <c r="I3053" t="str">
        <f>VLOOKUP(B3053,Customers!A:G,7,FALSE)</f>
        <v>Student</v>
      </c>
      <c r="Q3053" t="str">
        <f>IF(COUNTIF(Customers!$A$2:$A$1001,B3053)&gt;0,"Valid","Invalid")</f>
        <v>Valid</v>
      </c>
      <c r="R3053" t="str">
        <f>IF(COUNTIF(Branches!$A$2:$A$11,F3053)&gt;0,"Valid","Invalid")</f>
        <v>Valid</v>
      </c>
    </row>
    <row r="3054" spans="1:18" x14ac:dyDescent="0.25">
      <c r="A3054" t="s">
        <v>5125</v>
      </c>
      <c r="B3054" t="s">
        <v>823</v>
      </c>
      <c r="C3054" s="8">
        <v>46077</v>
      </c>
      <c r="D3054" t="s">
        <v>2065</v>
      </c>
      <c r="E3054" t="s">
        <v>2059</v>
      </c>
      <c r="F3054" t="s">
        <v>29</v>
      </c>
      <c r="G3054">
        <v>314.55</v>
      </c>
      <c r="H3054" t="s">
        <v>2060</v>
      </c>
      <c r="I3054" t="str">
        <f>VLOOKUP(B3054,Customers!A:G,7,FALSE)</f>
        <v>Individual</v>
      </c>
      <c r="Q3054" t="str">
        <f>IF(COUNTIF(Customers!$A$2:$A$1001,B3054)&gt;0,"Valid","Invalid")</f>
        <v>Valid</v>
      </c>
      <c r="R3054" t="str">
        <f>IF(COUNTIF(Branches!$A$2:$A$11,F3054)&gt;0,"Valid","Invalid")</f>
        <v>Valid</v>
      </c>
    </row>
    <row r="3055" spans="1:18" x14ac:dyDescent="0.25">
      <c r="A3055" t="s">
        <v>5126</v>
      </c>
      <c r="B3055" t="s">
        <v>535</v>
      </c>
      <c r="C3055" s="8">
        <v>46036</v>
      </c>
      <c r="D3055" t="s">
        <v>2065</v>
      </c>
      <c r="E3055" t="s">
        <v>2068</v>
      </c>
      <c r="F3055" t="s">
        <v>29</v>
      </c>
      <c r="G3055">
        <v>508.51</v>
      </c>
      <c r="H3055" t="s">
        <v>2060</v>
      </c>
      <c r="I3055" t="str">
        <f>VLOOKUP(B3055,Customers!A:G,7,FALSE)</f>
        <v>SME</v>
      </c>
      <c r="Q3055" t="str">
        <f>IF(COUNTIF(Customers!$A$2:$A$1001,B3055)&gt;0,"Valid","Invalid")</f>
        <v>Valid</v>
      </c>
      <c r="R3055" t="str">
        <f>IF(COUNTIF(Branches!$A$2:$A$11,F3055)&gt;0,"Valid","Invalid")</f>
        <v>Valid</v>
      </c>
    </row>
    <row r="3056" spans="1:18" x14ac:dyDescent="0.25">
      <c r="A3056" t="s">
        <v>5127</v>
      </c>
      <c r="B3056" t="s">
        <v>599</v>
      </c>
      <c r="C3056" s="8">
        <v>46035</v>
      </c>
      <c r="D3056" t="s">
        <v>2058</v>
      </c>
      <c r="E3056" t="s">
        <v>2063</v>
      </c>
      <c r="F3056" t="s">
        <v>29</v>
      </c>
      <c r="G3056">
        <v>1642.26</v>
      </c>
      <c r="H3056" t="s">
        <v>2060</v>
      </c>
      <c r="I3056" t="str">
        <f>VLOOKUP(B3056,Customers!A:G,7,FALSE)</f>
        <v>Individual</v>
      </c>
      <c r="Q3056" t="str">
        <f>IF(COUNTIF(Customers!$A$2:$A$1001,B3056)&gt;0,"Valid","Invalid")</f>
        <v>Valid</v>
      </c>
      <c r="R3056" t="str">
        <f>IF(COUNTIF(Branches!$A$2:$A$11,F3056)&gt;0,"Valid","Invalid")</f>
        <v>Valid</v>
      </c>
    </row>
    <row r="3057" spans="1:18" x14ac:dyDescent="0.25">
      <c r="A3057" t="s">
        <v>5128</v>
      </c>
      <c r="B3057" t="s">
        <v>522</v>
      </c>
      <c r="C3057" s="8">
        <v>46106</v>
      </c>
      <c r="D3057" t="s">
        <v>2065</v>
      </c>
      <c r="E3057" t="s">
        <v>2073</v>
      </c>
      <c r="F3057" t="s">
        <v>11</v>
      </c>
      <c r="G3057">
        <v>2184.79</v>
      </c>
      <c r="H3057" t="s">
        <v>2060</v>
      </c>
      <c r="I3057" t="str">
        <f>VLOOKUP(B3057,Customers!A:G,7,FALSE)</f>
        <v>Individual</v>
      </c>
      <c r="Q3057" t="str">
        <f>IF(COUNTIF(Customers!$A$2:$A$1001,B3057)&gt;0,"Valid","Invalid")</f>
        <v>Valid</v>
      </c>
      <c r="R3057" t="str">
        <f>IF(COUNTIF(Branches!$A$2:$A$11,F3057)&gt;0,"Valid","Invalid")</f>
        <v>Valid</v>
      </c>
    </row>
    <row r="3058" spans="1:18" x14ac:dyDescent="0.25">
      <c r="A3058" t="s">
        <v>5129</v>
      </c>
      <c r="B3058" t="s">
        <v>887</v>
      </c>
      <c r="C3058" s="8">
        <v>46112</v>
      </c>
      <c r="D3058" t="s">
        <v>2067</v>
      </c>
      <c r="E3058" t="s">
        <v>2059</v>
      </c>
      <c r="F3058" t="s">
        <v>47</v>
      </c>
      <c r="G3058">
        <v>1013.55</v>
      </c>
      <c r="H3058" t="s">
        <v>2060</v>
      </c>
      <c r="I3058" t="str">
        <f>VLOOKUP(B3058,Customers!A:G,7,FALSE)</f>
        <v>Individual</v>
      </c>
      <c r="Q3058" t="str">
        <f>IF(COUNTIF(Customers!$A$2:$A$1001,B3058)&gt;0,"Valid","Invalid")</f>
        <v>Valid</v>
      </c>
      <c r="R3058" t="str">
        <f>IF(COUNTIF(Branches!$A$2:$A$11,F3058)&gt;0,"Valid","Invalid")</f>
        <v>Valid</v>
      </c>
    </row>
    <row r="3059" spans="1:18" x14ac:dyDescent="0.25">
      <c r="A3059" t="s">
        <v>5130</v>
      </c>
      <c r="B3059" t="s">
        <v>760</v>
      </c>
      <c r="C3059" s="8">
        <v>46049</v>
      </c>
      <c r="D3059" t="s">
        <v>2058</v>
      </c>
      <c r="E3059" t="s">
        <v>2063</v>
      </c>
      <c r="F3059" t="s">
        <v>27</v>
      </c>
      <c r="G3059">
        <v>383.72</v>
      </c>
      <c r="H3059" t="s">
        <v>2060</v>
      </c>
      <c r="I3059" t="str">
        <f>VLOOKUP(B3059,Customers!A:G,7,FALSE)</f>
        <v>Individual</v>
      </c>
      <c r="Q3059" t="str">
        <f>IF(COUNTIF(Customers!$A$2:$A$1001,B3059)&gt;0,"Valid","Invalid")</f>
        <v>Valid</v>
      </c>
      <c r="R3059" t="str">
        <f>IF(COUNTIF(Branches!$A$2:$A$11,F3059)&gt;0,"Valid","Invalid")</f>
        <v>Valid</v>
      </c>
    </row>
    <row r="3060" spans="1:18" x14ac:dyDescent="0.25">
      <c r="A3060" t="s">
        <v>5131</v>
      </c>
      <c r="B3060" t="s">
        <v>152</v>
      </c>
      <c r="C3060" s="8">
        <v>46111</v>
      </c>
      <c r="D3060" t="s">
        <v>2062</v>
      </c>
      <c r="E3060" t="s">
        <v>2076</v>
      </c>
      <c r="F3060" t="s">
        <v>11</v>
      </c>
      <c r="G3060">
        <v>1189.8800000000001</v>
      </c>
      <c r="H3060" t="s">
        <v>2060</v>
      </c>
      <c r="I3060" t="str">
        <f>VLOOKUP(B3060,Customers!A:G,7,FALSE)</f>
        <v>Individual</v>
      </c>
      <c r="Q3060" t="str">
        <f>IF(COUNTIF(Customers!$A$2:$A$1001,B3060)&gt;0,"Valid","Invalid")</f>
        <v>Valid</v>
      </c>
      <c r="R3060" t="str">
        <f>IF(COUNTIF(Branches!$A$2:$A$11,F3060)&gt;0,"Valid","Invalid")</f>
        <v>Valid</v>
      </c>
    </row>
    <row r="3061" spans="1:18" x14ac:dyDescent="0.25">
      <c r="A3061" t="s">
        <v>5132</v>
      </c>
      <c r="B3061" t="s">
        <v>573</v>
      </c>
      <c r="C3061" s="8">
        <v>46159</v>
      </c>
      <c r="D3061" t="s">
        <v>2065</v>
      </c>
      <c r="E3061" t="s">
        <v>2068</v>
      </c>
      <c r="F3061" t="s">
        <v>11</v>
      </c>
      <c r="G3061">
        <v>1674.72</v>
      </c>
      <c r="H3061" t="s">
        <v>2060</v>
      </c>
      <c r="I3061" t="str">
        <f>VLOOKUP(B3061,Customers!A:G,7,FALSE)</f>
        <v>Individual</v>
      </c>
      <c r="Q3061" t="str">
        <f>IF(COUNTIF(Customers!$A$2:$A$1001,B3061)&gt;0,"Valid","Invalid")</f>
        <v>Valid</v>
      </c>
      <c r="R3061" t="str">
        <f>IF(COUNTIF(Branches!$A$2:$A$11,F3061)&gt;0,"Valid","Invalid")</f>
        <v>Valid</v>
      </c>
    </row>
    <row r="3062" spans="1:18" x14ac:dyDescent="0.25">
      <c r="A3062" t="s">
        <v>5133</v>
      </c>
      <c r="B3062" t="s">
        <v>134</v>
      </c>
      <c r="C3062" s="8">
        <v>46063</v>
      </c>
      <c r="D3062" t="s">
        <v>2062</v>
      </c>
      <c r="E3062" t="s">
        <v>2059</v>
      </c>
      <c r="F3062" t="s">
        <v>16</v>
      </c>
      <c r="G3062">
        <v>113.06</v>
      </c>
      <c r="H3062" t="s">
        <v>2060</v>
      </c>
      <c r="I3062" t="str">
        <f>VLOOKUP(B3062,Customers!A:G,7,FALSE)</f>
        <v>Individual</v>
      </c>
      <c r="Q3062" t="str">
        <f>IF(COUNTIF(Customers!$A$2:$A$1001,B3062)&gt;0,"Valid","Invalid")</f>
        <v>Valid</v>
      </c>
      <c r="R3062" t="str">
        <f>IF(COUNTIF(Branches!$A$2:$A$11,F3062)&gt;0,"Valid","Invalid")</f>
        <v>Valid</v>
      </c>
    </row>
    <row r="3063" spans="1:18" x14ac:dyDescent="0.25">
      <c r="A3063" t="s">
        <v>5134</v>
      </c>
      <c r="B3063" t="s">
        <v>366</v>
      </c>
      <c r="C3063" s="8">
        <v>46070</v>
      </c>
      <c r="D3063" t="s">
        <v>2065</v>
      </c>
      <c r="E3063" t="s">
        <v>2076</v>
      </c>
      <c r="F3063" t="s">
        <v>29</v>
      </c>
      <c r="G3063">
        <v>912.77</v>
      </c>
      <c r="H3063" t="s">
        <v>2060</v>
      </c>
      <c r="I3063" t="str">
        <f>VLOOKUP(B3063,Customers!A:G,7,FALSE)</f>
        <v>Corporate</v>
      </c>
      <c r="Q3063" t="str">
        <f>IF(COUNTIF(Customers!$A$2:$A$1001,B3063)&gt;0,"Valid","Invalid")</f>
        <v>Valid</v>
      </c>
      <c r="R3063" t="str">
        <f>IF(COUNTIF(Branches!$A$2:$A$11,F3063)&gt;0,"Valid","Invalid")</f>
        <v>Valid</v>
      </c>
    </row>
    <row r="3064" spans="1:18" x14ac:dyDescent="0.25">
      <c r="A3064" t="s">
        <v>5135</v>
      </c>
      <c r="B3064" t="s">
        <v>947</v>
      </c>
      <c r="C3064" s="8">
        <v>46034</v>
      </c>
      <c r="D3064" t="s">
        <v>2058</v>
      </c>
      <c r="E3064" t="s">
        <v>2068</v>
      </c>
      <c r="F3064" t="s">
        <v>11</v>
      </c>
      <c r="G3064">
        <v>671.7</v>
      </c>
      <c r="H3064" t="s">
        <v>2060</v>
      </c>
      <c r="I3064" t="str">
        <f>VLOOKUP(B3064,Customers!A:G,7,FALSE)</f>
        <v>Individual</v>
      </c>
      <c r="Q3064" t="str">
        <f>IF(COUNTIF(Customers!$A$2:$A$1001,B3064)&gt;0,"Valid","Invalid")</f>
        <v>Valid</v>
      </c>
      <c r="R3064" t="str">
        <f>IF(COUNTIF(Branches!$A$2:$A$11,F3064)&gt;0,"Valid","Invalid")</f>
        <v>Valid</v>
      </c>
    </row>
    <row r="3065" spans="1:18" x14ac:dyDescent="0.25">
      <c r="A3065" t="s">
        <v>5136</v>
      </c>
      <c r="B3065" t="s">
        <v>445</v>
      </c>
      <c r="C3065" s="8">
        <v>46160</v>
      </c>
      <c r="D3065" t="s">
        <v>2067</v>
      </c>
      <c r="E3065" t="s">
        <v>2068</v>
      </c>
      <c r="F3065" t="s">
        <v>47</v>
      </c>
      <c r="G3065">
        <v>2108.46</v>
      </c>
      <c r="H3065" t="s">
        <v>2060</v>
      </c>
      <c r="I3065" t="str">
        <f>VLOOKUP(B3065,Customers!A:G,7,FALSE)</f>
        <v>Student</v>
      </c>
      <c r="Q3065" t="str">
        <f>IF(COUNTIF(Customers!$A$2:$A$1001,B3065)&gt;0,"Valid","Invalid")</f>
        <v>Valid</v>
      </c>
      <c r="R3065" t="str">
        <f>IF(COUNTIF(Branches!$A$2:$A$11,F3065)&gt;0,"Valid","Invalid")</f>
        <v>Valid</v>
      </c>
    </row>
    <row r="3066" spans="1:18" x14ac:dyDescent="0.25">
      <c r="A3066" t="s">
        <v>5137</v>
      </c>
      <c r="B3066" t="s">
        <v>351</v>
      </c>
      <c r="C3066" s="8">
        <v>46028</v>
      </c>
      <c r="D3066" t="s">
        <v>2065</v>
      </c>
      <c r="E3066" t="s">
        <v>2063</v>
      </c>
      <c r="F3066" t="s">
        <v>27</v>
      </c>
      <c r="G3066">
        <v>1194.75</v>
      </c>
      <c r="H3066" t="s">
        <v>2060</v>
      </c>
      <c r="I3066" t="str">
        <f>VLOOKUP(B3066,Customers!A:G,7,FALSE)</f>
        <v>SME</v>
      </c>
      <c r="Q3066" t="str">
        <f>IF(COUNTIF(Customers!$A$2:$A$1001,B3066)&gt;0,"Valid","Invalid")</f>
        <v>Valid</v>
      </c>
      <c r="R3066" t="str">
        <f>IF(COUNTIF(Branches!$A$2:$A$11,F3066)&gt;0,"Valid","Invalid")</f>
        <v>Valid</v>
      </c>
    </row>
    <row r="3067" spans="1:18" x14ac:dyDescent="0.25">
      <c r="A3067" t="s">
        <v>5138</v>
      </c>
      <c r="B3067" t="s">
        <v>740</v>
      </c>
      <c r="C3067" s="8">
        <v>46264</v>
      </c>
      <c r="D3067" t="s">
        <v>2062</v>
      </c>
      <c r="E3067" t="s">
        <v>2068</v>
      </c>
      <c r="F3067" t="s">
        <v>21</v>
      </c>
      <c r="G3067">
        <v>1318.63</v>
      </c>
      <c r="H3067" t="s">
        <v>2060</v>
      </c>
      <c r="I3067" t="str">
        <f>VLOOKUP(B3067,Customers!A:G,7,FALSE)</f>
        <v>Individual</v>
      </c>
      <c r="Q3067" t="str">
        <f>IF(COUNTIF(Customers!$A$2:$A$1001,B3067)&gt;0,"Valid","Invalid")</f>
        <v>Valid</v>
      </c>
      <c r="R3067" t="str">
        <f>IF(COUNTIF(Branches!$A$2:$A$11,F3067)&gt;0,"Valid","Invalid")</f>
        <v>Valid</v>
      </c>
    </row>
    <row r="3068" spans="1:18" x14ac:dyDescent="0.25">
      <c r="A3068" t="s">
        <v>5139</v>
      </c>
      <c r="B3068" t="s">
        <v>732</v>
      </c>
      <c r="C3068" s="8">
        <v>46184</v>
      </c>
      <c r="D3068" t="s">
        <v>2065</v>
      </c>
      <c r="E3068" t="s">
        <v>2068</v>
      </c>
      <c r="F3068" t="s">
        <v>45</v>
      </c>
      <c r="G3068">
        <v>501.74</v>
      </c>
      <c r="H3068" t="s">
        <v>2060</v>
      </c>
      <c r="I3068" t="str">
        <f>VLOOKUP(B3068,Customers!A:G,7,FALSE)</f>
        <v>SME</v>
      </c>
      <c r="Q3068" t="str">
        <f>IF(COUNTIF(Customers!$A$2:$A$1001,B3068)&gt;0,"Valid","Invalid")</f>
        <v>Valid</v>
      </c>
      <c r="R3068" t="str">
        <f>IF(COUNTIF(Branches!$A$2:$A$11,F3068)&gt;0,"Valid","Invalid")</f>
        <v>Valid</v>
      </c>
    </row>
    <row r="3069" spans="1:18" x14ac:dyDescent="0.25">
      <c r="A3069" t="s">
        <v>5140</v>
      </c>
      <c r="B3069" t="s">
        <v>184</v>
      </c>
      <c r="C3069" s="8">
        <v>46202</v>
      </c>
      <c r="D3069" t="s">
        <v>2065</v>
      </c>
      <c r="E3069" t="s">
        <v>2076</v>
      </c>
      <c r="F3069" t="s">
        <v>27</v>
      </c>
      <c r="G3069">
        <v>813.75</v>
      </c>
      <c r="H3069" t="s">
        <v>2060</v>
      </c>
      <c r="I3069" t="str">
        <f>VLOOKUP(B3069,Customers!A:G,7,FALSE)</f>
        <v>Individual</v>
      </c>
      <c r="Q3069" t="str">
        <f>IF(COUNTIF(Customers!$A$2:$A$1001,B3069)&gt;0,"Valid","Invalid")</f>
        <v>Valid</v>
      </c>
      <c r="R3069" t="str">
        <f>IF(COUNTIF(Branches!$A$2:$A$11,F3069)&gt;0,"Valid","Invalid")</f>
        <v>Valid</v>
      </c>
    </row>
    <row r="3070" spans="1:18" x14ac:dyDescent="0.25">
      <c r="A3070" t="s">
        <v>5141</v>
      </c>
      <c r="B3070" t="s">
        <v>380</v>
      </c>
      <c r="C3070" s="8">
        <v>46063</v>
      </c>
      <c r="D3070" t="s">
        <v>2067</v>
      </c>
      <c r="E3070" t="s">
        <v>2068</v>
      </c>
      <c r="F3070" t="s">
        <v>35</v>
      </c>
      <c r="G3070">
        <v>2087.42</v>
      </c>
      <c r="H3070" t="s">
        <v>2060</v>
      </c>
      <c r="I3070" t="str">
        <f>VLOOKUP(B3070,Customers!A:G,7,FALSE)</f>
        <v>Individual</v>
      </c>
      <c r="Q3070" t="str">
        <f>IF(COUNTIF(Customers!$A$2:$A$1001,B3070)&gt;0,"Valid","Invalid")</f>
        <v>Valid</v>
      </c>
      <c r="R3070" t="str">
        <f>IF(COUNTIF(Branches!$A$2:$A$11,F3070)&gt;0,"Valid","Invalid")</f>
        <v>Valid</v>
      </c>
    </row>
    <row r="3071" spans="1:18" x14ac:dyDescent="0.25">
      <c r="A3071" t="s">
        <v>5142</v>
      </c>
      <c r="B3071" t="s">
        <v>533</v>
      </c>
      <c r="C3071" s="8">
        <v>46233</v>
      </c>
      <c r="D3071" t="s">
        <v>2058</v>
      </c>
      <c r="E3071" t="s">
        <v>2073</v>
      </c>
      <c r="F3071" t="s">
        <v>45</v>
      </c>
      <c r="G3071">
        <v>761.37</v>
      </c>
      <c r="H3071" t="s">
        <v>2060</v>
      </c>
      <c r="I3071" t="str">
        <f>VLOOKUP(B3071,Customers!A:G,7,FALSE)</f>
        <v>SME</v>
      </c>
      <c r="Q3071" t="str">
        <f>IF(COUNTIF(Customers!$A$2:$A$1001,B3071)&gt;0,"Valid","Invalid")</f>
        <v>Valid</v>
      </c>
      <c r="R3071" t="str">
        <f>IF(COUNTIF(Branches!$A$2:$A$11,F3071)&gt;0,"Valid","Invalid")</f>
        <v>Valid</v>
      </c>
    </row>
    <row r="3072" spans="1:18" x14ac:dyDescent="0.25">
      <c r="A3072" t="s">
        <v>5143</v>
      </c>
      <c r="B3072" t="s">
        <v>986</v>
      </c>
      <c r="C3072" s="8">
        <v>46028</v>
      </c>
      <c r="D3072" t="s">
        <v>2065</v>
      </c>
      <c r="E3072" t="s">
        <v>2059</v>
      </c>
      <c r="F3072" t="s">
        <v>29</v>
      </c>
      <c r="G3072">
        <v>967.46</v>
      </c>
      <c r="H3072" t="s">
        <v>2060</v>
      </c>
      <c r="I3072" t="str">
        <f>VLOOKUP(B3072,Customers!A:G,7,FALSE)</f>
        <v>Individual</v>
      </c>
      <c r="Q3072" t="str">
        <f>IF(COUNTIF(Customers!$A$2:$A$1001,B3072)&gt;0,"Valid","Invalid")</f>
        <v>Valid</v>
      </c>
      <c r="R3072" t="str">
        <f>IF(COUNTIF(Branches!$A$2:$A$11,F3072)&gt;0,"Valid","Invalid")</f>
        <v>Valid</v>
      </c>
    </row>
    <row r="3073" spans="1:18" x14ac:dyDescent="0.25">
      <c r="A3073" t="s">
        <v>5144</v>
      </c>
      <c r="B3073" t="s">
        <v>57</v>
      </c>
      <c r="C3073" s="8">
        <v>46152</v>
      </c>
      <c r="D3073" t="s">
        <v>2065</v>
      </c>
      <c r="E3073" t="s">
        <v>2063</v>
      </c>
      <c r="F3073" t="s">
        <v>47</v>
      </c>
      <c r="G3073">
        <v>174.87</v>
      </c>
      <c r="H3073" t="s">
        <v>2060</v>
      </c>
      <c r="I3073" t="str">
        <f>VLOOKUP(B3073,Customers!A:G,7,FALSE)</f>
        <v>SME</v>
      </c>
      <c r="Q3073" t="str">
        <f>IF(COUNTIF(Customers!$A$2:$A$1001,B3073)&gt;0,"Valid","Invalid")</f>
        <v>Valid</v>
      </c>
      <c r="R3073" t="str">
        <f>IF(COUNTIF(Branches!$A$2:$A$11,F3073)&gt;0,"Valid","Invalid")</f>
        <v>Valid</v>
      </c>
    </row>
    <row r="3074" spans="1:18" x14ac:dyDescent="0.25">
      <c r="A3074" t="s">
        <v>5145</v>
      </c>
      <c r="B3074" t="s">
        <v>141</v>
      </c>
      <c r="C3074" s="8">
        <v>46037</v>
      </c>
      <c r="D3074" t="s">
        <v>2065</v>
      </c>
      <c r="E3074" t="s">
        <v>2059</v>
      </c>
      <c r="F3074" t="s">
        <v>39</v>
      </c>
      <c r="G3074">
        <v>758.59</v>
      </c>
      <c r="H3074" t="s">
        <v>2060</v>
      </c>
      <c r="I3074" t="str">
        <f>VLOOKUP(B3074,Customers!A:G,7,FALSE)</f>
        <v>Individual</v>
      </c>
      <c r="Q3074" t="str">
        <f>IF(COUNTIF(Customers!$A$2:$A$1001,B3074)&gt;0,"Valid","Invalid")</f>
        <v>Valid</v>
      </c>
      <c r="R3074" t="str">
        <f>IF(COUNTIF(Branches!$A$2:$A$11,F3074)&gt;0,"Valid","Invalid")</f>
        <v>Valid</v>
      </c>
    </row>
    <row r="3075" spans="1:18" x14ac:dyDescent="0.25">
      <c r="A3075" t="s">
        <v>5146</v>
      </c>
      <c r="B3075" t="s">
        <v>713</v>
      </c>
      <c r="C3075" s="8">
        <v>46167</v>
      </c>
      <c r="D3075" t="s">
        <v>2067</v>
      </c>
      <c r="E3075" t="s">
        <v>2063</v>
      </c>
      <c r="F3075" t="s">
        <v>16</v>
      </c>
      <c r="G3075">
        <v>108.64</v>
      </c>
      <c r="H3075" t="s">
        <v>2060</v>
      </c>
      <c r="I3075" t="str">
        <f>VLOOKUP(B3075,Customers!A:G,7,FALSE)</f>
        <v>SME</v>
      </c>
      <c r="Q3075" t="str">
        <f>IF(COUNTIF(Customers!$A$2:$A$1001,B3075)&gt;0,"Valid","Invalid")</f>
        <v>Valid</v>
      </c>
      <c r="R3075" t="str">
        <f>IF(COUNTIF(Branches!$A$2:$A$11,F3075)&gt;0,"Valid","Invalid")</f>
        <v>Valid</v>
      </c>
    </row>
    <row r="3076" spans="1:18" x14ac:dyDescent="0.25">
      <c r="A3076" t="s">
        <v>5147</v>
      </c>
      <c r="B3076" t="s">
        <v>617</v>
      </c>
      <c r="C3076" s="8">
        <v>46038</v>
      </c>
      <c r="D3076" t="s">
        <v>2067</v>
      </c>
      <c r="E3076" t="s">
        <v>2063</v>
      </c>
      <c r="F3076" t="s">
        <v>11</v>
      </c>
      <c r="G3076">
        <v>484.86</v>
      </c>
      <c r="H3076" t="s">
        <v>2060</v>
      </c>
      <c r="I3076" t="str">
        <f>VLOOKUP(B3076,Customers!A:G,7,FALSE)</f>
        <v>Individual</v>
      </c>
      <c r="Q3076" t="str">
        <f>IF(COUNTIF(Customers!$A$2:$A$1001,B3076)&gt;0,"Valid","Invalid")</f>
        <v>Valid</v>
      </c>
      <c r="R3076" t="str">
        <f>IF(COUNTIF(Branches!$A$2:$A$11,F3076)&gt;0,"Valid","Invalid")</f>
        <v>Valid</v>
      </c>
    </row>
    <row r="3077" spans="1:18" x14ac:dyDescent="0.25">
      <c r="A3077" t="s">
        <v>5148</v>
      </c>
      <c r="B3077" t="s">
        <v>840</v>
      </c>
      <c r="C3077" s="8">
        <v>46178</v>
      </c>
      <c r="D3077" t="s">
        <v>2065</v>
      </c>
      <c r="E3077" t="s">
        <v>2059</v>
      </c>
      <c r="F3077" t="s">
        <v>47</v>
      </c>
      <c r="G3077">
        <v>865.68</v>
      </c>
      <c r="H3077" t="s">
        <v>2060</v>
      </c>
      <c r="I3077" t="str">
        <f>VLOOKUP(B3077,Customers!A:G,7,FALSE)</f>
        <v>Individual</v>
      </c>
      <c r="Q3077" t="str">
        <f>IF(COUNTIF(Customers!$A$2:$A$1001,B3077)&gt;0,"Valid","Invalid")</f>
        <v>Valid</v>
      </c>
      <c r="R3077" t="str">
        <f>IF(COUNTIF(Branches!$A$2:$A$11,F3077)&gt;0,"Valid","Invalid")</f>
        <v>Valid</v>
      </c>
    </row>
    <row r="3078" spans="1:18" x14ac:dyDescent="0.25">
      <c r="A3078" t="s">
        <v>5149</v>
      </c>
      <c r="B3078" t="s">
        <v>839</v>
      </c>
      <c r="C3078" s="8">
        <v>46107</v>
      </c>
      <c r="D3078" t="s">
        <v>2065</v>
      </c>
      <c r="E3078" t="s">
        <v>2063</v>
      </c>
      <c r="F3078" t="s">
        <v>35</v>
      </c>
      <c r="G3078">
        <v>1749.4</v>
      </c>
      <c r="H3078" t="s">
        <v>2060</v>
      </c>
      <c r="I3078" t="str">
        <f>VLOOKUP(B3078,Customers!A:G,7,FALSE)</f>
        <v>Individual</v>
      </c>
      <c r="Q3078" t="str">
        <f>IF(COUNTIF(Customers!$A$2:$A$1001,B3078)&gt;0,"Valid","Invalid")</f>
        <v>Valid</v>
      </c>
      <c r="R3078" t="str">
        <f>IF(COUNTIF(Branches!$A$2:$A$11,F3078)&gt;0,"Valid","Invalid")</f>
        <v>Valid</v>
      </c>
    </row>
    <row r="3079" spans="1:18" x14ac:dyDescent="0.25">
      <c r="A3079" t="s">
        <v>5150</v>
      </c>
      <c r="B3079" t="s">
        <v>596</v>
      </c>
      <c r="C3079" s="8">
        <v>46222</v>
      </c>
      <c r="D3079" t="s">
        <v>2067</v>
      </c>
      <c r="E3079" t="s">
        <v>2076</v>
      </c>
      <c r="F3079" t="s">
        <v>47</v>
      </c>
      <c r="G3079">
        <v>299.12</v>
      </c>
      <c r="H3079" t="s">
        <v>2060</v>
      </c>
      <c r="I3079" t="str">
        <f>VLOOKUP(B3079,Customers!A:G,7,FALSE)</f>
        <v>Individual</v>
      </c>
      <c r="Q3079" t="str">
        <f>IF(COUNTIF(Customers!$A$2:$A$1001,B3079)&gt;0,"Valid","Invalid")</f>
        <v>Valid</v>
      </c>
      <c r="R3079" t="str">
        <f>IF(COUNTIF(Branches!$A$2:$A$11,F3079)&gt;0,"Valid","Invalid")</f>
        <v>Valid</v>
      </c>
    </row>
    <row r="3080" spans="1:18" x14ac:dyDescent="0.25">
      <c r="A3080" t="s">
        <v>5151</v>
      </c>
      <c r="B3080" t="s">
        <v>631</v>
      </c>
      <c r="C3080" s="8">
        <v>46032</v>
      </c>
      <c r="D3080" t="s">
        <v>2062</v>
      </c>
      <c r="E3080" t="s">
        <v>2068</v>
      </c>
      <c r="F3080" t="s">
        <v>39</v>
      </c>
      <c r="G3080">
        <v>1180.49</v>
      </c>
      <c r="H3080" t="s">
        <v>2060</v>
      </c>
      <c r="I3080" t="str">
        <f>VLOOKUP(B3080,Customers!A:G,7,FALSE)</f>
        <v>SME</v>
      </c>
      <c r="Q3080" t="str">
        <f>IF(COUNTIF(Customers!$A$2:$A$1001,B3080)&gt;0,"Valid","Invalid")</f>
        <v>Valid</v>
      </c>
      <c r="R3080" t="str">
        <f>IF(COUNTIF(Branches!$A$2:$A$11,F3080)&gt;0,"Valid","Invalid")</f>
        <v>Valid</v>
      </c>
    </row>
    <row r="3081" spans="1:18" x14ac:dyDescent="0.25">
      <c r="A3081" t="s">
        <v>5152</v>
      </c>
      <c r="B3081" t="s">
        <v>979</v>
      </c>
      <c r="C3081" s="8">
        <v>46160</v>
      </c>
      <c r="D3081" t="s">
        <v>2062</v>
      </c>
      <c r="E3081" t="s">
        <v>2059</v>
      </c>
      <c r="F3081" t="s">
        <v>29</v>
      </c>
      <c r="G3081">
        <v>3528.02</v>
      </c>
      <c r="H3081" t="s">
        <v>2060</v>
      </c>
      <c r="I3081" t="str">
        <f>VLOOKUP(B3081,Customers!A:G,7,FALSE)</f>
        <v>Individual</v>
      </c>
      <c r="Q3081" t="str">
        <f>IF(COUNTIF(Customers!$A$2:$A$1001,B3081)&gt;0,"Valid","Invalid")</f>
        <v>Valid</v>
      </c>
      <c r="R3081" t="str">
        <f>IF(COUNTIF(Branches!$A$2:$A$11,F3081)&gt;0,"Valid","Invalid")</f>
        <v>Valid</v>
      </c>
    </row>
    <row r="3082" spans="1:18" x14ac:dyDescent="0.25">
      <c r="A3082" t="s">
        <v>5153</v>
      </c>
      <c r="B3082" t="s">
        <v>697</v>
      </c>
      <c r="C3082" s="8">
        <v>46264</v>
      </c>
      <c r="D3082" t="s">
        <v>2062</v>
      </c>
      <c r="E3082" t="s">
        <v>2073</v>
      </c>
      <c r="F3082" t="s">
        <v>29</v>
      </c>
      <c r="G3082">
        <v>428.06</v>
      </c>
      <c r="H3082" t="s">
        <v>2060</v>
      </c>
      <c r="I3082" t="str">
        <f>VLOOKUP(B3082,Customers!A:G,7,FALSE)</f>
        <v>SME</v>
      </c>
      <c r="Q3082" t="str">
        <f>IF(COUNTIF(Customers!$A$2:$A$1001,B3082)&gt;0,"Valid","Invalid")</f>
        <v>Valid</v>
      </c>
      <c r="R3082" t="str">
        <f>IF(COUNTIF(Branches!$A$2:$A$11,F3082)&gt;0,"Valid","Invalid")</f>
        <v>Valid</v>
      </c>
    </row>
    <row r="3083" spans="1:18" x14ac:dyDescent="0.25">
      <c r="A3083" t="s">
        <v>5154</v>
      </c>
      <c r="B3083" t="s">
        <v>259</v>
      </c>
      <c r="C3083" s="8">
        <v>46160</v>
      </c>
      <c r="D3083" t="s">
        <v>2065</v>
      </c>
      <c r="E3083" t="s">
        <v>2063</v>
      </c>
      <c r="F3083" t="s">
        <v>53</v>
      </c>
      <c r="G3083">
        <v>172.94</v>
      </c>
      <c r="H3083" t="s">
        <v>2060</v>
      </c>
      <c r="I3083" t="str">
        <f>VLOOKUP(B3083,Customers!A:G,7,FALSE)</f>
        <v>Individual</v>
      </c>
      <c r="Q3083" t="str">
        <f>IF(COUNTIF(Customers!$A$2:$A$1001,B3083)&gt;0,"Valid","Invalid")</f>
        <v>Valid</v>
      </c>
      <c r="R3083" t="str">
        <f>IF(COUNTIF(Branches!$A$2:$A$11,F3083)&gt;0,"Valid","Invalid")</f>
        <v>Valid</v>
      </c>
    </row>
    <row r="3084" spans="1:18" x14ac:dyDescent="0.25">
      <c r="A3084" t="s">
        <v>5155</v>
      </c>
      <c r="B3084" t="s">
        <v>893</v>
      </c>
      <c r="C3084" s="8">
        <v>46223</v>
      </c>
      <c r="D3084" t="s">
        <v>2070</v>
      </c>
      <c r="E3084" t="s">
        <v>2068</v>
      </c>
      <c r="F3084" t="s">
        <v>39</v>
      </c>
      <c r="G3084">
        <v>1085.55</v>
      </c>
      <c r="H3084" t="s">
        <v>2060</v>
      </c>
      <c r="I3084" t="str">
        <f>VLOOKUP(B3084,Customers!A:G,7,FALSE)</f>
        <v>Corporate</v>
      </c>
      <c r="Q3084" t="str">
        <f>IF(COUNTIF(Customers!$A$2:$A$1001,B3084)&gt;0,"Valid","Invalid")</f>
        <v>Valid</v>
      </c>
      <c r="R3084" t="str">
        <f>IF(COUNTIF(Branches!$A$2:$A$11,F3084)&gt;0,"Valid","Invalid")</f>
        <v>Valid</v>
      </c>
    </row>
    <row r="3085" spans="1:18" x14ac:dyDescent="0.25">
      <c r="A3085" t="s">
        <v>5156</v>
      </c>
      <c r="B3085" t="s">
        <v>48</v>
      </c>
      <c r="C3085" s="8">
        <v>46178</v>
      </c>
      <c r="D3085" t="s">
        <v>2067</v>
      </c>
      <c r="E3085" t="s">
        <v>2068</v>
      </c>
      <c r="F3085" t="s">
        <v>29</v>
      </c>
      <c r="G3085">
        <v>246.66</v>
      </c>
      <c r="H3085" t="s">
        <v>2060</v>
      </c>
      <c r="I3085" t="str">
        <f>VLOOKUP(B3085,Customers!A:G,7,FALSE)</f>
        <v>Individual</v>
      </c>
      <c r="Q3085" t="str">
        <f>IF(COUNTIF(Customers!$A$2:$A$1001,B3085)&gt;0,"Valid","Invalid")</f>
        <v>Valid</v>
      </c>
      <c r="R3085" t="str">
        <f>IF(COUNTIF(Branches!$A$2:$A$11,F3085)&gt;0,"Valid","Invalid")</f>
        <v>Valid</v>
      </c>
    </row>
    <row r="3086" spans="1:18" x14ac:dyDescent="0.25">
      <c r="A3086" t="s">
        <v>5157</v>
      </c>
      <c r="B3086" t="s">
        <v>929</v>
      </c>
      <c r="C3086" s="8">
        <v>46174</v>
      </c>
      <c r="D3086" t="s">
        <v>2070</v>
      </c>
      <c r="E3086" t="s">
        <v>2063</v>
      </c>
      <c r="F3086" t="s">
        <v>21</v>
      </c>
      <c r="G3086">
        <v>358.17</v>
      </c>
      <c r="H3086" t="s">
        <v>2060</v>
      </c>
      <c r="I3086" t="str">
        <f>VLOOKUP(B3086,Customers!A:G,7,FALSE)</f>
        <v>Individual</v>
      </c>
      <c r="Q3086" t="str">
        <f>IF(COUNTIF(Customers!$A$2:$A$1001,B3086)&gt;0,"Valid","Invalid")</f>
        <v>Valid</v>
      </c>
      <c r="R3086" t="str">
        <f>IF(COUNTIF(Branches!$A$2:$A$11,F3086)&gt;0,"Valid","Invalid")</f>
        <v>Valid</v>
      </c>
    </row>
    <row r="3087" spans="1:18" x14ac:dyDescent="0.25">
      <c r="A3087" t="s">
        <v>5158</v>
      </c>
      <c r="B3087" t="s">
        <v>671</v>
      </c>
      <c r="C3087" s="8">
        <v>46041</v>
      </c>
      <c r="D3087" t="s">
        <v>2065</v>
      </c>
      <c r="E3087" t="s">
        <v>2063</v>
      </c>
      <c r="F3087" t="s">
        <v>29</v>
      </c>
      <c r="G3087">
        <v>2045.38</v>
      </c>
      <c r="H3087" t="s">
        <v>2060</v>
      </c>
      <c r="I3087" t="str">
        <f>VLOOKUP(B3087,Customers!A:G,7,FALSE)</f>
        <v>Individual</v>
      </c>
      <c r="Q3087" t="str">
        <f>IF(COUNTIF(Customers!$A$2:$A$1001,B3087)&gt;0,"Valid","Invalid")</f>
        <v>Valid</v>
      </c>
      <c r="R3087" t="str">
        <f>IF(COUNTIF(Branches!$A$2:$A$11,F3087)&gt;0,"Valid","Invalid")</f>
        <v>Valid</v>
      </c>
    </row>
    <row r="3088" spans="1:18" x14ac:dyDescent="0.25">
      <c r="A3088" t="s">
        <v>5159</v>
      </c>
      <c r="B3088" t="s">
        <v>114</v>
      </c>
      <c r="C3088" s="8">
        <v>46247</v>
      </c>
      <c r="D3088" t="s">
        <v>2067</v>
      </c>
      <c r="E3088" t="s">
        <v>2063</v>
      </c>
      <c r="F3088" t="s">
        <v>27</v>
      </c>
      <c r="G3088">
        <v>5307.62</v>
      </c>
      <c r="H3088" t="s">
        <v>2060</v>
      </c>
      <c r="I3088" t="str">
        <f>VLOOKUP(B3088,Customers!A:G,7,FALSE)</f>
        <v>Individual</v>
      </c>
      <c r="Q3088" t="str">
        <f>IF(COUNTIF(Customers!$A$2:$A$1001,B3088)&gt;0,"Valid","Invalid")</f>
        <v>Valid</v>
      </c>
      <c r="R3088" t="str">
        <f>IF(COUNTIF(Branches!$A$2:$A$11,F3088)&gt;0,"Valid","Invalid")</f>
        <v>Valid</v>
      </c>
    </row>
    <row r="3089" spans="1:18" x14ac:dyDescent="0.25">
      <c r="A3089" t="s">
        <v>5160</v>
      </c>
      <c r="B3089" t="s">
        <v>360</v>
      </c>
      <c r="C3089" s="8">
        <v>46090</v>
      </c>
      <c r="D3089" t="s">
        <v>2067</v>
      </c>
      <c r="E3089" t="s">
        <v>2068</v>
      </c>
      <c r="F3089" t="s">
        <v>11</v>
      </c>
      <c r="G3089">
        <v>298.66000000000003</v>
      </c>
      <c r="H3089" t="s">
        <v>2060</v>
      </c>
      <c r="I3089" t="str">
        <f>VLOOKUP(B3089,Customers!A:G,7,FALSE)</f>
        <v>SME</v>
      </c>
      <c r="Q3089" t="str">
        <f>IF(COUNTIF(Customers!$A$2:$A$1001,B3089)&gt;0,"Valid","Invalid")</f>
        <v>Valid</v>
      </c>
      <c r="R3089" t="str">
        <f>IF(COUNTIF(Branches!$A$2:$A$11,F3089)&gt;0,"Valid","Invalid")</f>
        <v>Valid</v>
      </c>
    </row>
    <row r="3090" spans="1:18" x14ac:dyDescent="0.25">
      <c r="A3090" t="s">
        <v>5161</v>
      </c>
      <c r="B3090" t="s">
        <v>845</v>
      </c>
      <c r="C3090" s="8">
        <v>46206</v>
      </c>
      <c r="D3090" t="s">
        <v>2067</v>
      </c>
      <c r="E3090" t="s">
        <v>2068</v>
      </c>
      <c r="F3090" t="s">
        <v>21</v>
      </c>
      <c r="G3090">
        <v>388.61</v>
      </c>
      <c r="H3090" t="s">
        <v>2060</v>
      </c>
      <c r="I3090" t="str">
        <f>VLOOKUP(B3090,Customers!A:G,7,FALSE)</f>
        <v>Individual</v>
      </c>
      <c r="Q3090" t="str">
        <f>IF(COUNTIF(Customers!$A$2:$A$1001,B3090)&gt;0,"Valid","Invalid")</f>
        <v>Valid</v>
      </c>
      <c r="R3090" t="str">
        <f>IF(COUNTIF(Branches!$A$2:$A$11,F3090)&gt;0,"Valid","Invalid")</f>
        <v>Valid</v>
      </c>
    </row>
    <row r="3091" spans="1:18" x14ac:dyDescent="0.25">
      <c r="A3091" t="s">
        <v>5162</v>
      </c>
      <c r="B3091" t="s">
        <v>279</v>
      </c>
      <c r="C3091" s="8">
        <v>46217</v>
      </c>
      <c r="D3091" t="s">
        <v>2062</v>
      </c>
      <c r="E3091" t="s">
        <v>2063</v>
      </c>
      <c r="F3091" t="s">
        <v>45</v>
      </c>
      <c r="G3091">
        <v>523.29</v>
      </c>
      <c r="H3091" t="s">
        <v>2060</v>
      </c>
      <c r="I3091" t="str">
        <f>VLOOKUP(B3091,Customers!A:G,7,FALSE)</f>
        <v>SME</v>
      </c>
      <c r="Q3091" t="str">
        <f>IF(COUNTIF(Customers!$A$2:$A$1001,B3091)&gt;0,"Valid","Invalid")</f>
        <v>Valid</v>
      </c>
      <c r="R3091" t="str">
        <f>IF(COUNTIF(Branches!$A$2:$A$11,F3091)&gt;0,"Valid","Invalid")</f>
        <v>Valid</v>
      </c>
    </row>
    <row r="3092" spans="1:18" x14ac:dyDescent="0.25">
      <c r="A3092" t="s">
        <v>5163</v>
      </c>
      <c r="B3092" t="s">
        <v>51</v>
      </c>
      <c r="C3092" s="8">
        <v>46064</v>
      </c>
      <c r="D3092" t="s">
        <v>2062</v>
      </c>
      <c r="E3092" t="s">
        <v>2076</v>
      </c>
      <c r="F3092" t="s">
        <v>29</v>
      </c>
      <c r="G3092">
        <v>469.75</v>
      </c>
      <c r="H3092" t="s">
        <v>2060</v>
      </c>
      <c r="I3092" t="str">
        <f>VLOOKUP(B3092,Customers!A:G,7,FALSE)</f>
        <v>Individual</v>
      </c>
      <c r="Q3092" t="str">
        <f>IF(COUNTIF(Customers!$A$2:$A$1001,B3092)&gt;0,"Valid","Invalid")</f>
        <v>Valid</v>
      </c>
      <c r="R3092" t="str">
        <f>IF(COUNTIF(Branches!$A$2:$A$11,F3092)&gt;0,"Valid","Invalid")</f>
        <v>Valid</v>
      </c>
    </row>
    <row r="3093" spans="1:18" x14ac:dyDescent="0.25">
      <c r="A3093" t="s">
        <v>5164</v>
      </c>
      <c r="B3093" t="s">
        <v>806</v>
      </c>
      <c r="C3093" s="8">
        <v>46162</v>
      </c>
      <c r="D3093" t="s">
        <v>2070</v>
      </c>
      <c r="E3093" t="s">
        <v>2063</v>
      </c>
      <c r="F3093" t="s">
        <v>47</v>
      </c>
      <c r="G3093">
        <v>5615.54</v>
      </c>
      <c r="H3093" t="s">
        <v>2060</v>
      </c>
      <c r="I3093" t="str">
        <f>VLOOKUP(B3093,Customers!A:G,7,FALSE)</f>
        <v>Student</v>
      </c>
      <c r="Q3093" t="str">
        <f>IF(COUNTIF(Customers!$A$2:$A$1001,B3093)&gt;0,"Valid","Invalid")</f>
        <v>Valid</v>
      </c>
      <c r="R3093" t="str">
        <f>IF(COUNTIF(Branches!$A$2:$A$11,F3093)&gt;0,"Valid","Invalid")</f>
        <v>Valid</v>
      </c>
    </row>
    <row r="3094" spans="1:18" x14ac:dyDescent="0.25">
      <c r="A3094" t="s">
        <v>5165</v>
      </c>
      <c r="B3094" t="s">
        <v>492</v>
      </c>
      <c r="C3094" s="8">
        <v>46168</v>
      </c>
      <c r="D3094" t="s">
        <v>2058</v>
      </c>
      <c r="E3094" t="s">
        <v>2059</v>
      </c>
      <c r="F3094" t="s">
        <v>35</v>
      </c>
      <c r="G3094">
        <v>477.91</v>
      </c>
      <c r="H3094" t="s">
        <v>2060</v>
      </c>
      <c r="I3094" t="str">
        <f>VLOOKUP(B3094,Customers!A:G,7,FALSE)</f>
        <v>Individual</v>
      </c>
      <c r="Q3094" t="str">
        <f>IF(COUNTIF(Customers!$A$2:$A$1001,B3094)&gt;0,"Valid","Invalid")</f>
        <v>Valid</v>
      </c>
      <c r="R3094" t="str">
        <f>IF(COUNTIF(Branches!$A$2:$A$11,F3094)&gt;0,"Valid","Invalid")</f>
        <v>Valid</v>
      </c>
    </row>
    <row r="3095" spans="1:18" x14ac:dyDescent="0.25">
      <c r="A3095" t="s">
        <v>5166</v>
      </c>
      <c r="B3095" t="s">
        <v>481</v>
      </c>
      <c r="C3095" s="8">
        <v>46173</v>
      </c>
      <c r="D3095" t="s">
        <v>2067</v>
      </c>
      <c r="E3095" t="s">
        <v>2073</v>
      </c>
      <c r="F3095" t="s">
        <v>53</v>
      </c>
      <c r="G3095">
        <v>551.28</v>
      </c>
      <c r="H3095" t="s">
        <v>2060</v>
      </c>
      <c r="I3095" t="str">
        <f>VLOOKUP(B3095,Customers!A:G,7,FALSE)</f>
        <v>Individual</v>
      </c>
      <c r="Q3095" t="str">
        <f>IF(COUNTIF(Customers!$A$2:$A$1001,B3095)&gt;0,"Valid","Invalid")</f>
        <v>Valid</v>
      </c>
      <c r="R3095" t="str">
        <f>IF(COUNTIF(Branches!$A$2:$A$11,F3095)&gt;0,"Valid","Invalid")</f>
        <v>Valid</v>
      </c>
    </row>
    <row r="3096" spans="1:18" x14ac:dyDescent="0.25">
      <c r="A3096" t="s">
        <v>5167</v>
      </c>
      <c r="B3096" t="s">
        <v>966</v>
      </c>
      <c r="C3096" s="8">
        <v>46106</v>
      </c>
      <c r="D3096" t="s">
        <v>2065</v>
      </c>
      <c r="E3096" t="s">
        <v>2063</v>
      </c>
      <c r="F3096" t="s">
        <v>53</v>
      </c>
      <c r="G3096">
        <v>4089.5</v>
      </c>
      <c r="H3096" t="s">
        <v>2060</v>
      </c>
      <c r="I3096" t="str">
        <f>VLOOKUP(B3096,Customers!A:G,7,FALSE)</f>
        <v>Individual</v>
      </c>
      <c r="Q3096" t="str">
        <f>IF(COUNTIF(Customers!$A$2:$A$1001,B3096)&gt;0,"Valid","Invalid")</f>
        <v>Valid</v>
      </c>
      <c r="R3096" t="str">
        <f>IF(COUNTIF(Branches!$A$2:$A$11,F3096)&gt;0,"Valid","Invalid")</f>
        <v>Valid</v>
      </c>
    </row>
    <row r="3097" spans="1:18" x14ac:dyDescent="0.25">
      <c r="A3097" t="s">
        <v>5168</v>
      </c>
      <c r="B3097" t="s">
        <v>315</v>
      </c>
      <c r="C3097" s="8">
        <v>46156</v>
      </c>
      <c r="D3097" t="s">
        <v>2070</v>
      </c>
      <c r="E3097" t="s">
        <v>2073</v>
      </c>
      <c r="F3097" t="s">
        <v>47</v>
      </c>
      <c r="G3097">
        <v>1446.17</v>
      </c>
      <c r="H3097" t="s">
        <v>2060</v>
      </c>
      <c r="I3097" t="str">
        <f>VLOOKUP(B3097,Customers!A:G,7,FALSE)</f>
        <v>SME</v>
      </c>
      <c r="Q3097" t="str">
        <f>IF(COUNTIF(Customers!$A$2:$A$1001,B3097)&gt;0,"Valid","Invalid")</f>
        <v>Valid</v>
      </c>
      <c r="R3097" t="str">
        <f>IF(COUNTIF(Branches!$A$2:$A$11,F3097)&gt;0,"Valid","Invalid")</f>
        <v>Valid</v>
      </c>
    </row>
    <row r="3098" spans="1:18" x14ac:dyDescent="0.25">
      <c r="A3098" t="s">
        <v>5169</v>
      </c>
      <c r="B3098" t="s">
        <v>462</v>
      </c>
      <c r="C3098" s="8">
        <v>46075</v>
      </c>
      <c r="D3098" t="s">
        <v>2058</v>
      </c>
      <c r="E3098" t="s">
        <v>2068</v>
      </c>
      <c r="F3098" t="s">
        <v>16</v>
      </c>
      <c r="G3098">
        <v>2177.4299999999998</v>
      </c>
      <c r="H3098" t="s">
        <v>2060</v>
      </c>
      <c r="I3098" t="str">
        <f>VLOOKUP(B3098,Customers!A:G,7,FALSE)</f>
        <v>SME</v>
      </c>
      <c r="Q3098" t="str">
        <f>IF(COUNTIF(Customers!$A$2:$A$1001,B3098)&gt;0,"Valid","Invalid")</f>
        <v>Valid</v>
      </c>
      <c r="R3098" t="str">
        <f>IF(COUNTIF(Branches!$A$2:$A$11,F3098)&gt;0,"Valid","Invalid")</f>
        <v>Valid</v>
      </c>
    </row>
    <row r="3099" spans="1:18" x14ac:dyDescent="0.25">
      <c r="A3099" t="s">
        <v>5170</v>
      </c>
      <c r="B3099" t="s">
        <v>514</v>
      </c>
      <c r="C3099" s="8">
        <v>46120</v>
      </c>
      <c r="D3099" t="s">
        <v>2062</v>
      </c>
      <c r="E3099" t="s">
        <v>2073</v>
      </c>
      <c r="F3099" t="s">
        <v>35</v>
      </c>
      <c r="G3099">
        <v>328.29</v>
      </c>
      <c r="H3099" t="s">
        <v>2060</v>
      </c>
      <c r="I3099" t="str">
        <f>VLOOKUP(B3099,Customers!A:G,7,FALSE)</f>
        <v>Student</v>
      </c>
      <c r="Q3099" t="str">
        <f>IF(COUNTIF(Customers!$A$2:$A$1001,B3099)&gt;0,"Valid","Invalid")</f>
        <v>Valid</v>
      </c>
      <c r="R3099" t="str">
        <f>IF(COUNTIF(Branches!$A$2:$A$11,F3099)&gt;0,"Valid","Invalid")</f>
        <v>Valid</v>
      </c>
    </row>
    <row r="3100" spans="1:18" x14ac:dyDescent="0.25">
      <c r="A3100" t="s">
        <v>5171</v>
      </c>
      <c r="B3100" t="s">
        <v>61</v>
      </c>
      <c r="C3100" s="8">
        <v>46064</v>
      </c>
      <c r="D3100" t="s">
        <v>2067</v>
      </c>
      <c r="E3100" t="s">
        <v>2063</v>
      </c>
      <c r="F3100" t="s">
        <v>29</v>
      </c>
      <c r="G3100">
        <v>478.1</v>
      </c>
      <c r="H3100" t="s">
        <v>2060</v>
      </c>
      <c r="I3100" t="str">
        <f>VLOOKUP(B3100,Customers!A:G,7,FALSE)</f>
        <v>Student</v>
      </c>
      <c r="Q3100" t="str">
        <f>IF(COUNTIF(Customers!$A$2:$A$1001,B3100)&gt;0,"Valid","Invalid")</f>
        <v>Valid</v>
      </c>
      <c r="R3100" t="str">
        <f>IF(COUNTIF(Branches!$A$2:$A$11,F3100)&gt;0,"Valid","Invalid")</f>
        <v>Valid</v>
      </c>
    </row>
    <row r="3101" spans="1:18" x14ac:dyDescent="0.25">
      <c r="A3101" t="s">
        <v>5172</v>
      </c>
      <c r="B3101" t="s">
        <v>552</v>
      </c>
      <c r="C3101" s="8">
        <v>46216</v>
      </c>
      <c r="D3101" t="s">
        <v>2058</v>
      </c>
      <c r="E3101" t="s">
        <v>2063</v>
      </c>
      <c r="F3101" t="s">
        <v>27</v>
      </c>
      <c r="G3101">
        <v>287.23</v>
      </c>
      <c r="H3101" t="s">
        <v>2060</v>
      </c>
      <c r="I3101" t="str">
        <f>VLOOKUP(B3101,Customers!A:G,7,FALSE)</f>
        <v>Individual</v>
      </c>
      <c r="Q3101" t="str">
        <f>IF(COUNTIF(Customers!$A$2:$A$1001,B3101)&gt;0,"Valid","Invalid")</f>
        <v>Valid</v>
      </c>
      <c r="R3101" t="str">
        <f>IF(COUNTIF(Branches!$A$2:$A$11,F3101)&gt;0,"Valid","Invalid")</f>
        <v>Valid</v>
      </c>
    </row>
    <row r="3102" spans="1:18" x14ac:dyDescent="0.25">
      <c r="A3102" t="s">
        <v>5173</v>
      </c>
      <c r="B3102" t="s">
        <v>903</v>
      </c>
      <c r="C3102" s="8">
        <v>46052</v>
      </c>
      <c r="D3102" t="s">
        <v>2070</v>
      </c>
      <c r="E3102" t="s">
        <v>2063</v>
      </c>
      <c r="F3102" t="s">
        <v>35</v>
      </c>
      <c r="G3102">
        <v>1810.32</v>
      </c>
      <c r="H3102" t="s">
        <v>2060</v>
      </c>
      <c r="I3102" t="str">
        <f>VLOOKUP(B3102,Customers!A:G,7,FALSE)</f>
        <v>Student</v>
      </c>
      <c r="Q3102" t="str">
        <f>IF(COUNTIF(Customers!$A$2:$A$1001,B3102)&gt;0,"Valid","Invalid")</f>
        <v>Valid</v>
      </c>
      <c r="R3102" t="str">
        <f>IF(COUNTIF(Branches!$A$2:$A$11,F3102)&gt;0,"Valid","Invalid")</f>
        <v>Valid</v>
      </c>
    </row>
    <row r="3103" spans="1:18" x14ac:dyDescent="0.25">
      <c r="A3103" t="s">
        <v>5174</v>
      </c>
      <c r="B3103" t="s">
        <v>502</v>
      </c>
      <c r="C3103" s="8">
        <v>46031</v>
      </c>
      <c r="D3103" t="s">
        <v>2065</v>
      </c>
      <c r="E3103" t="s">
        <v>2076</v>
      </c>
      <c r="F3103" t="s">
        <v>53</v>
      </c>
      <c r="G3103">
        <v>2766.24</v>
      </c>
      <c r="H3103" t="s">
        <v>2060</v>
      </c>
      <c r="I3103" t="str">
        <f>VLOOKUP(B3103,Customers!A:G,7,FALSE)</f>
        <v>SME</v>
      </c>
      <c r="Q3103" t="str">
        <f>IF(COUNTIF(Customers!$A$2:$A$1001,B3103)&gt;0,"Valid","Invalid")</f>
        <v>Valid</v>
      </c>
      <c r="R3103" t="str">
        <f>IF(COUNTIF(Branches!$A$2:$A$11,F3103)&gt;0,"Valid","Invalid")</f>
        <v>Valid</v>
      </c>
    </row>
    <row r="3104" spans="1:18" x14ac:dyDescent="0.25">
      <c r="A3104" t="s">
        <v>5175</v>
      </c>
      <c r="B3104" t="s">
        <v>845</v>
      </c>
      <c r="C3104" s="8">
        <v>46241</v>
      </c>
      <c r="D3104" t="s">
        <v>2067</v>
      </c>
      <c r="E3104" t="s">
        <v>2076</v>
      </c>
      <c r="F3104" t="s">
        <v>53</v>
      </c>
      <c r="G3104">
        <v>445.96</v>
      </c>
      <c r="H3104" t="s">
        <v>2060</v>
      </c>
      <c r="I3104" t="str">
        <f>VLOOKUP(B3104,Customers!A:G,7,FALSE)</f>
        <v>Individual</v>
      </c>
      <c r="Q3104" t="str">
        <f>IF(COUNTIF(Customers!$A$2:$A$1001,B3104)&gt;0,"Valid","Invalid")</f>
        <v>Valid</v>
      </c>
      <c r="R3104" t="str">
        <f>IF(COUNTIF(Branches!$A$2:$A$11,F3104)&gt;0,"Valid","Invalid")</f>
        <v>Valid</v>
      </c>
    </row>
    <row r="3105" spans="1:18" x14ac:dyDescent="0.25">
      <c r="A3105" t="s">
        <v>5176</v>
      </c>
      <c r="B3105" t="s">
        <v>1020</v>
      </c>
      <c r="C3105" s="8">
        <v>46192</v>
      </c>
      <c r="D3105" t="s">
        <v>2065</v>
      </c>
      <c r="E3105" t="s">
        <v>2063</v>
      </c>
      <c r="F3105" t="s">
        <v>11</v>
      </c>
      <c r="G3105">
        <v>564.4</v>
      </c>
      <c r="H3105" t="s">
        <v>2060</v>
      </c>
      <c r="I3105" t="str">
        <f>VLOOKUP(B3105,Customers!A:G,7,FALSE)</f>
        <v>Individual</v>
      </c>
      <c r="Q3105" t="str">
        <f>IF(COUNTIF(Customers!$A$2:$A$1001,B3105)&gt;0,"Valid","Invalid")</f>
        <v>Valid</v>
      </c>
      <c r="R3105" t="str">
        <f>IF(COUNTIF(Branches!$A$2:$A$11,F3105)&gt;0,"Valid","Invalid")</f>
        <v>Valid</v>
      </c>
    </row>
    <row r="3106" spans="1:18" x14ac:dyDescent="0.25">
      <c r="A3106" t="s">
        <v>5177</v>
      </c>
      <c r="B3106" t="s">
        <v>862</v>
      </c>
      <c r="C3106" s="8">
        <v>46056</v>
      </c>
      <c r="D3106" t="s">
        <v>2062</v>
      </c>
      <c r="E3106" t="s">
        <v>2068</v>
      </c>
      <c r="F3106" t="s">
        <v>29</v>
      </c>
      <c r="G3106">
        <v>589.64</v>
      </c>
      <c r="H3106" t="s">
        <v>2107</v>
      </c>
      <c r="I3106" t="str">
        <f>VLOOKUP(B3106,Customers!A:G,7,FALSE)</f>
        <v>SME</v>
      </c>
      <c r="Q3106" t="str">
        <f>IF(COUNTIF(Customers!$A$2:$A$1001,B3106)&gt;0,"Valid","Invalid")</f>
        <v>Valid</v>
      </c>
      <c r="R3106" t="str">
        <f>IF(COUNTIF(Branches!$A$2:$A$11,F3106)&gt;0,"Valid","Invalid")</f>
        <v>Valid</v>
      </c>
    </row>
    <row r="3107" spans="1:18" x14ac:dyDescent="0.25">
      <c r="A3107" t="s">
        <v>5178</v>
      </c>
      <c r="B3107" t="s">
        <v>401</v>
      </c>
      <c r="C3107" s="8">
        <v>46190</v>
      </c>
      <c r="D3107" t="s">
        <v>2065</v>
      </c>
      <c r="E3107" t="s">
        <v>2063</v>
      </c>
      <c r="F3107" t="s">
        <v>45</v>
      </c>
      <c r="G3107">
        <v>172.91</v>
      </c>
      <c r="H3107" t="s">
        <v>2060</v>
      </c>
      <c r="I3107" t="str">
        <f>VLOOKUP(B3107,Customers!A:G,7,FALSE)</f>
        <v>Individual</v>
      </c>
      <c r="Q3107" t="str">
        <f>IF(COUNTIF(Customers!$A$2:$A$1001,B3107)&gt;0,"Valid","Invalid")</f>
        <v>Valid</v>
      </c>
      <c r="R3107" t="str">
        <f>IF(COUNTIF(Branches!$A$2:$A$11,F3107)&gt;0,"Valid","Invalid")</f>
        <v>Valid</v>
      </c>
    </row>
    <row r="3108" spans="1:18" x14ac:dyDescent="0.25">
      <c r="A3108" t="s">
        <v>5179</v>
      </c>
      <c r="B3108" t="s">
        <v>421</v>
      </c>
      <c r="C3108" s="8">
        <v>46110</v>
      </c>
      <c r="D3108" t="s">
        <v>2065</v>
      </c>
      <c r="E3108" t="s">
        <v>2063</v>
      </c>
      <c r="F3108" t="s">
        <v>53</v>
      </c>
      <c r="G3108">
        <v>414.13</v>
      </c>
      <c r="H3108" t="s">
        <v>2060</v>
      </c>
      <c r="I3108" t="str">
        <f>VLOOKUP(B3108,Customers!A:G,7,FALSE)</f>
        <v>Individual</v>
      </c>
      <c r="Q3108" t="str">
        <f>IF(COUNTIF(Customers!$A$2:$A$1001,B3108)&gt;0,"Valid","Invalid")</f>
        <v>Valid</v>
      </c>
      <c r="R3108" t="str">
        <f>IF(COUNTIF(Branches!$A$2:$A$11,F3108)&gt;0,"Valid","Invalid")</f>
        <v>Valid</v>
      </c>
    </row>
    <row r="3109" spans="1:18" x14ac:dyDescent="0.25">
      <c r="A3109" t="s">
        <v>5180</v>
      </c>
      <c r="B3109" t="s">
        <v>789</v>
      </c>
      <c r="C3109" s="8">
        <v>46263</v>
      </c>
      <c r="D3109" t="s">
        <v>2067</v>
      </c>
      <c r="E3109" t="s">
        <v>2059</v>
      </c>
      <c r="F3109" t="s">
        <v>27</v>
      </c>
      <c r="G3109">
        <v>1760.35</v>
      </c>
      <c r="H3109" t="s">
        <v>2060</v>
      </c>
      <c r="I3109" t="str">
        <f>VLOOKUP(B3109,Customers!A:G,7,FALSE)</f>
        <v>Corporate</v>
      </c>
      <c r="Q3109" t="str">
        <f>IF(COUNTIF(Customers!$A$2:$A$1001,B3109)&gt;0,"Valid","Invalid")</f>
        <v>Valid</v>
      </c>
      <c r="R3109" t="str">
        <f>IF(COUNTIF(Branches!$A$2:$A$11,F3109)&gt;0,"Valid","Invalid")</f>
        <v>Valid</v>
      </c>
    </row>
    <row r="3110" spans="1:18" x14ac:dyDescent="0.25">
      <c r="A3110" t="s">
        <v>5181</v>
      </c>
      <c r="B3110" t="s">
        <v>563</v>
      </c>
      <c r="C3110" s="8">
        <v>46167</v>
      </c>
      <c r="D3110" t="s">
        <v>2058</v>
      </c>
      <c r="E3110" t="s">
        <v>2063</v>
      </c>
      <c r="F3110" t="s">
        <v>47</v>
      </c>
      <c r="G3110">
        <v>338.52</v>
      </c>
      <c r="H3110" t="s">
        <v>2060</v>
      </c>
      <c r="I3110" t="str">
        <f>VLOOKUP(B3110,Customers!A:G,7,FALSE)</f>
        <v>Individual</v>
      </c>
      <c r="Q3110" t="str">
        <f>IF(COUNTIF(Customers!$A$2:$A$1001,B3110)&gt;0,"Valid","Invalid")</f>
        <v>Valid</v>
      </c>
      <c r="R3110" t="str">
        <f>IF(COUNTIF(Branches!$A$2:$A$11,F3110)&gt;0,"Valid","Invalid")</f>
        <v>Valid</v>
      </c>
    </row>
    <row r="3111" spans="1:18" x14ac:dyDescent="0.25">
      <c r="A3111" t="s">
        <v>5182</v>
      </c>
      <c r="B3111" t="s">
        <v>420</v>
      </c>
      <c r="C3111" s="8">
        <v>46179</v>
      </c>
      <c r="D3111" t="s">
        <v>2067</v>
      </c>
      <c r="E3111" t="s">
        <v>2063</v>
      </c>
      <c r="F3111" t="s">
        <v>45</v>
      </c>
      <c r="G3111">
        <v>891.57</v>
      </c>
      <c r="H3111" t="s">
        <v>2060</v>
      </c>
      <c r="I3111" t="str">
        <f>VLOOKUP(B3111,Customers!A:G,7,FALSE)</f>
        <v>Student</v>
      </c>
      <c r="Q3111" t="str">
        <f>IF(COUNTIF(Customers!$A$2:$A$1001,B3111)&gt;0,"Valid","Invalid")</f>
        <v>Valid</v>
      </c>
      <c r="R3111" t="str">
        <f>IF(COUNTIF(Branches!$A$2:$A$11,F3111)&gt;0,"Valid","Invalid")</f>
        <v>Valid</v>
      </c>
    </row>
    <row r="3112" spans="1:18" x14ac:dyDescent="0.25">
      <c r="A3112" t="s">
        <v>5183</v>
      </c>
      <c r="B3112" t="s">
        <v>221</v>
      </c>
      <c r="C3112" s="8">
        <v>46250</v>
      </c>
      <c r="D3112" t="s">
        <v>2065</v>
      </c>
      <c r="E3112" t="s">
        <v>2059</v>
      </c>
      <c r="F3112" t="s">
        <v>45</v>
      </c>
      <c r="G3112">
        <v>219.64</v>
      </c>
      <c r="H3112" t="s">
        <v>2060</v>
      </c>
      <c r="I3112" t="str">
        <f>VLOOKUP(B3112,Customers!A:G,7,FALSE)</f>
        <v>SME</v>
      </c>
      <c r="Q3112" t="str">
        <f>IF(COUNTIF(Customers!$A$2:$A$1001,B3112)&gt;0,"Valid","Invalid")</f>
        <v>Valid</v>
      </c>
      <c r="R3112" t="str">
        <f>IF(COUNTIF(Branches!$A$2:$A$11,F3112)&gt;0,"Valid","Invalid")</f>
        <v>Valid</v>
      </c>
    </row>
    <row r="3113" spans="1:18" x14ac:dyDescent="0.25">
      <c r="A3113" t="s">
        <v>5184</v>
      </c>
      <c r="B3113" t="s">
        <v>231</v>
      </c>
      <c r="C3113" s="8">
        <v>46072</v>
      </c>
      <c r="D3113" t="s">
        <v>2070</v>
      </c>
      <c r="E3113" t="s">
        <v>2068</v>
      </c>
      <c r="F3113" t="s">
        <v>27</v>
      </c>
      <c r="G3113">
        <v>703.45</v>
      </c>
      <c r="H3113" t="s">
        <v>2060</v>
      </c>
      <c r="I3113" t="str">
        <f>VLOOKUP(B3113,Customers!A:G,7,FALSE)</f>
        <v>Individual</v>
      </c>
      <c r="Q3113" t="str">
        <f>IF(COUNTIF(Customers!$A$2:$A$1001,B3113)&gt;0,"Valid","Invalid")</f>
        <v>Valid</v>
      </c>
      <c r="R3113" t="str">
        <f>IF(COUNTIF(Branches!$A$2:$A$11,F3113)&gt;0,"Valid","Invalid")</f>
        <v>Valid</v>
      </c>
    </row>
    <row r="3114" spans="1:18" x14ac:dyDescent="0.25">
      <c r="A3114" t="s">
        <v>5185</v>
      </c>
      <c r="B3114" t="s">
        <v>500</v>
      </c>
      <c r="C3114" s="8">
        <v>46098</v>
      </c>
      <c r="D3114" t="s">
        <v>2070</v>
      </c>
      <c r="E3114" t="s">
        <v>2068</v>
      </c>
      <c r="F3114" t="s">
        <v>35</v>
      </c>
      <c r="G3114">
        <v>462.51</v>
      </c>
      <c r="H3114" t="s">
        <v>2060</v>
      </c>
      <c r="I3114" t="str">
        <f>VLOOKUP(B3114,Customers!A:G,7,FALSE)</f>
        <v>Student</v>
      </c>
      <c r="Q3114" t="str">
        <f>IF(COUNTIF(Customers!$A$2:$A$1001,B3114)&gt;0,"Valid","Invalid")</f>
        <v>Valid</v>
      </c>
      <c r="R3114" t="str">
        <f>IF(COUNTIF(Branches!$A$2:$A$11,F3114)&gt;0,"Valid","Invalid")</f>
        <v>Valid</v>
      </c>
    </row>
    <row r="3115" spans="1:18" x14ac:dyDescent="0.25">
      <c r="A3115" t="s">
        <v>5186</v>
      </c>
      <c r="B3115" t="s">
        <v>92</v>
      </c>
      <c r="C3115" s="8">
        <v>46245</v>
      </c>
      <c r="D3115" t="s">
        <v>2065</v>
      </c>
      <c r="E3115" t="s">
        <v>2059</v>
      </c>
      <c r="F3115" t="s">
        <v>29</v>
      </c>
      <c r="G3115">
        <v>239.45</v>
      </c>
      <c r="H3115" t="s">
        <v>2060</v>
      </c>
      <c r="I3115" t="str">
        <f>VLOOKUP(B3115,Customers!A:G,7,FALSE)</f>
        <v>Individual</v>
      </c>
      <c r="Q3115" t="str">
        <f>IF(COUNTIF(Customers!$A$2:$A$1001,B3115)&gt;0,"Valid","Invalid")</f>
        <v>Valid</v>
      </c>
      <c r="R3115" t="str">
        <f>IF(COUNTIF(Branches!$A$2:$A$11,F3115)&gt;0,"Valid","Invalid")</f>
        <v>Valid</v>
      </c>
    </row>
    <row r="3116" spans="1:18" x14ac:dyDescent="0.25">
      <c r="A3116" t="s">
        <v>5187</v>
      </c>
      <c r="B3116" t="s">
        <v>267</v>
      </c>
      <c r="C3116" s="8">
        <v>46199</v>
      </c>
      <c r="D3116" t="s">
        <v>2062</v>
      </c>
      <c r="E3116" t="s">
        <v>2076</v>
      </c>
      <c r="F3116" t="s">
        <v>45</v>
      </c>
      <c r="G3116">
        <v>1790.74</v>
      </c>
      <c r="H3116" t="s">
        <v>2060</v>
      </c>
      <c r="I3116" t="str">
        <f>VLOOKUP(B3116,Customers!A:G,7,FALSE)</f>
        <v>SME</v>
      </c>
      <c r="Q3116" t="str">
        <f>IF(COUNTIF(Customers!$A$2:$A$1001,B3116)&gt;0,"Valid","Invalid")</f>
        <v>Valid</v>
      </c>
      <c r="R3116" t="str">
        <f>IF(COUNTIF(Branches!$A$2:$A$11,F3116)&gt;0,"Valid","Invalid")</f>
        <v>Valid</v>
      </c>
    </row>
    <row r="3117" spans="1:18" x14ac:dyDescent="0.25">
      <c r="A3117" t="s">
        <v>5188</v>
      </c>
      <c r="B3117" t="s">
        <v>527</v>
      </c>
      <c r="C3117" s="8">
        <v>46223</v>
      </c>
      <c r="D3117" t="s">
        <v>2058</v>
      </c>
      <c r="E3117" t="s">
        <v>2059</v>
      </c>
      <c r="F3117" t="s">
        <v>27</v>
      </c>
      <c r="G3117">
        <v>1894.34</v>
      </c>
      <c r="H3117" t="s">
        <v>2115</v>
      </c>
      <c r="I3117" t="str">
        <f>VLOOKUP(B3117,Customers!A:G,7,FALSE)</f>
        <v>Individual</v>
      </c>
      <c r="Q3117" t="str">
        <f>IF(COUNTIF(Customers!$A$2:$A$1001,B3117)&gt;0,"Valid","Invalid")</f>
        <v>Valid</v>
      </c>
      <c r="R3117" t="str">
        <f>IF(COUNTIF(Branches!$A$2:$A$11,F3117)&gt;0,"Valid","Invalid")</f>
        <v>Valid</v>
      </c>
    </row>
    <row r="3118" spans="1:18" x14ac:dyDescent="0.25">
      <c r="A3118" t="s">
        <v>5189</v>
      </c>
      <c r="B3118" t="s">
        <v>62</v>
      </c>
      <c r="C3118" s="8">
        <v>46211</v>
      </c>
      <c r="D3118" t="s">
        <v>2065</v>
      </c>
      <c r="E3118" t="s">
        <v>2059</v>
      </c>
      <c r="F3118" t="s">
        <v>47</v>
      </c>
      <c r="G3118">
        <v>308.11</v>
      </c>
      <c r="H3118" t="s">
        <v>2060</v>
      </c>
      <c r="I3118" t="str">
        <f>VLOOKUP(B3118,Customers!A:G,7,FALSE)</f>
        <v>Individual</v>
      </c>
      <c r="Q3118" t="str">
        <f>IF(COUNTIF(Customers!$A$2:$A$1001,B3118)&gt;0,"Valid","Invalid")</f>
        <v>Valid</v>
      </c>
      <c r="R3118" t="str">
        <f>IF(COUNTIF(Branches!$A$2:$A$11,F3118)&gt;0,"Valid","Invalid")</f>
        <v>Valid</v>
      </c>
    </row>
    <row r="3119" spans="1:18" x14ac:dyDescent="0.25">
      <c r="A3119" t="s">
        <v>5190</v>
      </c>
      <c r="B3119" t="s">
        <v>870</v>
      </c>
      <c r="C3119" s="8">
        <v>46233</v>
      </c>
      <c r="D3119" t="s">
        <v>2065</v>
      </c>
      <c r="E3119" t="s">
        <v>2076</v>
      </c>
      <c r="F3119" t="s">
        <v>29</v>
      </c>
      <c r="G3119">
        <v>654.46</v>
      </c>
      <c r="H3119" t="s">
        <v>2060</v>
      </c>
      <c r="I3119" t="str">
        <f>VLOOKUP(B3119,Customers!A:G,7,FALSE)</f>
        <v>SME</v>
      </c>
      <c r="Q3119" t="str">
        <f>IF(COUNTIF(Customers!$A$2:$A$1001,B3119)&gt;0,"Valid","Invalid")</f>
        <v>Valid</v>
      </c>
      <c r="R3119" t="str">
        <f>IF(COUNTIF(Branches!$A$2:$A$11,F3119)&gt;0,"Valid","Invalid")</f>
        <v>Valid</v>
      </c>
    </row>
    <row r="3120" spans="1:18" x14ac:dyDescent="0.25">
      <c r="A3120" t="s">
        <v>5191</v>
      </c>
      <c r="B3120" t="s">
        <v>621</v>
      </c>
      <c r="C3120" s="8">
        <v>46068</v>
      </c>
      <c r="D3120" t="s">
        <v>2058</v>
      </c>
      <c r="E3120" t="s">
        <v>2076</v>
      </c>
      <c r="F3120" t="s">
        <v>11</v>
      </c>
      <c r="G3120">
        <v>849.22</v>
      </c>
      <c r="H3120" t="s">
        <v>2060</v>
      </c>
      <c r="I3120" t="str">
        <f>VLOOKUP(B3120,Customers!A:G,7,FALSE)</f>
        <v>Individual</v>
      </c>
      <c r="Q3120" t="str">
        <f>IF(COUNTIF(Customers!$A$2:$A$1001,B3120)&gt;0,"Valid","Invalid")</f>
        <v>Valid</v>
      </c>
      <c r="R3120" t="str">
        <f>IF(COUNTIF(Branches!$A$2:$A$11,F3120)&gt;0,"Valid","Invalid")</f>
        <v>Valid</v>
      </c>
    </row>
    <row r="3121" spans="1:18" x14ac:dyDescent="0.25">
      <c r="A3121" t="s">
        <v>5192</v>
      </c>
      <c r="B3121" t="s">
        <v>760</v>
      </c>
      <c r="C3121" s="8">
        <v>46068</v>
      </c>
      <c r="D3121" t="s">
        <v>2067</v>
      </c>
      <c r="E3121" t="s">
        <v>2076</v>
      </c>
      <c r="F3121" t="s">
        <v>35</v>
      </c>
      <c r="G3121">
        <v>132.32</v>
      </c>
      <c r="H3121" t="s">
        <v>2060</v>
      </c>
      <c r="I3121" t="str">
        <f>VLOOKUP(B3121,Customers!A:G,7,FALSE)</f>
        <v>Individual</v>
      </c>
      <c r="Q3121" t="str">
        <f>IF(COUNTIF(Customers!$A$2:$A$1001,B3121)&gt;0,"Valid","Invalid")</f>
        <v>Valid</v>
      </c>
      <c r="R3121" t="str">
        <f>IF(COUNTIF(Branches!$A$2:$A$11,F3121)&gt;0,"Valid","Invalid")</f>
        <v>Valid</v>
      </c>
    </row>
    <row r="3122" spans="1:18" x14ac:dyDescent="0.25">
      <c r="A3122" t="s">
        <v>5193</v>
      </c>
      <c r="B3122" t="s">
        <v>998</v>
      </c>
      <c r="C3122" s="8">
        <v>46148</v>
      </c>
      <c r="D3122" t="s">
        <v>2067</v>
      </c>
      <c r="E3122" t="s">
        <v>2076</v>
      </c>
      <c r="F3122" t="s">
        <v>45</v>
      </c>
      <c r="G3122">
        <v>200.92</v>
      </c>
      <c r="H3122" t="s">
        <v>2060</v>
      </c>
      <c r="I3122" t="str">
        <f>VLOOKUP(B3122,Customers!A:G,7,FALSE)</f>
        <v>Individual</v>
      </c>
      <c r="Q3122" t="str">
        <f>IF(COUNTIF(Customers!$A$2:$A$1001,B3122)&gt;0,"Valid","Invalid")</f>
        <v>Valid</v>
      </c>
      <c r="R3122" t="str">
        <f>IF(COUNTIF(Branches!$A$2:$A$11,F3122)&gt;0,"Valid","Invalid")</f>
        <v>Valid</v>
      </c>
    </row>
    <row r="3123" spans="1:18" x14ac:dyDescent="0.25">
      <c r="A3123" t="s">
        <v>5194</v>
      </c>
      <c r="B3123" t="s">
        <v>221</v>
      </c>
      <c r="C3123" s="8">
        <v>46039</v>
      </c>
      <c r="D3123" t="s">
        <v>2062</v>
      </c>
      <c r="E3123" t="s">
        <v>2076</v>
      </c>
      <c r="F3123" t="s">
        <v>39</v>
      </c>
      <c r="G3123">
        <v>2940.35</v>
      </c>
      <c r="H3123" t="s">
        <v>2107</v>
      </c>
      <c r="I3123" t="str">
        <f>VLOOKUP(B3123,Customers!A:G,7,FALSE)</f>
        <v>SME</v>
      </c>
      <c r="Q3123" t="str">
        <f>IF(COUNTIF(Customers!$A$2:$A$1001,B3123)&gt;0,"Valid","Invalid")</f>
        <v>Valid</v>
      </c>
      <c r="R3123" t="str">
        <f>IF(COUNTIF(Branches!$A$2:$A$11,F3123)&gt;0,"Valid","Invalid")</f>
        <v>Valid</v>
      </c>
    </row>
    <row r="3124" spans="1:18" x14ac:dyDescent="0.25">
      <c r="A3124" t="s">
        <v>5195</v>
      </c>
      <c r="B3124" t="s">
        <v>463</v>
      </c>
      <c r="C3124" s="8">
        <v>46088</v>
      </c>
      <c r="D3124" t="s">
        <v>2058</v>
      </c>
      <c r="E3124" t="s">
        <v>2059</v>
      </c>
      <c r="F3124" t="s">
        <v>29</v>
      </c>
      <c r="G3124">
        <v>280.02</v>
      </c>
      <c r="H3124" t="s">
        <v>2060</v>
      </c>
      <c r="I3124" t="str">
        <f>VLOOKUP(B3124,Customers!A:G,7,FALSE)</f>
        <v>Corporate</v>
      </c>
      <c r="Q3124" t="str">
        <f>IF(COUNTIF(Customers!$A$2:$A$1001,B3124)&gt;0,"Valid","Invalid")</f>
        <v>Valid</v>
      </c>
      <c r="R3124" t="str">
        <f>IF(COUNTIF(Branches!$A$2:$A$11,F3124)&gt;0,"Valid","Invalid")</f>
        <v>Valid</v>
      </c>
    </row>
    <row r="3125" spans="1:18" x14ac:dyDescent="0.25">
      <c r="A3125" t="s">
        <v>5196</v>
      </c>
      <c r="B3125" t="s">
        <v>413</v>
      </c>
      <c r="C3125" s="8">
        <v>46126</v>
      </c>
      <c r="D3125" t="s">
        <v>2058</v>
      </c>
      <c r="E3125" t="s">
        <v>2068</v>
      </c>
      <c r="F3125" t="s">
        <v>16</v>
      </c>
      <c r="G3125">
        <v>2858.87</v>
      </c>
      <c r="H3125" t="s">
        <v>2107</v>
      </c>
      <c r="I3125" t="str">
        <f>VLOOKUP(B3125,Customers!A:G,7,FALSE)</f>
        <v>Corporate</v>
      </c>
      <c r="Q3125" t="str">
        <f>IF(COUNTIF(Customers!$A$2:$A$1001,B3125)&gt;0,"Valid","Invalid")</f>
        <v>Valid</v>
      </c>
      <c r="R3125" t="str">
        <f>IF(COUNTIF(Branches!$A$2:$A$11,F3125)&gt;0,"Valid","Invalid")</f>
        <v>Valid</v>
      </c>
    </row>
    <row r="3126" spans="1:18" x14ac:dyDescent="0.25">
      <c r="A3126" t="s">
        <v>5197</v>
      </c>
      <c r="B3126" t="s">
        <v>906</v>
      </c>
      <c r="C3126" s="8">
        <v>46027</v>
      </c>
      <c r="D3126" t="s">
        <v>2065</v>
      </c>
      <c r="E3126" t="s">
        <v>2063</v>
      </c>
      <c r="F3126" t="s">
        <v>11</v>
      </c>
      <c r="G3126">
        <v>211.58</v>
      </c>
      <c r="H3126" t="s">
        <v>2060</v>
      </c>
      <c r="I3126" t="str">
        <f>VLOOKUP(B3126,Customers!A:G,7,FALSE)</f>
        <v>Individual</v>
      </c>
      <c r="Q3126" t="str">
        <f>IF(COUNTIF(Customers!$A$2:$A$1001,B3126)&gt;0,"Valid","Invalid")</f>
        <v>Valid</v>
      </c>
      <c r="R3126" t="str">
        <f>IF(COUNTIF(Branches!$A$2:$A$11,F3126)&gt;0,"Valid","Invalid")</f>
        <v>Valid</v>
      </c>
    </row>
    <row r="3127" spans="1:18" x14ac:dyDescent="0.25">
      <c r="A3127" t="s">
        <v>5198</v>
      </c>
      <c r="B3127" t="s">
        <v>75</v>
      </c>
      <c r="C3127" s="8">
        <v>46145</v>
      </c>
      <c r="D3127" t="s">
        <v>2058</v>
      </c>
      <c r="E3127" t="s">
        <v>2068</v>
      </c>
      <c r="F3127" t="s">
        <v>27</v>
      </c>
      <c r="G3127">
        <v>1570</v>
      </c>
      <c r="H3127" t="s">
        <v>2060</v>
      </c>
      <c r="I3127" t="str">
        <f>VLOOKUP(B3127,Customers!A:G,7,FALSE)</f>
        <v>Student</v>
      </c>
      <c r="Q3127" t="str">
        <f>IF(COUNTIF(Customers!$A$2:$A$1001,B3127)&gt;0,"Valid","Invalid")</f>
        <v>Valid</v>
      </c>
      <c r="R3127" t="str">
        <f>IF(COUNTIF(Branches!$A$2:$A$11,F3127)&gt;0,"Valid","Invalid")</f>
        <v>Valid</v>
      </c>
    </row>
    <row r="3128" spans="1:18" x14ac:dyDescent="0.25">
      <c r="A3128" t="s">
        <v>5199</v>
      </c>
      <c r="B3128" t="s">
        <v>522</v>
      </c>
      <c r="C3128" s="8">
        <v>46253</v>
      </c>
      <c r="D3128" t="s">
        <v>2067</v>
      </c>
      <c r="E3128" t="s">
        <v>2059</v>
      </c>
      <c r="F3128" t="s">
        <v>45</v>
      </c>
      <c r="G3128">
        <v>595.08000000000004</v>
      </c>
      <c r="H3128" t="s">
        <v>2060</v>
      </c>
      <c r="I3128" t="str">
        <f>VLOOKUP(B3128,Customers!A:G,7,FALSE)</f>
        <v>Individual</v>
      </c>
      <c r="Q3128" t="str">
        <f>IF(COUNTIF(Customers!$A$2:$A$1001,B3128)&gt;0,"Valid","Invalid")</f>
        <v>Valid</v>
      </c>
      <c r="R3128" t="str">
        <f>IF(COUNTIF(Branches!$A$2:$A$11,F3128)&gt;0,"Valid","Invalid")</f>
        <v>Valid</v>
      </c>
    </row>
    <row r="3129" spans="1:18" x14ac:dyDescent="0.25">
      <c r="A3129" t="s">
        <v>5200</v>
      </c>
      <c r="B3129" t="s">
        <v>298</v>
      </c>
      <c r="C3129" s="8">
        <v>46204</v>
      </c>
      <c r="D3129" t="s">
        <v>2058</v>
      </c>
      <c r="E3129" t="s">
        <v>2063</v>
      </c>
      <c r="F3129" t="s">
        <v>29</v>
      </c>
      <c r="G3129">
        <v>684.87</v>
      </c>
      <c r="H3129" t="s">
        <v>2060</v>
      </c>
      <c r="I3129" t="str">
        <f>VLOOKUP(B3129,Customers!A:G,7,FALSE)</f>
        <v>Student</v>
      </c>
      <c r="Q3129" t="str">
        <f>IF(COUNTIF(Customers!$A$2:$A$1001,B3129)&gt;0,"Valid","Invalid")</f>
        <v>Valid</v>
      </c>
      <c r="R3129" t="str">
        <f>IF(COUNTIF(Branches!$A$2:$A$11,F3129)&gt;0,"Valid","Invalid")</f>
        <v>Valid</v>
      </c>
    </row>
    <row r="3130" spans="1:18" x14ac:dyDescent="0.25">
      <c r="A3130" t="s">
        <v>5201</v>
      </c>
      <c r="B3130" t="s">
        <v>479</v>
      </c>
      <c r="C3130" s="8">
        <v>46147</v>
      </c>
      <c r="D3130" t="s">
        <v>2062</v>
      </c>
      <c r="E3130" t="s">
        <v>2076</v>
      </c>
      <c r="F3130" t="s">
        <v>39</v>
      </c>
      <c r="G3130">
        <v>5197.5200000000004</v>
      </c>
      <c r="H3130" t="s">
        <v>2060</v>
      </c>
      <c r="I3130" t="str">
        <f>VLOOKUP(B3130,Customers!A:G,7,FALSE)</f>
        <v>Individual</v>
      </c>
      <c r="Q3130" t="str">
        <f>IF(COUNTIF(Customers!$A$2:$A$1001,B3130)&gt;0,"Valid","Invalid")</f>
        <v>Valid</v>
      </c>
      <c r="R3130" t="str">
        <f>IF(COUNTIF(Branches!$A$2:$A$11,F3130)&gt;0,"Valid","Invalid")</f>
        <v>Valid</v>
      </c>
    </row>
    <row r="3131" spans="1:18" x14ac:dyDescent="0.25">
      <c r="A3131" t="s">
        <v>5202</v>
      </c>
      <c r="B3131" t="s">
        <v>964</v>
      </c>
      <c r="C3131" s="8">
        <v>46134</v>
      </c>
      <c r="D3131" t="s">
        <v>2062</v>
      </c>
      <c r="E3131" t="s">
        <v>2059</v>
      </c>
      <c r="F3131" t="s">
        <v>29</v>
      </c>
      <c r="G3131">
        <v>231.79</v>
      </c>
      <c r="H3131" t="s">
        <v>2060</v>
      </c>
      <c r="I3131" t="str">
        <f>VLOOKUP(B3131,Customers!A:G,7,FALSE)</f>
        <v>Individual</v>
      </c>
      <c r="Q3131" t="str">
        <f>IF(COUNTIF(Customers!$A$2:$A$1001,B3131)&gt;0,"Valid","Invalid")</f>
        <v>Valid</v>
      </c>
      <c r="R3131" t="str">
        <f>IF(COUNTIF(Branches!$A$2:$A$11,F3131)&gt;0,"Valid","Invalid")</f>
        <v>Valid</v>
      </c>
    </row>
    <row r="3132" spans="1:18" x14ac:dyDescent="0.25">
      <c r="A3132" t="s">
        <v>5203</v>
      </c>
      <c r="B3132" t="s">
        <v>894</v>
      </c>
      <c r="C3132" s="8">
        <v>46038</v>
      </c>
      <c r="D3132" t="s">
        <v>2067</v>
      </c>
      <c r="E3132" t="s">
        <v>2068</v>
      </c>
      <c r="F3132" t="s">
        <v>29</v>
      </c>
      <c r="G3132">
        <v>1472.62</v>
      </c>
      <c r="H3132" t="s">
        <v>2060</v>
      </c>
      <c r="I3132" t="str">
        <f>VLOOKUP(B3132,Customers!A:G,7,FALSE)</f>
        <v>Individual</v>
      </c>
      <c r="Q3132" t="str">
        <f>IF(COUNTIF(Customers!$A$2:$A$1001,B3132)&gt;0,"Valid","Invalid")</f>
        <v>Valid</v>
      </c>
      <c r="R3132" t="str">
        <f>IF(COUNTIF(Branches!$A$2:$A$11,F3132)&gt;0,"Valid","Invalid")</f>
        <v>Valid</v>
      </c>
    </row>
    <row r="3133" spans="1:18" x14ac:dyDescent="0.25">
      <c r="A3133" t="s">
        <v>5204</v>
      </c>
      <c r="B3133" t="s">
        <v>120</v>
      </c>
      <c r="C3133" s="8">
        <v>46103</v>
      </c>
      <c r="D3133" t="s">
        <v>2058</v>
      </c>
      <c r="E3133" t="s">
        <v>2059</v>
      </c>
      <c r="F3133" t="s">
        <v>21</v>
      </c>
      <c r="G3133">
        <v>1413.03</v>
      </c>
      <c r="H3133" t="s">
        <v>2060</v>
      </c>
      <c r="I3133" t="str">
        <f>VLOOKUP(B3133,Customers!A:G,7,FALSE)</f>
        <v>SME</v>
      </c>
      <c r="Q3133" t="str">
        <f>IF(COUNTIF(Customers!$A$2:$A$1001,B3133)&gt;0,"Valid","Invalid")</f>
        <v>Valid</v>
      </c>
      <c r="R3133" t="str">
        <f>IF(COUNTIF(Branches!$A$2:$A$11,F3133)&gt;0,"Valid","Invalid")</f>
        <v>Valid</v>
      </c>
    </row>
    <row r="3134" spans="1:18" x14ac:dyDescent="0.25">
      <c r="A3134" t="s">
        <v>5205</v>
      </c>
      <c r="B3134" t="s">
        <v>81</v>
      </c>
      <c r="C3134" s="8">
        <v>46113</v>
      </c>
      <c r="D3134" t="s">
        <v>2070</v>
      </c>
      <c r="E3134" t="s">
        <v>2076</v>
      </c>
      <c r="F3134" t="s">
        <v>29</v>
      </c>
      <c r="G3134">
        <v>23261.93</v>
      </c>
      <c r="H3134" t="s">
        <v>2060</v>
      </c>
      <c r="I3134" t="str">
        <f>VLOOKUP(B3134,Customers!A:G,7,FALSE)</f>
        <v>Individual</v>
      </c>
      <c r="Q3134" t="str">
        <f>IF(COUNTIF(Customers!$A$2:$A$1001,B3134)&gt;0,"Valid","Invalid")</f>
        <v>Valid</v>
      </c>
      <c r="R3134" t="str">
        <f>IF(COUNTIF(Branches!$A$2:$A$11,F3134)&gt;0,"Valid","Invalid")</f>
        <v>Valid</v>
      </c>
    </row>
    <row r="3135" spans="1:18" x14ac:dyDescent="0.25">
      <c r="A3135" t="s">
        <v>5206</v>
      </c>
      <c r="B3135" t="s">
        <v>478</v>
      </c>
      <c r="C3135" s="8">
        <v>46157</v>
      </c>
      <c r="D3135" t="s">
        <v>2058</v>
      </c>
      <c r="E3135" t="s">
        <v>2063</v>
      </c>
      <c r="F3135" t="s">
        <v>53</v>
      </c>
      <c r="G3135">
        <v>276.68</v>
      </c>
      <c r="H3135" t="s">
        <v>2060</v>
      </c>
      <c r="I3135" t="str">
        <f>VLOOKUP(B3135,Customers!A:G,7,FALSE)</f>
        <v>Corporate</v>
      </c>
      <c r="Q3135" t="str">
        <f>IF(COUNTIF(Customers!$A$2:$A$1001,B3135)&gt;0,"Valid","Invalid")</f>
        <v>Valid</v>
      </c>
      <c r="R3135" t="str">
        <f>IF(COUNTIF(Branches!$A$2:$A$11,F3135)&gt;0,"Valid","Invalid")</f>
        <v>Valid</v>
      </c>
    </row>
    <row r="3136" spans="1:18" x14ac:dyDescent="0.25">
      <c r="A3136" t="s">
        <v>5207</v>
      </c>
      <c r="B3136" t="s">
        <v>709</v>
      </c>
      <c r="C3136" s="8">
        <v>46158</v>
      </c>
      <c r="D3136" t="s">
        <v>2065</v>
      </c>
      <c r="E3136" t="s">
        <v>2063</v>
      </c>
      <c r="F3136" t="s">
        <v>47</v>
      </c>
      <c r="G3136">
        <v>434.42</v>
      </c>
      <c r="H3136" t="s">
        <v>2060</v>
      </c>
      <c r="I3136" t="str">
        <f>VLOOKUP(B3136,Customers!A:G,7,FALSE)</f>
        <v>SME</v>
      </c>
      <c r="Q3136" t="str">
        <f>IF(COUNTIF(Customers!$A$2:$A$1001,B3136)&gt;0,"Valid","Invalid")</f>
        <v>Valid</v>
      </c>
      <c r="R3136" t="str">
        <f>IF(COUNTIF(Branches!$A$2:$A$11,F3136)&gt;0,"Valid","Invalid")</f>
        <v>Valid</v>
      </c>
    </row>
    <row r="3137" spans="1:18" x14ac:dyDescent="0.25">
      <c r="A3137" t="s">
        <v>5208</v>
      </c>
      <c r="B3137" t="s">
        <v>894</v>
      </c>
      <c r="C3137" s="8">
        <v>46094</v>
      </c>
      <c r="D3137" t="s">
        <v>2058</v>
      </c>
      <c r="E3137" t="s">
        <v>2059</v>
      </c>
      <c r="F3137" t="s">
        <v>53</v>
      </c>
      <c r="G3137">
        <v>1837.06</v>
      </c>
      <c r="H3137" t="s">
        <v>2060</v>
      </c>
      <c r="I3137" t="str">
        <f>VLOOKUP(B3137,Customers!A:G,7,FALSE)</f>
        <v>Individual</v>
      </c>
      <c r="Q3137" t="str">
        <f>IF(COUNTIF(Customers!$A$2:$A$1001,B3137)&gt;0,"Valid","Invalid")</f>
        <v>Valid</v>
      </c>
      <c r="R3137" t="str">
        <f>IF(COUNTIF(Branches!$A$2:$A$11,F3137)&gt;0,"Valid","Invalid")</f>
        <v>Valid</v>
      </c>
    </row>
    <row r="3138" spans="1:18" x14ac:dyDescent="0.25">
      <c r="A3138" t="s">
        <v>5209</v>
      </c>
      <c r="B3138" t="s">
        <v>557</v>
      </c>
      <c r="C3138" s="8">
        <v>46237</v>
      </c>
      <c r="D3138" t="s">
        <v>2065</v>
      </c>
      <c r="E3138" t="s">
        <v>2076</v>
      </c>
      <c r="F3138" t="s">
        <v>29</v>
      </c>
      <c r="G3138">
        <v>664.97</v>
      </c>
      <c r="H3138" t="s">
        <v>2060</v>
      </c>
      <c r="I3138" t="str">
        <f>VLOOKUP(B3138,Customers!A:G,7,FALSE)</f>
        <v>Individual</v>
      </c>
      <c r="Q3138" t="str">
        <f>IF(COUNTIF(Customers!$A$2:$A$1001,B3138)&gt;0,"Valid","Invalid")</f>
        <v>Valid</v>
      </c>
      <c r="R3138" t="str">
        <f>IF(COUNTIF(Branches!$A$2:$A$11,F3138)&gt;0,"Valid","Invalid")</f>
        <v>Valid</v>
      </c>
    </row>
    <row r="3139" spans="1:18" x14ac:dyDescent="0.25">
      <c r="A3139" t="s">
        <v>5210</v>
      </c>
      <c r="B3139" t="s">
        <v>1024</v>
      </c>
      <c r="C3139" s="8">
        <v>46118</v>
      </c>
      <c r="D3139" t="s">
        <v>2062</v>
      </c>
      <c r="E3139" t="s">
        <v>2076</v>
      </c>
      <c r="F3139" t="s">
        <v>21</v>
      </c>
      <c r="G3139">
        <v>511.3</v>
      </c>
      <c r="H3139" t="s">
        <v>2060</v>
      </c>
      <c r="I3139" t="str">
        <f>VLOOKUP(B3139,Customers!A:G,7,FALSE)</f>
        <v>Student</v>
      </c>
      <c r="Q3139" t="str">
        <f>IF(COUNTIF(Customers!$A$2:$A$1001,B3139)&gt;0,"Valid","Invalid")</f>
        <v>Valid</v>
      </c>
      <c r="R3139" t="str">
        <f>IF(COUNTIF(Branches!$A$2:$A$11,F3139)&gt;0,"Valid","Invalid")</f>
        <v>Valid</v>
      </c>
    </row>
    <row r="3140" spans="1:18" x14ac:dyDescent="0.25">
      <c r="A3140" t="s">
        <v>5211</v>
      </c>
      <c r="B3140" t="s">
        <v>883</v>
      </c>
      <c r="C3140" s="8">
        <v>46257</v>
      </c>
      <c r="D3140" t="s">
        <v>2058</v>
      </c>
      <c r="E3140" t="s">
        <v>2059</v>
      </c>
      <c r="F3140" t="s">
        <v>29</v>
      </c>
      <c r="G3140">
        <v>2116.48</v>
      </c>
      <c r="H3140" t="s">
        <v>2060</v>
      </c>
      <c r="I3140" t="str">
        <f>VLOOKUP(B3140,Customers!A:G,7,FALSE)</f>
        <v>SME</v>
      </c>
      <c r="Q3140" t="str">
        <f>IF(COUNTIF(Customers!$A$2:$A$1001,B3140)&gt;0,"Valid","Invalid")</f>
        <v>Valid</v>
      </c>
      <c r="R3140" t="str">
        <f>IF(COUNTIF(Branches!$A$2:$A$11,F3140)&gt;0,"Valid","Invalid")</f>
        <v>Valid</v>
      </c>
    </row>
    <row r="3141" spans="1:18" x14ac:dyDescent="0.25">
      <c r="A3141" t="s">
        <v>5212</v>
      </c>
      <c r="B3141" t="s">
        <v>476</v>
      </c>
      <c r="C3141" s="8">
        <v>46133</v>
      </c>
      <c r="D3141" t="s">
        <v>2067</v>
      </c>
      <c r="E3141" t="s">
        <v>2073</v>
      </c>
      <c r="F3141" t="s">
        <v>45</v>
      </c>
      <c r="G3141">
        <v>622.30999999999995</v>
      </c>
      <c r="H3141" t="s">
        <v>2060</v>
      </c>
      <c r="I3141" t="str">
        <f>VLOOKUP(B3141,Customers!A:G,7,FALSE)</f>
        <v>Individual</v>
      </c>
      <c r="Q3141" t="str">
        <f>IF(COUNTIF(Customers!$A$2:$A$1001,B3141)&gt;0,"Valid","Invalid")</f>
        <v>Valid</v>
      </c>
      <c r="R3141" t="str">
        <f>IF(COUNTIF(Branches!$A$2:$A$11,F3141)&gt;0,"Valid","Invalid")</f>
        <v>Valid</v>
      </c>
    </row>
    <row r="3142" spans="1:18" x14ac:dyDescent="0.25">
      <c r="A3142" t="s">
        <v>5213</v>
      </c>
      <c r="B3142" t="s">
        <v>172</v>
      </c>
      <c r="C3142" s="8">
        <v>46104</v>
      </c>
      <c r="D3142" t="s">
        <v>2065</v>
      </c>
      <c r="E3142" t="s">
        <v>2076</v>
      </c>
      <c r="F3142" t="s">
        <v>39</v>
      </c>
      <c r="G3142">
        <v>333</v>
      </c>
      <c r="H3142" t="s">
        <v>2060</v>
      </c>
      <c r="I3142" t="str">
        <f>VLOOKUP(B3142,Customers!A:G,7,FALSE)</f>
        <v>Individual</v>
      </c>
      <c r="Q3142" t="str">
        <f>IF(COUNTIF(Customers!$A$2:$A$1001,B3142)&gt;0,"Valid","Invalid")</f>
        <v>Valid</v>
      </c>
      <c r="R3142" t="str">
        <f>IF(COUNTIF(Branches!$A$2:$A$11,F3142)&gt;0,"Valid","Invalid")</f>
        <v>Valid</v>
      </c>
    </row>
    <row r="3143" spans="1:18" x14ac:dyDescent="0.25">
      <c r="A3143" t="s">
        <v>5214</v>
      </c>
      <c r="B3143" t="s">
        <v>220</v>
      </c>
      <c r="C3143" s="8">
        <v>46060</v>
      </c>
      <c r="D3143" t="s">
        <v>2067</v>
      </c>
      <c r="E3143" t="s">
        <v>2073</v>
      </c>
      <c r="F3143" t="s">
        <v>53</v>
      </c>
      <c r="G3143">
        <v>1679.43</v>
      </c>
      <c r="H3143" t="s">
        <v>2060</v>
      </c>
      <c r="I3143" t="str">
        <f>VLOOKUP(B3143,Customers!A:G,7,FALSE)</f>
        <v>Individual</v>
      </c>
      <c r="Q3143" t="str">
        <f>IF(COUNTIF(Customers!$A$2:$A$1001,B3143)&gt;0,"Valid","Invalid")</f>
        <v>Valid</v>
      </c>
      <c r="R3143" t="str">
        <f>IF(COUNTIF(Branches!$A$2:$A$11,F3143)&gt;0,"Valid","Invalid")</f>
        <v>Valid</v>
      </c>
    </row>
    <row r="3144" spans="1:18" x14ac:dyDescent="0.25">
      <c r="A3144" t="s">
        <v>5215</v>
      </c>
      <c r="B3144" t="s">
        <v>747</v>
      </c>
      <c r="C3144" s="8">
        <v>46076</v>
      </c>
      <c r="D3144" t="s">
        <v>2062</v>
      </c>
      <c r="E3144" t="s">
        <v>2063</v>
      </c>
      <c r="F3144" t="s">
        <v>35</v>
      </c>
      <c r="G3144">
        <v>1182.3800000000001</v>
      </c>
      <c r="H3144" t="s">
        <v>2060</v>
      </c>
      <c r="I3144" t="str">
        <f>VLOOKUP(B3144,Customers!A:G,7,FALSE)</f>
        <v>SME</v>
      </c>
      <c r="Q3144" t="str">
        <f>IF(COUNTIF(Customers!$A$2:$A$1001,B3144)&gt;0,"Valid","Invalid")</f>
        <v>Valid</v>
      </c>
      <c r="R3144" t="str">
        <f>IF(COUNTIF(Branches!$A$2:$A$11,F3144)&gt;0,"Valid","Invalid")</f>
        <v>Valid</v>
      </c>
    </row>
    <row r="3145" spans="1:18" x14ac:dyDescent="0.25">
      <c r="A3145" t="s">
        <v>5216</v>
      </c>
      <c r="B3145" t="s">
        <v>208</v>
      </c>
      <c r="C3145" s="8">
        <v>46098</v>
      </c>
      <c r="D3145" t="s">
        <v>2065</v>
      </c>
      <c r="E3145" t="s">
        <v>2063</v>
      </c>
      <c r="F3145" t="s">
        <v>47</v>
      </c>
      <c r="G3145">
        <v>594.16</v>
      </c>
      <c r="H3145" t="s">
        <v>2060</v>
      </c>
      <c r="I3145" t="str">
        <f>VLOOKUP(B3145,Customers!A:G,7,FALSE)</f>
        <v>Individual</v>
      </c>
      <c r="Q3145" t="str">
        <f>IF(COUNTIF(Customers!$A$2:$A$1001,B3145)&gt;0,"Valid","Invalid")</f>
        <v>Valid</v>
      </c>
      <c r="R3145" t="str">
        <f>IF(COUNTIF(Branches!$A$2:$A$11,F3145)&gt;0,"Valid","Invalid")</f>
        <v>Valid</v>
      </c>
    </row>
    <row r="3146" spans="1:18" x14ac:dyDescent="0.25">
      <c r="A3146" t="s">
        <v>5217</v>
      </c>
      <c r="B3146" t="s">
        <v>947</v>
      </c>
      <c r="C3146" s="8">
        <v>46037</v>
      </c>
      <c r="D3146" t="s">
        <v>2067</v>
      </c>
      <c r="E3146" t="s">
        <v>2063</v>
      </c>
      <c r="F3146" t="s">
        <v>47</v>
      </c>
      <c r="G3146">
        <v>566.63</v>
      </c>
      <c r="H3146" t="s">
        <v>2060</v>
      </c>
      <c r="I3146" t="str">
        <f>VLOOKUP(B3146,Customers!A:G,7,FALSE)</f>
        <v>Individual</v>
      </c>
      <c r="Q3146" t="str">
        <f>IF(COUNTIF(Customers!$A$2:$A$1001,B3146)&gt;0,"Valid","Invalid")</f>
        <v>Valid</v>
      </c>
      <c r="R3146" t="str">
        <f>IF(COUNTIF(Branches!$A$2:$A$11,F3146)&gt;0,"Valid","Invalid")</f>
        <v>Valid</v>
      </c>
    </row>
    <row r="3147" spans="1:18" x14ac:dyDescent="0.25">
      <c r="A3147" t="s">
        <v>5218</v>
      </c>
      <c r="B3147" t="s">
        <v>899</v>
      </c>
      <c r="C3147" s="8">
        <v>46242</v>
      </c>
      <c r="D3147" t="s">
        <v>2070</v>
      </c>
      <c r="E3147" t="s">
        <v>2063</v>
      </c>
      <c r="F3147" t="s">
        <v>29</v>
      </c>
      <c r="G3147">
        <v>325.41000000000003</v>
      </c>
      <c r="H3147" t="s">
        <v>2060</v>
      </c>
      <c r="I3147" t="str">
        <f>VLOOKUP(B3147,Customers!A:G,7,FALSE)</f>
        <v>Corporate</v>
      </c>
      <c r="Q3147" t="str">
        <f>IF(COUNTIF(Customers!$A$2:$A$1001,B3147)&gt;0,"Valid","Invalid")</f>
        <v>Valid</v>
      </c>
      <c r="R3147" t="str">
        <f>IF(COUNTIF(Branches!$A$2:$A$11,F3147)&gt;0,"Valid","Invalid")</f>
        <v>Valid</v>
      </c>
    </row>
    <row r="3148" spans="1:18" x14ac:dyDescent="0.25">
      <c r="A3148" t="s">
        <v>5219</v>
      </c>
      <c r="B3148" t="s">
        <v>826</v>
      </c>
      <c r="C3148" s="8">
        <v>46252</v>
      </c>
      <c r="D3148" t="s">
        <v>2067</v>
      </c>
      <c r="E3148" t="s">
        <v>2059</v>
      </c>
      <c r="F3148" t="s">
        <v>11</v>
      </c>
      <c r="G3148">
        <v>1677.56</v>
      </c>
      <c r="H3148" t="s">
        <v>2060</v>
      </c>
      <c r="I3148" t="str">
        <f>VLOOKUP(B3148,Customers!A:G,7,FALSE)</f>
        <v>SME</v>
      </c>
      <c r="Q3148" t="str">
        <f>IF(COUNTIF(Customers!$A$2:$A$1001,B3148)&gt;0,"Valid","Invalid")</f>
        <v>Valid</v>
      </c>
      <c r="R3148" t="str">
        <f>IF(COUNTIF(Branches!$A$2:$A$11,F3148)&gt;0,"Valid","Invalid")</f>
        <v>Valid</v>
      </c>
    </row>
    <row r="3149" spans="1:18" x14ac:dyDescent="0.25">
      <c r="A3149" t="s">
        <v>5220</v>
      </c>
      <c r="B3149" t="s">
        <v>628</v>
      </c>
      <c r="C3149" s="8">
        <v>46200</v>
      </c>
      <c r="D3149" t="s">
        <v>2067</v>
      </c>
      <c r="E3149" t="s">
        <v>2059</v>
      </c>
      <c r="F3149" t="s">
        <v>16</v>
      </c>
      <c r="G3149">
        <v>566.74</v>
      </c>
      <c r="H3149" t="s">
        <v>2060</v>
      </c>
      <c r="I3149" t="str">
        <f>VLOOKUP(B3149,Customers!A:G,7,FALSE)</f>
        <v>Individual</v>
      </c>
      <c r="Q3149" t="str">
        <f>IF(COUNTIF(Customers!$A$2:$A$1001,B3149)&gt;0,"Valid","Invalid")</f>
        <v>Valid</v>
      </c>
      <c r="R3149" t="str">
        <f>IF(COUNTIF(Branches!$A$2:$A$11,F3149)&gt;0,"Valid","Invalid")</f>
        <v>Valid</v>
      </c>
    </row>
    <row r="3150" spans="1:18" x14ac:dyDescent="0.25">
      <c r="A3150" t="s">
        <v>5221</v>
      </c>
      <c r="B3150" t="s">
        <v>966</v>
      </c>
      <c r="C3150" s="8">
        <v>46206</v>
      </c>
      <c r="D3150" t="s">
        <v>2058</v>
      </c>
      <c r="E3150" t="s">
        <v>2059</v>
      </c>
      <c r="F3150" t="s">
        <v>47</v>
      </c>
      <c r="G3150">
        <v>376.21</v>
      </c>
      <c r="H3150" t="s">
        <v>2060</v>
      </c>
      <c r="I3150" t="str">
        <f>VLOOKUP(B3150,Customers!A:G,7,FALSE)</f>
        <v>Individual</v>
      </c>
      <c r="Q3150" t="str">
        <f>IF(COUNTIF(Customers!$A$2:$A$1001,B3150)&gt;0,"Valid","Invalid")</f>
        <v>Valid</v>
      </c>
      <c r="R3150" t="str">
        <f>IF(COUNTIF(Branches!$A$2:$A$11,F3150)&gt;0,"Valid","Invalid")</f>
        <v>Valid</v>
      </c>
    </row>
    <row r="3151" spans="1:18" x14ac:dyDescent="0.25">
      <c r="A3151" t="s">
        <v>5222</v>
      </c>
      <c r="B3151" t="s">
        <v>994</v>
      </c>
      <c r="C3151" s="8">
        <v>46245</v>
      </c>
      <c r="D3151" t="s">
        <v>2067</v>
      </c>
      <c r="E3151" t="s">
        <v>2076</v>
      </c>
      <c r="F3151" t="s">
        <v>45</v>
      </c>
      <c r="G3151">
        <v>224.63</v>
      </c>
      <c r="H3151" t="s">
        <v>2060</v>
      </c>
      <c r="I3151" t="str">
        <f>VLOOKUP(B3151,Customers!A:G,7,FALSE)</f>
        <v>Individual</v>
      </c>
      <c r="Q3151" t="str">
        <f>IF(COUNTIF(Customers!$A$2:$A$1001,B3151)&gt;0,"Valid","Invalid")</f>
        <v>Valid</v>
      </c>
      <c r="R3151" t="str">
        <f>IF(COUNTIF(Branches!$A$2:$A$11,F3151)&gt;0,"Valid","Invalid")</f>
        <v>Valid</v>
      </c>
    </row>
    <row r="3152" spans="1:18" x14ac:dyDescent="0.25">
      <c r="A3152" t="s">
        <v>5223</v>
      </c>
      <c r="B3152" t="s">
        <v>728</v>
      </c>
      <c r="C3152" s="8">
        <v>46138</v>
      </c>
      <c r="D3152" t="s">
        <v>2065</v>
      </c>
      <c r="E3152" t="s">
        <v>2073</v>
      </c>
      <c r="F3152" t="s">
        <v>39</v>
      </c>
      <c r="G3152">
        <v>1202.5</v>
      </c>
      <c r="H3152" t="s">
        <v>2060</v>
      </c>
      <c r="I3152" t="str">
        <f>VLOOKUP(B3152,Customers!A:G,7,FALSE)</f>
        <v>Individual</v>
      </c>
      <c r="Q3152" t="str">
        <f>IF(COUNTIF(Customers!$A$2:$A$1001,B3152)&gt;0,"Valid","Invalid")</f>
        <v>Valid</v>
      </c>
      <c r="R3152" t="str">
        <f>IF(COUNTIF(Branches!$A$2:$A$11,F3152)&gt;0,"Valid","Invalid")</f>
        <v>Valid</v>
      </c>
    </row>
    <row r="3153" spans="1:18" x14ac:dyDescent="0.25">
      <c r="A3153" t="s">
        <v>5224</v>
      </c>
      <c r="B3153" t="s">
        <v>577</v>
      </c>
      <c r="C3153" s="8">
        <v>46031</v>
      </c>
      <c r="D3153" t="s">
        <v>2065</v>
      </c>
      <c r="E3153" t="s">
        <v>2068</v>
      </c>
      <c r="F3153" t="s">
        <v>29</v>
      </c>
      <c r="G3153">
        <v>488.54</v>
      </c>
      <c r="H3153" t="s">
        <v>2060</v>
      </c>
      <c r="I3153" t="str">
        <f>VLOOKUP(B3153,Customers!A:G,7,FALSE)</f>
        <v>Individual</v>
      </c>
      <c r="Q3153" t="str">
        <f>IF(COUNTIF(Customers!$A$2:$A$1001,B3153)&gt;0,"Valid","Invalid")</f>
        <v>Valid</v>
      </c>
      <c r="R3153" t="str">
        <f>IF(COUNTIF(Branches!$A$2:$A$11,F3153)&gt;0,"Valid","Invalid")</f>
        <v>Valid</v>
      </c>
    </row>
    <row r="3154" spans="1:18" x14ac:dyDescent="0.25">
      <c r="A3154" t="s">
        <v>5225</v>
      </c>
      <c r="B3154" t="s">
        <v>156</v>
      </c>
      <c r="C3154" s="8">
        <v>46030</v>
      </c>
      <c r="D3154" t="s">
        <v>2058</v>
      </c>
      <c r="E3154" t="s">
        <v>2063</v>
      </c>
      <c r="F3154" t="s">
        <v>16</v>
      </c>
      <c r="G3154">
        <v>108.56</v>
      </c>
      <c r="H3154" t="s">
        <v>2060</v>
      </c>
      <c r="I3154" t="str">
        <f>VLOOKUP(B3154,Customers!A:G,7,FALSE)</f>
        <v>Individual</v>
      </c>
      <c r="Q3154" t="str">
        <f>IF(COUNTIF(Customers!$A$2:$A$1001,B3154)&gt;0,"Valid","Invalid")</f>
        <v>Valid</v>
      </c>
      <c r="R3154" t="str">
        <f>IF(COUNTIF(Branches!$A$2:$A$11,F3154)&gt;0,"Valid","Invalid")</f>
        <v>Valid</v>
      </c>
    </row>
    <row r="3155" spans="1:18" x14ac:dyDescent="0.25">
      <c r="A3155" t="s">
        <v>5226</v>
      </c>
      <c r="B3155" t="s">
        <v>319</v>
      </c>
      <c r="C3155" s="8">
        <v>46132</v>
      </c>
      <c r="D3155" t="s">
        <v>2070</v>
      </c>
      <c r="E3155" t="s">
        <v>2063</v>
      </c>
      <c r="F3155" t="s">
        <v>16</v>
      </c>
      <c r="G3155">
        <v>243.89</v>
      </c>
      <c r="H3155" t="s">
        <v>2060</v>
      </c>
      <c r="I3155" t="str">
        <f>VLOOKUP(B3155,Customers!A:G,7,FALSE)</f>
        <v>Student</v>
      </c>
      <c r="Q3155" t="str">
        <f>IF(COUNTIF(Customers!$A$2:$A$1001,B3155)&gt;0,"Valid","Invalid")</f>
        <v>Valid</v>
      </c>
      <c r="R3155" t="str">
        <f>IF(COUNTIF(Branches!$A$2:$A$11,F3155)&gt;0,"Valid","Invalid")</f>
        <v>Valid</v>
      </c>
    </row>
    <row r="3156" spans="1:18" x14ac:dyDescent="0.25">
      <c r="A3156" t="s">
        <v>5227</v>
      </c>
      <c r="B3156" t="s">
        <v>346</v>
      </c>
      <c r="C3156" s="8">
        <v>46169</v>
      </c>
      <c r="D3156" t="s">
        <v>2065</v>
      </c>
      <c r="E3156" t="s">
        <v>2063</v>
      </c>
      <c r="F3156" t="s">
        <v>35</v>
      </c>
      <c r="G3156">
        <v>643.16999999999996</v>
      </c>
      <c r="H3156" t="s">
        <v>2060</v>
      </c>
      <c r="I3156" t="str">
        <f>VLOOKUP(B3156,Customers!A:G,7,FALSE)</f>
        <v>SME</v>
      </c>
      <c r="Q3156" t="str">
        <f>IF(COUNTIF(Customers!$A$2:$A$1001,B3156)&gt;0,"Valid","Invalid")</f>
        <v>Valid</v>
      </c>
      <c r="R3156" t="str">
        <f>IF(COUNTIF(Branches!$A$2:$A$11,F3156)&gt;0,"Valid","Invalid")</f>
        <v>Valid</v>
      </c>
    </row>
    <row r="3157" spans="1:18" x14ac:dyDescent="0.25">
      <c r="A3157" t="s">
        <v>5228</v>
      </c>
      <c r="B3157" t="s">
        <v>746</v>
      </c>
      <c r="C3157" s="8">
        <v>46073</v>
      </c>
      <c r="D3157" t="s">
        <v>2065</v>
      </c>
      <c r="E3157" t="s">
        <v>2063</v>
      </c>
      <c r="F3157" t="s">
        <v>27</v>
      </c>
      <c r="G3157">
        <v>661.47</v>
      </c>
      <c r="H3157" t="s">
        <v>2060</v>
      </c>
      <c r="I3157" t="str">
        <f>VLOOKUP(B3157,Customers!A:G,7,FALSE)</f>
        <v>Individual</v>
      </c>
      <c r="Q3157" t="str">
        <f>IF(COUNTIF(Customers!$A$2:$A$1001,B3157)&gt;0,"Valid","Invalid")</f>
        <v>Valid</v>
      </c>
      <c r="R3157" t="str">
        <f>IF(COUNTIF(Branches!$A$2:$A$11,F3157)&gt;0,"Valid","Invalid")</f>
        <v>Valid</v>
      </c>
    </row>
    <row r="3158" spans="1:18" x14ac:dyDescent="0.25">
      <c r="A3158" t="s">
        <v>5229</v>
      </c>
      <c r="B3158" t="s">
        <v>315</v>
      </c>
      <c r="C3158" s="8">
        <v>46222</v>
      </c>
      <c r="D3158" t="s">
        <v>2067</v>
      </c>
      <c r="E3158" t="s">
        <v>2059</v>
      </c>
      <c r="F3158" t="s">
        <v>47</v>
      </c>
      <c r="G3158">
        <v>636.79999999999995</v>
      </c>
      <c r="H3158" t="s">
        <v>2060</v>
      </c>
      <c r="I3158" t="str">
        <f>VLOOKUP(B3158,Customers!A:G,7,FALSE)</f>
        <v>SME</v>
      </c>
      <c r="Q3158" t="str">
        <f>IF(COUNTIF(Customers!$A$2:$A$1001,B3158)&gt;0,"Valid","Invalid")</f>
        <v>Valid</v>
      </c>
      <c r="R3158" t="str">
        <f>IF(COUNTIF(Branches!$A$2:$A$11,F3158)&gt;0,"Valid","Invalid")</f>
        <v>Valid</v>
      </c>
    </row>
    <row r="3159" spans="1:18" x14ac:dyDescent="0.25">
      <c r="A3159" t="s">
        <v>5230</v>
      </c>
      <c r="B3159" t="s">
        <v>568</v>
      </c>
      <c r="C3159" s="8">
        <v>46248</v>
      </c>
      <c r="D3159" t="s">
        <v>2062</v>
      </c>
      <c r="E3159" t="s">
        <v>2059</v>
      </c>
      <c r="F3159" t="s">
        <v>11</v>
      </c>
      <c r="G3159">
        <v>554.04</v>
      </c>
      <c r="H3159" t="s">
        <v>2060</v>
      </c>
      <c r="I3159" t="str">
        <f>VLOOKUP(B3159,Customers!A:G,7,FALSE)</f>
        <v>Individual</v>
      </c>
      <c r="Q3159" t="str">
        <f>IF(COUNTIF(Customers!$A$2:$A$1001,B3159)&gt;0,"Valid","Invalid")</f>
        <v>Valid</v>
      </c>
      <c r="R3159" t="str">
        <f>IF(COUNTIF(Branches!$A$2:$A$11,F3159)&gt;0,"Valid","Invalid")</f>
        <v>Valid</v>
      </c>
    </row>
    <row r="3160" spans="1:18" x14ac:dyDescent="0.25">
      <c r="A3160" t="s">
        <v>5231</v>
      </c>
      <c r="B3160" t="s">
        <v>333</v>
      </c>
      <c r="C3160" s="8">
        <v>46207</v>
      </c>
      <c r="D3160" t="s">
        <v>2065</v>
      </c>
      <c r="E3160" t="s">
        <v>2063</v>
      </c>
      <c r="F3160" t="s">
        <v>39</v>
      </c>
      <c r="G3160">
        <v>185.7</v>
      </c>
      <c r="H3160" t="s">
        <v>2060</v>
      </c>
      <c r="I3160" t="str">
        <f>VLOOKUP(B3160,Customers!A:G,7,FALSE)</f>
        <v>Individual</v>
      </c>
      <c r="Q3160" t="str">
        <f>IF(COUNTIF(Customers!$A$2:$A$1001,B3160)&gt;0,"Valid","Invalid")</f>
        <v>Valid</v>
      </c>
      <c r="R3160" t="str">
        <f>IF(COUNTIF(Branches!$A$2:$A$11,F3160)&gt;0,"Valid","Invalid")</f>
        <v>Valid</v>
      </c>
    </row>
    <row r="3161" spans="1:18" x14ac:dyDescent="0.25">
      <c r="A3161" t="s">
        <v>5232</v>
      </c>
      <c r="B3161" t="s">
        <v>821</v>
      </c>
      <c r="C3161" s="8">
        <v>46218</v>
      </c>
      <c r="D3161" t="s">
        <v>2062</v>
      </c>
      <c r="E3161" t="s">
        <v>2076</v>
      </c>
      <c r="F3161" t="s">
        <v>11</v>
      </c>
      <c r="G3161">
        <v>338.81</v>
      </c>
      <c r="H3161" t="s">
        <v>2060</v>
      </c>
      <c r="I3161" t="str">
        <f>VLOOKUP(B3161,Customers!A:G,7,FALSE)</f>
        <v>SME</v>
      </c>
      <c r="Q3161" t="str">
        <f>IF(COUNTIF(Customers!$A$2:$A$1001,B3161)&gt;0,"Valid","Invalid")</f>
        <v>Valid</v>
      </c>
      <c r="R3161" t="str">
        <f>IF(COUNTIF(Branches!$A$2:$A$11,F3161)&gt;0,"Valid","Invalid")</f>
        <v>Valid</v>
      </c>
    </row>
    <row r="3162" spans="1:18" x14ac:dyDescent="0.25">
      <c r="A3162" t="s">
        <v>5233</v>
      </c>
      <c r="B3162" t="s">
        <v>89</v>
      </c>
      <c r="C3162" s="8">
        <v>46053</v>
      </c>
      <c r="D3162" t="s">
        <v>2065</v>
      </c>
      <c r="E3162" t="s">
        <v>2076</v>
      </c>
      <c r="F3162" t="s">
        <v>39</v>
      </c>
      <c r="G3162">
        <v>2653.88</v>
      </c>
      <c r="H3162" t="s">
        <v>2060</v>
      </c>
      <c r="I3162" t="str">
        <f>VLOOKUP(B3162,Customers!A:G,7,FALSE)</f>
        <v>SME</v>
      </c>
      <c r="Q3162" t="str">
        <f>IF(COUNTIF(Customers!$A$2:$A$1001,B3162)&gt;0,"Valid","Invalid")</f>
        <v>Valid</v>
      </c>
      <c r="R3162" t="str">
        <f>IF(COUNTIF(Branches!$A$2:$A$11,F3162)&gt;0,"Valid","Invalid")</f>
        <v>Valid</v>
      </c>
    </row>
    <row r="3163" spans="1:18" x14ac:dyDescent="0.25">
      <c r="A3163" t="s">
        <v>5234</v>
      </c>
      <c r="B3163" t="s">
        <v>844</v>
      </c>
      <c r="C3163" s="8">
        <v>46124</v>
      </c>
      <c r="D3163" t="s">
        <v>2070</v>
      </c>
      <c r="E3163" t="s">
        <v>2063</v>
      </c>
      <c r="F3163" t="s">
        <v>45</v>
      </c>
      <c r="G3163">
        <v>2289.8200000000002</v>
      </c>
      <c r="H3163" t="s">
        <v>2060</v>
      </c>
      <c r="I3163" t="str">
        <f>VLOOKUP(B3163,Customers!A:G,7,FALSE)</f>
        <v>Individual</v>
      </c>
      <c r="Q3163" t="str">
        <f>IF(COUNTIF(Customers!$A$2:$A$1001,B3163)&gt;0,"Valid","Invalid")</f>
        <v>Valid</v>
      </c>
      <c r="R3163" t="str">
        <f>IF(COUNTIF(Branches!$A$2:$A$11,F3163)&gt;0,"Valid","Invalid")</f>
        <v>Valid</v>
      </c>
    </row>
    <row r="3164" spans="1:18" x14ac:dyDescent="0.25">
      <c r="A3164" t="s">
        <v>5235</v>
      </c>
      <c r="B3164" t="s">
        <v>470</v>
      </c>
      <c r="C3164" s="8">
        <v>46025</v>
      </c>
      <c r="D3164" t="s">
        <v>2058</v>
      </c>
      <c r="E3164" t="s">
        <v>2059</v>
      </c>
      <c r="F3164" t="s">
        <v>47</v>
      </c>
      <c r="G3164">
        <v>1448.02</v>
      </c>
      <c r="H3164" t="s">
        <v>2060</v>
      </c>
      <c r="I3164" t="str">
        <f>VLOOKUP(B3164,Customers!A:G,7,FALSE)</f>
        <v>Individual</v>
      </c>
      <c r="Q3164" t="str">
        <f>IF(COUNTIF(Customers!$A$2:$A$1001,B3164)&gt;0,"Valid","Invalid")</f>
        <v>Valid</v>
      </c>
      <c r="R3164" t="str">
        <f>IF(COUNTIF(Branches!$A$2:$A$11,F3164)&gt;0,"Valid","Invalid")</f>
        <v>Valid</v>
      </c>
    </row>
    <row r="3165" spans="1:18" x14ac:dyDescent="0.25">
      <c r="A3165" t="s">
        <v>5236</v>
      </c>
      <c r="B3165" t="s">
        <v>88</v>
      </c>
      <c r="C3165" s="8">
        <v>46121</v>
      </c>
      <c r="D3165" t="s">
        <v>2058</v>
      </c>
      <c r="E3165" t="s">
        <v>2068</v>
      </c>
      <c r="F3165" t="s">
        <v>11</v>
      </c>
      <c r="G3165">
        <v>1325.44</v>
      </c>
      <c r="H3165" t="s">
        <v>2060</v>
      </c>
      <c r="I3165" t="str">
        <f>VLOOKUP(B3165,Customers!A:G,7,FALSE)</f>
        <v>Student</v>
      </c>
      <c r="Q3165" t="str">
        <f>IF(COUNTIF(Customers!$A$2:$A$1001,B3165)&gt;0,"Valid","Invalid")</f>
        <v>Valid</v>
      </c>
      <c r="R3165" t="str">
        <f>IF(COUNTIF(Branches!$A$2:$A$11,F3165)&gt;0,"Valid","Invalid")</f>
        <v>Valid</v>
      </c>
    </row>
    <row r="3166" spans="1:18" x14ac:dyDescent="0.25">
      <c r="A3166" t="s">
        <v>5237</v>
      </c>
      <c r="B3166" t="s">
        <v>766</v>
      </c>
      <c r="C3166" s="8">
        <v>46105</v>
      </c>
      <c r="D3166" t="s">
        <v>2067</v>
      </c>
      <c r="E3166" t="s">
        <v>2059</v>
      </c>
      <c r="F3166" t="s">
        <v>16</v>
      </c>
      <c r="G3166">
        <v>2007.72</v>
      </c>
      <c r="H3166" t="s">
        <v>2060</v>
      </c>
      <c r="I3166" t="str">
        <f>VLOOKUP(B3166,Customers!A:G,7,FALSE)</f>
        <v>Individual</v>
      </c>
      <c r="Q3166" t="str">
        <f>IF(COUNTIF(Customers!$A$2:$A$1001,B3166)&gt;0,"Valid","Invalid")</f>
        <v>Valid</v>
      </c>
      <c r="R3166" t="str">
        <f>IF(COUNTIF(Branches!$A$2:$A$11,F3166)&gt;0,"Valid","Invalid")</f>
        <v>Valid</v>
      </c>
    </row>
    <row r="3167" spans="1:18" x14ac:dyDescent="0.25">
      <c r="A3167" t="s">
        <v>5238</v>
      </c>
      <c r="B3167" t="s">
        <v>108</v>
      </c>
      <c r="C3167" s="8">
        <v>46065</v>
      </c>
      <c r="D3167" t="s">
        <v>2062</v>
      </c>
      <c r="E3167" t="s">
        <v>2059</v>
      </c>
      <c r="F3167" t="s">
        <v>47</v>
      </c>
      <c r="G3167">
        <v>264.86</v>
      </c>
      <c r="H3167" t="s">
        <v>2060</v>
      </c>
      <c r="I3167" t="str">
        <f>VLOOKUP(B3167,Customers!A:G,7,FALSE)</f>
        <v>Individual</v>
      </c>
      <c r="Q3167" t="str">
        <f>IF(COUNTIF(Customers!$A$2:$A$1001,B3167)&gt;0,"Valid","Invalid")</f>
        <v>Valid</v>
      </c>
      <c r="R3167" t="str">
        <f>IF(COUNTIF(Branches!$A$2:$A$11,F3167)&gt;0,"Valid","Invalid")</f>
        <v>Valid</v>
      </c>
    </row>
    <row r="3168" spans="1:18" x14ac:dyDescent="0.25">
      <c r="A3168" t="s">
        <v>5239</v>
      </c>
      <c r="B3168" t="s">
        <v>62</v>
      </c>
      <c r="C3168" s="8">
        <v>46051</v>
      </c>
      <c r="D3168" t="s">
        <v>2065</v>
      </c>
      <c r="E3168" t="s">
        <v>2063</v>
      </c>
      <c r="F3168" t="s">
        <v>11</v>
      </c>
      <c r="G3168">
        <v>839.6</v>
      </c>
      <c r="H3168" t="s">
        <v>2060</v>
      </c>
      <c r="I3168" t="str">
        <f>VLOOKUP(B3168,Customers!A:G,7,FALSE)</f>
        <v>Individual</v>
      </c>
      <c r="Q3168" t="str">
        <f>IF(COUNTIF(Customers!$A$2:$A$1001,B3168)&gt;0,"Valid","Invalid")</f>
        <v>Valid</v>
      </c>
      <c r="R3168" t="str">
        <f>IF(COUNTIF(Branches!$A$2:$A$11,F3168)&gt;0,"Valid","Invalid")</f>
        <v>Valid</v>
      </c>
    </row>
    <row r="3169" spans="1:18" x14ac:dyDescent="0.25">
      <c r="A3169" t="s">
        <v>5240</v>
      </c>
      <c r="B3169" t="s">
        <v>507</v>
      </c>
      <c r="C3169" s="8">
        <v>46032</v>
      </c>
      <c r="D3169" t="s">
        <v>2065</v>
      </c>
      <c r="E3169" t="s">
        <v>2063</v>
      </c>
      <c r="F3169" t="s">
        <v>29</v>
      </c>
      <c r="G3169">
        <v>265</v>
      </c>
      <c r="H3169" t="s">
        <v>2060</v>
      </c>
      <c r="I3169" t="str">
        <f>VLOOKUP(B3169,Customers!A:G,7,FALSE)</f>
        <v>Individual</v>
      </c>
      <c r="Q3169" t="str">
        <f>IF(COUNTIF(Customers!$A$2:$A$1001,B3169)&gt;0,"Valid","Invalid")</f>
        <v>Valid</v>
      </c>
      <c r="R3169" t="str">
        <f>IF(COUNTIF(Branches!$A$2:$A$11,F3169)&gt;0,"Valid","Invalid")</f>
        <v>Valid</v>
      </c>
    </row>
    <row r="3170" spans="1:18" x14ac:dyDescent="0.25">
      <c r="A3170" t="s">
        <v>5241</v>
      </c>
      <c r="B3170" t="s">
        <v>950</v>
      </c>
      <c r="C3170" s="8">
        <v>46162</v>
      </c>
      <c r="D3170" t="s">
        <v>2067</v>
      </c>
      <c r="E3170" t="s">
        <v>2063</v>
      </c>
      <c r="F3170" t="s">
        <v>11</v>
      </c>
      <c r="G3170">
        <v>269.64</v>
      </c>
      <c r="H3170" t="s">
        <v>2060</v>
      </c>
      <c r="I3170" t="str">
        <f>VLOOKUP(B3170,Customers!A:G,7,FALSE)</f>
        <v>Individual</v>
      </c>
      <c r="Q3170" t="str">
        <f>IF(COUNTIF(Customers!$A$2:$A$1001,B3170)&gt;0,"Valid","Invalid")</f>
        <v>Valid</v>
      </c>
      <c r="R3170" t="str">
        <f>IF(COUNTIF(Branches!$A$2:$A$11,F3170)&gt;0,"Valid","Invalid")</f>
        <v>Valid</v>
      </c>
    </row>
    <row r="3171" spans="1:18" x14ac:dyDescent="0.25">
      <c r="A3171" t="s">
        <v>5242</v>
      </c>
      <c r="B3171" t="s">
        <v>802</v>
      </c>
      <c r="C3171" s="8">
        <v>46068</v>
      </c>
      <c r="D3171" t="s">
        <v>2062</v>
      </c>
      <c r="E3171" t="s">
        <v>2068</v>
      </c>
      <c r="F3171" t="s">
        <v>11</v>
      </c>
      <c r="G3171">
        <v>1173.8699999999999</v>
      </c>
      <c r="H3171" t="s">
        <v>2115</v>
      </c>
      <c r="I3171" t="str">
        <f>VLOOKUP(B3171,Customers!A:G,7,FALSE)</f>
        <v>Individual</v>
      </c>
      <c r="Q3171" t="str">
        <f>IF(COUNTIF(Customers!$A$2:$A$1001,B3171)&gt;0,"Valid","Invalid")</f>
        <v>Valid</v>
      </c>
      <c r="R3171" t="str">
        <f>IF(COUNTIF(Branches!$A$2:$A$11,F3171)&gt;0,"Valid","Invalid")</f>
        <v>Valid</v>
      </c>
    </row>
    <row r="3172" spans="1:18" x14ac:dyDescent="0.25">
      <c r="A3172" t="s">
        <v>5243</v>
      </c>
      <c r="B3172" t="s">
        <v>924</v>
      </c>
      <c r="C3172" s="8">
        <v>46052</v>
      </c>
      <c r="D3172" t="s">
        <v>2062</v>
      </c>
      <c r="E3172" t="s">
        <v>2063</v>
      </c>
      <c r="F3172" t="s">
        <v>29</v>
      </c>
      <c r="G3172">
        <v>2093.83</v>
      </c>
      <c r="H3172" t="s">
        <v>2060</v>
      </c>
      <c r="I3172" t="str">
        <f>VLOOKUP(B3172,Customers!A:G,7,FALSE)</f>
        <v>Individual</v>
      </c>
      <c r="Q3172" t="str">
        <f>IF(COUNTIF(Customers!$A$2:$A$1001,B3172)&gt;0,"Valid","Invalid")</f>
        <v>Valid</v>
      </c>
      <c r="R3172" t="str">
        <f>IF(COUNTIF(Branches!$A$2:$A$11,F3172)&gt;0,"Valid","Invalid")</f>
        <v>Valid</v>
      </c>
    </row>
    <row r="3173" spans="1:18" x14ac:dyDescent="0.25">
      <c r="A3173" t="s">
        <v>5244</v>
      </c>
      <c r="B3173" t="s">
        <v>950</v>
      </c>
      <c r="C3173" s="8">
        <v>46116</v>
      </c>
      <c r="D3173" t="s">
        <v>2058</v>
      </c>
      <c r="E3173" t="s">
        <v>2063</v>
      </c>
      <c r="F3173" t="s">
        <v>29</v>
      </c>
      <c r="G3173">
        <v>669.25</v>
      </c>
      <c r="H3173" t="s">
        <v>2115</v>
      </c>
      <c r="I3173" t="str">
        <f>VLOOKUP(B3173,Customers!A:G,7,FALSE)</f>
        <v>Individual</v>
      </c>
      <c r="Q3173" t="str">
        <f>IF(COUNTIF(Customers!$A$2:$A$1001,B3173)&gt;0,"Valid","Invalid")</f>
        <v>Valid</v>
      </c>
      <c r="R3173" t="str">
        <f>IF(COUNTIF(Branches!$A$2:$A$11,F3173)&gt;0,"Valid","Invalid")</f>
        <v>Valid</v>
      </c>
    </row>
    <row r="3174" spans="1:18" x14ac:dyDescent="0.25">
      <c r="A3174" t="s">
        <v>5245</v>
      </c>
      <c r="B3174" t="s">
        <v>585</v>
      </c>
      <c r="C3174" s="8">
        <v>46232</v>
      </c>
      <c r="D3174" t="s">
        <v>2058</v>
      </c>
      <c r="E3174" t="s">
        <v>2063</v>
      </c>
      <c r="F3174" t="s">
        <v>27</v>
      </c>
      <c r="G3174">
        <v>4225.95</v>
      </c>
      <c r="H3174" t="s">
        <v>2060</v>
      </c>
      <c r="I3174" t="str">
        <f>VLOOKUP(B3174,Customers!A:G,7,FALSE)</f>
        <v>Student</v>
      </c>
      <c r="Q3174" t="str">
        <f>IF(COUNTIF(Customers!$A$2:$A$1001,B3174)&gt;0,"Valid","Invalid")</f>
        <v>Valid</v>
      </c>
      <c r="R3174" t="str">
        <f>IF(COUNTIF(Branches!$A$2:$A$11,F3174)&gt;0,"Valid","Invalid")</f>
        <v>Valid</v>
      </c>
    </row>
    <row r="3175" spans="1:18" x14ac:dyDescent="0.25">
      <c r="A3175" t="s">
        <v>5246</v>
      </c>
      <c r="B3175" t="s">
        <v>439</v>
      </c>
      <c r="C3175" s="8">
        <v>46238</v>
      </c>
      <c r="D3175" t="s">
        <v>2065</v>
      </c>
      <c r="E3175" t="s">
        <v>2068</v>
      </c>
      <c r="F3175" t="s">
        <v>11</v>
      </c>
      <c r="G3175">
        <v>1004.04</v>
      </c>
      <c r="H3175" t="s">
        <v>2060</v>
      </c>
      <c r="I3175" t="str">
        <f>VLOOKUP(B3175,Customers!A:G,7,FALSE)</f>
        <v>Individual</v>
      </c>
      <c r="Q3175" t="str">
        <f>IF(COUNTIF(Customers!$A$2:$A$1001,B3175)&gt;0,"Valid","Invalid")</f>
        <v>Valid</v>
      </c>
      <c r="R3175" t="str">
        <f>IF(COUNTIF(Branches!$A$2:$A$11,F3175)&gt;0,"Valid","Invalid")</f>
        <v>Valid</v>
      </c>
    </row>
    <row r="3176" spans="1:18" x14ac:dyDescent="0.25">
      <c r="A3176" t="s">
        <v>5247</v>
      </c>
      <c r="B3176" t="s">
        <v>238</v>
      </c>
      <c r="C3176" s="8">
        <v>46054</v>
      </c>
      <c r="D3176" t="s">
        <v>2062</v>
      </c>
      <c r="E3176" t="s">
        <v>2063</v>
      </c>
      <c r="F3176" t="s">
        <v>29</v>
      </c>
      <c r="G3176">
        <v>373.61</v>
      </c>
      <c r="H3176" t="s">
        <v>2060</v>
      </c>
      <c r="I3176" t="str">
        <f>VLOOKUP(B3176,Customers!A:G,7,FALSE)</f>
        <v>Individual</v>
      </c>
      <c r="Q3176" t="str">
        <f>IF(COUNTIF(Customers!$A$2:$A$1001,B3176)&gt;0,"Valid","Invalid")</f>
        <v>Valid</v>
      </c>
      <c r="R3176" t="str">
        <f>IF(COUNTIF(Branches!$A$2:$A$11,F3176)&gt;0,"Valid","Invalid")</f>
        <v>Valid</v>
      </c>
    </row>
    <row r="3177" spans="1:18" x14ac:dyDescent="0.25">
      <c r="A3177" t="s">
        <v>5248</v>
      </c>
      <c r="B3177" t="s">
        <v>799</v>
      </c>
      <c r="C3177" s="8">
        <v>46223</v>
      </c>
      <c r="D3177" t="s">
        <v>2062</v>
      </c>
      <c r="E3177" t="s">
        <v>2063</v>
      </c>
      <c r="F3177" t="s">
        <v>35</v>
      </c>
      <c r="G3177">
        <v>274.04000000000002</v>
      </c>
      <c r="H3177" t="s">
        <v>2060</v>
      </c>
      <c r="I3177" t="str">
        <f>VLOOKUP(B3177,Customers!A:G,7,FALSE)</f>
        <v>Student</v>
      </c>
      <c r="Q3177" t="str">
        <f>IF(COUNTIF(Customers!$A$2:$A$1001,B3177)&gt;0,"Valid","Invalid")</f>
        <v>Valid</v>
      </c>
      <c r="R3177" t="str">
        <f>IF(COUNTIF(Branches!$A$2:$A$11,F3177)&gt;0,"Valid","Invalid")</f>
        <v>Valid</v>
      </c>
    </row>
    <row r="3178" spans="1:18" x14ac:dyDescent="0.25">
      <c r="A3178" t="s">
        <v>5249</v>
      </c>
      <c r="B3178" t="s">
        <v>649</v>
      </c>
      <c r="C3178" s="8">
        <v>46069</v>
      </c>
      <c r="D3178" t="s">
        <v>2058</v>
      </c>
      <c r="E3178" t="s">
        <v>2059</v>
      </c>
      <c r="F3178" t="s">
        <v>27</v>
      </c>
      <c r="G3178">
        <v>2248.75</v>
      </c>
      <c r="H3178" t="s">
        <v>2060</v>
      </c>
      <c r="I3178" t="str">
        <f>VLOOKUP(B3178,Customers!A:G,7,FALSE)</f>
        <v>Individual</v>
      </c>
      <c r="Q3178" t="str">
        <f>IF(COUNTIF(Customers!$A$2:$A$1001,B3178)&gt;0,"Valid","Invalid")</f>
        <v>Valid</v>
      </c>
      <c r="R3178" t="str">
        <f>IF(COUNTIF(Branches!$A$2:$A$11,F3178)&gt;0,"Valid","Invalid")</f>
        <v>Valid</v>
      </c>
    </row>
    <row r="3179" spans="1:18" x14ac:dyDescent="0.25">
      <c r="A3179" t="s">
        <v>5250</v>
      </c>
      <c r="B3179" t="s">
        <v>858</v>
      </c>
      <c r="C3179" s="8">
        <v>46110</v>
      </c>
      <c r="D3179" t="s">
        <v>2067</v>
      </c>
      <c r="E3179" t="s">
        <v>2059</v>
      </c>
      <c r="F3179" t="s">
        <v>47</v>
      </c>
      <c r="G3179">
        <v>923.77</v>
      </c>
      <c r="H3179" t="s">
        <v>2060</v>
      </c>
      <c r="I3179" t="str">
        <f>VLOOKUP(B3179,Customers!A:G,7,FALSE)</f>
        <v>SME</v>
      </c>
      <c r="Q3179" t="str">
        <f>IF(COUNTIF(Customers!$A$2:$A$1001,B3179)&gt;0,"Valid","Invalid")</f>
        <v>Valid</v>
      </c>
      <c r="R3179" t="str">
        <f>IF(COUNTIF(Branches!$A$2:$A$11,F3179)&gt;0,"Valid","Invalid")</f>
        <v>Valid</v>
      </c>
    </row>
    <row r="3180" spans="1:18" x14ac:dyDescent="0.25">
      <c r="A3180" t="s">
        <v>5251</v>
      </c>
      <c r="B3180" t="s">
        <v>1027</v>
      </c>
      <c r="C3180" s="8">
        <v>46085</v>
      </c>
      <c r="D3180" t="s">
        <v>2070</v>
      </c>
      <c r="E3180" t="s">
        <v>2063</v>
      </c>
      <c r="F3180" t="s">
        <v>35</v>
      </c>
      <c r="G3180">
        <v>1597.26</v>
      </c>
      <c r="H3180" t="s">
        <v>2060</v>
      </c>
      <c r="I3180" t="str">
        <f>VLOOKUP(B3180,Customers!A:G,7,FALSE)</f>
        <v>Individual</v>
      </c>
      <c r="Q3180" t="str">
        <f>IF(COUNTIF(Customers!$A$2:$A$1001,B3180)&gt;0,"Valid","Invalid")</f>
        <v>Valid</v>
      </c>
      <c r="R3180" t="str">
        <f>IF(COUNTIF(Branches!$A$2:$A$11,F3180)&gt;0,"Valid","Invalid")</f>
        <v>Valid</v>
      </c>
    </row>
    <row r="3181" spans="1:18" x14ac:dyDescent="0.25">
      <c r="A3181" t="s">
        <v>5252</v>
      </c>
      <c r="B3181" t="s">
        <v>1037</v>
      </c>
      <c r="C3181" s="8">
        <v>46176</v>
      </c>
      <c r="D3181" t="s">
        <v>2062</v>
      </c>
      <c r="E3181" t="s">
        <v>2063</v>
      </c>
      <c r="F3181" t="s">
        <v>47</v>
      </c>
      <c r="G3181">
        <v>56.94</v>
      </c>
      <c r="H3181" t="s">
        <v>2060</v>
      </c>
      <c r="I3181" t="str">
        <f>VLOOKUP(B3181,Customers!A:G,7,FALSE)</f>
        <v>SME</v>
      </c>
      <c r="Q3181" t="str">
        <f>IF(COUNTIF(Customers!$A$2:$A$1001,B3181)&gt;0,"Valid","Invalid")</f>
        <v>Valid</v>
      </c>
      <c r="R3181" t="str">
        <f>IF(COUNTIF(Branches!$A$2:$A$11,F3181)&gt;0,"Valid","Invalid")</f>
        <v>Valid</v>
      </c>
    </row>
    <row r="3182" spans="1:18" x14ac:dyDescent="0.25">
      <c r="A3182" t="s">
        <v>5253</v>
      </c>
      <c r="B3182" t="s">
        <v>504</v>
      </c>
      <c r="C3182" s="8">
        <v>46153</v>
      </c>
      <c r="D3182" t="s">
        <v>2058</v>
      </c>
      <c r="E3182" t="s">
        <v>2068</v>
      </c>
      <c r="F3182" t="s">
        <v>47</v>
      </c>
      <c r="G3182">
        <v>1037.6099999999999</v>
      </c>
      <c r="H3182" t="s">
        <v>2060</v>
      </c>
      <c r="I3182" t="str">
        <f>VLOOKUP(B3182,Customers!A:G,7,FALSE)</f>
        <v>Student</v>
      </c>
      <c r="Q3182" t="str">
        <f>IF(COUNTIF(Customers!$A$2:$A$1001,B3182)&gt;0,"Valid","Invalid")</f>
        <v>Valid</v>
      </c>
      <c r="R3182" t="str">
        <f>IF(COUNTIF(Branches!$A$2:$A$11,F3182)&gt;0,"Valid","Invalid")</f>
        <v>Valid</v>
      </c>
    </row>
    <row r="3183" spans="1:18" x14ac:dyDescent="0.25">
      <c r="A3183" t="s">
        <v>5254</v>
      </c>
      <c r="B3183" t="s">
        <v>690</v>
      </c>
      <c r="C3183" s="8">
        <v>46045</v>
      </c>
      <c r="D3183" t="s">
        <v>2067</v>
      </c>
      <c r="E3183" t="s">
        <v>2073</v>
      </c>
      <c r="F3183" t="s">
        <v>35</v>
      </c>
      <c r="G3183">
        <v>486.98</v>
      </c>
      <c r="H3183" t="s">
        <v>2060</v>
      </c>
      <c r="I3183" t="str">
        <f>VLOOKUP(B3183,Customers!A:G,7,FALSE)</f>
        <v>Individual</v>
      </c>
      <c r="Q3183" t="str">
        <f>IF(COUNTIF(Customers!$A$2:$A$1001,B3183)&gt;0,"Valid","Invalid")</f>
        <v>Valid</v>
      </c>
      <c r="R3183" t="str">
        <f>IF(COUNTIF(Branches!$A$2:$A$11,F3183)&gt;0,"Valid","Invalid")</f>
        <v>Valid</v>
      </c>
    </row>
    <row r="3184" spans="1:18" x14ac:dyDescent="0.25">
      <c r="A3184" t="s">
        <v>5255</v>
      </c>
      <c r="B3184" t="s">
        <v>633</v>
      </c>
      <c r="C3184" s="8">
        <v>46225</v>
      </c>
      <c r="D3184" t="s">
        <v>2058</v>
      </c>
      <c r="E3184" t="s">
        <v>2059</v>
      </c>
      <c r="F3184" t="s">
        <v>47</v>
      </c>
      <c r="G3184">
        <v>201.59</v>
      </c>
      <c r="H3184" t="s">
        <v>2060</v>
      </c>
      <c r="I3184" t="str">
        <f>VLOOKUP(B3184,Customers!A:G,7,FALSE)</f>
        <v>Individual</v>
      </c>
      <c r="Q3184" t="str">
        <f>IF(COUNTIF(Customers!$A$2:$A$1001,B3184)&gt;0,"Valid","Invalid")</f>
        <v>Valid</v>
      </c>
      <c r="R3184" t="str">
        <f>IF(COUNTIF(Branches!$A$2:$A$11,F3184)&gt;0,"Valid","Invalid")</f>
        <v>Valid</v>
      </c>
    </row>
    <row r="3185" spans="1:18" x14ac:dyDescent="0.25">
      <c r="A3185" t="s">
        <v>5256</v>
      </c>
      <c r="B3185" t="s">
        <v>598</v>
      </c>
      <c r="C3185" s="8">
        <v>46096</v>
      </c>
      <c r="D3185" t="s">
        <v>2058</v>
      </c>
      <c r="E3185" t="s">
        <v>2063</v>
      </c>
      <c r="F3185" t="s">
        <v>35</v>
      </c>
      <c r="G3185">
        <v>763.05</v>
      </c>
      <c r="H3185" t="s">
        <v>2060</v>
      </c>
      <c r="I3185" t="str">
        <f>VLOOKUP(B3185,Customers!A:G,7,FALSE)</f>
        <v>Individual</v>
      </c>
      <c r="Q3185" t="str">
        <f>IF(COUNTIF(Customers!$A$2:$A$1001,B3185)&gt;0,"Valid","Invalid")</f>
        <v>Valid</v>
      </c>
      <c r="R3185" t="str">
        <f>IF(COUNTIF(Branches!$A$2:$A$11,F3185)&gt;0,"Valid","Invalid")</f>
        <v>Valid</v>
      </c>
    </row>
    <row r="3186" spans="1:18" x14ac:dyDescent="0.25">
      <c r="A3186" t="s">
        <v>5257</v>
      </c>
      <c r="B3186" t="s">
        <v>828</v>
      </c>
      <c r="C3186" s="8">
        <v>46072</v>
      </c>
      <c r="D3186" t="s">
        <v>2067</v>
      </c>
      <c r="E3186" t="s">
        <v>2063</v>
      </c>
      <c r="F3186" t="s">
        <v>45</v>
      </c>
      <c r="G3186">
        <v>2420.6999999999998</v>
      </c>
      <c r="H3186" t="s">
        <v>2060</v>
      </c>
      <c r="I3186" t="str">
        <f>VLOOKUP(B3186,Customers!A:G,7,FALSE)</f>
        <v>Individual</v>
      </c>
      <c r="Q3186" t="str">
        <f>IF(COUNTIF(Customers!$A$2:$A$1001,B3186)&gt;0,"Valid","Invalid")</f>
        <v>Valid</v>
      </c>
      <c r="R3186" t="str">
        <f>IF(COUNTIF(Branches!$A$2:$A$11,F3186)&gt;0,"Valid","Invalid")</f>
        <v>Valid</v>
      </c>
    </row>
    <row r="3187" spans="1:18" x14ac:dyDescent="0.25">
      <c r="A3187" t="s">
        <v>5258</v>
      </c>
      <c r="B3187" t="s">
        <v>417</v>
      </c>
      <c r="C3187" s="8">
        <v>46186</v>
      </c>
      <c r="D3187" t="s">
        <v>2067</v>
      </c>
      <c r="E3187" t="s">
        <v>2068</v>
      </c>
      <c r="F3187" t="s">
        <v>11</v>
      </c>
      <c r="G3187">
        <v>7834</v>
      </c>
      <c r="H3187" t="s">
        <v>2060</v>
      </c>
      <c r="I3187" t="str">
        <f>VLOOKUP(B3187,Customers!A:G,7,FALSE)</f>
        <v>Individual</v>
      </c>
      <c r="Q3187" t="str">
        <f>IF(COUNTIF(Customers!$A$2:$A$1001,B3187)&gt;0,"Valid","Invalid")</f>
        <v>Valid</v>
      </c>
      <c r="R3187" t="str">
        <f>IF(COUNTIF(Branches!$A$2:$A$11,F3187)&gt;0,"Valid","Invalid")</f>
        <v>Valid</v>
      </c>
    </row>
    <row r="3188" spans="1:18" x14ac:dyDescent="0.25">
      <c r="A3188" t="s">
        <v>5259</v>
      </c>
      <c r="B3188" t="s">
        <v>798</v>
      </c>
      <c r="C3188" s="8">
        <v>46146</v>
      </c>
      <c r="D3188" t="s">
        <v>2067</v>
      </c>
      <c r="E3188" t="s">
        <v>2059</v>
      </c>
      <c r="F3188" t="s">
        <v>29</v>
      </c>
      <c r="G3188">
        <v>1035</v>
      </c>
      <c r="H3188" t="s">
        <v>2060</v>
      </c>
      <c r="I3188" t="str">
        <f>VLOOKUP(B3188,Customers!A:G,7,FALSE)</f>
        <v>Individual</v>
      </c>
      <c r="Q3188" t="str">
        <f>IF(COUNTIF(Customers!$A$2:$A$1001,B3188)&gt;0,"Valid","Invalid")</f>
        <v>Valid</v>
      </c>
      <c r="R3188" t="str">
        <f>IF(COUNTIF(Branches!$A$2:$A$11,F3188)&gt;0,"Valid","Invalid")</f>
        <v>Valid</v>
      </c>
    </row>
    <row r="3189" spans="1:18" x14ac:dyDescent="0.25">
      <c r="A3189" t="s">
        <v>5260</v>
      </c>
      <c r="B3189" t="s">
        <v>933</v>
      </c>
      <c r="C3189" s="8">
        <v>46035</v>
      </c>
      <c r="D3189" t="s">
        <v>2058</v>
      </c>
      <c r="E3189" t="s">
        <v>2068</v>
      </c>
      <c r="F3189" t="s">
        <v>29</v>
      </c>
      <c r="G3189">
        <v>399.76</v>
      </c>
      <c r="H3189" t="s">
        <v>2060</v>
      </c>
      <c r="I3189" t="str">
        <f>VLOOKUP(B3189,Customers!A:G,7,FALSE)</f>
        <v>Student</v>
      </c>
      <c r="Q3189" t="str">
        <f>IF(COUNTIF(Customers!$A$2:$A$1001,B3189)&gt;0,"Valid","Invalid")</f>
        <v>Valid</v>
      </c>
      <c r="R3189" t="str">
        <f>IF(COUNTIF(Branches!$A$2:$A$11,F3189)&gt;0,"Valid","Invalid")</f>
        <v>Valid</v>
      </c>
    </row>
    <row r="3190" spans="1:18" x14ac:dyDescent="0.25">
      <c r="A3190" t="s">
        <v>5261</v>
      </c>
      <c r="B3190" t="s">
        <v>213</v>
      </c>
      <c r="C3190" s="8">
        <v>46148</v>
      </c>
      <c r="D3190" t="s">
        <v>2067</v>
      </c>
      <c r="E3190" t="s">
        <v>2076</v>
      </c>
      <c r="F3190" t="s">
        <v>29</v>
      </c>
      <c r="G3190">
        <v>376.34</v>
      </c>
      <c r="H3190" t="s">
        <v>2060</v>
      </c>
      <c r="I3190" t="str">
        <f>VLOOKUP(B3190,Customers!A:G,7,FALSE)</f>
        <v>Individual</v>
      </c>
      <c r="Q3190" t="str">
        <f>IF(COUNTIF(Customers!$A$2:$A$1001,B3190)&gt;0,"Valid","Invalid")</f>
        <v>Valid</v>
      </c>
      <c r="R3190" t="str">
        <f>IF(COUNTIF(Branches!$A$2:$A$11,F3190)&gt;0,"Valid","Invalid")</f>
        <v>Valid</v>
      </c>
    </row>
    <row r="3191" spans="1:18" x14ac:dyDescent="0.25">
      <c r="A3191" t="s">
        <v>5262</v>
      </c>
      <c r="B3191" t="s">
        <v>88</v>
      </c>
      <c r="C3191" s="8">
        <v>46051</v>
      </c>
      <c r="D3191" t="s">
        <v>2065</v>
      </c>
      <c r="E3191" t="s">
        <v>2073</v>
      </c>
      <c r="F3191" t="s">
        <v>35</v>
      </c>
      <c r="G3191">
        <v>2128.41</v>
      </c>
      <c r="H3191" t="s">
        <v>2060</v>
      </c>
      <c r="I3191" t="str">
        <f>VLOOKUP(B3191,Customers!A:G,7,FALSE)</f>
        <v>Student</v>
      </c>
      <c r="Q3191" t="str">
        <f>IF(COUNTIF(Customers!$A$2:$A$1001,B3191)&gt;0,"Valid","Invalid")</f>
        <v>Valid</v>
      </c>
      <c r="R3191" t="str">
        <f>IF(COUNTIF(Branches!$A$2:$A$11,F3191)&gt;0,"Valid","Invalid")</f>
        <v>Valid</v>
      </c>
    </row>
    <row r="3192" spans="1:18" x14ac:dyDescent="0.25">
      <c r="A3192" t="s">
        <v>5263</v>
      </c>
      <c r="B3192" t="s">
        <v>115</v>
      </c>
      <c r="C3192" s="8">
        <v>46188</v>
      </c>
      <c r="D3192" t="s">
        <v>2062</v>
      </c>
      <c r="E3192" t="s">
        <v>2068</v>
      </c>
      <c r="F3192" t="s">
        <v>11</v>
      </c>
      <c r="G3192">
        <v>299.8</v>
      </c>
      <c r="H3192" t="s">
        <v>2060</v>
      </c>
      <c r="I3192" t="str">
        <f>VLOOKUP(B3192,Customers!A:G,7,FALSE)</f>
        <v>SME</v>
      </c>
      <c r="Q3192" t="str">
        <f>IF(COUNTIF(Customers!$A$2:$A$1001,B3192)&gt;0,"Valid","Invalid")</f>
        <v>Valid</v>
      </c>
      <c r="R3192" t="str">
        <f>IF(COUNTIF(Branches!$A$2:$A$11,F3192)&gt;0,"Valid","Invalid")</f>
        <v>Valid</v>
      </c>
    </row>
    <row r="3193" spans="1:18" x14ac:dyDescent="0.25">
      <c r="A3193" t="s">
        <v>5264</v>
      </c>
      <c r="B3193" t="s">
        <v>423</v>
      </c>
      <c r="C3193" s="8">
        <v>46227</v>
      </c>
      <c r="D3193" t="s">
        <v>2058</v>
      </c>
      <c r="E3193" t="s">
        <v>2068</v>
      </c>
      <c r="F3193" t="s">
        <v>29</v>
      </c>
      <c r="G3193">
        <v>1513.87</v>
      </c>
      <c r="H3193" t="s">
        <v>2060</v>
      </c>
      <c r="I3193" t="str">
        <f>VLOOKUP(B3193,Customers!A:G,7,FALSE)</f>
        <v>Individual</v>
      </c>
      <c r="Q3193" t="str">
        <f>IF(COUNTIF(Customers!$A$2:$A$1001,B3193)&gt;0,"Valid","Invalid")</f>
        <v>Valid</v>
      </c>
      <c r="R3193" t="str">
        <f>IF(COUNTIF(Branches!$A$2:$A$11,F3193)&gt;0,"Valid","Invalid")</f>
        <v>Valid</v>
      </c>
    </row>
    <row r="3194" spans="1:18" x14ac:dyDescent="0.25">
      <c r="A3194" t="s">
        <v>5265</v>
      </c>
      <c r="B3194" t="s">
        <v>872</v>
      </c>
      <c r="C3194" s="8">
        <v>46143</v>
      </c>
      <c r="D3194" t="s">
        <v>2065</v>
      </c>
      <c r="E3194" t="s">
        <v>2059</v>
      </c>
      <c r="F3194" t="s">
        <v>27</v>
      </c>
      <c r="G3194">
        <v>1089.73</v>
      </c>
      <c r="H3194" t="s">
        <v>2060</v>
      </c>
      <c r="I3194" t="str">
        <f>VLOOKUP(B3194,Customers!A:G,7,FALSE)</f>
        <v>Individual</v>
      </c>
      <c r="Q3194" t="str">
        <f>IF(COUNTIF(Customers!$A$2:$A$1001,B3194)&gt;0,"Valid","Invalid")</f>
        <v>Valid</v>
      </c>
      <c r="R3194" t="str">
        <f>IF(COUNTIF(Branches!$A$2:$A$11,F3194)&gt;0,"Valid","Invalid")</f>
        <v>Valid</v>
      </c>
    </row>
    <row r="3195" spans="1:18" x14ac:dyDescent="0.25">
      <c r="A3195" t="s">
        <v>5266</v>
      </c>
      <c r="B3195" t="s">
        <v>614</v>
      </c>
      <c r="C3195" s="8">
        <v>46112</v>
      </c>
      <c r="D3195" t="s">
        <v>2067</v>
      </c>
      <c r="E3195" t="s">
        <v>2063</v>
      </c>
      <c r="F3195" t="s">
        <v>47</v>
      </c>
      <c r="G3195">
        <v>975.65</v>
      </c>
      <c r="H3195" t="s">
        <v>2060</v>
      </c>
      <c r="I3195" t="str">
        <f>VLOOKUP(B3195,Customers!A:G,7,FALSE)</f>
        <v>Individual</v>
      </c>
      <c r="Q3195" t="str">
        <f>IF(COUNTIF(Customers!$A$2:$A$1001,B3195)&gt;0,"Valid","Invalid")</f>
        <v>Valid</v>
      </c>
      <c r="R3195" t="str">
        <f>IF(COUNTIF(Branches!$A$2:$A$11,F3195)&gt;0,"Valid","Invalid")</f>
        <v>Valid</v>
      </c>
    </row>
    <row r="3196" spans="1:18" x14ac:dyDescent="0.25">
      <c r="A3196" t="s">
        <v>5267</v>
      </c>
      <c r="B3196" t="s">
        <v>32</v>
      </c>
      <c r="C3196" s="8">
        <v>46234</v>
      </c>
      <c r="D3196" t="s">
        <v>2062</v>
      </c>
      <c r="E3196" t="s">
        <v>2059</v>
      </c>
      <c r="F3196" t="s">
        <v>47</v>
      </c>
      <c r="G3196">
        <v>169.34</v>
      </c>
      <c r="H3196" t="s">
        <v>2060</v>
      </c>
      <c r="I3196" t="str">
        <f>VLOOKUP(B3196,Customers!A:G,7,FALSE)</f>
        <v>Individual</v>
      </c>
      <c r="Q3196" t="str">
        <f>IF(COUNTIF(Customers!$A$2:$A$1001,B3196)&gt;0,"Valid","Invalid")</f>
        <v>Valid</v>
      </c>
      <c r="R3196" t="str">
        <f>IF(COUNTIF(Branches!$A$2:$A$11,F3196)&gt;0,"Valid","Invalid")</f>
        <v>Valid</v>
      </c>
    </row>
    <row r="3197" spans="1:18" x14ac:dyDescent="0.25">
      <c r="A3197" t="s">
        <v>5268</v>
      </c>
      <c r="B3197" t="s">
        <v>251</v>
      </c>
      <c r="C3197" s="8">
        <v>46155</v>
      </c>
      <c r="D3197" t="s">
        <v>2062</v>
      </c>
      <c r="E3197" t="s">
        <v>2059</v>
      </c>
      <c r="F3197" t="s">
        <v>47</v>
      </c>
      <c r="G3197">
        <v>568.52</v>
      </c>
      <c r="H3197" t="s">
        <v>2060</v>
      </c>
      <c r="I3197" t="str">
        <f>VLOOKUP(B3197,Customers!A:G,7,FALSE)</f>
        <v>Individual</v>
      </c>
      <c r="Q3197" t="str">
        <f>IF(COUNTIF(Customers!$A$2:$A$1001,B3197)&gt;0,"Valid","Invalid")</f>
        <v>Valid</v>
      </c>
      <c r="R3197" t="str">
        <f>IF(COUNTIF(Branches!$A$2:$A$11,F3197)&gt;0,"Valid","Invalid")</f>
        <v>Valid</v>
      </c>
    </row>
    <row r="3198" spans="1:18" x14ac:dyDescent="0.25">
      <c r="A3198" t="s">
        <v>5269</v>
      </c>
      <c r="B3198" t="s">
        <v>59</v>
      </c>
      <c r="C3198" s="8">
        <v>46170</v>
      </c>
      <c r="D3198" t="s">
        <v>2067</v>
      </c>
      <c r="E3198" t="s">
        <v>2076</v>
      </c>
      <c r="F3198" t="s">
        <v>21</v>
      </c>
      <c r="G3198">
        <v>189.02</v>
      </c>
      <c r="H3198" t="s">
        <v>2060</v>
      </c>
      <c r="I3198" t="str">
        <f>VLOOKUP(B3198,Customers!A:G,7,FALSE)</f>
        <v>Individual</v>
      </c>
      <c r="Q3198" t="str">
        <f>IF(COUNTIF(Customers!$A$2:$A$1001,B3198)&gt;0,"Valid","Invalid")</f>
        <v>Valid</v>
      </c>
      <c r="R3198" t="str">
        <f>IF(COUNTIF(Branches!$A$2:$A$11,F3198)&gt;0,"Valid","Invalid")</f>
        <v>Valid</v>
      </c>
    </row>
    <row r="3199" spans="1:18" x14ac:dyDescent="0.25">
      <c r="A3199" t="s">
        <v>5270</v>
      </c>
      <c r="B3199" t="s">
        <v>488</v>
      </c>
      <c r="C3199" s="8">
        <v>46100</v>
      </c>
      <c r="D3199" t="s">
        <v>2070</v>
      </c>
      <c r="E3199" t="s">
        <v>2063</v>
      </c>
      <c r="F3199" t="s">
        <v>29</v>
      </c>
      <c r="G3199">
        <v>451.13</v>
      </c>
      <c r="H3199" t="s">
        <v>2060</v>
      </c>
      <c r="I3199" t="str">
        <f>VLOOKUP(B3199,Customers!A:G,7,FALSE)</f>
        <v>SME</v>
      </c>
      <c r="Q3199" t="str">
        <f>IF(COUNTIF(Customers!$A$2:$A$1001,B3199)&gt;0,"Valid","Invalid")</f>
        <v>Valid</v>
      </c>
      <c r="R3199" t="str">
        <f>IF(COUNTIF(Branches!$A$2:$A$11,F3199)&gt;0,"Valid","Invalid")</f>
        <v>Valid</v>
      </c>
    </row>
    <row r="3200" spans="1:18" x14ac:dyDescent="0.25">
      <c r="A3200" t="s">
        <v>5271</v>
      </c>
      <c r="B3200" t="s">
        <v>806</v>
      </c>
      <c r="C3200" s="8">
        <v>46131</v>
      </c>
      <c r="D3200" t="s">
        <v>2065</v>
      </c>
      <c r="E3200" t="s">
        <v>2076</v>
      </c>
      <c r="F3200" t="s">
        <v>53</v>
      </c>
      <c r="G3200">
        <v>2032.74</v>
      </c>
      <c r="H3200" t="s">
        <v>2060</v>
      </c>
      <c r="I3200" t="str">
        <f>VLOOKUP(B3200,Customers!A:G,7,FALSE)</f>
        <v>Student</v>
      </c>
      <c r="Q3200" t="str">
        <f>IF(COUNTIF(Customers!$A$2:$A$1001,B3200)&gt;0,"Valid","Invalid")</f>
        <v>Valid</v>
      </c>
      <c r="R3200" t="str">
        <f>IF(COUNTIF(Branches!$A$2:$A$11,F3200)&gt;0,"Valid","Invalid")</f>
        <v>Valid</v>
      </c>
    </row>
    <row r="3201" spans="1:18" x14ac:dyDescent="0.25">
      <c r="A3201" t="s">
        <v>5272</v>
      </c>
      <c r="B3201" t="s">
        <v>793</v>
      </c>
      <c r="C3201" s="8">
        <v>46036</v>
      </c>
      <c r="D3201" t="s">
        <v>2070</v>
      </c>
      <c r="E3201" t="s">
        <v>2059</v>
      </c>
      <c r="F3201" t="s">
        <v>29</v>
      </c>
      <c r="G3201">
        <v>2782.37</v>
      </c>
      <c r="H3201" t="s">
        <v>2060</v>
      </c>
      <c r="I3201" t="str">
        <f>VLOOKUP(B3201,Customers!A:G,7,FALSE)</f>
        <v>SME</v>
      </c>
      <c r="Q3201" t="str">
        <f>IF(COUNTIF(Customers!$A$2:$A$1001,B3201)&gt;0,"Valid","Invalid")</f>
        <v>Valid</v>
      </c>
      <c r="R3201" t="str">
        <f>IF(COUNTIF(Branches!$A$2:$A$11,F3201)&gt;0,"Valid","Invalid")</f>
        <v>Valid</v>
      </c>
    </row>
    <row r="3202" spans="1:18" x14ac:dyDescent="0.25">
      <c r="A3202" t="s">
        <v>5273</v>
      </c>
      <c r="B3202" t="s">
        <v>1007</v>
      </c>
      <c r="C3202" s="8">
        <v>46158</v>
      </c>
      <c r="D3202" t="s">
        <v>2065</v>
      </c>
      <c r="E3202" t="s">
        <v>2076</v>
      </c>
      <c r="F3202" t="s">
        <v>27</v>
      </c>
      <c r="G3202">
        <v>1006.21</v>
      </c>
      <c r="H3202" t="s">
        <v>2060</v>
      </c>
      <c r="I3202" t="str">
        <f>VLOOKUP(B3202,Customers!A:G,7,FALSE)</f>
        <v>Individual</v>
      </c>
      <c r="Q3202" t="str">
        <f>IF(COUNTIF(Customers!$A$2:$A$1001,B3202)&gt;0,"Valid","Invalid")</f>
        <v>Valid</v>
      </c>
      <c r="R3202" t="str">
        <f>IF(COUNTIF(Branches!$A$2:$A$11,F3202)&gt;0,"Valid","Invalid")</f>
        <v>Valid</v>
      </c>
    </row>
    <row r="3203" spans="1:18" x14ac:dyDescent="0.25">
      <c r="A3203" t="s">
        <v>5274</v>
      </c>
      <c r="B3203" t="s">
        <v>495</v>
      </c>
      <c r="C3203" s="8">
        <v>46070</v>
      </c>
      <c r="D3203" t="s">
        <v>2065</v>
      </c>
      <c r="E3203" t="s">
        <v>2063</v>
      </c>
      <c r="F3203" t="s">
        <v>11</v>
      </c>
      <c r="G3203">
        <v>459.28</v>
      </c>
      <c r="H3203" t="s">
        <v>2060</v>
      </c>
      <c r="I3203" t="str">
        <f>VLOOKUP(B3203,Customers!A:G,7,FALSE)</f>
        <v>Individual</v>
      </c>
      <c r="Q3203" t="str">
        <f>IF(COUNTIF(Customers!$A$2:$A$1001,B3203)&gt;0,"Valid","Invalid")</f>
        <v>Valid</v>
      </c>
      <c r="R3203" t="str">
        <f>IF(COUNTIF(Branches!$A$2:$A$11,F3203)&gt;0,"Valid","Invalid")</f>
        <v>Valid</v>
      </c>
    </row>
    <row r="3204" spans="1:18" x14ac:dyDescent="0.25">
      <c r="A3204" t="s">
        <v>5275</v>
      </c>
      <c r="B3204" t="s">
        <v>499</v>
      </c>
      <c r="C3204" s="8">
        <v>46163</v>
      </c>
      <c r="D3204" t="s">
        <v>2067</v>
      </c>
      <c r="E3204" t="s">
        <v>2059</v>
      </c>
      <c r="F3204" t="s">
        <v>29</v>
      </c>
      <c r="G3204">
        <v>3976.27</v>
      </c>
      <c r="H3204" t="s">
        <v>2060</v>
      </c>
      <c r="I3204" t="str">
        <f>VLOOKUP(B3204,Customers!A:G,7,FALSE)</f>
        <v>SME</v>
      </c>
      <c r="Q3204" t="str">
        <f>IF(COUNTIF(Customers!$A$2:$A$1001,B3204)&gt;0,"Valid","Invalid")</f>
        <v>Valid</v>
      </c>
      <c r="R3204" t="str">
        <f>IF(COUNTIF(Branches!$A$2:$A$11,F3204)&gt;0,"Valid","Invalid")</f>
        <v>Valid</v>
      </c>
    </row>
    <row r="3205" spans="1:18" x14ac:dyDescent="0.25">
      <c r="A3205" t="s">
        <v>5276</v>
      </c>
      <c r="B3205" t="s">
        <v>235</v>
      </c>
      <c r="C3205" s="8">
        <v>46046</v>
      </c>
      <c r="D3205" t="s">
        <v>2067</v>
      </c>
      <c r="E3205" t="s">
        <v>2063</v>
      </c>
      <c r="F3205" t="s">
        <v>53</v>
      </c>
      <c r="G3205">
        <v>453.23</v>
      </c>
      <c r="H3205" t="s">
        <v>2060</v>
      </c>
      <c r="I3205" t="str">
        <f>VLOOKUP(B3205,Customers!A:G,7,FALSE)</f>
        <v>Individual</v>
      </c>
      <c r="Q3205" t="str">
        <f>IF(COUNTIF(Customers!$A$2:$A$1001,B3205)&gt;0,"Valid","Invalid")</f>
        <v>Valid</v>
      </c>
      <c r="R3205" t="str">
        <f>IF(COUNTIF(Branches!$A$2:$A$11,F3205)&gt;0,"Valid","Invalid")</f>
        <v>Valid</v>
      </c>
    </row>
    <row r="3206" spans="1:18" x14ac:dyDescent="0.25">
      <c r="A3206" t="s">
        <v>5277</v>
      </c>
      <c r="B3206" t="s">
        <v>130</v>
      </c>
      <c r="C3206" s="8">
        <v>46101</v>
      </c>
      <c r="D3206" t="s">
        <v>2058</v>
      </c>
      <c r="E3206" t="s">
        <v>2068</v>
      </c>
      <c r="F3206" t="s">
        <v>27</v>
      </c>
      <c r="G3206">
        <v>260.95</v>
      </c>
      <c r="H3206" t="s">
        <v>2060</v>
      </c>
      <c r="I3206" t="str">
        <f>VLOOKUP(B3206,Customers!A:G,7,FALSE)</f>
        <v>SME</v>
      </c>
      <c r="Q3206" t="str">
        <f>IF(COUNTIF(Customers!$A$2:$A$1001,B3206)&gt;0,"Valid","Invalid")</f>
        <v>Valid</v>
      </c>
      <c r="R3206" t="str">
        <f>IF(COUNTIF(Branches!$A$2:$A$11,F3206)&gt;0,"Valid","Invalid")</f>
        <v>Valid</v>
      </c>
    </row>
    <row r="3207" spans="1:18" x14ac:dyDescent="0.25">
      <c r="A3207" t="s">
        <v>5278</v>
      </c>
      <c r="B3207" t="s">
        <v>757</v>
      </c>
      <c r="C3207" s="8">
        <v>46265</v>
      </c>
      <c r="D3207" t="s">
        <v>2062</v>
      </c>
      <c r="E3207" t="s">
        <v>2059</v>
      </c>
      <c r="F3207" t="s">
        <v>47</v>
      </c>
      <c r="G3207">
        <v>1630.24</v>
      </c>
      <c r="H3207" t="s">
        <v>2060</v>
      </c>
      <c r="I3207" t="str">
        <f>VLOOKUP(B3207,Customers!A:G,7,FALSE)</f>
        <v>Individual</v>
      </c>
      <c r="Q3207" t="str">
        <f>IF(COUNTIF(Customers!$A$2:$A$1001,B3207)&gt;0,"Valid","Invalid")</f>
        <v>Valid</v>
      </c>
      <c r="R3207" t="str">
        <f>IF(COUNTIF(Branches!$A$2:$A$11,F3207)&gt;0,"Valid","Invalid")</f>
        <v>Valid</v>
      </c>
    </row>
    <row r="3208" spans="1:18" x14ac:dyDescent="0.25">
      <c r="A3208" t="s">
        <v>5279</v>
      </c>
      <c r="B3208" t="s">
        <v>985</v>
      </c>
      <c r="C3208" s="8">
        <v>46215</v>
      </c>
      <c r="D3208" t="s">
        <v>2062</v>
      </c>
      <c r="E3208" t="s">
        <v>2063</v>
      </c>
      <c r="F3208" t="s">
        <v>21</v>
      </c>
      <c r="G3208">
        <v>1284</v>
      </c>
      <c r="H3208" t="s">
        <v>2060</v>
      </c>
      <c r="I3208" t="str">
        <f>VLOOKUP(B3208,Customers!A:G,7,FALSE)</f>
        <v>Individual</v>
      </c>
      <c r="Q3208" t="str">
        <f>IF(COUNTIF(Customers!$A$2:$A$1001,B3208)&gt;0,"Valid","Invalid")</f>
        <v>Valid</v>
      </c>
      <c r="R3208" t="str">
        <f>IF(COUNTIF(Branches!$A$2:$A$11,F3208)&gt;0,"Valid","Invalid")</f>
        <v>Valid</v>
      </c>
    </row>
    <row r="3209" spans="1:18" x14ac:dyDescent="0.25">
      <c r="A3209" t="s">
        <v>5280</v>
      </c>
      <c r="B3209" t="s">
        <v>475</v>
      </c>
      <c r="C3209" s="8">
        <v>46236</v>
      </c>
      <c r="D3209" t="s">
        <v>2067</v>
      </c>
      <c r="E3209" t="s">
        <v>2063</v>
      </c>
      <c r="F3209" t="s">
        <v>11</v>
      </c>
      <c r="G3209">
        <v>472.21</v>
      </c>
      <c r="H3209" t="s">
        <v>2060</v>
      </c>
      <c r="I3209" t="str">
        <f>VLOOKUP(B3209,Customers!A:G,7,FALSE)</f>
        <v>Individual</v>
      </c>
      <c r="Q3209" t="str">
        <f>IF(COUNTIF(Customers!$A$2:$A$1001,B3209)&gt;0,"Valid","Invalid")</f>
        <v>Valid</v>
      </c>
      <c r="R3209" t="str">
        <f>IF(COUNTIF(Branches!$A$2:$A$11,F3209)&gt;0,"Valid","Invalid")</f>
        <v>Valid</v>
      </c>
    </row>
    <row r="3210" spans="1:18" x14ac:dyDescent="0.25">
      <c r="A3210" t="s">
        <v>5281</v>
      </c>
      <c r="B3210" t="s">
        <v>565</v>
      </c>
      <c r="C3210" s="8">
        <v>46184</v>
      </c>
      <c r="D3210" t="s">
        <v>2067</v>
      </c>
      <c r="E3210" t="s">
        <v>2076</v>
      </c>
      <c r="F3210" t="s">
        <v>21</v>
      </c>
      <c r="G3210">
        <v>898.05</v>
      </c>
      <c r="H3210" t="s">
        <v>2060</v>
      </c>
      <c r="I3210" t="str">
        <f>VLOOKUP(B3210,Customers!A:G,7,FALSE)</f>
        <v>SME</v>
      </c>
      <c r="Q3210" t="str">
        <f>IF(COUNTIF(Customers!$A$2:$A$1001,B3210)&gt;0,"Valid","Invalid")</f>
        <v>Valid</v>
      </c>
      <c r="R3210" t="str">
        <f>IF(COUNTIF(Branches!$A$2:$A$11,F3210)&gt;0,"Valid","Invalid")</f>
        <v>Valid</v>
      </c>
    </row>
    <row r="3211" spans="1:18" x14ac:dyDescent="0.25">
      <c r="A3211" t="s">
        <v>5282</v>
      </c>
      <c r="B3211" t="s">
        <v>728</v>
      </c>
      <c r="C3211" s="8">
        <v>46264</v>
      </c>
      <c r="D3211" t="s">
        <v>2065</v>
      </c>
      <c r="E3211" t="s">
        <v>2063</v>
      </c>
      <c r="F3211" t="s">
        <v>27</v>
      </c>
      <c r="G3211">
        <v>1264.1600000000001</v>
      </c>
      <c r="H3211" t="s">
        <v>2060</v>
      </c>
      <c r="I3211" t="str">
        <f>VLOOKUP(B3211,Customers!A:G,7,FALSE)</f>
        <v>Individual</v>
      </c>
      <c r="Q3211" t="str">
        <f>IF(COUNTIF(Customers!$A$2:$A$1001,B3211)&gt;0,"Valid","Invalid")</f>
        <v>Valid</v>
      </c>
      <c r="R3211" t="str">
        <f>IF(COUNTIF(Branches!$A$2:$A$11,F3211)&gt;0,"Valid","Invalid")</f>
        <v>Valid</v>
      </c>
    </row>
    <row r="3212" spans="1:18" x14ac:dyDescent="0.25">
      <c r="A3212" t="s">
        <v>5283</v>
      </c>
      <c r="B3212" t="s">
        <v>1005</v>
      </c>
      <c r="C3212" s="8">
        <v>46073</v>
      </c>
      <c r="D3212" t="s">
        <v>2065</v>
      </c>
      <c r="E3212" t="s">
        <v>2073</v>
      </c>
      <c r="F3212" t="s">
        <v>35</v>
      </c>
      <c r="G3212">
        <v>995.93</v>
      </c>
      <c r="H3212" t="s">
        <v>2060</v>
      </c>
      <c r="I3212" t="str">
        <f>VLOOKUP(B3212,Customers!A:G,7,FALSE)</f>
        <v>SME</v>
      </c>
      <c r="Q3212" t="str">
        <f>IF(COUNTIF(Customers!$A$2:$A$1001,B3212)&gt;0,"Valid","Invalid")</f>
        <v>Valid</v>
      </c>
      <c r="R3212" t="str">
        <f>IF(COUNTIF(Branches!$A$2:$A$11,F3212)&gt;0,"Valid","Invalid")</f>
        <v>Valid</v>
      </c>
    </row>
    <row r="3213" spans="1:18" x14ac:dyDescent="0.25">
      <c r="A3213" t="s">
        <v>5284</v>
      </c>
      <c r="B3213" t="s">
        <v>416</v>
      </c>
      <c r="C3213" s="8">
        <v>46254</v>
      </c>
      <c r="D3213" t="s">
        <v>2058</v>
      </c>
      <c r="E3213" t="s">
        <v>2059</v>
      </c>
      <c r="F3213" t="s">
        <v>27</v>
      </c>
      <c r="G3213">
        <v>1285.55</v>
      </c>
      <c r="H3213" t="s">
        <v>2060</v>
      </c>
      <c r="I3213" t="str">
        <f>VLOOKUP(B3213,Customers!A:G,7,FALSE)</f>
        <v>Individual</v>
      </c>
      <c r="Q3213" t="str">
        <f>IF(COUNTIF(Customers!$A$2:$A$1001,B3213)&gt;0,"Valid","Invalid")</f>
        <v>Valid</v>
      </c>
      <c r="R3213" t="str">
        <f>IF(COUNTIF(Branches!$A$2:$A$11,F3213)&gt;0,"Valid","Invalid")</f>
        <v>Valid</v>
      </c>
    </row>
    <row r="3214" spans="1:18" x14ac:dyDescent="0.25">
      <c r="A3214" t="s">
        <v>5285</v>
      </c>
      <c r="B3214" t="s">
        <v>625</v>
      </c>
      <c r="C3214" s="8">
        <v>46025</v>
      </c>
      <c r="D3214" t="s">
        <v>2065</v>
      </c>
      <c r="E3214" t="s">
        <v>2063</v>
      </c>
      <c r="F3214" t="s">
        <v>47</v>
      </c>
      <c r="G3214">
        <v>489.94</v>
      </c>
      <c r="H3214" t="s">
        <v>2060</v>
      </c>
      <c r="I3214" t="str">
        <f>VLOOKUP(B3214,Customers!A:G,7,FALSE)</f>
        <v>Individual</v>
      </c>
      <c r="Q3214" t="str">
        <f>IF(COUNTIF(Customers!$A$2:$A$1001,B3214)&gt;0,"Valid","Invalid")</f>
        <v>Valid</v>
      </c>
      <c r="R3214" t="str">
        <f>IF(COUNTIF(Branches!$A$2:$A$11,F3214)&gt;0,"Valid","Invalid")</f>
        <v>Valid</v>
      </c>
    </row>
    <row r="3215" spans="1:18" x14ac:dyDescent="0.25">
      <c r="A3215" t="s">
        <v>5286</v>
      </c>
      <c r="B3215" t="s">
        <v>140</v>
      </c>
      <c r="C3215" s="8">
        <v>46150</v>
      </c>
      <c r="D3215" t="s">
        <v>2062</v>
      </c>
      <c r="E3215" t="s">
        <v>2076</v>
      </c>
      <c r="F3215" t="s">
        <v>45</v>
      </c>
      <c r="G3215">
        <v>1375.05</v>
      </c>
      <c r="H3215" t="s">
        <v>2107</v>
      </c>
      <c r="I3215" t="str">
        <f>VLOOKUP(B3215,Customers!A:G,7,FALSE)</f>
        <v>Individual</v>
      </c>
      <c r="Q3215" t="str">
        <f>IF(COUNTIF(Customers!$A$2:$A$1001,B3215)&gt;0,"Valid","Invalid")</f>
        <v>Valid</v>
      </c>
      <c r="R3215" t="str">
        <f>IF(COUNTIF(Branches!$A$2:$A$11,F3215)&gt;0,"Valid","Invalid")</f>
        <v>Valid</v>
      </c>
    </row>
    <row r="3216" spans="1:18" x14ac:dyDescent="0.25">
      <c r="A3216" t="s">
        <v>5287</v>
      </c>
      <c r="B3216" t="s">
        <v>844</v>
      </c>
      <c r="C3216" s="8">
        <v>46141</v>
      </c>
      <c r="D3216" t="s">
        <v>2058</v>
      </c>
      <c r="E3216" t="s">
        <v>2063</v>
      </c>
      <c r="F3216" t="s">
        <v>45</v>
      </c>
      <c r="G3216">
        <v>826.8</v>
      </c>
      <c r="H3216" t="s">
        <v>2060</v>
      </c>
      <c r="I3216" t="str">
        <f>VLOOKUP(B3216,Customers!A:G,7,FALSE)</f>
        <v>Individual</v>
      </c>
      <c r="Q3216" t="str">
        <f>IF(COUNTIF(Customers!$A$2:$A$1001,B3216)&gt;0,"Valid","Invalid")</f>
        <v>Valid</v>
      </c>
      <c r="R3216" t="str">
        <f>IF(COUNTIF(Branches!$A$2:$A$11,F3216)&gt;0,"Valid","Invalid")</f>
        <v>Valid</v>
      </c>
    </row>
    <row r="3217" spans="1:18" x14ac:dyDescent="0.25">
      <c r="A3217" t="s">
        <v>5288</v>
      </c>
      <c r="B3217" t="s">
        <v>718</v>
      </c>
      <c r="C3217" s="8">
        <v>46240</v>
      </c>
      <c r="D3217" t="s">
        <v>2065</v>
      </c>
      <c r="E3217" t="s">
        <v>2068</v>
      </c>
      <c r="F3217" t="s">
        <v>16</v>
      </c>
      <c r="G3217">
        <v>506.84</v>
      </c>
      <c r="H3217" t="s">
        <v>2060</v>
      </c>
      <c r="I3217" t="str">
        <f>VLOOKUP(B3217,Customers!A:G,7,FALSE)</f>
        <v>SME</v>
      </c>
      <c r="Q3217" t="str">
        <f>IF(COUNTIF(Customers!$A$2:$A$1001,B3217)&gt;0,"Valid","Invalid")</f>
        <v>Valid</v>
      </c>
      <c r="R3217" t="str">
        <f>IF(COUNTIF(Branches!$A$2:$A$11,F3217)&gt;0,"Valid","Invalid")</f>
        <v>Valid</v>
      </c>
    </row>
    <row r="3218" spans="1:18" x14ac:dyDescent="0.25">
      <c r="A3218" t="s">
        <v>5289</v>
      </c>
      <c r="B3218" t="s">
        <v>1000</v>
      </c>
      <c r="C3218" s="8">
        <v>46228</v>
      </c>
      <c r="D3218" t="s">
        <v>2058</v>
      </c>
      <c r="E3218" t="s">
        <v>2063</v>
      </c>
      <c r="F3218" t="s">
        <v>29</v>
      </c>
      <c r="G3218">
        <v>635.30999999999995</v>
      </c>
      <c r="H3218" t="s">
        <v>2060</v>
      </c>
      <c r="I3218" t="str">
        <f>VLOOKUP(B3218,Customers!A:G,7,FALSE)</f>
        <v>SME</v>
      </c>
      <c r="Q3218" t="str">
        <f>IF(COUNTIF(Customers!$A$2:$A$1001,B3218)&gt;0,"Valid","Invalid")</f>
        <v>Valid</v>
      </c>
      <c r="R3218" t="str">
        <f>IF(COUNTIF(Branches!$A$2:$A$11,F3218)&gt;0,"Valid","Invalid")</f>
        <v>Valid</v>
      </c>
    </row>
    <row r="3219" spans="1:18" x14ac:dyDescent="0.25">
      <c r="A3219" t="s">
        <v>5290</v>
      </c>
      <c r="B3219" t="s">
        <v>665</v>
      </c>
      <c r="C3219" s="8">
        <v>46080</v>
      </c>
      <c r="D3219" t="s">
        <v>2065</v>
      </c>
      <c r="E3219" t="s">
        <v>2073</v>
      </c>
      <c r="F3219" t="s">
        <v>27</v>
      </c>
      <c r="G3219">
        <v>736.64</v>
      </c>
      <c r="H3219" t="s">
        <v>2060</v>
      </c>
      <c r="I3219" t="str">
        <f>VLOOKUP(B3219,Customers!A:G,7,FALSE)</f>
        <v>Individual</v>
      </c>
      <c r="Q3219" t="str">
        <f>IF(COUNTIF(Customers!$A$2:$A$1001,B3219)&gt;0,"Valid","Invalid")</f>
        <v>Valid</v>
      </c>
      <c r="R3219" t="str">
        <f>IF(COUNTIF(Branches!$A$2:$A$11,F3219)&gt;0,"Valid","Invalid")</f>
        <v>Valid</v>
      </c>
    </row>
    <row r="3220" spans="1:18" x14ac:dyDescent="0.25">
      <c r="A3220" t="s">
        <v>5291</v>
      </c>
      <c r="B3220" t="s">
        <v>73</v>
      </c>
      <c r="C3220" s="8">
        <v>46255</v>
      </c>
      <c r="D3220" t="s">
        <v>2067</v>
      </c>
      <c r="E3220" t="s">
        <v>2076</v>
      </c>
      <c r="F3220" t="s">
        <v>53</v>
      </c>
      <c r="G3220">
        <v>191.45</v>
      </c>
      <c r="H3220" t="s">
        <v>2060</v>
      </c>
      <c r="I3220" t="str">
        <f>VLOOKUP(B3220,Customers!A:G,7,FALSE)</f>
        <v>Individual</v>
      </c>
      <c r="Q3220" t="str">
        <f>IF(COUNTIF(Customers!$A$2:$A$1001,B3220)&gt;0,"Valid","Invalid")</f>
        <v>Valid</v>
      </c>
      <c r="R3220" t="str">
        <f>IF(COUNTIF(Branches!$A$2:$A$11,F3220)&gt;0,"Valid","Invalid")</f>
        <v>Valid</v>
      </c>
    </row>
    <row r="3221" spans="1:18" x14ac:dyDescent="0.25">
      <c r="A3221" t="s">
        <v>5292</v>
      </c>
      <c r="B3221" t="s">
        <v>496</v>
      </c>
      <c r="C3221" s="8">
        <v>46147</v>
      </c>
      <c r="D3221" t="s">
        <v>2062</v>
      </c>
      <c r="E3221" t="s">
        <v>2068</v>
      </c>
      <c r="F3221" t="s">
        <v>39</v>
      </c>
      <c r="G3221">
        <v>429.81</v>
      </c>
      <c r="H3221" t="s">
        <v>2060</v>
      </c>
      <c r="I3221" t="str">
        <f>VLOOKUP(B3221,Customers!A:G,7,FALSE)</f>
        <v>Individual</v>
      </c>
      <c r="Q3221" t="str">
        <f>IF(COUNTIF(Customers!$A$2:$A$1001,B3221)&gt;0,"Valid","Invalid")</f>
        <v>Valid</v>
      </c>
      <c r="R3221" t="str">
        <f>IF(COUNTIF(Branches!$A$2:$A$11,F3221)&gt;0,"Valid","Invalid")</f>
        <v>Valid</v>
      </c>
    </row>
    <row r="3222" spans="1:18" x14ac:dyDescent="0.25">
      <c r="A3222" t="s">
        <v>5293</v>
      </c>
      <c r="B3222" t="s">
        <v>402</v>
      </c>
      <c r="C3222" s="8">
        <v>46222</v>
      </c>
      <c r="D3222" t="s">
        <v>2067</v>
      </c>
      <c r="E3222" t="s">
        <v>2063</v>
      </c>
      <c r="F3222" t="s">
        <v>16</v>
      </c>
      <c r="G3222">
        <v>866.88</v>
      </c>
      <c r="H3222" t="s">
        <v>2060</v>
      </c>
      <c r="I3222" t="str">
        <f>VLOOKUP(B3222,Customers!A:G,7,FALSE)</f>
        <v>Individual</v>
      </c>
      <c r="Q3222" t="str">
        <f>IF(COUNTIF(Customers!$A$2:$A$1001,B3222)&gt;0,"Valid","Invalid")</f>
        <v>Valid</v>
      </c>
      <c r="R3222" t="str">
        <f>IF(COUNTIF(Branches!$A$2:$A$11,F3222)&gt;0,"Valid","Invalid")</f>
        <v>Valid</v>
      </c>
    </row>
    <row r="3223" spans="1:18" x14ac:dyDescent="0.25">
      <c r="A3223" t="s">
        <v>5294</v>
      </c>
      <c r="B3223" t="s">
        <v>823</v>
      </c>
      <c r="C3223" s="8">
        <v>46135</v>
      </c>
      <c r="D3223" t="s">
        <v>2065</v>
      </c>
      <c r="E3223" t="s">
        <v>2059</v>
      </c>
      <c r="F3223" t="s">
        <v>27</v>
      </c>
      <c r="G3223">
        <v>210.4</v>
      </c>
      <c r="H3223" t="s">
        <v>2060</v>
      </c>
      <c r="I3223" t="str">
        <f>VLOOKUP(B3223,Customers!A:G,7,FALSE)</f>
        <v>Individual</v>
      </c>
      <c r="Q3223" t="str">
        <f>IF(COUNTIF(Customers!$A$2:$A$1001,B3223)&gt;0,"Valid","Invalid")</f>
        <v>Valid</v>
      </c>
      <c r="R3223" t="str">
        <f>IF(COUNTIF(Branches!$A$2:$A$11,F3223)&gt;0,"Valid","Invalid")</f>
        <v>Valid</v>
      </c>
    </row>
    <row r="3224" spans="1:18" x14ac:dyDescent="0.25">
      <c r="A3224" t="s">
        <v>5295</v>
      </c>
      <c r="B3224" t="s">
        <v>171</v>
      </c>
      <c r="C3224" s="8">
        <v>46077</v>
      </c>
      <c r="D3224" t="s">
        <v>2062</v>
      </c>
      <c r="E3224" t="s">
        <v>2076</v>
      </c>
      <c r="F3224" t="s">
        <v>39</v>
      </c>
      <c r="G3224">
        <v>437.06</v>
      </c>
      <c r="H3224" t="s">
        <v>2060</v>
      </c>
      <c r="I3224" t="str">
        <f>VLOOKUP(B3224,Customers!A:G,7,FALSE)</f>
        <v>Corporate</v>
      </c>
      <c r="Q3224" t="str">
        <f>IF(COUNTIF(Customers!$A$2:$A$1001,B3224)&gt;0,"Valid","Invalid")</f>
        <v>Valid</v>
      </c>
      <c r="R3224" t="str">
        <f>IF(COUNTIF(Branches!$A$2:$A$11,F3224)&gt;0,"Valid","Invalid")</f>
        <v>Valid</v>
      </c>
    </row>
    <row r="3225" spans="1:18" x14ac:dyDescent="0.25">
      <c r="A3225" t="s">
        <v>5296</v>
      </c>
      <c r="B3225" t="s">
        <v>412</v>
      </c>
      <c r="C3225" s="8">
        <v>46141</v>
      </c>
      <c r="D3225" t="s">
        <v>2065</v>
      </c>
      <c r="E3225" t="s">
        <v>2076</v>
      </c>
      <c r="F3225" t="s">
        <v>11</v>
      </c>
      <c r="G3225">
        <v>8818.83</v>
      </c>
      <c r="H3225" t="s">
        <v>2060</v>
      </c>
      <c r="I3225" t="str">
        <f>VLOOKUP(B3225,Customers!A:G,7,FALSE)</f>
        <v>Individual</v>
      </c>
      <c r="Q3225" t="str">
        <f>IF(COUNTIF(Customers!$A$2:$A$1001,B3225)&gt;0,"Valid","Invalid")</f>
        <v>Valid</v>
      </c>
      <c r="R3225" t="str">
        <f>IF(COUNTIF(Branches!$A$2:$A$11,F3225)&gt;0,"Valid","Invalid")</f>
        <v>Valid</v>
      </c>
    </row>
    <row r="3226" spans="1:18" x14ac:dyDescent="0.25">
      <c r="A3226" t="s">
        <v>5297</v>
      </c>
      <c r="B3226" t="s">
        <v>270</v>
      </c>
      <c r="C3226" s="8">
        <v>46142</v>
      </c>
      <c r="D3226" t="s">
        <v>2062</v>
      </c>
      <c r="E3226" t="s">
        <v>2063</v>
      </c>
      <c r="F3226" t="s">
        <v>11</v>
      </c>
      <c r="G3226">
        <v>262.63</v>
      </c>
      <c r="H3226" t="s">
        <v>2060</v>
      </c>
      <c r="I3226" t="str">
        <f>VLOOKUP(B3226,Customers!A:G,7,FALSE)</f>
        <v>Student</v>
      </c>
      <c r="Q3226" t="str">
        <f>IF(COUNTIF(Customers!$A$2:$A$1001,B3226)&gt;0,"Valid","Invalid")</f>
        <v>Valid</v>
      </c>
      <c r="R3226" t="str">
        <f>IF(COUNTIF(Branches!$A$2:$A$11,F3226)&gt;0,"Valid","Invalid")</f>
        <v>Valid</v>
      </c>
    </row>
    <row r="3227" spans="1:18" x14ac:dyDescent="0.25">
      <c r="A3227" t="s">
        <v>5298</v>
      </c>
      <c r="B3227" t="s">
        <v>73</v>
      </c>
      <c r="C3227" s="8">
        <v>46102</v>
      </c>
      <c r="D3227" t="s">
        <v>2067</v>
      </c>
      <c r="E3227" t="s">
        <v>2059</v>
      </c>
      <c r="F3227" t="s">
        <v>11</v>
      </c>
      <c r="G3227">
        <v>553.46</v>
      </c>
      <c r="H3227" t="s">
        <v>2060</v>
      </c>
      <c r="I3227" t="str">
        <f>VLOOKUP(B3227,Customers!A:G,7,FALSE)</f>
        <v>Individual</v>
      </c>
      <c r="Q3227" t="str">
        <f>IF(COUNTIF(Customers!$A$2:$A$1001,B3227)&gt;0,"Valid","Invalid")</f>
        <v>Valid</v>
      </c>
      <c r="R3227" t="str">
        <f>IF(COUNTIF(Branches!$A$2:$A$11,F3227)&gt;0,"Valid","Invalid")</f>
        <v>Valid</v>
      </c>
    </row>
    <row r="3228" spans="1:18" x14ac:dyDescent="0.25">
      <c r="A3228" t="s">
        <v>5299</v>
      </c>
      <c r="B3228" t="s">
        <v>1002</v>
      </c>
      <c r="C3228" s="8">
        <v>46064</v>
      </c>
      <c r="D3228" t="s">
        <v>2067</v>
      </c>
      <c r="E3228" t="s">
        <v>2063</v>
      </c>
      <c r="F3228" t="s">
        <v>29</v>
      </c>
      <c r="G3228">
        <v>352.93</v>
      </c>
      <c r="H3228" t="s">
        <v>2060</v>
      </c>
      <c r="I3228" t="str">
        <f>VLOOKUP(B3228,Customers!A:G,7,FALSE)</f>
        <v>Student</v>
      </c>
      <c r="Q3228" t="str">
        <f>IF(COUNTIF(Customers!$A$2:$A$1001,B3228)&gt;0,"Valid","Invalid")</f>
        <v>Valid</v>
      </c>
      <c r="R3228" t="str">
        <f>IF(COUNTIF(Branches!$A$2:$A$11,F3228)&gt;0,"Valid","Invalid")</f>
        <v>Valid</v>
      </c>
    </row>
    <row r="3229" spans="1:18" x14ac:dyDescent="0.25">
      <c r="A3229" t="s">
        <v>5300</v>
      </c>
      <c r="B3229" t="s">
        <v>841</v>
      </c>
      <c r="C3229" s="8">
        <v>46043</v>
      </c>
      <c r="D3229" t="s">
        <v>2062</v>
      </c>
      <c r="E3229" t="s">
        <v>2076</v>
      </c>
      <c r="F3229" t="s">
        <v>11</v>
      </c>
      <c r="G3229">
        <v>722.8</v>
      </c>
      <c r="H3229" t="s">
        <v>2060</v>
      </c>
      <c r="I3229" t="str">
        <f>VLOOKUP(B3229,Customers!A:G,7,FALSE)</f>
        <v>Corporate</v>
      </c>
      <c r="Q3229" t="str">
        <f>IF(COUNTIF(Customers!$A$2:$A$1001,B3229)&gt;0,"Valid","Invalid")</f>
        <v>Valid</v>
      </c>
      <c r="R3229" t="str">
        <f>IF(COUNTIF(Branches!$A$2:$A$11,F3229)&gt;0,"Valid","Invalid")</f>
        <v>Valid</v>
      </c>
    </row>
    <row r="3230" spans="1:18" x14ac:dyDescent="0.25">
      <c r="A3230" t="s">
        <v>5301</v>
      </c>
      <c r="B3230" t="s">
        <v>857</v>
      </c>
      <c r="C3230" s="8">
        <v>46032</v>
      </c>
      <c r="D3230" t="s">
        <v>2062</v>
      </c>
      <c r="E3230" t="s">
        <v>2059</v>
      </c>
      <c r="F3230" t="s">
        <v>47</v>
      </c>
      <c r="G3230">
        <v>359.63</v>
      </c>
      <c r="H3230" t="s">
        <v>2060</v>
      </c>
      <c r="I3230" t="str">
        <f>VLOOKUP(B3230,Customers!A:G,7,FALSE)</f>
        <v>Student</v>
      </c>
      <c r="Q3230" t="str">
        <f>IF(COUNTIF(Customers!$A$2:$A$1001,B3230)&gt;0,"Valid","Invalid")</f>
        <v>Valid</v>
      </c>
      <c r="R3230" t="str">
        <f>IF(COUNTIF(Branches!$A$2:$A$11,F3230)&gt;0,"Valid","Invalid")</f>
        <v>Valid</v>
      </c>
    </row>
    <row r="3231" spans="1:18" x14ac:dyDescent="0.25">
      <c r="A3231" t="s">
        <v>5302</v>
      </c>
      <c r="B3231" t="s">
        <v>83</v>
      </c>
      <c r="C3231" s="8">
        <v>46079</v>
      </c>
      <c r="D3231" t="s">
        <v>2065</v>
      </c>
      <c r="E3231" t="s">
        <v>2063</v>
      </c>
      <c r="F3231" t="s">
        <v>53</v>
      </c>
      <c r="G3231">
        <v>636.99</v>
      </c>
      <c r="H3231" t="s">
        <v>2060</v>
      </c>
      <c r="I3231" t="str">
        <f>VLOOKUP(B3231,Customers!A:G,7,FALSE)</f>
        <v>SME</v>
      </c>
      <c r="Q3231" t="str">
        <f>IF(COUNTIF(Customers!$A$2:$A$1001,B3231)&gt;0,"Valid","Invalid")</f>
        <v>Valid</v>
      </c>
      <c r="R3231" t="str">
        <f>IF(COUNTIF(Branches!$A$2:$A$11,F3231)&gt;0,"Valid","Invalid")</f>
        <v>Valid</v>
      </c>
    </row>
    <row r="3232" spans="1:18" x14ac:dyDescent="0.25">
      <c r="A3232" t="s">
        <v>5303</v>
      </c>
      <c r="B3232" t="s">
        <v>70</v>
      </c>
      <c r="C3232" s="8">
        <v>46175</v>
      </c>
      <c r="D3232" t="s">
        <v>2067</v>
      </c>
      <c r="E3232" t="s">
        <v>2063</v>
      </c>
      <c r="F3232" t="s">
        <v>53</v>
      </c>
      <c r="G3232">
        <v>396.02</v>
      </c>
      <c r="H3232" t="s">
        <v>2060</v>
      </c>
      <c r="I3232" t="str">
        <f>VLOOKUP(B3232,Customers!A:G,7,FALSE)</f>
        <v>Individual</v>
      </c>
      <c r="Q3232" t="str">
        <f>IF(COUNTIF(Customers!$A$2:$A$1001,B3232)&gt;0,"Valid","Invalid")</f>
        <v>Valid</v>
      </c>
      <c r="R3232" t="str">
        <f>IF(COUNTIF(Branches!$A$2:$A$11,F3232)&gt;0,"Valid","Invalid")</f>
        <v>Valid</v>
      </c>
    </row>
    <row r="3233" spans="1:18" x14ac:dyDescent="0.25">
      <c r="A3233" t="s">
        <v>5304</v>
      </c>
      <c r="B3233" t="s">
        <v>870</v>
      </c>
      <c r="C3233" s="8">
        <v>46078</v>
      </c>
      <c r="D3233" t="s">
        <v>2062</v>
      </c>
      <c r="E3233" t="s">
        <v>2059</v>
      </c>
      <c r="F3233" t="s">
        <v>21</v>
      </c>
      <c r="G3233">
        <v>2333.5100000000002</v>
      </c>
      <c r="H3233" t="s">
        <v>2060</v>
      </c>
      <c r="I3233" t="str">
        <f>VLOOKUP(B3233,Customers!A:G,7,FALSE)</f>
        <v>SME</v>
      </c>
      <c r="Q3233" t="str">
        <f>IF(COUNTIF(Customers!$A$2:$A$1001,B3233)&gt;0,"Valid","Invalid")</f>
        <v>Valid</v>
      </c>
      <c r="R3233" t="str">
        <f>IF(COUNTIF(Branches!$A$2:$A$11,F3233)&gt;0,"Valid","Invalid")</f>
        <v>Valid</v>
      </c>
    </row>
    <row r="3234" spans="1:18" x14ac:dyDescent="0.25">
      <c r="A3234" t="s">
        <v>5305</v>
      </c>
      <c r="B3234" t="s">
        <v>131</v>
      </c>
      <c r="C3234" s="8">
        <v>46060</v>
      </c>
      <c r="D3234" t="s">
        <v>2065</v>
      </c>
      <c r="E3234" t="s">
        <v>2063</v>
      </c>
      <c r="F3234" t="s">
        <v>27</v>
      </c>
      <c r="G3234">
        <v>881.51</v>
      </c>
      <c r="H3234" t="s">
        <v>2060</v>
      </c>
      <c r="I3234" t="str">
        <f>VLOOKUP(B3234,Customers!A:G,7,FALSE)</f>
        <v>Individual</v>
      </c>
      <c r="Q3234" t="str">
        <f>IF(COUNTIF(Customers!$A$2:$A$1001,B3234)&gt;0,"Valid","Invalid")</f>
        <v>Valid</v>
      </c>
      <c r="R3234" t="str">
        <f>IF(COUNTIF(Branches!$A$2:$A$11,F3234)&gt;0,"Valid","Invalid")</f>
        <v>Valid</v>
      </c>
    </row>
    <row r="3235" spans="1:18" x14ac:dyDescent="0.25">
      <c r="A3235" t="s">
        <v>5306</v>
      </c>
      <c r="B3235" t="s">
        <v>1023</v>
      </c>
      <c r="C3235" s="8">
        <v>46108</v>
      </c>
      <c r="D3235" t="s">
        <v>2058</v>
      </c>
      <c r="E3235" t="s">
        <v>2073</v>
      </c>
      <c r="F3235" t="s">
        <v>53</v>
      </c>
      <c r="G3235">
        <v>297.98</v>
      </c>
      <c r="H3235" t="s">
        <v>2060</v>
      </c>
      <c r="I3235" t="str">
        <f>VLOOKUP(B3235,Customers!A:G,7,FALSE)</f>
        <v>SME</v>
      </c>
      <c r="Q3235" t="str">
        <f>IF(COUNTIF(Customers!$A$2:$A$1001,B3235)&gt;0,"Valid","Invalid")</f>
        <v>Valid</v>
      </c>
      <c r="R3235" t="str">
        <f>IF(COUNTIF(Branches!$A$2:$A$11,F3235)&gt;0,"Valid","Invalid")</f>
        <v>Valid</v>
      </c>
    </row>
    <row r="3236" spans="1:18" x14ac:dyDescent="0.25">
      <c r="A3236" t="s">
        <v>5307</v>
      </c>
      <c r="B3236" t="s">
        <v>399</v>
      </c>
      <c r="C3236" s="8">
        <v>46135</v>
      </c>
      <c r="D3236" t="s">
        <v>2062</v>
      </c>
      <c r="E3236" t="s">
        <v>2063</v>
      </c>
      <c r="F3236" t="s">
        <v>47</v>
      </c>
      <c r="G3236">
        <v>1883.33</v>
      </c>
      <c r="H3236" t="s">
        <v>2060</v>
      </c>
      <c r="I3236" t="str">
        <f>VLOOKUP(B3236,Customers!A:G,7,FALSE)</f>
        <v>Individual</v>
      </c>
      <c r="Q3236" t="str">
        <f>IF(COUNTIF(Customers!$A$2:$A$1001,B3236)&gt;0,"Valid","Invalid")</f>
        <v>Valid</v>
      </c>
      <c r="R3236" t="str">
        <f>IF(COUNTIF(Branches!$A$2:$A$11,F3236)&gt;0,"Valid","Invalid")</f>
        <v>Valid</v>
      </c>
    </row>
    <row r="3237" spans="1:18" x14ac:dyDescent="0.25">
      <c r="A3237" t="s">
        <v>5308</v>
      </c>
      <c r="B3237" t="s">
        <v>563</v>
      </c>
      <c r="C3237" s="8">
        <v>46211</v>
      </c>
      <c r="D3237" t="s">
        <v>2058</v>
      </c>
      <c r="E3237" t="s">
        <v>2073</v>
      </c>
      <c r="F3237" t="s">
        <v>35</v>
      </c>
      <c r="G3237">
        <v>311.60000000000002</v>
      </c>
      <c r="H3237" t="s">
        <v>2115</v>
      </c>
      <c r="I3237" t="str">
        <f>VLOOKUP(B3237,Customers!A:G,7,FALSE)</f>
        <v>Individual</v>
      </c>
      <c r="Q3237" t="str">
        <f>IF(COUNTIF(Customers!$A$2:$A$1001,B3237)&gt;0,"Valid","Invalid")</f>
        <v>Valid</v>
      </c>
      <c r="R3237" t="str">
        <f>IF(COUNTIF(Branches!$A$2:$A$11,F3237)&gt;0,"Valid","Invalid")</f>
        <v>Valid</v>
      </c>
    </row>
    <row r="3238" spans="1:18" x14ac:dyDescent="0.25">
      <c r="A3238" t="s">
        <v>5309</v>
      </c>
      <c r="B3238" t="s">
        <v>182</v>
      </c>
      <c r="C3238" s="8">
        <v>46134</v>
      </c>
      <c r="D3238" t="s">
        <v>2062</v>
      </c>
      <c r="E3238" t="s">
        <v>2059</v>
      </c>
      <c r="F3238" t="s">
        <v>29</v>
      </c>
      <c r="G3238">
        <v>170.02</v>
      </c>
      <c r="H3238" t="s">
        <v>2060</v>
      </c>
      <c r="I3238" t="str">
        <f>VLOOKUP(B3238,Customers!A:G,7,FALSE)</f>
        <v>Individual</v>
      </c>
      <c r="Q3238" t="str">
        <f>IF(COUNTIF(Customers!$A$2:$A$1001,B3238)&gt;0,"Valid","Invalid")</f>
        <v>Valid</v>
      </c>
      <c r="R3238" t="str">
        <f>IF(COUNTIF(Branches!$A$2:$A$11,F3238)&gt;0,"Valid","Invalid")</f>
        <v>Valid</v>
      </c>
    </row>
    <row r="3239" spans="1:18" x14ac:dyDescent="0.25">
      <c r="A3239" t="s">
        <v>5310</v>
      </c>
      <c r="B3239" t="s">
        <v>955</v>
      </c>
      <c r="C3239" s="8">
        <v>46197</v>
      </c>
      <c r="D3239" t="s">
        <v>2062</v>
      </c>
      <c r="E3239" t="s">
        <v>2059</v>
      </c>
      <c r="F3239" t="s">
        <v>16</v>
      </c>
      <c r="G3239">
        <v>809.94</v>
      </c>
      <c r="H3239" t="s">
        <v>2060</v>
      </c>
      <c r="I3239" t="str">
        <f>VLOOKUP(B3239,Customers!A:G,7,FALSE)</f>
        <v>SME</v>
      </c>
      <c r="Q3239" t="str">
        <f>IF(COUNTIF(Customers!$A$2:$A$1001,B3239)&gt;0,"Valid","Invalid")</f>
        <v>Valid</v>
      </c>
      <c r="R3239" t="str">
        <f>IF(COUNTIF(Branches!$A$2:$A$11,F3239)&gt;0,"Valid","Invalid")</f>
        <v>Valid</v>
      </c>
    </row>
    <row r="3240" spans="1:18" x14ac:dyDescent="0.25">
      <c r="A3240" t="s">
        <v>5311</v>
      </c>
      <c r="B3240" t="s">
        <v>406</v>
      </c>
      <c r="C3240" s="8">
        <v>46076</v>
      </c>
      <c r="D3240" t="s">
        <v>2058</v>
      </c>
      <c r="E3240" t="s">
        <v>2063</v>
      </c>
      <c r="F3240" t="s">
        <v>53</v>
      </c>
      <c r="G3240">
        <v>5471.26</v>
      </c>
      <c r="H3240" t="s">
        <v>2060</v>
      </c>
      <c r="I3240" t="str">
        <f>VLOOKUP(B3240,Customers!A:G,7,FALSE)</f>
        <v>SME</v>
      </c>
      <c r="Q3240" t="str">
        <f>IF(COUNTIF(Customers!$A$2:$A$1001,B3240)&gt;0,"Valid","Invalid")</f>
        <v>Valid</v>
      </c>
      <c r="R3240" t="str">
        <f>IF(COUNTIF(Branches!$A$2:$A$11,F3240)&gt;0,"Valid","Invalid")</f>
        <v>Valid</v>
      </c>
    </row>
    <row r="3241" spans="1:18" x14ac:dyDescent="0.25">
      <c r="A3241" t="s">
        <v>5312</v>
      </c>
      <c r="B3241" t="s">
        <v>101</v>
      </c>
      <c r="C3241" s="8">
        <v>46068</v>
      </c>
      <c r="D3241" t="s">
        <v>2062</v>
      </c>
      <c r="E3241" t="s">
        <v>2076</v>
      </c>
      <c r="F3241" t="s">
        <v>47</v>
      </c>
      <c r="G3241">
        <v>130.63</v>
      </c>
      <c r="H3241" t="s">
        <v>2060</v>
      </c>
      <c r="I3241" t="str">
        <f>VLOOKUP(B3241,Customers!A:G,7,FALSE)</f>
        <v>Individual</v>
      </c>
      <c r="Q3241" t="str">
        <f>IF(COUNTIF(Customers!$A$2:$A$1001,B3241)&gt;0,"Valid","Invalid")</f>
        <v>Valid</v>
      </c>
      <c r="R3241" t="str">
        <f>IF(COUNTIF(Branches!$A$2:$A$11,F3241)&gt;0,"Valid","Invalid")</f>
        <v>Valid</v>
      </c>
    </row>
    <row r="3242" spans="1:18" x14ac:dyDescent="0.25">
      <c r="A3242" t="s">
        <v>5313</v>
      </c>
      <c r="B3242" t="s">
        <v>265</v>
      </c>
      <c r="C3242" s="8">
        <v>46218</v>
      </c>
      <c r="D3242" t="s">
        <v>2058</v>
      </c>
      <c r="E3242" t="s">
        <v>2076</v>
      </c>
      <c r="F3242" t="s">
        <v>11</v>
      </c>
      <c r="G3242">
        <v>214.65</v>
      </c>
      <c r="H3242" t="s">
        <v>2060</v>
      </c>
      <c r="I3242" t="str">
        <f>VLOOKUP(B3242,Customers!A:G,7,FALSE)</f>
        <v>Individual</v>
      </c>
      <c r="Q3242" t="str">
        <f>IF(COUNTIF(Customers!$A$2:$A$1001,B3242)&gt;0,"Valid","Invalid")</f>
        <v>Valid</v>
      </c>
      <c r="R3242" t="str">
        <f>IF(COUNTIF(Branches!$A$2:$A$11,F3242)&gt;0,"Valid","Invalid")</f>
        <v>Valid</v>
      </c>
    </row>
    <row r="3243" spans="1:18" x14ac:dyDescent="0.25">
      <c r="A3243" t="s">
        <v>5314</v>
      </c>
      <c r="B3243" t="s">
        <v>792</v>
      </c>
      <c r="C3243" s="8">
        <v>46026</v>
      </c>
      <c r="D3243" t="s">
        <v>2067</v>
      </c>
      <c r="E3243" t="s">
        <v>2059</v>
      </c>
      <c r="F3243" t="s">
        <v>29</v>
      </c>
      <c r="G3243">
        <v>1724.21</v>
      </c>
      <c r="H3243" t="s">
        <v>2060</v>
      </c>
      <c r="I3243" t="str">
        <f>VLOOKUP(B3243,Customers!A:G,7,FALSE)</f>
        <v>SME</v>
      </c>
      <c r="Q3243" t="str">
        <f>IF(COUNTIF(Customers!$A$2:$A$1001,B3243)&gt;0,"Valid","Invalid")</f>
        <v>Valid</v>
      </c>
      <c r="R3243" t="str">
        <f>IF(COUNTIF(Branches!$A$2:$A$11,F3243)&gt;0,"Valid","Invalid")</f>
        <v>Valid</v>
      </c>
    </row>
    <row r="3244" spans="1:18" x14ac:dyDescent="0.25">
      <c r="A3244" t="s">
        <v>5315</v>
      </c>
      <c r="B3244" t="s">
        <v>558</v>
      </c>
      <c r="C3244" s="8">
        <v>46244</v>
      </c>
      <c r="D3244" t="s">
        <v>2067</v>
      </c>
      <c r="E3244" t="s">
        <v>2063</v>
      </c>
      <c r="F3244" t="s">
        <v>47</v>
      </c>
      <c r="G3244">
        <v>427.38</v>
      </c>
      <c r="H3244" t="s">
        <v>2115</v>
      </c>
      <c r="I3244" t="str">
        <f>VLOOKUP(B3244,Customers!A:G,7,FALSE)</f>
        <v>Individual</v>
      </c>
      <c r="Q3244" t="str">
        <f>IF(COUNTIF(Customers!$A$2:$A$1001,B3244)&gt;0,"Valid","Invalid")</f>
        <v>Valid</v>
      </c>
      <c r="R3244" t="str">
        <f>IF(COUNTIF(Branches!$A$2:$A$11,F3244)&gt;0,"Valid","Invalid")</f>
        <v>Valid</v>
      </c>
    </row>
    <row r="3245" spans="1:18" x14ac:dyDescent="0.25">
      <c r="A3245" t="s">
        <v>5316</v>
      </c>
      <c r="B3245" t="s">
        <v>854</v>
      </c>
      <c r="C3245" s="8">
        <v>46216</v>
      </c>
      <c r="D3245" t="s">
        <v>2062</v>
      </c>
      <c r="E3245" t="s">
        <v>2073</v>
      </c>
      <c r="F3245" t="s">
        <v>11</v>
      </c>
      <c r="G3245">
        <v>1498.09</v>
      </c>
      <c r="H3245" t="s">
        <v>2060</v>
      </c>
      <c r="I3245" t="str">
        <f>VLOOKUP(B3245,Customers!A:G,7,FALSE)</f>
        <v>Individual</v>
      </c>
      <c r="Q3245" t="str">
        <f>IF(COUNTIF(Customers!$A$2:$A$1001,B3245)&gt;0,"Valid","Invalid")</f>
        <v>Valid</v>
      </c>
      <c r="R3245" t="str">
        <f>IF(COUNTIF(Branches!$A$2:$A$11,F3245)&gt;0,"Valid","Invalid")</f>
        <v>Valid</v>
      </c>
    </row>
    <row r="3246" spans="1:18" x14ac:dyDescent="0.25">
      <c r="A3246" t="s">
        <v>5317</v>
      </c>
      <c r="B3246" t="s">
        <v>891</v>
      </c>
      <c r="C3246" s="8">
        <v>46243</v>
      </c>
      <c r="D3246" t="s">
        <v>2062</v>
      </c>
      <c r="E3246" t="s">
        <v>2073</v>
      </c>
      <c r="F3246" t="s">
        <v>27</v>
      </c>
      <c r="G3246">
        <v>351.61</v>
      </c>
      <c r="H3246" t="s">
        <v>2060</v>
      </c>
      <c r="I3246" t="str">
        <f>VLOOKUP(B3246,Customers!A:G,7,FALSE)</f>
        <v>SME</v>
      </c>
      <c r="Q3246" t="str">
        <f>IF(COUNTIF(Customers!$A$2:$A$1001,B3246)&gt;0,"Valid","Invalid")</f>
        <v>Valid</v>
      </c>
      <c r="R3246" t="str">
        <f>IF(COUNTIF(Branches!$A$2:$A$11,F3246)&gt;0,"Valid","Invalid")</f>
        <v>Valid</v>
      </c>
    </row>
    <row r="3247" spans="1:18" x14ac:dyDescent="0.25">
      <c r="A3247" t="s">
        <v>5318</v>
      </c>
      <c r="B3247" t="s">
        <v>593</v>
      </c>
      <c r="C3247" s="8">
        <v>46193</v>
      </c>
      <c r="D3247" t="s">
        <v>2065</v>
      </c>
      <c r="E3247" t="s">
        <v>2059</v>
      </c>
      <c r="F3247" t="s">
        <v>29</v>
      </c>
      <c r="G3247">
        <v>936.32</v>
      </c>
      <c r="H3247" t="s">
        <v>2060</v>
      </c>
      <c r="I3247" t="str">
        <f>VLOOKUP(B3247,Customers!A:G,7,FALSE)</f>
        <v>SME</v>
      </c>
      <c r="Q3247" t="str">
        <f>IF(COUNTIF(Customers!$A$2:$A$1001,B3247)&gt;0,"Valid","Invalid")</f>
        <v>Valid</v>
      </c>
      <c r="R3247" t="str">
        <f>IF(COUNTIF(Branches!$A$2:$A$11,F3247)&gt;0,"Valid","Invalid")</f>
        <v>Valid</v>
      </c>
    </row>
    <row r="3248" spans="1:18" x14ac:dyDescent="0.25">
      <c r="A3248" t="s">
        <v>5319</v>
      </c>
      <c r="B3248" t="s">
        <v>794</v>
      </c>
      <c r="C3248" s="8">
        <v>46084</v>
      </c>
      <c r="D3248" t="s">
        <v>2067</v>
      </c>
      <c r="E3248" t="s">
        <v>2076</v>
      </c>
      <c r="F3248" t="s">
        <v>39</v>
      </c>
      <c r="G3248">
        <v>4649.3100000000004</v>
      </c>
      <c r="H3248" t="s">
        <v>2060</v>
      </c>
      <c r="I3248" t="str">
        <f>VLOOKUP(B3248,Customers!A:G,7,FALSE)</f>
        <v>Corporate</v>
      </c>
      <c r="Q3248" t="str">
        <f>IF(COUNTIF(Customers!$A$2:$A$1001,B3248)&gt;0,"Valid","Invalid")</f>
        <v>Valid</v>
      </c>
      <c r="R3248" t="str">
        <f>IF(COUNTIF(Branches!$A$2:$A$11,F3248)&gt;0,"Valid","Invalid")</f>
        <v>Valid</v>
      </c>
    </row>
    <row r="3249" spans="1:18" x14ac:dyDescent="0.25">
      <c r="A3249" t="s">
        <v>5320</v>
      </c>
      <c r="B3249" t="s">
        <v>218</v>
      </c>
      <c r="C3249" s="8">
        <v>46250</v>
      </c>
      <c r="D3249" t="s">
        <v>2070</v>
      </c>
      <c r="E3249" t="s">
        <v>2059</v>
      </c>
      <c r="F3249" t="s">
        <v>45</v>
      </c>
      <c r="G3249">
        <v>246.02</v>
      </c>
      <c r="H3249" t="s">
        <v>2060</v>
      </c>
      <c r="I3249" t="str">
        <f>VLOOKUP(B3249,Customers!A:G,7,FALSE)</f>
        <v>Student</v>
      </c>
      <c r="Q3249" t="str">
        <f>IF(COUNTIF(Customers!$A$2:$A$1001,B3249)&gt;0,"Valid","Invalid")</f>
        <v>Valid</v>
      </c>
      <c r="R3249" t="str">
        <f>IF(COUNTIF(Branches!$A$2:$A$11,F3249)&gt;0,"Valid","Invalid")</f>
        <v>Valid</v>
      </c>
    </row>
    <row r="3250" spans="1:18" x14ac:dyDescent="0.25">
      <c r="A3250" t="s">
        <v>5321</v>
      </c>
      <c r="B3250" t="s">
        <v>539</v>
      </c>
      <c r="C3250" s="8">
        <v>46235</v>
      </c>
      <c r="D3250" t="s">
        <v>2058</v>
      </c>
      <c r="E3250" t="s">
        <v>2063</v>
      </c>
      <c r="F3250" t="s">
        <v>27</v>
      </c>
      <c r="G3250">
        <v>2261.4499999999998</v>
      </c>
      <c r="H3250" t="s">
        <v>2060</v>
      </c>
      <c r="I3250" t="str">
        <f>VLOOKUP(B3250,Customers!A:G,7,FALSE)</f>
        <v>SME</v>
      </c>
      <c r="Q3250" t="str">
        <f>IF(COUNTIF(Customers!$A$2:$A$1001,B3250)&gt;0,"Valid","Invalid")</f>
        <v>Valid</v>
      </c>
      <c r="R3250" t="str">
        <f>IF(COUNTIF(Branches!$A$2:$A$11,F3250)&gt;0,"Valid","Invalid")</f>
        <v>Valid</v>
      </c>
    </row>
    <row r="3251" spans="1:18" x14ac:dyDescent="0.25">
      <c r="A3251" t="s">
        <v>5322</v>
      </c>
      <c r="B3251" t="s">
        <v>635</v>
      </c>
      <c r="C3251" s="8">
        <v>46146</v>
      </c>
      <c r="D3251" t="s">
        <v>2065</v>
      </c>
      <c r="E3251" t="s">
        <v>2063</v>
      </c>
      <c r="F3251" t="s">
        <v>11</v>
      </c>
      <c r="G3251">
        <v>1603.12</v>
      </c>
      <c r="H3251" t="s">
        <v>2060</v>
      </c>
      <c r="I3251" t="str">
        <f>VLOOKUP(B3251,Customers!A:G,7,FALSE)</f>
        <v>SME</v>
      </c>
      <c r="Q3251" t="str">
        <f>IF(COUNTIF(Customers!$A$2:$A$1001,B3251)&gt;0,"Valid","Invalid")</f>
        <v>Valid</v>
      </c>
      <c r="R3251" t="str">
        <f>IF(COUNTIF(Branches!$A$2:$A$11,F3251)&gt;0,"Valid","Invalid")</f>
        <v>Valid</v>
      </c>
    </row>
    <row r="3252" spans="1:18" x14ac:dyDescent="0.25">
      <c r="A3252" t="s">
        <v>5323</v>
      </c>
      <c r="B3252" t="s">
        <v>191</v>
      </c>
      <c r="C3252" s="8">
        <v>46150</v>
      </c>
      <c r="D3252" t="s">
        <v>2058</v>
      </c>
      <c r="E3252" t="s">
        <v>2059</v>
      </c>
      <c r="F3252" t="s">
        <v>29</v>
      </c>
      <c r="G3252">
        <v>183.23</v>
      </c>
      <c r="H3252" t="s">
        <v>2060</v>
      </c>
      <c r="I3252" t="str">
        <f>VLOOKUP(B3252,Customers!A:G,7,FALSE)</f>
        <v>SME</v>
      </c>
      <c r="Q3252" t="str">
        <f>IF(COUNTIF(Customers!$A$2:$A$1001,B3252)&gt;0,"Valid","Invalid")</f>
        <v>Valid</v>
      </c>
      <c r="R3252" t="str">
        <f>IF(COUNTIF(Branches!$A$2:$A$11,F3252)&gt;0,"Valid","Invalid")</f>
        <v>Valid</v>
      </c>
    </row>
    <row r="3253" spans="1:18" x14ac:dyDescent="0.25">
      <c r="A3253" t="s">
        <v>5324</v>
      </c>
      <c r="B3253" t="s">
        <v>825</v>
      </c>
      <c r="C3253" s="8">
        <v>46235</v>
      </c>
      <c r="D3253" t="s">
        <v>2070</v>
      </c>
      <c r="E3253" t="s">
        <v>2068</v>
      </c>
      <c r="F3253" t="s">
        <v>29</v>
      </c>
      <c r="G3253">
        <v>1420.69</v>
      </c>
      <c r="H3253" t="s">
        <v>2060</v>
      </c>
      <c r="I3253" t="str">
        <f>VLOOKUP(B3253,Customers!A:G,7,FALSE)</f>
        <v>SME</v>
      </c>
      <c r="Q3253" t="str">
        <f>IF(COUNTIF(Customers!$A$2:$A$1001,B3253)&gt;0,"Valid","Invalid")</f>
        <v>Valid</v>
      </c>
      <c r="R3253" t="str">
        <f>IF(COUNTIF(Branches!$A$2:$A$11,F3253)&gt;0,"Valid","Invalid")</f>
        <v>Valid</v>
      </c>
    </row>
    <row r="3254" spans="1:18" x14ac:dyDescent="0.25">
      <c r="A3254" t="s">
        <v>5325</v>
      </c>
      <c r="B3254" t="s">
        <v>573</v>
      </c>
      <c r="C3254" s="8">
        <v>46134</v>
      </c>
      <c r="D3254" t="s">
        <v>2062</v>
      </c>
      <c r="E3254" t="s">
        <v>2063</v>
      </c>
      <c r="F3254" t="s">
        <v>21</v>
      </c>
      <c r="G3254">
        <v>873.76</v>
      </c>
      <c r="H3254" t="s">
        <v>2115</v>
      </c>
      <c r="I3254" t="str">
        <f>VLOOKUP(B3254,Customers!A:G,7,FALSE)</f>
        <v>Individual</v>
      </c>
      <c r="Q3254" t="str">
        <f>IF(COUNTIF(Customers!$A$2:$A$1001,B3254)&gt;0,"Valid","Invalid")</f>
        <v>Valid</v>
      </c>
      <c r="R3254" t="str">
        <f>IF(COUNTIF(Branches!$A$2:$A$11,F3254)&gt;0,"Valid","Invalid")</f>
        <v>Valid</v>
      </c>
    </row>
    <row r="3255" spans="1:18" x14ac:dyDescent="0.25">
      <c r="A3255" t="s">
        <v>5326</v>
      </c>
      <c r="B3255" t="s">
        <v>665</v>
      </c>
      <c r="C3255" s="8">
        <v>46107</v>
      </c>
      <c r="D3255" t="s">
        <v>2062</v>
      </c>
      <c r="E3255" t="s">
        <v>2059</v>
      </c>
      <c r="F3255" t="s">
        <v>39</v>
      </c>
      <c r="G3255">
        <v>889.89</v>
      </c>
      <c r="H3255" t="s">
        <v>2060</v>
      </c>
      <c r="I3255" t="str">
        <f>VLOOKUP(B3255,Customers!A:G,7,FALSE)</f>
        <v>Individual</v>
      </c>
      <c r="Q3255" t="str">
        <f>IF(COUNTIF(Customers!$A$2:$A$1001,B3255)&gt;0,"Valid","Invalid")</f>
        <v>Valid</v>
      </c>
      <c r="R3255" t="str">
        <f>IF(COUNTIF(Branches!$A$2:$A$11,F3255)&gt;0,"Valid","Invalid")</f>
        <v>Valid</v>
      </c>
    </row>
    <row r="3256" spans="1:18" x14ac:dyDescent="0.25">
      <c r="A3256" t="s">
        <v>5327</v>
      </c>
      <c r="B3256" t="s">
        <v>856</v>
      </c>
      <c r="C3256" s="8">
        <v>46026</v>
      </c>
      <c r="D3256" t="s">
        <v>2065</v>
      </c>
      <c r="E3256" t="s">
        <v>2068</v>
      </c>
      <c r="F3256" t="s">
        <v>53</v>
      </c>
      <c r="G3256">
        <v>1137.42</v>
      </c>
      <c r="H3256" t="s">
        <v>2060</v>
      </c>
      <c r="I3256" t="str">
        <f>VLOOKUP(B3256,Customers!A:G,7,FALSE)</f>
        <v>Individual</v>
      </c>
      <c r="Q3256" t="str">
        <f>IF(COUNTIF(Customers!$A$2:$A$1001,B3256)&gt;0,"Valid","Invalid")</f>
        <v>Valid</v>
      </c>
      <c r="R3256" t="str">
        <f>IF(COUNTIF(Branches!$A$2:$A$11,F3256)&gt;0,"Valid","Invalid")</f>
        <v>Valid</v>
      </c>
    </row>
    <row r="3257" spans="1:18" x14ac:dyDescent="0.25">
      <c r="A3257" t="s">
        <v>5328</v>
      </c>
      <c r="B3257" t="s">
        <v>473</v>
      </c>
      <c r="C3257" s="8">
        <v>46087</v>
      </c>
      <c r="D3257" t="s">
        <v>2062</v>
      </c>
      <c r="E3257" t="s">
        <v>2063</v>
      </c>
      <c r="F3257" t="s">
        <v>29</v>
      </c>
      <c r="G3257">
        <v>572.28</v>
      </c>
      <c r="H3257" t="s">
        <v>2060</v>
      </c>
      <c r="I3257" t="str">
        <f>VLOOKUP(B3257,Customers!A:G,7,FALSE)</f>
        <v>Individual</v>
      </c>
      <c r="Q3257" t="str">
        <f>IF(COUNTIF(Customers!$A$2:$A$1001,B3257)&gt;0,"Valid","Invalid")</f>
        <v>Valid</v>
      </c>
      <c r="R3257" t="str">
        <f>IF(COUNTIF(Branches!$A$2:$A$11,F3257)&gt;0,"Valid","Invalid")</f>
        <v>Valid</v>
      </c>
    </row>
    <row r="3258" spans="1:18" x14ac:dyDescent="0.25">
      <c r="A3258" t="s">
        <v>5329</v>
      </c>
      <c r="B3258" t="s">
        <v>849</v>
      </c>
      <c r="C3258" s="8">
        <v>46084</v>
      </c>
      <c r="D3258" t="s">
        <v>2058</v>
      </c>
      <c r="E3258" t="s">
        <v>2063</v>
      </c>
      <c r="F3258" t="s">
        <v>47</v>
      </c>
      <c r="G3258">
        <v>871.4</v>
      </c>
      <c r="H3258" t="s">
        <v>2060</v>
      </c>
      <c r="I3258" t="str">
        <f>VLOOKUP(B3258,Customers!A:G,7,FALSE)</f>
        <v>Individual</v>
      </c>
      <c r="Q3258" t="str">
        <f>IF(COUNTIF(Customers!$A$2:$A$1001,B3258)&gt;0,"Valid","Invalid")</f>
        <v>Valid</v>
      </c>
      <c r="R3258" t="str">
        <f>IF(COUNTIF(Branches!$A$2:$A$11,F3258)&gt;0,"Valid","Invalid")</f>
        <v>Valid</v>
      </c>
    </row>
    <row r="3259" spans="1:18" x14ac:dyDescent="0.25">
      <c r="A3259" t="s">
        <v>5330</v>
      </c>
      <c r="B3259" t="s">
        <v>135</v>
      </c>
      <c r="C3259" s="8">
        <v>46112</v>
      </c>
      <c r="D3259" t="s">
        <v>2062</v>
      </c>
      <c r="E3259" t="s">
        <v>2068</v>
      </c>
      <c r="F3259" t="s">
        <v>45</v>
      </c>
      <c r="G3259">
        <v>1034.27</v>
      </c>
      <c r="H3259" t="s">
        <v>2060</v>
      </c>
      <c r="I3259" t="str">
        <f>VLOOKUP(B3259,Customers!A:G,7,FALSE)</f>
        <v>Individual</v>
      </c>
      <c r="Q3259" t="str">
        <f>IF(COUNTIF(Customers!$A$2:$A$1001,B3259)&gt;0,"Valid","Invalid")</f>
        <v>Valid</v>
      </c>
      <c r="R3259" t="str">
        <f>IF(COUNTIF(Branches!$A$2:$A$11,F3259)&gt;0,"Valid","Invalid")</f>
        <v>Valid</v>
      </c>
    </row>
    <row r="3260" spans="1:18" x14ac:dyDescent="0.25">
      <c r="A3260" t="s">
        <v>5331</v>
      </c>
      <c r="B3260" t="s">
        <v>654</v>
      </c>
      <c r="C3260" s="8">
        <v>46142</v>
      </c>
      <c r="D3260" t="s">
        <v>2067</v>
      </c>
      <c r="E3260" t="s">
        <v>2063</v>
      </c>
      <c r="F3260" t="s">
        <v>53</v>
      </c>
      <c r="G3260">
        <v>1713.1</v>
      </c>
      <c r="H3260" t="s">
        <v>2060</v>
      </c>
      <c r="I3260" t="str">
        <f>VLOOKUP(B3260,Customers!A:G,7,FALSE)</f>
        <v>Individual</v>
      </c>
      <c r="Q3260" t="str">
        <f>IF(COUNTIF(Customers!$A$2:$A$1001,B3260)&gt;0,"Valid","Invalid")</f>
        <v>Valid</v>
      </c>
      <c r="R3260" t="str">
        <f>IF(COUNTIF(Branches!$A$2:$A$11,F3260)&gt;0,"Valid","Invalid")</f>
        <v>Valid</v>
      </c>
    </row>
    <row r="3261" spans="1:18" x14ac:dyDescent="0.25">
      <c r="A3261" t="s">
        <v>5332</v>
      </c>
      <c r="B3261" t="s">
        <v>410</v>
      </c>
      <c r="C3261" s="8">
        <v>46265</v>
      </c>
      <c r="D3261" t="s">
        <v>2065</v>
      </c>
      <c r="E3261" t="s">
        <v>2063</v>
      </c>
      <c r="F3261" t="s">
        <v>16</v>
      </c>
      <c r="G3261">
        <v>176.41</v>
      </c>
      <c r="H3261" t="s">
        <v>2060</v>
      </c>
      <c r="I3261" t="str">
        <f>VLOOKUP(B3261,Customers!A:G,7,FALSE)</f>
        <v>Individual</v>
      </c>
      <c r="Q3261" t="str">
        <f>IF(COUNTIF(Customers!$A$2:$A$1001,B3261)&gt;0,"Valid","Invalid")</f>
        <v>Valid</v>
      </c>
      <c r="R3261" t="str">
        <f>IF(COUNTIF(Branches!$A$2:$A$11,F3261)&gt;0,"Valid","Invalid")</f>
        <v>Valid</v>
      </c>
    </row>
    <row r="3262" spans="1:18" x14ac:dyDescent="0.25">
      <c r="A3262" t="s">
        <v>5333</v>
      </c>
      <c r="B3262" t="s">
        <v>601</v>
      </c>
      <c r="C3262" s="8">
        <v>46152</v>
      </c>
      <c r="D3262" t="s">
        <v>2067</v>
      </c>
      <c r="E3262" t="s">
        <v>2059</v>
      </c>
      <c r="F3262" t="s">
        <v>16</v>
      </c>
      <c r="G3262">
        <v>2953.91</v>
      </c>
      <c r="H3262" t="s">
        <v>2115</v>
      </c>
      <c r="I3262" t="str">
        <f>VLOOKUP(B3262,Customers!A:G,7,FALSE)</f>
        <v>Individual</v>
      </c>
      <c r="Q3262" t="str">
        <f>IF(COUNTIF(Customers!$A$2:$A$1001,B3262)&gt;0,"Valid","Invalid")</f>
        <v>Valid</v>
      </c>
      <c r="R3262" t="str">
        <f>IF(COUNTIF(Branches!$A$2:$A$11,F3262)&gt;0,"Valid","Invalid")</f>
        <v>Valid</v>
      </c>
    </row>
    <row r="3263" spans="1:18" x14ac:dyDescent="0.25">
      <c r="A3263" t="s">
        <v>5334</v>
      </c>
      <c r="B3263" t="s">
        <v>400</v>
      </c>
      <c r="C3263" s="8">
        <v>46159</v>
      </c>
      <c r="D3263" t="s">
        <v>2065</v>
      </c>
      <c r="E3263" t="s">
        <v>2059</v>
      </c>
      <c r="F3263" t="s">
        <v>45</v>
      </c>
      <c r="G3263">
        <v>255.88</v>
      </c>
      <c r="H3263" t="s">
        <v>2060</v>
      </c>
      <c r="I3263" t="str">
        <f>VLOOKUP(B3263,Customers!A:G,7,FALSE)</f>
        <v>Individual</v>
      </c>
      <c r="Q3263" t="str">
        <f>IF(COUNTIF(Customers!$A$2:$A$1001,B3263)&gt;0,"Valid","Invalid")</f>
        <v>Valid</v>
      </c>
      <c r="R3263" t="str">
        <f>IF(COUNTIF(Branches!$A$2:$A$11,F3263)&gt;0,"Valid","Invalid")</f>
        <v>Valid</v>
      </c>
    </row>
    <row r="3264" spans="1:18" x14ac:dyDescent="0.25">
      <c r="A3264" t="s">
        <v>5335</v>
      </c>
      <c r="B3264" t="s">
        <v>148</v>
      </c>
      <c r="C3264" s="8">
        <v>46207</v>
      </c>
      <c r="D3264" t="s">
        <v>2062</v>
      </c>
      <c r="E3264" t="s">
        <v>2068</v>
      </c>
      <c r="F3264" t="s">
        <v>47</v>
      </c>
      <c r="G3264">
        <v>1739.98</v>
      </c>
      <c r="H3264" t="s">
        <v>2060</v>
      </c>
      <c r="I3264" t="str">
        <f>VLOOKUP(B3264,Customers!A:G,7,FALSE)</f>
        <v>Individual</v>
      </c>
      <c r="Q3264" t="str">
        <f>IF(COUNTIF(Customers!$A$2:$A$1001,B3264)&gt;0,"Valid","Invalid")</f>
        <v>Valid</v>
      </c>
      <c r="R3264" t="str">
        <f>IF(COUNTIF(Branches!$A$2:$A$11,F3264)&gt;0,"Valid","Invalid")</f>
        <v>Valid</v>
      </c>
    </row>
    <row r="3265" spans="1:18" x14ac:dyDescent="0.25">
      <c r="A3265" t="s">
        <v>5336</v>
      </c>
      <c r="B3265" t="s">
        <v>491</v>
      </c>
      <c r="C3265" s="8">
        <v>46067</v>
      </c>
      <c r="D3265" t="s">
        <v>2070</v>
      </c>
      <c r="E3265" t="s">
        <v>2076</v>
      </c>
      <c r="F3265" t="s">
        <v>47</v>
      </c>
      <c r="G3265">
        <v>879.58</v>
      </c>
      <c r="H3265" t="s">
        <v>2060</v>
      </c>
      <c r="I3265" t="str">
        <f>VLOOKUP(B3265,Customers!A:G,7,FALSE)</f>
        <v>Individual</v>
      </c>
      <c r="Q3265" t="str">
        <f>IF(COUNTIF(Customers!$A$2:$A$1001,B3265)&gt;0,"Valid","Invalid")</f>
        <v>Valid</v>
      </c>
      <c r="R3265" t="str">
        <f>IF(COUNTIF(Branches!$A$2:$A$11,F3265)&gt;0,"Valid","Invalid")</f>
        <v>Valid</v>
      </c>
    </row>
    <row r="3266" spans="1:18" x14ac:dyDescent="0.25">
      <c r="A3266" t="s">
        <v>5337</v>
      </c>
      <c r="B3266" t="s">
        <v>794</v>
      </c>
      <c r="C3266" s="8">
        <v>46168</v>
      </c>
      <c r="D3266" t="s">
        <v>2058</v>
      </c>
      <c r="E3266" t="s">
        <v>2059</v>
      </c>
      <c r="F3266" t="s">
        <v>47</v>
      </c>
      <c r="G3266">
        <v>225.62</v>
      </c>
      <c r="H3266" t="s">
        <v>2060</v>
      </c>
      <c r="I3266" t="str">
        <f>VLOOKUP(B3266,Customers!A:G,7,FALSE)</f>
        <v>Corporate</v>
      </c>
      <c r="Q3266" t="str">
        <f>IF(COUNTIF(Customers!$A$2:$A$1001,B3266)&gt;0,"Valid","Invalid")</f>
        <v>Valid</v>
      </c>
      <c r="R3266" t="str">
        <f>IF(COUNTIF(Branches!$A$2:$A$11,F3266)&gt;0,"Valid","Invalid")</f>
        <v>Valid</v>
      </c>
    </row>
    <row r="3267" spans="1:18" x14ac:dyDescent="0.25">
      <c r="A3267" t="s">
        <v>5338</v>
      </c>
      <c r="B3267" t="s">
        <v>205</v>
      </c>
      <c r="C3267" s="8">
        <v>46134</v>
      </c>
      <c r="D3267" t="s">
        <v>2062</v>
      </c>
      <c r="E3267" t="s">
        <v>2059</v>
      </c>
      <c r="F3267" t="s">
        <v>16</v>
      </c>
      <c r="G3267">
        <v>1377.67</v>
      </c>
      <c r="H3267" t="s">
        <v>2060</v>
      </c>
      <c r="I3267" t="str">
        <f>VLOOKUP(B3267,Customers!A:G,7,FALSE)</f>
        <v>SME</v>
      </c>
      <c r="Q3267" t="str">
        <f>IF(COUNTIF(Customers!$A$2:$A$1001,B3267)&gt;0,"Valid","Invalid")</f>
        <v>Valid</v>
      </c>
      <c r="R3267" t="str">
        <f>IF(COUNTIF(Branches!$A$2:$A$11,F3267)&gt;0,"Valid","Invalid")</f>
        <v>Valid</v>
      </c>
    </row>
    <row r="3268" spans="1:18" x14ac:dyDescent="0.25">
      <c r="A3268" t="s">
        <v>5339</v>
      </c>
      <c r="B3268" t="s">
        <v>622</v>
      </c>
      <c r="C3268" s="8">
        <v>46198</v>
      </c>
      <c r="D3268" t="s">
        <v>2067</v>
      </c>
      <c r="E3268" t="s">
        <v>2073</v>
      </c>
      <c r="F3268" t="s">
        <v>11</v>
      </c>
      <c r="G3268">
        <v>315.64</v>
      </c>
      <c r="H3268" t="s">
        <v>2060</v>
      </c>
      <c r="I3268" t="str">
        <f>VLOOKUP(B3268,Customers!A:G,7,FALSE)</f>
        <v>Individual</v>
      </c>
      <c r="Q3268" t="str">
        <f>IF(COUNTIF(Customers!$A$2:$A$1001,B3268)&gt;0,"Valid","Invalid")</f>
        <v>Valid</v>
      </c>
      <c r="R3268" t="str">
        <f>IF(COUNTIF(Branches!$A$2:$A$11,F3268)&gt;0,"Valid","Invalid")</f>
        <v>Valid</v>
      </c>
    </row>
    <row r="3269" spans="1:18" x14ac:dyDescent="0.25">
      <c r="A3269" t="s">
        <v>5340</v>
      </c>
      <c r="B3269" t="s">
        <v>175</v>
      </c>
      <c r="C3269" s="8">
        <v>46064</v>
      </c>
      <c r="D3269" t="s">
        <v>2062</v>
      </c>
      <c r="E3269" t="s">
        <v>2063</v>
      </c>
      <c r="F3269" t="s">
        <v>39</v>
      </c>
      <c r="G3269">
        <v>2365.62</v>
      </c>
      <c r="H3269" t="s">
        <v>2060</v>
      </c>
      <c r="I3269" t="str">
        <f>VLOOKUP(B3269,Customers!A:G,7,FALSE)</f>
        <v>SME</v>
      </c>
      <c r="Q3269" t="str">
        <f>IF(COUNTIF(Customers!$A$2:$A$1001,B3269)&gt;0,"Valid","Invalid")</f>
        <v>Valid</v>
      </c>
      <c r="R3269" t="str">
        <f>IF(COUNTIF(Branches!$A$2:$A$11,F3269)&gt;0,"Valid","Invalid")</f>
        <v>Valid</v>
      </c>
    </row>
    <row r="3270" spans="1:18" x14ac:dyDescent="0.25">
      <c r="A3270" t="s">
        <v>5341</v>
      </c>
      <c r="B3270" t="s">
        <v>886</v>
      </c>
      <c r="C3270" s="8">
        <v>46063</v>
      </c>
      <c r="D3270" t="s">
        <v>2062</v>
      </c>
      <c r="E3270" t="s">
        <v>2063</v>
      </c>
      <c r="F3270" t="s">
        <v>16</v>
      </c>
      <c r="G3270">
        <v>399.08</v>
      </c>
      <c r="H3270" t="s">
        <v>2060</v>
      </c>
      <c r="I3270" t="str">
        <f>VLOOKUP(B3270,Customers!A:G,7,FALSE)</f>
        <v>SME</v>
      </c>
      <c r="Q3270" t="str">
        <f>IF(COUNTIF(Customers!$A$2:$A$1001,B3270)&gt;0,"Valid","Invalid")</f>
        <v>Valid</v>
      </c>
      <c r="R3270" t="str">
        <f>IF(COUNTIF(Branches!$A$2:$A$11,F3270)&gt;0,"Valid","Invalid")</f>
        <v>Valid</v>
      </c>
    </row>
    <row r="3271" spans="1:18" x14ac:dyDescent="0.25">
      <c r="A3271" t="s">
        <v>5342</v>
      </c>
      <c r="B3271" t="s">
        <v>268</v>
      </c>
      <c r="C3271" s="8">
        <v>46225</v>
      </c>
      <c r="D3271" t="s">
        <v>2062</v>
      </c>
      <c r="E3271" t="s">
        <v>2073</v>
      </c>
      <c r="F3271" t="s">
        <v>45</v>
      </c>
      <c r="G3271">
        <v>182.18</v>
      </c>
      <c r="H3271" t="s">
        <v>2060</v>
      </c>
      <c r="I3271" t="str">
        <f>VLOOKUP(B3271,Customers!A:G,7,FALSE)</f>
        <v>Individual</v>
      </c>
      <c r="Q3271" t="str">
        <f>IF(COUNTIF(Customers!$A$2:$A$1001,B3271)&gt;0,"Valid","Invalid")</f>
        <v>Valid</v>
      </c>
      <c r="R3271" t="str">
        <f>IF(COUNTIF(Branches!$A$2:$A$11,F3271)&gt;0,"Valid","Invalid")</f>
        <v>Valid</v>
      </c>
    </row>
    <row r="3272" spans="1:18" x14ac:dyDescent="0.25">
      <c r="A3272" t="s">
        <v>5343</v>
      </c>
      <c r="B3272" t="s">
        <v>277</v>
      </c>
      <c r="C3272" s="8">
        <v>46111</v>
      </c>
      <c r="D3272" t="s">
        <v>2058</v>
      </c>
      <c r="E3272" t="s">
        <v>2073</v>
      </c>
      <c r="F3272" t="s">
        <v>27</v>
      </c>
      <c r="G3272">
        <v>3766.29</v>
      </c>
      <c r="H3272" t="s">
        <v>2060</v>
      </c>
      <c r="I3272" t="str">
        <f>VLOOKUP(B3272,Customers!A:G,7,FALSE)</f>
        <v>Individual</v>
      </c>
      <c r="Q3272" t="str">
        <f>IF(COUNTIF(Customers!$A$2:$A$1001,B3272)&gt;0,"Valid","Invalid")</f>
        <v>Valid</v>
      </c>
      <c r="R3272" t="str">
        <f>IF(COUNTIF(Branches!$A$2:$A$11,F3272)&gt;0,"Valid","Invalid")</f>
        <v>Valid</v>
      </c>
    </row>
    <row r="3273" spans="1:18" x14ac:dyDescent="0.25">
      <c r="A3273" t="s">
        <v>5344</v>
      </c>
      <c r="B3273" t="s">
        <v>1022</v>
      </c>
      <c r="C3273" s="8">
        <v>46240</v>
      </c>
      <c r="D3273" t="s">
        <v>2058</v>
      </c>
      <c r="E3273" t="s">
        <v>2063</v>
      </c>
      <c r="F3273" t="s">
        <v>47</v>
      </c>
      <c r="G3273">
        <v>973.91</v>
      </c>
      <c r="H3273" t="s">
        <v>2060</v>
      </c>
      <c r="I3273" t="str">
        <f>VLOOKUP(B3273,Customers!A:G,7,FALSE)</f>
        <v>Individual</v>
      </c>
      <c r="Q3273" t="str">
        <f>IF(COUNTIF(Customers!$A$2:$A$1001,B3273)&gt;0,"Valid","Invalid")</f>
        <v>Valid</v>
      </c>
      <c r="R3273" t="str">
        <f>IF(COUNTIF(Branches!$A$2:$A$11,F3273)&gt;0,"Valid","Invalid")</f>
        <v>Valid</v>
      </c>
    </row>
    <row r="3274" spans="1:18" x14ac:dyDescent="0.25">
      <c r="A3274" t="s">
        <v>5345</v>
      </c>
      <c r="B3274" t="s">
        <v>291</v>
      </c>
      <c r="C3274" s="8">
        <v>46208</v>
      </c>
      <c r="D3274" t="s">
        <v>2062</v>
      </c>
      <c r="E3274" t="s">
        <v>2063</v>
      </c>
      <c r="F3274" t="s">
        <v>47</v>
      </c>
      <c r="G3274">
        <v>1933.7</v>
      </c>
      <c r="H3274" t="s">
        <v>2115</v>
      </c>
      <c r="I3274" t="str">
        <f>VLOOKUP(B3274,Customers!A:G,7,FALSE)</f>
        <v>Individual</v>
      </c>
      <c r="Q3274" t="str">
        <f>IF(COUNTIF(Customers!$A$2:$A$1001,B3274)&gt;0,"Valid","Invalid")</f>
        <v>Valid</v>
      </c>
      <c r="R3274" t="str">
        <f>IF(COUNTIF(Branches!$A$2:$A$11,F3274)&gt;0,"Valid","Invalid")</f>
        <v>Valid</v>
      </c>
    </row>
    <row r="3275" spans="1:18" x14ac:dyDescent="0.25">
      <c r="A3275" t="s">
        <v>5346</v>
      </c>
      <c r="B3275" t="s">
        <v>1019</v>
      </c>
      <c r="C3275" s="8">
        <v>46250</v>
      </c>
      <c r="D3275" t="s">
        <v>2065</v>
      </c>
      <c r="E3275" t="s">
        <v>2059</v>
      </c>
      <c r="F3275" t="s">
        <v>53</v>
      </c>
      <c r="G3275">
        <v>346.72</v>
      </c>
      <c r="H3275" t="s">
        <v>2060</v>
      </c>
      <c r="I3275" t="str">
        <f>VLOOKUP(B3275,Customers!A:G,7,FALSE)</f>
        <v>Individual</v>
      </c>
      <c r="Q3275" t="str">
        <f>IF(COUNTIF(Customers!$A$2:$A$1001,B3275)&gt;0,"Valid","Invalid")</f>
        <v>Valid</v>
      </c>
      <c r="R3275" t="str">
        <f>IF(COUNTIF(Branches!$A$2:$A$11,F3275)&gt;0,"Valid","Invalid")</f>
        <v>Valid</v>
      </c>
    </row>
    <row r="3276" spans="1:18" x14ac:dyDescent="0.25">
      <c r="A3276" t="s">
        <v>5347</v>
      </c>
      <c r="B3276" t="s">
        <v>474</v>
      </c>
      <c r="C3276" s="8">
        <v>46064</v>
      </c>
      <c r="D3276" t="s">
        <v>2062</v>
      </c>
      <c r="E3276" t="s">
        <v>2063</v>
      </c>
      <c r="F3276" t="s">
        <v>16</v>
      </c>
      <c r="G3276">
        <v>122.51</v>
      </c>
      <c r="H3276" t="s">
        <v>2107</v>
      </c>
      <c r="I3276" t="str">
        <f>VLOOKUP(B3276,Customers!A:G,7,FALSE)</f>
        <v>Student</v>
      </c>
      <c r="Q3276" t="str">
        <f>IF(COUNTIF(Customers!$A$2:$A$1001,B3276)&gt;0,"Valid","Invalid")</f>
        <v>Valid</v>
      </c>
      <c r="R3276" t="str">
        <f>IF(COUNTIF(Branches!$A$2:$A$11,F3276)&gt;0,"Valid","Invalid")</f>
        <v>Valid</v>
      </c>
    </row>
    <row r="3277" spans="1:18" x14ac:dyDescent="0.25">
      <c r="A3277" t="s">
        <v>5348</v>
      </c>
      <c r="B3277" t="s">
        <v>957</v>
      </c>
      <c r="C3277" s="8">
        <v>46057</v>
      </c>
      <c r="D3277" t="s">
        <v>2070</v>
      </c>
      <c r="E3277" t="s">
        <v>2076</v>
      </c>
      <c r="F3277" t="s">
        <v>35</v>
      </c>
      <c r="G3277">
        <v>4338.1499999999996</v>
      </c>
      <c r="H3277" t="s">
        <v>2060</v>
      </c>
      <c r="I3277" t="str">
        <f>VLOOKUP(B3277,Customers!A:G,7,FALSE)</f>
        <v>Individual</v>
      </c>
      <c r="Q3277" t="str">
        <f>IF(COUNTIF(Customers!$A$2:$A$1001,B3277)&gt;0,"Valid","Invalid")</f>
        <v>Valid</v>
      </c>
      <c r="R3277" t="str">
        <f>IF(COUNTIF(Branches!$A$2:$A$11,F3277)&gt;0,"Valid","Invalid")</f>
        <v>Valid</v>
      </c>
    </row>
    <row r="3278" spans="1:18" x14ac:dyDescent="0.25">
      <c r="A3278" t="s">
        <v>5349</v>
      </c>
      <c r="B3278" t="s">
        <v>599</v>
      </c>
      <c r="C3278" s="8">
        <v>46188</v>
      </c>
      <c r="D3278" t="s">
        <v>2067</v>
      </c>
      <c r="E3278" t="s">
        <v>2063</v>
      </c>
      <c r="F3278" t="s">
        <v>47</v>
      </c>
      <c r="G3278">
        <v>807.2</v>
      </c>
      <c r="H3278" t="s">
        <v>2115</v>
      </c>
      <c r="I3278" t="str">
        <f>VLOOKUP(B3278,Customers!A:G,7,FALSE)</f>
        <v>Individual</v>
      </c>
      <c r="Q3278" t="str">
        <f>IF(COUNTIF(Customers!$A$2:$A$1001,B3278)&gt;0,"Valid","Invalid")</f>
        <v>Valid</v>
      </c>
      <c r="R3278" t="str">
        <f>IF(COUNTIF(Branches!$A$2:$A$11,F3278)&gt;0,"Valid","Invalid")</f>
        <v>Valid</v>
      </c>
    </row>
    <row r="3279" spans="1:18" x14ac:dyDescent="0.25">
      <c r="A3279" t="s">
        <v>5350</v>
      </c>
      <c r="B3279" t="s">
        <v>460</v>
      </c>
      <c r="C3279" s="8">
        <v>46089</v>
      </c>
      <c r="D3279" t="s">
        <v>2062</v>
      </c>
      <c r="E3279" t="s">
        <v>2063</v>
      </c>
      <c r="F3279" t="s">
        <v>11</v>
      </c>
      <c r="G3279">
        <v>1327.9</v>
      </c>
      <c r="H3279" t="s">
        <v>2060</v>
      </c>
      <c r="I3279" t="str">
        <f>VLOOKUP(B3279,Customers!A:G,7,FALSE)</f>
        <v>Individual</v>
      </c>
      <c r="Q3279" t="str">
        <f>IF(COUNTIF(Customers!$A$2:$A$1001,B3279)&gt;0,"Valid","Invalid")</f>
        <v>Valid</v>
      </c>
      <c r="R3279" t="str">
        <f>IF(COUNTIF(Branches!$A$2:$A$11,F3279)&gt;0,"Valid","Invalid")</f>
        <v>Valid</v>
      </c>
    </row>
    <row r="3280" spans="1:18" x14ac:dyDescent="0.25">
      <c r="A3280" t="s">
        <v>5351</v>
      </c>
      <c r="B3280" t="s">
        <v>341</v>
      </c>
      <c r="C3280" s="8">
        <v>46063</v>
      </c>
      <c r="D3280" t="s">
        <v>2062</v>
      </c>
      <c r="E3280" t="s">
        <v>2059</v>
      </c>
      <c r="F3280" t="s">
        <v>27</v>
      </c>
      <c r="G3280">
        <v>1566.49</v>
      </c>
      <c r="H3280" t="s">
        <v>2060</v>
      </c>
      <c r="I3280" t="str">
        <f>VLOOKUP(B3280,Customers!A:G,7,FALSE)</f>
        <v>SME</v>
      </c>
      <c r="Q3280" t="str">
        <f>IF(COUNTIF(Customers!$A$2:$A$1001,B3280)&gt;0,"Valid","Invalid")</f>
        <v>Valid</v>
      </c>
      <c r="R3280" t="str">
        <f>IF(COUNTIF(Branches!$A$2:$A$11,F3280)&gt;0,"Valid","Invalid")</f>
        <v>Valid</v>
      </c>
    </row>
    <row r="3281" spans="1:18" x14ac:dyDescent="0.25">
      <c r="A3281" t="s">
        <v>5352</v>
      </c>
      <c r="B3281" t="s">
        <v>108</v>
      </c>
      <c r="C3281" s="8">
        <v>46121</v>
      </c>
      <c r="D3281" t="s">
        <v>2058</v>
      </c>
      <c r="E3281" t="s">
        <v>2073</v>
      </c>
      <c r="F3281" t="s">
        <v>53</v>
      </c>
      <c r="G3281">
        <v>580.91999999999996</v>
      </c>
      <c r="H3281" t="s">
        <v>2060</v>
      </c>
      <c r="I3281" t="str">
        <f>VLOOKUP(B3281,Customers!A:G,7,FALSE)</f>
        <v>Individual</v>
      </c>
      <c r="Q3281" t="str">
        <f>IF(COUNTIF(Customers!$A$2:$A$1001,B3281)&gt;0,"Valid","Invalid")</f>
        <v>Valid</v>
      </c>
      <c r="R3281" t="str">
        <f>IF(COUNTIF(Branches!$A$2:$A$11,F3281)&gt;0,"Valid","Invalid")</f>
        <v>Valid</v>
      </c>
    </row>
    <row r="3282" spans="1:18" x14ac:dyDescent="0.25">
      <c r="A3282" t="s">
        <v>5353</v>
      </c>
      <c r="B3282" t="s">
        <v>301</v>
      </c>
      <c r="C3282" s="8">
        <v>46072</v>
      </c>
      <c r="D3282" t="s">
        <v>2058</v>
      </c>
      <c r="E3282" t="s">
        <v>2059</v>
      </c>
      <c r="F3282" t="s">
        <v>29</v>
      </c>
      <c r="G3282">
        <v>1018.65</v>
      </c>
      <c r="H3282" t="s">
        <v>2060</v>
      </c>
      <c r="I3282" t="str">
        <f>VLOOKUP(B3282,Customers!A:G,7,FALSE)</f>
        <v>Individual</v>
      </c>
      <c r="Q3282" t="str">
        <f>IF(COUNTIF(Customers!$A$2:$A$1001,B3282)&gt;0,"Valid","Invalid")</f>
        <v>Valid</v>
      </c>
      <c r="R3282" t="str">
        <f>IF(COUNTIF(Branches!$A$2:$A$11,F3282)&gt;0,"Valid","Invalid")</f>
        <v>Valid</v>
      </c>
    </row>
    <row r="3283" spans="1:18" x14ac:dyDescent="0.25">
      <c r="A3283" t="s">
        <v>5354</v>
      </c>
      <c r="B3283" t="s">
        <v>872</v>
      </c>
      <c r="C3283" s="8">
        <v>46126</v>
      </c>
      <c r="D3283" t="s">
        <v>2062</v>
      </c>
      <c r="E3283" t="s">
        <v>2059</v>
      </c>
      <c r="F3283" t="s">
        <v>11</v>
      </c>
      <c r="G3283">
        <v>3999.61</v>
      </c>
      <c r="H3283" t="s">
        <v>2060</v>
      </c>
      <c r="I3283" t="str">
        <f>VLOOKUP(B3283,Customers!A:G,7,FALSE)</f>
        <v>Individual</v>
      </c>
      <c r="Q3283" t="str">
        <f>IF(COUNTIF(Customers!$A$2:$A$1001,B3283)&gt;0,"Valid","Invalid")</f>
        <v>Valid</v>
      </c>
      <c r="R3283" t="str">
        <f>IF(COUNTIF(Branches!$A$2:$A$11,F3283)&gt;0,"Valid","Invalid")</f>
        <v>Valid</v>
      </c>
    </row>
    <row r="3284" spans="1:18" x14ac:dyDescent="0.25">
      <c r="A3284" t="s">
        <v>5355</v>
      </c>
      <c r="B3284" t="s">
        <v>259</v>
      </c>
      <c r="C3284" s="8">
        <v>46108</v>
      </c>
      <c r="D3284" t="s">
        <v>2067</v>
      </c>
      <c r="E3284" t="s">
        <v>2073</v>
      </c>
      <c r="F3284" t="s">
        <v>16</v>
      </c>
      <c r="G3284">
        <v>786.47</v>
      </c>
      <c r="H3284" t="s">
        <v>2060</v>
      </c>
      <c r="I3284" t="str">
        <f>VLOOKUP(B3284,Customers!A:G,7,FALSE)</f>
        <v>Individual</v>
      </c>
      <c r="Q3284" t="str">
        <f>IF(COUNTIF(Customers!$A$2:$A$1001,B3284)&gt;0,"Valid","Invalid")</f>
        <v>Valid</v>
      </c>
      <c r="R3284" t="str">
        <f>IF(COUNTIF(Branches!$A$2:$A$11,F3284)&gt;0,"Valid","Invalid")</f>
        <v>Valid</v>
      </c>
    </row>
    <row r="3285" spans="1:18" x14ac:dyDescent="0.25">
      <c r="A3285" t="s">
        <v>5356</v>
      </c>
      <c r="B3285" t="s">
        <v>113</v>
      </c>
      <c r="C3285" s="8">
        <v>46222</v>
      </c>
      <c r="D3285" t="s">
        <v>2065</v>
      </c>
      <c r="E3285" t="s">
        <v>2059</v>
      </c>
      <c r="F3285" t="s">
        <v>16</v>
      </c>
      <c r="G3285">
        <v>2084.12</v>
      </c>
      <c r="H3285" t="s">
        <v>2060</v>
      </c>
      <c r="I3285" t="str">
        <f>VLOOKUP(B3285,Customers!A:G,7,FALSE)</f>
        <v>Individual</v>
      </c>
      <c r="Q3285" t="str">
        <f>IF(COUNTIF(Customers!$A$2:$A$1001,B3285)&gt;0,"Valid","Invalid")</f>
        <v>Valid</v>
      </c>
      <c r="R3285" t="str">
        <f>IF(COUNTIF(Branches!$A$2:$A$11,F3285)&gt;0,"Valid","Invalid")</f>
        <v>Valid</v>
      </c>
    </row>
    <row r="3286" spans="1:18" x14ac:dyDescent="0.25">
      <c r="A3286" t="s">
        <v>5357</v>
      </c>
      <c r="B3286" t="s">
        <v>98</v>
      </c>
      <c r="C3286" s="8">
        <v>46101</v>
      </c>
      <c r="D3286" t="s">
        <v>2062</v>
      </c>
      <c r="E3286" t="s">
        <v>2059</v>
      </c>
      <c r="F3286" t="s">
        <v>27</v>
      </c>
      <c r="G3286">
        <v>110.91</v>
      </c>
      <c r="H3286" t="s">
        <v>2060</v>
      </c>
      <c r="I3286" t="str">
        <f>VLOOKUP(B3286,Customers!A:G,7,FALSE)</f>
        <v>Individual</v>
      </c>
      <c r="Q3286" t="str">
        <f>IF(COUNTIF(Customers!$A$2:$A$1001,B3286)&gt;0,"Valid","Invalid")</f>
        <v>Valid</v>
      </c>
      <c r="R3286" t="str">
        <f>IF(COUNTIF(Branches!$A$2:$A$11,F3286)&gt;0,"Valid","Invalid")</f>
        <v>Valid</v>
      </c>
    </row>
    <row r="3287" spans="1:18" x14ac:dyDescent="0.25">
      <c r="A3287" t="s">
        <v>5358</v>
      </c>
      <c r="B3287" t="s">
        <v>509</v>
      </c>
      <c r="C3287" s="8">
        <v>46067</v>
      </c>
      <c r="D3287" t="s">
        <v>2058</v>
      </c>
      <c r="E3287" t="s">
        <v>2059</v>
      </c>
      <c r="F3287" t="s">
        <v>39</v>
      </c>
      <c r="G3287">
        <v>2499.29</v>
      </c>
      <c r="H3287" t="s">
        <v>2060</v>
      </c>
      <c r="I3287" t="str">
        <f>VLOOKUP(B3287,Customers!A:G,7,FALSE)</f>
        <v>Student</v>
      </c>
      <c r="Q3287" t="str">
        <f>IF(COUNTIF(Customers!$A$2:$A$1001,B3287)&gt;0,"Valid","Invalid")</f>
        <v>Valid</v>
      </c>
      <c r="R3287" t="str">
        <f>IF(COUNTIF(Branches!$A$2:$A$11,F3287)&gt;0,"Valid","Invalid")</f>
        <v>Valid</v>
      </c>
    </row>
    <row r="3288" spans="1:18" x14ac:dyDescent="0.25">
      <c r="A3288" t="s">
        <v>5359</v>
      </c>
      <c r="B3288" t="s">
        <v>193</v>
      </c>
      <c r="C3288" s="8">
        <v>46221</v>
      </c>
      <c r="D3288" t="s">
        <v>2062</v>
      </c>
      <c r="E3288" t="s">
        <v>2063</v>
      </c>
      <c r="F3288" t="s">
        <v>47</v>
      </c>
      <c r="G3288">
        <v>177.33</v>
      </c>
      <c r="H3288" t="s">
        <v>2060</v>
      </c>
      <c r="I3288" t="str">
        <f>VLOOKUP(B3288,Customers!A:G,7,FALSE)</f>
        <v>Individual</v>
      </c>
      <c r="Q3288" t="str">
        <f>IF(COUNTIF(Customers!$A$2:$A$1001,B3288)&gt;0,"Valid","Invalid")</f>
        <v>Valid</v>
      </c>
      <c r="R3288" t="str">
        <f>IF(COUNTIF(Branches!$A$2:$A$11,F3288)&gt;0,"Valid","Invalid")</f>
        <v>Valid</v>
      </c>
    </row>
    <row r="3289" spans="1:18" x14ac:dyDescent="0.25">
      <c r="A3289" t="s">
        <v>5360</v>
      </c>
      <c r="B3289" t="s">
        <v>844</v>
      </c>
      <c r="C3289" s="8">
        <v>46169</v>
      </c>
      <c r="D3289" t="s">
        <v>2065</v>
      </c>
      <c r="E3289" t="s">
        <v>2059</v>
      </c>
      <c r="F3289" t="s">
        <v>21</v>
      </c>
      <c r="G3289">
        <v>2229.2199999999998</v>
      </c>
      <c r="H3289" t="s">
        <v>2060</v>
      </c>
      <c r="I3289" t="str">
        <f>VLOOKUP(B3289,Customers!A:G,7,FALSE)</f>
        <v>Individual</v>
      </c>
      <c r="Q3289" t="str">
        <f>IF(COUNTIF(Customers!$A$2:$A$1001,B3289)&gt;0,"Valid","Invalid")</f>
        <v>Valid</v>
      </c>
      <c r="R3289" t="str">
        <f>IF(COUNTIF(Branches!$A$2:$A$11,F3289)&gt;0,"Valid","Invalid")</f>
        <v>Valid</v>
      </c>
    </row>
    <row r="3290" spans="1:18" x14ac:dyDescent="0.25">
      <c r="A3290" t="s">
        <v>5361</v>
      </c>
      <c r="B3290" t="s">
        <v>161</v>
      </c>
      <c r="C3290" s="8">
        <v>46254</v>
      </c>
      <c r="D3290" t="s">
        <v>2065</v>
      </c>
      <c r="E3290" t="s">
        <v>2059</v>
      </c>
      <c r="F3290" t="s">
        <v>29</v>
      </c>
      <c r="G3290">
        <v>1200.67</v>
      </c>
      <c r="H3290" t="s">
        <v>2060</v>
      </c>
      <c r="I3290" t="str">
        <f>VLOOKUP(B3290,Customers!A:G,7,FALSE)</f>
        <v>Student</v>
      </c>
      <c r="Q3290" t="str">
        <f>IF(COUNTIF(Customers!$A$2:$A$1001,B3290)&gt;0,"Valid","Invalid")</f>
        <v>Valid</v>
      </c>
      <c r="R3290" t="str">
        <f>IF(COUNTIF(Branches!$A$2:$A$11,F3290)&gt;0,"Valid","Invalid")</f>
        <v>Valid</v>
      </c>
    </row>
    <row r="3291" spans="1:18" x14ac:dyDescent="0.25">
      <c r="A3291" t="s">
        <v>5362</v>
      </c>
      <c r="B3291" t="s">
        <v>779</v>
      </c>
      <c r="C3291" s="8">
        <v>46128</v>
      </c>
      <c r="D3291" t="s">
        <v>2070</v>
      </c>
      <c r="E3291" t="s">
        <v>2063</v>
      </c>
      <c r="F3291" t="s">
        <v>47</v>
      </c>
      <c r="G3291">
        <v>738.1</v>
      </c>
      <c r="H3291" t="s">
        <v>2060</v>
      </c>
      <c r="I3291" t="str">
        <f>VLOOKUP(B3291,Customers!A:G,7,FALSE)</f>
        <v>SME</v>
      </c>
      <c r="Q3291" t="str">
        <f>IF(COUNTIF(Customers!$A$2:$A$1001,B3291)&gt;0,"Valid","Invalid")</f>
        <v>Valid</v>
      </c>
      <c r="R3291" t="str">
        <f>IF(COUNTIF(Branches!$A$2:$A$11,F3291)&gt;0,"Valid","Invalid")</f>
        <v>Valid</v>
      </c>
    </row>
    <row r="3292" spans="1:18" x14ac:dyDescent="0.25">
      <c r="A3292" t="s">
        <v>5363</v>
      </c>
      <c r="B3292" t="s">
        <v>890</v>
      </c>
      <c r="C3292" s="8">
        <v>46167</v>
      </c>
      <c r="D3292" t="s">
        <v>2065</v>
      </c>
      <c r="E3292" t="s">
        <v>2063</v>
      </c>
      <c r="F3292" t="s">
        <v>29</v>
      </c>
      <c r="G3292">
        <v>735.4</v>
      </c>
      <c r="H3292" t="s">
        <v>2060</v>
      </c>
      <c r="I3292" t="str">
        <f>VLOOKUP(B3292,Customers!A:G,7,FALSE)</f>
        <v>Student</v>
      </c>
      <c r="Q3292" t="str">
        <f>IF(COUNTIF(Customers!$A$2:$A$1001,B3292)&gt;0,"Valid","Invalid")</f>
        <v>Valid</v>
      </c>
      <c r="R3292" t="str">
        <f>IF(COUNTIF(Branches!$A$2:$A$11,F3292)&gt;0,"Valid","Invalid")</f>
        <v>Valid</v>
      </c>
    </row>
    <row r="3293" spans="1:18" x14ac:dyDescent="0.25">
      <c r="A3293" t="s">
        <v>5364</v>
      </c>
      <c r="B3293" t="s">
        <v>197</v>
      </c>
      <c r="C3293" s="8">
        <v>46215</v>
      </c>
      <c r="D3293" t="s">
        <v>2062</v>
      </c>
      <c r="E3293" t="s">
        <v>2063</v>
      </c>
      <c r="F3293" t="s">
        <v>11</v>
      </c>
      <c r="G3293">
        <v>630.98</v>
      </c>
      <c r="H3293" t="s">
        <v>2107</v>
      </c>
      <c r="I3293" t="str">
        <f>VLOOKUP(B3293,Customers!A:G,7,FALSE)</f>
        <v>Individual</v>
      </c>
      <c r="Q3293" t="str">
        <f>IF(COUNTIF(Customers!$A$2:$A$1001,B3293)&gt;0,"Valid","Invalid")</f>
        <v>Valid</v>
      </c>
      <c r="R3293" t="str">
        <f>IF(COUNTIF(Branches!$A$2:$A$11,F3293)&gt;0,"Valid","Invalid")</f>
        <v>Valid</v>
      </c>
    </row>
    <row r="3294" spans="1:18" x14ac:dyDescent="0.25">
      <c r="A3294" t="s">
        <v>5365</v>
      </c>
      <c r="B3294" t="s">
        <v>579</v>
      </c>
      <c r="C3294" s="8">
        <v>46259</v>
      </c>
      <c r="D3294" t="s">
        <v>2062</v>
      </c>
      <c r="E3294" t="s">
        <v>2059</v>
      </c>
      <c r="F3294" t="s">
        <v>35</v>
      </c>
      <c r="G3294">
        <v>357.57</v>
      </c>
      <c r="H3294" t="s">
        <v>2060</v>
      </c>
      <c r="I3294" t="str">
        <f>VLOOKUP(B3294,Customers!A:G,7,FALSE)</f>
        <v>Corporate</v>
      </c>
      <c r="Q3294" t="str">
        <f>IF(COUNTIF(Customers!$A$2:$A$1001,B3294)&gt;0,"Valid","Invalid")</f>
        <v>Valid</v>
      </c>
      <c r="R3294" t="str">
        <f>IF(COUNTIF(Branches!$A$2:$A$11,F3294)&gt;0,"Valid","Invalid")</f>
        <v>Valid</v>
      </c>
    </row>
    <row r="3295" spans="1:18" x14ac:dyDescent="0.25">
      <c r="A3295" t="s">
        <v>5366</v>
      </c>
      <c r="B3295" t="s">
        <v>664</v>
      </c>
      <c r="C3295" s="8">
        <v>46243</v>
      </c>
      <c r="D3295" t="s">
        <v>2062</v>
      </c>
      <c r="E3295" t="s">
        <v>2063</v>
      </c>
      <c r="F3295" t="s">
        <v>16</v>
      </c>
      <c r="G3295">
        <v>661.18</v>
      </c>
      <c r="H3295" t="s">
        <v>2115</v>
      </c>
      <c r="I3295" t="str">
        <f>VLOOKUP(B3295,Customers!A:G,7,FALSE)</f>
        <v>Individual</v>
      </c>
      <c r="Q3295" t="str">
        <f>IF(COUNTIF(Customers!$A$2:$A$1001,B3295)&gt;0,"Valid","Invalid")</f>
        <v>Valid</v>
      </c>
      <c r="R3295" t="str">
        <f>IF(COUNTIF(Branches!$A$2:$A$11,F3295)&gt;0,"Valid","Invalid")</f>
        <v>Valid</v>
      </c>
    </row>
    <row r="3296" spans="1:18" x14ac:dyDescent="0.25">
      <c r="A3296" t="s">
        <v>5367</v>
      </c>
      <c r="B3296" t="s">
        <v>629</v>
      </c>
      <c r="C3296" s="8">
        <v>46144</v>
      </c>
      <c r="D3296" t="s">
        <v>2065</v>
      </c>
      <c r="E3296" t="s">
        <v>2063</v>
      </c>
      <c r="F3296" t="s">
        <v>39</v>
      </c>
      <c r="G3296">
        <v>7391.3</v>
      </c>
      <c r="H3296" t="s">
        <v>2060</v>
      </c>
      <c r="I3296" t="str">
        <f>VLOOKUP(B3296,Customers!A:G,7,FALSE)</f>
        <v>Individual</v>
      </c>
      <c r="Q3296" t="str">
        <f>IF(COUNTIF(Customers!$A$2:$A$1001,B3296)&gt;0,"Valid","Invalid")</f>
        <v>Valid</v>
      </c>
      <c r="R3296" t="str">
        <f>IF(COUNTIF(Branches!$A$2:$A$11,F3296)&gt;0,"Valid","Invalid")</f>
        <v>Valid</v>
      </c>
    </row>
    <row r="3297" spans="1:18" x14ac:dyDescent="0.25">
      <c r="A3297" t="s">
        <v>5368</v>
      </c>
      <c r="B3297" t="s">
        <v>573</v>
      </c>
      <c r="C3297" s="8">
        <v>46099</v>
      </c>
      <c r="D3297" t="s">
        <v>2058</v>
      </c>
      <c r="E3297" t="s">
        <v>2073</v>
      </c>
      <c r="F3297" t="s">
        <v>21</v>
      </c>
      <c r="G3297">
        <v>2987.84</v>
      </c>
      <c r="H3297" t="s">
        <v>2060</v>
      </c>
      <c r="I3297" t="str">
        <f>VLOOKUP(B3297,Customers!A:G,7,FALSE)</f>
        <v>Individual</v>
      </c>
      <c r="Q3297" t="str">
        <f>IF(COUNTIF(Customers!$A$2:$A$1001,B3297)&gt;0,"Valid","Invalid")</f>
        <v>Valid</v>
      </c>
      <c r="R3297" t="str">
        <f>IF(COUNTIF(Branches!$A$2:$A$11,F3297)&gt;0,"Valid","Invalid")</f>
        <v>Valid</v>
      </c>
    </row>
    <row r="3298" spans="1:18" x14ac:dyDescent="0.25">
      <c r="A3298" t="s">
        <v>5369</v>
      </c>
      <c r="B3298" t="s">
        <v>142</v>
      </c>
      <c r="C3298" s="8">
        <v>46078</v>
      </c>
      <c r="D3298" t="s">
        <v>2062</v>
      </c>
      <c r="E3298" t="s">
        <v>2059</v>
      </c>
      <c r="F3298" t="s">
        <v>47</v>
      </c>
      <c r="G3298">
        <v>340.02</v>
      </c>
      <c r="H3298" t="s">
        <v>2060</v>
      </c>
      <c r="I3298" t="str">
        <f>VLOOKUP(B3298,Customers!A:G,7,FALSE)</f>
        <v>SME</v>
      </c>
      <c r="Q3298" t="str">
        <f>IF(COUNTIF(Customers!$A$2:$A$1001,B3298)&gt;0,"Valid","Invalid")</f>
        <v>Valid</v>
      </c>
      <c r="R3298" t="str">
        <f>IF(COUNTIF(Branches!$A$2:$A$11,F3298)&gt;0,"Valid","Invalid")</f>
        <v>Valid</v>
      </c>
    </row>
    <row r="3299" spans="1:18" x14ac:dyDescent="0.25">
      <c r="A3299" t="s">
        <v>5370</v>
      </c>
      <c r="B3299" t="s">
        <v>167</v>
      </c>
      <c r="C3299" s="8">
        <v>46134</v>
      </c>
      <c r="D3299" t="s">
        <v>2067</v>
      </c>
      <c r="E3299" t="s">
        <v>2063</v>
      </c>
      <c r="F3299" t="s">
        <v>27</v>
      </c>
      <c r="G3299">
        <v>1061.76</v>
      </c>
      <c r="H3299" t="s">
        <v>2060</v>
      </c>
      <c r="I3299" t="str">
        <f>VLOOKUP(B3299,Customers!A:G,7,FALSE)</f>
        <v>Corporate</v>
      </c>
      <c r="Q3299" t="str">
        <f>IF(COUNTIF(Customers!$A$2:$A$1001,B3299)&gt;0,"Valid","Invalid")</f>
        <v>Valid</v>
      </c>
      <c r="R3299" t="str">
        <f>IF(COUNTIF(Branches!$A$2:$A$11,F3299)&gt;0,"Valid","Invalid")</f>
        <v>Valid</v>
      </c>
    </row>
    <row r="3300" spans="1:18" x14ac:dyDescent="0.25">
      <c r="A3300" t="s">
        <v>5371</v>
      </c>
      <c r="B3300" t="s">
        <v>395</v>
      </c>
      <c r="C3300" s="8">
        <v>46115</v>
      </c>
      <c r="D3300" t="s">
        <v>2067</v>
      </c>
      <c r="E3300" t="s">
        <v>2076</v>
      </c>
      <c r="F3300" t="s">
        <v>21</v>
      </c>
      <c r="G3300">
        <v>894.24</v>
      </c>
      <c r="H3300" t="s">
        <v>2060</v>
      </c>
      <c r="I3300" t="str">
        <f>VLOOKUP(B3300,Customers!A:G,7,FALSE)</f>
        <v>Individual</v>
      </c>
      <c r="Q3300" t="str">
        <f>IF(COUNTIF(Customers!$A$2:$A$1001,B3300)&gt;0,"Valid","Invalid")</f>
        <v>Valid</v>
      </c>
      <c r="R3300" t="str">
        <f>IF(COUNTIF(Branches!$A$2:$A$11,F3300)&gt;0,"Valid","Invalid")</f>
        <v>Valid</v>
      </c>
    </row>
    <row r="3301" spans="1:18" x14ac:dyDescent="0.25">
      <c r="A3301" t="s">
        <v>5372</v>
      </c>
      <c r="B3301" t="s">
        <v>1027</v>
      </c>
      <c r="C3301" s="8">
        <v>46063</v>
      </c>
      <c r="D3301" t="s">
        <v>2067</v>
      </c>
      <c r="E3301" t="s">
        <v>2063</v>
      </c>
      <c r="F3301" t="s">
        <v>53</v>
      </c>
      <c r="G3301">
        <v>704.65</v>
      </c>
      <c r="H3301" t="s">
        <v>2060</v>
      </c>
      <c r="I3301" t="str">
        <f>VLOOKUP(B3301,Customers!A:G,7,FALSE)</f>
        <v>Individual</v>
      </c>
      <c r="Q3301" t="str">
        <f>IF(COUNTIF(Customers!$A$2:$A$1001,B3301)&gt;0,"Valid","Invalid")</f>
        <v>Valid</v>
      </c>
      <c r="R3301" t="str">
        <f>IF(COUNTIF(Branches!$A$2:$A$11,F3301)&gt;0,"Valid","Invalid")</f>
        <v>Valid</v>
      </c>
    </row>
    <row r="3302" spans="1:18" x14ac:dyDescent="0.25">
      <c r="A3302" t="s">
        <v>5373</v>
      </c>
      <c r="B3302" t="s">
        <v>723</v>
      </c>
      <c r="C3302" s="8">
        <v>46192</v>
      </c>
      <c r="D3302" t="s">
        <v>2065</v>
      </c>
      <c r="E3302" t="s">
        <v>2076</v>
      </c>
      <c r="F3302" t="s">
        <v>29</v>
      </c>
      <c r="G3302">
        <v>298.04000000000002</v>
      </c>
      <c r="H3302" t="s">
        <v>2060</v>
      </c>
      <c r="I3302" t="str">
        <f>VLOOKUP(B3302,Customers!A:G,7,FALSE)</f>
        <v>SME</v>
      </c>
      <c r="Q3302" t="str">
        <f>IF(COUNTIF(Customers!$A$2:$A$1001,B3302)&gt;0,"Valid","Invalid")</f>
        <v>Valid</v>
      </c>
      <c r="R3302" t="str">
        <f>IF(COUNTIF(Branches!$A$2:$A$11,F3302)&gt;0,"Valid","Invalid")</f>
        <v>Valid</v>
      </c>
    </row>
    <row r="3303" spans="1:18" x14ac:dyDescent="0.25">
      <c r="A3303" t="s">
        <v>5374</v>
      </c>
      <c r="B3303" t="s">
        <v>814</v>
      </c>
      <c r="C3303" s="8">
        <v>46028</v>
      </c>
      <c r="D3303" t="s">
        <v>2062</v>
      </c>
      <c r="E3303" t="s">
        <v>2076</v>
      </c>
      <c r="F3303" t="s">
        <v>21</v>
      </c>
      <c r="G3303">
        <v>1268.8900000000001</v>
      </c>
      <c r="H3303" t="s">
        <v>2060</v>
      </c>
      <c r="I3303" t="str">
        <f>VLOOKUP(B3303,Customers!A:G,7,FALSE)</f>
        <v>Individual</v>
      </c>
      <c r="Q3303" t="str">
        <f>IF(COUNTIF(Customers!$A$2:$A$1001,B3303)&gt;0,"Valid","Invalid")</f>
        <v>Valid</v>
      </c>
      <c r="R3303" t="str">
        <f>IF(COUNTIF(Branches!$A$2:$A$11,F3303)&gt;0,"Valid","Invalid")</f>
        <v>Valid</v>
      </c>
    </row>
    <row r="3304" spans="1:18" x14ac:dyDescent="0.25">
      <c r="A3304" t="s">
        <v>5375</v>
      </c>
      <c r="B3304" t="s">
        <v>892</v>
      </c>
      <c r="C3304" s="8">
        <v>46219</v>
      </c>
      <c r="D3304" t="s">
        <v>2062</v>
      </c>
      <c r="E3304" t="s">
        <v>2076</v>
      </c>
      <c r="F3304" t="s">
        <v>47</v>
      </c>
      <c r="G3304">
        <v>1893.29</v>
      </c>
      <c r="H3304" t="s">
        <v>2060</v>
      </c>
      <c r="I3304" t="str">
        <f>VLOOKUP(B3304,Customers!A:G,7,FALSE)</f>
        <v>Individual</v>
      </c>
      <c r="Q3304" t="str">
        <f>IF(COUNTIF(Customers!$A$2:$A$1001,B3304)&gt;0,"Valid","Invalid")</f>
        <v>Valid</v>
      </c>
      <c r="R3304" t="str">
        <f>IF(COUNTIF(Branches!$A$2:$A$11,F3304)&gt;0,"Valid","Invalid")</f>
        <v>Valid</v>
      </c>
    </row>
    <row r="3305" spans="1:18" x14ac:dyDescent="0.25">
      <c r="A3305" t="s">
        <v>5376</v>
      </c>
      <c r="B3305" t="s">
        <v>923</v>
      </c>
      <c r="C3305" s="8">
        <v>46120</v>
      </c>
      <c r="D3305" t="s">
        <v>2070</v>
      </c>
      <c r="E3305" t="s">
        <v>2076</v>
      </c>
      <c r="F3305" t="s">
        <v>29</v>
      </c>
      <c r="G3305">
        <v>352.87</v>
      </c>
      <c r="H3305" t="s">
        <v>2060</v>
      </c>
      <c r="I3305" t="str">
        <f>VLOOKUP(B3305,Customers!A:G,7,FALSE)</f>
        <v>Individual</v>
      </c>
      <c r="Q3305" t="str">
        <f>IF(COUNTIF(Customers!$A$2:$A$1001,B3305)&gt;0,"Valid","Invalid")</f>
        <v>Valid</v>
      </c>
      <c r="R3305" t="str">
        <f>IF(COUNTIF(Branches!$A$2:$A$11,F3305)&gt;0,"Valid","Invalid")</f>
        <v>Valid</v>
      </c>
    </row>
    <row r="3306" spans="1:18" x14ac:dyDescent="0.25">
      <c r="A3306" t="s">
        <v>5377</v>
      </c>
      <c r="B3306" t="s">
        <v>835</v>
      </c>
      <c r="C3306" s="8">
        <v>46225</v>
      </c>
      <c r="D3306" t="s">
        <v>2058</v>
      </c>
      <c r="E3306" t="s">
        <v>2063</v>
      </c>
      <c r="F3306" t="s">
        <v>53</v>
      </c>
      <c r="G3306">
        <v>5741.88</v>
      </c>
      <c r="H3306" t="s">
        <v>2060</v>
      </c>
      <c r="I3306" t="str">
        <f>VLOOKUP(B3306,Customers!A:G,7,FALSE)</f>
        <v>Individual</v>
      </c>
      <c r="Q3306" t="str">
        <f>IF(COUNTIF(Customers!$A$2:$A$1001,B3306)&gt;0,"Valid","Invalid")</f>
        <v>Valid</v>
      </c>
      <c r="R3306" t="str">
        <f>IF(COUNTIF(Branches!$A$2:$A$11,F3306)&gt;0,"Valid","Invalid")</f>
        <v>Valid</v>
      </c>
    </row>
    <row r="3307" spans="1:18" x14ac:dyDescent="0.25">
      <c r="A3307" t="s">
        <v>5378</v>
      </c>
      <c r="B3307" t="s">
        <v>13</v>
      </c>
      <c r="C3307" s="8">
        <v>46095</v>
      </c>
      <c r="D3307" t="s">
        <v>2062</v>
      </c>
      <c r="E3307" t="s">
        <v>2076</v>
      </c>
      <c r="F3307" t="s">
        <v>29</v>
      </c>
      <c r="G3307">
        <v>3721.95</v>
      </c>
      <c r="H3307" t="s">
        <v>2060</v>
      </c>
      <c r="I3307" t="str">
        <f>VLOOKUP(B3307,Customers!A:G,7,FALSE)</f>
        <v>Student</v>
      </c>
      <c r="Q3307" t="str">
        <f>IF(COUNTIF(Customers!$A$2:$A$1001,B3307)&gt;0,"Valid","Invalid")</f>
        <v>Valid</v>
      </c>
      <c r="R3307" t="str">
        <f>IF(COUNTIF(Branches!$A$2:$A$11,F3307)&gt;0,"Valid","Invalid")</f>
        <v>Valid</v>
      </c>
    </row>
    <row r="3308" spans="1:18" x14ac:dyDescent="0.25">
      <c r="A3308" t="s">
        <v>5379</v>
      </c>
      <c r="B3308" t="s">
        <v>271</v>
      </c>
      <c r="C3308" s="8">
        <v>46252</v>
      </c>
      <c r="D3308" t="s">
        <v>2065</v>
      </c>
      <c r="E3308" t="s">
        <v>2063</v>
      </c>
      <c r="F3308" t="s">
        <v>39</v>
      </c>
      <c r="G3308">
        <v>1405.52</v>
      </c>
      <c r="H3308" t="s">
        <v>2060</v>
      </c>
      <c r="I3308" t="str">
        <f>VLOOKUP(B3308,Customers!A:G,7,FALSE)</f>
        <v>Student</v>
      </c>
      <c r="Q3308" t="str">
        <f>IF(COUNTIF(Customers!$A$2:$A$1001,B3308)&gt;0,"Valid","Invalid")</f>
        <v>Valid</v>
      </c>
      <c r="R3308" t="str">
        <f>IF(COUNTIF(Branches!$A$2:$A$11,F3308)&gt;0,"Valid","Invalid")</f>
        <v>Valid</v>
      </c>
    </row>
    <row r="3309" spans="1:18" x14ac:dyDescent="0.25">
      <c r="A3309" t="s">
        <v>5380</v>
      </c>
      <c r="B3309" t="s">
        <v>407</v>
      </c>
      <c r="C3309" s="8">
        <v>46190</v>
      </c>
      <c r="D3309" t="s">
        <v>2058</v>
      </c>
      <c r="E3309" t="s">
        <v>2063</v>
      </c>
      <c r="F3309" t="s">
        <v>39</v>
      </c>
      <c r="G3309">
        <v>237.05</v>
      </c>
      <c r="H3309" t="s">
        <v>2060</v>
      </c>
      <c r="I3309" t="str">
        <f>VLOOKUP(B3309,Customers!A:G,7,FALSE)</f>
        <v>Individual</v>
      </c>
      <c r="Q3309" t="str">
        <f>IF(COUNTIF(Customers!$A$2:$A$1001,B3309)&gt;0,"Valid","Invalid")</f>
        <v>Valid</v>
      </c>
      <c r="R3309" t="str">
        <f>IF(COUNTIF(Branches!$A$2:$A$11,F3309)&gt;0,"Valid","Invalid")</f>
        <v>Valid</v>
      </c>
    </row>
    <row r="3310" spans="1:18" x14ac:dyDescent="0.25">
      <c r="A3310" t="s">
        <v>5381</v>
      </c>
      <c r="B3310" t="s">
        <v>289</v>
      </c>
      <c r="C3310" s="8">
        <v>46063</v>
      </c>
      <c r="D3310" t="s">
        <v>2058</v>
      </c>
      <c r="E3310" t="s">
        <v>2073</v>
      </c>
      <c r="F3310" t="s">
        <v>47</v>
      </c>
      <c r="G3310">
        <v>1213.68</v>
      </c>
      <c r="H3310" t="s">
        <v>2060</v>
      </c>
      <c r="I3310" t="str">
        <f>VLOOKUP(B3310,Customers!A:G,7,FALSE)</f>
        <v>Student</v>
      </c>
      <c r="Q3310" t="str">
        <f>IF(COUNTIF(Customers!$A$2:$A$1001,B3310)&gt;0,"Valid","Invalid")</f>
        <v>Valid</v>
      </c>
      <c r="R3310" t="str">
        <f>IF(COUNTIF(Branches!$A$2:$A$11,F3310)&gt;0,"Valid","Invalid")</f>
        <v>Valid</v>
      </c>
    </row>
    <row r="3311" spans="1:18" x14ac:dyDescent="0.25">
      <c r="A3311" t="s">
        <v>5382</v>
      </c>
      <c r="B3311" t="s">
        <v>984</v>
      </c>
      <c r="C3311" s="8">
        <v>46031</v>
      </c>
      <c r="D3311" t="s">
        <v>2062</v>
      </c>
      <c r="E3311" t="s">
        <v>2059</v>
      </c>
      <c r="F3311" t="s">
        <v>16</v>
      </c>
      <c r="G3311">
        <v>1077.05</v>
      </c>
      <c r="H3311" t="s">
        <v>2115</v>
      </c>
      <c r="I3311" t="str">
        <f>VLOOKUP(B3311,Customers!A:G,7,FALSE)</f>
        <v>Individual</v>
      </c>
      <c r="Q3311" t="str">
        <f>IF(COUNTIF(Customers!$A$2:$A$1001,B3311)&gt;0,"Valid","Invalid")</f>
        <v>Valid</v>
      </c>
      <c r="R3311" t="str">
        <f>IF(COUNTIF(Branches!$A$2:$A$11,F3311)&gt;0,"Valid","Invalid")</f>
        <v>Valid</v>
      </c>
    </row>
    <row r="3312" spans="1:18" x14ac:dyDescent="0.25">
      <c r="A3312" t="s">
        <v>5383</v>
      </c>
      <c r="B3312" t="s">
        <v>871</v>
      </c>
      <c r="C3312" s="8">
        <v>46030</v>
      </c>
      <c r="D3312" t="s">
        <v>2062</v>
      </c>
      <c r="E3312" t="s">
        <v>2073</v>
      </c>
      <c r="F3312" t="s">
        <v>45</v>
      </c>
      <c r="G3312">
        <v>1357.17</v>
      </c>
      <c r="H3312" t="s">
        <v>2060</v>
      </c>
      <c r="I3312" t="str">
        <f>VLOOKUP(B3312,Customers!A:G,7,FALSE)</f>
        <v>Individual</v>
      </c>
      <c r="Q3312" t="str">
        <f>IF(COUNTIF(Customers!$A$2:$A$1001,B3312)&gt;0,"Valid","Invalid")</f>
        <v>Valid</v>
      </c>
      <c r="R3312" t="str">
        <f>IF(COUNTIF(Branches!$A$2:$A$11,F3312)&gt;0,"Valid","Invalid")</f>
        <v>Valid</v>
      </c>
    </row>
    <row r="3313" spans="1:18" x14ac:dyDescent="0.25">
      <c r="A3313" t="s">
        <v>5384</v>
      </c>
      <c r="B3313" t="s">
        <v>144</v>
      </c>
      <c r="C3313" s="8">
        <v>46194</v>
      </c>
      <c r="D3313" t="s">
        <v>2070</v>
      </c>
      <c r="E3313" t="s">
        <v>2063</v>
      </c>
      <c r="F3313" t="s">
        <v>29</v>
      </c>
      <c r="G3313">
        <v>3985.68</v>
      </c>
      <c r="H3313" t="s">
        <v>2060</v>
      </c>
      <c r="I3313" t="str">
        <f>VLOOKUP(B3313,Customers!A:G,7,FALSE)</f>
        <v>Student</v>
      </c>
      <c r="Q3313" t="str">
        <f>IF(COUNTIF(Customers!$A$2:$A$1001,B3313)&gt;0,"Valid","Invalid")</f>
        <v>Valid</v>
      </c>
      <c r="R3313" t="str">
        <f>IF(COUNTIF(Branches!$A$2:$A$11,F3313)&gt;0,"Valid","Invalid")</f>
        <v>Valid</v>
      </c>
    </row>
    <row r="3314" spans="1:18" x14ac:dyDescent="0.25">
      <c r="A3314" t="s">
        <v>5385</v>
      </c>
      <c r="B3314" t="s">
        <v>314</v>
      </c>
      <c r="C3314" s="8">
        <v>46208</v>
      </c>
      <c r="D3314" t="s">
        <v>2062</v>
      </c>
      <c r="E3314" t="s">
        <v>2059</v>
      </c>
      <c r="F3314" t="s">
        <v>21</v>
      </c>
      <c r="G3314">
        <v>681.32</v>
      </c>
      <c r="H3314" t="s">
        <v>2060</v>
      </c>
      <c r="I3314" t="str">
        <f>VLOOKUP(B3314,Customers!A:G,7,FALSE)</f>
        <v>Corporate</v>
      </c>
      <c r="Q3314" t="str">
        <f>IF(COUNTIF(Customers!$A$2:$A$1001,B3314)&gt;0,"Valid","Invalid")</f>
        <v>Valid</v>
      </c>
      <c r="R3314" t="str">
        <f>IF(COUNTIF(Branches!$A$2:$A$11,F3314)&gt;0,"Valid","Invalid")</f>
        <v>Valid</v>
      </c>
    </row>
    <row r="3315" spans="1:18" x14ac:dyDescent="0.25">
      <c r="A3315" t="s">
        <v>5386</v>
      </c>
      <c r="B3315" t="s">
        <v>217</v>
      </c>
      <c r="C3315" s="8">
        <v>46126</v>
      </c>
      <c r="D3315" t="s">
        <v>2062</v>
      </c>
      <c r="E3315" t="s">
        <v>2063</v>
      </c>
      <c r="F3315" t="s">
        <v>11</v>
      </c>
      <c r="G3315">
        <v>6296.99</v>
      </c>
      <c r="H3315" t="s">
        <v>2060</v>
      </c>
      <c r="I3315" t="str">
        <f>VLOOKUP(B3315,Customers!A:G,7,FALSE)</f>
        <v>Individual</v>
      </c>
      <c r="Q3315" t="str">
        <f>IF(COUNTIF(Customers!$A$2:$A$1001,B3315)&gt;0,"Valid","Invalid")</f>
        <v>Valid</v>
      </c>
      <c r="R3315" t="str">
        <f>IF(COUNTIF(Branches!$A$2:$A$11,F3315)&gt;0,"Valid","Invalid")</f>
        <v>Valid</v>
      </c>
    </row>
    <row r="3316" spans="1:18" x14ac:dyDescent="0.25">
      <c r="A3316" t="s">
        <v>5387</v>
      </c>
      <c r="B3316" t="s">
        <v>763</v>
      </c>
      <c r="C3316" s="8">
        <v>46217</v>
      </c>
      <c r="D3316" t="s">
        <v>2065</v>
      </c>
      <c r="E3316" t="s">
        <v>2076</v>
      </c>
      <c r="F3316" t="s">
        <v>21</v>
      </c>
      <c r="G3316">
        <v>1219.8800000000001</v>
      </c>
      <c r="H3316" t="s">
        <v>2060</v>
      </c>
      <c r="I3316" t="str">
        <f>VLOOKUP(B3316,Customers!A:G,7,FALSE)</f>
        <v>SME</v>
      </c>
      <c r="Q3316" t="str">
        <f>IF(COUNTIF(Customers!$A$2:$A$1001,B3316)&gt;0,"Valid","Invalid")</f>
        <v>Valid</v>
      </c>
      <c r="R3316" t="str">
        <f>IF(COUNTIF(Branches!$A$2:$A$11,F3316)&gt;0,"Valid","Invalid")</f>
        <v>Valid</v>
      </c>
    </row>
    <row r="3317" spans="1:18" x14ac:dyDescent="0.25">
      <c r="A3317" t="s">
        <v>5388</v>
      </c>
      <c r="B3317" t="s">
        <v>331</v>
      </c>
      <c r="C3317" s="8">
        <v>46035</v>
      </c>
      <c r="D3317" t="s">
        <v>2062</v>
      </c>
      <c r="E3317" t="s">
        <v>2063</v>
      </c>
      <c r="F3317" t="s">
        <v>45</v>
      </c>
      <c r="G3317">
        <v>607.61</v>
      </c>
      <c r="H3317" t="s">
        <v>2060</v>
      </c>
      <c r="I3317" t="str">
        <f>VLOOKUP(B3317,Customers!A:G,7,FALSE)</f>
        <v>SME</v>
      </c>
      <c r="Q3317" t="str">
        <f>IF(COUNTIF(Customers!$A$2:$A$1001,B3317)&gt;0,"Valid","Invalid")</f>
        <v>Valid</v>
      </c>
      <c r="R3317" t="str">
        <f>IF(COUNTIF(Branches!$A$2:$A$11,F3317)&gt;0,"Valid","Invalid")</f>
        <v>Valid</v>
      </c>
    </row>
    <row r="3318" spans="1:18" x14ac:dyDescent="0.25">
      <c r="A3318" t="s">
        <v>5389</v>
      </c>
      <c r="B3318" t="s">
        <v>622</v>
      </c>
      <c r="C3318" s="8">
        <v>46041</v>
      </c>
      <c r="D3318" t="s">
        <v>2058</v>
      </c>
      <c r="E3318" t="s">
        <v>2063</v>
      </c>
      <c r="F3318" t="s">
        <v>29</v>
      </c>
      <c r="G3318">
        <v>8949.7199999999993</v>
      </c>
      <c r="H3318" t="s">
        <v>2060</v>
      </c>
      <c r="I3318" t="str">
        <f>VLOOKUP(B3318,Customers!A:G,7,FALSE)</f>
        <v>Individual</v>
      </c>
      <c r="Q3318" t="str">
        <f>IF(COUNTIF(Customers!$A$2:$A$1001,B3318)&gt;0,"Valid","Invalid")</f>
        <v>Valid</v>
      </c>
      <c r="R3318" t="str">
        <f>IF(COUNTIF(Branches!$A$2:$A$11,F3318)&gt;0,"Valid","Invalid")</f>
        <v>Valid</v>
      </c>
    </row>
    <row r="3319" spans="1:18" x14ac:dyDescent="0.25">
      <c r="A3319" t="s">
        <v>5390</v>
      </c>
      <c r="B3319" t="s">
        <v>833</v>
      </c>
      <c r="C3319" s="8">
        <v>46120</v>
      </c>
      <c r="D3319" t="s">
        <v>2067</v>
      </c>
      <c r="E3319" t="s">
        <v>2063</v>
      </c>
      <c r="F3319" t="s">
        <v>39</v>
      </c>
      <c r="G3319">
        <v>1862.9</v>
      </c>
      <c r="H3319" t="s">
        <v>2060</v>
      </c>
      <c r="I3319" t="str">
        <f>VLOOKUP(B3319,Customers!A:G,7,FALSE)</f>
        <v>SME</v>
      </c>
      <c r="Q3319" t="str">
        <f>IF(COUNTIF(Customers!$A$2:$A$1001,B3319)&gt;0,"Valid","Invalid")</f>
        <v>Valid</v>
      </c>
      <c r="R3319" t="str">
        <f>IF(COUNTIF(Branches!$A$2:$A$11,F3319)&gt;0,"Valid","Invalid")</f>
        <v>Valid</v>
      </c>
    </row>
    <row r="3320" spans="1:18" x14ac:dyDescent="0.25">
      <c r="A3320" t="s">
        <v>5391</v>
      </c>
      <c r="B3320" t="s">
        <v>211</v>
      </c>
      <c r="C3320" s="8">
        <v>46118</v>
      </c>
      <c r="D3320" t="s">
        <v>2065</v>
      </c>
      <c r="E3320" t="s">
        <v>2076</v>
      </c>
      <c r="F3320" t="s">
        <v>35</v>
      </c>
      <c r="G3320">
        <v>515.57000000000005</v>
      </c>
      <c r="H3320" t="s">
        <v>2060</v>
      </c>
      <c r="I3320" t="str">
        <f>VLOOKUP(B3320,Customers!A:G,7,FALSE)</f>
        <v>SME</v>
      </c>
      <c r="Q3320" t="str">
        <f>IF(COUNTIF(Customers!$A$2:$A$1001,B3320)&gt;0,"Valid","Invalid")</f>
        <v>Valid</v>
      </c>
      <c r="R3320" t="str">
        <f>IF(COUNTIF(Branches!$A$2:$A$11,F3320)&gt;0,"Valid","Invalid")</f>
        <v>Valid</v>
      </c>
    </row>
    <row r="3321" spans="1:18" x14ac:dyDescent="0.25">
      <c r="A3321" t="s">
        <v>5392</v>
      </c>
      <c r="B3321" t="s">
        <v>159</v>
      </c>
      <c r="C3321" s="8">
        <v>46071</v>
      </c>
      <c r="D3321" t="s">
        <v>2058</v>
      </c>
      <c r="E3321" t="s">
        <v>2063</v>
      </c>
      <c r="F3321" t="s">
        <v>11</v>
      </c>
      <c r="G3321">
        <v>883.79</v>
      </c>
      <c r="H3321" t="s">
        <v>2060</v>
      </c>
      <c r="I3321" t="str">
        <f>VLOOKUP(B3321,Customers!A:G,7,FALSE)</f>
        <v>Individual</v>
      </c>
      <c r="Q3321" t="str">
        <f>IF(COUNTIF(Customers!$A$2:$A$1001,B3321)&gt;0,"Valid","Invalid")</f>
        <v>Valid</v>
      </c>
      <c r="R3321" t="str">
        <f>IF(COUNTIF(Branches!$A$2:$A$11,F3321)&gt;0,"Valid","Invalid")</f>
        <v>Valid</v>
      </c>
    </row>
    <row r="3322" spans="1:18" x14ac:dyDescent="0.25">
      <c r="A3322" t="s">
        <v>5393</v>
      </c>
      <c r="B3322" t="s">
        <v>264</v>
      </c>
      <c r="C3322" s="8">
        <v>46230</v>
      </c>
      <c r="D3322" t="s">
        <v>2067</v>
      </c>
      <c r="E3322" t="s">
        <v>2068</v>
      </c>
      <c r="F3322" t="s">
        <v>29</v>
      </c>
      <c r="G3322">
        <v>1533.39</v>
      </c>
      <c r="H3322" t="s">
        <v>2060</v>
      </c>
      <c r="I3322" t="str">
        <f>VLOOKUP(B3322,Customers!A:G,7,FALSE)</f>
        <v>Individual</v>
      </c>
      <c r="Q3322" t="str">
        <f>IF(COUNTIF(Customers!$A$2:$A$1001,B3322)&gt;0,"Valid","Invalid")</f>
        <v>Valid</v>
      </c>
      <c r="R3322" t="str">
        <f>IF(COUNTIF(Branches!$A$2:$A$11,F3322)&gt;0,"Valid","Invalid")</f>
        <v>Valid</v>
      </c>
    </row>
    <row r="3323" spans="1:18" x14ac:dyDescent="0.25">
      <c r="A3323" t="s">
        <v>5394</v>
      </c>
      <c r="B3323" t="s">
        <v>940</v>
      </c>
      <c r="C3323" s="8">
        <v>46122</v>
      </c>
      <c r="D3323" t="s">
        <v>2067</v>
      </c>
      <c r="E3323" t="s">
        <v>2063</v>
      </c>
      <c r="F3323" t="s">
        <v>29</v>
      </c>
      <c r="G3323">
        <v>698.64</v>
      </c>
      <c r="H3323" t="s">
        <v>2060</v>
      </c>
      <c r="I3323" t="str">
        <f>VLOOKUP(B3323,Customers!A:G,7,FALSE)</f>
        <v>Individual</v>
      </c>
      <c r="Q3323" t="str">
        <f>IF(COUNTIF(Customers!$A$2:$A$1001,B3323)&gt;0,"Valid","Invalid")</f>
        <v>Valid</v>
      </c>
      <c r="R3323" t="str">
        <f>IF(COUNTIF(Branches!$A$2:$A$11,F3323)&gt;0,"Valid","Invalid")</f>
        <v>Valid</v>
      </c>
    </row>
    <row r="3324" spans="1:18" x14ac:dyDescent="0.25">
      <c r="A3324" t="s">
        <v>5395</v>
      </c>
      <c r="B3324" t="s">
        <v>482</v>
      </c>
      <c r="C3324" s="8">
        <v>46104</v>
      </c>
      <c r="D3324" t="s">
        <v>2058</v>
      </c>
      <c r="E3324" t="s">
        <v>2063</v>
      </c>
      <c r="F3324" t="s">
        <v>29</v>
      </c>
      <c r="G3324">
        <v>928.81</v>
      </c>
      <c r="H3324" t="s">
        <v>2060</v>
      </c>
      <c r="I3324" t="str">
        <f>VLOOKUP(B3324,Customers!A:G,7,FALSE)</f>
        <v>Individual</v>
      </c>
      <c r="Q3324" t="str">
        <f>IF(COUNTIF(Customers!$A$2:$A$1001,B3324)&gt;0,"Valid","Invalid")</f>
        <v>Valid</v>
      </c>
      <c r="R3324" t="str">
        <f>IF(COUNTIF(Branches!$A$2:$A$11,F3324)&gt;0,"Valid","Invalid")</f>
        <v>Valid</v>
      </c>
    </row>
    <row r="3325" spans="1:18" x14ac:dyDescent="0.25">
      <c r="A3325" t="s">
        <v>5396</v>
      </c>
      <c r="B3325" t="s">
        <v>851</v>
      </c>
      <c r="C3325" s="8">
        <v>46228</v>
      </c>
      <c r="D3325" t="s">
        <v>2062</v>
      </c>
      <c r="E3325" t="s">
        <v>2059</v>
      </c>
      <c r="F3325" t="s">
        <v>29</v>
      </c>
      <c r="G3325">
        <v>358.81</v>
      </c>
      <c r="H3325" t="s">
        <v>2060</v>
      </c>
      <c r="I3325" t="str">
        <f>VLOOKUP(B3325,Customers!A:G,7,FALSE)</f>
        <v>Individual</v>
      </c>
      <c r="Q3325" t="str">
        <f>IF(COUNTIF(Customers!$A$2:$A$1001,B3325)&gt;0,"Valid","Invalid")</f>
        <v>Valid</v>
      </c>
      <c r="R3325" t="str">
        <f>IF(COUNTIF(Branches!$A$2:$A$11,F3325)&gt;0,"Valid","Invalid")</f>
        <v>Valid</v>
      </c>
    </row>
    <row r="3326" spans="1:18" x14ac:dyDescent="0.25">
      <c r="A3326" t="s">
        <v>5397</v>
      </c>
      <c r="B3326" t="s">
        <v>466</v>
      </c>
      <c r="C3326" s="8">
        <v>46180</v>
      </c>
      <c r="D3326" t="s">
        <v>2062</v>
      </c>
      <c r="E3326" t="s">
        <v>2073</v>
      </c>
      <c r="F3326" t="s">
        <v>11</v>
      </c>
      <c r="G3326">
        <v>150.63</v>
      </c>
      <c r="H3326" t="s">
        <v>2060</v>
      </c>
      <c r="I3326" t="str">
        <f>VLOOKUP(B3326,Customers!A:G,7,FALSE)</f>
        <v>Corporate</v>
      </c>
      <c r="Q3326" t="str">
        <f>IF(COUNTIF(Customers!$A$2:$A$1001,B3326)&gt;0,"Valid","Invalid")</f>
        <v>Valid</v>
      </c>
      <c r="R3326" t="str">
        <f>IF(COUNTIF(Branches!$A$2:$A$11,F3326)&gt;0,"Valid","Invalid")</f>
        <v>Valid</v>
      </c>
    </row>
    <row r="3327" spans="1:18" x14ac:dyDescent="0.25">
      <c r="A3327" t="s">
        <v>5398</v>
      </c>
      <c r="B3327" t="s">
        <v>119</v>
      </c>
      <c r="C3327" s="8">
        <v>46088</v>
      </c>
      <c r="D3327" t="s">
        <v>2067</v>
      </c>
      <c r="E3327" t="s">
        <v>2063</v>
      </c>
      <c r="F3327" t="s">
        <v>11</v>
      </c>
      <c r="G3327">
        <v>903.63</v>
      </c>
      <c r="H3327" t="s">
        <v>2060</v>
      </c>
      <c r="I3327" t="str">
        <f>VLOOKUP(B3327,Customers!A:G,7,FALSE)</f>
        <v>Corporate</v>
      </c>
      <c r="Q3327" t="str">
        <f>IF(COUNTIF(Customers!$A$2:$A$1001,B3327)&gt;0,"Valid","Invalid")</f>
        <v>Valid</v>
      </c>
      <c r="R3327" t="str">
        <f>IF(COUNTIF(Branches!$A$2:$A$11,F3327)&gt;0,"Valid","Invalid")</f>
        <v>Valid</v>
      </c>
    </row>
    <row r="3328" spans="1:18" x14ac:dyDescent="0.25">
      <c r="A3328" t="s">
        <v>5399</v>
      </c>
      <c r="B3328" t="s">
        <v>803</v>
      </c>
      <c r="C3328" s="8">
        <v>46227</v>
      </c>
      <c r="D3328" t="s">
        <v>2067</v>
      </c>
      <c r="E3328" t="s">
        <v>2063</v>
      </c>
      <c r="F3328" t="s">
        <v>29</v>
      </c>
      <c r="G3328">
        <v>934.52</v>
      </c>
      <c r="H3328" t="s">
        <v>2060</v>
      </c>
      <c r="I3328" t="str">
        <f>VLOOKUP(B3328,Customers!A:G,7,FALSE)</f>
        <v>Individual</v>
      </c>
      <c r="Q3328" t="str">
        <f>IF(COUNTIF(Customers!$A$2:$A$1001,B3328)&gt;0,"Valid","Invalid")</f>
        <v>Valid</v>
      </c>
      <c r="R3328" t="str">
        <f>IF(COUNTIF(Branches!$A$2:$A$11,F3328)&gt;0,"Valid","Invalid")</f>
        <v>Valid</v>
      </c>
    </row>
    <row r="3329" spans="1:18" x14ac:dyDescent="0.25">
      <c r="A3329" t="s">
        <v>5400</v>
      </c>
      <c r="B3329" t="s">
        <v>696</v>
      </c>
      <c r="C3329" s="8">
        <v>46113</v>
      </c>
      <c r="D3329" t="s">
        <v>2065</v>
      </c>
      <c r="E3329" t="s">
        <v>2068</v>
      </c>
      <c r="F3329" t="s">
        <v>39</v>
      </c>
      <c r="G3329">
        <v>1376.25</v>
      </c>
      <c r="H3329" t="s">
        <v>2060</v>
      </c>
      <c r="I3329" t="str">
        <f>VLOOKUP(B3329,Customers!A:G,7,FALSE)</f>
        <v>Individual</v>
      </c>
      <c r="Q3329" t="str">
        <f>IF(COUNTIF(Customers!$A$2:$A$1001,B3329)&gt;0,"Valid","Invalid")</f>
        <v>Valid</v>
      </c>
      <c r="R3329" t="str">
        <f>IF(COUNTIF(Branches!$A$2:$A$11,F3329)&gt;0,"Valid","Invalid")</f>
        <v>Valid</v>
      </c>
    </row>
    <row r="3330" spans="1:18" x14ac:dyDescent="0.25">
      <c r="A3330" t="s">
        <v>5401</v>
      </c>
      <c r="B3330" t="s">
        <v>670</v>
      </c>
      <c r="C3330" s="8">
        <v>46081</v>
      </c>
      <c r="D3330" t="s">
        <v>2067</v>
      </c>
      <c r="E3330" t="s">
        <v>2063</v>
      </c>
      <c r="F3330" t="s">
        <v>16</v>
      </c>
      <c r="G3330">
        <v>456.6</v>
      </c>
      <c r="H3330" t="s">
        <v>2060</v>
      </c>
      <c r="I3330" t="str">
        <f>VLOOKUP(B3330,Customers!A:G,7,FALSE)</f>
        <v>SME</v>
      </c>
      <c r="Q3330" t="str">
        <f>IF(COUNTIF(Customers!$A$2:$A$1001,B3330)&gt;0,"Valid","Invalid")</f>
        <v>Valid</v>
      </c>
      <c r="R3330" t="str">
        <f>IF(COUNTIF(Branches!$A$2:$A$11,F3330)&gt;0,"Valid","Invalid")</f>
        <v>Valid</v>
      </c>
    </row>
    <row r="3331" spans="1:18" x14ac:dyDescent="0.25">
      <c r="A3331" t="s">
        <v>5402</v>
      </c>
      <c r="B3331" t="s">
        <v>101</v>
      </c>
      <c r="C3331" s="8">
        <v>46075</v>
      </c>
      <c r="D3331" t="s">
        <v>2065</v>
      </c>
      <c r="E3331" t="s">
        <v>2076</v>
      </c>
      <c r="F3331" t="s">
        <v>35</v>
      </c>
      <c r="G3331">
        <v>212.61</v>
      </c>
      <c r="H3331" t="s">
        <v>2060</v>
      </c>
      <c r="I3331" t="str">
        <f>VLOOKUP(B3331,Customers!A:G,7,FALSE)</f>
        <v>Individual</v>
      </c>
      <c r="Q3331" t="str">
        <f>IF(COUNTIF(Customers!$A$2:$A$1001,B3331)&gt;0,"Valid","Invalid")</f>
        <v>Valid</v>
      </c>
      <c r="R3331" t="str">
        <f>IF(COUNTIF(Branches!$A$2:$A$11,F3331)&gt;0,"Valid","Invalid")</f>
        <v>Valid</v>
      </c>
    </row>
    <row r="3332" spans="1:18" x14ac:dyDescent="0.25">
      <c r="A3332" t="s">
        <v>5403</v>
      </c>
      <c r="B3332" t="s">
        <v>319</v>
      </c>
      <c r="C3332" s="8">
        <v>46074</v>
      </c>
      <c r="D3332" t="s">
        <v>2070</v>
      </c>
      <c r="E3332" t="s">
        <v>2063</v>
      </c>
      <c r="F3332" t="s">
        <v>47</v>
      </c>
      <c r="G3332">
        <v>309.41000000000003</v>
      </c>
      <c r="H3332" t="s">
        <v>2060</v>
      </c>
      <c r="I3332" t="str">
        <f>VLOOKUP(B3332,Customers!A:G,7,FALSE)</f>
        <v>Student</v>
      </c>
      <c r="Q3332" t="str">
        <f>IF(COUNTIF(Customers!$A$2:$A$1001,B3332)&gt;0,"Valid","Invalid")</f>
        <v>Valid</v>
      </c>
      <c r="R3332" t="str">
        <f>IF(COUNTIF(Branches!$A$2:$A$11,F3332)&gt;0,"Valid","Invalid")</f>
        <v>Valid</v>
      </c>
    </row>
    <row r="3333" spans="1:18" x14ac:dyDescent="0.25">
      <c r="A3333" t="s">
        <v>5404</v>
      </c>
      <c r="B3333" t="s">
        <v>833</v>
      </c>
      <c r="C3333" s="8">
        <v>46103</v>
      </c>
      <c r="D3333" t="s">
        <v>2058</v>
      </c>
      <c r="E3333" t="s">
        <v>2059</v>
      </c>
      <c r="F3333" t="s">
        <v>21</v>
      </c>
      <c r="G3333">
        <v>2334.69</v>
      </c>
      <c r="H3333" t="s">
        <v>2060</v>
      </c>
      <c r="I3333" t="str">
        <f>VLOOKUP(B3333,Customers!A:G,7,FALSE)</f>
        <v>SME</v>
      </c>
      <c r="Q3333" t="str">
        <f>IF(COUNTIF(Customers!$A$2:$A$1001,B3333)&gt;0,"Valid","Invalid")</f>
        <v>Valid</v>
      </c>
      <c r="R3333" t="str">
        <f>IF(COUNTIF(Branches!$A$2:$A$11,F3333)&gt;0,"Valid","Invalid")</f>
        <v>Valid</v>
      </c>
    </row>
    <row r="3334" spans="1:18" x14ac:dyDescent="0.25">
      <c r="A3334" t="s">
        <v>5405</v>
      </c>
      <c r="B3334" t="s">
        <v>429</v>
      </c>
      <c r="C3334" s="8">
        <v>46181</v>
      </c>
      <c r="D3334" t="s">
        <v>2065</v>
      </c>
      <c r="E3334" t="s">
        <v>2063</v>
      </c>
      <c r="F3334" t="s">
        <v>16</v>
      </c>
      <c r="G3334">
        <v>417.13</v>
      </c>
      <c r="H3334" t="s">
        <v>2060</v>
      </c>
      <c r="I3334" t="str">
        <f>VLOOKUP(B3334,Customers!A:G,7,FALSE)</f>
        <v>Student</v>
      </c>
      <c r="Q3334" t="str">
        <f>IF(COUNTIF(Customers!$A$2:$A$1001,B3334)&gt;0,"Valid","Invalid")</f>
        <v>Valid</v>
      </c>
      <c r="R3334" t="str">
        <f>IF(COUNTIF(Branches!$A$2:$A$11,F3334)&gt;0,"Valid","Invalid")</f>
        <v>Valid</v>
      </c>
    </row>
    <row r="3335" spans="1:18" x14ac:dyDescent="0.25">
      <c r="A3335" t="s">
        <v>5406</v>
      </c>
      <c r="B3335" t="s">
        <v>466</v>
      </c>
      <c r="C3335" s="8">
        <v>46037</v>
      </c>
      <c r="D3335" t="s">
        <v>2067</v>
      </c>
      <c r="E3335" t="s">
        <v>2059</v>
      </c>
      <c r="F3335" t="s">
        <v>35</v>
      </c>
      <c r="G3335">
        <v>522.13</v>
      </c>
      <c r="H3335" t="s">
        <v>2060</v>
      </c>
      <c r="I3335" t="str">
        <f>VLOOKUP(B3335,Customers!A:G,7,FALSE)</f>
        <v>Corporate</v>
      </c>
      <c r="Q3335" t="str">
        <f>IF(COUNTIF(Customers!$A$2:$A$1001,B3335)&gt;0,"Valid","Invalid")</f>
        <v>Valid</v>
      </c>
      <c r="R3335" t="str">
        <f>IF(COUNTIF(Branches!$A$2:$A$11,F3335)&gt;0,"Valid","Invalid")</f>
        <v>Valid</v>
      </c>
    </row>
    <row r="3336" spans="1:18" x14ac:dyDescent="0.25">
      <c r="A3336" t="s">
        <v>5407</v>
      </c>
      <c r="B3336" t="s">
        <v>656</v>
      </c>
      <c r="C3336" s="8">
        <v>46143</v>
      </c>
      <c r="D3336" t="s">
        <v>2058</v>
      </c>
      <c r="E3336" t="s">
        <v>2068</v>
      </c>
      <c r="F3336" t="s">
        <v>35</v>
      </c>
      <c r="G3336">
        <v>594.41999999999996</v>
      </c>
      <c r="H3336" t="s">
        <v>2060</v>
      </c>
      <c r="I3336" t="str">
        <f>VLOOKUP(B3336,Customers!A:G,7,FALSE)</f>
        <v>Individual</v>
      </c>
      <c r="Q3336" t="str">
        <f>IF(COUNTIF(Customers!$A$2:$A$1001,B3336)&gt;0,"Valid","Invalid")</f>
        <v>Valid</v>
      </c>
      <c r="R3336" t="str">
        <f>IF(COUNTIF(Branches!$A$2:$A$11,F3336)&gt;0,"Valid","Invalid")</f>
        <v>Valid</v>
      </c>
    </row>
    <row r="3337" spans="1:18" x14ac:dyDescent="0.25">
      <c r="A3337" t="s">
        <v>5408</v>
      </c>
      <c r="B3337" t="s">
        <v>963</v>
      </c>
      <c r="C3337" s="8">
        <v>46170</v>
      </c>
      <c r="D3337" t="s">
        <v>2058</v>
      </c>
      <c r="E3337" t="s">
        <v>2068</v>
      </c>
      <c r="F3337" t="s">
        <v>45</v>
      </c>
      <c r="G3337">
        <v>437.35</v>
      </c>
      <c r="H3337" t="s">
        <v>2060</v>
      </c>
      <c r="I3337" t="str">
        <f>VLOOKUP(B3337,Customers!A:G,7,FALSE)</f>
        <v>Individual</v>
      </c>
      <c r="Q3337" t="str">
        <f>IF(COUNTIF(Customers!$A$2:$A$1001,B3337)&gt;0,"Valid","Invalid")</f>
        <v>Valid</v>
      </c>
      <c r="R3337" t="str">
        <f>IF(COUNTIF(Branches!$A$2:$A$11,F3337)&gt;0,"Valid","Invalid")</f>
        <v>Valid</v>
      </c>
    </row>
    <row r="3338" spans="1:18" x14ac:dyDescent="0.25">
      <c r="A3338" t="s">
        <v>5409</v>
      </c>
      <c r="B3338" t="s">
        <v>1029</v>
      </c>
      <c r="C3338" s="8">
        <v>46027</v>
      </c>
      <c r="D3338" t="s">
        <v>2065</v>
      </c>
      <c r="E3338" t="s">
        <v>2059</v>
      </c>
      <c r="F3338" t="s">
        <v>11</v>
      </c>
      <c r="G3338">
        <v>406.18</v>
      </c>
      <c r="H3338" t="s">
        <v>2060</v>
      </c>
      <c r="I3338" t="str">
        <f>VLOOKUP(B3338,Customers!A:G,7,FALSE)</f>
        <v>Individual</v>
      </c>
      <c r="Q3338" t="str">
        <f>IF(COUNTIF(Customers!$A$2:$A$1001,B3338)&gt;0,"Valid","Invalid")</f>
        <v>Valid</v>
      </c>
      <c r="R3338" t="str">
        <f>IF(COUNTIF(Branches!$A$2:$A$11,F3338)&gt;0,"Valid","Invalid")</f>
        <v>Valid</v>
      </c>
    </row>
    <row r="3339" spans="1:18" x14ac:dyDescent="0.25">
      <c r="A3339" t="s">
        <v>5410</v>
      </c>
      <c r="B3339" t="s">
        <v>850</v>
      </c>
      <c r="C3339" s="8">
        <v>46157</v>
      </c>
      <c r="D3339" t="s">
        <v>2070</v>
      </c>
      <c r="E3339" t="s">
        <v>2073</v>
      </c>
      <c r="F3339" t="s">
        <v>29</v>
      </c>
      <c r="G3339">
        <v>339.98</v>
      </c>
      <c r="H3339" t="s">
        <v>2060</v>
      </c>
      <c r="I3339" t="str">
        <f>VLOOKUP(B3339,Customers!A:G,7,FALSE)</f>
        <v>Individual</v>
      </c>
      <c r="Q3339" t="str">
        <f>IF(COUNTIF(Customers!$A$2:$A$1001,B3339)&gt;0,"Valid","Invalid")</f>
        <v>Valid</v>
      </c>
      <c r="R3339" t="str">
        <f>IF(COUNTIF(Branches!$A$2:$A$11,F3339)&gt;0,"Valid","Invalid")</f>
        <v>Valid</v>
      </c>
    </row>
    <row r="3340" spans="1:18" x14ac:dyDescent="0.25">
      <c r="A3340" t="s">
        <v>5411</v>
      </c>
      <c r="B3340" t="s">
        <v>143</v>
      </c>
      <c r="C3340" s="8">
        <v>46040</v>
      </c>
      <c r="D3340" t="s">
        <v>2065</v>
      </c>
      <c r="E3340" t="s">
        <v>2063</v>
      </c>
      <c r="F3340" t="s">
        <v>53</v>
      </c>
      <c r="G3340">
        <v>3296.63</v>
      </c>
      <c r="H3340" t="s">
        <v>2060</v>
      </c>
      <c r="I3340" t="str">
        <f>VLOOKUP(B3340,Customers!A:G,7,FALSE)</f>
        <v>SME</v>
      </c>
      <c r="Q3340" t="str">
        <f>IF(COUNTIF(Customers!$A$2:$A$1001,B3340)&gt;0,"Valid","Invalid")</f>
        <v>Valid</v>
      </c>
      <c r="R3340" t="str">
        <f>IF(COUNTIF(Branches!$A$2:$A$11,F3340)&gt;0,"Valid","Invalid")</f>
        <v>Valid</v>
      </c>
    </row>
    <row r="3341" spans="1:18" x14ac:dyDescent="0.25">
      <c r="A3341" t="s">
        <v>5412</v>
      </c>
      <c r="B3341" t="s">
        <v>586</v>
      </c>
      <c r="C3341" s="8">
        <v>46078</v>
      </c>
      <c r="D3341" t="s">
        <v>2065</v>
      </c>
      <c r="E3341" t="s">
        <v>2063</v>
      </c>
      <c r="F3341" t="s">
        <v>29</v>
      </c>
      <c r="G3341">
        <v>1603.75</v>
      </c>
      <c r="H3341" t="s">
        <v>2060</v>
      </c>
      <c r="I3341" t="str">
        <f>VLOOKUP(B3341,Customers!A:G,7,FALSE)</f>
        <v>Individual</v>
      </c>
      <c r="Q3341" t="str">
        <f>IF(COUNTIF(Customers!$A$2:$A$1001,B3341)&gt;0,"Valid","Invalid")</f>
        <v>Valid</v>
      </c>
      <c r="R3341" t="str">
        <f>IF(COUNTIF(Branches!$A$2:$A$11,F3341)&gt;0,"Valid","Invalid")</f>
        <v>Valid</v>
      </c>
    </row>
    <row r="3342" spans="1:18" x14ac:dyDescent="0.25">
      <c r="A3342" t="s">
        <v>5413</v>
      </c>
      <c r="B3342" t="s">
        <v>697</v>
      </c>
      <c r="C3342" s="8">
        <v>46097</v>
      </c>
      <c r="D3342" t="s">
        <v>2065</v>
      </c>
      <c r="E3342" t="s">
        <v>2076</v>
      </c>
      <c r="F3342" t="s">
        <v>16</v>
      </c>
      <c r="G3342">
        <v>2829.4</v>
      </c>
      <c r="H3342" t="s">
        <v>2060</v>
      </c>
      <c r="I3342" t="str">
        <f>VLOOKUP(B3342,Customers!A:G,7,FALSE)</f>
        <v>SME</v>
      </c>
      <c r="Q3342" t="str">
        <f>IF(COUNTIF(Customers!$A$2:$A$1001,B3342)&gt;0,"Valid","Invalid")</f>
        <v>Valid</v>
      </c>
      <c r="R3342" t="str">
        <f>IF(COUNTIF(Branches!$A$2:$A$11,F3342)&gt;0,"Valid","Invalid")</f>
        <v>Valid</v>
      </c>
    </row>
    <row r="3343" spans="1:18" x14ac:dyDescent="0.25">
      <c r="A3343" t="s">
        <v>5414</v>
      </c>
      <c r="B3343" t="s">
        <v>300</v>
      </c>
      <c r="C3343" s="8">
        <v>46118</v>
      </c>
      <c r="D3343" t="s">
        <v>2058</v>
      </c>
      <c r="E3343" t="s">
        <v>2076</v>
      </c>
      <c r="F3343" t="s">
        <v>11</v>
      </c>
      <c r="G3343">
        <v>3461.09</v>
      </c>
      <c r="H3343" t="s">
        <v>2060</v>
      </c>
      <c r="I3343" t="str">
        <f>VLOOKUP(B3343,Customers!A:G,7,FALSE)</f>
        <v>Corporate</v>
      </c>
      <c r="Q3343" t="str">
        <f>IF(COUNTIF(Customers!$A$2:$A$1001,B3343)&gt;0,"Valid","Invalid")</f>
        <v>Valid</v>
      </c>
      <c r="R3343" t="str">
        <f>IF(COUNTIF(Branches!$A$2:$A$11,F3343)&gt;0,"Valid","Invalid")</f>
        <v>Valid</v>
      </c>
    </row>
    <row r="3344" spans="1:18" x14ac:dyDescent="0.25">
      <c r="A3344" t="s">
        <v>5415</v>
      </c>
      <c r="B3344" t="s">
        <v>959</v>
      </c>
      <c r="C3344" s="8">
        <v>46136</v>
      </c>
      <c r="D3344" t="s">
        <v>2065</v>
      </c>
      <c r="E3344" t="s">
        <v>2063</v>
      </c>
      <c r="F3344" t="s">
        <v>16</v>
      </c>
      <c r="G3344">
        <v>77.489999999999995</v>
      </c>
      <c r="H3344" t="s">
        <v>2060</v>
      </c>
      <c r="I3344" t="str">
        <f>VLOOKUP(B3344,Customers!A:G,7,FALSE)</f>
        <v>SME</v>
      </c>
      <c r="Q3344" t="str">
        <f>IF(COUNTIF(Customers!$A$2:$A$1001,B3344)&gt;0,"Valid","Invalid")</f>
        <v>Valid</v>
      </c>
      <c r="R3344" t="str">
        <f>IF(COUNTIF(Branches!$A$2:$A$11,F3344)&gt;0,"Valid","Invalid")</f>
        <v>Valid</v>
      </c>
    </row>
    <row r="3345" spans="1:18" x14ac:dyDescent="0.25">
      <c r="A3345" t="s">
        <v>5416</v>
      </c>
      <c r="B3345" t="s">
        <v>195</v>
      </c>
      <c r="C3345" s="8">
        <v>46241</v>
      </c>
      <c r="D3345" t="s">
        <v>2065</v>
      </c>
      <c r="E3345" t="s">
        <v>2076</v>
      </c>
      <c r="F3345" t="s">
        <v>21</v>
      </c>
      <c r="G3345">
        <v>1145.3399999999999</v>
      </c>
      <c r="H3345" t="s">
        <v>2060</v>
      </c>
      <c r="I3345" t="str">
        <f>VLOOKUP(B3345,Customers!A:G,7,FALSE)</f>
        <v>Individual</v>
      </c>
      <c r="Q3345" t="str">
        <f>IF(COUNTIF(Customers!$A$2:$A$1001,B3345)&gt;0,"Valid","Invalid")</f>
        <v>Valid</v>
      </c>
      <c r="R3345" t="str">
        <f>IF(COUNTIF(Branches!$A$2:$A$11,F3345)&gt;0,"Valid","Invalid")</f>
        <v>Valid</v>
      </c>
    </row>
    <row r="3346" spans="1:18" x14ac:dyDescent="0.25">
      <c r="A3346" t="s">
        <v>5417</v>
      </c>
      <c r="B3346" t="s">
        <v>303</v>
      </c>
      <c r="C3346" s="8">
        <v>46240</v>
      </c>
      <c r="D3346" t="s">
        <v>2067</v>
      </c>
      <c r="E3346" t="s">
        <v>2059</v>
      </c>
      <c r="F3346" t="s">
        <v>53</v>
      </c>
      <c r="G3346">
        <v>452.06</v>
      </c>
      <c r="H3346" t="s">
        <v>2060</v>
      </c>
      <c r="I3346" t="str">
        <f>VLOOKUP(B3346,Customers!A:G,7,FALSE)</f>
        <v>SME</v>
      </c>
      <c r="Q3346" t="str">
        <f>IF(COUNTIF(Customers!$A$2:$A$1001,B3346)&gt;0,"Valid","Invalid")</f>
        <v>Valid</v>
      </c>
      <c r="R3346" t="str">
        <f>IF(COUNTIF(Branches!$A$2:$A$11,F3346)&gt;0,"Valid","Invalid")</f>
        <v>Valid</v>
      </c>
    </row>
    <row r="3347" spans="1:18" x14ac:dyDescent="0.25">
      <c r="A3347" t="s">
        <v>5418</v>
      </c>
      <c r="B3347" t="s">
        <v>506</v>
      </c>
      <c r="C3347" s="8">
        <v>46123</v>
      </c>
      <c r="D3347" t="s">
        <v>2058</v>
      </c>
      <c r="E3347" t="s">
        <v>2076</v>
      </c>
      <c r="F3347" t="s">
        <v>29</v>
      </c>
      <c r="G3347">
        <v>2481.9699999999998</v>
      </c>
      <c r="H3347" t="s">
        <v>2060</v>
      </c>
      <c r="I3347" t="str">
        <f>VLOOKUP(B3347,Customers!A:G,7,FALSE)</f>
        <v>Individual</v>
      </c>
      <c r="Q3347" t="str">
        <f>IF(COUNTIF(Customers!$A$2:$A$1001,B3347)&gt;0,"Valid","Invalid")</f>
        <v>Valid</v>
      </c>
      <c r="R3347" t="str">
        <f>IF(COUNTIF(Branches!$A$2:$A$11,F3347)&gt;0,"Valid","Invalid")</f>
        <v>Valid</v>
      </c>
    </row>
    <row r="3348" spans="1:18" x14ac:dyDescent="0.25">
      <c r="A3348" t="s">
        <v>5419</v>
      </c>
      <c r="B3348" t="s">
        <v>239</v>
      </c>
      <c r="C3348" s="8">
        <v>46195</v>
      </c>
      <c r="D3348" t="s">
        <v>2065</v>
      </c>
      <c r="E3348" t="s">
        <v>2068</v>
      </c>
      <c r="F3348" t="s">
        <v>47</v>
      </c>
      <c r="G3348">
        <v>387.04</v>
      </c>
      <c r="H3348" t="s">
        <v>2060</v>
      </c>
      <c r="I3348" t="str">
        <f>VLOOKUP(B3348,Customers!A:G,7,FALSE)</f>
        <v>SME</v>
      </c>
      <c r="Q3348" t="str">
        <f>IF(COUNTIF(Customers!$A$2:$A$1001,B3348)&gt;0,"Valid","Invalid")</f>
        <v>Valid</v>
      </c>
      <c r="R3348" t="str">
        <f>IF(COUNTIF(Branches!$A$2:$A$11,F3348)&gt;0,"Valid","Invalid")</f>
        <v>Valid</v>
      </c>
    </row>
    <row r="3349" spans="1:18" x14ac:dyDescent="0.25">
      <c r="A3349" t="s">
        <v>5420</v>
      </c>
      <c r="B3349" t="s">
        <v>971</v>
      </c>
      <c r="C3349" s="8">
        <v>46050</v>
      </c>
      <c r="D3349" t="s">
        <v>2067</v>
      </c>
      <c r="E3349" t="s">
        <v>2059</v>
      </c>
      <c r="F3349" t="s">
        <v>39</v>
      </c>
      <c r="G3349">
        <v>283.11</v>
      </c>
      <c r="H3349" t="s">
        <v>2060</v>
      </c>
      <c r="I3349" t="str">
        <f>VLOOKUP(B3349,Customers!A:G,7,FALSE)</f>
        <v>Individual</v>
      </c>
      <c r="Q3349" t="str">
        <f>IF(COUNTIF(Customers!$A$2:$A$1001,B3349)&gt;0,"Valid","Invalid")</f>
        <v>Valid</v>
      </c>
      <c r="R3349" t="str">
        <f>IF(COUNTIF(Branches!$A$2:$A$11,F3349)&gt;0,"Valid","Invalid")</f>
        <v>Valid</v>
      </c>
    </row>
    <row r="3350" spans="1:18" x14ac:dyDescent="0.25">
      <c r="A3350" t="s">
        <v>5421</v>
      </c>
      <c r="B3350" t="s">
        <v>191</v>
      </c>
      <c r="C3350" s="8">
        <v>46072</v>
      </c>
      <c r="D3350" t="s">
        <v>2067</v>
      </c>
      <c r="E3350" t="s">
        <v>2063</v>
      </c>
      <c r="F3350" t="s">
        <v>45</v>
      </c>
      <c r="G3350">
        <v>193.63</v>
      </c>
      <c r="H3350" t="s">
        <v>2060</v>
      </c>
      <c r="I3350" t="str">
        <f>VLOOKUP(B3350,Customers!A:G,7,FALSE)</f>
        <v>SME</v>
      </c>
      <c r="Q3350" t="str">
        <f>IF(COUNTIF(Customers!$A$2:$A$1001,B3350)&gt;0,"Valid","Invalid")</f>
        <v>Valid</v>
      </c>
      <c r="R3350" t="str">
        <f>IF(COUNTIF(Branches!$A$2:$A$11,F3350)&gt;0,"Valid","Invalid")</f>
        <v>Valid</v>
      </c>
    </row>
    <row r="3351" spans="1:18" x14ac:dyDescent="0.25">
      <c r="A3351" t="s">
        <v>5422</v>
      </c>
      <c r="B3351" t="s">
        <v>42</v>
      </c>
      <c r="C3351" s="8">
        <v>46024</v>
      </c>
      <c r="D3351" t="s">
        <v>2065</v>
      </c>
      <c r="E3351" t="s">
        <v>2076</v>
      </c>
      <c r="F3351" t="s">
        <v>16</v>
      </c>
      <c r="G3351">
        <v>600.24</v>
      </c>
      <c r="H3351" t="s">
        <v>2060</v>
      </c>
      <c r="I3351" t="str">
        <f>VLOOKUP(B3351,Customers!A:G,7,FALSE)</f>
        <v>Individual</v>
      </c>
      <c r="Q3351" t="str">
        <f>IF(COUNTIF(Customers!$A$2:$A$1001,B3351)&gt;0,"Valid","Invalid")</f>
        <v>Valid</v>
      </c>
      <c r="R3351" t="str">
        <f>IF(COUNTIF(Branches!$A$2:$A$11,F3351)&gt;0,"Valid","Invalid")</f>
        <v>Valid</v>
      </c>
    </row>
    <row r="3352" spans="1:18" x14ac:dyDescent="0.25">
      <c r="A3352" t="s">
        <v>5423</v>
      </c>
      <c r="B3352" t="s">
        <v>335</v>
      </c>
      <c r="C3352" s="8">
        <v>46234</v>
      </c>
      <c r="D3352" t="s">
        <v>2058</v>
      </c>
      <c r="E3352" t="s">
        <v>2076</v>
      </c>
      <c r="F3352" t="s">
        <v>29</v>
      </c>
      <c r="G3352">
        <v>2028.28</v>
      </c>
      <c r="H3352" t="s">
        <v>2060</v>
      </c>
      <c r="I3352" t="str">
        <f>VLOOKUP(B3352,Customers!A:G,7,FALSE)</f>
        <v>Individual</v>
      </c>
      <c r="Q3352" t="str">
        <f>IF(COUNTIF(Customers!$A$2:$A$1001,B3352)&gt;0,"Valid","Invalid")</f>
        <v>Valid</v>
      </c>
      <c r="R3352" t="str">
        <f>IF(COUNTIF(Branches!$A$2:$A$11,F3352)&gt;0,"Valid","Invalid")</f>
        <v>Valid</v>
      </c>
    </row>
    <row r="3353" spans="1:18" x14ac:dyDescent="0.25">
      <c r="A3353" t="s">
        <v>5424</v>
      </c>
      <c r="B3353" t="s">
        <v>934</v>
      </c>
      <c r="C3353" s="8">
        <v>46090</v>
      </c>
      <c r="D3353" t="s">
        <v>2065</v>
      </c>
      <c r="E3353" t="s">
        <v>2063</v>
      </c>
      <c r="F3353" t="s">
        <v>29</v>
      </c>
      <c r="G3353">
        <v>1049.5999999999999</v>
      </c>
      <c r="H3353" t="s">
        <v>2060</v>
      </c>
      <c r="I3353" t="str">
        <f>VLOOKUP(B3353,Customers!A:G,7,FALSE)</f>
        <v>Individual</v>
      </c>
      <c r="Q3353" t="str">
        <f>IF(COUNTIF(Customers!$A$2:$A$1001,B3353)&gt;0,"Valid","Invalid")</f>
        <v>Valid</v>
      </c>
      <c r="R3353" t="str">
        <f>IF(COUNTIF(Branches!$A$2:$A$11,F3353)&gt;0,"Valid","Invalid")</f>
        <v>Valid</v>
      </c>
    </row>
    <row r="3354" spans="1:18" x14ac:dyDescent="0.25">
      <c r="A3354" t="s">
        <v>5425</v>
      </c>
      <c r="B3354" t="s">
        <v>872</v>
      </c>
      <c r="C3354" s="8">
        <v>46150</v>
      </c>
      <c r="D3354" t="s">
        <v>2065</v>
      </c>
      <c r="E3354" t="s">
        <v>2059</v>
      </c>
      <c r="F3354" t="s">
        <v>29</v>
      </c>
      <c r="G3354">
        <v>244.04</v>
      </c>
      <c r="H3354" t="s">
        <v>2060</v>
      </c>
      <c r="I3354" t="str">
        <f>VLOOKUP(B3354,Customers!A:G,7,FALSE)</f>
        <v>Individual</v>
      </c>
      <c r="Q3354" t="str">
        <f>IF(COUNTIF(Customers!$A$2:$A$1001,B3354)&gt;0,"Valid","Invalid")</f>
        <v>Valid</v>
      </c>
      <c r="R3354" t="str">
        <f>IF(COUNTIF(Branches!$A$2:$A$11,F3354)&gt;0,"Valid","Invalid")</f>
        <v>Valid</v>
      </c>
    </row>
    <row r="3355" spans="1:18" x14ac:dyDescent="0.25">
      <c r="A3355" t="s">
        <v>5426</v>
      </c>
      <c r="B3355" t="s">
        <v>536</v>
      </c>
      <c r="C3355" s="8">
        <v>46099</v>
      </c>
      <c r="D3355" t="s">
        <v>2058</v>
      </c>
      <c r="E3355" t="s">
        <v>2073</v>
      </c>
      <c r="F3355" t="s">
        <v>47</v>
      </c>
      <c r="G3355">
        <v>6992.96</v>
      </c>
      <c r="H3355" t="s">
        <v>2060</v>
      </c>
      <c r="I3355" t="str">
        <f>VLOOKUP(B3355,Customers!A:G,7,FALSE)</f>
        <v>Individual</v>
      </c>
      <c r="Q3355" t="str">
        <f>IF(COUNTIF(Customers!$A$2:$A$1001,B3355)&gt;0,"Valid","Invalid")</f>
        <v>Valid</v>
      </c>
      <c r="R3355" t="str">
        <f>IF(COUNTIF(Branches!$A$2:$A$11,F3355)&gt;0,"Valid","Invalid")</f>
        <v>Valid</v>
      </c>
    </row>
    <row r="3356" spans="1:18" x14ac:dyDescent="0.25">
      <c r="A3356" t="s">
        <v>5427</v>
      </c>
      <c r="B3356" t="s">
        <v>635</v>
      </c>
      <c r="C3356" s="8">
        <v>46046</v>
      </c>
      <c r="D3356" t="s">
        <v>2065</v>
      </c>
      <c r="E3356" t="s">
        <v>2063</v>
      </c>
      <c r="F3356" t="s">
        <v>45</v>
      </c>
      <c r="G3356">
        <v>1555.48</v>
      </c>
      <c r="H3356" t="s">
        <v>2060</v>
      </c>
      <c r="I3356" t="str">
        <f>VLOOKUP(B3356,Customers!A:G,7,FALSE)</f>
        <v>SME</v>
      </c>
      <c r="Q3356" t="str">
        <f>IF(COUNTIF(Customers!$A$2:$A$1001,B3356)&gt;0,"Valid","Invalid")</f>
        <v>Valid</v>
      </c>
      <c r="R3356" t="str">
        <f>IF(COUNTIF(Branches!$A$2:$A$11,F3356)&gt;0,"Valid","Invalid")</f>
        <v>Valid</v>
      </c>
    </row>
    <row r="3357" spans="1:18" x14ac:dyDescent="0.25">
      <c r="A3357" t="s">
        <v>5428</v>
      </c>
      <c r="B3357" t="s">
        <v>1031</v>
      </c>
      <c r="C3357" s="8">
        <v>46134</v>
      </c>
      <c r="D3357" t="s">
        <v>2065</v>
      </c>
      <c r="E3357" t="s">
        <v>2063</v>
      </c>
      <c r="F3357" t="s">
        <v>47</v>
      </c>
      <c r="G3357">
        <v>1767.66</v>
      </c>
      <c r="H3357" t="s">
        <v>2060</v>
      </c>
      <c r="I3357" t="str">
        <f>VLOOKUP(B3357,Customers!A:G,7,FALSE)</f>
        <v>SME</v>
      </c>
      <c r="Q3357" t="str">
        <f>IF(COUNTIF(Customers!$A$2:$A$1001,B3357)&gt;0,"Valid","Invalid")</f>
        <v>Valid</v>
      </c>
      <c r="R3357" t="str">
        <f>IF(COUNTIF(Branches!$A$2:$A$11,F3357)&gt;0,"Valid","Invalid")</f>
        <v>Valid</v>
      </c>
    </row>
    <row r="3358" spans="1:18" x14ac:dyDescent="0.25">
      <c r="A3358" t="s">
        <v>5429</v>
      </c>
      <c r="B3358" t="s">
        <v>830</v>
      </c>
      <c r="C3358" s="8">
        <v>46252</v>
      </c>
      <c r="D3358" t="s">
        <v>2067</v>
      </c>
      <c r="E3358" t="s">
        <v>2063</v>
      </c>
      <c r="F3358" t="s">
        <v>27</v>
      </c>
      <c r="G3358">
        <v>2936.66</v>
      </c>
      <c r="H3358" t="s">
        <v>2060</v>
      </c>
      <c r="I3358" t="str">
        <f>VLOOKUP(B3358,Customers!A:G,7,FALSE)</f>
        <v>Corporate</v>
      </c>
      <c r="Q3358" t="str">
        <f>IF(COUNTIF(Customers!$A$2:$A$1001,B3358)&gt;0,"Valid","Invalid")</f>
        <v>Valid</v>
      </c>
      <c r="R3358" t="str">
        <f>IF(COUNTIF(Branches!$A$2:$A$11,F3358)&gt;0,"Valid","Invalid")</f>
        <v>Valid</v>
      </c>
    </row>
    <row r="3359" spans="1:18" x14ac:dyDescent="0.25">
      <c r="A3359" t="s">
        <v>5430</v>
      </c>
      <c r="B3359" t="s">
        <v>283</v>
      </c>
      <c r="C3359" s="8">
        <v>46254</v>
      </c>
      <c r="D3359" t="s">
        <v>2062</v>
      </c>
      <c r="E3359" t="s">
        <v>2059</v>
      </c>
      <c r="F3359" t="s">
        <v>53</v>
      </c>
      <c r="G3359">
        <v>157.56</v>
      </c>
      <c r="H3359" t="s">
        <v>2060</v>
      </c>
      <c r="I3359" t="str">
        <f>VLOOKUP(B3359,Customers!A:G,7,FALSE)</f>
        <v>Individual</v>
      </c>
      <c r="Q3359" t="str">
        <f>IF(COUNTIF(Customers!$A$2:$A$1001,B3359)&gt;0,"Valid","Invalid")</f>
        <v>Valid</v>
      </c>
      <c r="R3359" t="str">
        <f>IF(COUNTIF(Branches!$A$2:$A$11,F3359)&gt;0,"Valid","Invalid")</f>
        <v>Valid</v>
      </c>
    </row>
    <row r="3360" spans="1:18" x14ac:dyDescent="0.25">
      <c r="A3360" t="s">
        <v>5431</v>
      </c>
      <c r="B3360" t="s">
        <v>338</v>
      </c>
      <c r="C3360" s="8">
        <v>46198</v>
      </c>
      <c r="D3360" t="s">
        <v>2062</v>
      </c>
      <c r="E3360" t="s">
        <v>2073</v>
      </c>
      <c r="F3360" t="s">
        <v>11</v>
      </c>
      <c r="G3360">
        <v>326.54000000000002</v>
      </c>
      <c r="H3360" t="s">
        <v>2060</v>
      </c>
      <c r="I3360" t="str">
        <f>VLOOKUP(B3360,Customers!A:G,7,FALSE)</f>
        <v>Individual</v>
      </c>
      <c r="Q3360" t="str">
        <f>IF(COUNTIF(Customers!$A$2:$A$1001,B3360)&gt;0,"Valid","Invalid")</f>
        <v>Valid</v>
      </c>
      <c r="R3360" t="str">
        <f>IF(COUNTIF(Branches!$A$2:$A$11,F3360)&gt;0,"Valid","Invalid")</f>
        <v>Valid</v>
      </c>
    </row>
    <row r="3361" spans="1:18" x14ac:dyDescent="0.25">
      <c r="A3361" t="s">
        <v>5432</v>
      </c>
      <c r="B3361" t="s">
        <v>400</v>
      </c>
      <c r="C3361" s="8">
        <v>46195</v>
      </c>
      <c r="D3361" t="s">
        <v>2062</v>
      </c>
      <c r="E3361" t="s">
        <v>2076</v>
      </c>
      <c r="F3361" t="s">
        <v>39</v>
      </c>
      <c r="G3361">
        <v>1850.13</v>
      </c>
      <c r="H3361" t="s">
        <v>2060</v>
      </c>
      <c r="I3361" t="str">
        <f>VLOOKUP(B3361,Customers!A:G,7,FALSE)</f>
        <v>Individual</v>
      </c>
      <c r="Q3361" t="str">
        <f>IF(COUNTIF(Customers!$A$2:$A$1001,B3361)&gt;0,"Valid","Invalid")</f>
        <v>Valid</v>
      </c>
      <c r="R3361" t="str">
        <f>IF(COUNTIF(Branches!$A$2:$A$11,F3361)&gt;0,"Valid","Invalid")</f>
        <v>Valid</v>
      </c>
    </row>
    <row r="3362" spans="1:18" x14ac:dyDescent="0.25">
      <c r="A3362" t="s">
        <v>5433</v>
      </c>
      <c r="B3362" t="s">
        <v>392</v>
      </c>
      <c r="C3362" s="8">
        <v>46141</v>
      </c>
      <c r="D3362" t="s">
        <v>2062</v>
      </c>
      <c r="E3362" t="s">
        <v>2063</v>
      </c>
      <c r="F3362" t="s">
        <v>27</v>
      </c>
      <c r="G3362">
        <v>361.14</v>
      </c>
      <c r="H3362" t="s">
        <v>2060</v>
      </c>
      <c r="I3362" t="str">
        <f>VLOOKUP(B3362,Customers!A:G,7,FALSE)</f>
        <v>SME</v>
      </c>
      <c r="Q3362" t="str">
        <f>IF(COUNTIF(Customers!$A$2:$A$1001,B3362)&gt;0,"Valid","Invalid")</f>
        <v>Valid</v>
      </c>
      <c r="R3362" t="str">
        <f>IF(COUNTIF(Branches!$A$2:$A$11,F3362)&gt;0,"Valid","Invalid")</f>
        <v>Valid</v>
      </c>
    </row>
    <row r="3363" spans="1:18" x14ac:dyDescent="0.25">
      <c r="A3363" t="s">
        <v>5434</v>
      </c>
      <c r="B3363" t="s">
        <v>866</v>
      </c>
      <c r="C3363" s="8">
        <v>46243</v>
      </c>
      <c r="D3363" t="s">
        <v>2070</v>
      </c>
      <c r="E3363" t="s">
        <v>2076</v>
      </c>
      <c r="F3363" t="s">
        <v>11</v>
      </c>
      <c r="G3363">
        <v>617.07000000000005</v>
      </c>
      <c r="H3363" t="s">
        <v>2060</v>
      </c>
      <c r="I3363" t="str">
        <f>VLOOKUP(B3363,Customers!A:G,7,FALSE)</f>
        <v>Individual</v>
      </c>
      <c r="Q3363" t="str">
        <f>IF(COUNTIF(Customers!$A$2:$A$1001,B3363)&gt;0,"Valid","Invalid")</f>
        <v>Valid</v>
      </c>
      <c r="R3363" t="str">
        <f>IF(COUNTIF(Branches!$A$2:$A$11,F3363)&gt;0,"Valid","Invalid")</f>
        <v>Valid</v>
      </c>
    </row>
    <row r="3364" spans="1:18" x14ac:dyDescent="0.25">
      <c r="A3364" t="s">
        <v>5435</v>
      </c>
      <c r="B3364" t="s">
        <v>559</v>
      </c>
      <c r="C3364" s="8">
        <v>46208</v>
      </c>
      <c r="D3364" t="s">
        <v>2062</v>
      </c>
      <c r="E3364" t="s">
        <v>2076</v>
      </c>
      <c r="F3364" t="s">
        <v>39</v>
      </c>
      <c r="G3364">
        <v>751.64</v>
      </c>
      <c r="H3364" t="s">
        <v>2060</v>
      </c>
      <c r="I3364" t="str">
        <f>VLOOKUP(B3364,Customers!A:G,7,FALSE)</f>
        <v>Individual</v>
      </c>
      <c r="Q3364" t="str">
        <f>IF(COUNTIF(Customers!$A$2:$A$1001,B3364)&gt;0,"Valid","Invalid")</f>
        <v>Valid</v>
      </c>
      <c r="R3364" t="str">
        <f>IF(COUNTIF(Branches!$A$2:$A$11,F3364)&gt;0,"Valid","Invalid")</f>
        <v>Valid</v>
      </c>
    </row>
    <row r="3365" spans="1:18" x14ac:dyDescent="0.25">
      <c r="A3365" t="s">
        <v>5436</v>
      </c>
      <c r="B3365" t="s">
        <v>424</v>
      </c>
      <c r="C3365" s="8">
        <v>46058</v>
      </c>
      <c r="D3365" t="s">
        <v>2058</v>
      </c>
      <c r="E3365" t="s">
        <v>2076</v>
      </c>
      <c r="F3365" t="s">
        <v>47</v>
      </c>
      <c r="G3365">
        <v>226.47</v>
      </c>
      <c r="H3365" t="s">
        <v>2060</v>
      </c>
      <c r="I3365" t="str">
        <f>VLOOKUP(B3365,Customers!A:G,7,FALSE)</f>
        <v>Corporate</v>
      </c>
      <c r="Q3365" t="str">
        <f>IF(COUNTIF(Customers!$A$2:$A$1001,B3365)&gt;0,"Valid","Invalid")</f>
        <v>Valid</v>
      </c>
      <c r="R3365" t="str">
        <f>IF(COUNTIF(Branches!$A$2:$A$11,F3365)&gt;0,"Valid","Invalid")</f>
        <v>Valid</v>
      </c>
    </row>
    <row r="3366" spans="1:18" x14ac:dyDescent="0.25">
      <c r="A3366" t="s">
        <v>5437</v>
      </c>
      <c r="B3366" t="s">
        <v>797</v>
      </c>
      <c r="C3366" s="8">
        <v>46024</v>
      </c>
      <c r="D3366" t="s">
        <v>2067</v>
      </c>
      <c r="E3366" t="s">
        <v>2063</v>
      </c>
      <c r="F3366" t="s">
        <v>39</v>
      </c>
      <c r="G3366">
        <v>566.33000000000004</v>
      </c>
      <c r="H3366" t="s">
        <v>2060</v>
      </c>
      <c r="I3366" t="str">
        <f>VLOOKUP(B3366,Customers!A:G,7,FALSE)</f>
        <v>Individual</v>
      </c>
      <c r="Q3366" t="str">
        <f>IF(COUNTIF(Customers!$A$2:$A$1001,B3366)&gt;0,"Valid","Invalid")</f>
        <v>Valid</v>
      </c>
      <c r="R3366" t="str">
        <f>IF(COUNTIF(Branches!$A$2:$A$11,F3366)&gt;0,"Valid","Invalid")</f>
        <v>Valid</v>
      </c>
    </row>
    <row r="3367" spans="1:18" x14ac:dyDescent="0.25">
      <c r="A3367" t="s">
        <v>5438</v>
      </c>
      <c r="B3367" t="s">
        <v>350</v>
      </c>
      <c r="C3367" s="8">
        <v>46149</v>
      </c>
      <c r="D3367" t="s">
        <v>2065</v>
      </c>
      <c r="E3367" t="s">
        <v>2076</v>
      </c>
      <c r="F3367" t="s">
        <v>16</v>
      </c>
      <c r="G3367">
        <v>2027.39</v>
      </c>
      <c r="H3367" t="s">
        <v>2060</v>
      </c>
      <c r="I3367" t="str">
        <f>VLOOKUP(B3367,Customers!A:G,7,FALSE)</f>
        <v>Corporate</v>
      </c>
      <c r="Q3367" t="str">
        <f>IF(COUNTIF(Customers!$A$2:$A$1001,B3367)&gt;0,"Valid","Invalid")</f>
        <v>Valid</v>
      </c>
      <c r="R3367" t="str">
        <f>IF(COUNTIF(Branches!$A$2:$A$11,F3367)&gt;0,"Valid","Invalid")</f>
        <v>Valid</v>
      </c>
    </row>
    <row r="3368" spans="1:18" x14ac:dyDescent="0.25">
      <c r="A3368" t="s">
        <v>5439</v>
      </c>
      <c r="B3368" t="s">
        <v>452</v>
      </c>
      <c r="C3368" s="8">
        <v>46127</v>
      </c>
      <c r="D3368" t="s">
        <v>2058</v>
      </c>
      <c r="E3368" t="s">
        <v>2059</v>
      </c>
      <c r="F3368" t="s">
        <v>21</v>
      </c>
      <c r="G3368">
        <v>1684.89</v>
      </c>
      <c r="H3368" t="s">
        <v>2060</v>
      </c>
      <c r="I3368" t="str">
        <f>VLOOKUP(B3368,Customers!A:G,7,FALSE)</f>
        <v>Individual</v>
      </c>
      <c r="Q3368" t="str">
        <f>IF(COUNTIF(Customers!$A$2:$A$1001,B3368)&gt;0,"Valid","Invalid")</f>
        <v>Valid</v>
      </c>
      <c r="R3368" t="str">
        <f>IF(COUNTIF(Branches!$A$2:$A$11,F3368)&gt;0,"Valid","Invalid")</f>
        <v>Valid</v>
      </c>
    </row>
    <row r="3369" spans="1:18" x14ac:dyDescent="0.25">
      <c r="A3369" t="s">
        <v>5440</v>
      </c>
      <c r="B3369" t="s">
        <v>316</v>
      </c>
      <c r="C3369" s="8">
        <v>46040</v>
      </c>
      <c r="D3369" t="s">
        <v>2070</v>
      </c>
      <c r="E3369" t="s">
        <v>2063</v>
      </c>
      <c r="F3369" t="s">
        <v>53</v>
      </c>
      <c r="G3369">
        <v>2472.5700000000002</v>
      </c>
      <c r="H3369" t="s">
        <v>2060</v>
      </c>
      <c r="I3369" t="str">
        <f>VLOOKUP(B3369,Customers!A:G,7,FALSE)</f>
        <v>Individual</v>
      </c>
      <c r="Q3369" t="str">
        <f>IF(COUNTIF(Customers!$A$2:$A$1001,B3369)&gt;0,"Valid","Invalid")</f>
        <v>Valid</v>
      </c>
      <c r="R3369" t="str">
        <f>IF(COUNTIF(Branches!$A$2:$A$11,F3369)&gt;0,"Valid","Invalid")</f>
        <v>Valid</v>
      </c>
    </row>
    <row r="3370" spans="1:18" x14ac:dyDescent="0.25">
      <c r="A3370" t="s">
        <v>5441</v>
      </c>
      <c r="B3370" t="s">
        <v>788</v>
      </c>
      <c r="C3370" s="8">
        <v>46199</v>
      </c>
      <c r="D3370" t="s">
        <v>2067</v>
      </c>
      <c r="E3370" t="s">
        <v>2059</v>
      </c>
      <c r="F3370" t="s">
        <v>21</v>
      </c>
      <c r="G3370">
        <v>2230.27</v>
      </c>
      <c r="H3370" t="s">
        <v>2060</v>
      </c>
      <c r="I3370" t="str">
        <f>VLOOKUP(B3370,Customers!A:G,7,FALSE)</f>
        <v>Student</v>
      </c>
      <c r="Q3370" t="str">
        <f>IF(COUNTIF(Customers!$A$2:$A$1001,B3370)&gt;0,"Valid","Invalid")</f>
        <v>Valid</v>
      </c>
      <c r="R3370" t="str">
        <f>IF(COUNTIF(Branches!$A$2:$A$11,F3370)&gt;0,"Valid","Invalid")</f>
        <v>Valid</v>
      </c>
    </row>
    <row r="3371" spans="1:18" x14ac:dyDescent="0.25">
      <c r="A3371" t="s">
        <v>5442</v>
      </c>
      <c r="B3371" t="s">
        <v>753</v>
      </c>
      <c r="C3371" s="8">
        <v>46030</v>
      </c>
      <c r="D3371" t="s">
        <v>2062</v>
      </c>
      <c r="E3371" t="s">
        <v>2073</v>
      </c>
      <c r="F3371" t="s">
        <v>45</v>
      </c>
      <c r="G3371">
        <v>1219.1099999999999</v>
      </c>
      <c r="H3371" t="s">
        <v>2060</v>
      </c>
      <c r="I3371" t="str">
        <f>VLOOKUP(B3371,Customers!A:G,7,FALSE)</f>
        <v>Individual</v>
      </c>
      <c r="Q3371" t="str">
        <f>IF(COUNTIF(Customers!$A$2:$A$1001,B3371)&gt;0,"Valid","Invalid")</f>
        <v>Valid</v>
      </c>
      <c r="R3371" t="str">
        <f>IF(COUNTIF(Branches!$A$2:$A$11,F3371)&gt;0,"Valid","Invalid")</f>
        <v>Valid</v>
      </c>
    </row>
    <row r="3372" spans="1:18" x14ac:dyDescent="0.25">
      <c r="A3372" t="s">
        <v>5443</v>
      </c>
      <c r="B3372" t="s">
        <v>797</v>
      </c>
      <c r="C3372" s="8">
        <v>46208</v>
      </c>
      <c r="D3372" t="s">
        <v>2058</v>
      </c>
      <c r="E3372" t="s">
        <v>2059</v>
      </c>
      <c r="F3372" t="s">
        <v>11</v>
      </c>
      <c r="G3372">
        <v>1126.28</v>
      </c>
      <c r="H3372" t="s">
        <v>2060</v>
      </c>
      <c r="I3372" t="str">
        <f>VLOOKUP(B3372,Customers!A:G,7,FALSE)</f>
        <v>Individual</v>
      </c>
      <c r="Q3372" t="str">
        <f>IF(COUNTIF(Customers!$A$2:$A$1001,B3372)&gt;0,"Valid","Invalid")</f>
        <v>Valid</v>
      </c>
      <c r="R3372" t="str">
        <f>IF(COUNTIF(Branches!$A$2:$A$11,F3372)&gt;0,"Valid","Invalid")</f>
        <v>Valid</v>
      </c>
    </row>
    <row r="3373" spans="1:18" x14ac:dyDescent="0.25">
      <c r="A3373" t="s">
        <v>5444</v>
      </c>
      <c r="B3373" t="s">
        <v>785</v>
      </c>
      <c r="C3373" s="8">
        <v>46037</v>
      </c>
      <c r="D3373" t="s">
        <v>2067</v>
      </c>
      <c r="E3373" t="s">
        <v>2073</v>
      </c>
      <c r="F3373" t="s">
        <v>39</v>
      </c>
      <c r="G3373">
        <v>1046.6300000000001</v>
      </c>
      <c r="H3373" t="s">
        <v>2060</v>
      </c>
      <c r="I3373" t="str">
        <f>VLOOKUP(B3373,Customers!A:G,7,FALSE)</f>
        <v>Individual</v>
      </c>
      <c r="Q3373" t="str">
        <f>IF(COUNTIF(Customers!$A$2:$A$1001,B3373)&gt;0,"Valid","Invalid")</f>
        <v>Valid</v>
      </c>
      <c r="R3373" t="str">
        <f>IF(COUNTIF(Branches!$A$2:$A$11,F3373)&gt;0,"Valid","Invalid")</f>
        <v>Valid</v>
      </c>
    </row>
    <row r="3374" spans="1:18" x14ac:dyDescent="0.25">
      <c r="A3374" t="s">
        <v>5445</v>
      </c>
      <c r="B3374" t="s">
        <v>631</v>
      </c>
      <c r="C3374" s="8">
        <v>46255</v>
      </c>
      <c r="D3374" t="s">
        <v>2067</v>
      </c>
      <c r="E3374" t="s">
        <v>2063</v>
      </c>
      <c r="F3374" t="s">
        <v>53</v>
      </c>
      <c r="G3374">
        <v>433.96</v>
      </c>
      <c r="H3374" t="s">
        <v>2060</v>
      </c>
      <c r="I3374" t="str">
        <f>VLOOKUP(B3374,Customers!A:G,7,FALSE)</f>
        <v>SME</v>
      </c>
      <c r="Q3374" t="str">
        <f>IF(COUNTIF(Customers!$A$2:$A$1001,B3374)&gt;0,"Valid","Invalid")</f>
        <v>Valid</v>
      </c>
      <c r="R3374" t="str">
        <f>IF(COUNTIF(Branches!$A$2:$A$11,F3374)&gt;0,"Valid","Invalid")</f>
        <v>Valid</v>
      </c>
    </row>
    <row r="3375" spans="1:18" x14ac:dyDescent="0.25">
      <c r="A3375" t="s">
        <v>5446</v>
      </c>
      <c r="B3375" t="s">
        <v>394</v>
      </c>
      <c r="C3375" s="8">
        <v>46167</v>
      </c>
      <c r="D3375" t="s">
        <v>2058</v>
      </c>
      <c r="E3375" t="s">
        <v>2076</v>
      </c>
      <c r="F3375" t="s">
        <v>45</v>
      </c>
      <c r="G3375">
        <v>290.05</v>
      </c>
      <c r="H3375" t="s">
        <v>2060</v>
      </c>
      <c r="I3375" t="str">
        <f>VLOOKUP(B3375,Customers!A:G,7,FALSE)</f>
        <v>Student</v>
      </c>
      <c r="Q3375" t="str">
        <f>IF(COUNTIF(Customers!$A$2:$A$1001,B3375)&gt;0,"Valid","Invalid")</f>
        <v>Valid</v>
      </c>
      <c r="R3375" t="str">
        <f>IF(COUNTIF(Branches!$A$2:$A$11,F3375)&gt;0,"Valid","Invalid")</f>
        <v>Valid</v>
      </c>
    </row>
    <row r="3376" spans="1:18" x14ac:dyDescent="0.25">
      <c r="A3376" t="s">
        <v>5447</v>
      </c>
      <c r="B3376" t="s">
        <v>563</v>
      </c>
      <c r="C3376" s="8">
        <v>46045</v>
      </c>
      <c r="D3376" t="s">
        <v>2067</v>
      </c>
      <c r="E3376" t="s">
        <v>2063</v>
      </c>
      <c r="F3376" t="s">
        <v>11</v>
      </c>
      <c r="G3376">
        <v>407.65</v>
      </c>
      <c r="H3376" t="s">
        <v>2060</v>
      </c>
      <c r="I3376" t="str">
        <f>VLOOKUP(B3376,Customers!A:G,7,FALSE)</f>
        <v>Individual</v>
      </c>
      <c r="Q3376" t="str">
        <f>IF(COUNTIF(Customers!$A$2:$A$1001,B3376)&gt;0,"Valid","Invalid")</f>
        <v>Valid</v>
      </c>
      <c r="R3376" t="str">
        <f>IF(COUNTIF(Branches!$A$2:$A$11,F3376)&gt;0,"Valid","Invalid")</f>
        <v>Valid</v>
      </c>
    </row>
    <row r="3377" spans="1:18" x14ac:dyDescent="0.25">
      <c r="A3377" t="s">
        <v>5448</v>
      </c>
      <c r="B3377" t="s">
        <v>877</v>
      </c>
      <c r="C3377" s="8">
        <v>46216</v>
      </c>
      <c r="D3377" t="s">
        <v>2062</v>
      </c>
      <c r="E3377" t="s">
        <v>2063</v>
      </c>
      <c r="F3377" t="s">
        <v>16</v>
      </c>
      <c r="G3377">
        <v>586.38</v>
      </c>
      <c r="H3377" t="s">
        <v>2060</v>
      </c>
      <c r="I3377" t="str">
        <f>VLOOKUP(B3377,Customers!A:G,7,FALSE)</f>
        <v>Student</v>
      </c>
      <c r="Q3377" t="str">
        <f>IF(COUNTIF(Customers!$A$2:$A$1001,B3377)&gt;0,"Valid","Invalid")</f>
        <v>Valid</v>
      </c>
      <c r="R3377" t="str">
        <f>IF(COUNTIF(Branches!$A$2:$A$11,F3377)&gt;0,"Valid","Invalid")</f>
        <v>Valid</v>
      </c>
    </row>
    <row r="3378" spans="1:18" x14ac:dyDescent="0.25">
      <c r="A3378" t="s">
        <v>5449</v>
      </c>
      <c r="B3378" t="s">
        <v>49</v>
      </c>
      <c r="C3378" s="8">
        <v>46220</v>
      </c>
      <c r="D3378" t="s">
        <v>2062</v>
      </c>
      <c r="E3378" t="s">
        <v>2059</v>
      </c>
      <c r="F3378" t="s">
        <v>27</v>
      </c>
      <c r="G3378">
        <v>421.65</v>
      </c>
      <c r="H3378" t="s">
        <v>2060</v>
      </c>
      <c r="I3378" t="str">
        <f>VLOOKUP(B3378,Customers!A:G,7,FALSE)</f>
        <v>Individual</v>
      </c>
      <c r="Q3378" t="str">
        <f>IF(COUNTIF(Customers!$A$2:$A$1001,B3378)&gt;0,"Valid","Invalid")</f>
        <v>Valid</v>
      </c>
      <c r="R3378" t="str">
        <f>IF(COUNTIF(Branches!$A$2:$A$11,F3378)&gt;0,"Valid","Invalid")</f>
        <v>Valid</v>
      </c>
    </row>
    <row r="3379" spans="1:18" x14ac:dyDescent="0.25">
      <c r="A3379" t="s">
        <v>5450</v>
      </c>
      <c r="B3379" t="s">
        <v>1031</v>
      </c>
      <c r="C3379" s="8">
        <v>46115</v>
      </c>
      <c r="D3379" t="s">
        <v>2062</v>
      </c>
      <c r="E3379" t="s">
        <v>2076</v>
      </c>
      <c r="F3379" t="s">
        <v>11</v>
      </c>
      <c r="G3379">
        <v>1228.8499999999999</v>
      </c>
      <c r="H3379" t="s">
        <v>2060</v>
      </c>
      <c r="I3379" t="str">
        <f>VLOOKUP(B3379,Customers!A:G,7,FALSE)</f>
        <v>SME</v>
      </c>
      <c r="Q3379" t="str">
        <f>IF(COUNTIF(Customers!$A$2:$A$1001,B3379)&gt;0,"Valid","Invalid")</f>
        <v>Valid</v>
      </c>
      <c r="R3379" t="str">
        <f>IF(COUNTIF(Branches!$A$2:$A$11,F3379)&gt;0,"Valid","Invalid")</f>
        <v>Valid</v>
      </c>
    </row>
    <row r="3380" spans="1:18" x14ac:dyDescent="0.25">
      <c r="A3380" t="s">
        <v>5451</v>
      </c>
      <c r="B3380" t="s">
        <v>80</v>
      </c>
      <c r="C3380" s="8">
        <v>46177</v>
      </c>
      <c r="D3380" t="s">
        <v>2065</v>
      </c>
      <c r="E3380" t="s">
        <v>2068</v>
      </c>
      <c r="F3380" t="s">
        <v>53</v>
      </c>
      <c r="G3380">
        <v>994.16</v>
      </c>
      <c r="H3380" t="s">
        <v>2060</v>
      </c>
      <c r="I3380" t="str">
        <f>VLOOKUP(B3380,Customers!A:G,7,FALSE)</f>
        <v>Individual</v>
      </c>
      <c r="Q3380" t="str">
        <f>IF(COUNTIF(Customers!$A$2:$A$1001,B3380)&gt;0,"Valid","Invalid")</f>
        <v>Valid</v>
      </c>
      <c r="R3380" t="str">
        <f>IF(COUNTIF(Branches!$A$2:$A$11,F3380)&gt;0,"Valid","Invalid")</f>
        <v>Valid</v>
      </c>
    </row>
    <row r="3381" spans="1:18" x14ac:dyDescent="0.25">
      <c r="A3381" t="s">
        <v>5452</v>
      </c>
      <c r="B3381" t="s">
        <v>359</v>
      </c>
      <c r="C3381" s="8">
        <v>46187</v>
      </c>
      <c r="D3381" t="s">
        <v>2062</v>
      </c>
      <c r="E3381" t="s">
        <v>2076</v>
      </c>
      <c r="F3381" t="s">
        <v>11</v>
      </c>
      <c r="G3381">
        <v>1106.9100000000001</v>
      </c>
      <c r="H3381" t="s">
        <v>2060</v>
      </c>
      <c r="I3381" t="str">
        <f>VLOOKUP(B3381,Customers!A:G,7,FALSE)</f>
        <v>SME</v>
      </c>
      <c r="Q3381" t="str">
        <f>IF(COUNTIF(Customers!$A$2:$A$1001,B3381)&gt;0,"Valid","Invalid")</f>
        <v>Valid</v>
      </c>
      <c r="R3381" t="str">
        <f>IF(COUNTIF(Branches!$A$2:$A$11,F3381)&gt;0,"Valid","Invalid")</f>
        <v>Valid</v>
      </c>
    </row>
    <row r="3382" spans="1:18" x14ac:dyDescent="0.25">
      <c r="A3382" t="s">
        <v>5453</v>
      </c>
      <c r="B3382" t="s">
        <v>689</v>
      </c>
      <c r="C3382" s="8">
        <v>46071</v>
      </c>
      <c r="D3382" t="s">
        <v>2067</v>
      </c>
      <c r="E3382" t="s">
        <v>2076</v>
      </c>
      <c r="F3382" t="s">
        <v>29</v>
      </c>
      <c r="G3382">
        <v>1154.48</v>
      </c>
      <c r="H3382" t="s">
        <v>2060</v>
      </c>
      <c r="I3382" t="str">
        <f>VLOOKUP(B3382,Customers!A:G,7,FALSE)</f>
        <v>Individual</v>
      </c>
      <c r="Q3382" t="str">
        <f>IF(COUNTIF(Customers!$A$2:$A$1001,B3382)&gt;0,"Valid","Invalid")</f>
        <v>Valid</v>
      </c>
      <c r="R3382" t="str">
        <f>IF(COUNTIF(Branches!$A$2:$A$11,F3382)&gt;0,"Valid","Invalid")</f>
        <v>Valid</v>
      </c>
    </row>
    <row r="3383" spans="1:18" x14ac:dyDescent="0.25">
      <c r="A3383" t="s">
        <v>5454</v>
      </c>
      <c r="B3383" t="s">
        <v>364</v>
      </c>
      <c r="C3383" s="8">
        <v>46086</v>
      </c>
      <c r="D3383" t="s">
        <v>2067</v>
      </c>
      <c r="E3383" t="s">
        <v>2073</v>
      </c>
      <c r="F3383" t="s">
        <v>29</v>
      </c>
      <c r="G3383">
        <v>2685.61</v>
      </c>
      <c r="H3383" t="s">
        <v>2115</v>
      </c>
      <c r="I3383" t="str">
        <f>VLOOKUP(B3383,Customers!A:G,7,FALSE)</f>
        <v>Student</v>
      </c>
      <c r="Q3383" t="str">
        <f>IF(COUNTIF(Customers!$A$2:$A$1001,B3383)&gt;0,"Valid","Invalid")</f>
        <v>Valid</v>
      </c>
      <c r="R3383" t="str">
        <f>IF(COUNTIF(Branches!$A$2:$A$11,F3383)&gt;0,"Valid","Invalid")</f>
        <v>Valid</v>
      </c>
    </row>
    <row r="3384" spans="1:18" x14ac:dyDescent="0.25">
      <c r="A3384" t="s">
        <v>5455</v>
      </c>
      <c r="B3384" t="s">
        <v>184</v>
      </c>
      <c r="C3384" s="8">
        <v>46056</v>
      </c>
      <c r="D3384" t="s">
        <v>2062</v>
      </c>
      <c r="E3384" t="s">
        <v>2059</v>
      </c>
      <c r="F3384" t="s">
        <v>11</v>
      </c>
      <c r="G3384">
        <v>805.47</v>
      </c>
      <c r="H3384" t="s">
        <v>2060</v>
      </c>
      <c r="I3384" t="str">
        <f>VLOOKUP(B3384,Customers!A:G,7,FALSE)</f>
        <v>Individual</v>
      </c>
      <c r="Q3384" t="str">
        <f>IF(COUNTIF(Customers!$A$2:$A$1001,B3384)&gt;0,"Valid","Invalid")</f>
        <v>Valid</v>
      </c>
      <c r="R3384" t="str">
        <f>IF(COUNTIF(Branches!$A$2:$A$11,F3384)&gt;0,"Valid","Invalid")</f>
        <v>Valid</v>
      </c>
    </row>
    <row r="3385" spans="1:18" x14ac:dyDescent="0.25">
      <c r="A3385" t="s">
        <v>5456</v>
      </c>
      <c r="B3385" t="s">
        <v>393</v>
      </c>
      <c r="C3385" s="8">
        <v>46040</v>
      </c>
      <c r="D3385" t="s">
        <v>2067</v>
      </c>
      <c r="E3385" t="s">
        <v>2063</v>
      </c>
      <c r="F3385" t="s">
        <v>53</v>
      </c>
      <c r="G3385">
        <v>2226.91</v>
      </c>
      <c r="H3385" t="s">
        <v>2060</v>
      </c>
      <c r="I3385" t="str">
        <f>VLOOKUP(B3385,Customers!A:G,7,FALSE)</f>
        <v>SME</v>
      </c>
      <c r="Q3385" t="str">
        <f>IF(COUNTIF(Customers!$A$2:$A$1001,B3385)&gt;0,"Valid","Invalid")</f>
        <v>Valid</v>
      </c>
      <c r="R3385" t="str">
        <f>IF(COUNTIF(Branches!$A$2:$A$11,F3385)&gt;0,"Valid","Invalid")</f>
        <v>Valid</v>
      </c>
    </row>
    <row r="3386" spans="1:18" x14ac:dyDescent="0.25">
      <c r="A3386" t="s">
        <v>5457</v>
      </c>
      <c r="B3386" t="s">
        <v>274</v>
      </c>
      <c r="C3386" s="8">
        <v>46086</v>
      </c>
      <c r="D3386" t="s">
        <v>2065</v>
      </c>
      <c r="E3386" t="s">
        <v>2063</v>
      </c>
      <c r="F3386" t="s">
        <v>11</v>
      </c>
      <c r="G3386">
        <v>1361.83</v>
      </c>
      <c r="H3386" t="s">
        <v>2060</v>
      </c>
      <c r="I3386" t="str">
        <f>VLOOKUP(B3386,Customers!A:G,7,FALSE)</f>
        <v>Individual</v>
      </c>
      <c r="Q3386" t="str">
        <f>IF(COUNTIF(Customers!$A$2:$A$1001,B3386)&gt;0,"Valid","Invalid")</f>
        <v>Valid</v>
      </c>
      <c r="R3386" t="str">
        <f>IF(COUNTIF(Branches!$A$2:$A$11,F3386)&gt;0,"Valid","Invalid")</f>
        <v>Valid</v>
      </c>
    </row>
    <row r="3387" spans="1:18" x14ac:dyDescent="0.25">
      <c r="A3387" t="s">
        <v>5458</v>
      </c>
      <c r="B3387" t="s">
        <v>741</v>
      </c>
      <c r="C3387" s="8">
        <v>46128</v>
      </c>
      <c r="D3387" t="s">
        <v>2067</v>
      </c>
      <c r="E3387" t="s">
        <v>2059</v>
      </c>
      <c r="F3387" t="s">
        <v>29</v>
      </c>
      <c r="G3387">
        <v>2514.0100000000002</v>
      </c>
      <c r="H3387" t="s">
        <v>2060</v>
      </c>
      <c r="I3387" t="str">
        <f>VLOOKUP(B3387,Customers!A:G,7,FALSE)</f>
        <v>Individual</v>
      </c>
      <c r="Q3387" t="str">
        <f>IF(COUNTIF(Customers!$A$2:$A$1001,B3387)&gt;0,"Valid","Invalid")</f>
        <v>Valid</v>
      </c>
      <c r="R3387" t="str">
        <f>IF(COUNTIF(Branches!$A$2:$A$11,F3387)&gt;0,"Valid","Invalid")</f>
        <v>Valid</v>
      </c>
    </row>
    <row r="3388" spans="1:18" x14ac:dyDescent="0.25">
      <c r="A3388" t="s">
        <v>5459</v>
      </c>
      <c r="B3388" t="s">
        <v>651</v>
      </c>
      <c r="C3388" s="8">
        <v>46096</v>
      </c>
      <c r="D3388" t="s">
        <v>2062</v>
      </c>
      <c r="E3388" t="s">
        <v>2076</v>
      </c>
      <c r="F3388" t="s">
        <v>27</v>
      </c>
      <c r="G3388">
        <v>4083.17</v>
      </c>
      <c r="H3388" t="s">
        <v>2060</v>
      </c>
      <c r="I3388" t="str">
        <f>VLOOKUP(B3388,Customers!A:G,7,FALSE)</f>
        <v>SME</v>
      </c>
      <c r="Q3388" t="str">
        <f>IF(COUNTIF(Customers!$A$2:$A$1001,B3388)&gt;0,"Valid","Invalid")</f>
        <v>Valid</v>
      </c>
      <c r="R3388" t="str">
        <f>IF(COUNTIF(Branches!$A$2:$A$11,F3388)&gt;0,"Valid","Invalid")</f>
        <v>Valid</v>
      </c>
    </row>
    <row r="3389" spans="1:18" x14ac:dyDescent="0.25">
      <c r="A3389" t="s">
        <v>5460</v>
      </c>
      <c r="B3389" t="s">
        <v>141</v>
      </c>
      <c r="C3389" s="8">
        <v>46124</v>
      </c>
      <c r="D3389" t="s">
        <v>2067</v>
      </c>
      <c r="E3389" t="s">
        <v>2063</v>
      </c>
      <c r="F3389" t="s">
        <v>29</v>
      </c>
      <c r="G3389">
        <v>1446.13</v>
      </c>
      <c r="H3389" t="s">
        <v>2060</v>
      </c>
      <c r="I3389" t="str">
        <f>VLOOKUP(B3389,Customers!A:G,7,FALSE)</f>
        <v>Individual</v>
      </c>
      <c r="Q3389" t="str">
        <f>IF(COUNTIF(Customers!$A$2:$A$1001,B3389)&gt;0,"Valid","Invalid")</f>
        <v>Valid</v>
      </c>
      <c r="R3389" t="str">
        <f>IF(COUNTIF(Branches!$A$2:$A$11,F3389)&gt;0,"Valid","Invalid")</f>
        <v>Valid</v>
      </c>
    </row>
    <row r="3390" spans="1:18" x14ac:dyDescent="0.25">
      <c r="A3390" t="s">
        <v>5461</v>
      </c>
      <c r="B3390" t="s">
        <v>512</v>
      </c>
      <c r="C3390" s="8">
        <v>46194</v>
      </c>
      <c r="D3390" t="s">
        <v>2058</v>
      </c>
      <c r="E3390" t="s">
        <v>2063</v>
      </c>
      <c r="F3390" t="s">
        <v>47</v>
      </c>
      <c r="G3390">
        <v>901.24</v>
      </c>
      <c r="H3390" t="s">
        <v>2060</v>
      </c>
      <c r="I3390" t="str">
        <f>VLOOKUP(B3390,Customers!A:G,7,FALSE)</f>
        <v>Individual</v>
      </c>
      <c r="Q3390" t="str">
        <f>IF(COUNTIF(Customers!$A$2:$A$1001,B3390)&gt;0,"Valid","Invalid")</f>
        <v>Valid</v>
      </c>
      <c r="R3390" t="str">
        <f>IF(COUNTIF(Branches!$A$2:$A$11,F3390)&gt;0,"Valid","Invalid")</f>
        <v>Valid</v>
      </c>
    </row>
    <row r="3391" spans="1:18" x14ac:dyDescent="0.25">
      <c r="A3391" t="s">
        <v>5462</v>
      </c>
      <c r="B3391" t="s">
        <v>800</v>
      </c>
      <c r="C3391" s="8">
        <v>46039</v>
      </c>
      <c r="D3391" t="s">
        <v>2058</v>
      </c>
      <c r="E3391" t="s">
        <v>2063</v>
      </c>
      <c r="F3391" t="s">
        <v>29</v>
      </c>
      <c r="G3391">
        <v>895.43</v>
      </c>
      <c r="H3391" t="s">
        <v>2060</v>
      </c>
      <c r="I3391" t="str">
        <f>VLOOKUP(B3391,Customers!A:G,7,FALSE)</f>
        <v>Individual</v>
      </c>
      <c r="Q3391" t="str">
        <f>IF(COUNTIF(Customers!$A$2:$A$1001,B3391)&gt;0,"Valid","Invalid")</f>
        <v>Valid</v>
      </c>
      <c r="R3391" t="str">
        <f>IF(COUNTIF(Branches!$A$2:$A$11,F3391)&gt;0,"Valid","Invalid")</f>
        <v>Valid</v>
      </c>
    </row>
    <row r="3392" spans="1:18" x14ac:dyDescent="0.25">
      <c r="A3392" t="s">
        <v>5463</v>
      </c>
      <c r="B3392" t="s">
        <v>434</v>
      </c>
      <c r="C3392" s="8">
        <v>46209</v>
      </c>
      <c r="D3392" t="s">
        <v>2062</v>
      </c>
      <c r="E3392" t="s">
        <v>2059</v>
      </c>
      <c r="F3392" t="s">
        <v>27</v>
      </c>
      <c r="G3392">
        <v>507.67</v>
      </c>
      <c r="H3392" t="s">
        <v>2060</v>
      </c>
      <c r="I3392" t="str">
        <f>VLOOKUP(B3392,Customers!A:G,7,FALSE)</f>
        <v>Individual</v>
      </c>
      <c r="Q3392" t="str">
        <f>IF(COUNTIF(Customers!$A$2:$A$1001,B3392)&gt;0,"Valid","Invalid")</f>
        <v>Valid</v>
      </c>
      <c r="R3392" t="str">
        <f>IF(COUNTIF(Branches!$A$2:$A$11,F3392)&gt;0,"Valid","Invalid")</f>
        <v>Valid</v>
      </c>
    </row>
    <row r="3393" spans="1:18" x14ac:dyDescent="0.25">
      <c r="A3393" t="s">
        <v>5464</v>
      </c>
      <c r="B3393" t="s">
        <v>484</v>
      </c>
      <c r="C3393" s="8">
        <v>46163</v>
      </c>
      <c r="D3393" t="s">
        <v>2062</v>
      </c>
      <c r="E3393" t="s">
        <v>2063</v>
      </c>
      <c r="F3393" t="s">
        <v>29</v>
      </c>
      <c r="G3393">
        <v>490.89</v>
      </c>
      <c r="H3393" t="s">
        <v>2060</v>
      </c>
      <c r="I3393" t="str">
        <f>VLOOKUP(B3393,Customers!A:G,7,FALSE)</f>
        <v>Student</v>
      </c>
      <c r="Q3393" t="str">
        <f>IF(COUNTIF(Customers!$A$2:$A$1001,B3393)&gt;0,"Valid","Invalid")</f>
        <v>Valid</v>
      </c>
      <c r="R3393" t="str">
        <f>IF(COUNTIF(Branches!$A$2:$A$11,F3393)&gt;0,"Valid","Invalid")</f>
        <v>Valid</v>
      </c>
    </row>
    <row r="3394" spans="1:18" x14ac:dyDescent="0.25">
      <c r="A3394" t="s">
        <v>5465</v>
      </c>
      <c r="B3394" t="s">
        <v>644</v>
      </c>
      <c r="C3394" s="8">
        <v>46074</v>
      </c>
      <c r="D3394" t="s">
        <v>2067</v>
      </c>
      <c r="E3394" t="s">
        <v>2063</v>
      </c>
      <c r="F3394" t="s">
        <v>47</v>
      </c>
      <c r="G3394">
        <v>2002.43</v>
      </c>
      <c r="H3394" t="s">
        <v>2060</v>
      </c>
      <c r="I3394" t="str">
        <f>VLOOKUP(B3394,Customers!A:G,7,FALSE)</f>
        <v>Individual</v>
      </c>
      <c r="Q3394" t="str">
        <f>IF(COUNTIF(Customers!$A$2:$A$1001,B3394)&gt;0,"Valid","Invalid")</f>
        <v>Valid</v>
      </c>
      <c r="R3394" t="str">
        <f>IF(COUNTIF(Branches!$A$2:$A$11,F3394)&gt;0,"Valid","Invalid")</f>
        <v>Valid</v>
      </c>
    </row>
    <row r="3395" spans="1:18" x14ac:dyDescent="0.25">
      <c r="A3395" t="s">
        <v>5466</v>
      </c>
      <c r="B3395" t="s">
        <v>257</v>
      </c>
      <c r="C3395" s="8">
        <v>46210</v>
      </c>
      <c r="D3395" t="s">
        <v>2065</v>
      </c>
      <c r="E3395" t="s">
        <v>2076</v>
      </c>
      <c r="F3395" t="s">
        <v>53</v>
      </c>
      <c r="G3395">
        <v>309.92</v>
      </c>
      <c r="H3395" t="s">
        <v>2060</v>
      </c>
      <c r="I3395" t="str">
        <f>VLOOKUP(B3395,Customers!A:G,7,FALSE)</f>
        <v>Corporate</v>
      </c>
      <c r="Q3395" t="str">
        <f>IF(COUNTIF(Customers!$A$2:$A$1001,B3395)&gt;0,"Valid","Invalid")</f>
        <v>Valid</v>
      </c>
      <c r="R3395" t="str">
        <f>IF(COUNTIF(Branches!$A$2:$A$11,F3395)&gt;0,"Valid","Invalid")</f>
        <v>Valid</v>
      </c>
    </row>
    <row r="3396" spans="1:18" x14ac:dyDescent="0.25">
      <c r="A3396" t="s">
        <v>5467</v>
      </c>
      <c r="B3396" t="s">
        <v>1025</v>
      </c>
      <c r="C3396" s="8">
        <v>46262</v>
      </c>
      <c r="D3396" t="s">
        <v>2067</v>
      </c>
      <c r="E3396" t="s">
        <v>2068</v>
      </c>
      <c r="F3396" t="s">
        <v>47</v>
      </c>
      <c r="G3396">
        <v>4083.76</v>
      </c>
      <c r="H3396" t="s">
        <v>2060</v>
      </c>
      <c r="I3396" t="str">
        <f>VLOOKUP(B3396,Customers!A:G,7,FALSE)</f>
        <v>Individual</v>
      </c>
      <c r="Q3396" t="str">
        <f>IF(COUNTIF(Customers!$A$2:$A$1001,B3396)&gt;0,"Valid","Invalid")</f>
        <v>Valid</v>
      </c>
      <c r="R3396" t="str">
        <f>IF(COUNTIF(Branches!$A$2:$A$11,F3396)&gt;0,"Valid","Invalid")</f>
        <v>Valid</v>
      </c>
    </row>
    <row r="3397" spans="1:18" x14ac:dyDescent="0.25">
      <c r="A3397" t="s">
        <v>5468</v>
      </c>
      <c r="B3397" t="s">
        <v>848</v>
      </c>
      <c r="C3397" s="8">
        <v>46192</v>
      </c>
      <c r="D3397" t="s">
        <v>2067</v>
      </c>
      <c r="E3397" t="s">
        <v>2063</v>
      </c>
      <c r="F3397" t="s">
        <v>53</v>
      </c>
      <c r="G3397">
        <v>698.04</v>
      </c>
      <c r="H3397" t="s">
        <v>2060</v>
      </c>
      <c r="I3397" t="str">
        <f>VLOOKUP(B3397,Customers!A:G,7,FALSE)</f>
        <v>Individual</v>
      </c>
      <c r="Q3397" t="str">
        <f>IF(COUNTIF(Customers!$A$2:$A$1001,B3397)&gt;0,"Valid","Invalid")</f>
        <v>Valid</v>
      </c>
      <c r="R3397" t="str">
        <f>IF(COUNTIF(Branches!$A$2:$A$11,F3397)&gt;0,"Valid","Invalid")</f>
        <v>Valid</v>
      </c>
    </row>
    <row r="3398" spans="1:18" x14ac:dyDescent="0.25">
      <c r="A3398" t="s">
        <v>5469</v>
      </c>
      <c r="B3398" t="s">
        <v>889</v>
      </c>
      <c r="C3398" s="8">
        <v>46241</v>
      </c>
      <c r="D3398" t="s">
        <v>2062</v>
      </c>
      <c r="E3398" t="s">
        <v>2059</v>
      </c>
      <c r="F3398" t="s">
        <v>11</v>
      </c>
      <c r="G3398">
        <v>14215.35</v>
      </c>
      <c r="H3398" t="s">
        <v>2060</v>
      </c>
      <c r="I3398" t="str">
        <f>VLOOKUP(B3398,Customers!A:G,7,FALSE)</f>
        <v>Corporate</v>
      </c>
      <c r="Q3398" t="str">
        <f>IF(COUNTIF(Customers!$A$2:$A$1001,B3398)&gt;0,"Valid","Invalid")</f>
        <v>Valid</v>
      </c>
      <c r="R3398" t="str">
        <f>IF(COUNTIF(Branches!$A$2:$A$11,F3398)&gt;0,"Valid","Invalid")</f>
        <v>Valid</v>
      </c>
    </row>
    <row r="3399" spans="1:18" x14ac:dyDescent="0.25">
      <c r="A3399" t="s">
        <v>5470</v>
      </c>
      <c r="B3399" t="s">
        <v>1003</v>
      </c>
      <c r="C3399" s="8">
        <v>46086</v>
      </c>
      <c r="D3399" t="s">
        <v>2065</v>
      </c>
      <c r="E3399" t="s">
        <v>2063</v>
      </c>
      <c r="F3399" t="s">
        <v>35</v>
      </c>
      <c r="G3399">
        <v>406.22</v>
      </c>
      <c r="H3399" t="s">
        <v>2060</v>
      </c>
      <c r="I3399" t="str">
        <f>VLOOKUP(B3399,Customers!A:G,7,FALSE)</f>
        <v>Individual</v>
      </c>
      <c r="Q3399" t="str">
        <f>IF(COUNTIF(Customers!$A$2:$A$1001,B3399)&gt;0,"Valid","Invalid")</f>
        <v>Valid</v>
      </c>
      <c r="R3399" t="str">
        <f>IF(COUNTIF(Branches!$A$2:$A$11,F3399)&gt;0,"Valid","Invalid")</f>
        <v>Valid</v>
      </c>
    </row>
    <row r="3400" spans="1:18" x14ac:dyDescent="0.25">
      <c r="A3400" t="s">
        <v>5471</v>
      </c>
      <c r="B3400" t="s">
        <v>480</v>
      </c>
      <c r="C3400" s="8">
        <v>46216</v>
      </c>
      <c r="D3400" t="s">
        <v>2067</v>
      </c>
      <c r="E3400" t="s">
        <v>2073</v>
      </c>
      <c r="F3400" t="s">
        <v>45</v>
      </c>
      <c r="G3400">
        <v>1043.3499999999999</v>
      </c>
      <c r="H3400" t="s">
        <v>2060</v>
      </c>
      <c r="I3400" t="str">
        <f>VLOOKUP(B3400,Customers!A:G,7,FALSE)</f>
        <v>SME</v>
      </c>
      <c r="Q3400" t="str">
        <f>IF(COUNTIF(Customers!$A$2:$A$1001,B3400)&gt;0,"Valid","Invalid")</f>
        <v>Valid</v>
      </c>
      <c r="R3400" t="str">
        <f>IF(COUNTIF(Branches!$A$2:$A$11,F3400)&gt;0,"Valid","Invalid")</f>
        <v>Valid</v>
      </c>
    </row>
    <row r="3401" spans="1:18" x14ac:dyDescent="0.25">
      <c r="A3401" t="s">
        <v>5472</v>
      </c>
      <c r="B3401" t="s">
        <v>683</v>
      </c>
      <c r="C3401" s="8">
        <v>46056</v>
      </c>
      <c r="D3401" t="s">
        <v>2062</v>
      </c>
      <c r="E3401" t="s">
        <v>2063</v>
      </c>
      <c r="F3401" t="s">
        <v>16</v>
      </c>
      <c r="G3401">
        <v>571.42999999999995</v>
      </c>
      <c r="H3401" t="s">
        <v>2060</v>
      </c>
      <c r="I3401" t="str">
        <f>VLOOKUP(B3401,Customers!A:G,7,FALSE)</f>
        <v>Individual</v>
      </c>
      <c r="Q3401" t="str">
        <f>IF(COUNTIF(Customers!$A$2:$A$1001,B3401)&gt;0,"Valid","Invalid")</f>
        <v>Valid</v>
      </c>
      <c r="R3401" t="str">
        <f>IF(COUNTIF(Branches!$A$2:$A$11,F3401)&gt;0,"Valid","Invalid")</f>
        <v>Valid</v>
      </c>
    </row>
    <row r="3402" spans="1:18" x14ac:dyDescent="0.25">
      <c r="A3402" t="s">
        <v>5473</v>
      </c>
      <c r="B3402" t="s">
        <v>911</v>
      </c>
      <c r="C3402" s="8">
        <v>46117</v>
      </c>
      <c r="D3402" t="s">
        <v>2058</v>
      </c>
      <c r="E3402" t="s">
        <v>2073</v>
      </c>
      <c r="F3402" t="s">
        <v>27</v>
      </c>
      <c r="G3402">
        <v>367.57</v>
      </c>
      <c r="H3402" t="s">
        <v>2060</v>
      </c>
      <c r="I3402" t="str">
        <f>VLOOKUP(B3402,Customers!A:G,7,FALSE)</f>
        <v>Individual</v>
      </c>
      <c r="Q3402" t="str">
        <f>IF(COUNTIF(Customers!$A$2:$A$1001,B3402)&gt;0,"Valid","Invalid")</f>
        <v>Valid</v>
      </c>
      <c r="R3402" t="str">
        <f>IF(COUNTIF(Branches!$A$2:$A$11,F3402)&gt;0,"Valid","Invalid")</f>
        <v>Valid</v>
      </c>
    </row>
    <row r="3403" spans="1:18" x14ac:dyDescent="0.25">
      <c r="A3403" t="s">
        <v>5474</v>
      </c>
      <c r="B3403" t="s">
        <v>705</v>
      </c>
      <c r="C3403" s="8">
        <v>46109</v>
      </c>
      <c r="D3403" t="s">
        <v>2062</v>
      </c>
      <c r="E3403" t="s">
        <v>2073</v>
      </c>
      <c r="F3403" t="s">
        <v>27</v>
      </c>
      <c r="G3403">
        <v>2353.83</v>
      </c>
      <c r="H3403" t="s">
        <v>2060</v>
      </c>
      <c r="I3403" t="str">
        <f>VLOOKUP(B3403,Customers!A:G,7,FALSE)</f>
        <v>SME</v>
      </c>
      <c r="Q3403" t="str">
        <f>IF(COUNTIF(Customers!$A$2:$A$1001,B3403)&gt;0,"Valid","Invalid")</f>
        <v>Valid</v>
      </c>
      <c r="R3403" t="str">
        <f>IF(COUNTIF(Branches!$A$2:$A$11,F3403)&gt;0,"Valid","Invalid")</f>
        <v>Valid</v>
      </c>
    </row>
    <row r="3404" spans="1:18" x14ac:dyDescent="0.25">
      <c r="A3404" t="s">
        <v>5475</v>
      </c>
      <c r="B3404" t="s">
        <v>62</v>
      </c>
      <c r="C3404" s="8">
        <v>46221</v>
      </c>
      <c r="D3404" t="s">
        <v>2062</v>
      </c>
      <c r="E3404" t="s">
        <v>2068</v>
      </c>
      <c r="F3404" t="s">
        <v>16</v>
      </c>
      <c r="G3404">
        <v>268.93</v>
      </c>
      <c r="H3404" t="s">
        <v>2115</v>
      </c>
      <c r="I3404" t="str">
        <f>VLOOKUP(B3404,Customers!A:G,7,FALSE)</f>
        <v>Individual</v>
      </c>
      <c r="Q3404" t="str">
        <f>IF(COUNTIF(Customers!$A$2:$A$1001,B3404)&gt;0,"Valid","Invalid")</f>
        <v>Valid</v>
      </c>
      <c r="R3404" t="str">
        <f>IF(COUNTIF(Branches!$A$2:$A$11,F3404)&gt;0,"Valid","Invalid")</f>
        <v>Valid</v>
      </c>
    </row>
    <row r="3405" spans="1:18" x14ac:dyDescent="0.25">
      <c r="A3405" t="s">
        <v>5476</v>
      </c>
      <c r="B3405" t="s">
        <v>832</v>
      </c>
      <c r="C3405" s="8">
        <v>46124</v>
      </c>
      <c r="D3405" t="s">
        <v>2062</v>
      </c>
      <c r="E3405" t="s">
        <v>2063</v>
      </c>
      <c r="F3405" t="s">
        <v>11</v>
      </c>
      <c r="G3405">
        <v>413.2</v>
      </c>
      <c r="H3405" t="s">
        <v>2060</v>
      </c>
      <c r="I3405" t="str">
        <f>VLOOKUP(B3405,Customers!A:G,7,FALSE)</f>
        <v>Individual</v>
      </c>
      <c r="Q3405" t="str">
        <f>IF(COUNTIF(Customers!$A$2:$A$1001,B3405)&gt;0,"Valid","Invalid")</f>
        <v>Valid</v>
      </c>
      <c r="R3405" t="str">
        <f>IF(COUNTIF(Branches!$A$2:$A$11,F3405)&gt;0,"Valid","Invalid")</f>
        <v>Valid</v>
      </c>
    </row>
    <row r="3406" spans="1:18" x14ac:dyDescent="0.25">
      <c r="A3406" t="s">
        <v>5477</v>
      </c>
      <c r="B3406" t="s">
        <v>513</v>
      </c>
      <c r="C3406" s="8">
        <v>46214</v>
      </c>
      <c r="D3406" t="s">
        <v>2058</v>
      </c>
      <c r="E3406" t="s">
        <v>2059</v>
      </c>
      <c r="F3406" t="s">
        <v>27</v>
      </c>
      <c r="G3406">
        <v>1460.19</v>
      </c>
      <c r="H3406" t="s">
        <v>2060</v>
      </c>
      <c r="I3406" t="str">
        <f>VLOOKUP(B3406,Customers!A:G,7,FALSE)</f>
        <v>Individual</v>
      </c>
      <c r="Q3406" t="str">
        <f>IF(COUNTIF(Customers!$A$2:$A$1001,B3406)&gt;0,"Valid","Invalid")</f>
        <v>Valid</v>
      </c>
      <c r="R3406" t="str">
        <f>IF(COUNTIF(Branches!$A$2:$A$11,F3406)&gt;0,"Valid","Invalid")</f>
        <v>Valid</v>
      </c>
    </row>
    <row r="3407" spans="1:18" x14ac:dyDescent="0.25">
      <c r="A3407" t="s">
        <v>5478</v>
      </c>
      <c r="B3407" t="s">
        <v>666</v>
      </c>
      <c r="C3407" s="8">
        <v>46183</v>
      </c>
      <c r="D3407" t="s">
        <v>2067</v>
      </c>
      <c r="E3407" t="s">
        <v>2063</v>
      </c>
      <c r="F3407" t="s">
        <v>11</v>
      </c>
      <c r="G3407">
        <v>1711.22</v>
      </c>
      <c r="H3407" t="s">
        <v>2115</v>
      </c>
      <c r="I3407" t="str">
        <f>VLOOKUP(B3407,Customers!A:G,7,FALSE)</f>
        <v>SME</v>
      </c>
      <c r="Q3407" t="str">
        <f>IF(COUNTIF(Customers!$A$2:$A$1001,B3407)&gt;0,"Valid","Invalid")</f>
        <v>Valid</v>
      </c>
      <c r="R3407" t="str">
        <f>IF(COUNTIF(Branches!$A$2:$A$11,F3407)&gt;0,"Valid","Invalid")</f>
        <v>Valid</v>
      </c>
    </row>
    <row r="3408" spans="1:18" x14ac:dyDescent="0.25">
      <c r="A3408" t="s">
        <v>5479</v>
      </c>
      <c r="B3408" t="s">
        <v>343</v>
      </c>
      <c r="C3408" s="8">
        <v>46162</v>
      </c>
      <c r="D3408" t="s">
        <v>2070</v>
      </c>
      <c r="E3408" t="s">
        <v>2068</v>
      </c>
      <c r="F3408" t="s">
        <v>27</v>
      </c>
      <c r="G3408">
        <v>201.97</v>
      </c>
      <c r="H3408" t="s">
        <v>2060</v>
      </c>
      <c r="I3408" t="str">
        <f>VLOOKUP(B3408,Customers!A:G,7,FALSE)</f>
        <v>SME</v>
      </c>
      <c r="Q3408" t="str">
        <f>IF(COUNTIF(Customers!$A$2:$A$1001,B3408)&gt;0,"Valid","Invalid")</f>
        <v>Valid</v>
      </c>
      <c r="R3408" t="str">
        <f>IF(COUNTIF(Branches!$A$2:$A$11,F3408)&gt;0,"Valid","Invalid")</f>
        <v>Valid</v>
      </c>
    </row>
    <row r="3409" spans="1:18" x14ac:dyDescent="0.25">
      <c r="A3409" t="s">
        <v>5480</v>
      </c>
      <c r="B3409" t="s">
        <v>784</v>
      </c>
      <c r="C3409" s="8">
        <v>46259</v>
      </c>
      <c r="D3409" t="s">
        <v>2058</v>
      </c>
      <c r="E3409" t="s">
        <v>2068</v>
      </c>
      <c r="F3409" t="s">
        <v>29</v>
      </c>
      <c r="G3409">
        <v>1453.42</v>
      </c>
      <c r="H3409" t="s">
        <v>2060</v>
      </c>
      <c r="I3409" t="str">
        <f>VLOOKUP(B3409,Customers!A:G,7,FALSE)</f>
        <v>SME</v>
      </c>
      <c r="Q3409" t="str">
        <f>IF(COUNTIF(Customers!$A$2:$A$1001,B3409)&gt;0,"Valid","Invalid")</f>
        <v>Valid</v>
      </c>
      <c r="R3409" t="str">
        <f>IF(COUNTIF(Branches!$A$2:$A$11,F3409)&gt;0,"Valid","Invalid")</f>
        <v>Valid</v>
      </c>
    </row>
    <row r="3410" spans="1:18" x14ac:dyDescent="0.25">
      <c r="A3410" t="s">
        <v>5481</v>
      </c>
      <c r="B3410" t="s">
        <v>443</v>
      </c>
      <c r="C3410" s="8">
        <v>46098</v>
      </c>
      <c r="D3410" t="s">
        <v>2065</v>
      </c>
      <c r="E3410" t="s">
        <v>2073</v>
      </c>
      <c r="F3410" t="s">
        <v>45</v>
      </c>
      <c r="G3410">
        <v>924.17</v>
      </c>
      <c r="H3410" t="s">
        <v>2060</v>
      </c>
      <c r="I3410" t="str">
        <f>VLOOKUP(B3410,Customers!A:G,7,FALSE)</f>
        <v>Individual</v>
      </c>
      <c r="Q3410" t="str">
        <f>IF(COUNTIF(Customers!$A$2:$A$1001,B3410)&gt;0,"Valid","Invalid")</f>
        <v>Valid</v>
      </c>
      <c r="R3410" t="str">
        <f>IF(COUNTIF(Branches!$A$2:$A$11,F3410)&gt;0,"Valid","Invalid")</f>
        <v>Valid</v>
      </c>
    </row>
    <row r="3411" spans="1:18" x14ac:dyDescent="0.25">
      <c r="A3411" t="s">
        <v>5482</v>
      </c>
      <c r="B3411" t="s">
        <v>551</v>
      </c>
      <c r="C3411" s="8">
        <v>46041</v>
      </c>
      <c r="D3411" t="s">
        <v>2067</v>
      </c>
      <c r="E3411" t="s">
        <v>2076</v>
      </c>
      <c r="F3411" t="s">
        <v>16</v>
      </c>
      <c r="G3411">
        <v>324.5</v>
      </c>
      <c r="H3411" t="s">
        <v>2060</v>
      </c>
      <c r="I3411" t="str">
        <f>VLOOKUP(B3411,Customers!A:G,7,FALSE)</f>
        <v>Student</v>
      </c>
      <c r="Q3411" t="str">
        <f>IF(COUNTIF(Customers!$A$2:$A$1001,B3411)&gt;0,"Valid","Invalid")</f>
        <v>Valid</v>
      </c>
      <c r="R3411" t="str">
        <f>IF(COUNTIF(Branches!$A$2:$A$11,F3411)&gt;0,"Valid","Invalid")</f>
        <v>Valid</v>
      </c>
    </row>
    <row r="3412" spans="1:18" x14ac:dyDescent="0.25">
      <c r="A3412" t="s">
        <v>5483</v>
      </c>
      <c r="B3412" t="s">
        <v>540</v>
      </c>
      <c r="C3412" s="8">
        <v>46159</v>
      </c>
      <c r="D3412" t="s">
        <v>2058</v>
      </c>
      <c r="E3412" t="s">
        <v>2059</v>
      </c>
      <c r="F3412" t="s">
        <v>29</v>
      </c>
      <c r="G3412">
        <v>369.12</v>
      </c>
      <c r="H3412" t="s">
        <v>2060</v>
      </c>
      <c r="I3412" t="str">
        <f>VLOOKUP(B3412,Customers!A:G,7,FALSE)</f>
        <v>Individual</v>
      </c>
      <c r="Q3412" t="str">
        <f>IF(COUNTIF(Customers!$A$2:$A$1001,B3412)&gt;0,"Valid","Invalid")</f>
        <v>Valid</v>
      </c>
      <c r="R3412" t="str">
        <f>IF(COUNTIF(Branches!$A$2:$A$11,F3412)&gt;0,"Valid","Invalid")</f>
        <v>Valid</v>
      </c>
    </row>
    <row r="3413" spans="1:18" x14ac:dyDescent="0.25">
      <c r="A3413" t="s">
        <v>5484</v>
      </c>
      <c r="B3413" t="s">
        <v>386</v>
      </c>
      <c r="C3413" s="8">
        <v>46096</v>
      </c>
      <c r="D3413" t="s">
        <v>2070</v>
      </c>
      <c r="E3413" t="s">
        <v>2059</v>
      </c>
      <c r="F3413" t="s">
        <v>45</v>
      </c>
      <c r="G3413">
        <v>106.33</v>
      </c>
      <c r="H3413" t="s">
        <v>2115</v>
      </c>
      <c r="I3413" t="str">
        <f>VLOOKUP(B3413,Customers!A:G,7,FALSE)</f>
        <v>SME</v>
      </c>
      <c r="Q3413" t="str">
        <f>IF(COUNTIF(Customers!$A$2:$A$1001,B3413)&gt;0,"Valid","Invalid")</f>
        <v>Valid</v>
      </c>
      <c r="R3413" t="str">
        <f>IF(COUNTIF(Branches!$A$2:$A$11,F3413)&gt;0,"Valid","Invalid")</f>
        <v>Valid</v>
      </c>
    </row>
    <row r="3414" spans="1:18" x14ac:dyDescent="0.25">
      <c r="A3414" t="s">
        <v>5485</v>
      </c>
      <c r="B3414" t="s">
        <v>278</v>
      </c>
      <c r="C3414" s="8">
        <v>46167</v>
      </c>
      <c r="D3414" t="s">
        <v>2065</v>
      </c>
      <c r="E3414" t="s">
        <v>2059</v>
      </c>
      <c r="F3414" t="s">
        <v>47</v>
      </c>
      <c r="G3414">
        <v>4525.32</v>
      </c>
      <c r="H3414" t="s">
        <v>2060</v>
      </c>
      <c r="I3414" t="str">
        <f>VLOOKUP(B3414,Customers!A:G,7,FALSE)</f>
        <v>Individual</v>
      </c>
      <c r="Q3414" t="str">
        <f>IF(COUNTIF(Customers!$A$2:$A$1001,B3414)&gt;0,"Valid","Invalid")</f>
        <v>Valid</v>
      </c>
      <c r="R3414" t="str">
        <f>IF(COUNTIF(Branches!$A$2:$A$11,F3414)&gt;0,"Valid","Invalid")</f>
        <v>Valid</v>
      </c>
    </row>
    <row r="3415" spans="1:18" x14ac:dyDescent="0.25">
      <c r="A3415" t="s">
        <v>5486</v>
      </c>
      <c r="B3415" t="s">
        <v>608</v>
      </c>
      <c r="C3415" s="8">
        <v>46072</v>
      </c>
      <c r="D3415" t="s">
        <v>2065</v>
      </c>
      <c r="E3415" t="s">
        <v>2059</v>
      </c>
      <c r="F3415" t="s">
        <v>47</v>
      </c>
      <c r="G3415">
        <v>2242.67</v>
      </c>
      <c r="H3415" t="s">
        <v>2060</v>
      </c>
      <c r="I3415" t="str">
        <f>VLOOKUP(B3415,Customers!A:G,7,FALSE)</f>
        <v>Individual</v>
      </c>
      <c r="Q3415" t="str">
        <f>IF(COUNTIF(Customers!$A$2:$A$1001,B3415)&gt;0,"Valid","Invalid")</f>
        <v>Valid</v>
      </c>
      <c r="R3415" t="str">
        <f>IF(COUNTIF(Branches!$A$2:$A$11,F3415)&gt;0,"Valid","Invalid")</f>
        <v>Valid</v>
      </c>
    </row>
    <row r="3416" spans="1:18" x14ac:dyDescent="0.25">
      <c r="A3416" t="s">
        <v>5487</v>
      </c>
      <c r="B3416" t="s">
        <v>885</v>
      </c>
      <c r="C3416" s="8">
        <v>46254</v>
      </c>
      <c r="D3416" t="s">
        <v>2062</v>
      </c>
      <c r="E3416" t="s">
        <v>2076</v>
      </c>
      <c r="F3416" t="s">
        <v>39</v>
      </c>
      <c r="G3416">
        <v>223.82</v>
      </c>
      <c r="H3416" t="s">
        <v>2060</v>
      </c>
      <c r="I3416" t="str">
        <f>VLOOKUP(B3416,Customers!A:G,7,FALSE)</f>
        <v>Individual</v>
      </c>
      <c r="Q3416" t="str">
        <f>IF(COUNTIF(Customers!$A$2:$A$1001,B3416)&gt;0,"Valid","Invalid")</f>
        <v>Valid</v>
      </c>
      <c r="R3416" t="str">
        <f>IF(COUNTIF(Branches!$A$2:$A$11,F3416)&gt;0,"Valid","Invalid")</f>
        <v>Valid</v>
      </c>
    </row>
    <row r="3417" spans="1:18" x14ac:dyDescent="0.25">
      <c r="A3417" t="s">
        <v>5488</v>
      </c>
      <c r="B3417" t="s">
        <v>733</v>
      </c>
      <c r="C3417" s="8">
        <v>46061</v>
      </c>
      <c r="D3417" t="s">
        <v>2062</v>
      </c>
      <c r="E3417" t="s">
        <v>2073</v>
      </c>
      <c r="F3417" t="s">
        <v>29</v>
      </c>
      <c r="G3417">
        <v>1806.07</v>
      </c>
      <c r="H3417" t="s">
        <v>2060</v>
      </c>
      <c r="I3417" t="str">
        <f>VLOOKUP(B3417,Customers!A:G,7,FALSE)</f>
        <v>Individual</v>
      </c>
      <c r="Q3417" t="str">
        <f>IF(COUNTIF(Customers!$A$2:$A$1001,B3417)&gt;0,"Valid","Invalid")</f>
        <v>Valid</v>
      </c>
      <c r="R3417" t="str">
        <f>IF(COUNTIF(Branches!$A$2:$A$11,F3417)&gt;0,"Valid","Invalid")</f>
        <v>Valid</v>
      </c>
    </row>
    <row r="3418" spans="1:18" x14ac:dyDescent="0.25">
      <c r="A3418" t="s">
        <v>5489</v>
      </c>
      <c r="B3418" t="s">
        <v>375</v>
      </c>
      <c r="C3418" s="8">
        <v>46191</v>
      </c>
      <c r="D3418" t="s">
        <v>2065</v>
      </c>
      <c r="E3418" t="s">
        <v>2076</v>
      </c>
      <c r="F3418" t="s">
        <v>53</v>
      </c>
      <c r="G3418">
        <v>457.59</v>
      </c>
      <c r="H3418" t="s">
        <v>2060</v>
      </c>
      <c r="I3418" t="str">
        <f>VLOOKUP(B3418,Customers!A:G,7,FALSE)</f>
        <v>SME</v>
      </c>
      <c r="Q3418" t="str">
        <f>IF(COUNTIF(Customers!$A$2:$A$1001,B3418)&gt;0,"Valid","Invalid")</f>
        <v>Valid</v>
      </c>
      <c r="R3418" t="str">
        <f>IF(COUNTIF(Branches!$A$2:$A$11,F3418)&gt;0,"Valid","Invalid")</f>
        <v>Valid</v>
      </c>
    </row>
    <row r="3419" spans="1:18" x14ac:dyDescent="0.25">
      <c r="A3419" t="s">
        <v>5490</v>
      </c>
      <c r="B3419" t="s">
        <v>60</v>
      </c>
      <c r="C3419" s="8">
        <v>46160</v>
      </c>
      <c r="D3419" t="s">
        <v>2067</v>
      </c>
      <c r="E3419" t="s">
        <v>2068</v>
      </c>
      <c r="F3419" t="s">
        <v>29</v>
      </c>
      <c r="G3419">
        <v>2028.01</v>
      </c>
      <c r="H3419" t="s">
        <v>2060</v>
      </c>
      <c r="I3419" t="str">
        <f>VLOOKUP(B3419,Customers!A:G,7,FALSE)</f>
        <v>Student</v>
      </c>
      <c r="Q3419" t="str">
        <f>IF(COUNTIF(Customers!$A$2:$A$1001,B3419)&gt;0,"Valid","Invalid")</f>
        <v>Valid</v>
      </c>
      <c r="R3419" t="str">
        <f>IF(COUNTIF(Branches!$A$2:$A$11,F3419)&gt;0,"Valid","Invalid")</f>
        <v>Valid</v>
      </c>
    </row>
    <row r="3420" spans="1:18" x14ac:dyDescent="0.25">
      <c r="A3420" t="s">
        <v>5491</v>
      </c>
      <c r="B3420" t="s">
        <v>1018</v>
      </c>
      <c r="C3420" s="8">
        <v>46034</v>
      </c>
      <c r="D3420" t="s">
        <v>2058</v>
      </c>
      <c r="E3420" t="s">
        <v>2068</v>
      </c>
      <c r="F3420" t="s">
        <v>27</v>
      </c>
      <c r="G3420">
        <v>494.69</v>
      </c>
      <c r="H3420" t="s">
        <v>2060</v>
      </c>
      <c r="I3420" t="str">
        <f>VLOOKUP(B3420,Customers!A:G,7,FALSE)</f>
        <v>Individual</v>
      </c>
      <c r="Q3420" t="str">
        <f>IF(COUNTIF(Customers!$A$2:$A$1001,B3420)&gt;0,"Valid","Invalid")</f>
        <v>Valid</v>
      </c>
      <c r="R3420" t="str">
        <f>IF(COUNTIF(Branches!$A$2:$A$11,F3420)&gt;0,"Valid","Invalid")</f>
        <v>Valid</v>
      </c>
    </row>
    <row r="3421" spans="1:18" x14ac:dyDescent="0.25">
      <c r="A3421" t="s">
        <v>5492</v>
      </c>
      <c r="B3421" t="s">
        <v>447</v>
      </c>
      <c r="C3421" s="8">
        <v>46101</v>
      </c>
      <c r="D3421" t="s">
        <v>2067</v>
      </c>
      <c r="E3421" t="s">
        <v>2059</v>
      </c>
      <c r="F3421" t="s">
        <v>53</v>
      </c>
      <c r="G3421">
        <v>564.9</v>
      </c>
      <c r="H3421" t="s">
        <v>2060</v>
      </c>
      <c r="I3421" t="str">
        <f>VLOOKUP(B3421,Customers!A:G,7,FALSE)</f>
        <v>Individual</v>
      </c>
      <c r="Q3421" t="str">
        <f>IF(COUNTIF(Customers!$A$2:$A$1001,B3421)&gt;0,"Valid","Invalid")</f>
        <v>Valid</v>
      </c>
      <c r="R3421" t="str">
        <f>IF(COUNTIF(Branches!$A$2:$A$11,F3421)&gt;0,"Valid","Invalid")</f>
        <v>Valid</v>
      </c>
    </row>
    <row r="3422" spans="1:18" x14ac:dyDescent="0.25">
      <c r="A3422" t="s">
        <v>5493</v>
      </c>
      <c r="B3422" t="s">
        <v>113</v>
      </c>
      <c r="C3422" s="8">
        <v>46245</v>
      </c>
      <c r="D3422" t="s">
        <v>2062</v>
      </c>
      <c r="E3422" t="s">
        <v>2059</v>
      </c>
      <c r="F3422" t="s">
        <v>35</v>
      </c>
      <c r="G3422">
        <v>608.9</v>
      </c>
      <c r="H3422" t="s">
        <v>2060</v>
      </c>
      <c r="I3422" t="str">
        <f>VLOOKUP(B3422,Customers!A:G,7,FALSE)</f>
        <v>Individual</v>
      </c>
      <c r="Q3422" t="str">
        <f>IF(COUNTIF(Customers!$A$2:$A$1001,B3422)&gt;0,"Valid","Invalid")</f>
        <v>Valid</v>
      </c>
      <c r="R3422" t="str">
        <f>IF(COUNTIF(Branches!$A$2:$A$11,F3422)&gt;0,"Valid","Invalid")</f>
        <v>Valid</v>
      </c>
    </row>
    <row r="3423" spans="1:18" x14ac:dyDescent="0.25">
      <c r="A3423" t="s">
        <v>5494</v>
      </c>
      <c r="B3423" t="s">
        <v>967</v>
      </c>
      <c r="C3423" s="8">
        <v>46037</v>
      </c>
      <c r="D3423" t="s">
        <v>2065</v>
      </c>
      <c r="E3423" t="s">
        <v>2076</v>
      </c>
      <c r="F3423" t="s">
        <v>21</v>
      </c>
      <c r="G3423">
        <v>421</v>
      </c>
      <c r="H3423" t="s">
        <v>2060</v>
      </c>
      <c r="I3423" t="str">
        <f>VLOOKUP(B3423,Customers!A:G,7,FALSE)</f>
        <v>Individual</v>
      </c>
      <c r="Q3423" t="str">
        <f>IF(COUNTIF(Customers!$A$2:$A$1001,B3423)&gt;0,"Valid","Invalid")</f>
        <v>Valid</v>
      </c>
      <c r="R3423" t="str">
        <f>IF(COUNTIF(Branches!$A$2:$A$11,F3423)&gt;0,"Valid","Invalid")</f>
        <v>Valid</v>
      </c>
    </row>
    <row r="3424" spans="1:18" x14ac:dyDescent="0.25">
      <c r="A3424" t="s">
        <v>5495</v>
      </c>
      <c r="B3424" t="s">
        <v>254</v>
      </c>
      <c r="C3424" s="8">
        <v>46050</v>
      </c>
      <c r="D3424" t="s">
        <v>2065</v>
      </c>
      <c r="E3424" t="s">
        <v>2059</v>
      </c>
      <c r="F3424" t="s">
        <v>29</v>
      </c>
      <c r="G3424">
        <v>3292.07</v>
      </c>
      <c r="H3424" t="s">
        <v>2060</v>
      </c>
      <c r="I3424" t="str">
        <f>VLOOKUP(B3424,Customers!A:G,7,FALSE)</f>
        <v>Individual</v>
      </c>
      <c r="Q3424" t="str">
        <f>IF(COUNTIF(Customers!$A$2:$A$1001,B3424)&gt;0,"Valid","Invalid")</f>
        <v>Valid</v>
      </c>
      <c r="R3424" t="str">
        <f>IF(COUNTIF(Branches!$A$2:$A$11,F3424)&gt;0,"Valid","Invalid")</f>
        <v>Valid</v>
      </c>
    </row>
    <row r="3425" spans="1:18" x14ac:dyDescent="0.25">
      <c r="A3425" t="s">
        <v>5496</v>
      </c>
      <c r="B3425" t="s">
        <v>366</v>
      </c>
      <c r="C3425" s="8">
        <v>46154</v>
      </c>
      <c r="D3425" t="s">
        <v>2065</v>
      </c>
      <c r="E3425" t="s">
        <v>2063</v>
      </c>
      <c r="F3425" t="s">
        <v>11</v>
      </c>
      <c r="G3425">
        <v>1995.25</v>
      </c>
      <c r="H3425" t="s">
        <v>2060</v>
      </c>
      <c r="I3425" t="str">
        <f>VLOOKUP(B3425,Customers!A:G,7,FALSE)</f>
        <v>Corporate</v>
      </c>
      <c r="Q3425" t="str">
        <f>IF(COUNTIF(Customers!$A$2:$A$1001,B3425)&gt;0,"Valid","Invalid")</f>
        <v>Valid</v>
      </c>
      <c r="R3425" t="str">
        <f>IF(COUNTIF(Branches!$A$2:$A$11,F3425)&gt;0,"Valid","Invalid")</f>
        <v>Valid</v>
      </c>
    </row>
    <row r="3426" spans="1:18" x14ac:dyDescent="0.25">
      <c r="A3426" t="s">
        <v>5497</v>
      </c>
      <c r="B3426" t="s">
        <v>875</v>
      </c>
      <c r="C3426" s="8">
        <v>46058</v>
      </c>
      <c r="D3426" t="s">
        <v>2067</v>
      </c>
      <c r="E3426" t="s">
        <v>2059</v>
      </c>
      <c r="F3426" t="s">
        <v>16</v>
      </c>
      <c r="G3426">
        <v>906.82</v>
      </c>
      <c r="H3426" t="s">
        <v>2060</v>
      </c>
      <c r="I3426" t="str">
        <f>VLOOKUP(B3426,Customers!A:G,7,FALSE)</f>
        <v>Student</v>
      </c>
      <c r="Q3426" t="str">
        <f>IF(COUNTIF(Customers!$A$2:$A$1001,B3426)&gt;0,"Valid","Invalid")</f>
        <v>Valid</v>
      </c>
      <c r="R3426" t="str">
        <f>IF(COUNTIF(Branches!$A$2:$A$11,F3426)&gt;0,"Valid","Invalid")</f>
        <v>Valid</v>
      </c>
    </row>
    <row r="3427" spans="1:18" x14ac:dyDescent="0.25">
      <c r="A3427" t="s">
        <v>5498</v>
      </c>
      <c r="B3427" t="s">
        <v>812</v>
      </c>
      <c r="C3427" s="8">
        <v>46141</v>
      </c>
      <c r="D3427" t="s">
        <v>2065</v>
      </c>
      <c r="E3427" t="s">
        <v>2073</v>
      </c>
      <c r="F3427" t="s">
        <v>21</v>
      </c>
      <c r="G3427">
        <v>2263.2800000000002</v>
      </c>
      <c r="H3427" t="s">
        <v>2060</v>
      </c>
      <c r="I3427" t="str">
        <f>VLOOKUP(B3427,Customers!A:G,7,FALSE)</f>
        <v>Individual</v>
      </c>
      <c r="Q3427" t="str">
        <f>IF(COUNTIF(Customers!$A$2:$A$1001,B3427)&gt;0,"Valid","Invalid")</f>
        <v>Valid</v>
      </c>
      <c r="R3427" t="str">
        <f>IF(COUNTIF(Branches!$A$2:$A$11,F3427)&gt;0,"Valid","Invalid")</f>
        <v>Valid</v>
      </c>
    </row>
    <row r="3428" spans="1:18" x14ac:dyDescent="0.25">
      <c r="A3428" t="s">
        <v>5499</v>
      </c>
      <c r="B3428" t="s">
        <v>57</v>
      </c>
      <c r="C3428" s="8">
        <v>46087</v>
      </c>
      <c r="D3428" t="s">
        <v>2065</v>
      </c>
      <c r="E3428" t="s">
        <v>2063</v>
      </c>
      <c r="F3428" t="s">
        <v>27</v>
      </c>
      <c r="G3428">
        <v>159.63999999999999</v>
      </c>
      <c r="H3428" t="s">
        <v>2060</v>
      </c>
      <c r="I3428" t="str">
        <f>VLOOKUP(B3428,Customers!A:G,7,FALSE)</f>
        <v>SME</v>
      </c>
      <c r="Q3428" t="str">
        <f>IF(COUNTIF(Customers!$A$2:$A$1001,B3428)&gt;0,"Valid","Invalid")</f>
        <v>Valid</v>
      </c>
      <c r="R3428" t="str">
        <f>IF(COUNTIF(Branches!$A$2:$A$11,F3428)&gt;0,"Valid","Invalid")</f>
        <v>Valid</v>
      </c>
    </row>
    <row r="3429" spans="1:18" x14ac:dyDescent="0.25">
      <c r="A3429" t="s">
        <v>5500</v>
      </c>
      <c r="B3429" t="s">
        <v>794</v>
      </c>
      <c r="C3429" s="8">
        <v>46258</v>
      </c>
      <c r="D3429" t="s">
        <v>2062</v>
      </c>
      <c r="E3429" t="s">
        <v>2076</v>
      </c>
      <c r="F3429" t="s">
        <v>27</v>
      </c>
      <c r="G3429">
        <v>237.83</v>
      </c>
      <c r="H3429" t="s">
        <v>2060</v>
      </c>
      <c r="I3429" t="str">
        <f>VLOOKUP(B3429,Customers!A:G,7,FALSE)</f>
        <v>Corporate</v>
      </c>
      <c r="Q3429" t="str">
        <f>IF(COUNTIF(Customers!$A$2:$A$1001,B3429)&gt;0,"Valid","Invalid")</f>
        <v>Valid</v>
      </c>
      <c r="R3429" t="str">
        <f>IF(COUNTIF(Branches!$A$2:$A$11,F3429)&gt;0,"Valid","Invalid")</f>
        <v>Valid</v>
      </c>
    </row>
    <row r="3430" spans="1:18" x14ac:dyDescent="0.25">
      <c r="A3430" t="s">
        <v>5501</v>
      </c>
      <c r="B3430" t="s">
        <v>708</v>
      </c>
      <c r="C3430" s="8">
        <v>46120</v>
      </c>
      <c r="D3430" t="s">
        <v>2065</v>
      </c>
      <c r="E3430" t="s">
        <v>2068</v>
      </c>
      <c r="F3430" t="s">
        <v>11</v>
      </c>
      <c r="G3430">
        <v>1305.78</v>
      </c>
      <c r="H3430" t="s">
        <v>2060</v>
      </c>
      <c r="I3430" t="str">
        <f>VLOOKUP(B3430,Customers!A:G,7,FALSE)</f>
        <v>Student</v>
      </c>
      <c r="Q3430" t="str">
        <f>IF(COUNTIF(Customers!$A$2:$A$1001,B3430)&gt;0,"Valid","Invalid")</f>
        <v>Valid</v>
      </c>
      <c r="R3430" t="str">
        <f>IF(COUNTIF(Branches!$A$2:$A$11,F3430)&gt;0,"Valid","Invalid")</f>
        <v>Valid</v>
      </c>
    </row>
    <row r="3431" spans="1:18" x14ac:dyDescent="0.25">
      <c r="A3431" t="s">
        <v>5502</v>
      </c>
      <c r="B3431" t="s">
        <v>756</v>
      </c>
      <c r="C3431" s="8">
        <v>46069</v>
      </c>
      <c r="D3431" t="s">
        <v>2062</v>
      </c>
      <c r="E3431" t="s">
        <v>2076</v>
      </c>
      <c r="F3431" t="s">
        <v>27</v>
      </c>
      <c r="G3431">
        <v>1695.17</v>
      </c>
      <c r="H3431" t="s">
        <v>2060</v>
      </c>
      <c r="I3431" t="str">
        <f>VLOOKUP(B3431,Customers!A:G,7,FALSE)</f>
        <v>Individual</v>
      </c>
      <c r="Q3431" t="str">
        <f>IF(COUNTIF(Customers!$A$2:$A$1001,B3431)&gt;0,"Valid","Invalid")</f>
        <v>Valid</v>
      </c>
      <c r="R3431" t="str">
        <f>IF(COUNTIF(Branches!$A$2:$A$11,F3431)&gt;0,"Valid","Invalid")</f>
        <v>Valid</v>
      </c>
    </row>
    <row r="3432" spans="1:18" x14ac:dyDescent="0.25">
      <c r="A3432" t="s">
        <v>5503</v>
      </c>
      <c r="B3432" t="s">
        <v>348</v>
      </c>
      <c r="C3432" s="8">
        <v>46103</v>
      </c>
      <c r="D3432" t="s">
        <v>2067</v>
      </c>
      <c r="E3432" t="s">
        <v>2059</v>
      </c>
      <c r="F3432" t="s">
        <v>21</v>
      </c>
      <c r="G3432">
        <v>1074.28</v>
      </c>
      <c r="H3432" t="s">
        <v>2060</v>
      </c>
      <c r="I3432" t="str">
        <f>VLOOKUP(B3432,Customers!A:G,7,FALSE)</f>
        <v>Individual</v>
      </c>
      <c r="Q3432" t="str">
        <f>IF(COUNTIF(Customers!$A$2:$A$1001,B3432)&gt;0,"Valid","Invalid")</f>
        <v>Valid</v>
      </c>
      <c r="R3432" t="str">
        <f>IF(COUNTIF(Branches!$A$2:$A$11,F3432)&gt;0,"Valid","Invalid")</f>
        <v>Valid</v>
      </c>
    </row>
    <row r="3433" spans="1:18" x14ac:dyDescent="0.25">
      <c r="A3433" t="s">
        <v>5504</v>
      </c>
      <c r="B3433" t="s">
        <v>637</v>
      </c>
      <c r="C3433" s="8">
        <v>46061</v>
      </c>
      <c r="D3433" t="s">
        <v>2058</v>
      </c>
      <c r="E3433" t="s">
        <v>2076</v>
      </c>
      <c r="F3433" t="s">
        <v>29</v>
      </c>
      <c r="G3433">
        <v>123.63</v>
      </c>
      <c r="H3433" t="s">
        <v>2060</v>
      </c>
      <c r="I3433" t="str">
        <f>VLOOKUP(B3433,Customers!A:G,7,FALSE)</f>
        <v>Individual</v>
      </c>
      <c r="Q3433" t="str">
        <f>IF(COUNTIF(Customers!$A$2:$A$1001,B3433)&gt;0,"Valid","Invalid")</f>
        <v>Valid</v>
      </c>
      <c r="R3433" t="str">
        <f>IF(COUNTIF(Branches!$A$2:$A$11,F3433)&gt;0,"Valid","Invalid")</f>
        <v>Valid</v>
      </c>
    </row>
    <row r="3434" spans="1:18" x14ac:dyDescent="0.25">
      <c r="A3434" t="s">
        <v>5505</v>
      </c>
      <c r="B3434" t="s">
        <v>305</v>
      </c>
      <c r="C3434" s="8">
        <v>46060</v>
      </c>
      <c r="D3434" t="s">
        <v>2065</v>
      </c>
      <c r="E3434" t="s">
        <v>2059</v>
      </c>
      <c r="F3434" t="s">
        <v>16</v>
      </c>
      <c r="G3434">
        <v>280.81</v>
      </c>
      <c r="H3434" t="s">
        <v>2060</v>
      </c>
      <c r="I3434" t="str">
        <f>VLOOKUP(B3434,Customers!A:G,7,FALSE)</f>
        <v>Individual</v>
      </c>
      <c r="Q3434" t="str">
        <f>IF(COUNTIF(Customers!$A$2:$A$1001,B3434)&gt;0,"Valid","Invalid")</f>
        <v>Valid</v>
      </c>
      <c r="R3434" t="str">
        <f>IF(COUNTIF(Branches!$A$2:$A$11,F3434)&gt;0,"Valid","Invalid")</f>
        <v>Valid</v>
      </c>
    </row>
    <row r="3435" spans="1:18" x14ac:dyDescent="0.25">
      <c r="A3435" t="s">
        <v>5506</v>
      </c>
      <c r="B3435" t="s">
        <v>453</v>
      </c>
      <c r="C3435" s="8">
        <v>46066</v>
      </c>
      <c r="D3435" t="s">
        <v>2065</v>
      </c>
      <c r="E3435" t="s">
        <v>2063</v>
      </c>
      <c r="F3435" t="s">
        <v>47</v>
      </c>
      <c r="G3435">
        <v>1232.24</v>
      </c>
      <c r="H3435" t="s">
        <v>2060</v>
      </c>
      <c r="I3435" t="str">
        <f>VLOOKUP(B3435,Customers!A:G,7,FALSE)</f>
        <v>Student</v>
      </c>
      <c r="Q3435" t="str">
        <f>IF(COUNTIF(Customers!$A$2:$A$1001,B3435)&gt;0,"Valid","Invalid")</f>
        <v>Valid</v>
      </c>
      <c r="R3435" t="str">
        <f>IF(COUNTIF(Branches!$A$2:$A$11,F3435)&gt;0,"Valid","Invalid")</f>
        <v>Valid</v>
      </c>
    </row>
    <row r="3436" spans="1:18" x14ac:dyDescent="0.25">
      <c r="A3436" t="s">
        <v>5507</v>
      </c>
      <c r="B3436" t="s">
        <v>684</v>
      </c>
      <c r="C3436" s="8">
        <v>46201</v>
      </c>
      <c r="D3436" t="s">
        <v>2058</v>
      </c>
      <c r="E3436" t="s">
        <v>2073</v>
      </c>
      <c r="F3436" t="s">
        <v>53</v>
      </c>
      <c r="G3436">
        <v>9195.5300000000007</v>
      </c>
      <c r="H3436" t="s">
        <v>2060</v>
      </c>
      <c r="I3436" t="str">
        <f>VLOOKUP(B3436,Customers!A:G,7,FALSE)</f>
        <v>Student</v>
      </c>
      <c r="Q3436" t="str">
        <f>IF(COUNTIF(Customers!$A$2:$A$1001,B3436)&gt;0,"Valid","Invalid")</f>
        <v>Valid</v>
      </c>
      <c r="R3436" t="str">
        <f>IF(COUNTIF(Branches!$A$2:$A$11,F3436)&gt;0,"Valid","Invalid")</f>
        <v>Valid</v>
      </c>
    </row>
    <row r="3437" spans="1:18" x14ac:dyDescent="0.25">
      <c r="A3437" t="s">
        <v>5508</v>
      </c>
      <c r="B3437" t="s">
        <v>305</v>
      </c>
      <c r="C3437" s="8">
        <v>46119</v>
      </c>
      <c r="D3437" t="s">
        <v>2058</v>
      </c>
      <c r="E3437" t="s">
        <v>2059</v>
      </c>
      <c r="F3437" t="s">
        <v>29</v>
      </c>
      <c r="G3437">
        <v>2746.03</v>
      </c>
      <c r="H3437" t="s">
        <v>2060</v>
      </c>
      <c r="I3437" t="str">
        <f>VLOOKUP(B3437,Customers!A:G,7,FALSE)</f>
        <v>Individual</v>
      </c>
      <c r="Q3437" t="str">
        <f>IF(COUNTIF(Customers!$A$2:$A$1001,B3437)&gt;0,"Valid","Invalid")</f>
        <v>Valid</v>
      </c>
      <c r="R3437" t="str">
        <f>IF(COUNTIF(Branches!$A$2:$A$11,F3437)&gt;0,"Valid","Invalid")</f>
        <v>Valid</v>
      </c>
    </row>
    <row r="3438" spans="1:18" x14ac:dyDescent="0.25">
      <c r="A3438" t="s">
        <v>5509</v>
      </c>
      <c r="B3438" t="s">
        <v>371</v>
      </c>
      <c r="C3438" s="8">
        <v>46146</v>
      </c>
      <c r="D3438" t="s">
        <v>2062</v>
      </c>
      <c r="E3438" t="s">
        <v>2076</v>
      </c>
      <c r="F3438" t="s">
        <v>27</v>
      </c>
      <c r="G3438">
        <v>3933.58</v>
      </c>
      <c r="H3438" t="s">
        <v>2060</v>
      </c>
      <c r="I3438" t="str">
        <f>VLOOKUP(B3438,Customers!A:G,7,FALSE)</f>
        <v>Individual</v>
      </c>
      <c r="Q3438" t="str">
        <f>IF(COUNTIF(Customers!$A$2:$A$1001,B3438)&gt;0,"Valid","Invalid")</f>
        <v>Valid</v>
      </c>
      <c r="R3438" t="str">
        <f>IF(COUNTIF(Branches!$A$2:$A$11,F3438)&gt;0,"Valid","Invalid")</f>
        <v>Valid</v>
      </c>
    </row>
    <row r="3439" spans="1:18" x14ac:dyDescent="0.25">
      <c r="A3439" t="s">
        <v>5510</v>
      </c>
      <c r="B3439" t="s">
        <v>818</v>
      </c>
      <c r="C3439" s="8">
        <v>46235</v>
      </c>
      <c r="D3439" t="s">
        <v>2062</v>
      </c>
      <c r="E3439" t="s">
        <v>2059</v>
      </c>
      <c r="F3439" t="s">
        <v>11</v>
      </c>
      <c r="G3439">
        <v>1141.07</v>
      </c>
      <c r="H3439" t="s">
        <v>2060</v>
      </c>
      <c r="I3439" t="str">
        <f>VLOOKUP(B3439,Customers!A:G,7,FALSE)</f>
        <v>Corporate</v>
      </c>
      <c r="Q3439" t="str">
        <f>IF(COUNTIF(Customers!$A$2:$A$1001,B3439)&gt;0,"Valid","Invalid")</f>
        <v>Valid</v>
      </c>
      <c r="R3439" t="str">
        <f>IF(COUNTIF(Branches!$A$2:$A$11,F3439)&gt;0,"Valid","Invalid")</f>
        <v>Valid</v>
      </c>
    </row>
    <row r="3440" spans="1:18" x14ac:dyDescent="0.25">
      <c r="A3440" t="s">
        <v>5511</v>
      </c>
      <c r="B3440" t="s">
        <v>488</v>
      </c>
      <c r="C3440" s="8">
        <v>46048</v>
      </c>
      <c r="D3440" t="s">
        <v>2058</v>
      </c>
      <c r="E3440" t="s">
        <v>2063</v>
      </c>
      <c r="F3440" t="s">
        <v>47</v>
      </c>
      <c r="G3440">
        <v>1132.8499999999999</v>
      </c>
      <c r="H3440" t="s">
        <v>2060</v>
      </c>
      <c r="I3440" t="str">
        <f>VLOOKUP(B3440,Customers!A:G,7,FALSE)</f>
        <v>SME</v>
      </c>
      <c r="Q3440" t="str">
        <f>IF(COUNTIF(Customers!$A$2:$A$1001,B3440)&gt;0,"Valid","Invalid")</f>
        <v>Valid</v>
      </c>
      <c r="R3440" t="str">
        <f>IF(COUNTIF(Branches!$A$2:$A$11,F3440)&gt;0,"Valid","Invalid")</f>
        <v>Valid</v>
      </c>
    </row>
    <row r="3441" spans="1:18" x14ac:dyDescent="0.25">
      <c r="A3441" t="s">
        <v>5512</v>
      </c>
      <c r="B3441" t="s">
        <v>603</v>
      </c>
      <c r="C3441" s="8">
        <v>46260</v>
      </c>
      <c r="D3441" t="s">
        <v>2067</v>
      </c>
      <c r="E3441" t="s">
        <v>2073</v>
      </c>
      <c r="F3441" t="s">
        <v>16</v>
      </c>
      <c r="G3441">
        <v>289.02999999999997</v>
      </c>
      <c r="H3441" t="s">
        <v>2060</v>
      </c>
      <c r="I3441" t="str">
        <f>VLOOKUP(B3441,Customers!A:G,7,FALSE)</f>
        <v>Individual</v>
      </c>
      <c r="Q3441" t="str">
        <f>IF(COUNTIF(Customers!$A$2:$A$1001,B3441)&gt;0,"Valid","Invalid")</f>
        <v>Valid</v>
      </c>
      <c r="R3441" t="str">
        <f>IF(COUNTIF(Branches!$A$2:$A$11,F3441)&gt;0,"Valid","Invalid")</f>
        <v>Valid</v>
      </c>
    </row>
    <row r="3442" spans="1:18" x14ac:dyDescent="0.25">
      <c r="A3442" t="s">
        <v>5513</v>
      </c>
      <c r="B3442" t="s">
        <v>649</v>
      </c>
      <c r="C3442" s="8">
        <v>46186</v>
      </c>
      <c r="D3442" t="s">
        <v>2062</v>
      </c>
      <c r="E3442" t="s">
        <v>2068</v>
      </c>
      <c r="F3442" t="s">
        <v>53</v>
      </c>
      <c r="G3442">
        <v>2104.48</v>
      </c>
      <c r="H3442" t="s">
        <v>2060</v>
      </c>
      <c r="I3442" t="str">
        <f>VLOOKUP(B3442,Customers!A:G,7,FALSE)</f>
        <v>Individual</v>
      </c>
      <c r="Q3442" t="str">
        <f>IF(COUNTIF(Customers!$A$2:$A$1001,B3442)&gt;0,"Valid","Invalid")</f>
        <v>Valid</v>
      </c>
      <c r="R3442" t="str">
        <f>IF(COUNTIF(Branches!$A$2:$A$11,F3442)&gt;0,"Valid","Invalid")</f>
        <v>Valid</v>
      </c>
    </row>
    <row r="3443" spans="1:18" x14ac:dyDescent="0.25">
      <c r="A3443" t="s">
        <v>5514</v>
      </c>
      <c r="B3443" t="s">
        <v>285</v>
      </c>
      <c r="C3443" s="8">
        <v>46219</v>
      </c>
      <c r="D3443" t="s">
        <v>2058</v>
      </c>
      <c r="E3443" t="s">
        <v>2063</v>
      </c>
      <c r="F3443" t="s">
        <v>53</v>
      </c>
      <c r="G3443">
        <v>755.08</v>
      </c>
      <c r="H3443" t="s">
        <v>2060</v>
      </c>
      <c r="I3443" t="str">
        <f>VLOOKUP(B3443,Customers!A:G,7,FALSE)</f>
        <v>Individual</v>
      </c>
      <c r="Q3443" t="str">
        <f>IF(COUNTIF(Customers!$A$2:$A$1001,B3443)&gt;0,"Valid","Invalid")</f>
        <v>Valid</v>
      </c>
      <c r="R3443" t="str">
        <f>IF(COUNTIF(Branches!$A$2:$A$11,F3443)&gt;0,"Valid","Invalid")</f>
        <v>Valid</v>
      </c>
    </row>
    <row r="3444" spans="1:18" x14ac:dyDescent="0.25">
      <c r="A3444" t="s">
        <v>5515</v>
      </c>
      <c r="B3444" t="s">
        <v>70</v>
      </c>
      <c r="C3444" s="8">
        <v>46119</v>
      </c>
      <c r="D3444" t="s">
        <v>2070</v>
      </c>
      <c r="E3444" t="s">
        <v>2073</v>
      </c>
      <c r="F3444" t="s">
        <v>53</v>
      </c>
      <c r="G3444">
        <v>1624.14</v>
      </c>
      <c r="H3444" t="s">
        <v>2060</v>
      </c>
      <c r="I3444" t="str">
        <f>VLOOKUP(B3444,Customers!A:G,7,FALSE)</f>
        <v>Individual</v>
      </c>
      <c r="Q3444" t="str">
        <f>IF(COUNTIF(Customers!$A$2:$A$1001,B3444)&gt;0,"Valid","Invalid")</f>
        <v>Valid</v>
      </c>
      <c r="R3444" t="str">
        <f>IF(COUNTIF(Branches!$A$2:$A$11,F3444)&gt;0,"Valid","Invalid")</f>
        <v>Valid</v>
      </c>
    </row>
    <row r="3445" spans="1:18" x14ac:dyDescent="0.25">
      <c r="A3445" t="s">
        <v>5516</v>
      </c>
      <c r="B3445" t="s">
        <v>439</v>
      </c>
      <c r="C3445" s="8">
        <v>46023</v>
      </c>
      <c r="D3445" t="s">
        <v>2062</v>
      </c>
      <c r="E3445" t="s">
        <v>2076</v>
      </c>
      <c r="F3445" t="s">
        <v>29</v>
      </c>
      <c r="G3445">
        <v>837.72</v>
      </c>
      <c r="H3445" t="s">
        <v>2060</v>
      </c>
      <c r="I3445" t="str">
        <f>VLOOKUP(B3445,Customers!A:G,7,FALSE)</f>
        <v>Individual</v>
      </c>
      <c r="Q3445" t="str">
        <f>IF(COUNTIF(Customers!$A$2:$A$1001,B3445)&gt;0,"Valid","Invalid")</f>
        <v>Valid</v>
      </c>
      <c r="R3445" t="str">
        <f>IF(COUNTIF(Branches!$A$2:$A$11,F3445)&gt;0,"Valid","Invalid")</f>
        <v>Valid</v>
      </c>
    </row>
    <row r="3446" spans="1:18" x14ac:dyDescent="0.25">
      <c r="A3446" t="s">
        <v>5517</v>
      </c>
      <c r="B3446" t="s">
        <v>62</v>
      </c>
      <c r="C3446" s="8">
        <v>46075</v>
      </c>
      <c r="D3446" t="s">
        <v>2065</v>
      </c>
      <c r="E3446" t="s">
        <v>2059</v>
      </c>
      <c r="F3446" t="s">
        <v>11</v>
      </c>
      <c r="G3446">
        <v>1073.97</v>
      </c>
      <c r="H3446" t="s">
        <v>2060</v>
      </c>
      <c r="I3446" t="str">
        <f>VLOOKUP(B3446,Customers!A:G,7,FALSE)</f>
        <v>Individual</v>
      </c>
      <c r="Q3446" t="str">
        <f>IF(COUNTIF(Customers!$A$2:$A$1001,B3446)&gt;0,"Valid","Invalid")</f>
        <v>Valid</v>
      </c>
      <c r="R3446" t="str">
        <f>IF(COUNTIF(Branches!$A$2:$A$11,F3446)&gt;0,"Valid","Invalid")</f>
        <v>Valid</v>
      </c>
    </row>
    <row r="3447" spans="1:18" x14ac:dyDescent="0.25">
      <c r="A3447" t="s">
        <v>5518</v>
      </c>
      <c r="B3447" t="s">
        <v>257</v>
      </c>
      <c r="C3447" s="8">
        <v>46028</v>
      </c>
      <c r="D3447" t="s">
        <v>2067</v>
      </c>
      <c r="E3447" t="s">
        <v>2076</v>
      </c>
      <c r="F3447" t="s">
        <v>11</v>
      </c>
      <c r="G3447">
        <v>744.17</v>
      </c>
      <c r="H3447" t="s">
        <v>2060</v>
      </c>
      <c r="I3447" t="str">
        <f>VLOOKUP(B3447,Customers!A:G,7,FALSE)</f>
        <v>Corporate</v>
      </c>
      <c r="Q3447" t="str">
        <f>IF(COUNTIF(Customers!$A$2:$A$1001,B3447)&gt;0,"Valid","Invalid")</f>
        <v>Valid</v>
      </c>
      <c r="R3447" t="str">
        <f>IF(COUNTIF(Branches!$A$2:$A$11,F3447)&gt;0,"Valid","Invalid")</f>
        <v>Valid</v>
      </c>
    </row>
    <row r="3448" spans="1:18" x14ac:dyDescent="0.25">
      <c r="A3448" t="s">
        <v>5519</v>
      </c>
      <c r="B3448" t="s">
        <v>444</v>
      </c>
      <c r="C3448" s="8">
        <v>46059</v>
      </c>
      <c r="D3448" t="s">
        <v>2058</v>
      </c>
      <c r="E3448" t="s">
        <v>2063</v>
      </c>
      <c r="F3448" t="s">
        <v>53</v>
      </c>
      <c r="G3448">
        <v>1017.01</v>
      </c>
      <c r="H3448" t="s">
        <v>2060</v>
      </c>
      <c r="I3448" t="str">
        <f>VLOOKUP(B3448,Customers!A:G,7,FALSE)</f>
        <v>Student</v>
      </c>
      <c r="Q3448" t="str">
        <f>IF(COUNTIF(Customers!$A$2:$A$1001,B3448)&gt;0,"Valid","Invalid")</f>
        <v>Valid</v>
      </c>
      <c r="R3448" t="str">
        <f>IF(COUNTIF(Branches!$A$2:$A$11,F3448)&gt;0,"Valid","Invalid")</f>
        <v>Valid</v>
      </c>
    </row>
    <row r="3449" spans="1:18" x14ac:dyDescent="0.25">
      <c r="A3449" t="s">
        <v>5520</v>
      </c>
      <c r="B3449" t="s">
        <v>652</v>
      </c>
      <c r="C3449" s="8">
        <v>46024</v>
      </c>
      <c r="D3449" t="s">
        <v>2062</v>
      </c>
      <c r="E3449" t="s">
        <v>2059</v>
      </c>
      <c r="F3449" t="s">
        <v>35</v>
      </c>
      <c r="G3449">
        <v>2208.52</v>
      </c>
      <c r="H3449" t="s">
        <v>2060</v>
      </c>
      <c r="I3449" t="str">
        <f>VLOOKUP(B3449,Customers!A:G,7,FALSE)</f>
        <v>Student</v>
      </c>
      <c r="Q3449" t="str">
        <f>IF(COUNTIF(Customers!$A$2:$A$1001,B3449)&gt;0,"Valid","Invalid")</f>
        <v>Valid</v>
      </c>
      <c r="R3449" t="str">
        <f>IF(COUNTIF(Branches!$A$2:$A$11,F3449)&gt;0,"Valid","Invalid")</f>
        <v>Valid</v>
      </c>
    </row>
    <row r="3450" spans="1:18" x14ac:dyDescent="0.25">
      <c r="A3450" t="s">
        <v>5521</v>
      </c>
      <c r="B3450" t="s">
        <v>813</v>
      </c>
      <c r="C3450" s="8">
        <v>46145</v>
      </c>
      <c r="D3450" t="s">
        <v>2058</v>
      </c>
      <c r="E3450" t="s">
        <v>2063</v>
      </c>
      <c r="F3450" t="s">
        <v>47</v>
      </c>
      <c r="G3450">
        <v>229.01</v>
      </c>
      <c r="H3450" t="s">
        <v>2060</v>
      </c>
      <c r="I3450" t="str">
        <f>VLOOKUP(B3450,Customers!A:G,7,FALSE)</f>
        <v>Individual</v>
      </c>
      <c r="Q3450" t="str">
        <f>IF(COUNTIF(Customers!$A$2:$A$1001,B3450)&gt;0,"Valid","Invalid")</f>
        <v>Valid</v>
      </c>
      <c r="R3450" t="str">
        <f>IF(COUNTIF(Branches!$A$2:$A$11,F3450)&gt;0,"Valid","Invalid")</f>
        <v>Valid</v>
      </c>
    </row>
    <row r="3451" spans="1:18" x14ac:dyDescent="0.25">
      <c r="A3451" t="s">
        <v>5522</v>
      </c>
      <c r="B3451" t="s">
        <v>309</v>
      </c>
      <c r="C3451" s="8">
        <v>46091</v>
      </c>
      <c r="D3451" t="s">
        <v>2062</v>
      </c>
      <c r="E3451" t="s">
        <v>2059</v>
      </c>
      <c r="F3451" t="s">
        <v>27</v>
      </c>
      <c r="G3451">
        <v>182.56</v>
      </c>
      <c r="H3451" t="s">
        <v>2060</v>
      </c>
      <c r="I3451" t="str">
        <f>VLOOKUP(B3451,Customers!A:G,7,FALSE)</f>
        <v>SME</v>
      </c>
      <c r="Q3451" t="str">
        <f>IF(COUNTIF(Customers!$A$2:$A$1001,B3451)&gt;0,"Valid","Invalid")</f>
        <v>Valid</v>
      </c>
      <c r="R3451" t="str">
        <f>IF(COUNTIF(Branches!$A$2:$A$11,F3451)&gt;0,"Valid","Invalid")</f>
        <v>Valid</v>
      </c>
    </row>
    <row r="3452" spans="1:18" x14ac:dyDescent="0.25">
      <c r="A3452" t="s">
        <v>5523</v>
      </c>
      <c r="B3452" t="s">
        <v>774</v>
      </c>
      <c r="C3452" s="8">
        <v>46240</v>
      </c>
      <c r="D3452" t="s">
        <v>2067</v>
      </c>
      <c r="E3452" t="s">
        <v>2059</v>
      </c>
      <c r="F3452" t="s">
        <v>29</v>
      </c>
      <c r="G3452">
        <v>1243.72</v>
      </c>
      <c r="H3452" t="s">
        <v>2060</v>
      </c>
      <c r="I3452" t="str">
        <f>VLOOKUP(B3452,Customers!A:G,7,FALSE)</f>
        <v>Individual</v>
      </c>
      <c r="Q3452" t="str">
        <f>IF(COUNTIF(Customers!$A$2:$A$1001,B3452)&gt;0,"Valid","Invalid")</f>
        <v>Valid</v>
      </c>
      <c r="R3452" t="str">
        <f>IF(COUNTIF(Branches!$A$2:$A$11,F3452)&gt;0,"Valid","Invalid")</f>
        <v>Valid</v>
      </c>
    </row>
    <row r="3453" spans="1:18" x14ac:dyDescent="0.25">
      <c r="A3453" t="s">
        <v>5524</v>
      </c>
      <c r="B3453" t="s">
        <v>689</v>
      </c>
      <c r="C3453" s="8">
        <v>46191</v>
      </c>
      <c r="D3453" t="s">
        <v>2065</v>
      </c>
      <c r="E3453" t="s">
        <v>2068</v>
      </c>
      <c r="F3453" t="s">
        <v>11</v>
      </c>
      <c r="G3453">
        <v>3430.89</v>
      </c>
      <c r="H3453" t="s">
        <v>2060</v>
      </c>
      <c r="I3453" t="str">
        <f>VLOOKUP(B3453,Customers!A:G,7,FALSE)</f>
        <v>Individual</v>
      </c>
      <c r="Q3453" t="str">
        <f>IF(COUNTIF(Customers!$A$2:$A$1001,B3453)&gt;0,"Valid","Invalid")</f>
        <v>Valid</v>
      </c>
      <c r="R3453" t="str">
        <f>IF(COUNTIF(Branches!$A$2:$A$11,F3453)&gt;0,"Valid","Invalid")</f>
        <v>Valid</v>
      </c>
    </row>
    <row r="3454" spans="1:18" x14ac:dyDescent="0.25">
      <c r="A3454" t="s">
        <v>5525</v>
      </c>
      <c r="B3454" t="s">
        <v>830</v>
      </c>
      <c r="C3454" s="8">
        <v>46201</v>
      </c>
      <c r="D3454" t="s">
        <v>2065</v>
      </c>
      <c r="E3454" t="s">
        <v>2076</v>
      </c>
      <c r="F3454" t="s">
        <v>53</v>
      </c>
      <c r="G3454">
        <v>4414.92</v>
      </c>
      <c r="H3454" t="s">
        <v>2060</v>
      </c>
      <c r="I3454" t="str">
        <f>VLOOKUP(B3454,Customers!A:G,7,FALSE)</f>
        <v>Corporate</v>
      </c>
      <c r="Q3454" t="str">
        <f>IF(COUNTIF(Customers!$A$2:$A$1001,B3454)&gt;0,"Valid","Invalid")</f>
        <v>Valid</v>
      </c>
      <c r="R3454" t="str">
        <f>IF(COUNTIF(Branches!$A$2:$A$11,F3454)&gt;0,"Valid","Invalid")</f>
        <v>Valid</v>
      </c>
    </row>
    <row r="3455" spans="1:18" x14ac:dyDescent="0.25">
      <c r="A3455" t="s">
        <v>5526</v>
      </c>
      <c r="B3455" t="s">
        <v>549</v>
      </c>
      <c r="C3455" s="8">
        <v>46197</v>
      </c>
      <c r="D3455" t="s">
        <v>2058</v>
      </c>
      <c r="E3455" t="s">
        <v>2063</v>
      </c>
      <c r="F3455" t="s">
        <v>29</v>
      </c>
      <c r="G3455">
        <v>238.79</v>
      </c>
      <c r="H3455" t="s">
        <v>2060</v>
      </c>
      <c r="I3455" t="str">
        <f>VLOOKUP(B3455,Customers!A:G,7,FALSE)</f>
        <v>Individual</v>
      </c>
      <c r="Q3455" t="str">
        <f>IF(COUNTIF(Customers!$A$2:$A$1001,B3455)&gt;0,"Valid","Invalid")</f>
        <v>Valid</v>
      </c>
      <c r="R3455" t="str">
        <f>IF(COUNTIF(Branches!$A$2:$A$11,F3455)&gt;0,"Valid","Invalid")</f>
        <v>Valid</v>
      </c>
    </row>
    <row r="3456" spans="1:18" x14ac:dyDescent="0.25">
      <c r="A3456" t="s">
        <v>5527</v>
      </c>
      <c r="B3456" t="s">
        <v>1001</v>
      </c>
      <c r="C3456" s="8">
        <v>46035</v>
      </c>
      <c r="D3456" t="s">
        <v>2058</v>
      </c>
      <c r="E3456" t="s">
        <v>2068</v>
      </c>
      <c r="F3456" t="s">
        <v>27</v>
      </c>
      <c r="G3456">
        <v>543.01</v>
      </c>
      <c r="H3456" t="s">
        <v>2060</v>
      </c>
      <c r="I3456" t="str">
        <f>VLOOKUP(B3456,Customers!A:G,7,FALSE)</f>
        <v>Individual</v>
      </c>
      <c r="Q3456" t="str">
        <f>IF(COUNTIF(Customers!$A$2:$A$1001,B3456)&gt;0,"Valid","Invalid")</f>
        <v>Valid</v>
      </c>
      <c r="R3456" t="str">
        <f>IF(COUNTIF(Branches!$A$2:$A$11,F3456)&gt;0,"Valid","Invalid")</f>
        <v>Valid</v>
      </c>
    </row>
    <row r="3457" spans="1:18" x14ac:dyDescent="0.25">
      <c r="A3457" t="s">
        <v>5528</v>
      </c>
      <c r="B3457" t="s">
        <v>324</v>
      </c>
      <c r="C3457" s="8">
        <v>46226</v>
      </c>
      <c r="D3457" t="s">
        <v>2067</v>
      </c>
      <c r="E3457" t="s">
        <v>2059</v>
      </c>
      <c r="F3457" t="s">
        <v>11</v>
      </c>
      <c r="G3457">
        <v>185.08</v>
      </c>
      <c r="H3457" t="s">
        <v>2060</v>
      </c>
      <c r="I3457" t="str">
        <f>VLOOKUP(B3457,Customers!A:G,7,FALSE)</f>
        <v>Individual</v>
      </c>
      <c r="Q3457" t="str">
        <f>IF(COUNTIF(Customers!$A$2:$A$1001,B3457)&gt;0,"Valid","Invalid")</f>
        <v>Valid</v>
      </c>
      <c r="R3457" t="str">
        <f>IF(COUNTIF(Branches!$A$2:$A$11,F3457)&gt;0,"Valid","Invalid")</f>
        <v>Valid</v>
      </c>
    </row>
    <row r="3458" spans="1:18" x14ac:dyDescent="0.25">
      <c r="A3458" t="s">
        <v>5529</v>
      </c>
      <c r="B3458" t="s">
        <v>492</v>
      </c>
      <c r="C3458" s="8">
        <v>46091</v>
      </c>
      <c r="D3458" t="s">
        <v>2058</v>
      </c>
      <c r="E3458" t="s">
        <v>2076</v>
      </c>
      <c r="F3458" t="s">
        <v>16</v>
      </c>
      <c r="G3458">
        <v>468.43</v>
      </c>
      <c r="H3458" t="s">
        <v>2060</v>
      </c>
      <c r="I3458" t="str">
        <f>VLOOKUP(B3458,Customers!A:G,7,FALSE)</f>
        <v>Individual</v>
      </c>
      <c r="Q3458" t="str">
        <f>IF(COUNTIF(Customers!$A$2:$A$1001,B3458)&gt;0,"Valid","Invalid")</f>
        <v>Valid</v>
      </c>
      <c r="R3458" t="str">
        <f>IF(COUNTIF(Branches!$A$2:$A$11,F3458)&gt;0,"Valid","Invalid")</f>
        <v>Valid</v>
      </c>
    </row>
    <row r="3459" spans="1:18" x14ac:dyDescent="0.25">
      <c r="A3459" t="s">
        <v>5530</v>
      </c>
      <c r="B3459" t="s">
        <v>800</v>
      </c>
      <c r="C3459" s="8">
        <v>46088</v>
      </c>
      <c r="D3459" t="s">
        <v>2065</v>
      </c>
      <c r="E3459" t="s">
        <v>2063</v>
      </c>
      <c r="F3459" t="s">
        <v>39</v>
      </c>
      <c r="G3459">
        <v>2497.0100000000002</v>
      </c>
      <c r="H3459" t="s">
        <v>2060</v>
      </c>
      <c r="I3459" t="str">
        <f>VLOOKUP(B3459,Customers!A:G,7,FALSE)</f>
        <v>Individual</v>
      </c>
      <c r="Q3459" t="str">
        <f>IF(COUNTIF(Customers!$A$2:$A$1001,B3459)&gt;0,"Valid","Invalid")</f>
        <v>Valid</v>
      </c>
      <c r="R3459" t="str">
        <f>IF(COUNTIF(Branches!$A$2:$A$11,F3459)&gt;0,"Valid","Invalid")</f>
        <v>Valid</v>
      </c>
    </row>
    <row r="3460" spans="1:18" x14ac:dyDescent="0.25">
      <c r="A3460" t="s">
        <v>5531</v>
      </c>
      <c r="B3460" t="s">
        <v>872</v>
      </c>
      <c r="C3460" s="8">
        <v>46081</v>
      </c>
      <c r="D3460" t="s">
        <v>2065</v>
      </c>
      <c r="E3460" t="s">
        <v>2068</v>
      </c>
      <c r="F3460" t="s">
        <v>47</v>
      </c>
      <c r="G3460">
        <v>802</v>
      </c>
      <c r="H3460" t="s">
        <v>2060</v>
      </c>
      <c r="I3460" t="str">
        <f>VLOOKUP(B3460,Customers!A:G,7,FALSE)</f>
        <v>Individual</v>
      </c>
      <c r="Q3460" t="str">
        <f>IF(COUNTIF(Customers!$A$2:$A$1001,B3460)&gt;0,"Valid","Invalid")</f>
        <v>Valid</v>
      </c>
      <c r="R3460" t="str">
        <f>IF(COUNTIF(Branches!$A$2:$A$11,F3460)&gt;0,"Valid","Invalid")</f>
        <v>Valid</v>
      </c>
    </row>
    <row r="3461" spans="1:18" x14ac:dyDescent="0.25">
      <c r="A3461" t="s">
        <v>5532</v>
      </c>
      <c r="B3461" t="s">
        <v>355</v>
      </c>
      <c r="C3461" s="8">
        <v>46090</v>
      </c>
      <c r="D3461" t="s">
        <v>2062</v>
      </c>
      <c r="E3461" t="s">
        <v>2073</v>
      </c>
      <c r="F3461" t="s">
        <v>29</v>
      </c>
      <c r="G3461">
        <v>558.99</v>
      </c>
      <c r="H3461" t="s">
        <v>2060</v>
      </c>
      <c r="I3461" t="str">
        <f>VLOOKUP(B3461,Customers!A:G,7,FALSE)</f>
        <v>Corporate</v>
      </c>
      <c r="Q3461" t="str">
        <f>IF(COUNTIF(Customers!$A$2:$A$1001,B3461)&gt;0,"Valid","Invalid")</f>
        <v>Valid</v>
      </c>
      <c r="R3461" t="str">
        <f>IF(COUNTIF(Branches!$A$2:$A$11,F3461)&gt;0,"Valid","Invalid")</f>
        <v>Valid</v>
      </c>
    </row>
    <row r="3462" spans="1:18" x14ac:dyDescent="0.25">
      <c r="A3462" t="s">
        <v>5533</v>
      </c>
      <c r="B3462" t="s">
        <v>628</v>
      </c>
      <c r="C3462" s="8">
        <v>46081</v>
      </c>
      <c r="D3462" t="s">
        <v>2067</v>
      </c>
      <c r="E3462" t="s">
        <v>2068</v>
      </c>
      <c r="F3462" t="s">
        <v>29</v>
      </c>
      <c r="G3462">
        <v>1401.2</v>
      </c>
      <c r="H3462" t="s">
        <v>2060</v>
      </c>
      <c r="I3462" t="str">
        <f>VLOOKUP(B3462,Customers!A:G,7,FALSE)</f>
        <v>Individual</v>
      </c>
      <c r="Q3462" t="str">
        <f>IF(COUNTIF(Customers!$A$2:$A$1001,B3462)&gt;0,"Valid","Invalid")</f>
        <v>Valid</v>
      </c>
      <c r="R3462" t="str">
        <f>IF(COUNTIF(Branches!$A$2:$A$11,F3462)&gt;0,"Valid","Invalid")</f>
        <v>Valid</v>
      </c>
    </row>
    <row r="3463" spans="1:18" x14ac:dyDescent="0.25">
      <c r="A3463" t="s">
        <v>5534</v>
      </c>
      <c r="B3463" t="s">
        <v>335</v>
      </c>
      <c r="C3463" s="8">
        <v>46241</v>
      </c>
      <c r="D3463" t="s">
        <v>2058</v>
      </c>
      <c r="E3463" t="s">
        <v>2073</v>
      </c>
      <c r="F3463" t="s">
        <v>29</v>
      </c>
      <c r="G3463">
        <v>366.85</v>
      </c>
      <c r="H3463" t="s">
        <v>2060</v>
      </c>
      <c r="I3463" t="str">
        <f>VLOOKUP(B3463,Customers!A:G,7,FALSE)</f>
        <v>Individual</v>
      </c>
      <c r="Q3463" t="str">
        <f>IF(COUNTIF(Customers!$A$2:$A$1001,B3463)&gt;0,"Valid","Invalid")</f>
        <v>Valid</v>
      </c>
      <c r="R3463" t="str">
        <f>IF(COUNTIF(Branches!$A$2:$A$11,F3463)&gt;0,"Valid","Invalid")</f>
        <v>Valid</v>
      </c>
    </row>
    <row r="3464" spans="1:18" x14ac:dyDescent="0.25">
      <c r="A3464" t="s">
        <v>5535</v>
      </c>
      <c r="B3464" t="s">
        <v>376</v>
      </c>
      <c r="C3464" s="8">
        <v>46264</v>
      </c>
      <c r="D3464" t="s">
        <v>2062</v>
      </c>
      <c r="E3464" t="s">
        <v>2063</v>
      </c>
      <c r="F3464" t="s">
        <v>39</v>
      </c>
      <c r="G3464">
        <v>3995.72</v>
      </c>
      <c r="H3464" t="s">
        <v>2060</v>
      </c>
      <c r="I3464" t="str">
        <f>VLOOKUP(B3464,Customers!A:G,7,FALSE)</f>
        <v>SME</v>
      </c>
      <c r="Q3464" t="str">
        <f>IF(COUNTIF(Customers!$A$2:$A$1001,B3464)&gt;0,"Valid","Invalid")</f>
        <v>Valid</v>
      </c>
      <c r="R3464" t="str">
        <f>IF(COUNTIF(Branches!$A$2:$A$11,F3464)&gt;0,"Valid","Invalid")</f>
        <v>Valid</v>
      </c>
    </row>
    <row r="3465" spans="1:18" x14ac:dyDescent="0.25">
      <c r="A3465" t="s">
        <v>5536</v>
      </c>
      <c r="B3465" t="s">
        <v>345</v>
      </c>
      <c r="C3465" s="8">
        <v>46139</v>
      </c>
      <c r="D3465" t="s">
        <v>2062</v>
      </c>
      <c r="E3465" t="s">
        <v>2068</v>
      </c>
      <c r="F3465" t="s">
        <v>35</v>
      </c>
      <c r="G3465">
        <v>818.35</v>
      </c>
      <c r="H3465" t="s">
        <v>2060</v>
      </c>
      <c r="I3465" t="str">
        <f>VLOOKUP(B3465,Customers!A:G,7,FALSE)</f>
        <v>Individual</v>
      </c>
      <c r="Q3465" t="str">
        <f>IF(COUNTIF(Customers!$A$2:$A$1001,B3465)&gt;0,"Valid","Invalid")</f>
        <v>Valid</v>
      </c>
      <c r="R3465" t="str">
        <f>IF(COUNTIF(Branches!$A$2:$A$11,F3465)&gt;0,"Valid","Invalid")</f>
        <v>Valid</v>
      </c>
    </row>
    <row r="3466" spans="1:18" x14ac:dyDescent="0.25">
      <c r="A3466" t="s">
        <v>5537</v>
      </c>
      <c r="B3466" t="s">
        <v>466</v>
      </c>
      <c r="C3466" s="8">
        <v>46032</v>
      </c>
      <c r="D3466" t="s">
        <v>2065</v>
      </c>
      <c r="E3466" t="s">
        <v>2059</v>
      </c>
      <c r="F3466" t="s">
        <v>29</v>
      </c>
      <c r="G3466">
        <v>543.6</v>
      </c>
      <c r="H3466" t="s">
        <v>2060</v>
      </c>
      <c r="I3466" t="str">
        <f>VLOOKUP(B3466,Customers!A:G,7,FALSE)</f>
        <v>Corporate</v>
      </c>
      <c r="Q3466" t="str">
        <f>IF(COUNTIF(Customers!$A$2:$A$1001,B3466)&gt;0,"Valid","Invalid")</f>
        <v>Valid</v>
      </c>
      <c r="R3466" t="str">
        <f>IF(COUNTIF(Branches!$A$2:$A$11,F3466)&gt;0,"Valid","Invalid")</f>
        <v>Valid</v>
      </c>
    </row>
    <row r="3467" spans="1:18" x14ac:dyDescent="0.25">
      <c r="A3467" t="s">
        <v>5538</v>
      </c>
      <c r="B3467" t="s">
        <v>389</v>
      </c>
      <c r="C3467" s="8">
        <v>46163</v>
      </c>
      <c r="D3467" t="s">
        <v>2058</v>
      </c>
      <c r="E3467" t="s">
        <v>2063</v>
      </c>
      <c r="F3467" t="s">
        <v>11</v>
      </c>
      <c r="G3467">
        <v>1460.96</v>
      </c>
      <c r="H3467" t="s">
        <v>2060</v>
      </c>
      <c r="I3467" t="str">
        <f>VLOOKUP(B3467,Customers!A:G,7,FALSE)</f>
        <v>Individual</v>
      </c>
      <c r="Q3467" t="str">
        <f>IF(COUNTIF(Customers!$A$2:$A$1001,B3467)&gt;0,"Valid","Invalid")</f>
        <v>Valid</v>
      </c>
      <c r="R3467" t="str">
        <f>IF(COUNTIF(Branches!$A$2:$A$11,F3467)&gt;0,"Valid","Invalid")</f>
        <v>Valid</v>
      </c>
    </row>
    <row r="3468" spans="1:18" x14ac:dyDescent="0.25">
      <c r="A3468" t="s">
        <v>5539</v>
      </c>
      <c r="B3468" t="s">
        <v>549</v>
      </c>
      <c r="C3468" s="8">
        <v>46258</v>
      </c>
      <c r="D3468" t="s">
        <v>2062</v>
      </c>
      <c r="E3468" t="s">
        <v>2076</v>
      </c>
      <c r="F3468" t="s">
        <v>11</v>
      </c>
      <c r="G3468">
        <v>2078.2600000000002</v>
      </c>
      <c r="H3468" t="s">
        <v>2060</v>
      </c>
      <c r="I3468" t="str">
        <f>VLOOKUP(B3468,Customers!A:G,7,FALSE)</f>
        <v>Individual</v>
      </c>
      <c r="Q3468" t="str">
        <f>IF(COUNTIF(Customers!$A$2:$A$1001,B3468)&gt;0,"Valid","Invalid")</f>
        <v>Valid</v>
      </c>
      <c r="R3468" t="str">
        <f>IF(COUNTIF(Branches!$A$2:$A$11,F3468)&gt;0,"Valid","Invalid")</f>
        <v>Valid</v>
      </c>
    </row>
    <row r="3469" spans="1:18" x14ac:dyDescent="0.25">
      <c r="A3469" t="s">
        <v>5540</v>
      </c>
      <c r="B3469" t="s">
        <v>563</v>
      </c>
      <c r="C3469" s="8">
        <v>46152</v>
      </c>
      <c r="D3469" t="s">
        <v>2062</v>
      </c>
      <c r="E3469" t="s">
        <v>2076</v>
      </c>
      <c r="F3469" t="s">
        <v>39</v>
      </c>
      <c r="G3469">
        <v>4007.71</v>
      </c>
      <c r="H3469" t="s">
        <v>2060</v>
      </c>
      <c r="I3469" t="str">
        <f>VLOOKUP(B3469,Customers!A:G,7,FALSE)</f>
        <v>Individual</v>
      </c>
      <c r="Q3469" t="str">
        <f>IF(COUNTIF(Customers!$A$2:$A$1001,B3469)&gt;0,"Valid","Invalid")</f>
        <v>Valid</v>
      </c>
      <c r="R3469" t="str">
        <f>IF(COUNTIF(Branches!$A$2:$A$11,F3469)&gt;0,"Valid","Invalid")</f>
        <v>Valid</v>
      </c>
    </row>
    <row r="3470" spans="1:18" x14ac:dyDescent="0.25">
      <c r="A3470" t="s">
        <v>5541</v>
      </c>
      <c r="B3470" t="s">
        <v>896</v>
      </c>
      <c r="C3470" s="8">
        <v>46240</v>
      </c>
      <c r="D3470" t="s">
        <v>2062</v>
      </c>
      <c r="E3470" t="s">
        <v>2063</v>
      </c>
      <c r="F3470" t="s">
        <v>47</v>
      </c>
      <c r="G3470">
        <v>658.54</v>
      </c>
      <c r="H3470" t="s">
        <v>2060</v>
      </c>
      <c r="I3470" t="str">
        <f>VLOOKUP(B3470,Customers!A:G,7,FALSE)</f>
        <v>Student</v>
      </c>
      <c r="Q3470" t="str">
        <f>IF(COUNTIF(Customers!$A$2:$A$1001,B3470)&gt;0,"Valid","Invalid")</f>
        <v>Valid</v>
      </c>
      <c r="R3470" t="str">
        <f>IF(COUNTIF(Branches!$A$2:$A$11,F3470)&gt;0,"Valid","Invalid")</f>
        <v>Valid</v>
      </c>
    </row>
    <row r="3471" spans="1:18" x14ac:dyDescent="0.25">
      <c r="A3471" t="s">
        <v>5542</v>
      </c>
      <c r="B3471" t="s">
        <v>530</v>
      </c>
      <c r="C3471" s="8">
        <v>46037</v>
      </c>
      <c r="D3471" t="s">
        <v>2065</v>
      </c>
      <c r="E3471" t="s">
        <v>2063</v>
      </c>
      <c r="F3471" t="s">
        <v>16</v>
      </c>
      <c r="G3471">
        <v>2406.81</v>
      </c>
      <c r="H3471" t="s">
        <v>2060</v>
      </c>
      <c r="I3471" t="str">
        <f>VLOOKUP(B3471,Customers!A:G,7,FALSE)</f>
        <v>Individual</v>
      </c>
      <c r="Q3471" t="str">
        <f>IF(COUNTIF(Customers!$A$2:$A$1001,B3471)&gt;0,"Valid","Invalid")</f>
        <v>Valid</v>
      </c>
      <c r="R3471" t="str">
        <f>IF(COUNTIF(Branches!$A$2:$A$11,F3471)&gt;0,"Valid","Invalid")</f>
        <v>Valid</v>
      </c>
    </row>
    <row r="3472" spans="1:18" x14ac:dyDescent="0.25">
      <c r="A3472" t="s">
        <v>5543</v>
      </c>
      <c r="B3472" t="s">
        <v>946</v>
      </c>
      <c r="C3472" s="8">
        <v>46068</v>
      </c>
      <c r="D3472" t="s">
        <v>2065</v>
      </c>
      <c r="E3472" t="s">
        <v>2063</v>
      </c>
      <c r="F3472" t="s">
        <v>21</v>
      </c>
      <c r="G3472">
        <v>898.94</v>
      </c>
      <c r="H3472" t="s">
        <v>2060</v>
      </c>
      <c r="I3472" t="str">
        <f>VLOOKUP(B3472,Customers!A:G,7,FALSE)</f>
        <v>Individual</v>
      </c>
      <c r="Q3472" t="str">
        <f>IF(COUNTIF(Customers!$A$2:$A$1001,B3472)&gt;0,"Valid","Invalid")</f>
        <v>Valid</v>
      </c>
      <c r="R3472" t="str">
        <f>IF(COUNTIF(Branches!$A$2:$A$11,F3472)&gt;0,"Valid","Invalid")</f>
        <v>Valid</v>
      </c>
    </row>
    <row r="3473" spans="1:18" x14ac:dyDescent="0.25">
      <c r="A3473" t="s">
        <v>5544</v>
      </c>
      <c r="B3473" t="s">
        <v>632</v>
      </c>
      <c r="C3473" s="8">
        <v>46207</v>
      </c>
      <c r="D3473" t="s">
        <v>2058</v>
      </c>
      <c r="E3473" t="s">
        <v>2059</v>
      </c>
      <c r="F3473" t="s">
        <v>16</v>
      </c>
      <c r="G3473">
        <v>440.81</v>
      </c>
      <c r="H3473" t="s">
        <v>2060</v>
      </c>
      <c r="I3473" t="str">
        <f>VLOOKUP(B3473,Customers!A:G,7,FALSE)</f>
        <v>Individual</v>
      </c>
      <c r="Q3473" t="str">
        <f>IF(COUNTIF(Customers!$A$2:$A$1001,B3473)&gt;0,"Valid","Invalid")</f>
        <v>Valid</v>
      </c>
      <c r="R3473" t="str">
        <f>IF(COUNTIF(Branches!$A$2:$A$11,F3473)&gt;0,"Valid","Invalid")</f>
        <v>Valid</v>
      </c>
    </row>
    <row r="3474" spans="1:18" x14ac:dyDescent="0.25">
      <c r="A3474" t="s">
        <v>5545</v>
      </c>
      <c r="B3474" t="s">
        <v>36</v>
      </c>
      <c r="C3474" s="8">
        <v>46160</v>
      </c>
      <c r="D3474" t="s">
        <v>2062</v>
      </c>
      <c r="E3474" t="s">
        <v>2063</v>
      </c>
      <c r="F3474" t="s">
        <v>47</v>
      </c>
      <c r="G3474">
        <v>373.6</v>
      </c>
      <c r="H3474" t="s">
        <v>2060</v>
      </c>
      <c r="I3474" t="str">
        <f>VLOOKUP(B3474,Customers!A:G,7,FALSE)</f>
        <v>Individual</v>
      </c>
      <c r="Q3474" t="str">
        <f>IF(COUNTIF(Customers!$A$2:$A$1001,B3474)&gt;0,"Valid","Invalid")</f>
        <v>Valid</v>
      </c>
      <c r="R3474" t="str">
        <f>IF(COUNTIF(Branches!$A$2:$A$11,F3474)&gt;0,"Valid","Invalid")</f>
        <v>Valid</v>
      </c>
    </row>
    <row r="3475" spans="1:18" x14ac:dyDescent="0.25">
      <c r="A3475" t="s">
        <v>5546</v>
      </c>
      <c r="B3475" t="s">
        <v>535</v>
      </c>
      <c r="C3475" s="8">
        <v>46172</v>
      </c>
      <c r="D3475" t="s">
        <v>2067</v>
      </c>
      <c r="E3475" t="s">
        <v>2063</v>
      </c>
      <c r="F3475" t="s">
        <v>27</v>
      </c>
      <c r="G3475">
        <v>271.24</v>
      </c>
      <c r="H3475" t="s">
        <v>2060</v>
      </c>
      <c r="I3475" t="str">
        <f>VLOOKUP(B3475,Customers!A:G,7,FALSE)</f>
        <v>SME</v>
      </c>
      <c r="Q3475" t="str">
        <f>IF(COUNTIF(Customers!$A$2:$A$1001,B3475)&gt;0,"Valid","Invalid")</f>
        <v>Valid</v>
      </c>
      <c r="R3475" t="str">
        <f>IF(COUNTIF(Branches!$A$2:$A$11,F3475)&gt;0,"Valid","Invalid")</f>
        <v>Valid</v>
      </c>
    </row>
    <row r="3476" spans="1:18" x14ac:dyDescent="0.25">
      <c r="A3476" t="s">
        <v>5547</v>
      </c>
      <c r="B3476" t="s">
        <v>763</v>
      </c>
      <c r="C3476" s="8">
        <v>46254</v>
      </c>
      <c r="D3476" t="s">
        <v>2065</v>
      </c>
      <c r="E3476" t="s">
        <v>2059</v>
      </c>
      <c r="F3476" t="s">
        <v>21</v>
      </c>
      <c r="G3476">
        <v>386.95</v>
      </c>
      <c r="H3476" t="s">
        <v>2060</v>
      </c>
      <c r="I3476" t="str">
        <f>VLOOKUP(B3476,Customers!A:G,7,FALSE)</f>
        <v>SME</v>
      </c>
      <c r="Q3476" t="str">
        <f>IF(COUNTIF(Customers!$A$2:$A$1001,B3476)&gt;0,"Valid","Invalid")</f>
        <v>Valid</v>
      </c>
      <c r="R3476" t="str">
        <f>IF(COUNTIF(Branches!$A$2:$A$11,F3476)&gt;0,"Valid","Invalid")</f>
        <v>Valid</v>
      </c>
    </row>
    <row r="3477" spans="1:18" x14ac:dyDescent="0.25">
      <c r="A3477" t="s">
        <v>5548</v>
      </c>
      <c r="B3477" t="s">
        <v>598</v>
      </c>
      <c r="C3477" s="8">
        <v>46111</v>
      </c>
      <c r="D3477" t="s">
        <v>2062</v>
      </c>
      <c r="E3477" t="s">
        <v>2073</v>
      </c>
      <c r="F3477" t="s">
        <v>21</v>
      </c>
      <c r="G3477">
        <v>2479.2399999999998</v>
      </c>
      <c r="H3477" t="s">
        <v>2060</v>
      </c>
      <c r="I3477" t="str">
        <f>VLOOKUP(B3477,Customers!A:G,7,FALSE)</f>
        <v>Individual</v>
      </c>
      <c r="Q3477" t="str">
        <f>IF(COUNTIF(Customers!$A$2:$A$1001,B3477)&gt;0,"Valid","Invalid")</f>
        <v>Valid</v>
      </c>
      <c r="R3477" t="str">
        <f>IF(COUNTIF(Branches!$A$2:$A$11,F3477)&gt;0,"Valid","Invalid")</f>
        <v>Valid</v>
      </c>
    </row>
    <row r="3478" spans="1:18" x14ac:dyDescent="0.25">
      <c r="A3478" t="s">
        <v>5549</v>
      </c>
      <c r="B3478" t="s">
        <v>599</v>
      </c>
      <c r="C3478" s="8">
        <v>46229</v>
      </c>
      <c r="D3478" t="s">
        <v>2067</v>
      </c>
      <c r="E3478" t="s">
        <v>2068</v>
      </c>
      <c r="F3478" t="s">
        <v>29</v>
      </c>
      <c r="G3478">
        <v>1647</v>
      </c>
      <c r="H3478" t="s">
        <v>2060</v>
      </c>
      <c r="I3478" t="str">
        <f>VLOOKUP(B3478,Customers!A:G,7,FALSE)</f>
        <v>Individual</v>
      </c>
      <c r="Q3478" t="str">
        <f>IF(COUNTIF(Customers!$A$2:$A$1001,B3478)&gt;0,"Valid","Invalid")</f>
        <v>Valid</v>
      </c>
      <c r="R3478" t="str">
        <f>IF(COUNTIF(Branches!$A$2:$A$11,F3478)&gt;0,"Valid","Invalid")</f>
        <v>Valid</v>
      </c>
    </row>
    <row r="3479" spans="1:18" x14ac:dyDescent="0.25">
      <c r="A3479" t="s">
        <v>5550</v>
      </c>
      <c r="B3479" t="s">
        <v>859</v>
      </c>
      <c r="C3479" s="8">
        <v>46099</v>
      </c>
      <c r="D3479" t="s">
        <v>2065</v>
      </c>
      <c r="E3479" t="s">
        <v>2063</v>
      </c>
      <c r="F3479" t="s">
        <v>16</v>
      </c>
      <c r="G3479">
        <v>234.81</v>
      </c>
      <c r="H3479" t="s">
        <v>2060</v>
      </c>
      <c r="I3479" t="str">
        <f>VLOOKUP(B3479,Customers!A:G,7,FALSE)</f>
        <v>Individual</v>
      </c>
      <c r="Q3479" t="str">
        <f>IF(COUNTIF(Customers!$A$2:$A$1001,B3479)&gt;0,"Valid","Invalid")</f>
        <v>Valid</v>
      </c>
      <c r="R3479" t="str">
        <f>IF(COUNTIF(Branches!$A$2:$A$11,F3479)&gt;0,"Valid","Invalid")</f>
        <v>Valid</v>
      </c>
    </row>
    <row r="3480" spans="1:18" x14ac:dyDescent="0.25">
      <c r="A3480" t="s">
        <v>5551</v>
      </c>
      <c r="B3480" t="s">
        <v>478</v>
      </c>
      <c r="C3480" s="8">
        <v>46158</v>
      </c>
      <c r="D3480" t="s">
        <v>2065</v>
      </c>
      <c r="E3480" t="s">
        <v>2073</v>
      </c>
      <c r="F3480" t="s">
        <v>35</v>
      </c>
      <c r="G3480">
        <v>141.69</v>
      </c>
      <c r="H3480" t="s">
        <v>2060</v>
      </c>
      <c r="I3480" t="str">
        <f>VLOOKUP(B3480,Customers!A:G,7,FALSE)</f>
        <v>Corporate</v>
      </c>
      <c r="Q3480" t="str">
        <f>IF(COUNTIF(Customers!$A$2:$A$1001,B3480)&gt;0,"Valid","Invalid")</f>
        <v>Valid</v>
      </c>
      <c r="R3480" t="str">
        <f>IF(COUNTIF(Branches!$A$2:$A$11,F3480)&gt;0,"Valid","Invalid")</f>
        <v>Valid</v>
      </c>
    </row>
    <row r="3481" spans="1:18" x14ac:dyDescent="0.25">
      <c r="A3481" t="s">
        <v>5552</v>
      </c>
      <c r="B3481" t="s">
        <v>590</v>
      </c>
      <c r="C3481" s="8">
        <v>46171</v>
      </c>
      <c r="D3481" t="s">
        <v>2067</v>
      </c>
      <c r="E3481" t="s">
        <v>2076</v>
      </c>
      <c r="F3481" t="s">
        <v>29</v>
      </c>
      <c r="G3481">
        <v>267.12</v>
      </c>
      <c r="H3481" t="s">
        <v>2060</v>
      </c>
      <c r="I3481" t="str">
        <f>VLOOKUP(B3481,Customers!A:G,7,FALSE)</f>
        <v>SME</v>
      </c>
      <c r="Q3481" t="str">
        <f>IF(COUNTIF(Customers!$A$2:$A$1001,B3481)&gt;0,"Valid","Invalid")</f>
        <v>Valid</v>
      </c>
      <c r="R3481" t="str">
        <f>IF(COUNTIF(Branches!$A$2:$A$11,F3481)&gt;0,"Valid","Invalid")</f>
        <v>Valid</v>
      </c>
    </row>
    <row r="3482" spans="1:18" x14ac:dyDescent="0.25">
      <c r="A3482" t="s">
        <v>5553</v>
      </c>
      <c r="B3482" t="s">
        <v>913</v>
      </c>
      <c r="C3482" s="8">
        <v>46235</v>
      </c>
      <c r="D3482" t="s">
        <v>2058</v>
      </c>
      <c r="E3482" t="s">
        <v>2059</v>
      </c>
      <c r="F3482" t="s">
        <v>27</v>
      </c>
      <c r="G3482">
        <v>373.63</v>
      </c>
      <c r="H3482" t="s">
        <v>2115</v>
      </c>
      <c r="I3482" t="str">
        <f>VLOOKUP(B3482,Customers!A:G,7,FALSE)</f>
        <v>Corporate</v>
      </c>
      <c r="Q3482" t="str">
        <f>IF(COUNTIF(Customers!$A$2:$A$1001,B3482)&gt;0,"Valid","Invalid")</f>
        <v>Valid</v>
      </c>
      <c r="R3482" t="str">
        <f>IF(COUNTIF(Branches!$A$2:$A$11,F3482)&gt;0,"Valid","Invalid")</f>
        <v>Valid</v>
      </c>
    </row>
    <row r="3483" spans="1:18" x14ac:dyDescent="0.25">
      <c r="A3483" t="s">
        <v>5554</v>
      </c>
      <c r="B3483" t="s">
        <v>830</v>
      </c>
      <c r="C3483" s="8">
        <v>46172</v>
      </c>
      <c r="D3483" t="s">
        <v>2067</v>
      </c>
      <c r="E3483" t="s">
        <v>2059</v>
      </c>
      <c r="F3483" t="s">
        <v>11</v>
      </c>
      <c r="G3483">
        <v>599.88</v>
      </c>
      <c r="H3483" t="s">
        <v>2060</v>
      </c>
      <c r="I3483" t="str">
        <f>VLOOKUP(B3483,Customers!A:G,7,FALSE)</f>
        <v>Corporate</v>
      </c>
      <c r="Q3483" t="str">
        <f>IF(COUNTIF(Customers!$A$2:$A$1001,B3483)&gt;0,"Valid","Invalid")</f>
        <v>Valid</v>
      </c>
      <c r="R3483" t="str">
        <f>IF(COUNTIF(Branches!$A$2:$A$11,F3483)&gt;0,"Valid","Invalid")</f>
        <v>Valid</v>
      </c>
    </row>
    <row r="3484" spans="1:18" x14ac:dyDescent="0.25">
      <c r="A3484" t="s">
        <v>5555</v>
      </c>
      <c r="B3484" t="s">
        <v>776</v>
      </c>
      <c r="C3484" s="8">
        <v>46132</v>
      </c>
      <c r="D3484" t="s">
        <v>2065</v>
      </c>
      <c r="E3484" t="s">
        <v>2059</v>
      </c>
      <c r="F3484" t="s">
        <v>35</v>
      </c>
      <c r="G3484">
        <v>2625.07</v>
      </c>
      <c r="H3484" t="s">
        <v>2060</v>
      </c>
      <c r="I3484" t="str">
        <f>VLOOKUP(B3484,Customers!A:G,7,FALSE)</f>
        <v>Individual</v>
      </c>
      <c r="Q3484" t="str">
        <f>IF(COUNTIF(Customers!$A$2:$A$1001,B3484)&gt;0,"Valid","Invalid")</f>
        <v>Valid</v>
      </c>
      <c r="R3484" t="str">
        <f>IF(COUNTIF(Branches!$A$2:$A$11,F3484)&gt;0,"Valid","Invalid")</f>
        <v>Valid</v>
      </c>
    </row>
    <row r="3485" spans="1:18" x14ac:dyDescent="0.25">
      <c r="A3485" t="s">
        <v>5556</v>
      </c>
      <c r="B3485" t="s">
        <v>1006</v>
      </c>
      <c r="C3485" s="8">
        <v>46119</v>
      </c>
      <c r="D3485" t="s">
        <v>2065</v>
      </c>
      <c r="E3485" t="s">
        <v>2063</v>
      </c>
      <c r="F3485" t="s">
        <v>39</v>
      </c>
      <c r="G3485">
        <v>469.79</v>
      </c>
      <c r="H3485" t="s">
        <v>2115</v>
      </c>
      <c r="I3485" t="str">
        <f>VLOOKUP(B3485,Customers!A:G,7,FALSE)</f>
        <v>Individual</v>
      </c>
      <c r="Q3485" t="str">
        <f>IF(COUNTIF(Customers!$A$2:$A$1001,B3485)&gt;0,"Valid","Invalid")</f>
        <v>Valid</v>
      </c>
      <c r="R3485" t="str">
        <f>IF(COUNTIF(Branches!$A$2:$A$11,F3485)&gt;0,"Valid","Invalid")</f>
        <v>Valid</v>
      </c>
    </row>
    <row r="3486" spans="1:18" x14ac:dyDescent="0.25">
      <c r="A3486" t="s">
        <v>5557</v>
      </c>
      <c r="B3486" t="s">
        <v>144</v>
      </c>
      <c r="C3486" s="8">
        <v>46067</v>
      </c>
      <c r="D3486" t="s">
        <v>2067</v>
      </c>
      <c r="E3486" t="s">
        <v>2059</v>
      </c>
      <c r="F3486" t="s">
        <v>47</v>
      </c>
      <c r="G3486">
        <v>4361.1899999999996</v>
      </c>
      <c r="H3486" t="s">
        <v>2115</v>
      </c>
      <c r="I3486" t="str">
        <f>VLOOKUP(B3486,Customers!A:G,7,FALSE)</f>
        <v>Student</v>
      </c>
      <c r="Q3486" t="str">
        <f>IF(COUNTIF(Customers!$A$2:$A$1001,B3486)&gt;0,"Valid","Invalid")</f>
        <v>Valid</v>
      </c>
      <c r="R3486" t="str">
        <f>IF(COUNTIF(Branches!$A$2:$A$11,F3486)&gt;0,"Valid","Invalid")</f>
        <v>Valid</v>
      </c>
    </row>
    <row r="3487" spans="1:18" x14ac:dyDescent="0.25">
      <c r="A3487" t="s">
        <v>5558</v>
      </c>
      <c r="B3487" t="s">
        <v>283</v>
      </c>
      <c r="C3487" s="8">
        <v>46113</v>
      </c>
      <c r="D3487" t="s">
        <v>2058</v>
      </c>
      <c r="E3487" t="s">
        <v>2059</v>
      </c>
      <c r="F3487" t="s">
        <v>29</v>
      </c>
      <c r="G3487">
        <v>151.38</v>
      </c>
      <c r="H3487" t="s">
        <v>2060</v>
      </c>
      <c r="I3487" t="str">
        <f>VLOOKUP(B3487,Customers!A:G,7,FALSE)</f>
        <v>Individual</v>
      </c>
      <c r="Q3487" t="str">
        <f>IF(COUNTIF(Customers!$A$2:$A$1001,B3487)&gt;0,"Valid","Invalid")</f>
        <v>Valid</v>
      </c>
      <c r="R3487" t="str">
        <f>IF(COUNTIF(Branches!$A$2:$A$11,F3487)&gt;0,"Valid","Invalid")</f>
        <v>Valid</v>
      </c>
    </row>
    <row r="3488" spans="1:18" x14ac:dyDescent="0.25">
      <c r="A3488" t="s">
        <v>5559</v>
      </c>
      <c r="B3488" t="s">
        <v>293</v>
      </c>
      <c r="C3488" s="8">
        <v>46190</v>
      </c>
      <c r="D3488" t="s">
        <v>2065</v>
      </c>
      <c r="E3488" t="s">
        <v>2059</v>
      </c>
      <c r="F3488" t="s">
        <v>11</v>
      </c>
      <c r="G3488">
        <v>573.28</v>
      </c>
      <c r="H3488" t="s">
        <v>2060</v>
      </c>
      <c r="I3488" t="str">
        <f>VLOOKUP(B3488,Customers!A:G,7,FALSE)</f>
        <v>Corporate</v>
      </c>
      <c r="Q3488" t="str">
        <f>IF(COUNTIF(Customers!$A$2:$A$1001,B3488)&gt;0,"Valid","Invalid")</f>
        <v>Valid</v>
      </c>
      <c r="R3488" t="str">
        <f>IF(COUNTIF(Branches!$A$2:$A$11,F3488)&gt;0,"Valid","Invalid")</f>
        <v>Valid</v>
      </c>
    </row>
    <row r="3489" spans="1:18" x14ac:dyDescent="0.25">
      <c r="A3489" t="s">
        <v>5560</v>
      </c>
      <c r="B3489" t="s">
        <v>67</v>
      </c>
      <c r="C3489" s="8">
        <v>46136</v>
      </c>
      <c r="D3489" t="s">
        <v>2058</v>
      </c>
      <c r="E3489" t="s">
        <v>2068</v>
      </c>
      <c r="F3489" t="s">
        <v>29</v>
      </c>
      <c r="G3489">
        <v>1782.1</v>
      </c>
      <c r="H3489" t="s">
        <v>2060</v>
      </c>
      <c r="I3489" t="str">
        <f>VLOOKUP(B3489,Customers!A:G,7,FALSE)</f>
        <v>Individual</v>
      </c>
      <c r="Q3489" t="str">
        <f>IF(COUNTIF(Customers!$A$2:$A$1001,B3489)&gt;0,"Valid","Invalid")</f>
        <v>Valid</v>
      </c>
      <c r="R3489" t="str">
        <f>IF(COUNTIF(Branches!$A$2:$A$11,F3489)&gt;0,"Valid","Invalid")</f>
        <v>Valid</v>
      </c>
    </row>
    <row r="3490" spans="1:18" x14ac:dyDescent="0.25">
      <c r="A3490" t="s">
        <v>5561</v>
      </c>
      <c r="B3490" t="s">
        <v>57</v>
      </c>
      <c r="C3490" s="8">
        <v>46172</v>
      </c>
      <c r="D3490" t="s">
        <v>2065</v>
      </c>
      <c r="E3490" t="s">
        <v>2059</v>
      </c>
      <c r="F3490" t="s">
        <v>29</v>
      </c>
      <c r="G3490">
        <v>1895.44</v>
      </c>
      <c r="H3490" t="s">
        <v>2060</v>
      </c>
      <c r="I3490" t="str">
        <f>VLOOKUP(B3490,Customers!A:G,7,FALSE)</f>
        <v>SME</v>
      </c>
      <c r="Q3490" t="str">
        <f>IF(COUNTIF(Customers!$A$2:$A$1001,B3490)&gt;0,"Valid","Invalid")</f>
        <v>Valid</v>
      </c>
      <c r="R3490" t="str">
        <f>IF(COUNTIF(Branches!$A$2:$A$11,F3490)&gt;0,"Valid","Invalid")</f>
        <v>Valid</v>
      </c>
    </row>
    <row r="3491" spans="1:18" x14ac:dyDescent="0.25">
      <c r="A3491" t="s">
        <v>5562</v>
      </c>
      <c r="B3491" t="s">
        <v>883</v>
      </c>
      <c r="C3491" s="8">
        <v>46180</v>
      </c>
      <c r="D3491" t="s">
        <v>2065</v>
      </c>
      <c r="E3491" t="s">
        <v>2076</v>
      </c>
      <c r="F3491" t="s">
        <v>39</v>
      </c>
      <c r="G3491">
        <v>580.73</v>
      </c>
      <c r="H3491" t="s">
        <v>2060</v>
      </c>
      <c r="I3491" t="str">
        <f>VLOOKUP(B3491,Customers!A:G,7,FALSE)</f>
        <v>SME</v>
      </c>
      <c r="Q3491" t="str">
        <f>IF(COUNTIF(Customers!$A$2:$A$1001,B3491)&gt;0,"Valid","Invalid")</f>
        <v>Valid</v>
      </c>
      <c r="R3491" t="str">
        <f>IF(COUNTIF(Branches!$A$2:$A$11,F3491)&gt;0,"Valid","Invalid")</f>
        <v>Valid</v>
      </c>
    </row>
    <row r="3492" spans="1:18" x14ac:dyDescent="0.25">
      <c r="A3492" t="s">
        <v>5563</v>
      </c>
      <c r="B3492" t="s">
        <v>604</v>
      </c>
      <c r="C3492" s="8">
        <v>46212</v>
      </c>
      <c r="D3492" t="s">
        <v>2065</v>
      </c>
      <c r="E3492" t="s">
        <v>2059</v>
      </c>
      <c r="F3492" t="s">
        <v>21</v>
      </c>
      <c r="G3492">
        <v>2212.2199999999998</v>
      </c>
      <c r="H3492" t="s">
        <v>2060</v>
      </c>
      <c r="I3492" t="str">
        <f>VLOOKUP(B3492,Customers!A:G,7,FALSE)</f>
        <v>Student</v>
      </c>
      <c r="Q3492" t="str">
        <f>IF(COUNTIF(Customers!$A$2:$A$1001,B3492)&gt;0,"Valid","Invalid")</f>
        <v>Valid</v>
      </c>
      <c r="R3492" t="str">
        <f>IF(COUNTIF(Branches!$A$2:$A$11,F3492)&gt;0,"Valid","Invalid")</f>
        <v>Valid</v>
      </c>
    </row>
    <row r="3493" spans="1:18" x14ac:dyDescent="0.25">
      <c r="A3493" t="s">
        <v>5564</v>
      </c>
      <c r="B3493" t="s">
        <v>859</v>
      </c>
      <c r="C3493" s="8">
        <v>46095</v>
      </c>
      <c r="D3493" t="s">
        <v>2065</v>
      </c>
      <c r="E3493" t="s">
        <v>2073</v>
      </c>
      <c r="F3493" t="s">
        <v>53</v>
      </c>
      <c r="G3493">
        <v>1830.23</v>
      </c>
      <c r="H3493" t="s">
        <v>2060</v>
      </c>
      <c r="I3493" t="str">
        <f>VLOOKUP(B3493,Customers!A:G,7,FALSE)</f>
        <v>Individual</v>
      </c>
      <c r="Q3493" t="str">
        <f>IF(COUNTIF(Customers!$A$2:$A$1001,B3493)&gt;0,"Valid","Invalid")</f>
        <v>Valid</v>
      </c>
      <c r="R3493" t="str">
        <f>IF(COUNTIF(Branches!$A$2:$A$11,F3493)&gt;0,"Valid","Invalid")</f>
        <v>Valid</v>
      </c>
    </row>
    <row r="3494" spans="1:18" x14ac:dyDescent="0.25">
      <c r="A3494" t="s">
        <v>5565</v>
      </c>
      <c r="B3494" t="s">
        <v>85</v>
      </c>
      <c r="C3494" s="8">
        <v>46195</v>
      </c>
      <c r="D3494" t="s">
        <v>2058</v>
      </c>
      <c r="E3494" t="s">
        <v>2059</v>
      </c>
      <c r="F3494" t="s">
        <v>27</v>
      </c>
      <c r="G3494">
        <v>410.71</v>
      </c>
      <c r="H3494" t="s">
        <v>2060</v>
      </c>
      <c r="I3494" t="str">
        <f>VLOOKUP(B3494,Customers!A:G,7,FALSE)</f>
        <v>Individual</v>
      </c>
      <c r="Q3494" t="str">
        <f>IF(COUNTIF(Customers!$A$2:$A$1001,B3494)&gt;0,"Valid","Invalid")</f>
        <v>Valid</v>
      </c>
      <c r="R3494" t="str">
        <f>IF(COUNTIF(Branches!$A$2:$A$11,F3494)&gt;0,"Valid","Invalid")</f>
        <v>Valid</v>
      </c>
    </row>
    <row r="3495" spans="1:18" x14ac:dyDescent="0.25">
      <c r="A3495" t="s">
        <v>5566</v>
      </c>
      <c r="B3495" t="s">
        <v>500</v>
      </c>
      <c r="C3495" s="8">
        <v>46057</v>
      </c>
      <c r="D3495" t="s">
        <v>2067</v>
      </c>
      <c r="E3495" t="s">
        <v>2073</v>
      </c>
      <c r="F3495" t="s">
        <v>29</v>
      </c>
      <c r="G3495">
        <v>1113.1300000000001</v>
      </c>
      <c r="H3495" t="s">
        <v>2060</v>
      </c>
      <c r="I3495" t="str">
        <f>VLOOKUP(B3495,Customers!A:G,7,FALSE)</f>
        <v>Student</v>
      </c>
      <c r="Q3495" t="str">
        <f>IF(COUNTIF(Customers!$A$2:$A$1001,B3495)&gt;0,"Valid","Invalid")</f>
        <v>Valid</v>
      </c>
      <c r="R3495" t="str">
        <f>IF(COUNTIF(Branches!$A$2:$A$11,F3495)&gt;0,"Valid","Invalid")</f>
        <v>Valid</v>
      </c>
    </row>
    <row r="3496" spans="1:18" x14ac:dyDescent="0.25">
      <c r="A3496" t="s">
        <v>5567</v>
      </c>
      <c r="B3496" t="s">
        <v>628</v>
      </c>
      <c r="C3496" s="8">
        <v>46232</v>
      </c>
      <c r="D3496" t="s">
        <v>2062</v>
      </c>
      <c r="E3496" t="s">
        <v>2068</v>
      </c>
      <c r="F3496" t="s">
        <v>11</v>
      </c>
      <c r="G3496">
        <v>1641.91</v>
      </c>
      <c r="H3496" t="s">
        <v>2060</v>
      </c>
      <c r="I3496" t="str">
        <f>VLOOKUP(B3496,Customers!A:G,7,FALSE)</f>
        <v>Individual</v>
      </c>
      <c r="Q3496" t="str">
        <f>IF(COUNTIF(Customers!$A$2:$A$1001,B3496)&gt;0,"Valid","Invalid")</f>
        <v>Valid</v>
      </c>
      <c r="R3496" t="str">
        <f>IF(COUNTIF(Branches!$A$2:$A$11,F3496)&gt;0,"Valid","Invalid")</f>
        <v>Valid</v>
      </c>
    </row>
    <row r="3497" spans="1:18" x14ac:dyDescent="0.25">
      <c r="A3497" t="s">
        <v>5568</v>
      </c>
      <c r="B3497" t="s">
        <v>374</v>
      </c>
      <c r="C3497" s="8">
        <v>46064</v>
      </c>
      <c r="D3497" t="s">
        <v>2065</v>
      </c>
      <c r="E3497" t="s">
        <v>2076</v>
      </c>
      <c r="F3497" t="s">
        <v>21</v>
      </c>
      <c r="G3497">
        <v>441.19</v>
      </c>
      <c r="H3497" t="s">
        <v>2060</v>
      </c>
      <c r="I3497" t="str">
        <f>VLOOKUP(B3497,Customers!A:G,7,FALSE)</f>
        <v>Individual</v>
      </c>
      <c r="Q3497" t="str">
        <f>IF(COUNTIF(Customers!$A$2:$A$1001,B3497)&gt;0,"Valid","Invalid")</f>
        <v>Valid</v>
      </c>
      <c r="R3497" t="str">
        <f>IF(COUNTIF(Branches!$A$2:$A$11,F3497)&gt;0,"Valid","Invalid")</f>
        <v>Valid</v>
      </c>
    </row>
    <row r="3498" spans="1:18" x14ac:dyDescent="0.25">
      <c r="A3498" t="s">
        <v>5569</v>
      </c>
      <c r="B3498" t="s">
        <v>983</v>
      </c>
      <c r="C3498" s="8">
        <v>46155</v>
      </c>
      <c r="D3498" t="s">
        <v>2065</v>
      </c>
      <c r="E3498" t="s">
        <v>2076</v>
      </c>
      <c r="F3498" t="s">
        <v>11</v>
      </c>
      <c r="G3498">
        <v>4421.8999999999996</v>
      </c>
      <c r="H3498" t="s">
        <v>2060</v>
      </c>
      <c r="I3498" t="str">
        <f>VLOOKUP(B3498,Customers!A:G,7,FALSE)</f>
        <v>Individual</v>
      </c>
      <c r="Q3498" t="str">
        <f>IF(COUNTIF(Customers!$A$2:$A$1001,B3498)&gt;0,"Valid","Invalid")</f>
        <v>Valid</v>
      </c>
      <c r="R3498" t="str">
        <f>IF(COUNTIF(Branches!$A$2:$A$11,F3498)&gt;0,"Valid","Invalid")</f>
        <v>Valid</v>
      </c>
    </row>
    <row r="3499" spans="1:18" x14ac:dyDescent="0.25">
      <c r="A3499" t="s">
        <v>5570</v>
      </c>
      <c r="B3499" t="s">
        <v>396</v>
      </c>
      <c r="C3499" s="8">
        <v>46049</v>
      </c>
      <c r="D3499" t="s">
        <v>2067</v>
      </c>
      <c r="E3499" t="s">
        <v>2063</v>
      </c>
      <c r="F3499" t="s">
        <v>11</v>
      </c>
      <c r="G3499">
        <v>352.35</v>
      </c>
      <c r="H3499" t="s">
        <v>2060</v>
      </c>
      <c r="I3499" t="str">
        <f>VLOOKUP(B3499,Customers!A:G,7,FALSE)</f>
        <v>Student</v>
      </c>
      <c r="Q3499" t="str">
        <f>IF(COUNTIF(Customers!$A$2:$A$1001,B3499)&gt;0,"Valid","Invalid")</f>
        <v>Valid</v>
      </c>
      <c r="R3499" t="str">
        <f>IF(COUNTIF(Branches!$A$2:$A$11,F3499)&gt;0,"Valid","Invalid")</f>
        <v>Valid</v>
      </c>
    </row>
    <row r="3500" spans="1:18" x14ac:dyDescent="0.25">
      <c r="A3500" t="s">
        <v>5571</v>
      </c>
      <c r="B3500" t="s">
        <v>158</v>
      </c>
      <c r="C3500" s="8">
        <v>46220</v>
      </c>
      <c r="D3500" t="s">
        <v>2062</v>
      </c>
      <c r="E3500" t="s">
        <v>2073</v>
      </c>
      <c r="F3500" t="s">
        <v>47</v>
      </c>
      <c r="G3500">
        <v>938.32</v>
      </c>
      <c r="H3500" t="s">
        <v>2060</v>
      </c>
      <c r="I3500" t="str">
        <f>VLOOKUP(B3500,Customers!A:G,7,FALSE)</f>
        <v>Individual</v>
      </c>
      <c r="Q3500" t="str">
        <f>IF(COUNTIF(Customers!$A$2:$A$1001,B3500)&gt;0,"Valid","Invalid")</f>
        <v>Valid</v>
      </c>
      <c r="R3500" t="str">
        <f>IF(COUNTIF(Branches!$A$2:$A$11,F3500)&gt;0,"Valid","Invalid")</f>
        <v>Valid</v>
      </c>
    </row>
    <row r="3501" spans="1:18" x14ac:dyDescent="0.25">
      <c r="A3501" t="s">
        <v>5572</v>
      </c>
      <c r="B3501" t="s">
        <v>482</v>
      </c>
      <c r="C3501" s="8">
        <v>46212</v>
      </c>
      <c r="D3501" t="s">
        <v>2067</v>
      </c>
      <c r="E3501" t="s">
        <v>2063</v>
      </c>
      <c r="F3501" t="s">
        <v>27</v>
      </c>
      <c r="G3501">
        <v>232.81</v>
      </c>
      <c r="H3501" t="s">
        <v>2115</v>
      </c>
      <c r="I3501" t="str">
        <f>VLOOKUP(B3501,Customers!A:G,7,FALSE)</f>
        <v>Individual</v>
      </c>
      <c r="Q3501" t="str">
        <f>IF(COUNTIF(Customers!$A$2:$A$1001,B3501)&gt;0,"Valid","Invalid")</f>
        <v>Valid</v>
      </c>
      <c r="R3501" t="str">
        <f>IF(COUNTIF(Branches!$A$2:$A$11,F3501)&gt;0,"Valid","Invalid")</f>
        <v>Valid</v>
      </c>
    </row>
    <row r="3502" spans="1:18" x14ac:dyDescent="0.25">
      <c r="A3502" t="s">
        <v>5573</v>
      </c>
      <c r="B3502" t="s">
        <v>397</v>
      </c>
      <c r="C3502" s="8">
        <v>46054</v>
      </c>
      <c r="D3502" t="s">
        <v>2067</v>
      </c>
      <c r="E3502" t="s">
        <v>2059</v>
      </c>
      <c r="F3502" t="s">
        <v>45</v>
      </c>
      <c r="G3502">
        <v>900.87</v>
      </c>
      <c r="H3502" t="s">
        <v>2060</v>
      </c>
      <c r="I3502" t="str">
        <f>VLOOKUP(B3502,Customers!A:G,7,FALSE)</f>
        <v>Individual</v>
      </c>
      <c r="Q3502" t="str">
        <f>IF(COUNTIF(Customers!$A$2:$A$1001,B3502)&gt;0,"Valid","Invalid")</f>
        <v>Valid</v>
      </c>
      <c r="R3502" t="str">
        <f>IF(COUNTIF(Branches!$A$2:$A$11,F3502)&gt;0,"Valid","Invalid")</f>
        <v>Valid</v>
      </c>
    </row>
    <row r="3503" spans="1:18" x14ac:dyDescent="0.25">
      <c r="A3503" t="s">
        <v>5574</v>
      </c>
      <c r="B3503" t="s">
        <v>640</v>
      </c>
      <c r="C3503" s="8">
        <v>46158</v>
      </c>
      <c r="D3503" t="s">
        <v>2067</v>
      </c>
      <c r="E3503" t="s">
        <v>2063</v>
      </c>
      <c r="F3503" t="s">
        <v>53</v>
      </c>
      <c r="G3503">
        <v>279.48</v>
      </c>
      <c r="H3503" t="s">
        <v>2060</v>
      </c>
      <c r="I3503" t="str">
        <f>VLOOKUP(B3503,Customers!A:G,7,FALSE)</f>
        <v>Student</v>
      </c>
      <c r="Q3503" t="str">
        <f>IF(COUNTIF(Customers!$A$2:$A$1001,B3503)&gt;0,"Valid","Invalid")</f>
        <v>Valid</v>
      </c>
      <c r="R3503" t="str">
        <f>IF(COUNTIF(Branches!$A$2:$A$11,F3503)&gt;0,"Valid","Invalid")</f>
        <v>Valid</v>
      </c>
    </row>
    <row r="3504" spans="1:18" x14ac:dyDescent="0.25">
      <c r="A3504" t="s">
        <v>5575</v>
      </c>
      <c r="B3504" t="s">
        <v>384</v>
      </c>
      <c r="C3504" s="8">
        <v>46125</v>
      </c>
      <c r="D3504" t="s">
        <v>2065</v>
      </c>
      <c r="E3504" t="s">
        <v>2059</v>
      </c>
      <c r="F3504" t="s">
        <v>29</v>
      </c>
      <c r="G3504">
        <v>605.39</v>
      </c>
      <c r="H3504" t="s">
        <v>2060</v>
      </c>
      <c r="I3504" t="str">
        <f>VLOOKUP(B3504,Customers!A:G,7,FALSE)</f>
        <v>Individual</v>
      </c>
      <c r="Q3504" t="str">
        <f>IF(COUNTIF(Customers!$A$2:$A$1001,B3504)&gt;0,"Valid","Invalid")</f>
        <v>Valid</v>
      </c>
      <c r="R3504" t="str">
        <f>IF(COUNTIF(Branches!$A$2:$A$11,F3504)&gt;0,"Valid","Invalid")</f>
        <v>Valid</v>
      </c>
    </row>
    <row r="3505" spans="1:18" x14ac:dyDescent="0.25">
      <c r="A3505" t="s">
        <v>5576</v>
      </c>
      <c r="B3505" t="s">
        <v>230</v>
      </c>
      <c r="C3505" s="8">
        <v>46107</v>
      </c>
      <c r="D3505" t="s">
        <v>2070</v>
      </c>
      <c r="E3505" t="s">
        <v>2076</v>
      </c>
      <c r="F3505" t="s">
        <v>45</v>
      </c>
      <c r="G3505">
        <v>166.23</v>
      </c>
      <c r="H3505" t="s">
        <v>2060</v>
      </c>
      <c r="I3505" t="str">
        <f>VLOOKUP(B3505,Customers!A:G,7,FALSE)</f>
        <v>Individual</v>
      </c>
      <c r="Q3505" t="str">
        <f>IF(COUNTIF(Customers!$A$2:$A$1001,B3505)&gt;0,"Valid","Invalid")</f>
        <v>Valid</v>
      </c>
      <c r="R3505" t="str">
        <f>IF(COUNTIF(Branches!$A$2:$A$11,F3505)&gt;0,"Valid","Invalid")</f>
        <v>Valid</v>
      </c>
    </row>
    <row r="3506" spans="1:18" x14ac:dyDescent="0.25">
      <c r="A3506" t="s">
        <v>5577</v>
      </c>
      <c r="B3506" t="s">
        <v>454</v>
      </c>
      <c r="C3506" s="8">
        <v>46168</v>
      </c>
      <c r="D3506" t="s">
        <v>2058</v>
      </c>
      <c r="E3506" t="s">
        <v>2073</v>
      </c>
      <c r="F3506" t="s">
        <v>29</v>
      </c>
      <c r="G3506">
        <v>1807.71</v>
      </c>
      <c r="H3506" t="s">
        <v>2060</v>
      </c>
      <c r="I3506" t="str">
        <f>VLOOKUP(B3506,Customers!A:G,7,FALSE)</f>
        <v>Corporate</v>
      </c>
      <c r="Q3506" t="str">
        <f>IF(COUNTIF(Customers!$A$2:$A$1001,B3506)&gt;0,"Valid","Invalid")</f>
        <v>Valid</v>
      </c>
      <c r="R3506" t="str">
        <f>IF(COUNTIF(Branches!$A$2:$A$11,F3506)&gt;0,"Valid","Invalid")</f>
        <v>Valid</v>
      </c>
    </row>
    <row r="3507" spans="1:18" x14ac:dyDescent="0.25">
      <c r="A3507" t="s">
        <v>5578</v>
      </c>
      <c r="B3507" t="s">
        <v>415</v>
      </c>
      <c r="C3507" s="8">
        <v>46100</v>
      </c>
      <c r="D3507" t="s">
        <v>2062</v>
      </c>
      <c r="E3507" t="s">
        <v>2059</v>
      </c>
      <c r="F3507" t="s">
        <v>53</v>
      </c>
      <c r="G3507">
        <v>1160.1199999999999</v>
      </c>
      <c r="H3507" t="s">
        <v>2060</v>
      </c>
      <c r="I3507" t="str">
        <f>VLOOKUP(B3507,Customers!A:G,7,FALSE)</f>
        <v>Individual</v>
      </c>
      <c r="Q3507" t="str">
        <f>IF(COUNTIF(Customers!$A$2:$A$1001,B3507)&gt;0,"Valid","Invalid")</f>
        <v>Valid</v>
      </c>
      <c r="R3507" t="str">
        <f>IF(COUNTIF(Branches!$A$2:$A$11,F3507)&gt;0,"Valid","Invalid")</f>
        <v>Valid</v>
      </c>
    </row>
    <row r="3508" spans="1:18" x14ac:dyDescent="0.25">
      <c r="A3508" t="s">
        <v>5579</v>
      </c>
      <c r="B3508" t="s">
        <v>501</v>
      </c>
      <c r="C3508" s="8">
        <v>46165</v>
      </c>
      <c r="D3508" t="s">
        <v>2058</v>
      </c>
      <c r="E3508" t="s">
        <v>2073</v>
      </c>
      <c r="F3508" t="s">
        <v>47</v>
      </c>
      <c r="G3508">
        <v>2410.0700000000002</v>
      </c>
      <c r="H3508" t="s">
        <v>2060</v>
      </c>
      <c r="I3508" t="str">
        <f>VLOOKUP(B3508,Customers!A:G,7,FALSE)</f>
        <v>Individual</v>
      </c>
      <c r="Q3508" t="str">
        <f>IF(COUNTIF(Customers!$A$2:$A$1001,B3508)&gt;0,"Valid","Invalid")</f>
        <v>Valid</v>
      </c>
      <c r="R3508" t="str">
        <f>IF(COUNTIF(Branches!$A$2:$A$11,F3508)&gt;0,"Valid","Invalid")</f>
        <v>Valid</v>
      </c>
    </row>
    <row r="3509" spans="1:18" x14ac:dyDescent="0.25">
      <c r="A3509" t="s">
        <v>5580</v>
      </c>
      <c r="B3509" t="s">
        <v>794</v>
      </c>
      <c r="C3509" s="8">
        <v>46256</v>
      </c>
      <c r="D3509" t="s">
        <v>2058</v>
      </c>
      <c r="E3509" t="s">
        <v>2076</v>
      </c>
      <c r="F3509" t="s">
        <v>16</v>
      </c>
      <c r="G3509">
        <v>573.75</v>
      </c>
      <c r="H3509" t="s">
        <v>2060</v>
      </c>
      <c r="I3509" t="str">
        <f>VLOOKUP(B3509,Customers!A:G,7,FALSE)</f>
        <v>Corporate</v>
      </c>
      <c r="Q3509" t="str">
        <f>IF(COUNTIF(Customers!$A$2:$A$1001,B3509)&gt;0,"Valid","Invalid")</f>
        <v>Valid</v>
      </c>
      <c r="R3509" t="str">
        <f>IF(COUNTIF(Branches!$A$2:$A$11,F3509)&gt;0,"Valid","Invalid")</f>
        <v>Valid</v>
      </c>
    </row>
    <row r="3510" spans="1:18" x14ac:dyDescent="0.25">
      <c r="A3510" t="s">
        <v>5581</v>
      </c>
      <c r="B3510" t="s">
        <v>699</v>
      </c>
      <c r="C3510" s="8">
        <v>46176</v>
      </c>
      <c r="D3510" t="s">
        <v>2065</v>
      </c>
      <c r="E3510" t="s">
        <v>2063</v>
      </c>
      <c r="F3510" t="s">
        <v>21</v>
      </c>
      <c r="G3510">
        <v>2524.62</v>
      </c>
      <c r="H3510" t="s">
        <v>2060</v>
      </c>
      <c r="I3510" t="str">
        <f>VLOOKUP(B3510,Customers!A:G,7,FALSE)</f>
        <v>SME</v>
      </c>
      <c r="Q3510" t="str">
        <f>IF(COUNTIF(Customers!$A$2:$A$1001,B3510)&gt;0,"Valid","Invalid")</f>
        <v>Valid</v>
      </c>
      <c r="R3510" t="str">
        <f>IF(COUNTIF(Branches!$A$2:$A$11,F3510)&gt;0,"Valid","Invalid")</f>
        <v>Valid</v>
      </c>
    </row>
    <row r="3511" spans="1:18" x14ac:dyDescent="0.25">
      <c r="A3511" t="s">
        <v>5582</v>
      </c>
      <c r="B3511" t="s">
        <v>182</v>
      </c>
      <c r="C3511" s="8">
        <v>46203</v>
      </c>
      <c r="D3511" t="s">
        <v>2058</v>
      </c>
      <c r="E3511" t="s">
        <v>2063</v>
      </c>
      <c r="F3511" t="s">
        <v>27</v>
      </c>
      <c r="G3511">
        <v>844.95</v>
      </c>
      <c r="H3511" t="s">
        <v>2060</v>
      </c>
      <c r="I3511" t="str">
        <f>VLOOKUP(B3511,Customers!A:G,7,FALSE)</f>
        <v>Individual</v>
      </c>
      <c r="Q3511" t="str">
        <f>IF(COUNTIF(Customers!$A$2:$A$1001,B3511)&gt;0,"Valid","Invalid")</f>
        <v>Valid</v>
      </c>
      <c r="R3511" t="str">
        <f>IF(COUNTIF(Branches!$A$2:$A$11,F3511)&gt;0,"Valid","Invalid")</f>
        <v>Valid</v>
      </c>
    </row>
    <row r="3512" spans="1:18" x14ac:dyDescent="0.25">
      <c r="A3512" t="s">
        <v>5583</v>
      </c>
      <c r="B3512" t="s">
        <v>516</v>
      </c>
      <c r="C3512" s="8">
        <v>46066</v>
      </c>
      <c r="D3512" t="s">
        <v>2065</v>
      </c>
      <c r="E3512" t="s">
        <v>2076</v>
      </c>
      <c r="F3512" t="s">
        <v>39</v>
      </c>
      <c r="G3512">
        <v>909.75</v>
      </c>
      <c r="H3512" t="s">
        <v>2060</v>
      </c>
      <c r="I3512" t="str">
        <f>VLOOKUP(B3512,Customers!A:G,7,FALSE)</f>
        <v>SME</v>
      </c>
      <c r="Q3512" t="str">
        <f>IF(COUNTIF(Customers!$A$2:$A$1001,B3512)&gt;0,"Valid","Invalid")</f>
        <v>Valid</v>
      </c>
      <c r="R3512" t="str">
        <f>IF(COUNTIF(Branches!$A$2:$A$11,F3512)&gt;0,"Valid","Invalid")</f>
        <v>Valid</v>
      </c>
    </row>
    <row r="3513" spans="1:18" x14ac:dyDescent="0.25">
      <c r="A3513" t="s">
        <v>5584</v>
      </c>
      <c r="B3513" t="s">
        <v>866</v>
      </c>
      <c r="C3513" s="8">
        <v>46054</v>
      </c>
      <c r="D3513" t="s">
        <v>2067</v>
      </c>
      <c r="E3513" t="s">
        <v>2063</v>
      </c>
      <c r="F3513" t="s">
        <v>27</v>
      </c>
      <c r="G3513">
        <v>6728.14</v>
      </c>
      <c r="H3513" t="s">
        <v>2060</v>
      </c>
      <c r="I3513" t="str">
        <f>VLOOKUP(B3513,Customers!A:G,7,FALSE)</f>
        <v>Individual</v>
      </c>
      <c r="Q3513" t="str">
        <f>IF(COUNTIF(Customers!$A$2:$A$1001,B3513)&gt;0,"Valid","Invalid")</f>
        <v>Valid</v>
      </c>
      <c r="R3513" t="str">
        <f>IF(COUNTIF(Branches!$A$2:$A$11,F3513)&gt;0,"Valid","Invalid")</f>
        <v>Valid</v>
      </c>
    </row>
    <row r="3514" spans="1:18" x14ac:dyDescent="0.25">
      <c r="A3514" t="s">
        <v>5585</v>
      </c>
      <c r="B3514" t="s">
        <v>928</v>
      </c>
      <c r="C3514" s="8">
        <v>46253</v>
      </c>
      <c r="D3514" t="s">
        <v>2058</v>
      </c>
      <c r="E3514" t="s">
        <v>2059</v>
      </c>
      <c r="F3514" t="s">
        <v>29</v>
      </c>
      <c r="G3514">
        <v>500.36</v>
      </c>
      <c r="H3514" t="s">
        <v>2060</v>
      </c>
      <c r="I3514" t="str">
        <f>VLOOKUP(B3514,Customers!A:G,7,FALSE)</f>
        <v>SME</v>
      </c>
      <c r="Q3514" t="str">
        <f>IF(COUNTIF(Customers!$A$2:$A$1001,B3514)&gt;0,"Valid","Invalid")</f>
        <v>Valid</v>
      </c>
      <c r="R3514" t="str">
        <f>IF(COUNTIF(Branches!$A$2:$A$11,F3514)&gt;0,"Valid","Invalid")</f>
        <v>Valid</v>
      </c>
    </row>
    <row r="3515" spans="1:18" x14ac:dyDescent="0.25">
      <c r="A3515" t="s">
        <v>5586</v>
      </c>
      <c r="B3515" t="s">
        <v>691</v>
      </c>
      <c r="C3515" s="8">
        <v>46050</v>
      </c>
      <c r="D3515" t="s">
        <v>2062</v>
      </c>
      <c r="E3515" t="s">
        <v>2063</v>
      </c>
      <c r="F3515" t="s">
        <v>39</v>
      </c>
      <c r="G3515">
        <v>2772.37</v>
      </c>
      <c r="H3515" t="s">
        <v>2060</v>
      </c>
      <c r="I3515" t="str">
        <f>VLOOKUP(B3515,Customers!A:G,7,FALSE)</f>
        <v>Individual</v>
      </c>
      <c r="Q3515" t="str">
        <f>IF(COUNTIF(Customers!$A$2:$A$1001,B3515)&gt;0,"Valid","Invalid")</f>
        <v>Valid</v>
      </c>
      <c r="R3515" t="str">
        <f>IF(COUNTIF(Branches!$A$2:$A$11,F3515)&gt;0,"Valid","Invalid")</f>
        <v>Valid</v>
      </c>
    </row>
    <row r="3516" spans="1:18" x14ac:dyDescent="0.25">
      <c r="A3516" t="s">
        <v>5587</v>
      </c>
      <c r="B3516" t="s">
        <v>446</v>
      </c>
      <c r="C3516" s="8">
        <v>46189</v>
      </c>
      <c r="D3516" t="s">
        <v>2058</v>
      </c>
      <c r="E3516" t="s">
        <v>2059</v>
      </c>
      <c r="F3516" t="s">
        <v>53</v>
      </c>
      <c r="G3516">
        <v>1312.49</v>
      </c>
      <c r="H3516" t="s">
        <v>2060</v>
      </c>
      <c r="I3516" t="str">
        <f>VLOOKUP(B3516,Customers!A:G,7,FALSE)</f>
        <v>Corporate</v>
      </c>
      <c r="Q3516" t="str">
        <f>IF(COUNTIF(Customers!$A$2:$A$1001,B3516)&gt;0,"Valid","Invalid")</f>
        <v>Valid</v>
      </c>
      <c r="R3516" t="str">
        <f>IF(COUNTIF(Branches!$A$2:$A$11,F3516)&gt;0,"Valid","Invalid")</f>
        <v>Valid</v>
      </c>
    </row>
    <row r="3517" spans="1:18" x14ac:dyDescent="0.25">
      <c r="A3517" t="s">
        <v>5588</v>
      </c>
      <c r="B3517" t="s">
        <v>324</v>
      </c>
      <c r="C3517" s="8">
        <v>46257</v>
      </c>
      <c r="D3517" t="s">
        <v>2058</v>
      </c>
      <c r="E3517" t="s">
        <v>2076</v>
      </c>
      <c r="F3517" t="s">
        <v>39</v>
      </c>
      <c r="G3517">
        <v>458.56</v>
      </c>
      <c r="H3517" t="s">
        <v>2107</v>
      </c>
      <c r="I3517" t="str">
        <f>VLOOKUP(B3517,Customers!A:G,7,FALSE)</f>
        <v>Individual</v>
      </c>
      <c r="Q3517" t="str">
        <f>IF(COUNTIF(Customers!$A$2:$A$1001,B3517)&gt;0,"Valid","Invalid")</f>
        <v>Valid</v>
      </c>
      <c r="R3517" t="str">
        <f>IF(COUNTIF(Branches!$A$2:$A$11,F3517)&gt;0,"Valid","Invalid")</f>
        <v>Valid</v>
      </c>
    </row>
    <row r="3518" spans="1:18" x14ac:dyDescent="0.25">
      <c r="A3518" t="s">
        <v>5589</v>
      </c>
      <c r="B3518" t="s">
        <v>936</v>
      </c>
      <c r="C3518" s="8">
        <v>46182</v>
      </c>
      <c r="D3518" t="s">
        <v>2065</v>
      </c>
      <c r="E3518" t="s">
        <v>2059</v>
      </c>
      <c r="F3518" t="s">
        <v>29</v>
      </c>
      <c r="G3518">
        <v>217.96</v>
      </c>
      <c r="H3518" t="s">
        <v>2060</v>
      </c>
      <c r="I3518" t="str">
        <f>VLOOKUP(B3518,Customers!A:G,7,FALSE)</f>
        <v>Individual</v>
      </c>
      <c r="Q3518" t="str">
        <f>IF(COUNTIF(Customers!$A$2:$A$1001,B3518)&gt;0,"Valid","Invalid")</f>
        <v>Valid</v>
      </c>
      <c r="R3518" t="str">
        <f>IF(COUNTIF(Branches!$A$2:$A$11,F3518)&gt;0,"Valid","Invalid")</f>
        <v>Valid</v>
      </c>
    </row>
    <row r="3519" spans="1:18" x14ac:dyDescent="0.25">
      <c r="A3519" t="s">
        <v>5590</v>
      </c>
      <c r="B3519" t="s">
        <v>889</v>
      </c>
      <c r="C3519" s="8">
        <v>46099</v>
      </c>
      <c r="D3519" t="s">
        <v>2067</v>
      </c>
      <c r="E3519" t="s">
        <v>2063</v>
      </c>
      <c r="F3519" t="s">
        <v>29</v>
      </c>
      <c r="G3519">
        <v>289.14</v>
      </c>
      <c r="H3519" t="s">
        <v>2060</v>
      </c>
      <c r="I3519" t="str">
        <f>VLOOKUP(B3519,Customers!A:G,7,FALSE)</f>
        <v>Corporate</v>
      </c>
      <c r="Q3519" t="str">
        <f>IF(COUNTIF(Customers!$A$2:$A$1001,B3519)&gt;0,"Valid","Invalid")</f>
        <v>Valid</v>
      </c>
      <c r="R3519" t="str">
        <f>IF(COUNTIF(Branches!$A$2:$A$11,F3519)&gt;0,"Valid","Invalid")</f>
        <v>Valid</v>
      </c>
    </row>
    <row r="3520" spans="1:18" x14ac:dyDescent="0.25">
      <c r="A3520" t="s">
        <v>5591</v>
      </c>
      <c r="B3520" t="s">
        <v>147</v>
      </c>
      <c r="C3520" s="8">
        <v>46229</v>
      </c>
      <c r="D3520" t="s">
        <v>2065</v>
      </c>
      <c r="E3520" t="s">
        <v>2063</v>
      </c>
      <c r="F3520" t="s">
        <v>27</v>
      </c>
      <c r="G3520">
        <v>2516.63</v>
      </c>
      <c r="H3520" t="s">
        <v>2060</v>
      </c>
      <c r="I3520" t="str">
        <f>VLOOKUP(B3520,Customers!A:G,7,FALSE)</f>
        <v>Individual</v>
      </c>
      <c r="Q3520" t="str">
        <f>IF(COUNTIF(Customers!$A$2:$A$1001,B3520)&gt;0,"Valid","Invalid")</f>
        <v>Valid</v>
      </c>
      <c r="R3520" t="str">
        <f>IF(COUNTIF(Branches!$A$2:$A$11,F3520)&gt;0,"Valid","Invalid")</f>
        <v>Valid</v>
      </c>
    </row>
    <row r="3521" spans="1:18" x14ac:dyDescent="0.25">
      <c r="A3521" t="s">
        <v>5592</v>
      </c>
      <c r="B3521" t="s">
        <v>658</v>
      </c>
      <c r="C3521" s="8">
        <v>46040</v>
      </c>
      <c r="D3521" t="s">
        <v>2062</v>
      </c>
      <c r="E3521" t="s">
        <v>2059</v>
      </c>
      <c r="F3521" t="s">
        <v>53</v>
      </c>
      <c r="G3521">
        <v>4602.71</v>
      </c>
      <c r="H3521" t="s">
        <v>2060</v>
      </c>
      <c r="I3521" t="str">
        <f>VLOOKUP(B3521,Customers!A:G,7,FALSE)</f>
        <v>Student</v>
      </c>
      <c r="Q3521" t="str">
        <f>IF(COUNTIF(Customers!$A$2:$A$1001,B3521)&gt;0,"Valid","Invalid")</f>
        <v>Valid</v>
      </c>
      <c r="R3521" t="str">
        <f>IF(COUNTIF(Branches!$A$2:$A$11,F3521)&gt;0,"Valid","Invalid")</f>
        <v>Valid</v>
      </c>
    </row>
    <row r="3522" spans="1:18" x14ac:dyDescent="0.25">
      <c r="A3522" t="s">
        <v>5593</v>
      </c>
      <c r="B3522" t="s">
        <v>917</v>
      </c>
      <c r="C3522" s="8">
        <v>46125</v>
      </c>
      <c r="D3522" t="s">
        <v>2070</v>
      </c>
      <c r="E3522" t="s">
        <v>2063</v>
      </c>
      <c r="F3522" t="s">
        <v>47</v>
      </c>
      <c r="G3522">
        <v>890.19</v>
      </c>
      <c r="H3522" t="s">
        <v>2060</v>
      </c>
      <c r="I3522" t="str">
        <f>VLOOKUP(B3522,Customers!A:G,7,FALSE)</f>
        <v>Individual</v>
      </c>
      <c r="Q3522" t="str">
        <f>IF(COUNTIF(Customers!$A$2:$A$1001,B3522)&gt;0,"Valid","Invalid")</f>
        <v>Valid</v>
      </c>
      <c r="R3522" t="str">
        <f>IF(COUNTIF(Branches!$A$2:$A$11,F3522)&gt;0,"Valid","Invalid")</f>
        <v>Valid</v>
      </c>
    </row>
    <row r="3523" spans="1:18" x14ac:dyDescent="0.25">
      <c r="A3523" t="s">
        <v>5594</v>
      </c>
      <c r="B3523" t="s">
        <v>831</v>
      </c>
      <c r="C3523" s="8">
        <v>46092</v>
      </c>
      <c r="D3523" t="s">
        <v>2065</v>
      </c>
      <c r="E3523" t="s">
        <v>2059</v>
      </c>
      <c r="F3523" t="s">
        <v>47</v>
      </c>
      <c r="G3523">
        <v>938.12</v>
      </c>
      <c r="H3523" t="s">
        <v>2060</v>
      </c>
      <c r="I3523" t="str">
        <f>VLOOKUP(B3523,Customers!A:G,7,FALSE)</f>
        <v>Corporate</v>
      </c>
      <c r="Q3523" t="str">
        <f>IF(COUNTIF(Customers!$A$2:$A$1001,B3523)&gt;0,"Valid","Invalid")</f>
        <v>Valid</v>
      </c>
      <c r="R3523" t="str">
        <f>IF(COUNTIF(Branches!$A$2:$A$11,F3523)&gt;0,"Valid","Invalid")</f>
        <v>Valid</v>
      </c>
    </row>
    <row r="3524" spans="1:18" x14ac:dyDescent="0.25">
      <c r="A3524" t="s">
        <v>5595</v>
      </c>
      <c r="B3524" t="s">
        <v>86</v>
      </c>
      <c r="C3524" s="8">
        <v>46141</v>
      </c>
      <c r="D3524" t="s">
        <v>2065</v>
      </c>
      <c r="E3524" t="s">
        <v>2076</v>
      </c>
      <c r="F3524" t="s">
        <v>39</v>
      </c>
      <c r="G3524">
        <v>1765.97</v>
      </c>
      <c r="H3524" t="s">
        <v>2060</v>
      </c>
      <c r="I3524" t="str">
        <f>VLOOKUP(B3524,Customers!A:G,7,FALSE)</f>
        <v>Corporate</v>
      </c>
      <c r="Q3524" t="str">
        <f>IF(COUNTIF(Customers!$A$2:$A$1001,B3524)&gt;0,"Valid","Invalid")</f>
        <v>Valid</v>
      </c>
      <c r="R3524" t="str">
        <f>IF(COUNTIF(Branches!$A$2:$A$11,F3524)&gt;0,"Valid","Invalid")</f>
        <v>Valid</v>
      </c>
    </row>
    <row r="3525" spans="1:18" x14ac:dyDescent="0.25">
      <c r="A3525" t="s">
        <v>5596</v>
      </c>
      <c r="B3525" t="s">
        <v>46</v>
      </c>
      <c r="C3525" s="8">
        <v>46161</v>
      </c>
      <c r="D3525" t="s">
        <v>2067</v>
      </c>
      <c r="E3525" t="s">
        <v>2063</v>
      </c>
      <c r="F3525" t="s">
        <v>29</v>
      </c>
      <c r="G3525">
        <v>874.19</v>
      </c>
      <c r="H3525" t="s">
        <v>2060</v>
      </c>
      <c r="I3525" t="str">
        <f>VLOOKUP(B3525,Customers!A:G,7,FALSE)</f>
        <v>Individual</v>
      </c>
      <c r="Q3525" t="str">
        <f>IF(COUNTIF(Customers!$A$2:$A$1001,B3525)&gt;0,"Valid","Invalid")</f>
        <v>Valid</v>
      </c>
      <c r="R3525" t="str">
        <f>IF(COUNTIF(Branches!$A$2:$A$11,F3525)&gt;0,"Valid","Invalid")</f>
        <v>Valid</v>
      </c>
    </row>
    <row r="3526" spans="1:18" x14ac:dyDescent="0.25">
      <c r="A3526" t="s">
        <v>5597</v>
      </c>
      <c r="B3526" t="s">
        <v>170</v>
      </c>
      <c r="C3526" s="8">
        <v>46182</v>
      </c>
      <c r="D3526" t="s">
        <v>2062</v>
      </c>
      <c r="E3526" t="s">
        <v>2059</v>
      </c>
      <c r="F3526" t="s">
        <v>53</v>
      </c>
      <c r="G3526">
        <v>2439.87</v>
      </c>
      <c r="H3526" t="s">
        <v>2060</v>
      </c>
      <c r="I3526" t="str">
        <f>VLOOKUP(B3526,Customers!A:G,7,FALSE)</f>
        <v>Individual</v>
      </c>
      <c r="Q3526" t="str">
        <f>IF(COUNTIF(Customers!$A$2:$A$1001,B3526)&gt;0,"Valid","Invalid")</f>
        <v>Valid</v>
      </c>
      <c r="R3526" t="str">
        <f>IF(COUNTIF(Branches!$A$2:$A$11,F3526)&gt;0,"Valid","Invalid")</f>
        <v>Valid</v>
      </c>
    </row>
    <row r="3527" spans="1:18" x14ac:dyDescent="0.25">
      <c r="A3527" t="s">
        <v>5598</v>
      </c>
      <c r="B3527" t="s">
        <v>626</v>
      </c>
      <c r="C3527" s="8">
        <v>46254</v>
      </c>
      <c r="D3527" t="s">
        <v>2058</v>
      </c>
      <c r="E3527" t="s">
        <v>2059</v>
      </c>
      <c r="F3527" t="s">
        <v>27</v>
      </c>
      <c r="G3527">
        <v>1087.48</v>
      </c>
      <c r="H3527" t="s">
        <v>2060</v>
      </c>
      <c r="I3527" t="str">
        <f>VLOOKUP(B3527,Customers!A:G,7,FALSE)</f>
        <v>Individual</v>
      </c>
      <c r="Q3527" t="str">
        <f>IF(COUNTIF(Customers!$A$2:$A$1001,B3527)&gt;0,"Valid","Invalid")</f>
        <v>Valid</v>
      </c>
      <c r="R3527" t="str">
        <f>IF(COUNTIF(Branches!$A$2:$A$11,F3527)&gt;0,"Valid","Invalid")</f>
        <v>Valid</v>
      </c>
    </row>
    <row r="3528" spans="1:18" x14ac:dyDescent="0.25">
      <c r="A3528" t="s">
        <v>5599</v>
      </c>
      <c r="B3528" t="s">
        <v>634</v>
      </c>
      <c r="C3528" s="8">
        <v>46170</v>
      </c>
      <c r="D3528" t="s">
        <v>2065</v>
      </c>
      <c r="E3528" t="s">
        <v>2063</v>
      </c>
      <c r="F3528" t="s">
        <v>11</v>
      </c>
      <c r="G3528">
        <v>930.33</v>
      </c>
      <c r="H3528" t="s">
        <v>2060</v>
      </c>
      <c r="I3528" t="str">
        <f>VLOOKUP(B3528,Customers!A:G,7,FALSE)</f>
        <v>Individual</v>
      </c>
      <c r="Q3528" t="str">
        <f>IF(COUNTIF(Customers!$A$2:$A$1001,B3528)&gt;0,"Valid","Invalid")</f>
        <v>Valid</v>
      </c>
      <c r="R3528" t="str">
        <f>IF(COUNTIF(Branches!$A$2:$A$11,F3528)&gt;0,"Valid","Invalid")</f>
        <v>Valid</v>
      </c>
    </row>
    <row r="3529" spans="1:18" x14ac:dyDescent="0.25">
      <c r="A3529" t="s">
        <v>5600</v>
      </c>
      <c r="B3529" t="s">
        <v>381</v>
      </c>
      <c r="C3529" s="8">
        <v>46119</v>
      </c>
      <c r="D3529" t="s">
        <v>2070</v>
      </c>
      <c r="E3529" t="s">
        <v>2059</v>
      </c>
      <c r="F3529" t="s">
        <v>45</v>
      </c>
      <c r="G3529">
        <v>403.75</v>
      </c>
      <c r="H3529" t="s">
        <v>2060</v>
      </c>
      <c r="I3529" t="str">
        <f>VLOOKUP(B3529,Customers!A:G,7,FALSE)</f>
        <v>Individual</v>
      </c>
      <c r="Q3529" t="str">
        <f>IF(COUNTIF(Customers!$A$2:$A$1001,B3529)&gt;0,"Valid","Invalid")</f>
        <v>Valid</v>
      </c>
      <c r="R3529" t="str">
        <f>IF(COUNTIF(Branches!$A$2:$A$11,F3529)&gt;0,"Valid","Invalid")</f>
        <v>Valid</v>
      </c>
    </row>
    <row r="3530" spans="1:18" x14ac:dyDescent="0.25">
      <c r="A3530" t="s">
        <v>5601</v>
      </c>
      <c r="B3530" t="s">
        <v>708</v>
      </c>
      <c r="C3530" s="8">
        <v>46190</v>
      </c>
      <c r="D3530" t="s">
        <v>2062</v>
      </c>
      <c r="E3530" t="s">
        <v>2059</v>
      </c>
      <c r="F3530" t="s">
        <v>29</v>
      </c>
      <c r="G3530">
        <v>315.68</v>
      </c>
      <c r="H3530" t="s">
        <v>2060</v>
      </c>
      <c r="I3530" t="str">
        <f>VLOOKUP(B3530,Customers!A:G,7,FALSE)</f>
        <v>Student</v>
      </c>
      <c r="Q3530" t="str">
        <f>IF(COUNTIF(Customers!$A$2:$A$1001,B3530)&gt;0,"Valid","Invalid")</f>
        <v>Valid</v>
      </c>
      <c r="R3530" t="str">
        <f>IF(COUNTIF(Branches!$A$2:$A$11,F3530)&gt;0,"Valid","Invalid")</f>
        <v>Valid</v>
      </c>
    </row>
    <row r="3531" spans="1:18" x14ac:dyDescent="0.25">
      <c r="A3531" t="s">
        <v>5602</v>
      </c>
      <c r="B3531" t="s">
        <v>324</v>
      </c>
      <c r="C3531" s="8">
        <v>46158</v>
      </c>
      <c r="D3531" t="s">
        <v>2065</v>
      </c>
      <c r="E3531" t="s">
        <v>2059</v>
      </c>
      <c r="F3531" t="s">
        <v>35</v>
      </c>
      <c r="G3531">
        <v>34.5</v>
      </c>
      <c r="H3531" t="s">
        <v>2060</v>
      </c>
      <c r="I3531" t="str">
        <f>VLOOKUP(B3531,Customers!A:G,7,FALSE)</f>
        <v>Individual</v>
      </c>
      <c r="Q3531" t="str">
        <f>IF(COUNTIF(Customers!$A$2:$A$1001,B3531)&gt;0,"Valid","Invalid")</f>
        <v>Valid</v>
      </c>
      <c r="R3531" t="str">
        <f>IF(COUNTIF(Branches!$A$2:$A$11,F3531)&gt;0,"Valid","Invalid")</f>
        <v>Valid</v>
      </c>
    </row>
    <row r="3532" spans="1:18" x14ac:dyDescent="0.25">
      <c r="A3532" t="s">
        <v>5603</v>
      </c>
      <c r="B3532" t="s">
        <v>972</v>
      </c>
      <c r="C3532" s="8">
        <v>46265</v>
      </c>
      <c r="D3532" t="s">
        <v>2070</v>
      </c>
      <c r="E3532" t="s">
        <v>2068</v>
      </c>
      <c r="F3532" t="s">
        <v>21</v>
      </c>
      <c r="G3532">
        <v>2790.89</v>
      </c>
      <c r="H3532" t="s">
        <v>2060</v>
      </c>
      <c r="I3532" t="str">
        <f>VLOOKUP(B3532,Customers!A:G,7,FALSE)</f>
        <v>Individual</v>
      </c>
      <c r="Q3532" t="str">
        <f>IF(COUNTIF(Customers!$A$2:$A$1001,B3532)&gt;0,"Valid","Invalid")</f>
        <v>Valid</v>
      </c>
      <c r="R3532" t="str">
        <f>IF(COUNTIF(Branches!$A$2:$A$11,F3532)&gt;0,"Valid","Invalid")</f>
        <v>Valid</v>
      </c>
    </row>
    <row r="3533" spans="1:18" x14ac:dyDescent="0.25">
      <c r="A3533" t="s">
        <v>5604</v>
      </c>
      <c r="B3533" t="s">
        <v>352</v>
      </c>
      <c r="C3533" s="8">
        <v>46057</v>
      </c>
      <c r="D3533" t="s">
        <v>2067</v>
      </c>
      <c r="E3533" t="s">
        <v>2063</v>
      </c>
      <c r="F3533" t="s">
        <v>53</v>
      </c>
      <c r="G3533">
        <v>701.62</v>
      </c>
      <c r="H3533" t="s">
        <v>2060</v>
      </c>
      <c r="I3533" t="str">
        <f>VLOOKUP(B3533,Customers!A:G,7,FALSE)</f>
        <v>SME</v>
      </c>
      <c r="Q3533" t="str">
        <f>IF(COUNTIF(Customers!$A$2:$A$1001,B3533)&gt;0,"Valid","Invalid")</f>
        <v>Valid</v>
      </c>
      <c r="R3533" t="str">
        <f>IF(COUNTIF(Branches!$A$2:$A$11,F3533)&gt;0,"Valid","Invalid")</f>
        <v>Valid</v>
      </c>
    </row>
    <row r="3534" spans="1:18" x14ac:dyDescent="0.25">
      <c r="A3534" t="s">
        <v>5605</v>
      </c>
      <c r="B3534" t="s">
        <v>644</v>
      </c>
      <c r="C3534" s="8">
        <v>46091</v>
      </c>
      <c r="D3534" t="s">
        <v>2067</v>
      </c>
      <c r="E3534" t="s">
        <v>2076</v>
      </c>
      <c r="F3534" t="s">
        <v>35</v>
      </c>
      <c r="G3534">
        <v>544.36</v>
      </c>
      <c r="H3534" t="s">
        <v>2060</v>
      </c>
      <c r="I3534" t="str">
        <f>VLOOKUP(B3534,Customers!A:G,7,FALSE)</f>
        <v>Individual</v>
      </c>
      <c r="Q3534" t="str">
        <f>IF(COUNTIF(Customers!$A$2:$A$1001,B3534)&gt;0,"Valid","Invalid")</f>
        <v>Valid</v>
      </c>
      <c r="R3534" t="str">
        <f>IF(COUNTIF(Branches!$A$2:$A$11,F3534)&gt;0,"Valid","Invalid")</f>
        <v>Valid</v>
      </c>
    </row>
    <row r="3535" spans="1:18" x14ac:dyDescent="0.25">
      <c r="A3535" t="s">
        <v>5606</v>
      </c>
      <c r="B3535" t="s">
        <v>335</v>
      </c>
      <c r="C3535" s="8">
        <v>46148</v>
      </c>
      <c r="D3535" t="s">
        <v>2067</v>
      </c>
      <c r="E3535" t="s">
        <v>2059</v>
      </c>
      <c r="F3535" t="s">
        <v>39</v>
      </c>
      <c r="G3535">
        <v>115.39</v>
      </c>
      <c r="H3535" t="s">
        <v>2060</v>
      </c>
      <c r="I3535" t="str">
        <f>VLOOKUP(B3535,Customers!A:G,7,FALSE)</f>
        <v>Individual</v>
      </c>
      <c r="Q3535" t="str">
        <f>IF(COUNTIF(Customers!$A$2:$A$1001,B3535)&gt;0,"Valid","Invalid")</f>
        <v>Valid</v>
      </c>
      <c r="R3535" t="str">
        <f>IF(COUNTIF(Branches!$A$2:$A$11,F3535)&gt;0,"Valid","Invalid")</f>
        <v>Valid</v>
      </c>
    </row>
    <row r="3536" spans="1:18" x14ac:dyDescent="0.25">
      <c r="A3536" t="s">
        <v>5607</v>
      </c>
      <c r="B3536" t="s">
        <v>644</v>
      </c>
      <c r="C3536" s="8">
        <v>46121</v>
      </c>
      <c r="D3536" t="s">
        <v>2062</v>
      </c>
      <c r="E3536" t="s">
        <v>2063</v>
      </c>
      <c r="F3536" t="s">
        <v>16</v>
      </c>
      <c r="G3536">
        <v>428.33</v>
      </c>
      <c r="H3536" t="s">
        <v>2060</v>
      </c>
      <c r="I3536" t="str">
        <f>VLOOKUP(B3536,Customers!A:G,7,FALSE)</f>
        <v>Individual</v>
      </c>
      <c r="Q3536" t="str">
        <f>IF(COUNTIF(Customers!$A$2:$A$1001,B3536)&gt;0,"Valid","Invalid")</f>
        <v>Valid</v>
      </c>
      <c r="R3536" t="str">
        <f>IF(COUNTIF(Branches!$A$2:$A$11,F3536)&gt;0,"Valid","Invalid")</f>
        <v>Valid</v>
      </c>
    </row>
    <row r="3537" spans="1:18" x14ac:dyDescent="0.25">
      <c r="A3537" t="s">
        <v>5608</v>
      </c>
      <c r="B3537" t="s">
        <v>607</v>
      </c>
      <c r="C3537" s="8">
        <v>46261</v>
      </c>
      <c r="D3537" t="s">
        <v>2058</v>
      </c>
      <c r="E3537" t="s">
        <v>2076</v>
      </c>
      <c r="F3537" t="s">
        <v>53</v>
      </c>
      <c r="G3537">
        <v>375.52</v>
      </c>
      <c r="H3537" t="s">
        <v>2107</v>
      </c>
      <c r="I3537" t="str">
        <f>VLOOKUP(B3537,Customers!A:G,7,FALSE)</f>
        <v>Individual</v>
      </c>
      <c r="Q3537" t="str">
        <f>IF(COUNTIF(Customers!$A$2:$A$1001,B3537)&gt;0,"Valid","Invalid")</f>
        <v>Valid</v>
      </c>
      <c r="R3537" t="str">
        <f>IF(COUNTIF(Branches!$A$2:$A$11,F3537)&gt;0,"Valid","Invalid")</f>
        <v>Valid</v>
      </c>
    </row>
    <row r="3538" spans="1:18" x14ac:dyDescent="0.25">
      <c r="A3538" t="s">
        <v>5609</v>
      </c>
      <c r="B3538" t="s">
        <v>200</v>
      </c>
      <c r="C3538" s="8">
        <v>46100</v>
      </c>
      <c r="D3538" t="s">
        <v>2065</v>
      </c>
      <c r="E3538" t="s">
        <v>2059</v>
      </c>
      <c r="F3538" t="s">
        <v>53</v>
      </c>
      <c r="G3538">
        <v>366.95</v>
      </c>
      <c r="H3538" t="s">
        <v>2060</v>
      </c>
      <c r="I3538" t="str">
        <f>VLOOKUP(B3538,Customers!A:G,7,FALSE)</f>
        <v>SME</v>
      </c>
      <c r="Q3538" t="str">
        <f>IF(COUNTIF(Customers!$A$2:$A$1001,B3538)&gt;0,"Valid","Invalid")</f>
        <v>Valid</v>
      </c>
      <c r="R3538" t="str">
        <f>IF(COUNTIF(Branches!$A$2:$A$11,F3538)&gt;0,"Valid","Invalid")</f>
        <v>Valid</v>
      </c>
    </row>
    <row r="3539" spans="1:18" x14ac:dyDescent="0.25">
      <c r="A3539" t="s">
        <v>5610</v>
      </c>
      <c r="B3539" t="s">
        <v>870</v>
      </c>
      <c r="C3539" s="8">
        <v>46171</v>
      </c>
      <c r="D3539" t="s">
        <v>2070</v>
      </c>
      <c r="E3539" t="s">
        <v>2059</v>
      </c>
      <c r="F3539" t="s">
        <v>27</v>
      </c>
      <c r="G3539">
        <v>1133.24</v>
      </c>
      <c r="H3539" t="s">
        <v>2060</v>
      </c>
      <c r="I3539" t="str">
        <f>VLOOKUP(B3539,Customers!A:G,7,FALSE)</f>
        <v>SME</v>
      </c>
      <c r="Q3539" t="str">
        <f>IF(COUNTIF(Customers!$A$2:$A$1001,B3539)&gt;0,"Valid","Invalid")</f>
        <v>Valid</v>
      </c>
      <c r="R3539" t="str">
        <f>IF(COUNTIF(Branches!$A$2:$A$11,F3539)&gt;0,"Valid","Invalid")</f>
        <v>Valid</v>
      </c>
    </row>
    <row r="3540" spans="1:18" x14ac:dyDescent="0.25">
      <c r="A3540" t="s">
        <v>5611</v>
      </c>
      <c r="B3540" t="s">
        <v>535</v>
      </c>
      <c r="C3540" s="8">
        <v>46133</v>
      </c>
      <c r="D3540" t="s">
        <v>2065</v>
      </c>
      <c r="E3540" t="s">
        <v>2076</v>
      </c>
      <c r="F3540" t="s">
        <v>29</v>
      </c>
      <c r="G3540">
        <v>918.05</v>
      </c>
      <c r="H3540" t="s">
        <v>2060</v>
      </c>
      <c r="I3540" t="str">
        <f>VLOOKUP(B3540,Customers!A:G,7,FALSE)</f>
        <v>SME</v>
      </c>
      <c r="Q3540" t="str">
        <f>IF(COUNTIF(Customers!$A$2:$A$1001,B3540)&gt;0,"Valid","Invalid")</f>
        <v>Valid</v>
      </c>
      <c r="R3540" t="str">
        <f>IF(COUNTIF(Branches!$A$2:$A$11,F3540)&gt;0,"Valid","Invalid")</f>
        <v>Valid</v>
      </c>
    </row>
    <row r="3541" spans="1:18" x14ac:dyDescent="0.25">
      <c r="A3541" t="s">
        <v>5612</v>
      </c>
      <c r="B3541" t="s">
        <v>648</v>
      </c>
      <c r="C3541" s="8">
        <v>46174</v>
      </c>
      <c r="D3541" t="s">
        <v>2062</v>
      </c>
      <c r="E3541" t="s">
        <v>2068</v>
      </c>
      <c r="F3541" t="s">
        <v>35</v>
      </c>
      <c r="G3541">
        <v>208.24</v>
      </c>
      <c r="H3541" t="s">
        <v>2060</v>
      </c>
      <c r="I3541" t="str">
        <f>VLOOKUP(B3541,Customers!A:G,7,FALSE)</f>
        <v>Individual</v>
      </c>
      <c r="Q3541" t="str">
        <f>IF(COUNTIF(Customers!$A$2:$A$1001,B3541)&gt;0,"Valid","Invalid")</f>
        <v>Valid</v>
      </c>
      <c r="R3541" t="str">
        <f>IF(COUNTIF(Branches!$A$2:$A$11,F3541)&gt;0,"Valid","Invalid")</f>
        <v>Valid</v>
      </c>
    </row>
    <row r="3542" spans="1:18" x14ac:dyDescent="0.25">
      <c r="A3542" t="s">
        <v>5613</v>
      </c>
      <c r="B3542" t="s">
        <v>49</v>
      </c>
      <c r="C3542" s="8">
        <v>46039</v>
      </c>
      <c r="D3542" t="s">
        <v>2058</v>
      </c>
      <c r="E3542" t="s">
        <v>2073</v>
      </c>
      <c r="F3542" t="s">
        <v>39</v>
      </c>
      <c r="G3542">
        <v>221.88</v>
      </c>
      <c r="H3542" t="s">
        <v>2060</v>
      </c>
      <c r="I3542" t="str">
        <f>VLOOKUP(B3542,Customers!A:G,7,FALSE)</f>
        <v>Individual</v>
      </c>
      <c r="Q3542" t="str">
        <f>IF(COUNTIF(Customers!$A$2:$A$1001,B3542)&gt;0,"Valid","Invalid")</f>
        <v>Valid</v>
      </c>
      <c r="R3542" t="str">
        <f>IF(COUNTIF(Branches!$A$2:$A$11,F3542)&gt;0,"Valid","Invalid")</f>
        <v>Valid</v>
      </c>
    </row>
    <row r="3543" spans="1:18" x14ac:dyDescent="0.25">
      <c r="A3543" t="s">
        <v>5614</v>
      </c>
      <c r="B3543" t="s">
        <v>382</v>
      </c>
      <c r="C3543" s="8">
        <v>46168</v>
      </c>
      <c r="D3543" t="s">
        <v>2065</v>
      </c>
      <c r="E3543" t="s">
        <v>2076</v>
      </c>
      <c r="F3543" t="s">
        <v>39</v>
      </c>
      <c r="G3543">
        <v>221.48</v>
      </c>
      <c r="H3543" t="s">
        <v>2060</v>
      </c>
      <c r="I3543" t="str">
        <f>VLOOKUP(B3543,Customers!A:G,7,FALSE)</f>
        <v>SME</v>
      </c>
      <c r="Q3543" t="str">
        <f>IF(COUNTIF(Customers!$A$2:$A$1001,B3543)&gt;0,"Valid","Invalid")</f>
        <v>Valid</v>
      </c>
      <c r="R3543" t="str">
        <f>IF(COUNTIF(Branches!$A$2:$A$11,F3543)&gt;0,"Valid","Invalid")</f>
        <v>Valid</v>
      </c>
    </row>
    <row r="3544" spans="1:18" x14ac:dyDescent="0.25">
      <c r="A3544" t="s">
        <v>5615</v>
      </c>
      <c r="B3544" t="s">
        <v>114</v>
      </c>
      <c r="C3544" s="8">
        <v>46248</v>
      </c>
      <c r="D3544" t="s">
        <v>2065</v>
      </c>
      <c r="E3544" t="s">
        <v>2068</v>
      </c>
      <c r="F3544" t="s">
        <v>35</v>
      </c>
      <c r="G3544">
        <v>4966.78</v>
      </c>
      <c r="H3544" t="s">
        <v>2060</v>
      </c>
      <c r="I3544" t="str">
        <f>VLOOKUP(B3544,Customers!A:G,7,FALSE)</f>
        <v>Individual</v>
      </c>
      <c r="Q3544" t="str">
        <f>IF(COUNTIF(Customers!$A$2:$A$1001,B3544)&gt;0,"Valid","Invalid")</f>
        <v>Valid</v>
      </c>
      <c r="R3544" t="str">
        <f>IF(COUNTIF(Branches!$A$2:$A$11,F3544)&gt;0,"Valid","Invalid")</f>
        <v>Valid</v>
      </c>
    </row>
    <row r="3545" spans="1:18" x14ac:dyDescent="0.25">
      <c r="A3545" t="s">
        <v>5616</v>
      </c>
      <c r="B3545" t="s">
        <v>384</v>
      </c>
      <c r="C3545" s="8">
        <v>46162</v>
      </c>
      <c r="D3545" t="s">
        <v>2062</v>
      </c>
      <c r="E3545" t="s">
        <v>2063</v>
      </c>
      <c r="F3545" t="s">
        <v>16</v>
      </c>
      <c r="G3545">
        <v>3614.55</v>
      </c>
      <c r="H3545" t="s">
        <v>2060</v>
      </c>
      <c r="I3545" t="str">
        <f>VLOOKUP(B3545,Customers!A:G,7,FALSE)</f>
        <v>Individual</v>
      </c>
      <c r="Q3545" t="str">
        <f>IF(COUNTIF(Customers!$A$2:$A$1001,B3545)&gt;0,"Valid","Invalid")</f>
        <v>Valid</v>
      </c>
      <c r="R3545" t="str">
        <f>IF(COUNTIF(Branches!$A$2:$A$11,F3545)&gt;0,"Valid","Invalid")</f>
        <v>Valid</v>
      </c>
    </row>
    <row r="3546" spans="1:18" x14ac:dyDescent="0.25">
      <c r="A3546" t="s">
        <v>5617</v>
      </c>
      <c r="B3546" t="s">
        <v>108</v>
      </c>
      <c r="C3546" s="8">
        <v>46166</v>
      </c>
      <c r="D3546" t="s">
        <v>2067</v>
      </c>
      <c r="E3546" t="s">
        <v>2059</v>
      </c>
      <c r="F3546" t="s">
        <v>47</v>
      </c>
      <c r="G3546">
        <v>346.44</v>
      </c>
      <c r="H3546" t="s">
        <v>2060</v>
      </c>
      <c r="I3546" t="str">
        <f>VLOOKUP(B3546,Customers!A:G,7,FALSE)</f>
        <v>Individual</v>
      </c>
      <c r="Q3546" t="str">
        <f>IF(COUNTIF(Customers!$A$2:$A$1001,B3546)&gt;0,"Valid","Invalid")</f>
        <v>Valid</v>
      </c>
      <c r="R3546" t="str">
        <f>IF(COUNTIF(Branches!$A$2:$A$11,F3546)&gt;0,"Valid","Invalid")</f>
        <v>Valid</v>
      </c>
    </row>
    <row r="3547" spans="1:18" x14ac:dyDescent="0.25">
      <c r="A3547" t="s">
        <v>5618</v>
      </c>
      <c r="B3547" t="s">
        <v>308</v>
      </c>
      <c r="C3547" s="8">
        <v>46026</v>
      </c>
      <c r="D3547" t="s">
        <v>2058</v>
      </c>
      <c r="E3547" t="s">
        <v>2063</v>
      </c>
      <c r="F3547" t="s">
        <v>21</v>
      </c>
      <c r="G3547">
        <v>112.55</v>
      </c>
      <c r="H3547" t="s">
        <v>2060</v>
      </c>
      <c r="I3547" t="str">
        <f>VLOOKUP(B3547,Customers!A:G,7,FALSE)</f>
        <v>SME</v>
      </c>
      <c r="Q3547" t="str">
        <f>IF(COUNTIF(Customers!$A$2:$A$1001,B3547)&gt;0,"Valid","Invalid")</f>
        <v>Valid</v>
      </c>
      <c r="R3547" t="str">
        <f>IF(COUNTIF(Branches!$A$2:$A$11,F3547)&gt;0,"Valid","Invalid")</f>
        <v>Valid</v>
      </c>
    </row>
    <row r="3548" spans="1:18" x14ac:dyDescent="0.25">
      <c r="A3548" t="s">
        <v>5619</v>
      </c>
      <c r="B3548" t="s">
        <v>325</v>
      </c>
      <c r="C3548" s="8">
        <v>46239</v>
      </c>
      <c r="D3548" t="s">
        <v>2058</v>
      </c>
      <c r="E3548" t="s">
        <v>2063</v>
      </c>
      <c r="F3548" t="s">
        <v>27</v>
      </c>
      <c r="G3548">
        <v>923.38</v>
      </c>
      <c r="H3548" t="s">
        <v>2060</v>
      </c>
      <c r="I3548" t="str">
        <f>VLOOKUP(B3548,Customers!A:G,7,FALSE)</f>
        <v>Corporate</v>
      </c>
      <c r="Q3548" t="str">
        <f>IF(COUNTIF(Customers!$A$2:$A$1001,B3548)&gt;0,"Valid","Invalid")</f>
        <v>Valid</v>
      </c>
      <c r="R3548" t="str">
        <f>IF(COUNTIF(Branches!$A$2:$A$11,F3548)&gt;0,"Valid","Invalid")</f>
        <v>Valid</v>
      </c>
    </row>
    <row r="3549" spans="1:18" x14ac:dyDescent="0.25">
      <c r="A3549" t="s">
        <v>5620</v>
      </c>
      <c r="B3549" t="s">
        <v>102</v>
      </c>
      <c r="C3549" s="8">
        <v>46184</v>
      </c>
      <c r="D3549" t="s">
        <v>2062</v>
      </c>
      <c r="E3549" t="s">
        <v>2059</v>
      </c>
      <c r="F3549" t="s">
        <v>53</v>
      </c>
      <c r="G3549">
        <v>851.45</v>
      </c>
      <c r="H3549" t="s">
        <v>2107</v>
      </c>
      <c r="I3549" t="str">
        <f>VLOOKUP(B3549,Customers!A:G,7,FALSE)</f>
        <v>Corporate</v>
      </c>
      <c r="Q3549" t="str">
        <f>IF(COUNTIF(Customers!$A$2:$A$1001,B3549)&gt;0,"Valid","Invalid")</f>
        <v>Valid</v>
      </c>
      <c r="R3549" t="str">
        <f>IF(COUNTIF(Branches!$A$2:$A$11,F3549)&gt;0,"Valid","Invalid")</f>
        <v>Valid</v>
      </c>
    </row>
    <row r="3550" spans="1:18" x14ac:dyDescent="0.25">
      <c r="A3550" t="s">
        <v>5621</v>
      </c>
      <c r="B3550" t="s">
        <v>918</v>
      </c>
      <c r="C3550" s="8">
        <v>46114</v>
      </c>
      <c r="D3550" t="s">
        <v>2067</v>
      </c>
      <c r="E3550" t="s">
        <v>2076</v>
      </c>
      <c r="F3550" t="s">
        <v>16</v>
      </c>
      <c r="G3550">
        <v>1115.3399999999999</v>
      </c>
      <c r="H3550" t="s">
        <v>2060</v>
      </c>
      <c r="I3550" t="str">
        <f>VLOOKUP(B3550,Customers!A:G,7,FALSE)</f>
        <v>SME</v>
      </c>
      <c r="Q3550" t="str">
        <f>IF(COUNTIF(Customers!$A$2:$A$1001,B3550)&gt;0,"Valid","Invalid")</f>
        <v>Valid</v>
      </c>
      <c r="R3550" t="str">
        <f>IF(COUNTIF(Branches!$A$2:$A$11,F3550)&gt;0,"Valid","Invalid")</f>
        <v>Valid</v>
      </c>
    </row>
    <row r="3551" spans="1:18" x14ac:dyDescent="0.25">
      <c r="A3551" t="s">
        <v>5622</v>
      </c>
      <c r="B3551" t="s">
        <v>104</v>
      </c>
      <c r="C3551" s="8">
        <v>46196</v>
      </c>
      <c r="D3551" t="s">
        <v>2067</v>
      </c>
      <c r="E3551" t="s">
        <v>2059</v>
      </c>
      <c r="F3551" t="s">
        <v>35</v>
      </c>
      <c r="G3551">
        <v>1705.09</v>
      </c>
      <c r="H3551" t="s">
        <v>2060</v>
      </c>
      <c r="I3551" t="str">
        <f>VLOOKUP(B3551,Customers!A:G,7,FALSE)</f>
        <v>Student</v>
      </c>
      <c r="Q3551" t="str">
        <f>IF(COUNTIF(Customers!$A$2:$A$1001,B3551)&gt;0,"Valid","Invalid")</f>
        <v>Valid</v>
      </c>
      <c r="R3551" t="str">
        <f>IF(COUNTIF(Branches!$A$2:$A$11,F3551)&gt;0,"Valid","Invalid")</f>
        <v>Valid</v>
      </c>
    </row>
    <row r="3552" spans="1:18" x14ac:dyDescent="0.25">
      <c r="A3552" t="s">
        <v>5623</v>
      </c>
      <c r="B3552" t="s">
        <v>230</v>
      </c>
      <c r="C3552" s="8">
        <v>46097</v>
      </c>
      <c r="D3552" t="s">
        <v>2067</v>
      </c>
      <c r="E3552" t="s">
        <v>2076</v>
      </c>
      <c r="F3552" t="s">
        <v>39</v>
      </c>
      <c r="G3552">
        <v>1276.28</v>
      </c>
      <c r="H3552" t="s">
        <v>2060</v>
      </c>
      <c r="I3552" t="str">
        <f>VLOOKUP(B3552,Customers!A:G,7,FALSE)</f>
        <v>Individual</v>
      </c>
      <c r="Q3552" t="str">
        <f>IF(COUNTIF(Customers!$A$2:$A$1001,B3552)&gt;0,"Valid","Invalid")</f>
        <v>Valid</v>
      </c>
      <c r="R3552" t="str">
        <f>IF(COUNTIF(Branches!$A$2:$A$11,F3552)&gt;0,"Valid","Invalid")</f>
        <v>Valid</v>
      </c>
    </row>
    <row r="3553" spans="1:18" x14ac:dyDescent="0.25">
      <c r="A3553" t="s">
        <v>5624</v>
      </c>
      <c r="B3553" t="s">
        <v>91</v>
      </c>
      <c r="C3553" s="8">
        <v>46227</v>
      </c>
      <c r="D3553" t="s">
        <v>2062</v>
      </c>
      <c r="E3553" t="s">
        <v>2059</v>
      </c>
      <c r="F3553" t="s">
        <v>11</v>
      </c>
      <c r="G3553">
        <v>266.02</v>
      </c>
      <c r="H3553" t="s">
        <v>2060</v>
      </c>
      <c r="I3553" t="str">
        <f>VLOOKUP(B3553,Customers!A:G,7,FALSE)</f>
        <v>Individual</v>
      </c>
      <c r="Q3553" t="str">
        <f>IF(COUNTIF(Customers!$A$2:$A$1001,B3553)&gt;0,"Valid","Invalid")</f>
        <v>Valid</v>
      </c>
      <c r="R3553" t="str">
        <f>IF(COUNTIF(Branches!$A$2:$A$11,F3553)&gt;0,"Valid","Invalid")</f>
        <v>Valid</v>
      </c>
    </row>
    <row r="3554" spans="1:18" x14ac:dyDescent="0.25">
      <c r="A3554" t="s">
        <v>5625</v>
      </c>
      <c r="B3554" t="s">
        <v>1018</v>
      </c>
      <c r="C3554" s="8">
        <v>46181</v>
      </c>
      <c r="D3554" t="s">
        <v>2067</v>
      </c>
      <c r="E3554" t="s">
        <v>2059</v>
      </c>
      <c r="F3554" t="s">
        <v>39</v>
      </c>
      <c r="G3554">
        <v>1090.1199999999999</v>
      </c>
      <c r="H3554" t="s">
        <v>2060</v>
      </c>
      <c r="I3554" t="str">
        <f>VLOOKUP(B3554,Customers!A:G,7,FALSE)</f>
        <v>Individual</v>
      </c>
      <c r="Q3554" t="str">
        <f>IF(COUNTIF(Customers!$A$2:$A$1001,B3554)&gt;0,"Valid","Invalid")</f>
        <v>Valid</v>
      </c>
      <c r="R3554" t="str">
        <f>IF(COUNTIF(Branches!$A$2:$A$11,F3554)&gt;0,"Valid","Invalid")</f>
        <v>Valid</v>
      </c>
    </row>
    <row r="3555" spans="1:18" x14ac:dyDescent="0.25">
      <c r="A3555" t="s">
        <v>5626</v>
      </c>
      <c r="B3555" t="s">
        <v>417</v>
      </c>
      <c r="C3555" s="8">
        <v>46175</v>
      </c>
      <c r="D3555" t="s">
        <v>2065</v>
      </c>
      <c r="E3555" t="s">
        <v>2063</v>
      </c>
      <c r="F3555" t="s">
        <v>27</v>
      </c>
      <c r="G3555">
        <v>1908.02</v>
      </c>
      <c r="H3555" t="s">
        <v>2060</v>
      </c>
      <c r="I3555" t="str">
        <f>VLOOKUP(B3555,Customers!A:G,7,FALSE)</f>
        <v>Individual</v>
      </c>
      <c r="Q3555" t="str">
        <f>IF(COUNTIF(Customers!$A$2:$A$1001,B3555)&gt;0,"Valid","Invalid")</f>
        <v>Valid</v>
      </c>
      <c r="R3555" t="str">
        <f>IF(COUNTIF(Branches!$A$2:$A$11,F3555)&gt;0,"Valid","Invalid")</f>
        <v>Valid</v>
      </c>
    </row>
    <row r="3556" spans="1:18" x14ac:dyDescent="0.25">
      <c r="A3556" t="s">
        <v>5627</v>
      </c>
      <c r="B3556" t="s">
        <v>1012</v>
      </c>
      <c r="C3556" s="8">
        <v>46125</v>
      </c>
      <c r="D3556" t="s">
        <v>2070</v>
      </c>
      <c r="E3556" t="s">
        <v>2059</v>
      </c>
      <c r="F3556" t="s">
        <v>47</v>
      </c>
      <c r="G3556">
        <v>393.86</v>
      </c>
      <c r="H3556" t="s">
        <v>2060</v>
      </c>
      <c r="I3556" t="str">
        <f>VLOOKUP(B3556,Customers!A:G,7,FALSE)</f>
        <v>Individual</v>
      </c>
      <c r="Q3556" t="str">
        <f>IF(COUNTIF(Customers!$A$2:$A$1001,B3556)&gt;0,"Valid","Invalid")</f>
        <v>Valid</v>
      </c>
      <c r="R3556" t="str">
        <f>IF(COUNTIF(Branches!$A$2:$A$11,F3556)&gt;0,"Valid","Invalid")</f>
        <v>Valid</v>
      </c>
    </row>
    <row r="3557" spans="1:18" x14ac:dyDescent="0.25">
      <c r="A3557" t="s">
        <v>5628</v>
      </c>
      <c r="B3557" t="s">
        <v>204</v>
      </c>
      <c r="C3557" s="8">
        <v>46224</v>
      </c>
      <c r="D3557" t="s">
        <v>2062</v>
      </c>
      <c r="E3557" t="s">
        <v>2059</v>
      </c>
      <c r="F3557" t="s">
        <v>53</v>
      </c>
      <c r="G3557">
        <v>1096.5899999999999</v>
      </c>
      <c r="H3557" t="s">
        <v>2060</v>
      </c>
      <c r="I3557" t="str">
        <f>VLOOKUP(B3557,Customers!A:G,7,FALSE)</f>
        <v>Individual</v>
      </c>
      <c r="Q3557" t="str">
        <f>IF(COUNTIF(Customers!$A$2:$A$1001,B3557)&gt;0,"Valid","Invalid")</f>
        <v>Valid</v>
      </c>
      <c r="R3557" t="str">
        <f>IF(COUNTIF(Branches!$A$2:$A$11,F3557)&gt;0,"Valid","Invalid")</f>
        <v>Valid</v>
      </c>
    </row>
    <row r="3558" spans="1:18" x14ac:dyDescent="0.25">
      <c r="A3558" t="s">
        <v>5629</v>
      </c>
      <c r="B3558" t="s">
        <v>447</v>
      </c>
      <c r="C3558" s="8">
        <v>46046</v>
      </c>
      <c r="D3558" t="s">
        <v>2065</v>
      </c>
      <c r="E3558" t="s">
        <v>2076</v>
      </c>
      <c r="F3558" t="s">
        <v>47</v>
      </c>
      <c r="G3558">
        <v>467.42</v>
      </c>
      <c r="H3558" t="s">
        <v>2060</v>
      </c>
      <c r="I3558" t="str">
        <f>VLOOKUP(B3558,Customers!A:G,7,FALSE)</f>
        <v>Individual</v>
      </c>
      <c r="Q3558" t="str">
        <f>IF(COUNTIF(Customers!$A$2:$A$1001,B3558)&gt;0,"Valid","Invalid")</f>
        <v>Valid</v>
      </c>
      <c r="R3558" t="str">
        <f>IF(COUNTIF(Branches!$A$2:$A$11,F3558)&gt;0,"Valid","Invalid")</f>
        <v>Valid</v>
      </c>
    </row>
    <row r="3559" spans="1:18" x14ac:dyDescent="0.25">
      <c r="A3559" t="s">
        <v>5630</v>
      </c>
      <c r="B3559" t="s">
        <v>546</v>
      </c>
      <c r="C3559" s="8">
        <v>46087</v>
      </c>
      <c r="D3559" t="s">
        <v>2070</v>
      </c>
      <c r="E3559" t="s">
        <v>2063</v>
      </c>
      <c r="F3559" t="s">
        <v>27</v>
      </c>
      <c r="G3559">
        <v>5979.96</v>
      </c>
      <c r="H3559" t="s">
        <v>2060</v>
      </c>
      <c r="I3559" t="str">
        <f>VLOOKUP(B3559,Customers!A:G,7,FALSE)</f>
        <v>Individual</v>
      </c>
      <c r="Q3559" t="str">
        <f>IF(COUNTIF(Customers!$A$2:$A$1001,B3559)&gt;0,"Valid","Invalid")</f>
        <v>Valid</v>
      </c>
      <c r="R3559" t="str">
        <f>IF(COUNTIF(Branches!$A$2:$A$11,F3559)&gt;0,"Valid","Invalid")</f>
        <v>Valid</v>
      </c>
    </row>
    <row r="3560" spans="1:18" x14ac:dyDescent="0.25">
      <c r="A3560" t="s">
        <v>5631</v>
      </c>
      <c r="B3560" t="s">
        <v>575</v>
      </c>
      <c r="C3560" s="8">
        <v>46139</v>
      </c>
      <c r="D3560" t="s">
        <v>2058</v>
      </c>
      <c r="E3560" t="s">
        <v>2063</v>
      </c>
      <c r="F3560" t="s">
        <v>21</v>
      </c>
      <c r="G3560">
        <v>215.55</v>
      </c>
      <c r="H3560" t="s">
        <v>2060</v>
      </c>
      <c r="I3560" t="str">
        <f>VLOOKUP(B3560,Customers!A:G,7,FALSE)</f>
        <v>SME</v>
      </c>
      <c r="Q3560" t="str">
        <f>IF(COUNTIF(Customers!$A$2:$A$1001,B3560)&gt;0,"Valid","Invalid")</f>
        <v>Valid</v>
      </c>
      <c r="R3560" t="str">
        <f>IF(COUNTIF(Branches!$A$2:$A$11,F3560)&gt;0,"Valid","Invalid")</f>
        <v>Valid</v>
      </c>
    </row>
    <row r="3561" spans="1:18" x14ac:dyDescent="0.25">
      <c r="A3561" t="s">
        <v>5632</v>
      </c>
      <c r="B3561" t="s">
        <v>681</v>
      </c>
      <c r="C3561" s="8">
        <v>46175</v>
      </c>
      <c r="D3561" t="s">
        <v>2065</v>
      </c>
      <c r="E3561" t="s">
        <v>2076</v>
      </c>
      <c r="F3561" t="s">
        <v>29</v>
      </c>
      <c r="G3561">
        <v>2581.04</v>
      </c>
      <c r="H3561" t="s">
        <v>2060</v>
      </c>
      <c r="I3561" t="str">
        <f>VLOOKUP(B3561,Customers!A:G,7,FALSE)</f>
        <v>Corporate</v>
      </c>
      <c r="Q3561" t="str">
        <f>IF(COUNTIF(Customers!$A$2:$A$1001,B3561)&gt;0,"Valid","Invalid")</f>
        <v>Valid</v>
      </c>
      <c r="R3561" t="str">
        <f>IF(COUNTIF(Branches!$A$2:$A$11,F3561)&gt;0,"Valid","Invalid")</f>
        <v>Valid</v>
      </c>
    </row>
    <row r="3562" spans="1:18" x14ac:dyDescent="0.25">
      <c r="A3562" t="s">
        <v>5633</v>
      </c>
      <c r="B3562" t="s">
        <v>875</v>
      </c>
      <c r="C3562" s="8">
        <v>46178</v>
      </c>
      <c r="D3562" t="s">
        <v>2065</v>
      </c>
      <c r="E3562" t="s">
        <v>2059</v>
      </c>
      <c r="F3562" t="s">
        <v>21</v>
      </c>
      <c r="G3562">
        <v>152.81</v>
      </c>
      <c r="H3562" t="s">
        <v>2060</v>
      </c>
      <c r="I3562" t="str">
        <f>VLOOKUP(B3562,Customers!A:G,7,FALSE)</f>
        <v>Student</v>
      </c>
      <c r="Q3562" t="str">
        <f>IF(COUNTIF(Customers!$A$2:$A$1001,B3562)&gt;0,"Valid","Invalid")</f>
        <v>Valid</v>
      </c>
      <c r="R3562" t="str">
        <f>IF(COUNTIF(Branches!$A$2:$A$11,F3562)&gt;0,"Valid","Invalid")</f>
        <v>Valid</v>
      </c>
    </row>
    <row r="3563" spans="1:18" x14ac:dyDescent="0.25">
      <c r="A3563" t="s">
        <v>5634</v>
      </c>
      <c r="B3563" t="s">
        <v>138</v>
      </c>
      <c r="C3563" s="8">
        <v>46186</v>
      </c>
      <c r="D3563" t="s">
        <v>2058</v>
      </c>
      <c r="E3563" t="s">
        <v>2059</v>
      </c>
      <c r="F3563" t="s">
        <v>29</v>
      </c>
      <c r="G3563">
        <v>4880.74</v>
      </c>
      <c r="H3563" t="s">
        <v>2060</v>
      </c>
      <c r="I3563" t="str">
        <f>VLOOKUP(B3563,Customers!A:G,7,FALSE)</f>
        <v>Individual</v>
      </c>
      <c r="Q3563" t="str">
        <f>IF(COUNTIF(Customers!$A$2:$A$1001,B3563)&gt;0,"Valid","Invalid")</f>
        <v>Valid</v>
      </c>
      <c r="R3563" t="str">
        <f>IF(COUNTIF(Branches!$A$2:$A$11,F3563)&gt;0,"Valid","Invalid")</f>
        <v>Valid</v>
      </c>
    </row>
    <row r="3564" spans="1:18" x14ac:dyDescent="0.25">
      <c r="A3564" t="s">
        <v>5635</v>
      </c>
      <c r="B3564" t="s">
        <v>924</v>
      </c>
      <c r="C3564" s="8">
        <v>46104</v>
      </c>
      <c r="D3564" t="s">
        <v>2062</v>
      </c>
      <c r="E3564" t="s">
        <v>2063</v>
      </c>
      <c r="F3564" t="s">
        <v>27</v>
      </c>
      <c r="G3564">
        <v>259.42</v>
      </c>
      <c r="H3564" t="s">
        <v>2060</v>
      </c>
      <c r="I3564" t="str">
        <f>VLOOKUP(B3564,Customers!A:G,7,FALSE)</f>
        <v>Individual</v>
      </c>
      <c r="Q3564" t="str">
        <f>IF(COUNTIF(Customers!$A$2:$A$1001,B3564)&gt;0,"Valid","Invalid")</f>
        <v>Valid</v>
      </c>
      <c r="R3564" t="str">
        <f>IF(COUNTIF(Branches!$A$2:$A$11,F3564)&gt;0,"Valid","Invalid")</f>
        <v>Valid</v>
      </c>
    </row>
    <row r="3565" spans="1:18" x14ac:dyDescent="0.25">
      <c r="A3565" t="s">
        <v>5636</v>
      </c>
      <c r="B3565" t="s">
        <v>832</v>
      </c>
      <c r="C3565" s="8">
        <v>46028</v>
      </c>
      <c r="D3565" t="s">
        <v>2065</v>
      </c>
      <c r="E3565" t="s">
        <v>2059</v>
      </c>
      <c r="F3565" t="s">
        <v>27</v>
      </c>
      <c r="G3565">
        <v>982.08</v>
      </c>
      <c r="H3565" t="s">
        <v>2060</v>
      </c>
      <c r="I3565" t="str">
        <f>VLOOKUP(B3565,Customers!A:G,7,FALSE)</f>
        <v>Individual</v>
      </c>
      <c r="Q3565" t="str">
        <f>IF(COUNTIF(Customers!$A$2:$A$1001,B3565)&gt;0,"Valid","Invalid")</f>
        <v>Valid</v>
      </c>
      <c r="R3565" t="str">
        <f>IF(COUNTIF(Branches!$A$2:$A$11,F3565)&gt;0,"Valid","Invalid")</f>
        <v>Valid</v>
      </c>
    </row>
    <row r="3566" spans="1:18" x14ac:dyDescent="0.25">
      <c r="A3566" t="s">
        <v>5637</v>
      </c>
      <c r="B3566" t="s">
        <v>846</v>
      </c>
      <c r="C3566" s="8">
        <v>46088</v>
      </c>
      <c r="D3566" t="s">
        <v>2065</v>
      </c>
      <c r="E3566" t="s">
        <v>2068</v>
      </c>
      <c r="F3566" t="s">
        <v>21</v>
      </c>
      <c r="G3566">
        <v>159.30000000000001</v>
      </c>
      <c r="H3566" t="s">
        <v>2060</v>
      </c>
      <c r="I3566" t="str">
        <f>VLOOKUP(B3566,Customers!A:G,7,FALSE)</f>
        <v>Individual</v>
      </c>
      <c r="Q3566" t="str">
        <f>IF(COUNTIF(Customers!$A$2:$A$1001,B3566)&gt;0,"Valid","Invalid")</f>
        <v>Valid</v>
      </c>
      <c r="R3566" t="str">
        <f>IF(COUNTIF(Branches!$A$2:$A$11,F3566)&gt;0,"Valid","Invalid")</f>
        <v>Valid</v>
      </c>
    </row>
    <row r="3567" spans="1:18" x14ac:dyDescent="0.25">
      <c r="A3567" t="s">
        <v>5638</v>
      </c>
      <c r="B3567" t="s">
        <v>844</v>
      </c>
      <c r="C3567" s="8">
        <v>46089</v>
      </c>
      <c r="D3567" t="s">
        <v>2067</v>
      </c>
      <c r="E3567" t="s">
        <v>2068</v>
      </c>
      <c r="F3567" t="s">
        <v>21</v>
      </c>
      <c r="G3567">
        <v>210.61</v>
      </c>
      <c r="H3567" t="s">
        <v>2060</v>
      </c>
      <c r="I3567" t="str">
        <f>VLOOKUP(B3567,Customers!A:G,7,FALSE)</f>
        <v>Individual</v>
      </c>
      <c r="Q3567" t="str">
        <f>IF(COUNTIF(Customers!$A$2:$A$1001,B3567)&gt;0,"Valid","Invalid")</f>
        <v>Valid</v>
      </c>
      <c r="R3567" t="str">
        <f>IF(COUNTIF(Branches!$A$2:$A$11,F3567)&gt;0,"Valid","Invalid")</f>
        <v>Valid</v>
      </c>
    </row>
    <row r="3568" spans="1:18" x14ac:dyDescent="0.25">
      <c r="A3568" t="s">
        <v>5639</v>
      </c>
      <c r="B3568" t="s">
        <v>460</v>
      </c>
      <c r="C3568" s="8">
        <v>46260</v>
      </c>
      <c r="D3568" t="s">
        <v>2058</v>
      </c>
      <c r="E3568" t="s">
        <v>2076</v>
      </c>
      <c r="F3568" t="s">
        <v>53</v>
      </c>
      <c r="G3568">
        <v>1993.7</v>
      </c>
      <c r="H3568" t="s">
        <v>2060</v>
      </c>
      <c r="I3568" t="str">
        <f>VLOOKUP(B3568,Customers!A:G,7,FALSE)</f>
        <v>Individual</v>
      </c>
      <c r="Q3568" t="str">
        <f>IF(COUNTIF(Customers!$A$2:$A$1001,B3568)&gt;0,"Valid","Invalid")</f>
        <v>Valid</v>
      </c>
      <c r="R3568" t="str">
        <f>IF(COUNTIF(Branches!$A$2:$A$11,F3568)&gt;0,"Valid","Invalid")</f>
        <v>Valid</v>
      </c>
    </row>
    <row r="3569" spans="1:18" x14ac:dyDescent="0.25">
      <c r="A3569" t="s">
        <v>5640</v>
      </c>
      <c r="B3569" t="s">
        <v>1002</v>
      </c>
      <c r="C3569" s="8">
        <v>46094</v>
      </c>
      <c r="D3569" t="s">
        <v>2065</v>
      </c>
      <c r="E3569" t="s">
        <v>2063</v>
      </c>
      <c r="F3569" t="s">
        <v>29</v>
      </c>
      <c r="G3569">
        <v>2271.42</v>
      </c>
      <c r="H3569" t="s">
        <v>2107</v>
      </c>
      <c r="I3569" t="str">
        <f>VLOOKUP(B3569,Customers!A:G,7,FALSE)</f>
        <v>Student</v>
      </c>
      <c r="Q3569" t="str">
        <f>IF(COUNTIF(Customers!$A$2:$A$1001,B3569)&gt;0,"Valid","Invalid")</f>
        <v>Valid</v>
      </c>
      <c r="R3569" t="str">
        <f>IF(COUNTIF(Branches!$A$2:$A$11,F3569)&gt;0,"Valid","Invalid")</f>
        <v>Valid</v>
      </c>
    </row>
    <row r="3570" spans="1:18" x14ac:dyDescent="0.25">
      <c r="A3570" t="s">
        <v>5641</v>
      </c>
      <c r="B3570" t="s">
        <v>813</v>
      </c>
      <c r="C3570" s="8">
        <v>46117</v>
      </c>
      <c r="D3570" t="s">
        <v>2065</v>
      </c>
      <c r="E3570" t="s">
        <v>2076</v>
      </c>
      <c r="F3570" t="s">
        <v>39</v>
      </c>
      <c r="G3570">
        <v>1032.1099999999999</v>
      </c>
      <c r="H3570" t="s">
        <v>2060</v>
      </c>
      <c r="I3570" t="str">
        <f>VLOOKUP(B3570,Customers!A:G,7,FALSE)</f>
        <v>Individual</v>
      </c>
      <c r="Q3570" t="str">
        <f>IF(COUNTIF(Customers!$A$2:$A$1001,B3570)&gt;0,"Valid","Invalid")</f>
        <v>Valid</v>
      </c>
      <c r="R3570" t="str">
        <f>IF(COUNTIF(Branches!$A$2:$A$11,F3570)&gt;0,"Valid","Invalid")</f>
        <v>Valid</v>
      </c>
    </row>
    <row r="3571" spans="1:18" x14ac:dyDescent="0.25">
      <c r="A3571" t="s">
        <v>5642</v>
      </c>
      <c r="B3571" t="s">
        <v>516</v>
      </c>
      <c r="C3571" s="8">
        <v>46070</v>
      </c>
      <c r="D3571" t="s">
        <v>2058</v>
      </c>
      <c r="E3571" t="s">
        <v>2063</v>
      </c>
      <c r="F3571" t="s">
        <v>27</v>
      </c>
      <c r="G3571">
        <v>1704.59</v>
      </c>
      <c r="H3571" t="s">
        <v>2060</v>
      </c>
      <c r="I3571" t="str">
        <f>VLOOKUP(B3571,Customers!A:G,7,FALSE)</f>
        <v>SME</v>
      </c>
      <c r="Q3571" t="str">
        <f>IF(COUNTIF(Customers!$A$2:$A$1001,B3571)&gt;0,"Valid","Invalid")</f>
        <v>Valid</v>
      </c>
      <c r="R3571" t="str">
        <f>IF(COUNTIF(Branches!$A$2:$A$11,F3571)&gt;0,"Valid","Invalid")</f>
        <v>Valid</v>
      </c>
    </row>
    <row r="3572" spans="1:18" x14ac:dyDescent="0.25">
      <c r="A3572" t="s">
        <v>5643</v>
      </c>
      <c r="B3572" t="s">
        <v>964</v>
      </c>
      <c r="C3572" s="8">
        <v>46233</v>
      </c>
      <c r="D3572" t="s">
        <v>2062</v>
      </c>
      <c r="E3572" t="s">
        <v>2063</v>
      </c>
      <c r="F3572" t="s">
        <v>11</v>
      </c>
      <c r="G3572">
        <v>2309.71</v>
      </c>
      <c r="H3572" t="s">
        <v>2060</v>
      </c>
      <c r="I3572" t="str">
        <f>VLOOKUP(B3572,Customers!A:G,7,FALSE)</f>
        <v>Individual</v>
      </c>
      <c r="Q3572" t="str">
        <f>IF(COUNTIF(Customers!$A$2:$A$1001,B3572)&gt;0,"Valid","Invalid")</f>
        <v>Valid</v>
      </c>
      <c r="R3572" t="str">
        <f>IF(COUNTIF(Branches!$A$2:$A$11,F3572)&gt;0,"Valid","Invalid")</f>
        <v>Valid</v>
      </c>
    </row>
    <row r="3573" spans="1:18" x14ac:dyDescent="0.25">
      <c r="A3573" t="s">
        <v>5644</v>
      </c>
      <c r="B3573" t="s">
        <v>156</v>
      </c>
      <c r="C3573" s="8">
        <v>46264</v>
      </c>
      <c r="D3573" t="s">
        <v>2058</v>
      </c>
      <c r="E3573" t="s">
        <v>2063</v>
      </c>
      <c r="F3573" t="s">
        <v>47</v>
      </c>
      <c r="G3573">
        <v>409.86</v>
      </c>
      <c r="H3573" t="s">
        <v>2060</v>
      </c>
      <c r="I3573" t="str">
        <f>VLOOKUP(B3573,Customers!A:G,7,FALSE)</f>
        <v>Individual</v>
      </c>
      <c r="Q3573" t="str">
        <f>IF(COUNTIF(Customers!$A$2:$A$1001,B3573)&gt;0,"Valid","Invalid")</f>
        <v>Valid</v>
      </c>
      <c r="R3573" t="str">
        <f>IF(COUNTIF(Branches!$A$2:$A$11,F3573)&gt;0,"Valid","Invalid")</f>
        <v>Valid</v>
      </c>
    </row>
    <row r="3574" spans="1:18" x14ac:dyDescent="0.25">
      <c r="A3574" t="s">
        <v>5645</v>
      </c>
      <c r="B3574" t="s">
        <v>953</v>
      </c>
      <c r="C3574" s="8">
        <v>46092</v>
      </c>
      <c r="D3574" t="s">
        <v>2067</v>
      </c>
      <c r="E3574" t="s">
        <v>2068</v>
      </c>
      <c r="F3574" t="s">
        <v>29</v>
      </c>
      <c r="G3574">
        <v>200.54</v>
      </c>
      <c r="H3574" t="s">
        <v>2060</v>
      </c>
      <c r="I3574" t="str">
        <f>VLOOKUP(B3574,Customers!A:G,7,FALSE)</f>
        <v>Individual</v>
      </c>
      <c r="Q3574" t="str">
        <f>IF(COUNTIF(Customers!$A$2:$A$1001,B3574)&gt;0,"Valid","Invalid")</f>
        <v>Valid</v>
      </c>
      <c r="R3574" t="str">
        <f>IF(COUNTIF(Branches!$A$2:$A$11,F3574)&gt;0,"Valid","Invalid")</f>
        <v>Valid</v>
      </c>
    </row>
    <row r="3575" spans="1:18" x14ac:dyDescent="0.25">
      <c r="A3575" t="s">
        <v>5646</v>
      </c>
      <c r="B3575" t="s">
        <v>781</v>
      </c>
      <c r="C3575" s="8">
        <v>46100</v>
      </c>
      <c r="D3575" t="s">
        <v>2067</v>
      </c>
      <c r="E3575" t="s">
        <v>2076</v>
      </c>
      <c r="F3575" t="s">
        <v>11</v>
      </c>
      <c r="G3575">
        <v>801.35</v>
      </c>
      <c r="H3575" t="s">
        <v>2060</v>
      </c>
      <c r="I3575" t="str">
        <f>VLOOKUP(B3575,Customers!A:G,7,FALSE)</f>
        <v>SME</v>
      </c>
      <c r="Q3575" t="str">
        <f>IF(COUNTIF(Customers!$A$2:$A$1001,B3575)&gt;0,"Valid","Invalid")</f>
        <v>Valid</v>
      </c>
      <c r="R3575" t="str">
        <f>IF(COUNTIF(Branches!$A$2:$A$11,F3575)&gt;0,"Valid","Invalid")</f>
        <v>Valid</v>
      </c>
    </row>
    <row r="3576" spans="1:18" x14ac:dyDescent="0.25">
      <c r="A3576" t="s">
        <v>5647</v>
      </c>
      <c r="B3576" t="s">
        <v>329</v>
      </c>
      <c r="C3576" s="8">
        <v>46089</v>
      </c>
      <c r="D3576" t="s">
        <v>2067</v>
      </c>
      <c r="E3576" t="s">
        <v>2076</v>
      </c>
      <c r="F3576" t="s">
        <v>53</v>
      </c>
      <c r="G3576">
        <v>456.14</v>
      </c>
      <c r="H3576" t="s">
        <v>2060</v>
      </c>
      <c r="I3576" t="str">
        <f>VLOOKUP(B3576,Customers!A:G,7,FALSE)</f>
        <v>Individual</v>
      </c>
      <c r="Q3576" t="str">
        <f>IF(COUNTIF(Customers!$A$2:$A$1001,B3576)&gt;0,"Valid","Invalid")</f>
        <v>Valid</v>
      </c>
      <c r="R3576" t="str">
        <f>IF(COUNTIF(Branches!$A$2:$A$11,F3576)&gt;0,"Valid","Invalid")</f>
        <v>Valid</v>
      </c>
    </row>
    <row r="3577" spans="1:18" x14ac:dyDescent="0.25">
      <c r="A3577" t="s">
        <v>5648</v>
      </c>
      <c r="B3577" t="s">
        <v>526</v>
      </c>
      <c r="C3577" s="8">
        <v>46198</v>
      </c>
      <c r="D3577" t="s">
        <v>2070</v>
      </c>
      <c r="E3577" t="s">
        <v>2076</v>
      </c>
      <c r="F3577" t="s">
        <v>53</v>
      </c>
      <c r="G3577">
        <v>1198.25</v>
      </c>
      <c r="H3577" t="s">
        <v>2060</v>
      </c>
      <c r="I3577" t="str">
        <f>VLOOKUP(B3577,Customers!A:G,7,FALSE)</f>
        <v>Student</v>
      </c>
      <c r="Q3577" t="str">
        <f>IF(COUNTIF(Customers!$A$2:$A$1001,B3577)&gt;0,"Valid","Invalid")</f>
        <v>Valid</v>
      </c>
      <c r="R3577" t="str">
        <f>IF(COUNTIF(Branches!$A$2:$A$11,F3577)&gt;0,"Valid","Invalid")</f>
        <v>Valid</v>
      </c>
    </row>
    <row r="3578" spans="1:18" x14ac:dyDescent="0.25">
      <c r="A3578" t="s">
        <v>5649</v>
      </c>
      <c r="B3578" t="s">
        <v>197</v>
      </c>
      <c r="C3578" s="8">
        <v>46087</v>
      </c>
      <c r="D3578" t="s">
        <v>2062</v>
      </c>
      <c r="E3578" t="s">
        <v>2063</v>
      </c>
      <c r="F3578" t="s">
        <v>27</v>
      </c>
      <c r="G3578">
        <v>1405.33</v>
      </c>
      <c r="H3578" t="s">
        <v>2060</v>
      </c>
      <c r="I3578" t="str">
        <f>VLOOKUP(B3578,Customers!A:G,7,FALSE)</f>
        <v>Individual</v>
      </c>
      <c r="Q3578" t="str">
        <f>IF(COUNTIF(Customers!$A$2:$A$1001,B3578)&gt;0,"Valid","Invalid")</f>
        <v>Valid</v>
      </c>
      <c r="R3578" t="str">
        <f>IF(COUNTIF(Branches!$A$2:$A$11,F3578)&gt;0,"Valid","Invalid")</f>
        <v>Valid</v>
      </c>
    </row>
    <row r="3579" spans="1:18" x14ac:dyDescent="0.25">
      <c r="A3579" t="s">
        <v>5650</v>
      </c>
      <c r="B3579" t="s">
        <v>711</v>
      </c>
      <c r="C3579" s="8">
        <v>46194</v>
      </c>
      <c r="D3579" t="s">
        <v>2065</v>
      </c>
      <c r="E3579" t="s">
        <v>2059</v>
      </c>
      <c r="F3579" t="s">
        <v>11</v>
      </c>
      <c r="G3579">
        <v>410.9</v>
      </c>
      <c r="H3579" t="s">
        <v>2060</v>
      </c>
      <c r="I3579" t="str">
        <f>VLOOKUP(B3579,Customers!A:G,7,FALSE)</f>
        <v>SME</v>
      </c>
      <c r="Q3579" t="str">
        <f>IF(COUNTIF(Customers!$A$2:$A$1001,B3579)&gt;0,"Valid","Invalid")</f>
        <v>Valid</v>
      </c>
      <c r="R3579" t="str">
        <f>IF(COUNTIF(Branches!$A$2:$A$11,F3579)&gt;0,"Valid","Invalid")</f>
        <v>Valid</v>
      </c>
    </row>
    <row r="3580" spans="1:18" x14ac:dyDescent="0.25">
      <c r="A3580" t="s">
        <v>5651</v>
      </c>
      <c r="B3580" t="s">
        <v>114</v>
      </c>
      <c r="C3580" s="8">
        <v>46244</v>
      </c>
      <c r="D3580" t="s">
        <v>2067</v>
      </c>
      <c r="E3580" t="s">
        <v>2076</v>
      </c>
      <c r="F3580" t="s">
        <v>35</v>
      </c>
      <c r="G3580">
        <v>1642.72</v>
      </c>
      <c r="H3580" t="s">
        <v>2060</v>
      </c>
      <c r="I3580" t="str">
        <f>VLOOKUP(B3580,Customers!A:G,7,FALSE)</f>
        <v>Individual</v>
      </c>
      <c r="Q3580" t="str">
        <f>IF(COUNTIF(Customers!$A$2:$A$1001,B3580)&gt;0,"Valid","Invalid")</f>
        <v>Valid</v>
      </c>
      <c r="R3580" t="str">
        <f>IF(COUNTIF(Branches!$A$2:$A$11,F3580)&gt;0,"Valid","Invalid")</f>
        <v>Valid</v>
      </c>
    </row>
    <row r="3581" spans="1:18" x14ac:dyDescent="0.25">
      <c r="A3581" t="s">
        <v>5652</v>
      </c>
      <c r="B3581" t="s">
        <v>72</v>
      </c>
      <c r="C3581" s="8">
        <v>46085</v>
      </c>
      <c r="D3581" t="s">
        <v>2058</v>
      </c>
      <c r="E3581" t="s">
        <v>2076</v>
      </c>
      <c r="F3581" t="s">
        <v>53</v>
      </c>
      <c r="G3581">
        <v>1562.65</v>
      </c>
      <c r="H3581" t="s">
        <v>2060</v>
      </c>
      <c r="I3581" t="str">
        <f>VLOOKUP(B3581,Customers!A:G,7,FALSE)</f>
        <v>Individual</v>
      </c>
      <c r="Q3581" t="str">
        <f>IF(COUNTIF(Customers!$A$2:$A$1001,B3581)&gt;0,"Valid","Invalid")</f>
        <v>Valid</v>
      </c>
      <c r="R3581" t="str">
        <f>IF(COUNTIF(Branches!$A$2:$A$11,F3581)&gt;0,"Valid","Invalid")</f>
        <v>Valid</v>
      </c>
    </row>
    <row r="3582" spans="1:18" x14ac:dyDescent="0.25">
      <c r="A3582" t="s">
        <v>5653</v>
      </c>
      <c r="B3582" t="s">
        <v>432</v>
      </c>
      <c r="C3582" s="8">
        <v>46068</v>
      </c>
      <c r="D3582" t="s">
        <v>2058</v>
      </c>
      <c r="E3582" t="s">
        <v>2068</v>
      </c>
      <c r="F3582" t="s">
        <v>53</v>
      </c>
      <c r="G3582">
        <v>1674.58</v>
      </c>
      <c r="H3582" t="s">
        <v>2060</v>
      </c>
      <c r="I3582" t="str">
        <f>VLOOKUP(B3582,Customers!A:G,7,FALSE)</f>
        <v>SME</v>
      </c>
      <c r="Q3582" t="str">
        <f>IF(COUNTIF(Customers!$A$2:$A$1001,B3582)&gt;0,"Valid","Invalid")</f>
        <v>Valid</v>
      </c>
      <c r="R3582" t="str">
        <f>IF(COUNTIF(Branches!$A$2:$A$11,F3582)&gt;0,"Valid","Invalid")</f>
        <v>Valid</v>
      </c>
    </row>
    <row r="3583" spans="1:18" x14ac:dyDescent="0.25">
      <c r="A3583" t="s">
        <v>5654</v>
      </c>
      <c r="B3583" t="s">
        <v>479</v>
      </c>
      <c r="C3583" s="8">
        <v>46169</v>
      </c>
      <c r="D3583" t="s">
        <v>2067</v>
      </c>
      <c r="E3583" t="s">
        <v>2063</v>
      </c>
      <c r="F3583" t="s">
        <v>29</v>
      </c>
      <c r="G3583">
        <v>540.34</v>
      </c>
      <c r="H3583" t="s">
        <v>2060</v>
      </c>
      <c r="I3583" t="str">
        <f>VLOOKUP(B3583,Customers!A:G,7,FALSE)</f>
        <v>Individual</v>
      </c>
      <c r="Q3583" t="str">
        <f>IF(COUNTIF(Customers!$A$2:$A$1001,B3583)&gt;0,"Valid","Invalid")</f>
        <v>Valid</v>
      </c>
      <c r="R3583" t="str">
        <f>IF(COUNTIF(Branches!$A$2:$A$11,F3583)&gt;0,"Valid","Invalid")</f>
        <v>Valid</v>
      </c>
    </row>
    <row r="3584" spans="1:18" x14ac:dyDescent="0.25">
      <c r="A3584" t="s">
        <v>5655</v>
      </c>
      <c r="B3584" t="s">
        <v>578</v>
      </c>
      <c r="C3584" s="8">
        <v>46214</v>
      </c>
      <c r="D3584" t="s">
        <v>2062</v>
      </c>
      <c r="E3584" t="s">
        <v>2068</v>
      </c>
      <c r="F3584" t="s">
        <v>27</v>
      </c>
      <c r="G3584">
        <v>1772.1</v>
      </c>
      <c r="H3584" t="s">
        <v>2060</v>
      </c>
      <c r="I3584" t="str">
        <f>VLOOKUP(B3584,Customers!A:G,7,FALSE)</f>
        <v>SME</v>
      </c>
      <c r="Q3584" t="str">
        <f>IF(COUNTIF(Customers!$A$2:$A$1001,B3584)&gt;0,"Valid","Invalid")</f>
        <v>Valid</v>
      </c>
      <c r="R3584" t="str">
        <f>IF(COUNTIF(Branches!$A$2:$A$11,F3584)&gt;0,"Valid","Invalid")</f>
        <v>Valid</v>
      </c>
    </row>
    <row r="3585" spans="1:18" x14ac:dyDescent="0.25">
      <c r="A3585" t="s">
        <v>5656</v>
      </c>
      <c r="B3585" t="s">
        <v>500</v>
      </c>
      <c r="C3585" s="8">
        <v>46233</v>
      </c>
      <c r="D3585" t="s">
        <v>2062</v>
      </c>
      <c r="E3585" t="s">
        <v>2059</v>
      </c>
      <c r="F3585" t="s">
        <v>27</v>
      </c>
      <c r="G3585">
        <v>1366.49</v>
      </c>
      <c r="H3585" t="s">
        <v>2060</v>
      </c>
      <c r="I3585" t="str">
        <f>VLOOKUP(B3585,Customers!A:G,7,FALSE)</f>
        <v>Student</v>
      </c>
      <c r="Q3585" t="str">
        <f>IF(COUNTIF(Customers!$A$2:$A$1001,B3585)&gt;0,"Valid","Invalid")</f>
        <v>Valid</v>
      </c>
      <c r="R3585" t="str">
        <f>IF(COUNTIF(Branches!$A$2:$A$11,F3585)&gt;0,"Valid","Invalid")</f>
        <v>Valid</v>
      </c>
    </row>
    <row r="3586" spans="1:18" x14ac:dyDescent="0.25">
      <c r="A3586" t="s">
        <v>5657</v>
      </c>
      <c r="B3586" t="s">
        <v>650</v>
      </c>
      <c r="C3586" s="8">
        <v>46095</v>
      </c>
      <c r="D3586" t="s">
        <v>2058</v>
      </c>
      <c r="E3586" t="s">
        <v>2076</v>
      </c>
      <c r="F3586" t="s">
        <v>27</v>
      </c>
      <c r="G3586">
        <v>1541</v>
      </c>
      <c r="H3586" t="s">
        <v>2060</v>
      </c>
      <c r="I3586" t="str">
        <f>VLOOKUP(B3586,Customers!A:G,7,FALSE)</f>
        <v>Student</v>
      </c>
      <c r="Q3586" t="str">
        <f>IF(COUNTIF(Customers!$A$2:$A$1001,B3586)&gt;0,"Valid","Invalid")</f>
        <v>Valid</v>
      </c>
      <c r="R3586" t="str">
        <f>IF(COUNTIF(Branches!$A$2:$A$11,F3586)&gt;0,"Valid","Invalid")</f>
        <v>Valid</v>
      </c>
    </row>
    <row r="3587" spans="1:18" x14ac:dyDescent="0.25">
      <c r="A3587" t="s">
        <v>5658</v>
      </c>
      <c r="B3587" t="s">
        <v>332</v>
      </c>
      <c r="C3587" s="8">
        <v>46093</v>
      </c>
      <c r="D3587" t="s">
        <v>2062</v>
      </c>
      <c r="E3587" t="s">
        <v>2059</v>
      </c>
      <c r="F3587" t="s">
        <v>35</v>
      </c>
      <c r="G3587">
        <v>4349.38</v>
      </c>
      <c r="H3587" t="s">
        <v>2060</v>
      </c>
      <c r="I3587" t="str">
        <f>VLOOKUP(B3587,Customers!A:G,7,FALSE)</f>
        <v>Student</v>
      </c>
      <c r="Q3587" t="str">
        <f>IF(COUNTIF(Customers!$A$2:$A$1001,B3587)&gt;0,"Valid","Invalid")</f>
        <v>Valid</v>
      </c>
      <c r="R3587" t="str">
        <f>IF(COUNTIF(Branches!$A$2:$A$11,F3587)&gt;0,"Valid","Invalid")</f>
        <v>Valid</v>
      </c>
    </row>
    <row r="3588" spans="1:18" x14ac:dyDescent="0.25">
      <c r="A3588" t="s">
        <v>5659</v>
      </c>
      <c r="B3588" t="s">
        <v>438</v>
      </c>
      <c r="C3588" s="8">
        <v>46132</v>
      </c>
      <c r="D3588" t="s">
        <v>2062</v>
      </c>
      <c r="E3588" t="s">
        <v>2073</v>
      </c>
      <c r="F3588" t="s">
        <v>21</v>
      </c>
      <c r="G3588">
        <v>1127.52</v>
      </c>
      <c r="H3588" t="s">
        <v>2060</v>
      </c>
      <c r="I3588" t="str">
        <f>VLOOKUP(B3588,Customers!A:G,7,FALSE)</f>
        <v>Individual</v>
      </c>
      <c r="Q3588" t="str">
        <f>IF(COUNTIF(Customers!$A$2:$A$1001,B3588)&gt;0,"Valid","Invalid")</f>
        <v>Valid</v>
      </c>
      <c r="R3588" t="str">
        <f>IF(COUNTIF(Branches!$A$2:$A$11,F3588)&gt;0,"Valid","Invalid")</f>
        <v>Valid</v>
      </c>
    </row>
    <row r="3589" spans="1:18" x14ac:dyDescent="0.25">
      <c r="A3589" t="s">
        <v>5660</v>
      </c>
      <c r="B3589" t="s">
        <v>674</v>
      </c>
      <c r="C3589" s="8">
        <v>46251</v>
      </c>
      <c r="D3589" t="s">
        <v>2062</v>
      </c>
      <c r="E3589" t="s">
        <v>2063</v>
      </c>
      <c r="F3589" t="s">
        <v>35</v>
      </c>
      <c r="G3589">
        <v>442.76</v>
      </c>
      <c r="H3589" t="s">
        <v>2060</v>
      </c>
      <c r="I3589" t="str">
        <f>VLOOKUP(B3589,Customers!A:G,7,FALSE)</f>
        <v>SME</v>
      </c>
      <c r="Q3589" t="str">
        <f>IF(COUNTIF(Customers!$A$2:$A$1001,B3589)&gt;0,"Valid","Invalid")</f>
        <v>Valid</v>
      </c>
      <c r="R3589" t="str">
        <f>IF(COUNTIF(Branches!$A$2:$A$11,F3589)&gt;0,"Valid","Invalid")</f>
        <v>Valid</v>
      </c>
    </row>
    <row r="3590" spans="1:18" x14ac:dyDescent="0.25">
      <c r="A3590" t="s">
        <v>5661</v>
      </c>
      <c r="B3590" t="s">
        <v>955</v>
      </c>
      <c r="C3590" s="8">
        <v>46200</v>
      </c>
      <c r="D3590" t="s">
        <v>2070</v>
      </c>
      <c r="E3590" t="s">
        <v>2076</v>
      </c>
      <c r="F3590" t="s">
        <v>29</v>
      </c>
      <c r="G3590">
        <v>267.61</v>
      </c>
      <c r="H3590" t="s">
        <v>2060</v>
      </c>
      <c r="I3590" t="str">
        <f>VLOOKUP(B3590,Customers!A:G,7,FALSE)</f>
        <v>SME</v>
      </c>
      <c r="Q3590" t="str">
        <f>IF(COUNTIF(Customers!$A$2:$A$1001,B3590)&gt;0,"Valid","Invalid")</f>
        <v>Valid</v>
      </c>
      <c r="R3590" t="str">
        <f>IF(COUNTIF(Branches!$A$2:$A$11,F3590)&gt;0,"Valid","Invalid")</f>
        <v>Valid</v>
      </c>
    </row>
    <row r="3591" spans="1:18" x14ac:dyDescent="0.25">
      <c r="A3591" t="s">
        <v>5662</v>
      </c>
      <c r="B3591" t="s">
        <v>128</v>
      </c>
      <c r="C3591" s="8">
        <v>46085</v>
      </c>
      <c r="D3591" t="s">
        <v>2065</v>
      </c>
      <c r="E3591" t="s">
        <v>2059</v>
      </c>
      <c r="F3591" t="s">
        <v>11</v>
      </c>
      <c r="G3591">
        <v>2509.7399999999998</v>
      </c>
      <c r="H3591" t="s">
        <v>2060</v>
      </c>
      <c r="I3591" t="str">
        <f>VLOOKUP(B3591,Customers!A:G,7,FALSE)</f>
        <v>Individual</v>
      </c>
      <c r="Q3591" t="str">
        <f>IF(COUNTIF(Customers!$A$2:$A$1001,B3591)&gt;0,"Valid","Invalid")</f>
        <v>Valid</v>
      </c>
      <c r="R3591" t="str">
        <f>IF(COUNTIF(Branches!$A$2:$A$11,F3591)&gt;0,"Valid","Invalid")</f>
        <v>Valid</v>
      </c>
    </row>
    <row r="3592" spans="1:18" x14ac:dyDescent="0.25">
      <c r="A3592" t="s">
        <v>5663</v>
      </c>
      <c r="B3592" t="s">
        <v>805</v>
      </c>
      <c r="C3592" s="8">
        <v>46063</v>
      </c>
      <c r="D3592" t="s">
        <v>2065</v>
      </c>
      <c r="E3592" t="s">
        <v>2063</v>
      </c>
      <c r="F3592" t="s">
        <v>11</v>
      </c>
      <c r="G3592">
        <v>1161.31</v>
      </c>
      <c r="H3592" t="s">
        <v>2060</v>
      </c>
      <c r="I3592" t="str">
        <f>VLOOKUP(B3592,Customers!A:G,7,FALSE)</f>
        <v>Individual</v>
      </c>
      <c r="Q3592" t="str">
        <f>IF(COUNTIF(Customers!$A$2:$A$1001,B3592)&gt;0,"Valid","Invalid")</f>
        <v>Valid</v>
      </c>
      <c r="R3592" t="str">
        <f>IF(COUNTIF(Branches!$A$2:$A$11,F3592)&gt;0,"Valid","Invalid")</f>
        <v>Valid</v>
      </c>
    </row>
    <row r="3593" spans="1:18" x14ac:dyDescent="0.25">
      <c r="A3593" t="s">
        <v>5664</v>
      </c>
      <c r="B3593" t="s">
        <v>647</v>
      </c>
      <c r="C3593" s="8">
        <v>46029</v>
      </c>
      <c r="D3593" t="s">
        <v>2062</v>
      </c>
      <c r="E3593" t="s">
        <v>2063</v>
      </c>
      <c r="F3593" t="s">
        <v>39</v>
      </c>
      <c r="G3593">
        <v>4315.7299999999996</v>
      </c>
      <c r="H3593" t="s">
        <v>2060</v>
      </c>
      <c r="I3593" t="str">
        <f>VLOOKUP(B3593,Customers!A:G,7,FALSE)</f>
        <v>Individual</v>
      </c>
      <c r="Q3593" t="str">
        <f>IF(COUNTIF(Customers!$A$2:$A$1001,B3593)&gt;0,"Valid","Invalid")</f>
        <v>Valid</v>
      </c>
      <c r="R3593" t="str">
        <f>IF(COUNTIF(Branches!$A$2:$A$11,F3593)&gt;0,"Valid","Invalid")</f>
        <v>Valid</v>
      </c>
    </row>
    <row r="3594" spans="1:18" x14ac:dyDescent="0.25">
      <c r="A3594" t="s">
        <v>5665</v>
      </c>
      <c r="B3594" t="s">
        <v>30</v>
      </c>
      <c r="C3594" s="8">
        <v>46159</v>
      </c>
      <c r="D3594" t="s">
        <v>2062</v>
      </c>
      <c r="E3594" t="s">
        <v>2068</v>
      </c>
      <c r="F3594" t="s">
        <v>53</v>
      </c>
      <c r="G3594">
        <v>106.75</v>
      </c>
      <c r="H3594" t="s">
        <v>2060</v>
      </c>
      <c r="I3594" t="str">
        <f>VLOOKUP(B3594,Customers!A:G,7,FALSE)</f>
        <v>SME</v>
      </c>
      <c r="Q3594" t="str">
        <f>IF(COUNTIF(Customers!$A$2:$A$1001,B3594)&gt;0,"Valid","Invalid")</f>
        <v>Valid</v>
      </c>
      <c r="R3594" t="str">
        <f>IF(COUNTIF(Branches!$A$2:$A$11,F3594)&gt;0,"Valid","Invalid")</f>
        <v>Valid</v>
      </c>
    </row>
    <row r="3595" spans="1:18" x14ac:dyDescent="0.25">
      <c r="A3595" t="s">
        <v>5666</v>
      </c>
      <c r="B3595" t="s">
        <v>719</v>
      </c>
      <c r="C3595" s="8">
        <v>46026</v>
      </c>
      <c r="D3595" t="s">
        <v>2070</v>
      </c>
      <c r="E3595" t="s">
        <v>2063</v>
      </c>
      <c r="F3595" t="s">
        <v>21</v>
      </c>
      <c r="G3595">
        <v>2019.62</v>
      </c>
      <c r="H3595" t="s">
        <v>2060</v>
      </c>
      <c r="I3595" t="str">
        <f>VLOOKUP(B3595,Customers!A:G,7,FALSE)</f>
        <v>Individual</v>
      </c>
      <c r="Q3595" t="str">
        <f>IF(COUNTIF(Customers!$A$2:$A$1001,B3595)&gt;0,"Valid","Invalid")</f>
        <v>Valid</v>
      </c>
      <c r="R3595" t="str">
        <f>IF(COUNTIF(Branches!$A$2:$A$11,F3595)&gt;0,"Valid","Invalid")</f>
        <v>Valid</v>
      </c>
    </row>
    <row r="3596" spans="1:18" x14ac:dyDescent="0.25">
      <c r="A3596" t="s">
        <v>5667</v>
      </c>
      <c r="B3596" t="s">
        <v>933</v>
      </c>
      <c r="C3596" s="8">
        <v>46111</v>
      </c>
      <c r="D3596" t="s">
        <v>2065</v>
      </c>
      <c r="E3596" t="s">
        <v>2063</v>
      </c>
      <c r="F3596" t="s">
        <v>11</v>
      </c>
      <c r="G3596">
        <v>625.69000000000005</v>
      </c>
      <c r="H3596" t="s">
        <v>2060</v>
      </c>
      <c r="I3596" t="str">
        <f>VLOOKUP(B3596,Customers!A:G,7,FALSE)</f>
        <v>Student</v>
      </c>
      <c r="Q3596" t="str">
        <f>IF(COUNTIF(Customers!$A$2:$A$1001,B3596)&gt;0,"Valid","Invalid")</f>
        <v>Valid</v>
      </c>
      <c r="R3596" t="str">
        <f>IF(COUNTIF(Branches!$A$2:$A$11,F3596)&gt;0,"Valid","Invalid")</f>
        <v>Valid</v>
      </c>
    </row>
    <row r="3597" spans="1:18" x14ac:dyDescent="0.25">
      <c r="A3597" t="s">
        <v>5668</v>
      </c>
      <c r="B3597" t="s">
        <v>309</v>
      </c>
      <c r="C3597" s="8">
        <v>46199</v>
      </c>
      <c r="D3597" t="s">
        <v>2058</v>
      </c>
      <c r="E3597" t="s">
        <v>2073</v>
      </c>
      <c r="F3597" t="s">
        <v>47</v>
      </c>
      <c r="G3597">
        <v>570.48</v>
      </c>
      <c r="H3597" t="s">
        <v>2107</v>
      </c>
      <c r="I3597" t="str">
        <f>VLOOKUP(B3597,Customers!A:G,7,FALSE)</f>
        <v>SME</v>
      </c>
      <c r="Q3597" t="str">
        <f>IF(COUNTIF(Customers!$A$2:$A$1001,B3597)&gt;0,"Valid","Invalid")</f>
        <v>Valid</v>
      </c>
      <c r="R3597" t="str">
        <f>IF(COUNTIF(Branches!$A$2:$A$11,F3597)&gt;0,"Valid","Invalid")</f>
        <v>Valid</v>
      </c>
    </row>
    <row r="3598" spans="1:18" x14ac:dyDescent="0.25">
      <c r="A3598" t="s">
        <v>5669</v>
      </c>
      <c r="B3598" t="s">
        <v>658</v>
      </c>
      <c r="C3598" s="8">
        <v>46226</v>
      </c>
      <c r="D3598" t="s">
        <v>2065</v>
      </c>
      <c r="E3598" t="s">
        <v>2076</v>
      </c>
      <c r="F3598" t="s">
        <v>11</v>
      </c>
      <c r="G3598">
        <v>378.11</v>
      </c>
      <c r="H3598" t="s">
        <v>2060</v>
      </c>
      <c r="I3598" t="str">
        <f>VLOOKUP(B3598,Customers!A:G,7,FALSE)</f>
        <v>Student</v>
      </c>
      <c r="Q3598" t="str">
        <f>IF(COUNTIF(Customers!$A$2:$A$1001,B3598)&gt;0,"Valid","Invalid")</f>
        <v>Valid</v>
      </c>
      <c r="R3598" t="str">
        <f>IF(COUNTIF(Branches!$A$2:$A$11,F3598)&gt;0,"Valid","Invalid")</f>
        <v>Valid</v>
      </c>
    </row>
    <row r="3599" spans="1:18" x14ac:dyDescent="0.25">
      <c r="A3599" t="s">
        <v>5670</v>
      </c>
      <c r="B3599" t="s">
        <v>937</v>
      </c>
      <c r="C3599" s="8">
        <v>46156</v>
      </c>
      <c r="D3599" t="s">
        <v>2058</v>
      </c>
      <c r="E3599" t="s">
        <v>2063</v>
      </c>
      <c r="F3599" t="s">
        <v>47</v>
      </c>
      <c r="G3599">
        <v>1997.34</v>
      </c>
      <c r="H3599" t="s">
        <v>2060</v>
      </c>
      <c r="I3599" t="str">
        <f>VLOOKUP(B3599,Customers!A:G,7,FALSE)</f>
        <v>SME</v>
      </c>
      <c r="Q3599" t="str">
        <f>IF(COUNTIF(Customers!$A$2:$A$1001,B3599)&gt;0,"Valid","Invalid")</f>
        <v>Valid</v>
      </c>
      <c r="R3599" t="str">
        <f>IF(COUNTIF(Branches!$A$2:$A$11,F3599)&gt;0,"Valid","Invalid")</f>
        <v>Valid</v>
      </c>
    </row>
    <row r="3600" spans="1:18" x14ac:dyDescent="0.25">
      <c r="A3600" t="s">
        <v>5671</v>
      </c>
      <c r="B3600" t="s">
        <v>849</v>
      </c>
      <c r="C3600" s="8">
        <v>46104</v>
      </c>
      <c r="D3600" t="s">
        <v>2065</v>
      </c>
      <c r="E3600" t="s">
        <v>2076</v>
      </c>
      <c r="F3600" t="s">
        <v>47</v>
      </c>
      <c r="G3600">
        <v>1500.47</v>
      </c>
      <c r="H3600" t="s">
        <v>2060</v>
      </c>
      <c r="I3600" t="str">
        <f>VLOOKUP(B3600,Customers!A:G,7,FALSE)</f>
        <v>Individual</v>
      </c>
      <c r="Q3600" t="str">
        <f>IF(COUNTIF(Customers!$A$2:$A$1001,B3600)&gt;0,"Valid","Invalid")</f>
        <v>Valid</v>
      </c>
      <c r="R3600" t="str">
        <f>IF(COUNTIF(Branches!$A$2:$A$11,F3600)&gt;0,"Valid","Invalid")</f>
        <v>Valid</v>
      </c>
    </row>
    <row r="3601" spans="1:18" x14ac:dyDescent="0.25">
      <c r="A3601" t="s">
        <v>5672</v>
      </c>
      <c r="B3601" t="s">
        <v>597</v>
      </c>
      <c r="C3601" s="8">
        <v>46254</v>
      </c>
      <c r="D3601" t="s">
        <v>2065</v>
      </c>
      <c r="E3601" t="s">
        <v>2059</v>
      </c>
      <c r="F3601" t="s">
        <v>47</v>
      </c>
      <c r="G3601">
        <v>259.2</v>
      </c>
      <c r="H3601" t="s">
        <v>2060</v>
      </c>
      <c r="I3601" t="str">
        <f>VLOOKUP(B3601,Customers!A:G,7,FALSE)</f>
        <v>Individual</v>
      </c>
      <c r="Q3601" t="str">
        <f>IF(COUNTIF(Customers!$A$2:$A$1001,B3601)&gt;0,"Valid","Invalid")</f>
        <v>Valid</v>
      </c>
      <c r="R3601" t="str">
        <f>IF(COUNTIF(Branches!$A$2:$A$11,F3601)&gt;0,"Valid","Invalid")</f>
        <v>Valid</v>
      </c>
    </row>
    <row r="3602" spans="1:18" x14ac:dyDescent="0.25">
      <c r="A3602" t="s">
        <v>5673</v>
      </c>
      <c r="B3602" t="s">
        <v>135</v>
      </c>
      <c r="C3602" s="8">
        <v>46043</v>
      </c>
      <c r="D3602" t="s">
        <v>2065</v>
      </c>
      <c r="E3602" t="s">
        <v>2068</v>
      </c>
      <c r="F3602" t="s">
        <v>29</v>
      </c>
      <c r="G3602">
        <v>958.07</v>
      </c>
      <c r="H3602" t="s">
        <v>2060</v>
      </c>
      <c r="I3602" t="str">
        <f>VLOOKUP(B3602,Customers!A:G,7,FALSE)</f>
        <v>Individual</v>
      </c>
      <c r="Q3602" t="str">
        <f>IF(COUNTIF(Customers!$A$2:$A$1001,B3602)&gt;0,"Valid","Invalid")</f>
        <v>Valid</v>
      </c>
      <c r="R3602" t="str">
        <f>IF(COUNTIF(Branches!$A$2:$A$11,F3602)&gt;0,"Valid","Invalid")</f>
        <v>Valid</v>
      </c>
    </row>
    <row r="3603" spans="1:18" x14ac:dyDescent="0.25">
      <c r="A3603" t="s">
        <v>5674</v>
      </c>
      <c r="B3603" t="s">
        <v>564</v>
      </c>
      <c r="C3603" s="8">
        <v>46165</v>
      </c>
      <c r="D3603" t="s">
        <v>2058</v>
      </c>
      <c r="E3603" t="s">
        <v>2076</v>
      </c>
      <c r="F3603" t="s">
        <v>21</v>
      </c>
      <c r="G3603">
        <v>1646.02</v>
      </c>
      <c r="H3603" t="s">
        <v>2060</v>
      </c>
      <c r="I3603" t="str">
        <f>VLOOKUP(B3603,Customers!A:G,7,FALSE)</f>
        <v>SME</v>
      </c>
      <c r="Q3603" t="str">
        <f>IF(COUNTIF(Customers!$A$2:$A$1001,B3603)&gt;0,"Valid","Invalid")</f>
        <v>Valid</v>
      </c>
      <c r="R3603" t="str">
        <f>IF(COUNTIF(Branches!$A$2:$A$11,F3603)&gt;0,"Valid","Invalid")</f>
        <v>Valid</v>
      </c>
    </row>
    <row r="3604" spans="1:18" x14ac:dyDescent="0.25">
      <c r="A3604" t="s">
        <v>5675</v>
      </c>
      <c r="B3604" t="s">
        <v>231</v>
      </c>
      <c r="C3604" s="8">
        <v>46150</v>
      </c>
      <c r="D3604" t="s">
        <v>2067</v>
      </c>
      <c r="E3604" t="s">
        <v>2068</v>
      </c>
      <c r="F3604" t="s">
        <v>11</v>
      </c>
      <c r="G3604">
        <v>970.69</v>
      </c>
      <c r="H3604" t="s">
        <v>2060</v>
      </c>
      <c r="I3604" t="str">
        <f>VLOOKUP(B3604,Customers!A:G,7,FALSE)</f>
        <v>Individual</v>
      </c>
      <c r="Q3604" t="str">
        <f>IF(COUNTIF(Customers!$A$2:$A$1001,B3604)&gt;0,"Valid","Invalid")</f>
        <v>Valid</v>
      </c>
      <c r="R3604" t="str">
        <f>IF(COUNTIF(Branches!$A$2:$A$11,F3604)&gt;0,"Valid","Invalid")</f>
        <v>Valid</v>
      </c>
    </row>
    <row r="3605" spans="1:18" x14ac:dyDescent="0.25">
      <c r="A3605" t="s">
        <v>5676</v>
      </c>
      <c r="B3605" t="s">
        <v>193</v>
      </c>
      <c r="C3605" s="8">
        <v>46217</v>
      </c>
      <c r="D3605" t="s">
        <v>2065</v>
      </c>
      <c r="E3605" t="s">
        <v>2063</v>
      </c>
      <c r="F3605" t="s">
        <v>29</v>
      </c>
      <c r="G3605">
        <v>2459.81</v>
      </c>
      <c r="H3605" t="s">
        <v>2060</v>
      </c>
      <c r="I3605" t="str">
        <f>VLOOKUP(B3605,Customers!A:G,7,FALSE)</f>
        <v>Individual</v>
      </c>
      <c r="Q3605" t="str">
        <f>IF(COUNTIF(Customers!$A$2:$A$1001,B3605)&gt;0,"Valid","Invalid")</f>
        <v>Valid</v>
      </c>
      <c r="R3605" t="str">
        <f>IF(COUNTIF(Branches!$A$2:$A$11,F3605)&gt;0,"Valid","Invalid")</f>
        <v>Valid</v>
      </c>
    </row>
    <row r="3606" spans="1:18" x14ac:dyDescent="0.25">
      <c r="A3606" t="s">
        <v>5677</v>
      </c>
      <c r="B3606" t="s">
        <v>938</v>
      </c>
      <c r="C3606" s="8">
        <v>46216</v>
      </c>
      <c r="D3606" t="s">
        <v>2067</v>
      </c>
      <c r="E3606" t="s">
        <v>2076</v>
      </c>
      <c r="F3606" t="s">
        <v>11</v>
      </c>
      <c r="G3606">
        <v>607.87</v>
      </c>
      <c r="H3606" t="s">
        <v>2060</v>
      </c>
      <c r="I3606" t="str">
        <f>VLOOKUP(B3606,Customers!A:G,7,FALSE)</f>
        <v>Individual</v>
      </c>
      <c r="Q3606" t="str">
        <f>IF(COUNTIF(Customers!$A$2:$A$1001,B3606)&gt;0,"Valid","Invalid")</f>
        <v>Valid</v>
      </c>
      <c r="R3606" t="str">
        <f>IF(COUNTIF(Branches!$A$2:$A$11,F3606)&gt;0,"Valid","Invalid")</f>
        <v>Valid</v>
      </c>
    </row>
    <row r="3607" spans="1:18" x14ac:dyDescent="0.25">
      <c r="A3607" t="s">
        <v>5678</v>
      </c>
      <c r="B3607" t="s">
        <v>704</v>
      </c>
      <c r="C3607" s="8">
        <v>46206</v>
      </c>
      <c r="D3607" t="s">
        <v>2065</v>
      </c>
      <c r="E3607" t="s">
        <v>2063</v>
      </c>
      <c r="F3607" t="s">
        <v>35</v>
      </c>
      <c r="G3607">
        <v>85.25</v>
      </c>
      <c r="H3607" t="s">
        <v>2060</v>
      </c>
      <c r="I3607" t="str">
        <f>VLOOKUP(B3607,Customers!A:G,7,FALSE)</f>
        <v>Student</v>
      </c>
      <c r="Q3607" t="str">
        <f>IF(COUNTIF(Customers!$A$2:$A$1001,B3607)&gt;0,"Valid","Invalid")</f>
        <v>Valid</v>
      </c>
      <c r="R3607" t="str">
        <f>IF(COUNTIF(Branches!$A$2:$A$11,F3607)&gt;0,"Valid","Invalid")</f>
        <v>Valid</v>
      </c>
    </row>
    <row r="3608" spans="1:18" x14ac:dyDescent="0.25">
      <c r="A3608" t="s">
        <v>5679</v>
      </c>
      <c r="B3608" t="s">
        <v>151</v>
      </c>
      <c r="C3608" s="8">
        <v>46127</v>
      </c>
      <c r="D3608" t="s">
        <v>2070</v>
      </c>
      <c r="E3608" t="s">
        <v>2063</v>
      </c>
      <c r="F3608" t="s">
        <v>27</v>
      </c>
      <c r="G3608">
        <v>979.18</v>
      </c>
      <c r="H3608" t="s">
        <v>2060</v>
      </c>
      <c r="I3608" t="str">
        <f>VLOOKUP(B3608,Customers!A:G,7,FALSE)</f>
        <v>Individual</v>
      </c>
      <c r="Q3608" t="str">
        <f>IF(COUNTIF(Customers!$A$2:$A$1001,B3608)&gt;0,"Valid","Invalid")</f>
        <v>Valid</v>
      </c>
      <c r="R3608" t="str">
        <f>IF(COUNTIF(Branches!$A$2:$A$11,F3608)&gt;0,"Valid","Invalid")</f>
        <v>Valid</v>
      </c>
    </row>
    <row r="3609" spans="1:18" x14ac:dyDescent="0.25">
      <c r="A3609" t="s">
        <v>5680</v>
      </c>
      <c r="B3609" t="s">
        <v>434</v>
      </c>
      <c r="C3609" s="8">
        <v>46126</v>
      </c>
      <c r="D3609" t="s">
        <v>2067</v>
      </c>
      <c r="E3609" t="s">
        <v>2076</v>
      </c>
      <c r="F3609" t="s">
        <v>16</v>
      </c>
      <c r="G3609">
        <v>973.24</v>
      </c>
      <c r="H3609" t="s">
        <v>2060</v>
      </c>
      <c r="I3609" t="str">
        <f>VLOOKUP(B3609,Customers!A:G,7,FALSE)</f>
        <v>Individual</v>
      </c>
      <c r="Q3609" t="str">
        <f>IF(COUNTIF(Customers!$A$2:$A$1001,B3609)&gt;0,"Valid","Invalid")</f>
        <v>Valid</v>
      </c>
      <c r="R3609" t="str">
        <f>IF(COUNTIF(Branches!$A$2:$A$11,F3609)&gt;0,"Valid","Invalid")</f>
        <v>Valid</v>
      </c>
    </row>
    <row r="3610" spans="1:18" x14ac:dyDescent="0.25">
      <c r="A3610" t="s">
        <v>5681</v>
      </c>
      <c r="B3610" t="s">
        <v>808</v>
      </c>
      <c r="C3610" s="8">
        <v>46090</v>
      </c>
      <c r="D3610" t="s">
        <v>2067</v>
      </c>
      <c r="E3610" t="s">
        <v>2063</v>
      </c>
      <c r="F3610" t="s">
        <v>27</v>
      </c>
      <c r="G3610">
        <v>1108.97</v>
      </c>
      <c r="H3610" t="s">
        <v>2060</v>
      </c>
      <c r="I3610" t="str">
        <f>VLOOKUP(B3610,Customers!A:G,7,FALSE)</f>
        <v>Individual</v>
      </c>
      <c r="Q3610" t="str">
        <f>IF(COUNTIF(Customers!$A$2:$A$1001,B3610)&gt;0,"Valid","Invalid")</f>
        <v>Valid</v>
      </c>
      <c r="R3610" t="str">
        <f>IF(COUNTIF(Branches!$A$2:$A$11,F3610)&gt;0,"Valid","Invalid")</f>
        <v>Valid</v>
      </c>
    </row>
    <row r="3611" spans="1:18" x14ac:dyDescent="0.25">
      <c r="A3611" t="s">
        <v>5682</v>
      </c>
      <c r="B3611" t="s">
        <v>695</v>
      </c>
      <c r="C3611" s="8">
        <v>46182</v>
      </c>
      <c r="D3611" t="s">
        <v>2062</v>
      </c>
      <c r="E3611" t="s">
        <v>2059</v>
      </c>
      <c r="F3611" t="s">
        <v>16</v>
      </c>
      <c r="G3611">
        <v>2457.69</v>
      </c>
      <c r="H3611" t="s">
        <v>2060</v>
      </c>
      <c r="I3611" t="str">
        <f>VLOOKUP(B3611,Customers!A:G,7,FALSE)</f>
        <v>Individual</v>
      </c>
      <c r="Q3611" t="str">
        <f>IF(COUNTIF(Customers!$A$2:$A$1001,B3611)&gt;0,"Valid","Invalid")</f>
        <v>Valid</v>
      </c>
      <c r="R3611" t="str">
        <f>IF(COUNTIF(Branches!$A$2:$A$11,F3611)&gt;0,"Valid","Invalid")</f>
        <v>Valid</v>
      </c>
    </row>
    <row r="3612" spans="1:18" x14ac:dyDescent="0.25">
      <c r="A3612" t="s">
        <v>5683</v>
      </c>
      <c r="B3612" t="s">
        <v>841</v>
      </c>
      <c r="C3612" s="8">
        <v>46216</v>
      </c>
      <c r="D3612" t="s">
        <v>2058</v>
      </c>
      <c r="E3612" t="s">
        <v>2068</v>
      </c>
      <c r="F3612" t="s">
        <v>47</v>
      </c>
      <c r="G3612">
        <v>115.3</v>
      </c>
      <c r="H3612" t="s">
        <v>2060</v>
      </c>
      <c r="I3612" t="str">
        <f>VLOOKUP(B3612,Customers!A:G,7,FALSE)</f>
        <v>Corporate</v>
      </c>
      <c r="Q3612" t="str">
        <f>IF(COUNTIF(Customers!$A$2:$A$1001,B3612)&gt;0,"Valid","Invalid")</f>
        <v>Valid</v>
      </c>
      <c r="R3612" t="str">
        <f>IF(COUNTIF(Branches!$A$2:$A$11,F3612)&gt;0,"Valid","Invalid")</f>
        <v>Valid</v>
      </c>
    </row>
    <row r="3613" spans="1:18" x14ac:dyDescent="0.25">
      <c r="A3613" t="s">
        <v>5684</v>
      </c>
      <c r="B3613" t="s">
        <v>560</v>
      </c>
      <c r="C3613" s="8">
        <v>46132</v>
      </c>
      <c r="D3613" t="s">
        <v>2062</v>
      </c>
      <c r="E3613" t="s">
        <v>2059</v>
      </c>
      <c r="F3613" t="s">
        <v>11</v>
      </c>
      <c r="G3613">
        <v>640.03</v>
      </c>
      <c r="H3613" t="s">
        <v>2060</v>
      </c>
      <c r="I3613" t="str">
        <f>VLOOKUP(B3613,Customers!A:G,7,FALSE)</f>
        <v>Individual</v>
      </c>
      <c r="Q3613" t="str">
        <f>IF(COUNTIF(Customers!$A$2:$A$1001,B3613)&gt;0,"Valid","Invalid")</f>
        <v>Valid</v>
      </c>
      <c r="R3613" t="str">
        <f>IF(COUNTIF(Branches!$A$2:$A$11,F3613)&gt;0,"Valid","Invalid")</f>
        <v>Valid</v>
      </c>
    </row>
    <row r="3614" spans="1:18" x14ac:dyDescent="0.25">
      <c r="A3614" t="s">
        <v>5685</v>
      </c>
      <c r="B3614" t="s">
        <v>918</v>
      </c>
      <c r="C3614" s="8">
        <v>46179</v>
      </c>
      <c r="D3614" t="s">
        <v>2058</v>
      </c>
      <c r="E3614" t="s">
        <v>2063</v>
      </c>
      <c r="F3614" t="s">
        <v>39</v>
      </c>
      <c r="G3614">
        <v>322.89999999999998</v>
      </c>
      <c r="H3614" t="s">
        <v>2060</v>
      </c>
      <c r="I3614" t="str">
        <f>VLOOKUP(B3614,Customers!A:G,7,FALSE)</f>
        <v>SME</v>
      </c>
      <c r="Q3614" t="str">
        <f>IF(COUNTIF(Customers!$A$2:$A$1001,B3614)&gt;0,"Valid","Invalid")</f>
        <v>Valid</v>
      </c>
      <c r="R3614" t="str">
        <f>IF(COUNTIF(Branches!$A$2:$A$11,F3614)&gt;0,"Valid","Invalid")</f>
        <v>Valid</v>
      </c>
    </row>
    <row r="3615" spans="1:18" x14ac:dyDescent="0.25">
      <c r="A3615" t="s">
        <v>5686</v>
      </c>
      <c r="B3615" t="s">
        <v>251</v>
      </c>
      <c r="C3615" s="8">
        <v>46088</v>
      </c>
      <c r="D3615" t="s">
        <v>2070</v>
      </c>
      <c r="E3615" t="s">
        <v>2076</v>
      </c>
      <c r="F3615" t="s">
        <v>16</v>
      </c>
      <c r="G3615">
        <v>242.73</v>
      </c>
      <c r="H3615" t="s">
        <v>2060</v>
      </c>
      <c r="I3615" t="str">
        <f>VLOOKUP(B3615,Customers!A:G,7,FALSE)</f>
        <v>Individual</v>
      </c>
      <c r="Q3615" t="str">
        <f>IF(COUNTIF(Customers!$A$2:$A$1001,B3615)&gt;0,"Valid","Invalid")</f>
        <v>Valid</v>
      </c>
      <c r="R3615" t="str">
        <f>IF(COUNTIF(Branches!$A$2:$A$11,F3615)&gt;0,"Valid","Invalid")</f>
        <v>Valid</v>
      </c>
    </row>
    <row r="3616" spans="1:18" x14ac:dyDescent="0.25">
      <c r="A3616" t="s">
        <v>5687</v>
      </c>
      <c r="B3616" t="s">
        <v>783</v>
      </c>
      <c r="C3616" s="8">
        <v>46184</v>
      </c>
      <c r="D3616" t="s">
        <v>2065</v>
      </c>
      <c r="E3616" t="s">
        <v>2073</v>
      </c>
      <c r="F3616" t="s">
        <v>45</v>
      </c>
      <c r="G3616">
        <v>755.74</v>
      </c>
      <c r="H3616" t="s">
        <v>2060</v>
      </c>
      <c r="I3616" t="str">
        <f>VLOOKUP(B3616,Customers!A:G,7,FALSE)</f>
        <v>SME</v>
      </c>
      <c r="Q3616" t="str">
        <f>IF(COUNTIF(Customers!$A$2:$A$1001,B3616)&gt;0,"Valid","Invalid")</f>
        <v>Valid</v>
      </c>
      <c r="R3616" t="str">
        <f>IF(COUNTIF(Branches!$A$2:$A$11,F3616)&gt;0,"Valid","Invalid")</f>
        <v>Valid</v>
      </c>
    </row>
    <row r="3617" spans="1:18" x14ac:dyDescent="0.25">
      <c r="A3617" t="s">
        <v>5688</v>
      </c>
      <c r="B3617" t="s">
        <v>721</v>
      </c>
      <c r="C3617" s="8">
        <v>46049</v>
      </c>
      <c r="D3617" t="s">
        <v>2070</v>
      </c>
      <c r="E3617" t="s">
        <v>2076</v>
      </c>
      <c r="F3617" t="s">
        <v>27</v>
      </c>
      <c r="G3617">
        <v>1638.97</v>
      </c>
      <c r="H3617" t="s">
        <v>2060</v>
      </c>
      <c r="I3617" t="str">
        <f>VLOOKUP(B3617,Customers!A:G,7,FALSE)</f>
        <v>SME</v>
      </c>
      <c r="Q3617" t="str">
        <f>IF(COUNTIF(Customers!$A$2:$A$1001,B3617)&gt;0,"Valid","Invalid")</f>
        <v>Valid</v>
      </c>
      <c r="R3617" t="str">
        <f>IF(COUNTIF(Branches!$A$2:$A$11,F3617)&gt;0,"Valid","Invalid")</f>
        <v>Valid</v>
      </c>
    </row>
    <row r="3618" spans="1:18" x14ac:dyDescent="0.25">
      <c r="A3618" t="s">
        <v>5689</v>
      </c>
      <c r="B3618" t="s">
        <v>571</v>
      </c>
      <c r="C3618" s="8">
        <v>46082</v>
      </c>
      <c r="D3618" t="s">
        <v>2062</v>
      </c>
      <c r="E3618" t="s">
        <v>2059</v>
      </c>
      <c r="F3618" t="s">
        <v>29</v>
      </c>
      <c r="G3618">
        <v>1097.67</v>
      </c>
      <c r="H3618" t="s">
        <v>2060</v>
      </c>
      <c r="I3618" t="str">
        <f>VLOOKUP(B3618,Customers!A:G,7,FALSE)</f>
        <v>Individual</v>
      </c>
      <c r="Q3618" t="str">
        <f>IF(COUNTIF(Customers!$A$2:$A$1001,B3618)&gt;0,"Valid","Invalid")</f>
        <v>Valid</v>
      </c>
      <c r="R3618" t="str">
        <f>IF(COUNTIF(Branches!$A$2:$A$11,F3618)&gt;0,"Valid","Invalid")</f>
        <v>Valid</v>
      </c>
    </row>
    <row r="3619" spans="1:18" x14ac:dyDescent="0.25">
      <c r="A3619" t="s">
        <v>5690</v>
      </c>
      <c r="B3619" t="s">
        <v>48</v>
      </c>
      <c r="C3619" s="8">
        <v>46140</v>
      </c>
      <c r="D3619" t="s">
        <v>2058</v>
      </c>
      <c r="E3619" t="s">
        <v>2063</v>
      </c>
      <c r="F3619" t="s">
        <v>11</v>
      </c>
      <c r="G3619">
        <v>408.49</v>
      </c>
      <c r="H3619" t="s">
        <v>2060</v>
      </c>
      <c r="I3619" t="str">
        <f>VLOOKUP(B3619,Customers!A:G,7,FALSE)</f>
        <v>Individual</v>
      </c>
      <c r="Q3619" t="str">
        <f>IF(COUNTIF(Customers!$A$2:$A$1001,B3619)&gt;0,"Valid","Invalid")</f>
        <v>Valid</v>
      </c>
      <c r="R3619" t="str">
        <f>IF(COUNTIF(Branches!$A$2:$A$11,F3619)&gt;0,"Valid","Invalid")</f>
        <v>Valid</v>
      </c>
    </row>
    <row r="3620" spans="1:18" x14ac:dyDescent="0.25">
      <c r="A3620" t="s">
        <v>5691</v>
      </c>
      <c r="B3620" t="s">
        <v>457</v>
      </c>
      <c r="C3620" s="8">
        <v>46189</v>
      </c>
      <c r="D3620" t="s">
        <v>2058</v>
      </c>
      <c r="E3620" t="s">
        <v>2063</v>
      </c>
      <c r="F3620" t="s">
        <v>29</v>
      </c>
      <c r="G3620">
        <v>702.42</v>
      </c>
      <c r="H3620" t="s">
        <v>2060</v>
      </c>
      <c r="I3620" t="str">
        <f>VLOOKUP(B3620,Customers!A:G,7,FALSE)</f>
        <v>SME</v>
      </c>
      <c r="Q3620" t="str">
        <f>IF(COUNTIF(Customers!$A$2:$A$1001,B3620)&gt;0,"Valid","Invalid")</f>
        <v>Valid</v>
      </c>
      <c r="R3620" t="str">
        <f>IF(COUNTIF(Branches!$A$2:$A$11,F3620)&gt;0,"Valid","Invalid")</f>
        <v>Valid</v>
      </c>
    </row>
    <row r="3621" spans="1:18" x14ac:dyDescent="0.25">
      <c r="A3621" t="s">
        <v>5692</v>
      </c>
      <c r="B3621" t="s">
        <v>406</v>
      </c>
      <c r="C3621" s="8">
        <v>46066</v>
      </c>
      <c r="D3621" t="s">
        <v>2058</v>
      </c>
      <c r="E3621" t="s">
        <v>2076</v>
      </c>
      <c r="F3621" t="s">
        <v>11</v>
      </c>
      <c r="G3621">
        <v>2058.84</v>
      </c>
      <c r="H3621" t="s">
        <v>2060</v>
      </c>
      <c r="I3621" t="str">
        <f>VLOOKUP(B3621,Customers!A:G,7,FALSE)</f>
        <v>SME</v>
      </c>
      <c r="Q3621" t="str">
        <f>IF(COUNTIF(Customers!$A$2:$A$1001,B3621)&gt;0,"Valid","Invalid")</f>
        <v>Valid</v>
      </c>
      <c r="R3621" t="str">
        <f>IF(COUNTIF(Branches!$A$2:$A$11,F3621)&gt;0,"Valid","Invalid")</f>
        <v>Valid</v>
      </c>
    </row>
    <row r="3622" spans="1:18" x14ac:dyDescent="0.25">
      <c r="A3622" t="s">
        <v>5693</v>
      </c>
      <c r="B3622" t="s">
        <v>676</v>
      </c>
      <c r="C3622" s="8">
        <v>46252</v>
      </c>
      <c r="D3622" t="s">
        <v>2065</v>
      </c>
      <c r="E3622" t="s">
        <v>2063</v>
      </c>
      <c r="F3622" t="s">
        <v>47</v>
      </c>
      <c r="G3622">
        <v>1608.62</v>
      </c>
      <c r="H3622" t="s">
        <v>2060</v>
      </c>
      <c r="I3622" t="str">
        <f>VLOOKUP(B3622,Customers!A:G,7,FALSE)</f>
        <v>Individual</v>
      </c>
      <c r="Q3622" t="str">
        <f>IF(COUNTIF(Customers!$A$2:$A$1001,B3622)&gt;0,"Valid","Invalid")</f>
        <v>Valid</v>
      </c>
      <c r="R3622" t="str">
        <f>IF(COUNTIF(Branches!$A$2:$A$11,F3622)&gt;0,"Valid","Invalid")</f>
        <v>Valid</v>
      </c>
    </row>
    <row r="3623" spans="1:18" x14ac:dyDescent="0.25">
      <c r="A3623" t="s">
        <v>5694</v>
      </c>
      <c r="B3623" t="s">
        <v>891</v>
      </c>
      <c r="C3623" s="8">
        <v>46232</v>
      </c>
      <c r="D3623" t="s">
        <v>2065</v>
      </c>
      <c r="E3623" t="s">
        <v>2068</v>
      </c>
      <c r="F3623" t="s">
        <v>11</v>
      </c>
      <c r="G3623">
        <v>467.42</v>
      </c>
      <c r="H3623" t="s">
        <v>2060</v>
      </c>
      <c r="I3623" t="str">
        <f>VLOOKUP(B3623,Customers!A:G,7,FALSE)</f>
        <v>SME</v>
      </c>
      <c r="Q3623" t="str">
        <f>IF(COUNTIF(Customers!$A$2:$A$1001,B3623)&gt;0,"Valid","Invalid")</f>
        <v>Valid</v>
      </c>
      <c r="R3623" t="str">
        <f>IF(COUNTIF(Branches!$A$2:$A$11,F3623)&gt;0,"Valid","Invalid")</f>
        <v>Valid</v>
      </c>
    </row>
    <row r="3624" spans="1:18" x14ac:dyDescent="0.25">
      <c r="A3624" t="s">
        <v>5695</v>
      </c>
      <c r="B3624" t="s">
        <v>891</v>
      </c>
      <c r="C3624" s="8">
        <v>46058</v>
      </c>
      <c r="D3624" t="s">
        <v>2070</v>
      </c>
      <c r="E3624" t="s">
        <v>2059</v>
      </c>
      <c r="F3624" t="s">
        <v>45</v>
      </c>
      <c r="G3624">
        <v>438.12</v>
      </c>
      <c r="H3624" t="s">
        <v>2060</v>
      </c>
      <c r="I3624" t="str">
        <f>VLOOKUP(B3624,Customers!A:G,7,FALSE)</f>
        <v>SME</v>
      </c>
      <c r="Q3624" t="str">
        <f>IF(COUNTIF(Customers!$A$2:$A$1001,B3624)&gt;0,"Valid","Invalid")</f>
        <v>Valid</v>
      </c>
      <c r="R3624" t="str">
        <f>IF(COUNTIF(Branches!$A$2:$A$11,F3624)&gt;0,"Valid","Invalid")</f>
        <v>Valid</v>
      </c>
    </row>
    <row r="3625" spans="1:18" x14ac:dyDescent="0.25">
      <c r="A3625" t="s">
        <v>5696</v>
      </c>
      <c r="B3625" t="s">
        <v>250</v>
      </c>
      <c r="C3625" s="8">
        <v>46041</v>
      </c>
      <c r="D3625" t="s">
        <v>2058</v>
      </c>
      <c r="E3625" t="s">
        <v>2059</v>
      </c>
      <c r="F3625" t="s">
        <v>29</v>
      </c>
      <c r="G3625">
        <v>145.99</v>
      </c>
      <c r="H3625" t="s">
        <v>2107</v>
      </c>
      <c r="I3625" t="str">
        <f>VLOOKUP(B3625,Customers!A:G,7,FALSE)</f>
        <v>Individual</v>
      </c>
      <c r="Q3625" t="str">
        <f>IF(COUNTIF(Customers!$A$2:$A$1001,B3625)&gt;0,"Valid","Invalid")</f>
        <v>Valid</v>
      </c>
      <c r="R3625" t="str">
        <f>IF(COUNTIF(Branches!$A$2:$A$11,F3625)&gt;0,"Valid","Invalid")</f>
        <v>Valid</v>
      </c>
    </row>
    <row r="3626" spans="1:18" x14ac:dyDescent="0.25">
      <c r="A3626" t="s">
        <v>5697</v>
      </c>
      <c r="B3626" t="s">
        <v>738</v>
      </c>
      <c r="C3626" s="8">
        <v>46113</v>
      </c>
      <c r="D3626" t="s">
        <v>2067</v>
      </c>
      <c r="E3626" t="s">
        <v>2068</v>
      </c>
      <c r="F3626" t="s">
        <v>11</v>
      </c>
      <c r="G3626">
        <v>528.79</v>
      </c>
      <c r="H3626" t="s">
        <v>2060</v>
      </c>
      <c r="I3626" t="str">
        <f>VLOOKUP(B3626,Customers!A:G,7,FALSE)</f>
        <v>Individual</v>
      </c>
      <c r="Q3626" t="str">
        <f>IF(COUNTIF(Customers!$A$2:$A$1001,B3626)&gt;0,"Valid","Invalid")</f>
        <v>Valid</v>
      </c>
      <c r="R3626" t="str">
        <f>IF(COUNTIF(Branches!$A$2:$A$11,F3626)&gt;0,"Valid","Invalid")</f>
        <v>Valid</v>
      </c>
    </row>
    <row r="3627" spans="1:18" x14ac:dyDescent="0.25">
      <c r="A3627" t="s">
        <v>5698</v>
      </c>
      <c r="B3627" t="s">
        <v>722</v>
      </c>
      <c r="C3627" s="8">
        <v>46067</v>
      </c>
      <c r="D3627" t="s">
        <v>2062</v>
      </c>
      <c r="E3627" t="s">
        <v>2068</v>
      </c>
      <c r="F3627" t="s">
        <v>47</v>
      </c>
      <c r="G3627">
        <v>143.19999999999999</v>
      </c>
      <c r="H3627" t="s">
        <v>2060</v>
      </c>
      <c r="I3627" t="str">
        <f>VLOOKUP(B3627,Customers!A:G,7,FALSE)</f>
        <v>SME</v>
      </c>
      <c r="Q3627" t="str">
        <f>IF(COUNTIF(Customers!$A$2:$A$1001,B3627)&gt;0,"Valid","Invalid")</f>
        <v>Valid</v>
      </c>
      <c r="R3627" t="str">
        <f>IF(COUNTIF(Branches!$A$2:$A$11,F3627)&gt;0,"Valid","Invalid")</f>
        <v>Valid</v>
      </c>
    </row>
    <row r="3628" spans="1:18" x14ac:dyDescent="0.25">
      <c r="A3628" t="s">
        <v>5699</v>
      </c>
      <c r="B3628" t="s">
        <v>1030</v>
      </c>
      <c r="C3628" s="8">
        <v>46234</v>
      </c>
      <c r="D3628" t="s">
        <v>2058</v>
      </c>
      <c r="E3628" t="s">
        <v>2076</v>
      </c>
      <c r="F3628" t="s">
        <v>11</v>
      </c>
      <c r="G3628">
        <v>6419.33</v>
      </c>
      <c r="H3628" t="s">
        <v>2060</v>
      </c>
      <c r="I3628" t="str">
        <f>VLOOKUP(B3628,Customers!A:G,7,FALSE)</f>
        <v>Individual</v>
      </c>
      <c r="Q3628" t="str">
        <f>IF(COUNTIF(Customers!$A$2:$A$1001,B3628)&gt;0,"Valid","Invalid")</f>
        <v>Valid</v>
      </c>
      <c r="R3628" t="str">
        <f>IF(COUNTIF(Branches!$A$2:$A$11,F3628)&gt;0,"Valid","Invalid")</f>
        <v>Valid</v>
      </c>
    </row>
    <row r="3629" spans="1:18" x14ac:dyDescent="0.25">
      <c r="A3629" t="s">
        <v>5700</v>
      </c>
      <c r="B3629" t="s">
        <v>797</v>
      </c>
      <c r="C3629" s="8">
        <v>46171</v>
      </c>
      <c r="D3629" t="s">
        <v>2065</v>
      </c>
      <c r="E3629" t="s">
        <v>2073</v>
      </c>
      <c r="F3629" t="s">
        <v>11</v>
      </c>
      <c r="G3629">
        <v>345.46</v>
      </c>
      <c r="H3629" t="s">
        <v>2060</v>
      </c>
      <c r="I3629" t="str">
        <f>VLOOKUP(B3629,Customers!A:G,7,FALSE)</f>
        <v>Individual</v>
      </c>
      <c r="Q3629" t="str">
        <f>IF(COUNTIF(Customers!$A$2:$A$1001,B3629)&gt;0,"Valid","Invalid")</f>
        <v>Valid</v>
      </c>
      <c r="R3629" t="str">
        <f>IF(COUNTIF(Branches!$A$2:$A$11,F3629)&gt;0,"Valid","Invalid")</f>
        <v>Valid</v>
      </c>
    </row>
    <row r="3630" spans="1:18" x14ac:dyDescent="0.25">
      <c r="A3630" t="s">
        <v>5701</v>
      </c>
      <c r="B3630" t="s">
        <v>28</v>
      </c>
      <c r="C3630" s="8">
        <v>46173</v>
      </c>
      <c r="D3630" t="s">
        <v>2062</v>
      </c>
      <c r="E3630" t="s">
        <v>2073</v>
      </c>
      <c r="F3630" t="s">
        <v>47</v>
      </c>
      <c r="G3630">
        <v>2462.62</v>
      </c>
      <c r="H3630" t="s">
        <v>2060</v>
      </c>
      <c r="I3630" t="str">
        <f>VLOOKUP(B3630,Customers!A:G,7,FALSE)</f>
        <v>SME</v>
      </c>
      <c r="Q3630" t="str">
        <f>IF(COUNTIF(Customers!$A$2:$A$1001,B3630)&gt;0,"Valid","Invalid")</f>
        <v>Valid</v>
      </c>
      <c r="R3630" t="str">
        <f>IF(COUNTIF(Branches!$A$2:$A$11,F3630)&gt;0,"Valid","Invalid")</f>
        <v>Valid</v>
      </c>
    </row>
    <row r="3631" spans="1:18" x14ac:dyDescent="0.25">
      <c r="A3631" t="s">
        <v>5702</v>
      </c>
      <c r="B3631" t="s">
        <v>268</v>
      </c>
      <c r="C3631" s="8">
        <v>46244</v>
      </c>
      <c r="D3631" t="s">
        <v>2062</v>
      </c>
      <c r="E3631" t="s">
        <v>2073</v>
      </c>
      <c r="F3631" t="s">
        <v>16</v>
      </c>
      <c r="G3631">
        <v>5004.57</v>
      </c>
      <c r="H3631" t="s">
        <v>2060</v>
      </c>
      <c r="I3631" t="str">
        <f>VLOOKUP(B3631,Customers!A:G,7,FALSE)</f>
        <v>Individual</v>
      </c>
      <c r="Q3631" t="str">
        <f>IF(COUNTIF(Customers!$A$2:$A$1001,B3631)&gt;0,"Valid","Invalid")</f>
        <v>Valid</v>
      </c>
      <c r="R3631" t="str">
        <f>IF(COUNTIF(Branches!$A$2:$A$11,F3631)&gt;0,"Valid","Invalid")</f>
        <v>Valid</v>
      </c>
    </row>
    <row r="3632" spans="1:18" x14ac:dyDescent="0.25">
      <c r="A3632" t="s">
        <v>5703</v>
      </c>
      <c r="B3632" t="s">
        <v>238</v>
      </c>
      <c r="C3632" s="8">
        <v>46239</v>
      </c>
      <c r="D3632" t="s">
        <v>2065</v>
      </c>
      <c r="E3632" t="s">
        <v>2068</v>
      </c>
      <c r="F3632" t="s">
        <v>53</v>
      </c>
      <c r="G3632">
        <v>1008.48</v>
      </c>
      <c r="H3632" t="s">
        <v>2060</v>
      </c>
      <c r="I3632" t="str">
        <f>VLOOKUP(B3632,Customers!A:G,7,FALSE)</f>
        <v>Individual</v>
      </c>
      <c r="Q3632" t="str">
        <f>IF(COUNTIF(Customers!$A$2:$A$1001,B3632)&gt;0,"Valid","Invalid")</f>
        <v>Valid</v>
      </c>
      <c r="R3632" t="str">
        <f>IF(COUNTIF(Branches!$A$2:$A$11,F3632)&gt;0,"Valid","Invalid")</f>
        <v>Valid</v>
      </c>
    </row>
    <row r="3633" spans="1:18" x14ac:dyDescent="0.25">
      <c r="A3633" t="s">
        <v>5704</v>
      </c>
      <c r="B3633" t="s">
        <v>923</v>
      </c>
      <c r="C3633" s="8">
        <v>46245</v>
      </c>
      <c r="D3633" t="s">
        <v>2070</v>
      </c>
      <c r="E3633" t="s">
        <v>2076</v>
      </c>
      <c r="F3633" t="s">
        <v>29</v>
      </c>
      <c r="G3633">
        <v>735.08</v>
      </c>
      <c r="H3633" t="s">
        <v>2060</v>
      </c>
      <c r="I3633" t="str">
        <f>VLOOKUP(B3633,Customers!A:G,7,FALSE)</f>
        <v>Individual</v>
      </c>
      <c r="Q3633" t="str">
        <f>IF(COUNTIF(Customers!$A$2:$A$1001,B3633)&gt;0,"Valid","Invalid")</f>
        <v>Valid</v>
      </c>
      <c r="R3633" t="str">
        <f>IF(COUNTIF(Branches!$A$2:$A$11,F3633)&gt;0,"Valid","Invalid")</f>
        <v>Valid</v>
      </c>
    </row>
    <row r="3634" spans="1:18" x14ac:dyDescent="0.25">
      <c r="A3634" t="s">
        <v>5705</v>
      </c>
      <c r="B3634" t="s">
        <v>440</v>
      </c>
      <c r="C3634" s="8">
        <v>46177</v>
      </c>
      <c r="D3634" t="s">
        <v>2065</v>
      </c>
      <c r="E3634" t="s">
        <v>2076</v>
      </c>
      <c r="F3634" t="s">
        <v>53</v>
      </c>
      <c r="G3634">
        <v>216.51</v>
      </c>
      <c r="H3634" t="s">
        <v>2060</v>
      </c>
      <c r="I3634" t="str">
        <f>VLOOKUP(B3634,Customers!A:G,7,FALSE)</f>
        <v>Individual</v>
      </c>
      <c r="Q3634" t="str">
        <f>IF(COUNTIF(Customers!$A$2:$A$1001,B3634)&gt;0,"Valid","Invalid")</f>
        <v>Valid</v>
      </c>
      <c r="R3634" t="str">
        <f>IF(COUNTIF(Branches!$A$2:$A$11,F3634)&gt;0,"Valid","Invalid")</f>
        <v>Valid</v>
      </c>
    </row>
    <row r="3635" spans="1:18" x14ac:dyDescent="0.25">
      <c r="A3635" t="s">
        <v>5706</v>
      </c>
      <c r="B3635" t="s">
        <v>185</v>
      </c>
      <c r="C3635" s="8">
        <v>46120</v>
      </c>
      <c r="D3635" t="s">
        <v>2067</v>
      </c>
      <c r="E3635" t="s">
        <v>2063</v>
      </c>
      <c r="F3635" t="s">
        <v>47</v>
      </c>
      <c r="G3635">
        <v>490.49</v>
      </c>
      <c r="H3635" t="s">
        <v>2060</v>
      </c>
      <c r="I3635" t="str">
        <f>VLOOKUP(B3635,Customers!A:G,7,FALSE)</f>
        <v>SME</v>
      </c>
      <c r="Q3635" t="str">
        <f>IF(COUNTIF(Customers!$A$2:$A$1001,B3635)&gt;0,"Valid","Invalid")</f>
        <v>Valid</v>
      </c>
      <c r="R3635" t="str">
        <f>IF(COUNTIF(Branches!$A$2:$A$11,F3635)&gt;0,"Valid","Invalid")</f>
        <v>Valid</v>
      </c>
    </row>
    <row r="3636" spans="1:18" x14ac:dyDescent="0.25">
      <c r="A3636" t="s">
        <v>5707</v>
      </c>
      <c r="B3636" t="s">
        <v>622</v>
      </c>
      <c r="C3636" s="8">
        <v>46222</v>
      </c>
      <c r="D3636" t="s">
        <v>2065</v>
      </c>
      <c r="E3636" t="s">
        <v>2063</v>
      </c>
      <c r="F3636" t="s">
        <v>47</v>
      </c>
      <c r="G3636">
        <v>4039.86</v>
      </c>
      <c r="H3636" t="s">
        <v>2060</v>
      </c>
      <c r="I3636" t="str">
        <f>VLOOKUP(B3636,Customers!A:G,7,FALSE)</f>
        <v>Individual</v>
      </c>
      <c r="Q3636" t="str">
        <f>IF(COUNTIF(Customers!$A$2:$A$1001,B3636)&gt;0,"Valid","Invalid")</f>
        <v>Valid</v>
      </c>
      <c r="R3636" t="str">
        <f>IF(COUNTIF(Branches!$A$2:$A$11,F3636)&gt;0,"Valid","Invalid")</f>
        <v>Valid</v>
      </c>
    </row>
    <row r="3637" spans="1:18" x14ac:dyDescent="0.25">
      <c r="A3637" t="s">
        <v>5708</v>
      </c>
      <c r="B3637" t="s">
        <v>530</v>
      </c>
      <c r="C3637" s="8">
        <v>46041</v>
      </c>
      <c r="D3637" t="s">
        <v>2058</v>
      </c>
      <c r="E3637" t="s">
        <v>2063</v>
      </c>
      <c r="F3637" t="s">
        <v>11</v>
      </c>
      <c r="G3637">
        <v>1154.3</v>
      </c>
      <c r="H3637" t="s">
        <v>2060</v>
      </c>
      <c r="I3637" t="str">
        <f>VLOOKUP(B3637,Customers!A:G,7,FALSE)</f>
        <v>Individual</v>
      </c>
      <c r="Q3637" t="str">
        <f>IF(COUNTIF(Customers!$A$2:$A$1001,B3637)&gt;0,"Valid","Invalid")</f>
        <v>Valid</v>
      </c>
      <c r="R3637" t="str">
        <f>IF(COUNTIF(Branches!$A$2:$A$11,F3637)&gt;0,"Valid","Invalid")</f>
        <v>Valid</v>
      </c>
    </row>
    <row r="3638" spans="1:18" x14ac:dyDescent="0.25">
      <c r="A3638" t="s">
        <v>5709</v>
      </c>
      <c r="B3638" t="s">
        <v>263</v>
      </c>
      <c r="C3638" s="8">
        <v>46063</v>
      </c>
      <c r="D3638" t="s">
        <v>2067</v>
      </c>
      <c r="E3638" t="s">
        <v>2063</v>
      </c>
      <c r="F3638" t="s">
        <v>29</v>
      </c>
      <c r="G3638">
        <v>835.77</v>
      </c>
      <c r="H3638" t="s">
        <v>2060</v>
      </c>
      <c r="I3638" t="str">
        <f>VLOOKUP(B3638,Customers!A:G,7,FALSE)</f>
        <v>Individual</v>
      </c>
      <c r="Q3638" t="str">
        <f>IF(COUNTIF(Customers!$A$2:$A$1001,B3638)&gt;0,"Valid","Invalid")</f>
        <v>Valid</v>
      </c>
      <c r="R3638" t="str">
        <f>IF(COUNTIF(Branches!$A$2:$A$11,F3638)&gt;0,"Valid","Invalid")</f>
        <v>Valid</v>
      </c>
    </row>
    <row r="3639" spans="1:18" x14ac:dyDescent="0.25">
      <c r="A3639" t="s">
        <v>5710</v>
      </c>
      <c r="B3639" t="s">
        <v>624</v>
      </c>
      <c r="C3639" s="8">
        <v>46048</v>
      </c>
      <c r="D3639" t="s">
        <v>2067</v>
      </c>
      <c r="E3639" t="s">
        <v>2059</v>
      </c>
      <c r="F3639" t="s">
        <v>21</v>
      </c>
      <c r="G3639">
        <v>3017.32</v>
      </c>
      <c r="H3639" t="s">
        <v>2060</v>
      </c>
      <c r="I3639" t="str">
        <f>VLOOKUP(B3639,Customers!A:G,7,FALSE)</f>
        <v>Corporate</v>
      </c>
      <c r="Q3639" t="str">
        <f>IF(COUNTIF(Customers!$A$2:$A$1001,B3639)&gt;0,"Valid","Invalid")</f>
        <v>Valid</v>
      </c>
      <c r="R3639" t="str">
        <f>IF(COUNTIF(Branches!$A$2:$A$11,F3639)&gt;0,"Valid","Invalid")</f>
        <v>Valid</v>
      </c>
    </row>
    <row r="3640" spans="1:18" x14ac:dyDescent="0.25">
      <c r="A3640" t="s">
        <v>5711</v>
      </c>
      <c r="B3640" t="s">
        <v>857</v>
      </c>
      <c r="C3640" s="8">
        <v>46050</v>
      </c>
      <c r="D3640" t="s">
        <v>2062</v>
      </c>
      <c r="E3640" t="s">
        <v>2063</v>
      </c>
      <c r="F3640" t="s">
        <v>45</v>
      </c>
      <c r="G3640">
        <v>1629.93</v>
      </c>
      <c r="H3640" t="s">
        <v>2060</v>
      </c>
      <c r="I3640" t="str">
        <f>VLOOKUP(B3640,Customers!A:G,7,FALSE)</f>
        <v>Student</v>
      </c>
      <c r="Q3640" t="str">
        <f>IF(COUNTIF(Customers!$A$2:$A$1001,B3640)&gt;0,"Valid","Invalid")</f>
        <v>Valid</v>
      </c>
      <c r="R3640" t="str">
        <f>IF(COUNTIF(Branches!$A$2:$A$11,F3640)&gt;0,"Valid","Invalid")</f>
        <v>Valid</v>
      </c>
    </row>
    <row r="3641" spans="1:18" x14ac:dyDescent="0.25">
      <c r="A3641" t="s">
        <v>5712</v>
      </c>
      <c r="B3641" t="s">
        <v>205</v>
      </c>
      <c r="C3641" s="8">
        <v>46086</v>
      </c>
      <c r="D3641" t="s">
        <v>2065</v>
      </c>
      <c r="E3641" t="s">
        <v>2073</v>
      </c>
      <c r="F3641" t="s">
        <v>11</v>
      </c>
      <c r="G3641">
        <v>700.73</v>
      </c>
      <c r="H3641" t="s">
        <v>2060</v>
      </c>
      <c r="I3641" t="str">
        <f>VLOOKUP(B3641,Customers!A:G,7,FALSE)</f>
        <v>SME</v>
      </c>
      <c r="Q3641" t="str">
        <f>IF(COUNTIF(Customers!$A$2:$A$1001,B3641)&gt;0,"Valid","Invalid")</f>
        <v>Valid</v>
      </c>
      <c r="R3641" t="str">
        <f>IF(COUNTIF(Branches!$A$2:$A$11,F3641)&gt;0,"Valid","Invalid")</f>
        <v>Valid</v>
      </c>
    </row>
    <row r="3642" spans="1:18" x14ac:dyDescent="0.25">
      <c r="A3642" t="s">
        <v>5713</v>
      </c>
      <c r="B3642" t="s">
        <v>799</v>
      </c>
      <c r="C3642" s="8">
        <v>46090</v>
      </c>
      <c r="D3642" t="s">
        <v>2062</v>
      </c>
      <c r="E3642" t="s">
        <v>2068</v>
      </c>
      <c r="F3642" t="s">
        <v>39</v>
      </c>
      <c r="G3642">
        <v>1008.54</v>
      </c>
      <c r="H3642" t="s">
        <v>2060</v>
      </c>
      <c r="I3642" t="str">
        <f>VLOOKUP(B3642,Customers!A:G,7,FALSE)</f>
        <v>Student</v>
      </c>
      <c r="Q3642" t="str">
        <f>IF(COUNTIF(Customers!$A$2:$A$1001,B3642)&gt;0,"Valid","Invalid")</f>
        <v>Valid</v>
      </c>
      <c r="R3642" t="str">
        <f>IF(COUNTIF(Branches!$A$2:$A$11,F3642)&gt;0,"Valid","Invalid")</f>
        <v>Valid</v>
      </c>
    </row>
    <row r="3643" spans="1:18" x14ac:dyDescent="0.25">
      <c r="A3643" t="s">
        <v>5714</v>
      </c>
      <c r="B3643" t="s">
        <v>830</v>
      </c>
      <c r="C3643" s="8">
        <v>46245</v>
      </c>
      <c r="D3643" t="s">
        <v>2058</v>
      </c>
      <c r="E3643" t="s">
        <v>2063</v>
      </c>
      <c r="F3643" t="s">
        <v>11</v>
      </c>
      <c r="G3643">
        <v>376.88</v>
      </c>
      <c r="H3643" t="s">
        <v>2060</v>
      </c>
      <c r="I3643" t="str">
        <f>VLOOKUP(B3643,Customers!A:G,7,FALSE)</f>
        <v>Corporate</v>
      </c>
      <c r="Q3643" t="str">
        <f>IF(COUNTIF(Customers!$A$2:$A$1001,B3643)&gt;0,"Valid","Invalid")</f>
        <v>Valid</v>
      </c>
      <c r="R3643" t="str">
        <f>IF(COUNTIF(Branches!$A$2:$A$11,F3643)&gt;0,"Valid","Invalid")</f>
        <v>Valid</v>
      </c>
    </row>
    <row r="3644" spans="1:18" x14ac:dyDescent="0.25">
      <c r="A3644" t="s">
        <v>5715</v>
      </c>
      <c r="B3644" t="s">
        <v>1038</v>
      </c>
      <c r="C3644" s="8">
        <v>46102</v>
      </c>
      <c r="D3644" t="s">
        <v>2070</v>
      </c>
      <c r="E3644" t="s">
        <v>2063</v>
      </c>
      <c r="F3644" t="s">
        <v>47</v>
      </c>
      <c r="G3644">
        <v>463.57</v>
      </c>
      <c r="H3644" t="s">
        <v>2060</v>
      </c>
      <c r="I3644" t="str">
        <f>VLOOKUP(B3644,Customers!A:G,7,FALSE)</f>
        <v>Individual</v>
      </c>
      <c r="Q3644" t="str">
        <f>IF(COUNTIF(Customers!$A$2:$A$1001,B3644)&gt;0,"Valid","Invalid")</f>
        <v>Valid</v>
      </c>
      <c r="R3644" t="str">
        <f>IF(COUNTIF(Branches!$A$2:$A$11,F3644)&gt;0,"Valid","Invalid")</f>
        <v>Valid</v>
      </c>
    </row>
    <row r="3645" spans="1:18" x14ac:dyDescent="0.25">
      <c r="A3645" t="s">
        <v>5716</v>
      </c>
      <c r="B3645" t="s">
        <v>188</v>
      </c>
      <c r="C3645" s="8">
        <v>46073</v>
      </c>
      <c r="D3645" t="s">
        <v>2058</v>
      </c>
      <c r="E3645" t="s">
        <v>2068</v>
      </c>
      <c r="F3645" t="s">
        <v>11</v>
      </c>
      <c r="G3645">
        <v>660.97</v>
      </c>
      <c r="H3645" t="s">
        <v>2060</v>
      </c>
      <c r="I3645" t="str">
        <f>VLOOKUP(B3645,Customers!A:G,7,FALSE)</f>
        <v>Corporate</v>
      </c>
      <c r="Q3645" t="str">
        <f>IF(COUNTIF(Customers!$A$2:$A$1001,B3645)&gt;0,"Valid","Invalid")</f>
        <v>Valid</v>
      </c>
      <c r="R3645" t="str">
        <f>IF(COUNTIF(Branches!$A$2:$A$11,F3645)&gt;0,"Valid","Invalid")</f>
        <v>Valid</v>
      </c>
    </row>
    <row r="3646" spans="1:18" x14ac:dyDescent="0.25">
      <c r="A3646" t="s">
        <v>5717</v>
      </c>
      <c r="B3646" t="s">
        <v>261</v>
      </c>
      <c r="C3646" s="8">
        <v>46224</v>
      </c>
      <c r="D3646" t="s">
        <v>2065</v>
      </c>
      <c r="E3646" t="s">
        <v>2068</v>
      </c>
      <c r="F3646" t="s">
        <v>27</v>
      </c>
      <c r="G3646">
        <v>1418.66</v>
      </c>
      <c r="H3646" t="s">
        <v>2060</v>
      </c>
      <c r="I3646" t="str">
        <f>VLOOKUP(B3646,Customers!A:G,7,FALSE)</f>
        <v>Individual</v>
      </c>
      <c r="Q3646" t="str">
        <f>IF(COUNTIF(Customers!$A$2:$A$1001,B3646)&gt;0,"Valid","Invalid")</f>
        <v>Valid</v>
      </c>
      <c r="R3646" t="str">
        <f>IF(COUNTIF(Branches!$A$2:$A$11,F3646)&gt;0,"Valid","Invalid")</f>
        <v>Valid</v>
      </c>
    </row>
    <row r="3647" spans="1:18" x14ac:dyDescent="0.25">
      <c r="A3647" t="s">
        <v>5718</v>
      </c>
      <c r="B3647" t="s">
        <v>542</v>
      </c>
      <c r="C3647" s="8">
        <v>46124</v>
      </c>
      <c r="D3647" t="s">
        <v>2065</v>
      </c>
      <c r="E3647" t="s">
        <v>2073</v>
      </c>
      <c r="F3647" t="s">
        <v>29</v>
      </c>
      <c r="G3647">
        <v>233.37</v>
      </c>
      <c r="H3647" t="s">
        <v>2060</v>
      </c>
      <c r="I3647" t="str">
        <f>VLOOKUP(B3647,Customers!A:G,7,FALSE)</f>
        <v>Individual</v>
      </c>
      <c r="Q3647" t="str">
        <f>IF(COUNTIF(Customers!$A$2:$A$1001,B3647)&gt;0,"Valid","Invalid")</f>
        <v>Valid</v>
      </c>
      <c r="R3647" t="str">
        <f>IF(COUNTIF(Branches!$A$2:$A$11,F3647)&gt;0,"Valid","Invalid")</f>
        <v>Valid</v>
      </c>
    </row>
    <row r="3648" spans="1:18" x14ac:dyDescent="0.25">
      <c r="A3648" t="s">
        <v>5719</v>
      </c>
      <c r="B3648" t="s">
        <v>775</v>
      </c>
      <c r="C3648" s="8">
        <v>46198</v>
      </c>
      <c r="D3648" t="s">
        <v>2062</v>
      </c>
      <c r="E3648" t="s">
        <v>2073</v>
      </c>
      <c r="F3648" t="s">
        <v>39</v>
      </c>
      <c r="G3648">
        <v>876.77</v>
      </c>
      <c r="H3648" t="s">
        <v>2060</v>
      </c>
      <c r="I3648" t="str">
        <f>VLOOKUP(B3648,Customers!A:G,7,FALSE)</f>
        <v>Student</v>
      </c>
      <c r="Q3648" t="str">
        <f>IF(COUNTIF(Customers!$A$2:$A$1001,B3648)&gt;0,"Valid","Invalid")</f>
        <v>Valid</v>
      </c>
      <c r="R3648" t="str">
        <f>IF(COUNTIF(Branches!$A$2:$A$11,F3648)&gt;0,"Valid","Invalid")</f>
        <v>Valid</v>
      </c>
    </row>
    <row r="3649" spans="1:18" x14ac:dyDescent="0.25">
      <c r="A3649" t="s">
        <v>5720</v>
      </c>
      <c r="B3649" t="s">
        <v>588</v>
      </c>
      <c r="C3649" s="8">
        <v>46032</v>
      </c>
      <c r="D3649" t="s">
        <v>2062</v>
      </c>
      <c r="E3649" t="s">
        <v>2073</v>
      </c>
      <c r="F3649" t="s">
        <v>21</v>
      </c>
      <c r="G3649">
        <v>550.12</v>
      </c>
      <c r="H3649" t="s">
        <v>2060</v>
      </c>
      <c r="I3649" t="str">
        <f>VLOOKUP(B3649,Customers!A:G,7,FALSE)</f>
        <v>Individual</v>
      </c>
      <c r="Q3649" t="str">
        <f>IF(COUNTIF(Customers!$A$2:$A$1001,B3649)&gt;0,"Valid","Invalid")</f>
        <v>Valid</v>
      </c>
      <c r="R3649" t="str">
        <f>IF(COUNTIF(Branches!$A$2:$A$11,F3649)&gt;0,"Valid","Invalid")</f>
        <v>Valid</v>
      </c>
    </row>
    <row r="3650" spans="1:18" x14ac:dyDescent="0.25">
      <c r="A3650" t="s">
        <v>5721</v>
      </c>
      <c r="B3650" t="s">
        <v>79</v>
      </c>
      <c r="C3650" s="8">
        <v>46259</v>
      </c>
      <c r="D3650" t="s">
        <v>2067</v>
      </c>
      <c r="E3650" t="s">
        <v>2059</v>
      </c>
      <c r="F3650" t="s">
        <v>35</v>
      </c>
      <c r="G3650">
        <v>329.99</v>
      </c>
      <c r="H3650" t="s">
        <v>2060</v>
      </c>
      <c r="I3650" t="str">
        <f>VLOOKUP(B3650,Customers!A:G,7,FALSE)</f>
        <v>Individual</v>
      </c>
      <c r="Q3650" t="str">
        <f>IF(COUNTIF(Customers!$A$2:$A$1001,B3650)&gt;0,"Valid","Invalid")</f>
        <v>Valid</v>
      </c>
      <c r="R3650" t="str">
        <f>IF(COUNTIF(Branches!$A$2:$A$11,F3650)&gt;0,"Valid","Invalid")</f>
        <v>Valid</v>
      </c>
    </row>
    <row r="3651" spans="1:18" x14ac:dyDescent="0.25">
      <c r="A3651" t="s">
        <v>5722</v>
      </c>
      <c r="B3651" t="s">
        <v>735</v>
      </c>
      <c r="C3651" s="8">
        <v>46223</v>
      </c>
      <c r="D3651" t="s">
        <v>2058</v>
      </c>
      <c r="E3651" t="s">
        <v>2063</v>
      </c>
      <c r="F3651" t="s">
        <v>29</v>
      </c>
      <c r="G3651">
        <v>553.08000000000004</v>
      </c>
      <c r="H3651" t="s">
        <v>2060</v>
      </c>
      <c r="I3651" t="str">
        <f>VLOOKUP(B3651,Customers!A:G,7,FALSE)</f>
        <v>Individual</v>
      </c>
      <c r="Q3651" t="str">
        <f>IF(COUNTIF(Customers!$A$2:$A$1001,B3651)&gt;0,"Valid","Invalid")</f>
        <v>Valid</v>
      </c>
      <c r="R3651" t="str">
        <f>IF(COUNTIF(Branches!$A$2:$A$11,F3651)&gt;0,"Valid","Invalid")</f>
        <v>Valid</v>
      </c>
    </row>
    <row r="3652" spans="1:18" x14ac:dyDescent="0.25">
      <c r="A3652" t="s">
        <v>5723</v>
      </c>
      <c r="B3652" t="s">
        <v>542</v>
      </c>
      <c r="C3652" s="8">
        <v>46189</v>
      </c>
      <c r="D3652" t="s">
        <v>2058</v>
      </c>
      <c r="E3652" t="s">
        <v>2068</v>
      </c>
      <c r="F3652" t="s">
        <v>29</v>
      </c>
      <c r="G3652">
        <v>79.73</v>
      </c>
      <c r="H3652" t="s">
        <v>2060</v>
      </c>
      <c r="I3652" t="str">
        <f>VLOOKUP(B3652,Customers!A:G,7,FALSE)</f>
        <v>Individual</v>
      </c>
      <c r="Q3652" t="str">
        <f>IF(COUNTIF(Customers!$A$2:$A$1001,B3652)&gt;0,"Valid","Invalid")</f>
        <v>Valid</v>
      </c>
      <c r="R3652" t="str">
        <f>IF(COUNTIF(Branches!$A$2:$A$11,F3652)&gt;0,"Valid","Invalid")</f>
        <v>Valid</v>
      </c>
    </row>
    <row r="3653" spans="1:18" x14ac:dyDescent="0.25">
      <c r="A3653" t="s">
        <v>5724</v>
      </c>
      <c r="B3653" t="s">
        <v>993</v>
      </c>
      <c r="C3653" s="8">
        <v>46122</v>
      </c>
      <c r="D3653" t="s">
        <v>2070</v>
      </c>
      <c r="E3653" t="s">
        <v>2063</v>
      </c>
      <c r="F3653" t="s">
        <v>29</v>
      </c>
      <c r="G3653">
        <v>380.85</v>
      </c>
      <c r="H3653" t="s">
        <v>2060</v>
      </c>
      <c r="I3653" t="str">
        <f>VLOOKUP(B3653,Customers!A:G,7,FALSE)</f>
        <v>SME</v>
      </c>
      <c r="Q3653" t="str">
        <f>IF(COUNTIF(Customers!$A$2:$A$1001,B3653)&gt;0,"Valid","Invalid")</f>
        <v>Valid</v>
      </c>
      <c r="R3653" t="str">
        <f>IF(COUNTIF(Branches!$A$2:$A$11,F3653)&gt;0,"Valid","Invalid")</f>
        <v>Valid</v>
      </c>
    </row>
    <row r="3654" spans="1:18" x14ac:dyDescent="0.25">
      <c r="A3654" t="s">
        <v>5725</v>
      </c>
      <c r="B3654" t="s">
        <v>279</v>
      </c>
      <c r="C3654" s="8">
        <v>46265</v>
      </c>
      <c r="D3654" t="s">
        <v>2070</v>
      </c>
      <c r="E3654" t="s">
        <v>2068</v>
      </c>
      <c r="F3654" t="s">
        <v>35</v>
      </c>
      <c r="G3654">
        <v>270.57</v>
      </c>
      <c r="H3654" t="s">
        <v>2060</v>
      </c>
      <c r="I3654" t="str">
        <f>VLOOKUP(B3654,Customers!A:G,7,FALSE)</f>
        <v>SME</v>
      </c>
      <c r="Q3654" t="str">
        <f>IF(COUNTIF(Customers!$A$2:$A$1001,B3654)&gt;0,"Valid","Invalid")</f>
        <v>Valid</v>
      </c>
      <c r="R3654" t="str">
        <f>IF(COUNTIF(Branches!$A$2:$A$11,F3654)&gt;0,"Valid","Invalid")</f>
        <v>Valid</v>
      </c>
    </row>
    <row r="3655" spans="1:18" x14ac:dyDescent="0.25">
      <c r="A3655" t="s">
        <v>5726</v>
      </c>
      <c r="B3655" t="s">
        <v>968</v>
      </c>
      <c r="C3655" s="8">
        <v>46144</v>
      </c>
      <c r="D3655" t="s">
        <v>2070</v>
      </c>
      <c r="E3655" t="s">
        <v>2059</v>
      </c>
      <c r="F3655" t="s">
        <v>21</v>
      </c>
      <c r="G3655">
        <v>614.04999999999995</v>
      </c>
      <c r="H3655" t="s">
        <v>2060</v>
      </c>
      <c r="I3655" t="str">
        <f>VLOOKUP(B3655,Customers!A:G,7,FALSE)</f>
        <v>SME</v>
      </c>
      <c r="Q3655" t="str">
        <f>IF(COUNTIF(Customers!$A$2:$A$1001,B3655)&gt;0,"Valid","Invalid")</f>
        <v>Valid</v>
      </c>
      <c r="R3655" t="str">
        <f>IF(COUNTIF(Branches!$A$2:$A$11,F3655)&gt;0,"Valid","Invalid")</f>
        <v>Valid</v>
      </c>
    </row>
    <row r="3656" spans="1:18" x14ac:dyDescent="0.25">
      <c r="A3656" t="s">
        <v>5727</v>
      </c>
      <c r="B3656" t="s">
        <v>881</v>
      </c>
      <c r="C3656" s="8">
        <v>46250</v>
      </c>
      <c r="D3656" t="s">
        <v>2062</v>
      </c>
      <c r="E3656" t="s">
        <v>2068</v>
      </c>
      <c r="F3656" t="s">
        <v>45</v>
      </c>
      <c r="G3656">
        <v>83.11</v>
      </c>
      <c r="H3656" t="s">
        <v>2060</v>
      </c>
      <c r="I3656" t="str">
        <f>VLOOKUP(B3656,Customers!A:G,7,FALSE)</f>
        <v>Individual</v>
      </c>
      <c r="Q3656" t="str">
        <f>IF(COUNTIF(Customers!$A$2:$A$1001,B3656)&gt;0,"Valid","Invalid")</f>
        <v>Valid</v>
      </c>
      <c r="R3656" t="str">
        <f>IF(COUNTIF(Branches!$A$2:$A$11,F3656)&gt;0,"Valid","Invalid")</f>
        <v>Valid</v>
      </c>
    </row>
    <row r="3657" spans="1:18" x14ac:dyDescent="0.25">
      <c r="A3657" t="s">
        <v>5728</v>
      </c>
      <c r="B3657" t="s">
        <v>389</v>
      </c>
      <c r="C3657" s="8">
        <v>46169</v>
      </c>
      <c r="D3657" t="s">
        <v>2062</v>
      </c>
      <c r="E3657" t="s">
        <v>2063</v>
      </c>
      <c r="F3657" t="s">
        <v>27</v>
      </c>
      <c r="G3657">
        <v>983.28</v>
      </c>
      <c r="H3657" t="s">
        <v>2060</v>
      </c>
      <c r="I3657" t="str">
        <f>VLOOKUP(B3657,Customers!A:G,7,FALSE)</f>
        <v>Individual</v>
      </c>
      <c r="Q3657" t="str">
        <f>IF(COUNTIF(Customers!$A$2:$A$1001,B3657)&gt;0,"Valid","Invalid")</f>
        <v>Valid</v>
      </c>
      <c r="R3657" t="str">
        <f>IF(COUNTIF(Branches!$A$2:$A$11,F3657)&gt;0,"Valid","Invalid")</f>
        <v>Valid</v>
      </c>
    </row>
    <row r="3658" spans="1:18" x14ac:dyDescent="0.25">
      <c r="A3658" t="s">
        <v>5729</v>
      </c>
      <c r="B3658" t="s">
        <v>760</v>
      </c>
      <c r="C3658" s="8">
        <v>46086</v>
      </c>
      <c r="D3658" t="s">
        <v>2065</v>
      </c>
      <c r="E3658" t="s">
        <v>2059</v>
      </c>
      <c r="F3658" t="s">
        <v>27</v>
      </c>
      <c r="G3658">
        <v>2017.11</v>
      </c>
      <c r="H3658" t="s">
        <v>2060</v>
      </c>
      <c r="I3658" t="str">
        <f>VLOOKUP(B3658,Customers!A:G,7,FALSE)</f>
        <v>Individual</v>
      </c>
      <c r="Q3658" t="str">
        <f>IF(COUNTIF(Customers!$A$2:$A$1001,B3658)&gt;0,"Valid","Invalid")</f>
        <v>Valid</v>
      </c>
      <c r="R3658" t="str">
        <f>IF(COUNTIF(Branches!$A$2:$A$11,F3658)&gt;0,"Valid","Invalid")</f>
        <v>Valid</v>
      </c>
    </row>
    <row r="3659" spans="1:18" x14ac:dyDescent="0.25">
      <c r="A3659" t="s">
        <v>5730</v>
      </c>
      <c r="B3659" t="s">
        <v>57</v>
      </c>
      <c r="C3659" s="8">
        <v>46146</v>
      </c>
      <c r="D3659" t="s">
        <v>2062</v>
      </c>
      <c r="E3659" t="s">
        <v>2059</v>
      </c>
      <c r="F3659" t="s">
        <v>11</v>
      </c>
      <c r="G3659">
        <v>722.49</v>
      </c>
      <c r="H3659" t="s">
        <v>2060</v>
      </c>
      <c r="I3659" t="str">
        <f>VLOOKUP(B3659,Customers!A:G,7,FALSE)</f>
        <v>SME</v>
      </c>
      <c r="Q3659" t="str">
        <f>IF(COUNTIF(Customers!$A$2:$A$1001,B3659)&gt;0,"Valid","Invalid")</f>
        <v>Valid</v>
      </c>
      <c r="R3659" t="str">
        <f>IF(COUNTIF(Branches!$A$2:$A$11,F3659)&gt;0,"Valid","Invalid")</f>
        <v>Valid</v>
      </c>
    </row>
    <row r="3660" spans="1:18" x14ac:dyDescent="0.25">
      <c r="A3660" t="s">
        <v>5731</v>
      </c>
      <c r="B3660" t="s">
        <v>674</v>
      </c>
      <c r="C3660" s="8">
        <v>46041</v>
      </c>
      <c r="D3660" t="s">
        <v>2062</v>
      </c>
      <c r="E3660" t="s">
        <v>2073</v>
      </c>
      <c r="F3660" t="s">
        <v>45</v>
      </c>
      <c r="G3660">
        <v>1337.81</v>
      </c>
      <c r="H3660" t="s">
        <v>2060</v>
      </c>
      <c r="I3660" t="str">
        <f>VLOOKUP(B3660,Customers!A:G,7,FALSE)</f>
        <v>SME</v>
      </c>
      <c r="Q3660" t="str">
        <f>IF(COUNTIF(Customers!$A$2:$A$1001,B3660)&gt;0,"Valid","Invalid")</f>
        <v>Valid</v>
      </c>
      <c r="R3660" t="str">
        <f>IF(COUNTIF(Branches!$A$2:$A$11,F3660)&gt;0,"Valid","Invalid")</f>
        <v>Valid</v>
      </c>
    </row>
    <row r="3661" spans="1:18" x14ac:dyDescent="0.25">
      <c r="A3661" t="s">
        <v>5732</v>
      </c>
      <c r="B3661" t="s">
        <v>636</v>
      </c>
      <c r="C3661" s="8">
        <v>46098</v>
      </c>
      <c r="D3661" t="s">
        <v>2070</v>
      </c>
      <c r="E3661" t="s">
        <v>2063</v>
      </c>
      <c r="F3661" t="s">
        <v>45</v>
      </c>
      <c r="G3661">
        <v>486.52</v>
      </c>
      <c r="H3661" t="s">
        <v>2060</v>
      </c>
      <c r="I3661" t="str">
        <f>VLOOKUP(B3661,Customers!A:G,7,FALSE)</f>
        <v>Individual</v>
      </c>
      <c r="Q3661" t="str">
        <f>IF(COUNTIF(Customers!$A$2:$A$1001,B3661)&gt;0,"Valid","Invalid")</f>
        <v>Valid</v>
      </c>
      <c r="R3661" t="str">
        <f>IF(COUNTIF(Branches!$A$2:$A$11,F3661)&gt;0,"Valid","Invalid")</f>
        <v>Valid</v>
      </c>
    </row>
    <row r="3662" spans="1:18" x14ac:dyDescent="0.25">
      <c r="A3662" t="s">
        <v>5733</v>
      </c>
      <c r="B3662" t="s">
        <v>77</v>
      </c>
      <c r="C3662" s="8">
        <v>46084</v>
      </c>
      <c r="D3662" t="s">
        <v>2058</v>
      </c>
      <c r="E3662" t="s">
        <v>2073</v>
      </c>
      <c r="F3662" t="s">
        <v>11</v>
      </c>
      <c r="G3662">
        <v>171.64</v>
      </c>
      <c r="H3662" t="s">
        <v>2060</v>
      </c>
      <c r="I3662" t="str">
        <f>VLOOKUP(B3662,Customers!A:G,7,FALSE)</f>
        <v>Corporate</v>
      </c>
      <c r="Q3662" t="str">
        <f>IF(COUNTIF(Customers!$A$2:$A$1001,B3662)&gt;0,"Valid","Invalid")</f>
        <v>Valid</v>
      </c>
      <c r="R3662" t="str">
        <f>IF(COUNTIF(Branches!$A$2:$A$11,F3662)&gt;0,"Valid","Invalid")</f>
        <v>Valid</v>
      </c>
    </row>
    <row r="3663" spans="1:18" x14ac:dyDescent="0.25">
      <c r="A3663" t="s">
        <v>5734</v>
      </c>
      <c r="B3663" t="s">
        <v>504</v>
      </c>
      <c r="C3663" s="8">
        <v>46163</v>
      </c>
      <c r="D3663" t="s">
        <v>2065</v>
      </c>
      <c r="E3663" t="s">
        <v>2068</v>
      </c>
      <c r="F3663" t="s">
        <v>11</v>
      </c>
      <c r="G3663">
        <v>813.78</v>
      </c>
      <c r="H3663" t="s">
        <v>2060</v>
      </c>
      <c r="I3663" t="str">
        <f>VLOOKUP(B3663,Customers!A:G,7,FALSE)</f>
        <v>Student</v>
      </c>
      <c r="Q3663" t="str">
        <f>IF(COUNTIF(Customers!$A$2:$A$1001,B3663)&gt;0,"Valid","Invalid")</f>
        <v>Valid</v>
      </c>
      <c r="R3663" t="str">
        <f>IF(COUNTIF(Branches!$A$2:$A$11,F3663)&gt;0,"Valid","Invalid")</f>
        <v>Valid</v>
      </c>
    </row>
    <row r="3664" spans="1:18" x14ac:dyDescent="0.25">
      <c r="A3664" t="s">
        <v>5735</v>
      </c>
      <c r="B3664" t="s">
        <v>74</v>
      </c>
      <c r="C3664" s="8">
        <v>46047</v>
      </c>
      <c r="D3664" t="s">
        <v>2058</v>
      </c>
      <c r="E3664" t="s">
        <v>2076</v>
      </c>
      <c r="F3664" t="s">
        <v>21</v>
      </c>
      <c r="G3664">
        <v>1604.2</v>
      </c>
      <c r="H3664" t="s">
        <v>2060</v>
      </c>
      <c r="I3664" t="str">
        <f>VLOOKUP(B3664,Customers!A:G,7,FALSE)</f>
        <v>Individual</v>
      </c>
      <c r="Q3664" t="str">
        <f>IF(COUNTIF(Customers!$A$2:$A$1001,B3664)&gt;0,"Valid","Invalid")</f>
        <v>Valid</v>
      </c>
      <c r="R3664" t="str">
        <f>IF(COUNTIF(Branches!$A$2:$A$11,F3664)&gt;0,"Valid","Invalid")</f>
        <v>Valid</v>
      </c>
    </row>
    <row r="3665" spans="1:18" x14ac:dyDescent="0.25">
      <c r="A3665" t="s">
        <v>5736</v>
      </c>
      <c r="B3665" t="s">
        <v>341</v>
      </c>
      <c r="C3665" s="8">
        <v>46250</v>
      </c>
      <c r="D3665" t="s">
        <v>2058</v>
      </c>
      <c r="E3665" t="s">
        <v>2068</v>
      </c>
      <c r="F3665" t="s">
        <v>29</v>
      </c>
      <c r="G3665">
        <v>216.07</v>
      </c>
      <c r="H3665" t="s">
        <v>2060</v>
      </c>
      <c r="I3665" t="str">
        <f>VLOOKUP(B3665,Customers!A:G,7,FALSE)</f>
        <v>SME</v>
      </c>
      <c r="Q3665" t="str">
        <f>IF(COUNTIF(Customers!$A$2:$A$1001,B3665)&gt;0,"Valid","Invalid")</f>
        <v>Valid</v>
      </c>
      <c r="R3665" t="str">
        <f>IF(COUNTIF(Branches!$A$2:$A$11,F3665)&gt;0,"Valid","Invalid")</f>
        <v>Valid</v>
      </c>
    </row>
    <row r="3666" spans="1:18" x14ac:dyDescent="0.25">
      <c r="A3666" t="s">
        <v>5737</v>
      </c>
      <c r="B3666" t="s">
        <v>719</v>
      </c>
      <c r="C3666" s="8">
        <v>46111</v>
      </c>
      <c r="D3666" t="s">
        <v>2065</v>
      </c>
      <c r="E3666" t="s">
        <v>2076</v>
      </c>
      <c r="F3666" t="s">
        <v>35</v>
      </c>
      <c r="G3666">
        <v>510.18</v>
      </c>
      <c r="H3666" t="s">
        <v>2060</v>
      </c>
      <c r="I3666" t="str">
        <f>VLOOKUP(B3666,Customers!A:G,7,FALSE)</f>
        <v>Individual</v>
      </c>
      <c r="Q3666" t="str">
        <f>IF(COUNTIF(Customers!$A$2:$A$1001,B3666)&gt;0,"Valid","Invalid")</f>
        <v>Valid</v>
      </c>
      <c r="R3666" t="str">
        <f>IF(COUNTIF(Branches!$A$2:$A$11,F3666)&gt;0,"Valid","Invalid")</f>
        <v>Valid</v>
      </c>
    </row>
    <row r="3667" spans="1:18" x14ac:dyDescent="0.25">
      <c r="A3667" t="s">
        <v>5738</v>
      </c>
      <c r="B3667" t="s">
        <v>211</v>
      </c>
      <c r="C3667" s="8">
        <v>46114</v>
      </c>
      <c r="D3667" t="s">
        <v>2067</v>
      </c>
      <c r="E3667" t="s">
        <v>2063</v>
      </c>
      <c r="F3667" t="s">
        <v>53</v>
      </c>
      <c r="G3667">
        <v>634.53</v>
      </c>
      <c r="H3667" t="s">
        <v>2060</v>
      </c>
      <c r="I3667" t="str">
        <f>VLOOKUP(B3667,Customers!A:G,7,FALSE)</f>
        <v>SME</v>
      </c>
      <c r="Q3667" t="str">
        <f>IF(COUNTIF(Customers!$A$2:$A$1001,B3667)&gt;0,"Valid","Invalid")</f>
        <v>Valid</v>
      </c>
      <c r="R3667" t="str">
        <f>IF(COUNTIF(Branches!$A$2:$A$11,F3667)&gt;0,"Valid","Invalid")</f>
        <v>Valid</v>
      </c>
    </row>
    <row r="3668" spans="1:18" x14ac:dyDescent="0.25">
      <c r="A3668" t="s">
        <v>5739</v>
      </c>
      <c r="B3668" t="s">
        <v>1037</v>
      </c>
      <c r="C3668" s="8">
        <v>46064</v>
      </c>
      <c r="D3668" t="s">
        <v>2058</v>
      </c>
      <c r="E3668" t="s">
        <v>2063</v>
      </c>
      <c r="F3668" t="s">
        <v>53</v>
      </c>
      <c r="G3668">
        <v>14064.48</v>
      </c>
      <c r="H3668" t="s">
        <v>2115</v>
      </c>
      <c r="I3668" t="str">
        <f>VLOOKUP(B3668,Customers!A:G,7,FALSE)</f>
        <v>SME</v>
      </c>
      <c r="Q3668" t="str">
        <f>IF(COUNTIF(Customers!$A$2:$A$1001,B3668)&gt;0,"Valid","Invalid")</f>
        <v>Valid</v>
      </c>
      <c r="R3668" t="str">
        <f>IF(COUNTIF(Branches!$A$2:$A$11,F3668)&gt;0,"Valid","Invalid")</f>
        <v>Valid</v>
      </c>
    </row>
    <row r="3669" spans="1:18" x14ac:dyDescent="0.25">
      <c r="A3669" t="s">
        <v>5740</v>
      </c>
      <c r="B3669" t="s">
        <v>570</v>
      </c>
      <c r="C3669" s="8">
        <v>46139</v>
      </c>
      <c r="D3669" t="s">
        <v>2067</v>
      </c>
      <c r="E3669" t="s">
        <v>2068</v>
      </c>
      <c r="F3669" t="s">
        <v>39</v>
      </c>
      <c r="G3669">
        <v>1015.74</v>
      </c>
      <c r="H3669" t="s">
        <v>2060</v>
      </c>
      <c r="I3669" t="str">
        <f>VLOOKUP(B3669,Customers!A:G,7,FALSE)</f>
        <v>Individual</v>
      </c>
      <c r="Q3669" t="str">
        <f>IF(COUNTIF(Customers!$A$2:$A$1001,B3669)&gt;0,"Valid","Invalid")</f>
        <v>Valid</v>
      </c>
      <c r="R3669" t="str">
        <f>IF(COUNTIF(Branches!$A$2:$A$11,F3669)&gt;0,"Valid","Invalid")</f>
        <v>Valid</v>
      </c>
    </row>
    <row r="3670" spans="1:18" x14ac:dyDescent="0.25">
      <c r="A3670" t="s">
        <v>5741</v>
      </c>
      <c r="B3670" t="s">
        <v>499</v>
      </c>
      <c r="C3670" s="8">
        <v>46061</v>
      </c>
      <c r="D3670" t="s">
        <v>2067</v>
      </c>
      <c r="E3670" t="s">
        <v>2076</v>
      </c>
      <c r="F3670" t="s">
        <v>39</v>
      </c>
      <c r="G3670">
        <v>120.84</v>
      </c>
      <c r="H3670" t="s">
        <v>2060</v>
      </c>
      <c r="I3670" t="str">
        <f>VLOOKUP(B3670,Customers!A:G,7,FALSE)</f>
        <v>SME</v>
      </c>
      <c r="Q3670" t="str">
        <f>IF(COUNTIF(Customers!$A$2:$A$1001,B3670)&gt;0,"Valid","Invalid")</f>
        <v>Valid</v>
      </c>
      <c r="R3670" t="str">
        <f>IF(COUNTIF(Branches!$A$2:$A$11,F3670)&gt;0,"Valid","Invalid")</f>
        <v>Valid</v>
      </c>
    </row>
    <row r="3671" spans="1:18" x14ac:dyDescent="0.25">
      <c r="A3671" t="s">
        <v>5742</v>
      </c>
      <c r="B3671" t="s">
        <v>659</v>
      </c>
      <c r="C3671" s="8">
        <v>46180</v>
      </c>
      <c r="D3671" t="s">
        <v>2065</v>
      </c>
      <c r="E3671" t="s">
        <v>2063</v>
      </c>
      <c r="F3671" t="s">
        <v>47</v>
      </c>
      <c r="G3671">
        <v>94.36</v>
      </c>
      <c r="H3671" t="s">
        <v>2060</v>
      </c>
      <c r="I3671" t="str">
        <f>VLOOKUP(B3671,Customers!A:G,7,FALSE)</f>
        <v>SME</v>
      </c>
      <c r="Q3671" t="str">
        <f>IF(COUNTIF(Customers!$A$2:$A$1001,B3671)&gt;0,"Valid","Invalid")</f>
        <v>Valid</v>
      </c>
      <c r="R3671" t="str">
        <f>IF(COUNTIF(Branches!$A$2:$A$11,F3671)&gt;0,"Valid","Invalid")</f>
        <v>Valid</v>
      </c>
    </row>
    <row r="3672" spans="1:18" x14ac:dyDescent="0.25">
      <c r="A3672" t="s">
        <v>5743</v>
      </c>
      <c r="B3672" t="s">
        <v>230</v>
      </c>
      <c r="C3672" s="8">
        <v>46155</v>
      </c>
      <c r="D3672" t="s">
        <v>2070</v>
      </c>
      <c r="E3672" t="s">
        <v>2076</v>
      </c>
      <c r="F3672" t="s">
        <v>16</v>
      </c>
      <c r="G3672">
        <v>1686.65</v>
      </c>
      <c r="H3672" t="s">
        <v>2060</v>
      </c>
      <c r="I3672" t="str">
        <f>VLOOKUP(B3672,Customers!A:G,7,FALSE)</f>
        <v>Individual</v>
      </c>
      <c r="Q3672" t="str">
        <f>IF(COUNTIF(Customers!$A$2:$A$1001,B3672)&gt;0,"Valid","Invalid")</f>
        <v>Valid</v>
      </c>
      <c r="R3672" t="str">
        <f>IF(COUNTIF(Branches!$A$2:$A$11,F3672)&gt;0,"Valid","Invalid")</f>
        <v>Valid</v>
      </c>
    </row>
    <row r="3673" spans="1:18" x14ac:dyDescent="0.25">
      <c r="A3673" t="s">
        <v>5744</v>
      </c>
      <c r="B3673" t="s">
        <v>282</v>
      </c>
      <c r="C3673" s="8">
        <v>46103</v>
      </c>
      <c r="D3673" t="s">
        <v>2062</v>
      </c>
      <c r="E3673" t="s">
        <v>2059</v>
      </c>
      <c r="F3673" t="s">
        <v>16</v>
      </c>
      <c r="G3673">
        <v>9750.09</v>
      </c>
      <c r="H3673" t="s">
        <v>2060</v>
      </c>
      <c r="I3673" t="str">
        <f>VLOOKUP(B3673,Customers!A:G,7,FALSE)</f>
        <v>SME</v>
      </c>
      <c r="Q3673" t="str">
        <f>IF(COUNTIF(Customers!$A$2:$A$1001,B3673)&gt;0,"Valid","Invalid")</f>
        <v>Valid</v>
      </c>
      <c r="R3673" t="str">
        <f>IF(COUNTIF(Branches!$A$2:$A$11,F3673)&gt;0,"Valid","Invalid")</f>
        <v>Valid</v>
      </c>
    </row>
    <row r="3674" spans="1:18" x14ac:dyDescent="0.25">
      <c r="A3674" t="s">
        <v>5745</v>
      </c>
      <c r="B3674" t="s">
        <v>874</v>
      </c>
      <c r="C3674" s="8">
        <v>46168</v>
      </c>
      <c r="D3674" t="s">
        <v>2065</v>
      </c>
      <c r="E3674" t="s">
        <v>2063</v>
      </c>
      <c r="F3674" t="s">
        <v>27</v>
      </c>
      <c r="G3674">
        <v>613.41</v>
      </c>
      <c r="H3674" t="s">
        <v>2060</v>
      </c>
      <c r="I3674" t="str">
        <f>VLOOKUP(B3674,Customers!A:G,7,FALSE)</f>
        <v>Student</v>
      </c>
      <c r="Q3674" t="str">
        <f>IF(COUNTIF(Customers!$A$2:$A$1001,B3674)&gt;0,"Valid","Invalid")</f>
        <v>Valid</v>
      </c>
      <c r="R3674" t="str">
        <f>IF(COUNTIF(Branches!$A$2:$A$11,F3674)&gt;0,"Valid","Invalid")</f>
        <v>Valid</v>
      </c>
    </row>
    <row r="3675" spans="1:18" x14ac:dyDescent="0.25">
      <c r="A3675" t="s">
        <v>5746</v>
      </c>
      <c r="B3675" t="s">
        <v>318</v>
      </c>
      <c r="C3675" s="8">
        <v>46129</v>
      </c>
      <c r="D3675" t="s">
        <v>2062</v>
      </c>
      <c r="E3675" t="s">
        <v>2059</v>
      </c>
      <c r="F3675" t="s">
        <v>27</v>
      </c>
      <c r="G3675">
        <v>577.77</v>
      </c>
      <c r="H3675" t="s">
        <v>2060</v>
      </c>
      <c r="I3675" t="str">
        <f>VLOOKUP(B3675,Customers!A:G,7,FALSE)</f>
        <v>Individual</v>
      </c>
      <c r="Q3675" t="str">
        <f>IF(COUNTIF(Customers!$A$2:$A$1001,B3675)&gt;0,"Valid","Invalid")</f>
        <v>Valid</v>
      </c>
      <c r="R3675" t="str">
        <f>IF(COUNTIF(Branches!$A$2:$A$11,F3675)&gt;0,"Valid","Invalid")</f>
        <v>Valid</v>
      </c>
    </row>
    <row r="3676" spans="1:18" x14ac:dyDescent="0.25">
      <c r="A3676" t="s">
        <v>5747</v>
      </c>
      <c r="B3676" t="s">
        <v>778</v>
      </c>
      <c r="C3676" s="8">
        <v>46133</v>
      </c>
      <c r="D3676" t="s">
        <v>2062</v>
      </c>
      <c r="E3676" t="s">
        <v>2063</v>
      </c>
      <c r="F3676" t="s">
        <v>27</v>
      </c>
      <c r="G3676">
        <v>1249.8399999999999</v>
      </c>
      <c r="H3676" t="s">
        <v>2060</v>
      </c>
      <c r="I3676" t="str">
        <f>VLOOKUP(B3676,Customers!A:G,7,FALSE)</f>
        <v>SME</v>
      </c>
      <c r="Q3676" t="str">
        <f>IF(COUNTIF(Customers!$A$2:$A$1001,B3676)&gt;0,"Valid","Invalid")</f>
        <v>Valid</v>
      </c>
      <c r="R3676" t="str">
        <f>IF(COUNTIF(Branches!$A$2:$A$11,F3676)&gt;0,"Valid","Invalid")</f>
        <v>Valid</v>
      </c>
    </row>
    <row r="3677" spans="1:18" x14ac:dyDescent="0.25">
      <c r="A3677" t="s">
        <v>5748</v>
      </c>
      <c r="B3677" t="s">
        <v>70</v>
      </c>
      <c r="C3677" s="8">
        <v>46043</v>
      </c>
      <c r="D3677" t="s">
        <v>2065</v>
      </c>
      <c r="E3677" t="s">
        <v>2063</v>
      </c>
      <c r="F3677" t="s">
        <v>53</v>
      </c>
      <c r="G3677">
        <v>365.66</v>
      </c>
      <c r="H3677" t="s">
        <v>2060</v>
      </c>
      <c r="I3677" t="str">
        <f>VLOOKUP(B3677,Customers!A:G,7,FALSE)</f>
        <v>Individual</v>
      </c>
      <c r="Q3677" t="str">
        <f>IF(COUNTIF(Customers!$A$2:$A$1001,B3677)&gt;0,"Valid","Invalid")</f>
        <v>Valid</v>
      </c>
      <c r="R3677" t="str">
        <f>IF(COUNTIF(Branches!$A$2:$A$11,F3677)&gt;0,"Valid","Invalid")</f>
        <v>Valid</v>
      </c>
    </row>
    <row r="3678" spans="1:18" x14ac:dyDescent="0.25">
      <c r="A3678" t="s">
        <v>5749</v>
      </c>
      <c r="B3678" t="s">
        <v>595</v>
      </c>
      <c r="C3678" s="8">
        <v>46236</v>
      </c>
      <c r="D3678" t="s">
        <v>2067</v>
      </c>
      <c r="E3678" t="s">
        <v>2059</v>
      </c>
      <c r="F3678" t="s">
        <v>16</v>
      </c>
      <c r="G3678">
        <v>63.81</v>
      </c>
      <c r="H3678" t="s">
        <v>2060</v>
      </c>
      <c r="I3678" t="str">
        <f>VLOOKUP(B3678,Customers!A:G,7,FALSE)</f>
        <v>Individual</v>
      </c>
      <c r="Q3678" t="str">
        <f>IF(COUNTIF(Customers!$A$2:$A$1001,B3678)&gt;0,"Valid","Invalid")</f>
        <v>Valid</v>
      </c>
      <c r="R3678" t="str">
        <f>IF(COUNTIF(Branches!$A$2:$A$11,F3678)&gt;0,"Valid","Invalid")</f>
        <v>Valid</v>
      </c>
    </row>
    <row r="3679" spans="1:18" x14ac:dyDescent="0.25">
      <c r="A3679" t="s">
        <v>5750</v>
      </c>
      <c r="B3679" t="s">
        <v>936</v>
      </c>
      <c r="C3679" s="8">
        <v>46253</v>
      </c>
      <c r="D3679" t="s">
        <v>2058</v>
      </c>
      <c r="E3679" t="s">
        <v>2076</v>
      </c>
      <c r="F3679" t="s">
        <v>47</v>
      </c>
      <c r="G3679">
        <v>2292.19</v>
      </c>
      <c r="H3679" t="s">
        <v>2060</v>
      </c>
      <c r="I3679" t="str">
        <f>VLOOKUP(B3679,Customers!A:G,7,FALSE)</f>
        <v>Individual</v>
      </c>
      <c r="Q3679" t="str">
        <f>IF(COUNTIF(Customers!$A$2:$A$1001,B3679)&gt;0,"Valid","Invalid")</f>
        <v>Valid</v>
      </c>
      <c r="R3679" t="str">
        <f>IF(COUNTIF(Branches!$A$2:$A$11,F3679)&gt;0,"Valid","Invalid")</f>
        <v>Valid</v>
      </c>
    </row>
    <row r="3680" spans="1:18" x14ac:dyDescent="0.25">
      <c r="A3680" t="s">
        <v>5751</v>
      </c>
      <c r="B3680" t="s">
        <v>578</v>
      </c>
      <c r="C3680" s="8">
        <v>46072</v>
      </c>
      <c r="D3680" t="s">
        <v>2067</v>
      </c>
      <c r="E3680" t="s">
        <v>2063</v>
      </c>
      <c r="F3680" t="s">
        <v>29</v>
      </c>
      <c r="G3680">
        <v>440.02</v>
      </c>
      <c r="H3680" t="s">
        <v>2060</v>
      </c>
      <c r="I3680" t="str">
        <f>VLOOKUP(B3680,Customers!A:G,7,FALSE)</f>
        <v>SME</v>
      </c>
      <c r="Q3680" t="str">
        <f>IF(COUNTIF(Customers!$A$2:$A$1001,B3680)&gt;0,"Valid","Invalid")</f>
        <v>Valid</v>
      </c>
      <c r="R3680" t="str">
        <f>IF(COUNTIF(Branches!$A$2:$A$11,F3680)&gt;0,"Valid","Invalid")</f>
        <v>Valid</v>
      </c>
    </row>
    <row r="3681" spans="1:18" x14ac:dyDescent="0.25">
      <c r="A3681" t="s">
        <v>5752</v>
      </c>
      <c r="B3681" t="s">
        <v>190</v>
      </c>
      <c r="C3681" s="8">
        <v>46143</v>
      </c>
      <c r="D3681" t="s">
        <v>2062</v>
      </c>
      <c r="E3681" t="s">
        <v>2059</v>
      </c>
      <c r="F3681" t="s">
        <v>35</v>
      </c>
      <c r="G3681">
        <v>2321.85</v>
      </c>
      <c r="H3681" t="s">
        <v>2060</v>
      </c>
      <c r="I3681" t="str">
        <f>VLOOKUP(B3681,Customers!A:G,7,FALSE)</f>
        <v>Corporate</v>
      </c>
      <c r="Q3681" t="str">
        <f>IF(COUNTIF(Customers!$A$2:$A$1001,B3681)&gt;0,"Valid","Invalid")</f>
        <v>Valid</v>
      </c>
      <c r="R3681" t="str">
        <f>IF(COUNTIF(Branches!$A$2:$A$11,F3681)&gt;0,"Valid","Invalid")</f>
        <v>Valid</v>
      </c>
    </row>
    <row r="3682" spans="1:18" x14ac:dyDescent="0.25">
      <c r="A3682" t="s">
        <v>5753</v>
      </c>
      <c r="B3682" t="s">
        <v>57</v>
      </c>
      <c r="C3682" s="8">
        <v>46156</v>
      </c>
      <c r="D3682" t="s">
        <v>2067</v>
      </c>
      <c r="E3682" t="s">
        <v>2063</v>
      </c>
      <c r="F3682" t="s">
        <v>47</v>
      </c>
      <c r="G3682">
        <v>379.56</v>
      </c>
      <c r="H3682" t="s">
        <v>2060</v>
      </c>
      <c r="I3682" t="str">
        <f>VLOOKUP(B3682,Customers!A:G,7,FALSE)</f>
        <v>SME</v>
      </c>
      <c r="Q3682" t="str">
        <f>IF(COUNTIF(Customers!$A$2:$A$1001,B3682)&gt;0,"Valid","Invalid")</f>
        <v>Valid</v>
      </c>
      <c r="R3682" t="str">
        <f>IF(COUNTIF(Branches!$A$2:$A$11,F3682)&gt;0,"Valid","Invalid")</f>
        <v>Valid</v>
      </c>
    </row>
    <row r="3683" spans="1:18" x14ac:dyDescent="0.25">
      <c r="A3683" t="s">
        <v>5754</v>
      </c>
      <c r="B3683" t="s">
        <v>757</v>
      </c>
      <c r="C3683" s="8">
        <v>46072</v>
      </c>
      <c r="D3683" t="s">
        <v>2065</v>
      </c>
      <c r="E3683" t="s">
        <v>2063</v>
      </c>
      <c r="F3683" t="s">
        <v>21</v>
      </c>
      <c r="G3683">
        <v>917.62</v>
      </c>
      <c r="H3683" t="s">
        <v>2060</v>
      </c>
      <c r="I3683" t="str">
        <f>VLOOKUP(B3683,Customers!A:G,7,FALSE)</f>
        <v>Individual</v>
      </c>
      <c r="Q3683" t="str">
        <f>IF(COUNTIF(Customers!$A$2:$A$1001,B3683)&gt;0,"Valid","Invalid")</f>
        <v>Valid</v>
      </c>
      <c r="R3683" t="str">
        <f>IF(COUNTIF(Branches!$A$2:$A$11,F3683)&gt;0,"Valid","Invalid")</f>
        <v>Valid</v>
      </c>
    </row>
    <row r="3684" spans="1:18" x14ac:dyDescent="0.25">
      <c r="A3684" t="s">
        <v>5755</v>
      </c>
      <c r="B3684" t="s">
        <v>970</v>
      </c>
      <c r="C3684" s="8">
        <v>46230</v>
      </c>
      <c r="D3684" t="s">
        <v>2070</v>
      </c>
      <c r="E3684" t="s">
        <v>2063</v>
      </c>
      <c r="F3684" t="s">
        <v>47</v>
      </c>
      <c r="G3684">
        <v>1909.95</v>
      </c>
      <c r="H3684" t="s">
        <v>2060</v>
      </c>
      <c r="I3684" t="str">
        <f>VLOOKUP(B3684,Customers!A:G,7,FALSE)</f>
        <v>SME</v>
      </c>
      <c r="Q3684" t="str">
        <f>IF(COUNTIF(Customers!$A$2:$A$1001,B3684)&gt;0,"Valid","Invalid")</f>
        <v>Valid</v>
      </c>
      <c r="R3684" t="str">
        <f>IF(COUNTIF(Branches!$A$2:$A$11,F3684)&gt;0,"Valid","Invalid")</f>
        <v>Valid</v>
      </c>
    </row>
    <row r="3685" spans="1:18" x14ac:dyDescent="0.25">
      <c r="A3685" t="s">
        <v>5756</v>
      </c>
      <c r="B3685" t="s">
        <v>127</v>
      </c>
      <c r="C3685" s="8">
        <v>46216</v>
      </c>
      <c r="D3685" t="s">
        <v>2065</v>
      </c>
      <c r="E3685" t="s">
        <v>2063</v>
      </c>
      <c r="F3685" t="s">
        <v>16</v>
      </c>
      <c r="G3685">
        <v>2369.3000000000002</v>
      </c>
      <c r="H3685" t="s">
        <v>2060</v>
      </c>
      <c r="I3685" t="str">
        <f>VLOOKUP(B3685,Customers!A:G,7,FALSE)</f>
        <v>Individual</v>
      </c>
      <c r="Q3685" t="str">
        <f>IF(COUNTIF(Customers!$A$2:$A$1001,B3685)&gt;0,"Valid","Invalid")</f>
        <v>Valid</v>
      </c>
      <c r="R3685" t="str">
        <f>IF(COUNTIF(Branches!$A$2:$A$11,F3685)&gt;0,"Valid","Invalid")</f>
        <v>Valid</v>
      </c>
    </row>
    <row r="3686" spans="1:18" x14ac:dyDescent="0.25">
      <c r="A3686" t="s">
        <v>5757</v>
      </c>
      <c r="B3686" t="s">
        <v>428</v>
      </c>
      <c r="C3686" s="8">
        <v>46137</v>
      </c>
      <c r="D3686" t="s">
        <v>2062</v>
      </c>
      <c r="E3686" t="s">
        <v>2063</v>
      </c>
      <c r="F3686" t="s">
        <v>45</v>
      </c>
      <c r="G3686">
        <v>1025.55</v>
      </c>
      <c r="H3686" t="s">
        <v>2060</v>
      </c>
      <c r="I3686" t="str">
        <f>VLOOKUP(B3686,Customers!A:G,7,FALSE)</f>
        <v>Corporate</v>
      </c>
      <c r="Q3686" t="str">
        <f>IF(COUNTIF(Customers!$A$2:$A$1001,B3686)&gt;0,"Valid","Invalid")</f>
        <v>Valid</v>
      </c>
      <c r="R3686" t="str">
        <f>IF(COUNTIF(Branches!$A$2:$A$11,F3686)&gt;0,"Valid","Invalid")</f>
        <v>Valid</v>
      </c>
    </row>
    <row r="3687" spans="1:18" x14ac:dyDescent="0.25">
      <c r="A3687" t="s">
        <v>5758</v>
      </c>
      <c r="B3687" t="s">
        <v>969</v>
      </c>
      <c r="C3687" s="8">
        <v>46023</v>
      </c>
      <c r="D3687" t="s">
        <v>2065</v>
      </c>
      <c r="E3687" t="s">
        <v>2068</v>
      </c>
      <c r="F3687" t="s">
        <v>35</v>
      </c>
      <c r="G3687">
        <v>975.78</v>
      </c>
      <c r="H3687" t="s">
        <v>2107</v>
      </c>
      <c r="I3687" t="str">
        <f>VLOOKUP(B3687,Customers!A:G,7,FALSE)</f>
        <v>Individual</v>
      </c>
      <c r="Q3687" t="str">
        <f>IF(COUNTIF(Customers!$A$2:$A$1001,B3687)&gt;0,"Valid","Invalid")</f>
        <v>Valid</v>
      </c>
      <c r="R3687" t="str">
        <f>IF(COUNTIF(Branches!$A$2:$A$11,F3687)&gt;0,"Valid","Invalid")</f>
        <v>Valid</v>
      </c>
    </row>
    <row r="3688" spans="1:18" x14ac:dyDescent="0.25">
      <c r="A3688" t="s">
        <v>5759</v>
      </c>
      <c r="B3688" t="s">
        <v>397</v>
      </c>
      <c r="C3688" s="8">
        <v>46207</v>
      </c>
      <c r="D3688" t="s">
        <v>2067</v>
      </c>
      <c r="E3688" t="s">
        <v>2059</v>
      </c>
      <c r="F3688" t="s">
        <v>16</v>
      </c>
      <c r="G3688">
        <v>1509.76</v>
      </c>
      <c r="H3688" t="s">
        <v>2060</v>
      </c>
      <c r="I3688" t="str">
        <f>VLOOKUP(B3688,Customers!A:G,7,FALSE)</f>
        <v>Individual</v>
      </c>
      <c r="Q3688" t="str">
        <f>IF(COUNTIF(Customers!$A$2:$A$1001,B3688)&gt;0,"Valid","Invalid")</f>
        <v>Valid</v>
      </c>
      <c r="R3688" t="str">
        <f>IF(COUNTIF(Branches!$A$2:$A$11,F3688)&gt;0,"Valid","Invalid")</f>
        <v>Valid</v>
      </c>
    </row>
    <row r="3689" spans="1:18" x14ac:dyDescent="0.25">
      <c r="A3689" t="s">
        <v>5760</v>
      </c>
      <c r="B3689" t="s">
        <v>588</v>
      </c>
      <c r="C3689" s="8">
        <v>46052</v>
      </c>
      <c r="D3689" t="s">
        <v>2067</v>
      </c>
      <c r="E3689" t="s">
        <v>2063</v>
      </c>
      <c r="F3689" t="s">
        <v>29</v>
      </c>
      <c r="G3689">
        <v>1292.29</v>
      </c>
      <c r="H3689" t="s">
        <v>2060</v>
      </c>
      <c r="I3689" t="str">
        <f>VLOOKUP(B3689,Customers!A:G,7,FALSE)</f>
        <v>Individual</v>
      </c>
      <c r="Q3689" t="str">
        <f>IF(COUNTIF(Customers!$A$2:$A$1001,B3689)&gt;0,"Valid","Invalid")</f>
        <v>Valid</v>
      </c>
      <c r="R3689" t="str">
        <f>IF(COUNTIF(Branches!$A$2:$A$11,F3689)&gt;0,"Valid","Invalid")</f>
        <v>Valid</v>
      </c>
    </row>
    <row r="3690" spans="1:18" x14ac:dyDescent="0.25">
      <c r="A3690" t="s">
        <v>5761</v>
      </c>
      <c r="B3690" t="s">
        <v>969</v>
      </c>
      <c r="C3690" s="8">
        <v>46208</v>
      </c>
      <c r="D3690" t="s">
        <v>2065</v>
      </c>
      <c r="E3690" t="s">
        <v>2063</v>
      </c>
      <c r="F3690" t="s">
        <v>53</v>
      </c>
      <c r="G3690">
        <v>223.37</v>
      </c>
      <c r="H3690" t="s">
        <v>2060</v>
      </c>
      <c r="I3690" t="str">
        <f>VLOOKUP(B3690,Customers!A:G,7,FALSE)</f>
        <v>Individual</v>
      </c>
      <c r="Q3690" t="str">
        <f>IF(COUNTIF(Customers!$A$2:$A$1001,B3690)&gt;0,"Valid","Invalid")</f>
        <v>Valid</v>
      </c>
      <c r="R3690" t="str">
        <f>IF(COUNTIF(Branches!$A$2:$A$11,F3690)&gt;0,"Valid","Invalid")</f>
        <v>Valid</v>
      </c>
    </row>
    <row r="3691" spans="1:18" x14ac:dyDescent="0.25">
      <c r="A3691" t="s">
        <v>5762</v>
      </c>
      <c r="B3691" t="s">
        <v>265</v>
      </c>
      <c r="C3691" s="8">
        <v>46129</v>
      </c>
      <c r="D3691" t="s">
        <v>2067</v>
      </c>
      <c r="E3691" t="s">
        <v>2063</v>
      </c>
      <c r="F3691" t="s">
        <v>39</v>
      </c>
      <c r="G3691">
        <v>227.67</v>
      </c>
      <c r="H3691" t="s">
        <v>2060</v>
      </c>
      <c r="I3691" t="str">
        <f>VLOOKUP(B3691,Customers!A:G,7,FALSE)</f>
        <v>Individual</v>
      </c>
      <c r="Q3691" t="str">
        <f>IF(COUNTIF(Customers!$A$2:$A$1001,B3691)&gt;0,"Valid","Invalid")</f>
        <v>Valid</v>
      </c>
      <c r="R3691" t="str">
        <f>IF(COUNTIF(Branches!$A$2:$A$11,F3691)&gt;0,"Valid","Invalid")</f>
        <v>Valid</v>
      </c>
    </row>
    <row r="3692" spans="1:18" x14ac:dyDescent="0.25">
      <c r="A3692" t="s">
        <v>5763</v>
      </c>
      <c r="B3692" t="s">
        <v>239</v>
      </c>
      <c r="C3692" s="8">
        <v>46202</v>
      </c>
      <c r="D3692" t="s">
        <v>2065</v>
      </c>
      <c r="E3692" t="s">
        <v>2068</v>
      </c>
      <c r="F3692" t="s">
        <v>45</v>
      </c>
      <c r="G3692">
        <v>98.59</v>
      </c>
      <c r="H3692" t="s">
        <v>2060</v>
      </c>
      <c r="I3692" t="str">
        <f>VLOOKUP(B3692,Customers!A:G,7,FALSE)</f>
        <v>SME</v>
      </c>
      <c r="Q3692" t="str">
        <f>IF(COUNTIF(Customers!$A$2:$A$1001,B3692)&gt;0,"Valid","Invalid")</f>
        <v>Valid</v>
      </c>
      <c r="R3692" t="str">
        <f>IF(COUNTIF(Branches!$A$2:$A$11,F3692)&gt;0,"Valid","Invalid")</f>
        <v>Valid</v>
      </c>
    </row>
    <row r="3693" spans="1:18" x14ac:dyDescent="0.25">
      <c r="A3693" t="s">
        <v>5764</v>
      </c>
      <c r="B3693" t="s">
        <v>388</v>
      </c>
      <c r="C3693" s="8">
        <v>46187</v>
      </c>
      <c r="D3693" t="s">
        <v>2058</v>
      </c>
      <c r="E3693" t="s">
        <v>2059</v>
      </c>
      <c r="F3693" t="s">
        <v>47</v>
      </c>
      <c r="G3693">
        <v>1748.49</v>
      </c>
      <c r="H3693" t="s">
        <v>2060</v>
      </c>
      <c r="I3693" t="str">
        <f>VLOOKUP(B3693,Customers!A:G,7,FALSE)</f>
        <v>SME</v>
      </c>
      <c r="Q3693" t="str">
        <f>IF(COUNTIF(Customers!$A$2:$A$1001,B3693)&gt;0,"Valid","Invalid")</f>
        <v>Valid</v>
      </c>
      <c r="R3693" t="str">
        <f>IF(COUNTIF(Branches!$A$2:$A$11,F3693)&gt;0,"Valid","Invalid")</f>
        <v>Valid</v>
      </c>
    </row>
    <row r="3694" spans="1:18" x14ac:dyDescent="0.25">
      <c r="A3694" t="s">
        <v>5765</v>
      </c>
      <c r="B3694" t="s">
        <v>859</v>
      </c>
      <c r="C3694" s="8">
        <v>46070</v>
      </c>
      <c r="D3694" t="s">
        <v>2058</v>
      </c>
      <c r="E3694" t="s">
        <v>2063</v>
      </c>
      <c r="F3694" t="s">
        <v>35</v>
      </c>
      <c r="G3694">
        <v>546.9</v>
      </c>
      <c r="H3694" t="s">
        <v>2060</v>
      </c>
      <c r="I3694" t="str">
        <f>VLOOKUP(B3694,Customers!A:G,7,FALSE)</f>
        <v>Individual</v>
      </c>
      <c r="Q3694" t="str">
        <f>IF(COUNTIF(Customers!$A$2:$A$1001,B3694)&gt;0,"Valid","Invalid")</f>
        <v>Valid</v>
      </c>
      <c r="R3694" t="str">
        <f>IF(COUNTIF(Branches!$A$2:$A$11,F3694)&gt;0,"Valid","Invalid")</f>
        <v>Valid</v>
      </c>
    </row>
    <row r="3695" spans="1:18" x14ac:dyDescent="0.25">
      <c r="A3695" t="s">
        <v>5766</v>
      </c>
      <c r="B3695" t="s">
        <v>804</v>
      </c>
      <c r="C3695" s="8">
        <v>46109</v>
      </c>
      <c r="D3695" t="s">
        <v>2065</v>
      </c>
      <c r="E3695" t="s">
        <v>2059</v>
      </c>
      <c r="F3695" t="s">
        <v>47</v>
      </c>
      <c r="G3695">
        <v>1844.93</v>
      </c>
      <c r="H3695" t="s">
        <v>2107</v>
      </c>
      <c r="I3695" t="str">
        <f>VLOOKUP(B3695,Customers!A:G,7,FALSE)</f>
        <v>Individual</v>
      </c>
      <c r="Q3695" t="str">
        <f>IF(COUNTIF(Customers!$A$2:$A$1001,B3695)&gt;0,"Valid","Invalid")</f>
        <v>Valid</v>
      </c>
      <c r="R3695" t="str">
        <f>IF(COUNTIF(Branches!$A$2:$A$11,F3695)&gt;0,"Valid","Invalid")</f>
        <v>Valid</v>
      </c>
    </row>
    <row r="3696" spans="1:18" x14ac:dyDescent="0.25">
      <c r="A3696" t="s">
        <v>5767</v>
      </c>
      <c r="B3696" t="s">
        <v>72</v>
      </c>
      <c r="C3696" s="8">
        <v>46151</v>
      </c>
      <c r="D3696" t="s">
        <v>2062</v>
      </c>
      <c r="E3696" t="s">
        <v>2059</v>
      </c>
      <c r="F3696" t="s">
        <v>35</v>
      </c>
      <c r="G3696">
        <v>1216.47</v>
      </c>
      <c r="H3696" t="s">
        <v>2060</v>
      </c>
      <c r="I3696" t="str">
        <f>VLOOKUP(B3696,Customers!A:G,7,FALSE)</f>
        <v>Individual</v>
      </c>
      <c r="Q3696" t="str">
        <f>IF(COUNTIF(Customers!$A$2:$A$1001,B3696)&gt;0,"Valid","Invalid")</f>
        <v>Valid</v>
      </c>
      <c r="R3696" t="str">
        <f>IF(COUNTIF(Branches!$A$2:$A$11,F3696)&gt;0,"Valid","Invalid")</f>
        <v>Valid</v>
      </c>
    </row>
    <row r="3697" spans="1:18" x14ac:dyDescent="0.25">
      <c r="A3697" t="s">
        <v>5768</v>
      </c>
      <c r="B3697" t="s">
        <v>771</v>
      </c>
      <c r="C3697" s="8">
        <v>46041</v>
      </c>
      <c r="D3697" t="s">
        <v>2065</v>
      </c>
      <c r="E3697" t="s">
        <v>2063</v>
      </c>
      <c r="F3697" t="s">
        <v>27</v>
      </c>
      <c r="G3697">
        <v>298.14</v>
      </c>
      <c r="H3697" t="s">
        <v>2060</v>
      </c>
      <c r="I3697" t="str">
        <f>VLOOKUP(B3697,Customers!A:G,7,FALSE)</f>
        <v>Student</v>
      </c>
      <c r="Q3697" t="str">
        <f>IF(COUNTIF(Customers!$A$2:$A$1001,B3697)&gt;0,"Valid","Invalid")</f>
        <v>Valid</v>
      </c>
      <c r="R3697" t="str">
        <f>IF(COUNTIF(Branches!$A$2:$A$11,F3697)&gt;0,"Valid","Invalid")</f>
        <v>Valid</v>
      </c>
    </row>
    <row r="3698" spans="1:18" x14ac:dyDescent="0.25">
      <c r="A3698" t="s">
        <v>5769</v>
      </c>
      <c r="B3698" t="s">
        <v>538</v>
      </c>
      <c r="C3698" s="8">
        <v>46068</v>
      </c>
      <c r="D3698" t="s">
        <v>2065</v>
      </c>
      <c r="E3698" t="s">
        <v>2076</v>
      </c>
      <c r="F3698" t="s">
        <v>27</v>
      </c>
      <c r="G3698">
        <v>720.38</v>
      </c>
      <c r="H3698" t="s">
        <v>2060</v>
      </c>
      <c r="I3698" t="str">
        <f>VLOOKUP(B3698,Customers!A:G,7,FALSE)</f>
        <v>Individual</v>
      </c>
      <c r="Q3698" t="str">
        <f>IF(COUNTIF(Customers!$A$2:$A$1001,B3698)&gt;0,"Valid","Invalid")</f>
        <v>Valid</v>
      </c>
      <c r="R3698" t="str">
        <f>IF(COUNTIF(Branches!$A$2:$A$11,F3698)&gt;0,"Valid","Invalid")</f>
        <v>Valid</v>
      </c>
    </row>
    <row r="3699" spans="1:18" x14ac:dyDescent="0.25">
      <c r="A3699" t="s">
        <v>5770</v>
      </c>
      <c r="B3699" t="s">
        <v>737</v>
      </c>
      <c r="C3699" s="8">
        <v>46217</v>
      </c>
      <c r="D3699" t="s">
        <v>2058</v>
      </c>
      <c r="E3699" t="s">
        <v>2059</v>
      </c>
      <c r="F3699" t="s">
        <v>11</v>
      </c>
      <c r="G3699">
        <v>515.52</v>
      </c>
      <c r="H3699" t="s">
        <v>2060</v>
      </c>
      <c r="I3699" t="str">
        <f>VLOOKUP(B3699,Customers!A:G,7,FALSE)</f>
        <v>Individual</v>
      </c>
      <c r="Q3699" t="str">
        <f>IF(COUNTIF(Customers!$A$2:$A$1001,B3699)&gt;0,"Valid","Invalid")</f>
        <v>Valid</v>
      </c>
      <c r="R3699" t="str">
        <f>IF(COUNTIF(Branches!$A$2:$A$11,F3699)&gt;0,"Valid","Invalid")</f>
        <v>Valid</v>
      </c>
    </row>
    <row r="3700" spans="1:18" x14ac:dyDescent="0.25">
      <c r="A3700" t="s">
        <v>5771</v>
      </c>
      <c r="B3700" t="s">
        <v>77</v>
      </c>
      <c r="C3700" s="8">
        <v>46152</v>
      </c>
      <c r="D3700" t="s">
        <v>2067</v>
      </c>
      <c r="E3700" t="s">
        <v>2063</v>
      </c>
      <c r="F3700" t="s">
        <v>29</v>
      </c>
      <c r="G3700">
        <v>441.76</v>
      </c>
      <c r="H3700" t="s">
        <v>2060</v>
      </c>
      <c r="I3700" t="str">
        <f>VLOOKUP(B3700,Customers!A:G,7,FALSE)</f>
        <v>Corporate</v>
      </c>
      <c r="Q3700" t="str">
        <f>IF(COUNTIF(Customers!$A$2:$A$1001,B3700)&gt;0,"Valid","Invalid")</f>
        <v>Valid</v>
      </c>
      <c r="R3700" t="str">
        <f>IF(COUNTIF(Branches!$A$2:$A$11,F3700)&gt;0,"Valid","Invalid")</f>
        <v>Valid</v>
      </c>
    </row>
    <row r="3701" spans="1:18" x14ac:dyDescent="0.25">
      <c r="A3701" t="s">
        <v>5772</v>
      </c>
      <c r="B3701" t="s">
        <v>909</v>
      </c>
      <c r="C3701" s="8">
        <v>46078</v>
      </c>
      <c r="D3701" t="s">
        <v>2058</v>
      </c>
      <c r="E3701" t="s">
        <v>2076</v>
      </c>
      <c r="F3701" t="s">
        <v>11</v>
      </c>
      <c r="G3701">
        <v>2028.98</v>
      </c>
      <c r="H3701" t="s">
        <v>2060</v>
      </c>
      <c r="I3701" t="str">
        <f>VLOOKUP(B3701,Customers!A:G,7,FALSE)</f>
        <v>Individual</v>
      </c>
      <c r="Q3701" t="str">
        <f>IF(COUNTIF(Customers!$A$2:$A$1001,B3701)&gt;0,"Valid","Invalid")</f>
        <v>Valid</v>
      </c>
      <c r="R3701" t="str">
        <f>IF(COUNTIF(Branches!$A$2:$A$11,F3701)&gt;0,"Valid","Invalid")</f>
        <v>Valid</v>
      </c>
    </row>
    <row r="3702" spans="1:18" x14ac:dyDescent="0.25">
      <c r="A3702" t="s">
        <v>5773</v>
      </c>
      <c r="B3702" t="s">
        <v>664</v>
      </c>
      <c r="C3702" s="8">
        <v>46251</v>
      </c>
      <c r="D3702" t="s">
        <v>2065</v>
      </c>
      <c r="E3702" t="s">
        <v>2076</v>
      </c>
      <c r="F3702" t="s">
        <v>53</v>
      </c>
      <c r="G3702">
        <v>10004.030000000001</v>
      </c>
      <c r="H3702" t="s">
        <v>2060</v>
      </c>
      <c r="I3702" t="str">
        <f>VLOOKUP(B3702,Customers!A:G,7,FALSE)</f>
        <v>Individual</v>
      </c>
      <c r="Q3702" t="str">
        <f>IF(COUNTIF(Customers!$A$2:$A$1001,B3702)&gt;0,"Valid","Invalid")</f>
        <v>Valid</v>
      </c>
      <c r="R3702" t="str">
        <f>IF(COUNTIF(Branches!$A$2:$A$11,F3702)&gt;0,"Valid","Invalid")</f>
        <v>Valid</v>
      </c>
    </row>
    <row r="3703" spans="1:18" x14ac:dyDescent="0.25">
      <c r="A3703" t="s">
        <v>5774</v>
      </c>
      <c r="B3703" t="s">
        <v>810</v>
      </c>
      <c r="C3703" s="8">
        <v>46167</v>
      </c>
      <c r="D3703" t="s">
        <v>2062</v>
      </c>
      <c r="E3703" t="s">
        <v>2076</v>
      </c>
      <c r="F3703" t="s">
        <v>53</v>
      </c>
      <c r="G3703">
        <v>2480.4699999999998</v>
      </c>
      <c r="H3703" t="s">
        <v>2060</v>
      </c>
      <c r="I3703" t="str">
        <f>VLOOKUP(B3703,Customers!A:G,7,FALSE)</f>
        <v>Student</v>
      </c>
      <c r="Q3703" t="str">
        <f>IF(COUNTIF(Customers!$A$2:$A$1001,B3703)&gt;0,"Valid","Invalid")</f>
        <v>Valid</v>
      </c>
      <c r="R3703" t="str">
        <f>IF(COUNTIF(Branches!$A$2:$A$11,F3703)&gt;0,"Valid","Invalid")</f>
        <v>Valid</v>
      </c>
    </row>
    <row r="3704" spans="1:18" x14ac:dyDescent="0.25">
      <c r="A3704" t="s">
        <v>5775</v>
      </c>
      <c r="B3704" t="s">
        <v>555</v>
      </c>
      <c r="C3704" s="8">
        <v>46114</v>
      </c>
      <c r="D3704" t="s">
        <v>2058</v>
      </c>
      <c r="E3704" t="s">
        <v>2059</v>
      </c>
      <c r="F3704" t="s">
        <v>21</v>
      </c>
      <c r="G3704">
        <v>790.8</v>
      </c>
      <c r="H3704" t="s">
        <v>2060</v>
      </c>
      <c r="I3704" t="str">
        <f>VLOOKUP(B3704,Customers!A:G,7,FALSE)</f>
        <v>SME</v>
      </c>
      <c r="Q3704" t="str">
        <f>IF(COUNTIF(Customers!$A$2:$A$1001,B3704)&gt;0,"Valid","Invalid")</f>
        <v>Valid</v>
      </c>
      <c r="R3704" t="str">
        <f>IF(COUNTIF(Branches!$A$2:$A$11,F3704)&gt;0,"Valid","Invalid")</f>
        <v>Valid</v>
      </c>
    </row>
    <row r="3705" spans="1:18" x14ac:dyDescent="0.25">
      <c r="A3705" t="s">
        <v>5776</v>
      </c>
      <c r="B3705" t="s">
        <v>104</v>
      </c>
      <c r="C3705" s="8">
        <v>46104</v>
      </c>
      <c r="D3705" t="s">
        <v>2065</v>
      </c>
      <c r="E3705" t="s">
        <v>2059</v>
      </c>
      <c r="F3705" t="s">
        <v>11</v>
      </c>
      <c r="G3705">
        <v>2862.66</v>
      </c>
      <c r="H3705" t="s">
        <v>2060</v>
      </c>
      <c r="I3705" t="str">
        <f>VLOOKUP(B3705,Customers!A:G,7,FALSE)</f>
        <v>Student</v>
      </c>
      <c r="Q3705" t="str">
        <f>IF(COUNTIF(Customers!$A$2:$A$1001,B3705)&gt;0,"Valid","Invalid")</f>
        <v>Valid</v>
      </c>
      <c r="R3705" t="str">
        <f>IF(COUNTIF(Branches!$A$2:$A$11,F3705)&gt;0,"Valid","Invalid")</f>
        <v>Valid</v>
      </c>
    </row>
    <row r="3706" spans="1:18" x14ac:dyDescent="0.25">
      <c r="A3706" t="s">
        <v>5777</v>
      </c>
      <c r="B3706" t="s">
        <v>778</v>
      </c>
      <c r="C3706" s="8">
        <v>46247</v>
      </c>
      <c r="D3706" t="s">
        <v>2067</v>
      </c>
      <c r="E3706" t="s">
        <v>2059</v>
      </c>
      <c r="F3706" t="s">
        <v>11</v>
      </c>
      <c r="G3706">
        <v>4504.82</v>
      </c>
      <c r="H3706" t="s">
        <v>2060</v>
      </c>
      <c r="I3706" t="str">
        <f>VLOOKUP(B3706,Customers!A:G,7,FALSE)</f>
        <v>SME</v>
      </c>
      <c r="Q3706" t="str">
        <f>IF(COUNTIF(Customers!$A$2:$A$1001,B3706)&gt;0,"Valid","Invalid")</f>
        <v>Valid</v>
      </c>
      <c r="R3706" t="str">
        <f>IF(COUNTIF(Branches!$A$2:$A$11,F3706)&gt;0,"Valid","Invalid")</f>
        <v>Valid</v>
      </c>
    </row>
    <row r="3707" spans="1:18" x14ac:dyDescent="0.25">
      <c r="A3707" t="s">
        <v>5778</v>
      </c>
      <c r="B3707" t="s">
        <v>159</v>
      </c>
      <c r="C3707" s="8">
        <v>46101</v>
      </c>
      <c r="D3707" t="s">
        <v>2062</v>
      </c>
      <c r="E3707" t="s">
        <v>2076</v>
      </c>
      <c r="F3707" t="s">
        <v>35</v>
      </c>
      <c r="G3707">
        <v>201.87</v>
      </c>
      <c r="H3707" t="s">
        <v>2060</v>
      </c>
      <c r="I3707" t="str">
        <f>VLOOKUP(B3707,Customers!A:G,7,FALSE)</f>
        <v>Individual</v>
      </c>
      <c r="Q3707" t="str">
        <f>IF(COUNTIF(Customers!$A$2:$A$1001,B3707)&gt;0,"Valid","Invalid")</f>
        <v>Valid</v>
      </c>
      <c r="R3707" t="str">
        <f>IF(COUNTIF(Branches!$A$2:$A$11,F3707)&gt;0,"Valid","Invalid")</f>
        <v>Valid</v>
      </c>
    </row>
    <row r="3708" spans="1:18" x14ac:dyDescent="0.25">
      <c r="A3708" t="s">
        <v>5779</v>
      </c>
      <c r="B3708" t="s">
        <v>723</v>
      </c>
      <c r="C3708" s="8">
        <v>46172</v>
      </c>
      <c r="D3708" t="s">
        <v>2058</v>
      </c>
      <c r="E3708" t="s">
        <v>2059</v>
      </c>
      <c r="F3708" t="s">
        <v>21</v>
      </c>
      <c r="G3708">
        <v>2765.16</v>
      </c>
      <c r="H3708" t="s">
        <v>2060</v>
      </c>
      <c r="I3708" t="str">
        <f>VLOOKUP(B3708,Customers!A:G,7,FALSE)</f>
        <v>SME</v>
      </c>
      <c r="Q3708" t="str">
        <f>IF(COUNTIF(Customers!$A$2:$A$1001,B3708)&gt;0,"Valid","Invalid")</f>
        <v>Valid</v>
      </c>
      <c r="R3708" t="str">
        <f>IF(COUNTIF(Branches!$A$2:$A$11,F3708)&gt;0,"Valid","Invalid")</f>
        <v>Valid</v>
      </c>
    </row>
    <row r="3709" spans="1:18" x14ac:dyDescent="0.25">
      <c r="A3709" t="s">
        <v>5780</v>
      </c>
      <c r="B3709" t="s">
        <v>374</v>
      </c>
      <c r="C3709" s="8">
        <v>46127</v>
      </c>
      <c r="D3709" t="s">
        <v>2065</v>
      </c>
      <c r="E3709" t="s">
        <v>2063</v>
      </c>
      <c r="F3709" t="s">
        <v>29</v>
      </c>
      <c r="G3709">
        <v>1754.05</v>
      </c>
      <c r="H3709" t="s">
        <v>2060</v>
      </c>
      <c r="I3709" t="str">
        <f>VLOOKUP(B3709,Customers!A:G,7,FALSE)</f>
        <v>Individual</v>
      </c>
      <c r="Q3709" t="str">
        <f>IF(COUNTIF(Customers!$A$2:$A$1001,B3709)&gt;0,"Valid","Invalid")</f>
        <v>Valid</v>
      </c>
      <c r="R3709" t="str">
        <f>IF(COUNTIF(Branches!$A$2:$A$11,F3709)&gt;0,"Valid","Invalid")</f>
        <v>Valid</v>
      </c>
    </row>
    <row r="3710" spans="1:18" x14ac:dyDescent="0.25">
      <c r="A3710" t="s">
        <v>5781</v>
      </c>
      <c r="B3710" t="s">
        <v>189</v>
      </c>
      <c r="C3710" s="8">
        <v>46049</v>
      </c>
      <c r="D3710" t="s">
        <v>2067</v>
      </c>
      <c r="E3710" t="s">
        <v>2076</v>
      </c>
      <c r="F3710" t="s">
        <v>45</v>
      </c>
      <c r="G3710">
        <v>2665.43</v>
      </c>
      <c r="H3710" t="s">
        <v>2060</v>
      </c>
      <c r="I3710" t="str">
        <f>VLOOKUP(B3710,Customers!A:G,7,FALSE)</f>
        <v>Individual</v>
      </c>
      <c r="Q3710" t="str">
        <f>IF(COUNTIF(Customers!$A$2:$A$1001,B3710)&gt;0,"Valid","Invalid")</f>
        <v>Valid</v>
      </c>
      <c r="R3710" t="str">
        <f>IF(COUNTIF(Branches!$A$2:$A$11,F3710)&gt;0,"Valid","Invalid")</f>
        <v>Valid</v>
      </c>
    </row>
    <row r="3711" spans="1:18" x14ac:dyDescent="0.25">
      <c r="A3711" t="s">
        <v>5782</v>
      </c>
      <c r="B3711" t="s">
        <v>1012</v>
      </c>
      <c r="C3711" s="8">
        <v>46077</v>
      </c>
      <c r="D3711" t="s">
        <v>2065</v>
      </c>
      <c r="E3711" t="s">
        <v>2076</v>
      </c>
      <c r="F3711" t="s">
        <v>16</v>
      </c>
      <c r="G3711">
        <v>1832.23</v>
      </c>
      <c r="H3711" t="s">
        <v>2060</v>
      </c>
      <c r="I3711" t="str">
        <f>VLOOKUP(B3711,Customers!A:G,7,FALSE)</f>
        <v>Individual</v>
      </c>
      <c r="Q3711" t="str">
        <f>IF(COUNTIF(Customers!$A$2:$A$1001,B3711)&gt;0,"Valid","Invalid")</f>
        <v>Valid</v>
      </c>
      <c r="R3711" t="str">
        <f>IF(COUNTIF(Branches!$A$2:$A$11,F3711)&gt;0,"Valid","Invalid")</f>
        <v>Valid</v>
      </c>
    </row>
    <row r="3712" spans="1:18" x14ac:dyDescent="0.25">
      <c r="A3712" t="s">
        <v>5783</v>
      </c>
      <c r="B3712" t="s">
        <v>817</v>
      </c>
      <c r="C3712" s="8">
        <v>46251</v>
      </c>
      <c r="D3712" t="s">
        <v>2058</v>
      </c>
      <c r="E3712" t="s">
        <v>2059</v>
      </c>
      <c r="F3712" t="s">
        <v>16</v>
      </c>
      <c r="G3712">
        <v>646.95000000000005</v>
      </c>
      <c r="H3712" t="s">
        <v>2060</v>
      </c>
      <c r="I3712" t="str">
        <f>VLOOKUP(B3712,Customers!A:G,7,FALSE)</f>
        <v>Individual</v>
      </c>
      <c r="Q3712" t="str">
        <f>IF(COUNTIF(Customers!$A$2:$A$1001,B3712)&gt;0,"Valid","Invalid")</f>
        <v>Valid</v>
      </c>
      <c r="R3712" t="str">
        <f>IF(COUNTIF(Branches!$A$2:$A$11,F3712)&gt;0,"Valid","Invalid")</f>
        <v>Valid</v>
      </c>
    </row>
    <row r="3713" spans="1:18" x14ac:dyDescent="0.25">
      <c r="A3713" t="s">
        <v>5784</v>
      </c>
      <c r="B3713" t="s">
        <v>707</v>
      </c>
      <c r="C3713" s="8">
        <v>46182</v>
      </c>
      <c r="D3713" t="s">
        <v>2062</v>
      </c>
      <c r="E3713" t="s">
        <v>2068</v>
      </c>
      <c r="F3713" t="s">
        <v>45</v>
      </c>
      <c r="G3713">
        <v>6203.51</v>
      </c>
      <c r="H3713" t="s">
        <v>2060</v>
      </c>
      <c r="I3713" t="str">
        <f>VLOOKUP(B3713,Customers!A:G,7,FALSE)</f>
        <v>Individual</v>
      </c>
      <c r="Q3713" t="str">
        <f>IF(COUNTIF(Customers!$A$2:$A$1001,B3713)&gt;0,"Valid","Invalid")</f>
        <v>Valid</v>
      </c>
      <c r="R3713" t="str">
        <f>IF(COUNTIF(Branches!$A$2:$A$11,F3713)&gt;0,"Valid","Invalid")</f>
        <v>Valid</v>
      </c>
    </row>
    <row r="3714" spans="1:18" x14ac:dyDescent="0.25">
      <c r="A3714" t="s">
        <v>5785</v>
      </c>
      <c r="B3714" t="s">
        <v>198</v>
      </c>
      <c r="C3714" s="8">
        <v>46082</v>
      </c>
      <c r="D3714" t="s">
        <v>2067</v>
      </c>
      <c r="E3714" t="s">
        <v>2068</v>
      </c>
      <c r="F3714" t="s">
        <v>39</v>
      </c>
      <c r="G3714">
        <v>1140.93</v>
      </c>
      <c r="H3714" t="s">
        <v>2060</v>
      </c>
      <c r="I3714" t="str">
        <f>VLOOKUP(B3714,Customers!A:G,7,FALSE)</f>
        <v>Individual</v>
      </c>
      <c r="Q3714" t="str">
        <f>IF(COUNTIF(Customers!$A$2:$A$1001,B3714)&gt;0,"Valid","Invalid")</f>
        <v>Valid</v>
      </c>
      <c r="R3714" t="str">
        <f>IF(COUNTIF(Branches!$A$2:$A$11,F3714)&gt;0,"Valid","Invalid")</f>
        <v>Valid</v>
      </c>
    </row>
    <row r="3715" spans="1:18" x14ac:dyDescent="0.25">
      <c r="A3715" t="s">
        <v>5786</v>
      </c>
      <c r="B3715" t="s">
        <v>251</v>
      </c>
      <c r="C3715" s="8">
        <v>46131</v>
      </c>
      <c r="D3715" t="s">
        <v>2067</v>
      </c>
      <c r="E3715" t="s">
        <v>2063</v>
      </c>
      <c r="F3715" t="s">
        <v>47</v>
      </c>
      <c r="G3715">
        <v>526.20000000000005</v>
      </c>
      <c r="H3715" t="s">
        <v>2060</v>
      </c>
      <c r="I3715" t="str">
        <f>VLOOKUP(B3715,Customers!A:G,7,FALSE)</f>
        <v>Individual</v>
      </c>
      <c r="Q3715" t="str">
        <f>IF(COUNTIF(Customers!$A$2:$A$1001,B3715)&gt;0,"Valid","Invalid")</f>
        <v>Valid</v>
      </c>
      <c r="R3715" t="str">
        <f>IF(COUNTIF(Branches!$A$2:$A$11,F3715)&gt;0,"Valid","Invalid")</f>
        <v>Valid</v>
      </c>
    </row>
    <row r="3716" spans="1:18" x14ac:dyDescent="0.25">
      <c r="A3716" t="s">
        <v>5787</v>
      </c>
      <c r="B3716" t="s">
        <v>948</v>
      </c>
      <c r="C3716" s="8">
        <v>46233</v>
      </c>
      <c r="D3716" t="s">
        <v>2062</v>
      </c>
      <c r="E3716" t="s">
        <v>2073</v>
      </c>
      <c r="F3716" t="s">
        <v>39</v>
      </c>
      <c r="G3716">
        <v>1347.46</v>
      </c>
      <c r="H3716" t="s">
        <v>2060</v>
      </c>
      <c r="I3716" t="str">
        <f>VLOOKUP(B3716,Customers!A:G,7,FALSE)</f>
        <v>SME</v>
      </c>
      <c r="Q3716" t="str">
        <f>IF(COUNTIF(Customers!$A$2:$A$1001,B3716)&gt;0,"Valid","Invalid")</f>
        <v>Valid</v>
      </c>
      <c r="R3716" t="str">
        <f>IF(COUNTIF(Branches!$A$2:$A$11,F3716)&gt;0,"Valid","Invalid")</f>
        <v>Valid</v>
      </c>
    </row>
    <row r="3717" spans="1:18" x14ac:dyDescent="0.25">
      <c r="A3717" t="s">
        <v>5788</v>
      </c>
      <c r="B3717" t="s">
        <v>414</v>
      </c>
      <c r="C3717" s="8">
        <v>46178</v>
      </c>
      <c r="D3717" t="s">
        <v>2058</v>
      </c>
      <c r="E3717" t="s">
        <v>2059</v>
      </c>
      <c r="F3717" t="s">
        <v>39</v>
      </c>
      <c r="G3717">
        <v>2148.2199999999998</v>
      </c>
      <c r="H3717" t="s">
        <v>2060</v>
      </c>
      <c r="I3717" t="str">
        <f>VLOOKUP(B3717,Customers!A:G,7,FALSE)</f>
        <v>Individual</v>
      </c>
      <c r="Q3717" t="str">
        <f>IF(COUNTIF(Customers!$A$2:$A$1001,B3717)&gt;0,"Valid","Invalid")</f>
        <v>Valid</v>
      </c>
      <c r="R3717" t="str">
        <f>IF(COUNTIF(Branches!$A$2:$A$11,F3717)&gt;0,"Valid","Invalid")</f>
        <v>Valid</v>
      </c>
    </row>
    <row r="3718" spans="1:18" x14ac:dyDescent="0.25">
      <c r="A3718" t="s">
        <v>5789</v>
      </c>
      <c r="B3718" t="s">
        <v>958</v>
      </c>
      <c r="C3718" s="8">
        <v>46178</v>
      </c>
      <c r="D3718" t="s">
        <v>2058</v>
      </c>
      <c r="E3718" t="s">
        <v>2076</v>
      </c>
      <c r="F3718" t="s">
        <v>11</v>
      </c>
      <c r="G3718">
        <v>893.16</v>
      </c>
      <c r="H3718" t="s">
        <v>2115</v>
      </c>
      <c r="I3718" t="str">
        <f>VLOOKUP(B3718,Customers!A:G,7,FALSE)</f>
        <v>Individual</v>
      </c>
      <c r="Q3718" t="str">
        <f>IF(COUNTIF(Customers!$A$2:$A$1001,B3718)&gt;0,"Valid","Invalid")</f>
        <v>Valid</v>
      </c>
      <c r="R3718" t="str">
        <f>IF(COUNTIF(Branches!$A$2:$A$11,F3718)&gt;0,"Valid","Invalid")</f>
        <v>Valid</v>
      </c>
    </row>
    <row r="3719" spans="1:18" x14ac:dyDescent="0.25">
      <c r="A3719" t="s">
        <v>5790</v>
      </c>
      <c r="B3719" t="s">
        <v>481</v>
      </c>
      <c r="C3719" s="8">
        <v>46142</v>
      </c>
      <c r="D3719" t="s">
        <v>2065</v>
      </c>
      <c r="E3719" t="s">
        <v>2068</v>
      </c>
      <c r="F3719" t="s">
        <v>47</v>
      </c>
      <c r="G3719">
        <v>1203.68</v>
      </c>
      <c r="H3719" t="s">
        <v>2060</v>
      </c>
      <c r="I3719" t="str">
        <f>VLOOKUP(B3719,Customers!A:G,7,FALSE)</f>
        <v>Individual</v>
      </c>
      <c r="Q3719" t="str">
        <f>IF(COUNTIF(Customers!$A$2:$A$1001,B3719)&gt;0,"Valid","Invalid")</f>
        <v>Valid</v>
      </c>
      <c r="R3719" t="str">
        <f>IF(COUNTIF(Branches!$A$2:$A$11,F3719)&gt;0,"Valid","Invalid")</f>
        <v>Valid</v>
      </c>
    </row>
    <row r="3720" spans="1:18" x14ac:dyDescent="0.25">
      <c r="A3720" t="s">
        <v>5791</v>
      </c>
      <c r="B3720" t="s">
        <v>461</v>
      </c>
      <c r="C3720" s="8">
        <v>46224</v>
      </c>
      <c r="D3720" t="s">
        <v>2058</v>
      </c>
      <c r="E3720" t="s">
        <v>2059</v>
      </c>
      <c r="F3720" t="s">
        <v>11</v>
      </c>
      <c r="G3720">
        <v>887.46</v>
      </c>
      <c r="H3720" t="s">
        <v>2060</v>
      </c>
      <c r="I3720" t="str">
        <f>VLOOKUP(B3720,Customers!A:G,7,FALSE)</f>
        <v>Individual</v>
      </c>
      <c r="Q3720" t="str">
        <f>IF(COUNTIF(Customers!$A$2:$A$1001,B3720)&gt;0,"Valid","Invalid")</f>
        <v>Valid</v>
      </c>
      <c r="R3720" t="str">
        <f>IF(COUNTIF(Branches!$A$2:$A$11,F3720)&gt;0,"Valid","Invalid")</f>
        <v>Valid</v>
      </c>
    </row>
    <row r="3721" spans="1:18" x14ac:dyDescent="0.25">
      <c r="A3721" t="s">
        <v>5792</v>
      </c>
      <c r="B3721" t="s">
        <v>576</v>
      </c>
      <c r="C3721" s="8">
        <v>46234</v>
      </c>
      <c r="D3721" t="s">
        <v>2058</v>
      </c>
      <c r="E3721" t="s">
        <v>2059</v>
      </c>
      <c r="F3721" t="s">
        <v>39</v>
      </c>
      <c r="G3721">
        <v>419.86</v>
      </c>
      <c r="H3721" t="s">
        <v>2060</v>
      </c>
      <c r="I3721" t="str">
        <f>VLOOKUP(B3721,Customers!A:G,7,FALSE)</f>
        <v>SME</v>
      </c>
      <c r="Q3721" t="str">
        <f>IF(COUNTIF(Customers!$A$2:$A$1001,B3721)&gt;0,"Valid","Invalid")</f>
        <v>Valid</v>
      </c>
      <c r="R3721" t="str">
        <f>IF(COUNTIF(Branches!$A$2:$A$11,F3721)&gt;0,"Valid","Invalid")</f>
        <v>Valid</v>
      </c>
    </row>
    <row r="3722" spans="1:18" x14ac:dyDescent="0.25">
      <c r="A3722" t="s">
        <v>5793</v>
      </c>
      <c r="B3722" t="s">
        <v>977</v>
      </c>
      <c r="C3722" s="8">
        <v>46175</v>
      </c>
      <c r="D3722" t="s">
        <v>2067</v>
      </c>
      <c r="E3722" t="s">
        <v>2073</v>
      </c>
      <c r="F3722" t="s">
        <v>11</v>
      </c>
      <c r="G3722">
        <v>357.16</v>
      </c>
      <c r="H3722" t="s">
        <v>2060</v>
      </c>
      <c r="I3722" t="str">
        <f>VLOOKUP(B3722,Customers!A:G,7,FALSE)</f>
        <v>Corporate</v>
      </c>
      <c r="Q3722" t="str">
        <f>IF(COUNTIF(Customers!$A$2:$A$1001,B3722)&gt;0,"Valid","Invalid")</f>
        <v>Valid</v>
      </c>
      <c r="R3722" t="str">
        <f>IF(COUNTIF(Branches!$A$2:$A$11,F3722)&gt;0,"Valid","Invalid")</f>
        <v>Valid</v>
      </c>
    </row>
    <row r="3723" spans="1:18" x14ac:dyDescent="0.25">
      <c r="A3723" t="s">
        <v>5794</v>
      </c>
      <c r="B3723" t="s">
        <v>842</v>
      </c>
      <c r="C3723" s="8">
        <v>46107</v>
      </c>
      <c r="D3723" t="s">
        <v>2070</v>
      </c>
      <c r="E3723" t="s">
        <v>2063</v>
      </c>
      <c r="F3723" t="s">
        <v>27</v>
      </c>
      <c r="G3723">
        <v>199.77</v>
      </c>
      <c r="H3723" t="s">
        <v>2060</v>
      </c>
      <c r="I3723" t="str">
        <f>VLOOKUP(B3723,Customers!A:G,7,FALSE)</f>
        <v>Individual</v>
      </c>
      <c r="Q3723" t="str">
        <f>IF(COUNTIF(Customers!$A$2:$A$1001,B3723)&gt;0,"Valid","Invalid")</f>
        <v>Valid</v>
      </c>
      <c r="R3723" t="str">
        <f>IF(COUNTIF(Branches!$A$2:$A$11,F3723)&gt;0,"Valid","Invalid")</f>
        <v>Valid</v>
      </c>
    </row>
    <row r="3724" spans="1:18" x14ac:dyDescent="0.25">
      <c r="A3724" t="s">
        <v>5795</v>
      </c>
      <c r="B3724" t="s">
        <v>973</v>
      </c>
      <c r="C3724" s="8">
        <v>46228</v>
      </c>
      <c r="D3724" t="s">
        <v>2062</v>
      </c>
      <c r="E3724" t="s">
        <v>2063</v>
      </c>
      <c r="F3724" t="s">
        <v>35</v>
      </c>
      <c r="G3724">
        <v>3707.16</v>
      </c>
      <c r="H3724" t="s">
        <v>2060</v>
      </c>
      <c r="I3724" t="str">
        <f>VLOOKUP(B3724,Customers!A:G,7,FALSE)</f>
        <v>Individual</v>
      </c>
      <c r="Q3724" t="str">
        <f>IF(COUNTIF(Customers!$A$2:$A$1001,B3724)&gt;0,"Valid","Invalid")</f>
        <v>Valid</v>
      </c>
      <c r="R3724" t="str">
        <f>IF(COUNTIF(Branches!$A$2:$A$11,F3724)&gt;0,"Valid","Invalid")</f>
        <v>Valid</v>
      </c>
    </row>
    <row r="3725" spans="1:18" x14ac:dyDescent="0.25">
      <c r="A3725" t="s">
        <v>5796</v>
      </c>
      <c r="B3725" t="s">
        <v>739</v>
      </c>
      <c r="C3725" s="8">
        <v>46108</v>
      </c>
      <c r="D3725" t="s">
        <v>2062</v>
      </c>
      <c r="E3725" t="s">
        <v>2059</v>
      </c>
      <c r="F3725" t="s">
        <v>11</v>
      </c>
      <c r="G3725">
        <v>649.75</v>
      </c>
      <c r="H3725" t="s">
        <v>2060</v>
      </c>
      <c r="I3725" t="str">
        <f>VLOOKUP(B3725,Customers!A:G,7,FALSE)</f>
        <v>SME</v>
      </c>
      <c r="Q3725" t="str">
        <f>IF(COUNTIF(Customers!$A$2:$A$1001,B3725)&gt;0,"Valid","Invalid")</f>
        <v>Valid</v>
      </c>
      <c r="R3725" t="str">
        <f>IF(COUNTIF(Branches!$A$2:$A$11,F3725)&gt;0,"Valid","Invalid")</f>
        <v>Valid</v>
      </c>
    </row>
    <row r="3726" spans="1:18" x14ac:dyDescent="0.25">
      <c r="A3726" t="s">
        <v>5797</v>
      </c>
      <c r="B3726" t="s">
        <v>950</v>
      </c>
      <c r="C3726" s="8">
        <v>46139</v>
      </c>
      <c r="D3726" t="s">
        <v>2058</v>
      </c>
      <c r="E3726" t="s">
        <v>2068</v>
      </c>
      <c r="F3726" t="s">
        <v>16</v>
      </c>
      <c r="G3726">
        <v>26.38</v>
      </c>
      <c r="H3726" t="s">
        <v>2060</v>
      </c>
      <c r="I3726" t="str">
        <f>VLOOKUP(B3726,Customers!A:G,7,FALSE)</f>
        <v>Individual</v>
      </c>
      <c r="Q3726" t="str">
        <f>IF(COUNTIF(Customers!$A$2:$A$1001,B3726)&gt;0,"Valid","Invalid")</f>
        <v>Valid</v>
      </c>
      <c r="R3726" t="str">
        <f>IF(COUNTIF(Branches!$A$2:$A$11,F3726)&gt;0,"Valid","Invalid")</f>
        <v>Valid</v>
      </c>
    </row>
    <row r="3727" spans="1:18" x14ac:dyDescent="0.25">
      <c r="A3727" t="s">
        <v>5798</v>
      </c>
      <c r="B3727" t="s">
        <v>672</v>
      </c>
      <c r="C3727" s="8">
        <v>46176</v>
      </c>
      <c r="D3727" t="s">
        <v>2067</v>
      </c>
      <c r="E3727" t="s">
        <v>2073</v>
      </c>
      <c r="F3727" t="s">
        <v>53</v>
      </c>
      <c r="G3727">
        <v>1207.77</v>
      </c>
      <c r="H3727" t="s">
        <v>2060</v>
      </c>
      <c r="I3727" t="str">
        <f>VLOOKUP(B3727,Customers!A:G,7,FALSE)</f>
        <v>Student</v>
      </c>
      <c r="Q3727" t="str">
        <f>IF(COUNTIF(Customers!$A$2:$A$1001,B3727)&gt;0,"Valid","Invalid")</f>
        <v>Valid</v>
      </c>
      <c r="R3727" t="str">
        <f>IF(COUNTIF(Branches!$A$2:$A$11,F3727)&gt;0,"Valid","Invalid")</f>
        <v>Valid</v>
      </c>
    </row>
    <row r="3728" spans="1:18" x14ac:dyDescent="0.25">
      <c r="A3728" t="s">
        <v>5799</v>
      </c>
      <c r="B3728" t="s">
        <v>267</v>
      </c>
      <c r="C3728" s="8">
        <v>46130</v>
      </c>
      <c r="D3728" t="s">
        <v>2065</v>
      </c>
      <c r="E3728" t="s">
        <v>2063</v>
      </c>
      <c r="F3728" t="s">
        <v>29</v>
      </c>
      <c r="G3728">
        <v>1183.02</v>
      </c>
      <c r="H3728" t="s">
        <v>2060</v>
      </c>
      <c r="I3728" t="str">
        <f>VLOOKUP(B3728,Customers!A:G,7,FALSE)</f>
        <v>SME</v>
      </c>
      <c r="Q3728" t="str">
        <f>IF(COUNTIF(Customers!$A$2:$A$1001,B3728)&gt;0,"Valid","Invalid")</f>
        <v>Valid</v>
      </c>
      <c r="R3728" t="str">
        <f>IF(COUNTIF(Branches!$A$2:$A$11,F3728)&gt;0,"Valid","Invalid")</f>
        <v>Valid</v>
      </c>
    </row>
    <row r="3729" spans="1:18" x14ac:dyDescent="0.25">
      <c r="A3729" t="s">
        <v>5800</v>
      </c>
      <c r="B3729" t="s">
        <v>95</v>
      </c>
      <c r="C3729" s="8">
        <v>46097</v>
      </c>
      <c r="D3729" t="s">
        <v>2067</v>
      </c>
      <c r="E3729" t="s">
        <v>2068</v>
      </c>
      <c r="F3729" t="s">
        <v>29</v>
      </c>
      <c r="G3729">
        <v>125.64</v>
      </c>
      <c r="H3729" t="s">
        <v>2060</v>
      </c>
      <c r="I3729" t="str">
        <f>VLOOKUP(B3729,Customers!A:G,7,FALSE)</f>
        <v>SME</v>
      </c>
      <c r="Q3729" t="str">
        <f>IF(COUNTIF(Customers!$A$2:$A$1001,B3729)&gt;0,"Valid","Invalid")</f>
        <v>Valid</v>
      </c>
      <c r="R3729" t="str">
        <f>IF(COUNTIF(Branches!$A$2:$A$11,F3729)&gt;0,"Valid","Invalid")</f>
        <v>Valid</v>
      </c>
    </row>
    <row r="3730" spans="1:18" x14ac:dyDescent="0.25">
      <c r="A3730" t="s">
        <v>5801</v>
      </c>
      <c r="B3730" t="s">
        <v>132</v>
      </c>
      <c r="C3730" s="8">
        <v>46141</v>
      </c>
      <c r="D3730" t="s">
        <v>2062</v>
      </c>
      <c r="E3730" t="s">
        <v>2063</v>
      </c>
      <c r="F3730" t="s">
        <v>11</v>
      </c>
      <c r="G3730">
        <v>353.4</v>
      </c>
      <c r="H3730" t="s">
        <v>2060</v>
      </c>
      <c r="I3730" t="str">
        <f>VLOOKUP(B3730,Customers!A:G,7,FALSE)</f>
        <v>Individual</v>
      </c>
      <c r="Q3730" t="str">
        <f>IF(COUNTIF(Customers!$A$2:$A$1001,B3730)&gt;0,"Valid","Invalid")</f>
        <v>Valid</v>
      </c>
      <c r="R3730" t="str">
        <f>IF(COUNTIF(Branches!$A$2:$A$11,F3730)&gt;0,"Valid","Invalid")</f>
        <v>Valid</v>
      </c>
    </row>
    <row r="3731" spans="1:18" x14ac:dyDescent="0.25">
      <c r="A3731" t="s">
        <v>5802</v>
      </c>
      <c r="B3731" t="s">
        <v>300</v>
      </c>
      <c r="C3731" s="8">
        <v>46221</v>
      </c>
      <c r="D3731" t="s">
        <v>2067</v>
      </c>
      <c r="E3731" t="s">
        <v>2073</v>
      </c>
      <c r="F3731" t="s">
        <v>47</v>
      </c>
      <c r="G3731">
        <v>338.22</v>
      </c>
      <c r="H3731" t="s">
        <v>2060</v>
      </c>
      <c r="I3731" t="str">
        <f>VLOOKUP(B3731,Customers!A:G,7,FALSE)</f>
        <v>Corporate</v>
      </c>
      <c r="Q3731" t="str">
        <f>IF(COUNTIF(Customers!$A$2:$A$1001,B3731)&gt;0,"Valid","Invalid")</f>
        <v>Valid</v>
      </c>
      <c r="R3731" t="str">
        <f>IF(COUNTIF(Branches!$A$2:$A$11,F3731)&gt;0,"Valid","Invalid")</f>
        <v>Valid</v>
      </c>
    </row>
    <row r="3732" spans="1:18" x14ac:dyDescent="0.25">
      <c r="A3732" t="s">
        <v>5803</v>
      </c>
      <c r="B3732" t="s">
        <v>392</v>
      </c>
      <c r="C3732" s="8">
        <v>46167</v>
      </c>
      <c r="D3732" t="s">
        <v>2062</v>
      </c>
      <c r="E3732" t="s">
        <v>2076</v>
      </c>
      <c r="F3732" t="s">
        <v>45</v>
      </c>
      <c r="G3732">
        <v>386.73</v>
      </c>
      <c r="H3732" t="s">
        <v>2060</v>
      </c>
      <c r="I3732" t="str">
        <f>VLOOKUP(B3732,Customers!A:G,7,FALSE)</f>
        <v>SME</v>
      </c>
      <c r="Q3732" t="str">
        <f>IF(COUNTIF(Customers!$A$2:$A$1001,B3732)&gt;0,"Valid","Invalid")</f>
        <v>Valid</v>
      </c>
      <c r="R3732" t="str">
        <f>IF(COUNTIF(Branches!$A$2:$A$11,F3732)&gt;0,"Valid","Invalid")</f>
        <v>Valid</v>
      </c>
    </row>
    <row r="3733" spans="1:18" x14ac:dyDescent="0.25">
      <c r="A3733" t="s">
        <v>5804</v>
      </c>
      <c r="B3733" t="s">
        <v>350</v>
      </c>
      <c r="C3733" s="8">
        <v>46232</v>
      </c>
      <c r="D3733" t="s">
        <v>2065</v>
      </c>
      <c r="E3733" t="s">
        <v>2063</v>
      </c>
      <c r="F3733" t="s">
        <v>21</v>
      </c>
      <c r="G3733">
        <v>2731.96</v>
      </c>
      <c r="H3733" t="s">
        <v>2060</v>
      </c>
      <c r="I3733" t="str">
        <f>VLOOKUP(B3733,Customers!A:G,7,FALSE)</f>
        <v>Corporate</v>
      </c>
      <c r="Q3733" t="str">
        <f>IF(COUNTIF(Customers!$A$2:$A$1001,B3733)&gt;0,"Valid","Invalid")</f>
        <v>Valid</v>
      </c>
      <c r="R3733" t="str">
        <f>IF(COUNTIF(Branches!$A$2:$A$11,F3733)&gt;0,"Valid","Invalid")</f>
        <v>Valid</v>
      </c>
    </row>
    <row r="3734" spans="1:18" x14ac:dyDescent="0.25">
      <c r="A3734" t="s">
        <v>5805</v>
      </c>
      <c r="B3734" t="s">
        <v>172</v>
      </c>
      <c r="C3734" s="8">
        <v>46029</v>
      </c>
      <c r="D3734" t="s">
        <v>2058</v>
      </c>
      <c r="E3734" t="s">
        <v>2063</v>
      </c>
      <c r="F3734" t="s">
        <v>35</v>
      </c>
      <c r="G3734">
        <v>700.03</v>
      </c>
      <c r="H3734" t="s">
        <v>2060</v>
      </c>
      <c r="I3734" t="str">
        <f>VLOOKUP(B3734,Customers!A:G,7,FALSE)</f>
        <v>Individual</v>
      </c>
      <c r="Q3734" t="str">
        <f>IF(COUNTIF(Customers!$A$2:$A$1001,B3734)&gt;0,"Valid","Invalid")</f>
        <v>Valid</v>
      </c>
      <c r="R3734" t="str">
        <f>IF(COUNTIF(Branches!$A$2:$A$11,F3734)&gt;0,"Valid","Invalid")</f>
        <v>Valid</v>
      </c>
    </row>
    <row r="3735" spans="1:18" x14ac:dyDescent="0.25">
      <c r="A3735" t="s">
        <v>5806</v>
      </c>
      <c r="B3735" t="s">
        <v>900</v>
      </c>
      <c r="C3735" s="8">
        <v>46206</v>
      </c>
      <c r="D3735" t="s">
        <v>2058</v>
      </c>
      <c r="E3735" t="s">
        <v>2063</v>
      </c>
      <c r="F3735" t="s">
        <v>27</v>
      </c>
      <c r="G3735">
        <v>529.94000000000005</v>
      </c>
      <c r="H3735" t="s">
        <v>2060</v>
      </c>
      <c r="I3735" t="str">
        <f>VLOOKUP(B3735,Customers!A:G,7,FALSE)</f>
        <v>SME</v>
      </c>
      <c r="Q3735" t="str">
        <f>IF(COUNTIF(Customers!$A$2:$A$1001,B3735)&gt;0,"Valid","Invalid")</f>
        <v>Valid</v>
      </c>
      <c r="R3735" t="str">
        <f>IF(COUNTIF(Branches!$A$2:$A$11,F3735)&gt;0,"Valid","Invalid")</f>
        <v>Valid</v>
      </c>
    </row>
    <row r="3736" spans="1:18" x14ac:dyDescent="0.25">
      <c r="A3736" t="s">
        <v>5807</v>
      </c>
      <c r="B3736" t="s">
        <v>833</v>
      </c>
      <c r="C3736" s="8">
        <v>46214</v>
      </c>
      <c r="D3736" t="s">
        <v>2058</v>
      </c>
      <c r="E3736" t="s">
        <v>2063</v>
      </c>
      <c r="F3736" t="s">
        <v>53</v>
      </c>
      <c r="G3736">
        <v>2495.86</v>
      </c>
      <c r="H3736" t="s">
        <v>2060</v>
      </c>
      <c r="I3736" t="str">
        <f>VLOOKUP(B3736,Customers!A:G,7,FALSE)</f>
        <v>SME</v>
      </c>
      <c r="Q3736" t="str">
        <f>IF(COUNTIF(Customers!$A$2:$A$1001,B3736)&gt;0,"Valid","Invalid")</f>
        <v>Valid</v>
      </c>
      <c r="R3736" t="str">
        <f>IF(COUNTIF(Branches!$A$2:$A$11,F3736)&gt;0,"Valid","Invalid")</f>
        <v>Valid</v>
      </c>
    </row>
    <row r="3737" spans="1:18" x14ac:dyDescent="0.25">
      <c r="A3737" t="s">
        <v>5808</v>
      </c>
      <c r="B3737" t="s">
        <v>1005</v>
      </c>
      <c r="C3737" s="8">
        <v>46170</v>
      </c>
      <c r="D3737" t="s">
        <v>2062</v>
      </c>
      <c r="E3737" t="s">
        <v>2068</v>
      </c>
      <c r="F3737" t="s">
        <v>47</v>
      </c>
      <c r="G3737">
        <v>1333.21</v>
      </c>
      <c r="H3737" t="s">
        <v>2060</v>
      </c>
      <c r="I3737" t="str">
        <f>VLOOKUP(B3737,Customers!A:G,7,FALSE)</f>
        <v>SME</v>
      </c>
      <c r="Q3737" t="str">
        <f>IF(COUNTIF(Customers!$A$2:$A$1001,B3737)&gt;0,"Valid","Invalid")</f>
        <v>Valid</v>
      </c>
      <c r="R3737" t="str">
        <f>IF(COUNTIF(Branches!$A$2:$A$11,F3737)&gt;0,"Valid","Invalid")</f>
        <v>Valid</v>
      </c>
    </row>
    <row r="3738" spans="1:18" x14ac:dyDescent="0.25">
      <c r="A3738" t="s">
        <v>5809</v>
      </c>
      <c r="B3738" t="s">
        <v>961</v>
      </c>
      <c r="C3738" s="8">
        <v>46188</v>
      </c>
      <c r="D3738" t="s">
        <v>2070</v>
      </c>
      <c r="E3738" t="s">
        <v>2063</v>
      </c>
      <c r="F3738" t="s">
        <v>27</v>
      </c>
      <c r="G3738">
        <v>142.44999999999999</v>
      </c>
      <c r="H3738" t="s">
        <v>2060</v>
      </c>
      <c r="I3738" t="str">
        <f>VLOOKUP(B3738,Customers!A:G,7,FALSE)</f>
        <v>SME</v>
      </c>
      <c r="Q3738" t="str">
        <f>IF(COUNTIF(Customers!$A$2:$A$1001,B3738)&gt;0,"Valid","Invalid")</f>
        <v>Valid</v>
      </c>
      <c r="R3738" t="str">
        <f>IF(COUNTIF(Branches!$A$2:$A$11,F3738)&gt;0,"Valid","Invalid")</f>
        <v>Valid</v>
      </c>
    </row>
    <row r="3739" spans="1:18" x14ac:dyDescent="0.25">
      <c r="A3739" t="s">
        <v>5810</v>
      </c>
      <c r="B3739" t="s">
        <v>511</v>
      </c>
      <c r="C3739" s="8">
        <v>46097</v>
      </c>
      <c r="D3739" t="s">
        <v>2065</v>
      </c>
      <c r="E3739" t="s">
        <v>2073</v>
      </c>
      <c r="F3739" t="s">
        <v>39</v>
      </c>
      <c r="G3739">
        <v>438.51</v>
      </c>
      <c r="H3739" t="s">
        <v>2060</v>
      </c>
      <c r="I3739" t="str">
        <f>VLOOKUP(B3739,Customers!A:G,7,FALSE)</f>
        <v>SME</v>
      </c>
      <c r="Q3739" t="str">
        <f>IF(COUNTIF(Customers!$A$2:$A$1001,B3739)&gt;0,"Valid","Invalid")</f>
        <v>Valid</v>
      </c>
      <c r="R3739" t="str">
        <f>IF(COUNTIF(Branches!$A$2:$A$11,F3739)&gt;0,"Valid","Invalid")</f>
        <v>Valid</v>
      </c>
    </row>
    <row r="3740" spans="1:18" x14ac:dyDescent="0.25">
      <c r="A3740" t="s">
        <v>5811</v>
      </c>
      <c r="B3740" t="s">
        <v>670</v>
      </c>
      <c r="C3740" s="8">
        <v>46258</v>
      </c>
      <c r="D3740" t="s">
        <v>2065</v>
      </c>
      <c r="E3740" t="s">
        <v>2076</v>
      </c>
      <c r="F3740" t="s">
        <v>11</v>
      </c>
      <c r="G3740">
        <v>1120.98</v>
      </c>
      <c r="H3740" t="s">
        <v>2060</v>
      </c>
      <c r="I3740" t="str">
        <f>VLOOKUP(B3740,Customers!A:G,7,FALSE)</f>
        <v>SME</v>
      </c>
      <c r="Q3740" t="str">
        <f>IF(COUNTIF(Customers!$A$2:$A$1001,B3740)&gt;0,"Valid","Invalid")</f>
        <v>Valid</v>
      </c>
      <c r="R3740" t="str">
        <f>IF(COUNTIF(Branches!$A$2:$A$11,F3740)&gt;0,"Valid","Invalid")</f>
        <v>Valid</v>
      </c>
    </row>
    <row r="3741" spans="1:18" x14ac:dyDescent="0.25">
      <c r="A3741" t="s">
        <v>5812</v>
      </c>
      <c r="B3741" t="s">
        <v>468</v>
      </c>
      <c r="C3741" s="8">
        <v>46080</v>
      </c>
      <c r="D3741" t="s">
        <v>2065</v>
      </c>
      <c r="E3741" t="s">
        <v>2076</v>
      </c>
      <c r="F3741" t="s">
        <v>16</v>
      </c>
      <c r="G3741">
        <v>319.29000000000002</v>
      </c>
      <c r="H3741" t="s">
        <v>2060</v>
      </c>
      <c r="I3741" t="str">
        <f>VLOOKUP(B3741,Customers!A:G,7,FALSE)</f>
        <v>SME</v>
      </c>
      <c r="Q3741" t="str">
        <f>IF(COUNTIF(Customers!$A$2:$A$1001,B3741)&gt;0,"Valid","Invalid")</f>
        <v>Valid</v>
      </c>
      <c r="R3741" t="str">
        <f>IF(COUNTIF(Branches!$A$2:$A$11,F3741)&gt;0,"Valid","Invalid")</f>
        <v>Valid</v>
      </c>
    </row>
    <row r="3742" spans="1:18" x14ac:dyDescent="0.25">
      <c r="A3742" t="s">
        <v>5813</v>
      </c>
      <c r="B3742" t="s">
        <v>975</v>
      </c>
      <c r="C3742" s="8">
        <v>46038</v>
      </c>
      <c r="D3742" t="s">
        <v>2058</v>
      </c>
      <c r="E3742" t="s">
        <v>2063</v>
      </c>
      <c r="F3742" t="s">
        <v>39</v>
      </c>
      <c r="G3742">
        <v>6182.97</v>
      </c>
      <c r="H3742" t="s">
        <v>2115</v>
      </c>
      <c r="I3742" t="str">
        <f>VLOOKUP(B3742,Customers!A:G,7,FALSE)</f>
        <v>Individual</v>
      </c>
      <c r="Q3742" t="str">
        <f>IF(COUNTIF(Customers!$A$2:$A$1001,B3742)&gt;0,"Valid","Invalid")</f>
        <v>Valid</v>
      </c>
      <c r="R3742" t="str">
        <f>IF(COUNTIF(Branches!$A$2:$A$11,F3742)&gt;0,"Valid","Invalid")</f>
        <v>Valid</v>
      </c>
    </row>
    <row r="3743" spans="1:18" x14ac:dyDescent="0.25">
      <c r="A3743" t="s">
        <v>5814</v>
      </c>
      <c r="B3743" t="s">
        <v>1013</v>
      </c>
      <c r="C3743" s="8">
        <v>46201</v>
      </c>
      <c r="D3743" t="s">
        <v>2067</v>
      </c>
      <c r="E3743" t="s">
        <v>2068</v>
      </c>
      <c r="F3743" t="s">
        <v>45</v>
      </c>
      <c r="G3743">
        <v>909.49</v>
      </c>
      <c r="H3743" t="s">
        <v>2060</v>
      </c>
      <c r="I3743" t="str">
        <f>VLOOKUP(B3743,Customers!A:G,7,FALSE)</f>
        <v>Student</v>
      </c>
      <c r="Q3743" t="str">
        <f>IF(COUNTIF(Customers!$A$2:$A$1001,B3743)&gt;0,"Valid","Invalid")</f>
        <v>Valid</v>
      </c>
      <c r="R3743" t="str">
        <f>IF(COUNTIF(Branches!$A$2:$A$11,F3743)&gt;0,"Valid","Invalid")</f>
        <v>Valid</v>
      </c>
    </row>
    <row r="3744" spans="1:18" x14ac:dyDescent="0.25">
      <c r="A3744" t="s">
        <v>5815</v>
      </c>
      <c r="B3744" t="s">
        <v>575</v>
      </c>
      <c r="C3744" s="8">
        <v>46049</v>
      </c>
      <c r="D3744" t="s">
        <v>2062</v>
      </c>
      <c r="E3744" t="s">
        <v>2076</v>
      </c>
      <c r="F3744" t="s">
        <v>39</v>
      </c>
      <c r="G3744">
        <v>382.46</v>
      </c>
      <c r="H3744" t="s">
        <v>2060</v>
      </c>
      <c r="I3744" t="str">
        <f>VLOOKUP(B3744,Customers!A:G,7,FALSE)</f>
        <v>SME</v>
      </c>
      <c r="Q3744" t="str">
        <f>IF(COUNTIF(Customers!$A$2:$A$1001,B3744)&gt;0,"Valid","Invalid")</f>
        <v>Valid</v>
      </c>
      <c r="R3744" t="str">
        <f>IF(COUNTIF(Branches!$A$2:$A$11,F3744)&gt;0,"Valid","Invalid")</f>
        <v>Valid</v>
      </c>
    </row>
    <row r="3745" spans="1:18" x14ac:dyDescent="0.25">
      <c r="A3745" t="s">
        <v>5816</v>
      </c>
      <c r="B3745" t="s">
        <v>892</v>
      </c>
      <c r="C3745" s="8">
        <v>46073</v>
      </c>
      <c r="D3745" t="s">
        <v>2067</v>
      </c>
      <c r="E3745" t="s">
        <v>2068</v>
      </c>
      <c r="F3745" t="s">
        <v>11</v>
      </c>
      <c r="G3745">
        <v>264.29000000000002</v>
      </c>
      <c r="H3745" t="s">
        <v>2115</v>
      </c>
      <c r="I3745" t="str">
        <f>VLOOKUP(B3745,Customers!A:G,7,FALSE)</f>
        <v>Individual</v>
      </c>
      <c r="Q3745" t="str">
        <f>IF(COUNTIF(Customers!$A$2:$A$1001,B3745)&gt;0,"Valid","Invalid")</f>
        <v>Valid</v>
      </c>
      <c r="R3745" t="str">
        <f>IF(COUNTIF(Branches!$A$2:$A$11,F3745)&gt;0,"Valid","Invalid")</f>
        <v>Valid</v>
      </c>
    </row>
    <row r="3746" spans="1:18" x14ac:dyDescent="0.25">
      <c r="A3746" t="s">
        <v>5817</v>
      </c>
      <c r="B3746" t="s">
        <v>182</v>
      </c>
      <c r="C3746" s="8">
        <v>46097</v>
      </c>
      <c r="D3746" t="s">
        <v>2058</v>
      </c>
      <c r="E3746" t="s">
        <v>2073</v>
      </c>
      <c r="F3746" t="s">
        <v>21</v>
      </c>
      <c r="G3746">
        <v>2053.9699999999998</v>
      </c>
      <c r="H3746" t="s">
        <v>2060</v>
      </c>
      <c r="I3746" t="str">
        <f>VLOOKUP(B3746,Customers!A:G,7,FALSE)</f>
        <v>Individual</v>
      </c>
      <c r="Q3746" t="str">
        <f>IF(COUNTIF(Customers!$A$2:$A$1001,B3746)&gt;0,"Valid","Invalid")</f>
        <v>Valid</v>
      </c>
      <c r="R3746" t="str">
        <f>IF(COUNTIF(Branches!$A$2:$A$11,F3746)&gt;0,"Valid","Invalid")</f>
        <v>Valid</v>
      </c>
    </row>
    <row r="3747" spans="1:18" x14ac:dyDescent="0.25">
      <c r="A3747" t="s">
        <v>5818</v>
      </c>
      <c r="B3747" t="s">
        <v>562</v>
      </c>
      <c r="C3747" s="8">
        <v>46166</v>
      </c>
      <c r="D3747" t="s">
        <v>2062</v>
      </c>
      <c r="E3747" t="s">
        <v>2063</v>
      </c>
      <c r="F3747" t="s">
        <v>47</v>
      </c>
      <c r="G3747">
        <v>425.02</v>
      </c>
      <c r="H3747" t="s">
        <v>2060</v>
      </c>
      <c r="I3747" t="str">
        <f>VLOOKUP(B3747,Customers!A:G,7,FALSE)</f>
        <v>Individual</v>
      </c>
      <c r="Q3747" t="str">
        <f>IF(COUNTIF(Customers!$A$2:$A$1001,B3747)&gt;0,"Valid","Invalid")</f>
        <v>Valid</v>
      </c>
      <c r="R3747" t="str">
        <f>IF(COUNTIF(Branches!$A$2:$A$11,F3747)&gt;0,"Valid","Invalid")</f>
        <v>Valid</v>
      </c>
    </row>
    <row r="3748" spans="1:18" x14ac:dyDescent="0.25">
      <c r="A3748" t="s">
        <v>5819</v>
      </c>
      <c r="B3748" t="s">
        <v>123</v>
      </c>
      <c r="C3748" s="8">
        <v>46109</v>
      </c>
      <c r="D3748" t="s">
        <v>2058</v>
      </c>
      <c r="E3748" t="s">
        <v>2063</v>
      </c>
      <c r="F3748" t="s">
        <v>27</v>
      </c>
      <c r="G3748">
        <v>1187.8800000000001</v>
      </c>
      <c r="H3748" t="s">
        <v>2060</v>
      </c>
      <c r="I3748" t="str">
        <f>VLOOKUP(B3748,Customers!A:G,7,FALSE)</f>
        <v>Corporate</v>
      </c>
      <c r="Q3748" t="str">
        <f>IF(COUNTIF(Customers!$A$2:$A$1001,B3748)&gt;0,"Valid","Invalid")</f>
        <v>Valid</v>
      </c>
      <c r="R3748" t="str">
        <f>IF(COUNTIF(Branches!$A$2:$A$11,F3748)&gt;0,"Valid","Invalid")</f>
        <v>Valid</v>
      </c>
    </row>
    <row r="3749" spans="1:18" x14ac:dyDescent="0.25">
      <c r="A3749" t="s">
        <v>5820</v>
      </c>
      <c r="B3749" t="s">
        <v>985</v>
      </c>
      <c r="C3749" s="8">
        <v>46210</v>
      </c>
      <c r="D3749" t="s">
        <v>2058</v>
      </c>
      <c r="E3749" t="s">
        <v>2068</v>
      </c>
      <c r="F3749" t="s">
        <v>11</v>
      </c>
      <c r="G3749">
        <v>256.85000000000002</v>
      </c>
      <c r="H3749" t="s">
        <v>2060</v>
      </c>
      <c r="I3749" t="str">
        <f>VLOOKUP(B3749,Customers!A:G,7,FALSE)</f>
        <v>Individual</v>
      </c>
      <c r="Q3749" t="str">
        <f>IF(COUNTIF(Customers!$A$2:$A$1001,B3749)&gt;0,"Valid","Invalid")</f>
        <v>Valid</v>
      </c>
      <c r="R3749" t="str">
        <f>IF(COUNTIF(Branches!$A$2:$A$11,F3749)&gt;0,"Valid","Invalid")</f>
        <v>Valid</v>
      </c>
    </row>
    <row r="3750" spans="1:18" x14ac:dyDescent="0.25">
      <c r="A3750" t="s">
        <v>5821</v>
      </c>
      <c r="B3750" t="s">
        <v>145</v>
      </c>
      <c r="C3750" s="8">
        <v>46145</v>
      </c>
      <c r="D3750" t="s">
        <v>2065</v>
      </c>
      <c r="E3750" t="s">
        <v>2068</v>
      </c>
      <c r="F3750" t="s">
        <v>29</v>
      </c>
      <c r="G3750">
        <v>871.48</v>
      </c>
      <c r="H3750" t="s">
        <v>2060</v>
      </c>
      <c r="I3750" t="str">
        <f>VLOOKUP(B3750,Customers!A:G,7,FALSE)</f>
        <v>Individual</v>
      </c>
      <c r="Q3750" t="str">
        <f>IF(COUNTIF(Customers!$A$2:$A$1001,B3750)&gt;0,"Valid","Invalid")</f>
        <v>Valid</v>
      </c>
      <c r="R3750" t="str">
        <f>IF(COUNTIF(Branches!$A$2:$A$11,F3750)&gt;0,"Valid","Invalid")</f>
        <v>Valid</v>
      </c>
    </row>
    <row r="3751" spans="1:18" x14ac:dyDescent="0.25">
      <c r="A3751" t="s">
        <v>5822</v>
      </c>
      <c r="B3751" t="s">
        <v>461</v>
      </c>
      <c r="C3751" s="8">
        <v>46098</v>
      </c>
      <c r="D3751" t="s">
        <v>2067</v>
      </c>
      <c r="E3751" t="s">
        <v>2059</v>
      </c>
      <c r="F3751" t="s">
        <v>53</v>
      </c>
      <c r="G3751">
        <v>430.14</v>
      </c>
      <c r="H3751" t="s">
        <v>2060</v>
      </c>
      <c r="I3751" t="str">
        <f>VLOOKUP(B3751,Customers!A:G,7,FALSE)</f>
        <v>Individual</v>
      </c>
      <c r="Q3751" t="str">
        <f>IF(COUNTIF(Customers!$A$2:$A$1001,B3751)&gt;0,"Valid","Invalid")</f>
        <v>Valid</v>
      </c>
      <c r="R3751" t="str">
        <f>IF(COUNTIF(Branches!$A$2:$A$11,F3751)&gt;0,"Valid","Invalid")</f>
        <v>Valid</v>
      </c>
    </row>
    <row r="3752" spans="1:18" x14ac:dyDescent="0.25">
      <c r="A3752" t="s">
        <v>5823</v>
      </c>
      <c r="B3752" t="s">
        <v>383</v>
      </c>
      <c r="C3752" s="8">
        <v>46062</v>
      </c>
      <c r="D3752" t="s">
        <v>2058</v>
      </c>
      <c r="E3752" t="s">
        <v>2059</v>
      </c>
      <c r="F3752" t="s">
        <v>11</v>
      </c>
      <c r="G3752">
        <v>592.65</v>
      </c>
      <c r="H3752" t="s">
        <v>2060</v>
      </c>
      <c r="I3752" t="str">
        <f>VLOOKUP(B3752,Customers!A:G,7,FALSE)</f>
        <v>Individual</v>
      </c>
      <c r="Q3752" t="str">
        <f>IF(COUNTIF(Customers!$A$2:$A$1001,B3752)&gt;0,"Valid","Invalid")</f>
        <v>Valid</v>
      </c>
      <c r="R3752" t="str">
        <f>IF(COUNTIF(Branches!$A$2:$A$11,F3752)&gt;0,"Valid","Invalid")</f>
        <v>Valid</v>
      </c>
    </row>
    <row r="3753" spans="1:18" x14ac:dyDescent="0.25">
      <c r="A3753" t="s">
        <v>5824</v>
      </c>
      <c r="B3753" t="s">
        <v>304</v>
      </c>
      <c r="C3753" s="8">
        <v>46089</v>
      </c>
      <c r="D3753" t="s">
        <v>2067</v>
      </c>
      <c r="E3753" t="s">
        <v>2076</v>
      </c>
      <c r="F3753" t="s">
        <v>29</v>
      </c>
      <c r="G3753">
        <v>366.4</v>
      </c>
      <c r="H3753" t="s">
        <v>2060</v>
      </c>
      <c r="I3753" t="str">
        <f>VLOOKUP(B3753,Customers!A:G,7,FALSE)</f>
        <v>SME</v>
      </c>
      <c r="Q3753" t="str">
        <f>IF(COUNTIF(Customers!$A$2:$A$1001,B3753)&gt;0,"Valid","Invalid")</f>
        <v>Valid</v>
      </c>
      <c r="R3753" t="str">
        <f>IF(COUNTIF(Branches!$A$2:$A$11,F3753)&gt;0,"Valid","Invalid")</f>
        <v>Valid</v>
      </c>
    </row>
    <row r="3754" spans="1:18" x14ac:dyDescent="0.25">
      <c r="A3754" t="s">
        <v>5825</v>
      </c>
      <c r="B3754" t="s">
        <v>772</v>
      </c>
      <c r="C3754" s="8">
        <v>46152</v>
      </c>
      <c r="D3754" t="s">
        <v>2062</v>
      </c>
      <c r="E3754" t="s">
        <v>2063</v>
      </c>
      <c r="F3754" t="s">
        <v>45</v>
      </c>
      <c r="G3754">
        <v>2265.67</v>
      </c>
      <c r="H3754" t="s">
        <v>2060</v>
      </c>
      <c r="I3754" t="str">
        <f>VLOOKUP(B3754,Customers!A:G,7,FALSE)</f>
        <v>SME</v>
      </c>
      <c r="Q3754" t="str">
        <f>IF(COUNTIF(Customers!$A$2:$A$1001,B3754)&gt;0,"Valid","Invalid")</f>
        <v>Valid</v>
      </c>
      <c r="R3754" t="str">
        <f>IF(COUNTIF(Branches!$A$2:$A$11,F3754)&gt;0,"Valid","Invalid")</f>
        <v>Valid</v>
      </c>
    </row>
    <row r="3755" spans="1:18" x14ac:dyDescent="0.25">
      <c r="A3755" t="s">
        <v>5826</v>
      </c>
      <c r="B3755" t="s">
        <v>624</v>
      </c>
      <c r="C3755" s="8">
        <v>46124</v>
      </c>
      <c r="D3755" t="s">
        <v>2062</v>
      </c>
      <c r="E3755" t="s">
        <v>2063</v>
      </c>
      <c r="F3755" t="s">
        <v>53</v>
      </c>
      <c r="G3755">
        <v>497.2</v>
      </c>
      <c r="H3755" t="s">
        <v>2060</v>
      </c>
      <c r="I3755" t="str">
        <f>VLOOKUP(B3755,Customers!A:G,7,FALSE)</f>
        <v>Corporate</v>
      </c>
      <c r="Q3755" t="str">
        <f>IF(COUNTIF(Customers!$A$2:$A$1001,B3755)&gt;0,"Valid","Invalid")</f>
        <v>Valid</v>
      </c>
      <c r="R3755" t="str">
        <f>IF(COUNTIF(Branches!$A$2:$A$11,F3755)&gt;0,"Valid","Invalid")</f>
        <v>Valid</v>
      </c>
    </row>
    <row r="3756" spans="1:18" x14ac:dyDescent="0.25">
      <c r="A3756" t="s">
        <v>5827</v>
      </c>
      <c r="B3756" t="s">
        <v>1032</v>
      </c>
      <c r="C3756" s="8">
        <v>46198</v>
      </c>
      <c r="D3756" t="s">
        <v>2062</v>
      </c>
      <c r="E3756" t="s">
        <v>2059</v>
      </c>
      <c r="F3756" t="s">
        <v>11</v>
      </c>
      <c r="G3756">
        <v>703.83</v>
      </c>
      <c r="H3756" t="s">
        <v>2060</v>
      </c>
      <c r="I3756" t="str">
        <f>VLOOKUP(B3756,Customers!A:G,7,FALSE)</f>
        <v>Individual</v>
      </c>
      <c r="Q3756" t="str">
        <f>IF(COUNTIF(Customers!$A$2:$A$1001,B3756)&gt;0,"Valid","Invalid")</f>
        <v>Valid</v>
      </c>
      <c r="R3756" t="str">
        <f>IF(COUNTIF(Branches!$A$2:$A$11,F3756)&gt;0,"Valid","Invalid")</f>
        <v>Valid</v>
      </c>
    </row>
    <row r="3757" spans="1:18" x14ac:dyDescent="0.25">
      <c r="A3757" t="s">
        <v>5828</v>
      </c>
      <c r="B3757" t="s">
        <v>532</v>
      </c>
      <c r="C3757" s="8">
        <v>46202</v>
      </c>
      <c r="D3757" t="s">
        <v>2067</v>
      </c>
      <c r="E3757" t="s">
        <v>2063</v>
      </c>
      <c r="F3757" t="s">
        <v>27</v>
      </c>
      <c r="G3757">
        <v>738.67</v>
      </c>
      <c r="H3757" t="s">
        <v>2060</v>
      </c>
      <c r="I3757" t="str">
        <f>VLOOKUP(B3757,Customers!A:G,7,FALSE)</f>
        <v>Individual</v>
      </c>
      <c r="Q3757" t="str">
        <f>IF(COUNTIF(Customers!$A$2:$A$1001,B3757)&gt;0,"Valid","Invalid")</f>
        <v>Valid</v>
      </c>
      <c r="R3757" t="str">
        <f>IF(COUNTIF(Branches!$A$2:$A$11,F3757)&gt;0,"Valid","Invalid")</f>
        <v>Valid</v>
      </c>
    </row>
    <row r="3758" spans="1:18" x14ac:dyDescent="0.25">
      <c r="A3758" t="s">
        <v>5829</v>
      </c>
      <c r="B3758" t="s">
        <v>371</v>
      </c>
      <c r="C3758" s="8">
        <v>46174</v>
      </c>
      <c r="D3758" t="s">
        <v>2062</v>
      </c>
      <c r="E3758" t="s">
        <v>2059</v>
      </c>
      <c r="F3758" t="s">
        <v>21</v>
      </c>
      <c r="G3758">
        <v>4073.55</v>
      </c>
      <c r="H3758" t="s">
        <v>2060</v>
      </c>
      <c r="I3758" t="str">
        <f>VLOOKUP(B3758,Customers!A:G,7,FALSE)</f>
        <v>Individual</v>
      </c>
      <c r="Q3758" t="str">
        <f>IF(COUNTIF(Customers!$A$2:$A$1001,B3758)&gt;0,"Valid","Invalid")</f>
        <v>Valid</v>
      </c>
      <c r="R3758" t="str">
        <f>IF(COUNTIF(Branches!$A$2:$A$11,F3758)&gt;0,"Valid","Invalid")</f>
        <v>Valid</v>
      </c>
    </row>
    <row r="3759" spans="1:18" x14ac:dyDescent="0.25">
      <c r="A3759" t="s">
        <v>5830</v>
      </c>
      <c r="B3759" t="s">
        <v>860</v>
      </c>
      <c r="C3759" s="8">
        <v>46115</v>
      </c>
      <c r="D3759" t="s">
        <v>2067</v>
      </c>
      <c r="E3759" t="s">
        <v>2073</v>
      </c>
      <c r="F3759" t="s">
        <v>29</v>
      </c>
      <c r="G3759">
        <v>1978.92</v>
      </c>
      <c r="H3759" t="s">
        <v>2115</v>
      </c>
      <c r="I3759" t="str">
        <f>VLOOKUP(B3759,Customers!A:G,7,FALSE)</f>
        <v>Individual</v>
      </c>
      <c r="Q3759" t="str">
        <f>IF(COUNTIF(Customers!$A$2:$A$1001,B3759)&gt;0,"Valid","Invalid")</f>
        <v>Valid</v>
      </c>
      <c r="R3759" t="str">
        <f>IF(COUNTIF(Branches!$A$2:$A$11,F3759)&gt;0,"Valid","Invalid")</f>
        <v>Valid</v>
      </c>
    </row>
    <row r="3760" spans="1:18" x14ac:dyDescent="0.25">
      <c r="A3760" t="s">
        <v>5831</v>
      </c>
      <c r="B3760" t="s">
        <v>451</v>
      </c>
      <c r="C3760" s="8">
        <v>46261</v>
      </c>
      <c r="D3760" t="s">
        <v>2065</v>
      </c>
      <c r="E3760" t="s">
        <v>2068</v>
      </c>
      <c r="F3760" t="s">
        <v>27</v>
      </c>
      <c r="G3760">
        <v>1791.27</v>
      </c>
      <c r="H3760" t="s">
        <v>2060</v>
      </c>
      <c r="I3760" t="str">
        <f>VLOOKUP(B3760,Customers!A:G,7,FALSE)</f>
        <v>Individual</v>
      </c>
      <c r="Q3760" t="str">
        <f>IF(COUNTIF(Customers!$A$2:$A$1001,B3760)&gt;0,"Valid","Invalid")</f>
        <v>Valid</v>
      </c>
      <c r="R3760" t="str">
        <f>IF(COUNTIF(Branches!$A$2:$A$11,F3760)&gt;0,"Valid","Invalid")</f>
        <v>Valid</v>
      </c>
    </row>
    <row r="3761" spans="1:18" x14ac:dyDescent="0.25">
      <c r="A3761" t="s">
        <v>5832</v>
      </c>
      <c r="B3761" t="s">
        <v>652</v>
      </c>
      <c r="C3761" s="8">
        <v>46132</v>
      </c>
      <c r="D3761" t="s">
        <v>2067</v>
      </c>
      <c r="E3761" t="s">
        <v>2073</v>
      </c>
      <c r="F3761" t="s">
        <v>53</v>
      </c>
      <c r="G3761">
        <v>167.69</v>
      </c>
      <c r="H3761" t="s">
        <v>2060</v>
      </c>
      <c r="I3761" t="str">
        <f>VLOOKUP(B3761,Customers!A:G,7,FALSE)</f>
        <v>Student</v>
      </c>
      <c r="Q3761" t="str">
        <f>IF(COUNTIF(Customers!$A$2:$A$1001,B3761)&gt;0,"Valid","Invalid")</f>
        <v>Valid</v>
      </c>
      <c r="R3761" t="str">
        <f>IF(COUNTIF(Branches!$A$2:$A$11,F3761)&gt;0,"Valid","Invalid")</f>
        <v>Valid</v>
      </c>
    </row>
    <row r="3762" spans="1:18" x14ac:dyDescent="0.25">
      <c r="A3762" t="s">
        <v>5833</v>
      </c>
      <c r="B3762" t="s">
        <v>975</v>
      </c>
      <c r="C3762" s="8">
        <v>46248</v>
      </c>
      <c r="D3762" t="s">
        <v>2065</v>
      </c>
      <c r="E3762" t="s">
        <v>2068</v>
      </c>
      <c r="F3762" t="s">
        <v>35</v>
      </c>
      <c r="G3762">
        <v>421.41</v>
      </c>
      <c r="H3762" t="s">
        <v>2060</v>
      </c>
      <c r="I3762" t="str">
        <f>VLOOKUP(B3762,Customers!A:G,7,FALSE)</f>
        <v>Individual</v>
      </c>
      <c r="Q3762" t="str">
        <f>IF(COUNTIF(Customers!$A$2:$A$1001,B3762)&gt;0,"Valid","Invalid")</f>
        <v>Valid</v>
      </c>
      <c r="R3762" t="str">
        <f>IF(COUNTIF(Branches!$A$2:$A$11,F3762)&gt;0,"Valid","Invalid")</f>
        <v>Valid</v>
      </c>
    </row>
    <row r="3763" spans="1:18" x14ac:dyDescent="0.25">
      <c r="A3763" t="s">
        <v>5834</v>
      </c>
      <c r="B3763" t="s">
        <v>687</v>
      </c>
      <c r="C3763" s="8">
        <v>46234</v>
      </c>
      <c r="D3763" t="s">
        <v>2067</v>
      </c>
      <c r="E3763" t="s">
        <v>2059</v>
      </c>
      <c r="F3763" t="s">
        <v>27</v>
      </c>
      <c r="G3763">
        <v>2666.76</v>
      </c>
      <c r="H3763" t="s">
        <v>2060</v>
      </c>
      <c r="I3763" t="str">
        <f>VLOOKUP(B3763,Customers!A:G,7,FALSE)</f>
        <v>Individual</v>
      </c>
      <c r="Q3763" t="str">
        <f>IF(COUNTIF(Customers!$A$2:$A$1001,B3763)&gt;0,"Valid","Invalid")</f>
        <v>Valid</v>
      </c>
      <c r="R3763" t="str">
        <f>IF(COUNTIF(Branches!$A$2:$A$11,F3763)&gt;0,"Valid","Invalid")</f>
        <v>Valid</v>
      </c>
    </row>
    <row r="3764" spans="1:18" x14ac:dyDescent="0.25">
      <c r="A3764" t="s">
        <v>5835</v>
      </c>
      <c r="B3764" t="s">
        <v>228</v>
      </c>
      <c r="C3764" s="8">
        <v>46104</v>
      </c>
      <c r="D3764" t="s">
        <v>2067</v>
      </c>
      <c r="E3764" t="s">
        <v>2068</v>
      </c>
      <c r="F3764" t="s">
        <v>29</v>
      </c>
      <c r="G3764">
        <v>251.91</v>
      </c>
      <c r="H3764" t="s">
        <v>2060</v>
      </c>
      <c r="I3764" t="str">
        <f>VLOOKUP(B3764,Customers!A:G,7,FALSE)</f>
        <v>SME</v>
      </c>
      <c r="Q3764" t="str">
        <f>IF(COUNTIF(Customers!$A$2:$A$1001,B3764)&gt;0,"Valid","Invalid")</f>
        <v>Valid</v>
      </c>
      <c r="R3764" t="str">
        <f>IF(COUNTIF(Branches!$A$2:$A$11,F3764)&gt;0,"Valid","Invalid")</f>
        <v>Valid</v>
      </c>
    </row>
    <row r="3765" spans="1:18" x14ac:dyDescent="0.25">
      <c r="A3765" t="s">
        <v>5836</v>
      </c>
      <c r="B3765" t="s">
        <v>1011</v>
      </c>
      <c r="C3765" s="8">
        <v>46100</v>
      </c>
      <c r="D3765" t="s">
        <v>2070</v>
      </c>
      <c r="E3765" t="s">
        <v>2073</v>
      </c>
      <c r="F3765" t="s">
        <v>11</v>
      </c>
      <c r="G3765">
        <v>883.61</v>
      </c>
      <c r="H3765" t="s">
        <v>2060</v>
      </c>
      <c r="I3765" t="str">
        <f>VLOOKUP(B3765,Customers!A:G,7,FALSE)</f>
        <v>Individual</v>
      </c>
      <c r="Q3765" t="str">
        <f>IF(COUNTIF(Customers!$A$2:$A$1001,B3765)&gt;0,"Valid","Invalid")</f>
        <v>Valid</v>
      </c>
      <c r="R3765" t="str">
        <f>IF(COUNTIF(Branches!$A$2:$A$11,F3765)&gt;0,"Valid","Invalid")</f>
        <v>Valid</v>
      </c>
    </row>
    <row r="3766" spans="1:18" x14ac:dyDescent="0.25">
      <c r="A3766" t="s">
        <v>5837</v>
      </c>
      <c r="B3766" t="s">
        <v>971</v>
      </c>
      <c r="C3766" s="8">
        <v>46232</v>
      </c>
      <c r="D3766" t="s">
        <v>2067</v>
      </c>
      <c r="E3766" t="s">
        <v>2073</v>
      </c>
      <c r="F3766" t="s">
        <v>39</v>
      </c>
      <c r="G3766">
        <v>279.99</v>
      </c>
      <c r="H3766" t="s">
        <v>2060</v>
      </c>
      <c r="I3766" t="str">
        <f>VLOOKUP(B3766,Customers!A:G,7,FALSE)</f>
        <v>Individual</v>
      </c>
      <c r="Q3766" t="str">
        <f>IF(COUNTIF(Customers!$A$2:$A$1001,B3766)&gt;0,"Valid","Invalid")</f>
        <v>Valid</v>
      </c>
      <c r="R3766" t="str">
        <f>IF(COUNTIF(Branches!$A$2:$A$11,F3766)&gt;0,"Valid","Invalid")</f>
        <v>Valid</v>
      </c>
    </row>
    <row r="3767" spans="1:18" x14ac:dyDescent="0.25">
      <c r="A3767" t="s">
        <v>5838</v>
      </c>
      <c r="B3767" t="s">
        <v>178</v>
      </c>
      <c r="C3767" s="8">
        <v>46024</v>
      </c>
      <c r="D3767" t="s">
        <v>2062</v>
      </c>
      <c r="E3767" t="s">
        <v>2076</v>
      </c>
      <c r="F3767" t="s">
        <v>29</v>
      </c>
      <c r="G3767">
        <v>309.54000000000002</v>
      </c>
      <c r="H3767" t="s">
        <v>2060</v>
      </c>
      <c r="I3767" t="str">
        <f>VLOOKUP(B3767,Customers!A:G,7,FALSE)</f>
        <v>Individual</v>
      </c>
      <c r="Q3767" t="str">
        <f>IF(COUNTIF(Customers!$A$2:$A$1001,B3767)&gt;0,"Valid","Invalid")</f>
        <v>Valid</v>
      </c>
      <c r="R3767" t="str">
        <f>IF(COUNTIF(Branches!$A$2:$A$11,F3767)&gt;0,"Valid","Invalid")</f>
        <v>Valid</v>
      </c>
    </row>
    <row r="3768" spans="1:18" x14ac:dyDescent="0.25">
      <c r="A3768" t="s">
        <v>5839</v>
      </c>
      <c r="B3768" t="s">
        <v>907</v>
      </c>
      <c r="C3768" s="8">
        <v>46087</v>
      </c>
      <c r="D3768" t="s">
        <v>2065</v>
      </c>
      <c r="E3768" t="s">
        <v>2063</v>
      </c>
      <c r="F3768" t="s">
        <v>35</v>
      </c>
      <c r="G3768">
        <v>4362.43</v>
      </c>
      <c r="H3768" t="s">
        <v>2060</v>
      </c>
      <c r="I3768" t="str">
        <f>VLOOKUP(B3768,Customers!A:G,7,FALSE)</f>
        <v>Individual</v>
      </c>
      <c r="Q3768" t="str">
        <f>IF(COUNTIF(Customers!$A$2:$A$1001,B3768)&gt;0,"Valid","Invalid")</f>
        <v>Valid</v>
      </c>
      <c r="R3768" t="str">
        <f>IF(COUNTIF(Branches!$A$2:$A$11,F3768)&gt;0,"Valid","Invalid")</f>
        <v>Valid</v>
      </c>
    </row>
    <row r="3769" spans="1:18" x14ac:dyDescent="0.25">
      <c r="A3769" t="s">
        <v>5840</v>
      </c>
      <c r="B3769" t="s">
        <v>109</v>
      </c>
      <c r="C3769" s="8">
        <v>46042</v>
      </c>
      <c r="D3769" t="s">
        <v>2065</v>
      </c>
      <c r="E3769" t="s">
        <v>2063</v>
      </c>
      <c r="F3769" t="s">
        <v>29</v>
      </c>
      <c r="G3769">
        <v>1667.82</v>
      </c>
      <c r="H3769" t="s">
        <v>2060</v>
      </c>
      <c r="I3769" t="str">
        <f>VLOOKUP(B3769,Customers!A:G,7,FALSE)</f>
        <v>Individual</v>
      </c>
      <c r="Q3769" t="str">
        <f>IF(COUNTIF(Customers!$A$2:$A$1001,B3769)&gt;0,"Valid","Invalid")</f>
        <v>Valid</v>
      </c>
      <c r="R3769" t="str">
        <f>IF(COUNTIF(Branches!$A$2:$A$11,F3769)&gt;0,"Valid","Invalid")</f>
        <v>Valid</v>
      </c>
    </row>
    <row r="3770" spans="1:18" x14ac:dyDescent="0.25">
      <c r="A3770" t="s">
        <v>5841</v>
      </c>
      <c r="B3770" t="s">
        <v>878</v>
      </c>
      <c r="C3770" s="8">
        <v>46056</v>
      </c>
      <c r="D3770" t="s">
        <v>2058</v>
      </c>
      <c r="E3770" t="s">
        <v>2063</v>
      </c>
      <c r="F3770" t="s">
        <v>29</v>
      </c>
      <c r="G3770">
        <v>2171.4299999999998</v>
      </c>
      <c r="H3770" t="s">
        <v>2060</v>
      </c>
      <c r="I3770" t="str">
        <f>VLOOKUP(B3770,Customers!A:G,7,FALSE)</f>
        <v>Individual</v>
      </c>
      <c r="Q3770" t="str">
        <f>IF(COUNTIF(Customers!$A$2:$A$1001,B3770)&gt;0,"Valid","Invalid")</f>
        <v>Valid</v>
      </c>
      <c r="R3770" t="str">
        <f>IF(COUNTIF(Branches!$A$2:$A$11,F3770)&gt;0,"Valid","Invalid")</f>
        <v>Valid</v>
      </c>
    </row>
    <row r="3771" spans="1:18" x14ac:dyDescent="0.25">
      <c r="A3771" t="s">
        <v>5842</v>
      </c>
      <c r="B3771" t="s">
        <v>203</v>
      </c>
      <c r="C3771" s="8">
        <v>46063</v>
      </c>
      <c r="D3771" t="s">
        <v>2058</v>
      </c>
      <c r="E3771" t="s">
        <v>2073</v>
      </c>
      <c r="F3771" t="s">
        <v>29</v>
      </c>
      <c r="G3771">
        <v>1778.88</v>
      </c>
      <c r="H3771" t="s">
        <v>2060</v>
      </c>
      <c r="I3771" t="str">
        <f>VLOOKUP(B3771,Customers!A:G,7,FALSE)</f>
        <v>Student</v>
      </c>
      <c r="Q3771" t="str">
        <f>IF(COUNTIF(Customers!$A$2:$A$1001,B3771)&gt;0,"Valid","Invalid")</f>
        <v>Valid</v>
      </c>
      <c r="R3771" t="str">
        <f>IF(COUNTIF(Branches!$A$2:$A$11,F3771)&gt;0,"Valid","Invalid")</f>
        <v>Valid</v>
      </c>
    </row>
    <row r="3772" spans="1:18" x14ac:dyDescent="0.25">
      <c r="A3772" t="s">
        <v>5843</v>
      </c>
      <c r="B3772" t="s">
        <v>204</v>
      </c>
      <c r="C3772" s="8">
        <v>46191</v>
      </c>
      <c r="D3772" t="s">
        <v>2065</v>
      </c>
      <c r="E3772" t="s">
        <v>2059</v>
      </c>
      <c r="F3772" t="s">
        <v>39</v>
      </c>
      <c r="G3772">
        <v>706.77</v>
      </c>
      <c r="H3772" t="s">
        <v>2060</v>
      </c>
      <c r="I3772" t="str">
        <f>VLOOKUP(B3772,Customers!A:G,7,FALSE)</f>
        <v>Individual</v>
      </c>
      <c r="Q3772" t="str">
        <f>IF(COUNTIF(Customers!$A$2:$A$1001,B3772)&gt;0,"Valid","Invalid")</f>
        <v>Valid</v>
      </c>
      <c r="R3772" t="str">
        <f>IF(COUNTIF(Branches!$A$2:$A$11,F3772)&gt;0,"Valid","Invalid")</f>
        <v>Valid</v>
      </c>
    </row>
    <row r="3773" spans="1:18" x14ac:dyDescent="0.25">
      <c r="A3773" t="s">
        <v>5844</v>
      </c>
      <c r="B3773" t="s">
        <v>604</v>
      </c>
      <c r="C3773" s="8">
        <v>46262</v>
      </c>
      <c r="D3773" t="s">
        <v>2065</v>
      </c>
      <c r="E3773" t="s">
        <v>2068</v>
      </c>
      <c r="F3773" t="s">
        <v>53</v>
      </c>
      <c r="G3773">
        <v>406.83</v>
      </c>
      <c r="H3773" t="s">
        <v>2060</v>
      </c>
      <c r="I3773" t="str">
        <f>VLOOKUP(B3773,Customers!A:G,7,FALSE)</f>
        <v>Student</v>
      </c>
      <c r="Q3773" t="str">
        <f>IF(COUNTIF(Customers!$A$2:$A$1001,B3773)&gt;0,"Valid","Invalid")</f>
        <v>Valid</v>
      </c>
      <c r="R3773" t="str">
        <f>IF(COUNTIF(Branches!$A$2:$A$11,F3773)&gt;0,"Valid","Invalid")</f>
        <v>Valid</v>
      </c>
    </row>
    <row r="3774" spans="1:18" x14ac:dyDescent="0.25">
      <c r="A3774" t="s">
        <v>5845</v>
      </c>
      <c r="B3774" t="s">
        <v>297</v>
      </c>
      <c r="C3774" s="8">
        <v>46225</v>
      </c>
      <c r="D3774" t="s">
        <v>2067</v>
      </c>
      <c r="E3774" t="s">
        <v>2059</v>
      </c>
      <c r="F3774" t="s">
        <v>29</v>
      </c>
      <c r="G3774">
        <v>543.42999999999995</v>
      </c>
      <c r="H3774" t="s">
        <v>2060</v>
      </c>
      <c r="I3774" t="str">
        <f>VLOOKUP(B3774,Customers!A:G,7,FALSE)</f>
        <v>Individual</v>
      </c>
      <c r="Q3774" t="str">
        <f>IF(COUNTIF(Customers!$A$2:$A$1001,B3774)&gt;0,"Valid","Invalid")</f>
        <v>Valid</v>
      </c>
      <c r="R3774" t="str">
        <f>IF(COUNTIF(Branches!$A$2:$A$11,F3774)&gt;0,"Valid","Invalid")</f>
        <v>Valid</v>
      </c>
    </row>
    <row r="3775" spans="1:18" x14ac:dyDescent="0.25">
      <c r="A3775" t="s">
        <v>5846</v>
      </c>
      <c r="B3775" t="s">
        <v>477</v>
      </c>
      <c r="C3775" s="8">
        <v>46241</v>
      </c>
      <c r="D3775" t="s">
        <v>2067</v>
      </c>
      <c r="E3775" t="s">
        <v>2076</v>
      </c>
      <c r="F3775" t="s">
        <v>35</v>
      </c>
      <c r="G3775">
        <v>670.6</v>
      </c>
      <c r="H3775" t="s">
        <v>2060</v>
      </c>
      <c r="I3775" t="str">
        <f>VLOOKUP(B3775,Customers!A:G,7,FALSE)</f>
        <v>Individual</v>
      </c>
      <c r="Q3775" t="str">
        <f>IF(COUNTIF(Customers!$A$2:$A$1001,B3775)&gt;0,"Valid","Invalid")</f>
        <v>Valid</v>
      </c>
      <c r="R3775" t="str">
        <f>IF(COUNTIF(Branches!$A$2:$A$11,F3775)&gt;0,"Valid","Invalid")</f>
        <v>Valid</v>
      </c>
    </row>
    <row r="3776" spans="1:18" x14ac:dyDescent="0.25">
      <c r="A3776" t="s">
        <v>5847</v>
      </c>
      <c r="B3776" t="s">
        <v>147</v>
      </c>
      <c r="C3776" s="8">
        <v>46045</v>
      </c>
      <c r="D3776" t="s">
        <v>2062</v>
      </c>
      <c r="E3776" t="s">
        <v>2063</v>
      </c>
      <c r="F3776" t="s">
        <v>47</v>
      </c>
      <c r="G3776">
        <v>4799.59</v>
      </c>
      <c r="H3776" t="s">
        <v>2115</v>
      </c>
      <c r="I3776" t="str">
        <f>VLOOKUP(B3776,Customers!A:G,7,FALSE)</f>
        <v>Individual</v>
      </c>
      <c r="Q3776" t="str">
        <f>IF(COUNTIF(Customers!$A$2:$A$1001,B3776)&gt;0,"Valid","Invalid")</f>
        <v>Valid</v>
      </c>
      <c r="R3776" t="str">
        <f>IF(COUNTIF(Branches!$A$2:$A$11,F3776)&gt;0,"Valid","Invalid")</f>
        <v>Valid</v>
      </c>
    </row>
    <row r="3777" spans="1:18" x14ac:dyDescent="0.25">
      <c r="A3777" t="s">
        <v>5848</v>
      </c>
      <c r="B3777" t="s">
        <v>782</v>
      </c>
      <c r="C3777" s="8">
        <v>46060</v>
      </c>
      <c r="D3777" t="s">
        <v>2058</v>
      </c>
      <c r="E3777" t="s">
        <v>2063</v>
      </c>
      <c r="F3777" t="s">
        <v>11</v>
      </c>
      <c r="G3777">
        <v>213.5</v>
      </c>
      <c r="H3777" t="s">
        <v>2060</v>
      </c>
      <c r="I3777" t="str">
        <f>VLOOKUP(B3777,Customers!A:G,7,FALSE)</f>
        <v>Corporate</v>
      </c>
      <c r="Q3777" t="str">
        <f>IF(COUNTIF(Customers!$A$2:$A$1001,B3777)&gt;0,"Valid","Invalid")</f>
        <v>Valid</v>
      </c>
      <c r="R3777" t="str">
        <f>IF(COUNTIF(Branches!$A$2:$A$11,F3777)&gt;0,"Valid","Invalid")</f>
        <v>Valid</v>
      </c>
    </row>
    <row r="3778" spans="1:18" x14ac:dyDescent="0.25">
      <c r="A3778" t="s">
        <v>5849</v>
      </c>
      <c r="B3778" t="s">
        <v>711</v>
      </c>
      <c r="C3778" s="8">
        <v>46194</v>
      </c>
      <c r="D3778" t="s">
        <v>2065</v>
      </c>
      <c r="E3778" t="s">
        <v>2059</v>
      </c>
      <c r="F3778" t="s">
        <v>47</v>
      </c>
      <c r="G3778">
        <v>467</v>
      </c>
      <c r="H3778" t="s">
        <v>2060</v>
      </c>
      <c r="I3778" t="str">
        <f>VLOOKUP(B3778,Customers!A:G,7,FALSE)</f>
        <v>SME</v>
      </c>
      <c r="Q3778" t="str">
        <f>IF(COUNTIF(Customers!$A$2:$A$1001,B3778)&gt;0,"Valid","Invalid")</f>
        <v>Valid</v>
      </c>
      <c r="R3778" t="str">
        <f>IF(COUNTIF(Branches!$A$2:$A$11,F3778)&gt;0,"Valid","Invalid")</f>
        <v>Valid</v>
      </c>
    </row>
    <row r="3779" spans="1:18" x14ac:dyDescent="0.25">
      <c r="A3779" t="s">
        <v>5850</v>
      </c>
      <c r="B3779" t="s">
        <v>902</v>
      </c>
      <c r="C3779" s="8">
        <v>46089</v>
      </c>
      <c r="D3779" t="s">
        <v>2062</v>
      </c>
      <c r="E3779" t="s">
        <v>2076</v>
      </c>
      <c r="F3779" t="s">
        <v>35</v>
      </c>
      <c r="G3779">
        <v>326.05</v>
      </c>
      <c r="H3779" t="s">
        <v>2060</v>
      </c>
      <c r="I3779" t="str">
        <f>VLOOKUP(B3779,Customers!A:G,7,FALSE)</f>
        <v>SME</v>
      </c>
      <c r="Q3779" t="str">
        <f>IF(COUNTIF(Customers!$A$2:$A$1001,B3779)&gt;0,"Valid","Invalid")</f>
        <v>Valid</v>
      </c>
      <c r="R3779" t="str">
        <f>IF(COUNTIF(Branches!$A$2:$A$11,F3779)&gt;0,"Valid","Invalid")</f>
        <v>Valid</v>
      </c>
    </row>
    <row r="3780" spans="1:18" x14ac:dyDescent="0.25">
      <c r="A3780" t="s">
        <v>5851</v>
      </c>
      <c r="B3780" t="s">
        <v>877</v>
      </c>
      <c r="C3780" s="8">
        <v>46084</v>
      </c>
      <c r="D3780" t="s">
        <v>2067</v>
      </c>
      <c r="E3780" t="s">
        <v>2063</v>
      </c>
      <c r="F3780" t="s">
        <v>21</v>
      </c>
      <c r="G3780">
        <v>2337</v>
      </c>
      <c r="H3780" t="s">
        <v>2060</v>
      </c>
      <c r="I3780" t="str">
        <f>VLOOKUP(B3780,Customers!A:G,7,FALSE)</f>
        <v>Student</v>
      </c>
      <c r="Q3780" t="str">
        <f>IF(COUNTIF(Customers!$A$2:$A$1001,B3780)&gt;0,"Valid","Invalid")</f>
        <v>Valid</v>
      </c>
      <c r="R3780" t="str">
        <f>IF(COUNTIF(Branches!$A$2:$A$11,F3780)&gt;0,"Valid","Invalid")</f>
        <v>Valid</v>
      </c>
    </row>
    <row r="3781" spans="1:18" x14ac:dyDescent="0.25">
      <c r="A3781" t="s">
        <v>5852</v>
      </c>
      <c r="B3781" t="s">
        <v>569</v>
      </c>
      <c r="C3781" s="8">
        <v>46162</v>
      </c>
      <c r="D3781" t="s">
        <v>2062</v>
      </c>
      <c r="E3781" t="s">
        <v>2068</v>
      </c>
      <c r="F3781" t="s">
        <v>21</v>
      </c>
      <c r="G3781">
        <v>5186.3599999999997</v>
      </c>
      <c r="H3781" t="s">
        <v>2060</v>
      </c>
      <c r="I3781" t="str">
        <f>VLOOKUP(B3781,Customers!A:G,7,FALSE)</f>
        <v>Individual</v>
      </c>
      <c r="Q3781" t="str">
        <f>IF(COUNTIF(Customers!$A$2:$A$1001,B3781)&gt;0,"Valid","Invalid")</f>
        <v>Valid</v>
      </c>
      <c r="R3781" t="str">
        <f>IF(COUNTIF(Branches!$A$2:$A$11,F3781)&gt;0,"Valid","Invalid")</f>
        <v>Valid</v>
      </c>
    </row>
    <row r="3782" spans="1:18" x14ac:dyDescent="0.25">
      <c r="A3782" t="s">
        <v>5853</v>
      </c>
      <c r="B3782" t="s">
        <v>328</v>
      </c>
      <c r="C3782" s="8">
        <v>46052</v>
      </c>
      <c r="D3782" t="s">
        <v>2062</v>
      </c>
      <c r="E3782" t="s">
        <v>2059</v>
      </c>
      <c r="F3782" t="s">
        <v>29</v>
      </c>
      <c r="G3782">
        <v>1106.31</v>
      </c>
      <c r="H3782" t="s">
        <v>2060</v>
      </c>
      <c r="I3782" t="str">
        <f>VLOOKUP(B3782,Customers!A:G,7,FALSE)</f>
        <v>Individual</v>
      </c>
      <c r="Q3782" t="str">
        <f>IF(COUNTIF(Customers!$A$2:$A$1001,B3782)&gt;0,"Valid","Invalid")</f>
        <v>Valid</v>
      </c>
      <c r="R3782" t="str">
        <f>IF(COUNTIF(Branches!$A$2:$A$11,F3782)&gt;0,"Valid","Invalid")</f>
        <v>Valid</v>
      </c>
    </row>
    <row r="3783" spans="1:18" x14ac:dyDescent="0.25">
      <c r="A3783" t="s">
        <v>5854</v>
      </c>
      <c r="B3783" t="s">
        <v>1012</v>
      </c>
      <c r="C3783" s="8">
        <v>46245</v>
      </c>
      <c r="D3783" t="s">
        <v>2070</v>
      </c>
      <c r="E3783" t="s">
        <v>2068</v>
      </c>
      <c r="F3783" t="s">
        <v>27</v>
      </c>
      <c r="G3783">
        <v>1201.1300000000001</v>
      </c>
      <c r="H3783" t="s">
        <v>2060</v>
      </c>
      <c r="I3783" t="str">
        <f>VLOOKUP(B3783,Customers!A:G,7,FALSE)</f>
        <v>Individual</v>
      </c>
      <c r="Q3783" t="str">
        <f>IF(COUNTIF(Customers!$A$2:$A$1001,B3783)&gt;0,"Valid","Invalid")</f>
        <v>Valid</v>
      </c>
      <c r="R3783" t="str">
        <f>IF(COUNTIF(Branches!$A$2:$A$11,F3783)&gt;0,"Valid","Invalid")</f>
        <v>Valid</v>
      </c>
    </row>
    <row r="3784" spans="1:18" x14ac:dyDescent="0.25">
      <c r="A3784" t="s">
        <v>5855</v>
      </c>
      <c r="B3784" t="s">
        <v>600</v>
      </c>
      <c r="C3784" s="8">
        <v>46109</v>
      </c>
      <c r="D3784" t="s">
        <v>2058</v>
      </c>
      <c r="E3784" t="s">
        <v>2063</v>
      </c>
      <c r="F3784" t="s">
        <v>27</v>
      </c>
      <c r="G3784">
        <v>890.09</v>
      </c>
      <c r="H3784" t="s">
        <v>2060</v>
      </c>
      <c r="I3784" t="str">
        <f>VLOOKUP(B3784,Customers!A:G,7,FALSE)</f>
        <v>Individual</v>
      </c>
      <c r="Q3784" t="str">
        <f>IF(COUNTIF(Customers!$A$2:$A$1001,B3784)&gt;0,"Valid","Invalid")</f>
        <v>Valid</v>
      </c>
      <c r="R3784" t="str">
        <f>IF(COUNTIF(Branches!$A$2:$A$11,F3784)&gt;0,"Valid","Invalid")</f>
        <v>Valid</v>
      </c>
    </row>
    <row r="3785" spans="1:18" x14ac:dyDescent="0.25">
      <c r="A3785" t="s">
        <v>5856</v>
      </c>
      <c r="B3785" t="s">
        <v>548</v>
      </c>
      <c r="C3785" s="8">
        <v>46215</v>
      </c>
      <c r="D3785" t="s">
        <v>2058</v>
      </c>
      <c r="E3785" t="s">
        <v>2076</v>
      </c>
      <c r="F3785" t="s">
        <v>11</v>
      </c>
      <c r="G3785">
        <v>1258.25</v>
      </c>
      <c r="H3785" t="s">
        <v>2060</v>
      </c>
      <c r="I3785" t="str">
        <f>VLOOKUP(B3785,Customers!A:G,7,FALSE)</f>
        <v>Student</v>
      </c>
      <c r="Q3785" t="str">
        <f>IF(COUNTIF(Customers!$A$2:$A$1001,B3785)&gt;0,"Valid","Invalid")</f>
        <v>Valid</v>
      </c>
      <c r="R3785" t="str">
        <f>IF(COUNTIF(Branches!$A$2:$A$11,F3785)&gt;0,"Valid","Invalid")</f>
        <v>Valid</v>
      </c>
    </row>
    <row r="3786" spans="1:18" x14ac:dyDescent="0.25">
      <c r="A3786" t="s">
        <v>5857</v>
      </c>
      <c r="B3786" t="s">
        <v>211</v>
      </c>
      <c r="C3786" s="8">
        <v>46191</v>
      </c>
      <c r="D3786" t="s">
        <v>2067</v>
      </c>
      <c r="E3786" t="s">
        <v>2063</v>
      </c>
      <c r="F3786" t="s">
        <v>11</v>
      </c>
      <c r="G3786">
        <v>1760.15</v>
      </c>
      <c r="H3786" t="s">
        <v>2060</v>
      </c>
      <c r="I3786" t="str">
        <f>VLOOKUP(B3786,Customers!A:G,7,FALSE)</f>
        <v>SME</v>
      </c>
      <c r="Q3786" t="str">
        <f>IF(COUNTIF(Customers!$A$2:$A$1001,B3786)&gt;0,"Valid","Invalid")</f>
        <v>Valid</v>
      </c>
      <c r="R3786" t="str">
        <f>IF(COUNTIF(Branches!$A$2:$A$11,F3786)&gt;0,"Valid","Invalid")</f>
        <v>Valid</v>
      </c>
    </row>
    <row r="3787" spans="1:18" x14ac:dyDescent="0.25">
      <c r="A3787" t="s">
        <v>5858</v>
      </c>
      <c r="B3787" t="s">
        <v>340</v>
      </c>
      <c r="C3787" s="8">
        <v>46170</v>
      </c>
      <c r="D3787" t="s">
        <v>2058</v>
      </c>
      <c r="E3787" t="s">
        <v>2068</v>
      </c>
      <c r="F3787" t="s">
        <v>35</v>
      </c>
      <c r="G3787">
        <v>1243.44</v>
      </c>
      <c r="H3787" t="s">
        <v>2060</v>
      </c>
      <c r="I3787" t="str">
        <f>VLOOKUP(B3787,Customers!A:G,7,FALSE)</f>
        <v>Individual</v>
      </c>
      <c r="Q3787" t="str">
        <f>IF(COUNTIF(Customers!$A$2:$A$1001,B3787)&gt;0,"Valid","Invalid")</f>
        <v>Valid</v>
      </c>
      <c r="R3787" t="str">
        <f>IF(COUNTIF(Branches!$A$2:$A$11,F3787)&gt;0,"Valid","Invalid")</f>
        <v>Valid</v>
      </c>
    </row>
    <row r="3788" spans="1:18" x14ac:dyDescent="0.25">
      <c r="A3788" t="s">
        <v>5859</v>
      </c>
      <c r="B3788" t="s">
        <v>734</v>
      </c>
      <c r="C3788" s="8">
        <v>46140</v>
      </c>
      <c r="D3788" t="s">
        <v>2067</v>
      </c>
      <c r="E3788" t="s">
        <v>2059</v>
      </c>
      <c r="F3788" t="s">
        <v>29</v>
      </c>
      <c r="G3788">
        <v>1337.87</v>
      </c>
      <c r="H3788" t="s">
        <v>2060</v>
      </c>
      <c r="I3788" t="str">
        <f>VLOOKUP(B3788,Customers!A:G,7,FALSE)</f>
        <v>Individual</v>
      </c>
      <c r="Q3788" t="str">
        <f>IF(COUNTIF(Customers!$A$2:$A$1001,B3788)&gt;0,"Valid","Invalid")</f>
        <v>Valid</v>
      </c>
      <c r="R3788" t="str">
        <f>IF(COUNTIF(Branches!$A$2:$A$11,F3788)&gt;0,"Valid","Invalid")</f>
        <v>Valid</v>
      </c>
    </row>
    <row r="3789" spans="1:18" x14ac:dyDescent="0.25">
      <c r="A3789" t="s">
        <v>5860</v>
      </c>
      <c r="B3789" t="s">
        <v>222</v>
      </c>
      <c r="C3789" s="8">
        <v>46028</v>
      </c>
      <c r="D3789" t="s">
        <v>2067</v>
      </c>
      <c r="E3789" t="s">
        <v>2076</v>
      </c>
      <c r="F3789" t="s">
        <v>39</v>
      </c>
      <c r="G3789">
        <v>1764.13</v>
      </c>
      <c r="H3789" t="s">
        <v>2060</v>
      </c>
      <c r="I3789" t="str">
        <f>VLOOKUP(B3789,Customers!A:G,7,FALSE)</f>
        <v>Corporate</v>
      </c>
      <c r="Q3789" t="str">
        <f>IF(COUNTIF(Customers!$A$2:$A$1001,B3789)&gt;0,"Valid","Invalid")</f>
        <v>Valid</v>
      </c>
      <c r="R3789" t="str">
        <f>IF(COUNTIF(Branches!$A$2:$A$11,F3789)&gt;0,"Valid","Invalid")</f>
        <v>Valid</v>
      </c>
    </row>
    <row r="3790" spans="1:18" x14ac:dyDescent="0.25">
      <c r="A3790" t="s">
        <v>5861</v>
      </c>
      <c r="B3790" t="s">
        <v>377</v>
      </c>
      <c r="C3790" s="8">
        <v>46097</v>
      </c>
      <c r="D3790" t="s">
        <v>2062</v>
      </c>
      <c r="E3790" t="s">
        <v>2073</v>
      </c>
      <c r="F3790" t="s">
        <v>11</v>
      </c>
      <c r="G3790">
        <v>137.24</v>
      </c>
      <c r="H3790" t="s">
        <v>2060</v>
      </c>
      <c r="I3790" t="str">
        <f>VLOOKUP(B3790,Customers!A:G,7,FALSE)</f>
        <v>Individual</v>
      </c>
      <c r="Q3790" t="str">
        <f>IF(COUNTIF(Customers!$A$2:$A$1001,B3790)&gt;0,"Valid","Invalid")</f>
        <v>Valid</v>
      </c>
      <c r="R3790" t="str">
        <f>IF(COUNTIF(Branches!$A$2:$A$11,F3790)&gt;0,"Valid","Invalid")</f>
        <v>Valid</v>
      </c>
    </row>
    <row r="3791" spans="1:18" x14ac:dyDescent="0.25">
      <c r="A3791" t="s">
        <v>5862</v>
      </c>
      <c r="B3791" t="s">
        <v>548</v>
      </c>
      <c r="C3791" s="8">
        <v>46249</v>
      </c>
      <c r="D3791" t="s">
        <v>2065</v>
      </c>
      <c r="E3791" t="s">
        <v>2063</v>
      </c>
      <c r="F3791" t="s">
        <v>39</v>
      </c>
      <c r="G3791">
        <v>814.04</v>
      </c>
      <c r="H3791" t="s">
        <v>2115</v>
      </c>
      <c r="I3791" t="str">
        <f>VLOOKUP(B3791,Customers!A:G,7,FALSE)</f>
        <v>Student</v>
      </c>
      <c r="Q3791" t="str">
        <f>IF(COUNTIF(Customers!$A$2:$A$1001,B3791)&gt;0,"Valid","Invalid")</f>
        <v>Valid</v>
      </c>
      <c r="R3791" t="str">
        <f>IF(COUNTIF(Branches!$A$2:$A$11,F3791)&gt;0,"Valid","Invalid")</f>
        <v>Valid</v>
      </c>
    </row>
    <row r="3792" spans="1:18" x14ac:dyDescent="0.25">
      <c r="A3792" t="s">
        <v>5863</v>
      </c>
      <c r="B3792" t="s">
        <v>857</v>
      </c>
      <c r="C3792" s="8">
        <v>46154</v>
      </c>
      <c r="D3792" t="s">
        <v>2062</v>
      </c>
      <c r="E3792" t="s">
        <v>2063</v>
      </c>
      <c r="F3792" t="s">
        <v>47</v>
      </c>
      <c r="G3792">
        <v>1102.3599999999999</v>
      </c>
      <c r="H3792" t="s">
        <v>2060</v>
      </c>
      <c r="I3792" t="str">
        <f>VLOOKUP(B3792,Customers!A:G,7,FALSE)</f>
        <v>Student</v>
      </c>
      <c r="Q3792" t="str">
        <f>IF(COUNTIF(Customers!$A$2:$A$1001,B3792)&gt;0,"Valid","Invalid")</f>
        <v>Valid</v>
      </c>
      <c r="R3792" t="str">
        <f>IF(COUNTIF(Branches!$A$2:$A$11,F3792)&gt;0,"Valid","Invalid")</f>
        <v>Valid</v>
      </c>
    </row>
    <row r="3793" spans="1:18" x14ac:dyDescent="0.25">
      <c r="A3793" t="s">
        <v>5864</v>
      </c>
      <c r="B3793" t="s">
        <v>348</v>
      </c>
      <c r="C3793" s="8">
        <v>46115</v>
      </c>
      <c r="D3793" t="s">
        <v>2062</v>
      </c>
      <c r="E3793" t="s">
        <v>2068</v>
      </c>
      <c r="F3793" t="s">
        <v>47</v>
      </c>
      <c r="G3793">
        <v>1231.7</v>
      </c>
      <c r="H3793" t="s">
        <v>2107</v>
      </c>
      <c r="I3793" t="str">
        <f>VLOOKUP(B3793,Customers!A:G,7,FALSE)</f>
        <v>Individual</v>
      </c>
      <c r="Q3793" t="str">
        <f>IF(COUNTIF(Customers!$A$2:$A$1001,B3793)&gt;0,"Valid","Invalid")</f>
        <v>Valid</v>
      </c>
      <c r="R3793" t="str">
        <f>IF(COUNTIF(Branches!$A$2:$A$11,F3793)&gt;0,"Valid","Invalid")</f>
        <v>Valid</v>
      </c>
    </row>
    <row r="3794" spans="1:18" x14ac:dyDescent="0.25">
      <c r="A3794" t="s">
        <v>5865</v>
      </c>
      <c r="B3794" t="s">
        <v>545</v>
      </c>
      <c r="C3794" s="8">
        <v>46032</v>
      </c>
      <c r="D3794" t="s">
        <v>2058</v>
      </c>
      <c r="E3794" t="s">
        <v>2076</v>
      </c>
      <c r="F3794" t="s">
        <v>27</v>
      </c>
      <c r="G3794">
        <v>684.79</v>
      </c>
      <c r="H3794" t="s">
        <v>2060</v>
      </c>
      <c r="I3794" t="str">
        <f>VLOOKUP(B3794,Customers!A:G,7,FALSE)</f>
        <v>SME</v>
      </c>
      <c r="Q3794" t="str">
        <f>IF(COUNTIF(Customers!$A$2:$A$1001,B3794)&gt;0,"Valid","Invalid")</f>
        <v>Valid</v>
      </c>
      <c r="R3794" t="str">
        <f>IF(COUNTIF(Branches!$A$2:$A$11,F3794)&gt;0,"Valid","Invalid")</f>
        <v>Valid</v>
      </c>
    </row>
    <row r="3795" spans="1:18" x14ac:dyDescent="0.25">
      <c r="A3795" t="s">
        <v>5866</v>
      </c>
      <c r="B3795" t="s">
        <v>384</v>
      </c>
      <c r="C3795" s="8">
        <v>46073</v>
      </c>
      <c r="D3795" t="s">
        <v>2058</v>
      </c>
      <c r="E3795" t="s">
        <v>2063</v>
      </c>
      <c r="F3795" t="s">
        <v>16</v>
      </c>
      <c r="G3795">
        <v>954.08</v>
      </c>
      <c r="H3795" t="s">
        <v>2060</v>
      </c>
      <c r="I3795" t="str">
        <f>VLOOKUP(B3795,Customers!A:G,7,FALSE)</f>
        <v>Individual</v>
      </c>
      <c r="Q3795" t="str">
        <f>IF(COUNTIF(Customers!$A$2:$A$1001,B3795)&gt;0,"Valid","Invalid")</f>
        <v>Valid</v>
      </c>
      <c r="R3795" t="str">
        <f>IF(COUNTIF(Branches!$A$2:$A$11,F3795)&gt;0,"Valid","Invalid")</f>
        <v>Valid</v>
      </c>
    </row>
    <row r="3796" spans="1:18" x14ac:dyDescent="0.25">
      <c r="A3796" t="s">
        <v>5867</v>
      </c>
      <c r="B3796" t="s">
        <v>117</v>
      </c>
      <c r="C3796" s="8">
        <v>46115</v>
      </c>
      <c r="D3796" t="s">
        <v>2067</v>
      </c>
      <c r="E3796" t="s">
        <v>2059</v>
      </c>
      <c r="F3796" t="s">
        <v>16</v>
      </c>
      <c r="G3796">
        <v>395.48</v>
      </c>
      <c r="H3796" t="s">
        <v>2060</v>
      </c>
      <c r="I3796" t="str">
        <f>VLOOKUP(B3796,Customers!A:G,7,FALSE)</f>
        <v>Student</v>
      </c>
      <c r="Q3796" t="str">
        <f>IF(COUNTIF(Customers!$A$2:$A$1001,B3796)&gt;0,"Valid","Invalid")</f>
        <v>Valid</v>
      </c>
      <c r="R3796" t="str">
        <f>IF(COUNTIF(Branches!$A$2:$A$11,F3796)&gt;0,"Valid","Invalid")</f>
        <v>Valid</v>
      </c>
    </row>
    <row r="3797" spans="1:18" x14ac:dyDescent="0.25">
      <c r="A3797" t="s">
        <v>5868</v>
      </c>
      <c r="B3797" t="s">
        <v>412</v>
      </c>
      <c r="C3797" s="8">
        <v>46060</v>
      </c>
      <c r="D3797" t="s">
        <v>2070</v>
      </c>
      <c r="E3797" t="s">
        <v>2063</v>
      </c>
      <c r="F3797" t="s">
        <v>47</v>
      </c>
      <c r="G3797">
        <v>137.71</v>
      </c>
      <c r="H3797" t="s">
        <v>2060</v>
      </c>
      <c r="I3797" t="str">
        <f>VLOOKUP(B3797,Customers!A:G,7,FALSE)</f>
        <v>Individual</v>
      </c>
      <c r="Q3797" t="str">
        <f>IF(COUNTIF(Customers!$A$2:$A$1001,B3797)&gt;0,"Valid","Invalid")</f>
        <v>Valid</v>
      </c>
      <c r="R3797" t="str">
        <f>IF(COUNTIF(Branches!$A$2:$A$11,F3797)&gt;0,"Valid","Invalid")</f>
        <v>Valid</v>
      </c>
    </row>
    <row r="3798" spans="1:18" x14ac:dyDescent="0.25">
      <c r="A3798" t="s">
        <v>5869</v>
      </c>
      <c r="B3798" t="s">
        <v>192</v>
      </c>
      <c r="C3798" s="8">
        <v>46151</v>
      </c>
      <c r="D3798" t="s">
        <v>2065</v>
      </c>
      <c r="E3798" t="s">
        <v>2063</v>
      </c>
      <c r="F3798" t="s">
        <v>29</v>
      </c>
      <c r="G3798">
        <v>2171.42</v>
      </c>
      <c r="H3798" t="s">
        <v>2060</v>
      </c>
      <c r="I3798" t="str">
        <f>VLOOKUP(B3798,Customers!A:G,7,FALSE)</f>
        <v>Individual</v>
      </c>
      <c r="Q3798" t="str">
        <f>IF(COUNTIF(Customers!$A$2:$A$1001,B3798)&gt;0,"Valid","Invalid")</f>
        <v>Valid</v>
      </c>
      <c r="R3798" t="str">
        <f>IF(COUNTIF(Branches!$A$2:$A$11,F3798)&gt;0,"Valid","Invalid")</f>
        <v>Valid</v>
      </c>
    </row>
    <row r="3799" spans="1:18" x14ac:dyDescent="0.25">
      <c r="A3799" t="s">
        <v>5870</v>
      </c>
      <c r="B3799" t="s">
        <v>825</v>
      </c>
      <c r="C3799" s="8">
        <v>46254</v>
      </c>
      <c r="D3799" t="s">
        <v>2058</v>
      </c>
      <c r="E3799" t="s">
        <v>2059</v>
      </c>
      <c r="F3799" t="s">
        <v>27</v>
      </c>
      <c r="G3799">
        <v>261.29000000000002</v>
      </c>
      <c r="H3799" t="s">
        <v>2060</v>
      </c>
      <c r="I3799" t="str">
        <f>VLOOKUP(B3799,Customers!A:G,7,FALSE)</f>
        <v>SME</v>
      </c>
      <c r="Q3799" t="str">
        <f>IF(COUNTIF(Customers!$A$2:$A$1001,B3799)&gt;0,"Valid","Invalid")</f>
        <v>Valid</v>
      </c>
      <c r="R3799" t="str">
        <f>IF(COUNTIF(Branches!$A$2:$A$11,F3799)&gt;0,"Valid","Invalid")</f>
        <v>Valid</v>
      </c>
    </row>
    <row r="3800" spans="1:18" x14ac:dyDescent="0.25">
      <c r="A3800" t="s">
        <v>5871</v>
      </c>
      <c r="B3800" t="s">
        <v>833</v>
      </c>
      <c r="C3800" s="8">
        <v>46158</v>
      </c>
      <c r="D3800" t="s">
        <v>2058</v>
      </c>
      <c r="E3800" t="s">
        <v>2068</v>
      </c>
      <c r="F3800" t="s">
        <v>53</v>
      </c>
      <c r="G3800">
        <v>691.97</v>
      </c>
      <c r="H3800" t="s">
        <v>2060</v>
      </c>
      <c r="I3800" t="str">
        <f>VLOOKUP(B3800,Customers!A:G,7,FALSE)</f>
        <v>SME</v>
      </c>
      <c r="Q3800" t="str">
        <f>IF(COUNTIF(Customers!$A$2:$A$1001,B3800)&gt;0,"Valid","Invalid")</f>
        <v>Valid</v>
      </c>
      <c r="R3800" t="str">
        <f>IF(COUNTIF(Branches!$A$2:$A$11,F3800)&gt;0,"Valid","Invalid")</f>
        <v>Valid</v>
      </c>
    </row>
    <row r="3801" spans="1:18" x14ac:dyDescent="0.25">
      <c r="A3801" t="s">
        <v>5872</v>
      </c>
      <c r="B3801" t="s">
        <v>470</v>
      </c>
      <c r="C3801" s="8">
        <v>46124</v>
      </c>
      <c r="D3801" t="s">
        <v>2070</v>
      </c>
      <c r="E3801" t="s">
        <v>2059</v>
      </c>
      <c r="F3801" t="s">
        <v>21</v>
      </c>
      <c r="G3801">
        <v>384.09</v>
      </c>
      <c r="H3801" t="s">
        <v>2060</v>
      </c>
      <c r="I3801" t="str">
        <f>VLOOKUP(B3801,Customers!A:G,7,FALSE)</f>
        <v>Individual</v>
      </c>
      <c r="Q3801" t="str">
        <f>IF(COUNTIF(Customers!$A$2:$A$1001,B3801)&gt;0,"Valid","Invalid")</f>
        <v>Valid</v>
      </c>
      <c r="R3801" t="str">
        <f>IF(COUNTIF(Branches!$A$2:$A$11,F3801)&gt;0,"Valid","Invalid")</f>
        <v>Valid</v>
      </c>
    </row>
    <row r="3802" spans="1:18" x14ac:dyDescent="0.25">
      <c r="A3802" t="s">
        <v>5873</v>
      </c>
      <c r="B3802" t="s">
        <v>538</v>
      </c>
      <c r="C3802" s="8">
        <v>46103</v>
      </c>
      <c r="D3802" t="s">
        <v>2062</v>
      </c>
      <c r="E3802" t="s">
        <v>2059</v>
      </c>
      <c r="F3802" t="s">
        <v>27</v>
      </c>
      <c r="G3802">
        <v>3971.94</v>
      </c>
      <c r="H3802" t="s">
        <v>2060</v>
      </c>
      <c r="I3802" t="str">
        <f>VLOOKUP(B3802,Customers!A:G,7,FALSE)</f>
        <v>Individual</v>
      </c>
      <c r="Q3802" t="str">
        <f>IF(COUNTIF(Customers!$A$2:$A$1001,B3802)&gt;0,"Valid","Invalid")</f>
        <v>Valid</v>
      </c>
      <c r="R3802" t="str">
        <f>IF(COUNTIF(Branches!$A$2:$A$11,F3802)&gt;0,"Valid","Invalid")</f>
        <v>Valid</v>
      </c>
    </row>
    <row r="3803" spans="1:18" x14ac:dyDescent="0.25">
      <c r="A3803" t="s">
        <v>5874</v>
      </c>
      <c r="B3803" t="s">
        <v>799</v>
      </c>
      <c r="C3803" s="8">
        <v>46105</v>
      </c>
      <c r="D3803" t="s">
        <v>2058</v>
      </c>
      <c r="E3803" t="s">
        <v>2068</v>
      </c>
      <c r="F3803" t="s">
        <v>27</v>
      </c>
      <c r="G3803">
        <v>750.21</v>
      </c>
      <c r="H3803" t="s">
        <v>2060</v>
      </c>
      <c r="I3803" t="str">
        <f>VLOOKUP(B3803,Customers!A:G,7,FALSE)</f>
        <v>Student</v>
      </c>
      <c r="Q3803" t="str">
        <f>IF(COUNTIF(Customers!$A$2:$A$1001,B3803)&gt;0,"Valid","Invalid")</f>
        <v>Valid</v>
      </c>
      <c r="R3803" t="str">
        <f>IF(COUNTIF(Branches!$A$2:$A$11,F3803)&gt;0,"Valid","Invalid")</f>
        <v>Valid</v>
      </c>
    </row>
    <row r="3804" spans="1:18" x14ac:dyDescent="0.25">
      <c r="A3804" t="s">
        <v>5875</v>
      </c>
      <c r="B3804" t="s">
        <v>183</v>
      </c>
      <c r="C3804" s="8">
        <v>46213</v>
      </c>
      <c r="D3804" t="s">
        <v>2065</v>
      </c>
      <c r="E3804" t="s">
        <v>2063</v>
      </c>
      <c r="F3804" t="s">
        <v>39</v>
      </c>
      <c r="G3804">
        <v>595.58000000000004</v>
      </c>
      <c r="H3804" t="s">
        <v>2060</v>
      </c>
      <c r="I3804" t="str">
        <f>VLOOKUP(B3804,Customers!A:G,7,FALSE)</f>
        <v>Corporate</v>
      </c>
      <c r="Q3804" t="str">
        <f>IF(COUNTIF(Customers!$A$2:$A$1001,B3804)&gt;0,"Valid","Invalid")</f>
        <v>Valid</v>
      </c>
      <c r="R3804" t="str">
        <f>IF(COUNTIF(Branches!$A$2:$A$11,F3804)&gt;0,"Valid","Invalid")</f>
        <v>Valid</v>
      </c>
    </row>
    <row r="3805" spans="1:18" x14ac:dyDescent="0.25">
      <c r="A3805" t="s">
        <v>5876</v>
      </c>
      <c r="B3805" t="s">
        <v>519</v>
      </c>
      <c r="C3805" s="8">
        <v>46183</v>
      </c>
      <c r="D3805" t="s">
        <v>2067</v>
      </c>
      <c r="E3805" t="s">
        <v>2076</v>
      </c>
      <c r="F3805" t="s">
        <v>29</v>
      </c>
      <c r="G3805">
        <v>1716.2</v>
      </c>
      <c r="H3805" t="s">
        <v>2060</v>
      </c>
      <c r="I3805" t="str">
        <f>VLOOKUP(B3805,Customers!A:G,7,FALSE)</f>
        <v>SME</v>
      </c>
      <c r="Q3805" t="str">
        <f>IF(COUNTIF(Customers!$A$2:$A$1001,B3805)&gt;0,"Valid","Invalid")</f>
        <v>Valid</v>
      </c>
      <c r="R3805" t="str">
        <f>IF(COUNTIF(Branches!$A$2:$A$11,F3805)&gt;0,"Valid","Invalid")</f>
        <v>Valid</v>
      </c>
    </row>
    <row r="3806" spans="1:18" x14ac:dyDescent="0.25">
      <c r="A3806" t="s">
        <v>5877</v>
      </c>
      <c r="B3806" t="s">
        <v>473</v>
      </c>
      <c r="C3806" s="8">
        <v>46165</v>
      </c>
      <c r="D3806" t="s">
        <v>2065</v>
      </c>
      <c r="E3806" t="s">
        <v>2068</v>
      </c>
      <c r="F3806" t="s">
        <v>39</v>
      </c>
      <c r="G3806">
        <v>7019.69</v>
      </c>
      <c r="H3806" t="s">
        <v>2060</v>
      </c>
      <c r="I3806" t="str">
        <f>VLOOKUP(B3806,Customers!A:G,7,FALSE)</f>
        <v>Individual</v>
      </c>
      <c r="Q3806" t="str">
        <f>IF(COUNTIF(Customers!$A$2:$A$1001,B3806)&gt;0,"Valid","Invalid")</f>
        <v>Valid</v>
      </c>
      <c r="R3806" t="str">
        <f>IF(COUNTIF(Branches!$A$2:$A$11,F3806)&gt;0,"Valid","Invalid")</f>
        <v>Valid</v>
      </c>
    </row>
    <row r="3807" spans="1:18" x14ac:dyDescent="0.25">
      <c r="A3807" t="s">
        <v>5878</v>
      </c>
      <c r="B3807" t="s">
        <v>557</v>
      </c>
      <c r="C3807" s="8">
        <v>46259</v>
      </c>
      <c r="D3807" t="s">
        <v>2062</v>
      </c>
      <c r="E3807" t="s">
        <v>2063</v>
      </c>
      <c r="F3807" t="s">
        <v>53</v>
      </c>
      <c r="G3807">
        <v>1218.8800000000001</v>
      </c>
      <c r="H3807" t="s">
        <v>2060</v>
      </c>
      <c r="I3807" t="str">
        <f>VLOOKUP(B3807,Customers!A:G,7,FALSE)</f>
        <v>Individual</v>
      </c>
      <c r="Q3807" t="str">
        <f>IF(COUNTIF(Customers!$A$2:$A$1001,B3807)&gt;0,"Valid","Invalid")</f>
        <v>Valid</v>
      </c>
      <c r="R3807" t="str">
        <f>IF(COUNTIF(Branches!$A$2:$A$11,F3807)&gt;0,"Valid","Invalid")</f>
        <v>Valid</v>
      </c>
    </row>
    <row r="3808" spans="1:18" x14ac:dyDescent="0.25">
      <c r="A3808" t="s">
        <v>5879</v>
      </c>
      <c r="B3808" t="s">
        <v>707</v>
      </c>
      <c r="C3808" s="8">
        <v>46053</v>
      </c>
      <c r="D3808" t="s">
        <v>2062</v>
      </c>
      <c r="E3808" t="s">
        <v>2059</v>
      </c>
      <c r="F3808" t="s">
        <v>45</v>
      </c>
      <c r="G3808">
        <v>557.01</v>
      </c>
      <c r="H3808" t="s">
        <v>2115</v>
      </c>
      <c r="I3808" t="str">
        <f>VLOOKUP(B3808,Customers!A:G,7,FALSE)</f>
        <v>Individual</v>
      </c>
      <c r="Q3808" t="str">
        <f>IF(COUNTIF(Customers!$A$2:$A$1001,B3808)&gt;0,"Valid","Invalid")</f>
        <v>Valid</v>
      </c>
      <c r="R3808" t="str">
        <f>IF(COUNTIF(Branches!$A$2:$A$11,F3808)&gt;0,"Valid","Invalid")</f>
        <v>Valid</v>
      </c>
    </row>
    <row r="3809" spans="1:18" x14ac:dyDescent="0.25">
      <c r="A3809" t="s">
        <v>5880</v>
      </c>
      <c r="B3809" t="s">
        <v>721</v>
      </c>
      <c r="C3809" s="8">
        <v>46043</v>
      </c>
      <c r="D3809" t="s">
        <v>2062</v>
      </c>
      <c r="E3809" t="s">
        <v>2073</v>
      </c>
      <c r="F3809" t="s">
        <v>29</v>
      </c>
      <c r="G3809">
        <v>1630.42</v>
      </c>
      <c r="H3809" t="s">
        <v>2060</v>
      </c>
      <c r="I3809" t="str">
        <f>VLOOKUP(B3809,Customers!A:G,7,FALSE)</f>
        <v>SME</v>
      </c>
      <c r="Q3809" t="str">
        <f>IF(COUNTIF(Customers!$A$2:$A$1001,B3809)&gt;0,"Valid","Invalid")</f>
        <v>Valid</v>
      </c>
      <c r="R3809" t="str">
        <f>IF(COUNTIF(Branches!$A$2:$A$11,F3809)&gt;0,"Valid","Invalid")</f>
        <v>Valid</v>
      </c>
    </row>
    <row r="3810" spans="1:18" x14ac:dyDescent="0.25">
      <c r="A3810" t="s">
        <v>5881</v>
      </c>
      <c r="B3810" t="s">
        <v>105</v>
      </c>
      <c r="C3810" s="8">
        <v>46153</v>
      </c>
      <c r="D3810" t="s">
        <v>2058</v>
      </c>
      <c r="E3810" t="s">
        <v>2073</v>
      </c>
      <c r="F3810" t="s">
        <v>11</v>
      </c>
      <c r="G3810">
        <v>168.56</v>
      </c>
      <c r="H3810" t="s">
        <v>2060</v>
      </c>
      <c r="I3810" t="str">
        <f>VLOOKUP(B3810,Customers!A:G,7,FALSE)</f>
        <v>SME</v>
      </c>
      <c r="Q3810" t="str">
        <f>IF(COUNTIF(Customers!$A$2:$A$1001,B3810)&gt;0,"Valid","Invalid")</f>
        <v>Valid</v>
      </c>
      <c r="R3810" t="str">
        <f>IF(COUNTIF(Branches!$A$2:$A$11,F3810)&gt;0,"Valid","Invalid")</f>
        <v>Valid</v>
      </c>
    </row>
    <row r="3811" spans="1:18" x14ac:dyDescent="0.25">
      <c r="A3811" t="s">
        <v>5882</v>
      </c>
      <c r="B3811" t="s">
        <v>644</v>
      </c>
      <c r="C3811" s="8">
        <v>46148</v>
      </c>
      <c r="D3811" t="s">
        <v>2058</v>
      </c>
      <c r="E3811" t="s">
        <v>2063</v>
      </c>
      <c r="F3811" t="s">
        <v>16</v>
      </c>
      <c r="G3811">
        <v>851.01</v>
      </c>
      <c r="H3811" t="s">
        <v>2060</v>
      </c>
      <c r="I3811" t="str">
        <f>VLOOKUP(B3811,Customers!A:G,7,FALSE)</f>
        <v>Individual</v>
      </c>
      <c r="Q3811" t="str">
        <f>IF(COUNTIF(Customers!$A$2:$A$1001,B3811)&gt;0,"Valid","Invalid")</f>
        <v>Valid</v>
      </c>
      <c r="R3811" t="str">
        <f>IF(COUNTIF(Branches!$A$2:$A$11,F3811)&gt;0,"Valid","Invalid")</f>
        <v>Valid</v>
      </c>
    </row>
    <row r="3812" spans="1:18" x14ac:dyDescent="0.25">
      <c r="A3812" t="s">
        <v>5883</v>
      </c>
      <c r="B3812" t="s">
        <v>919</v>
      </c>
      <c r="C3812" s="8">
        <v>46216</v>
      </c>
      <c r="D3812" t="s">
        <v>2065</v>
      </c>
      <c r="E3812" t="s">
        <v>2063</v>
      </c>
      <c r="F3812" t="s">
        <v>27</v>
      </c>
      <c r="G3812">
        <v>5966.75</v>
      </c>
      <c r="H3812" t="s">
        <v>2060</v>
      </c>
      <c r="I3812" t="str">
        <f>VLOOKUP(B3812,Customers!A:G,7,FALSE)</f>
        <v>Individual</v>
      </c>
      <c r="Q3812" t="str">
        <f>IF(COUNTIF(Customers!$A$2:$A$1001,B3812)&gt;0,"Valid","Invalid")</f>
        <v>Valid</v>
      </c>
      <c r="R3812" t="str">
        <f>IF(COUNTIF(Branches!$A$2:$A$11,F3812)&gt;0,"Valid","Invalid")</f>
        <v>Valid</v>
      </c>
    </row>
    <row r="3813" spans="1:18" x14ac:dyDescent="0.25">
      <c r="A3813" t="s">
        <v>5884</v>
      </c>
      <c r="B3813" t="s">
        <v>913</v>
      </c>
      <c r="C3813" s="8">
        <v>46057</v>
      </c>
      <c r="D3813" t="s">
        <v>2067</v>
      </c>
      <c r="E3813" t="s">
        <v>2063</v>
      </c>
      <c r="F3813" t="s">
        <v>35</v>
      </c>
      <c r="G3813">
        <v>951.22</v>
      </c>
      <c r="H3813" t="s">
        <v>2060</v>
      </c>
      <c r="I3813" t="str">
        <f>VLOOKUP(B3813,Customers!A:G,7,FALSE)</f>
        <v>Corporate</v>
      </c>
      <c r="Q3813" t="str">
        <f>IF(COUNTIF(Customers!$A$2:$A$1001,B3813)&gt;0,"Valid","Invalid")</f>
        <v>Valid</v>
      </c>
      <c r="R3813" t="str">
        <f>IF(COUNTIF(Branches!$A$2:$A$11,F3813)&gt;0,"Valid","Invalid")</f>
        <v>Valid</v>
      </c>
    </row>
    <row r="3814" spans="1:18" x14ac:dyDescent="0.25">
      <c r="A3814" t="s">
        <v>5885</v>
      </c>
      <c r="B3814" t="s">
        <v>926</v>
      </c>
      <c r="C3814" s="8">
        <v>46191</v>
      </c>
      <c r="D3814" t="s">
        <v>2065</v>
      </c>
      <c r="E3814" t="s">
        <v>2059</v>
      </c>
      <c r="F3814" t="s">
        <v>39</v>
      </c>
      <c r="G3814">
        <v>904.86</v>
      </c>
      <c r="H3814" t="s">
        <v>2060</v>
      </c>
      <c r="I3814" t="str">
        <f>VLOOKUP(B3814,Customers!A:G,7,FALSE)</f>
        <v>Student</v>
      </c>
      <c r="Q3814" t="str">
        <f>IF(COUNTIF(Customers!$A$2:$A$1001,B3814)&gt;0,"Valid","Invalid")</f>
        <v>Valid</v>
      </c>
      <c r="R3814" t="str">
        <f>IF(COUNTIF(Branches!$A$2:$A$11,F3814)&gt;0,"Valid","Invalid")</f>
        <v>Valid</v>
      </c>
    </row>
    <row r="3815" spans="1:18" x14ac:dyDescent="0.25">
      <c r="A3815" t="s">
        <v>5886</v>
      </c>
      <c r="B3815" t="s">
        <v>223</v>
      </c>
      <c r="C3815" s="8">
        <v>46209</v>
      </c>
      <c r="D3815" t="s">
        <v>2062</v>
      </c>
      <c r="E3815" t="s">
        <v>2059</v>
      </c>
      <c r="F3815" t="s">
        <v>35</v>
      </c>
      <c r="G3815">
        <v>829.35</v>
      </c>
      <c r="H3815" t="s">
        <v>2060</v>
      </c>
      <c r="I3815" t="str">
        <f>VLOOKUP(B3815,Customers!A:G,7,FALSE)</f>
        <v>Student</v>
      </c>
      <c r="Q3815" t="str">
        <f>IF(COUNTIF(Customers!$A$2:$A$1001,B3815)&gt;0,"Valid","Invalid")</f>
        <v>Valid</v>
      </c>
      <c r="R3815" t="str">
        <f>IF(COUNTIF(Branches!$A$2:$A$11,F3815)&gt;0,"Valid","Invalid")</f>
        <v>Valid</v>
      </c>
    </row>
    <row r="3816" spans="1:18" x14ac:dyDescent="0.25">
      <c r="A3816" t="s">
        <v>5887</v>
      </c>
      <c r="B3816" t="s">
        <v>942</v>
      </c>
      <c r="C3816" s="8">
        <v>46166</v>
      </c>
      <c r="D3816" t="s">
        <v>2065</v>
      </c>
      <c r="E3816" t="s">
        <v>2076</v>
      </c>
      <c r="F3816" t="s">
        <v>11</v>
      </c>
      <c r="G3816">
        <v>547.04</v>
      </c>
      <c r="H3816" t="s">
        <v>2060</v>
      </c>
      <c r="I3816" t="str">
        <f>VLOOKUP(B3816,Customers!A:G,7,FALSE)</f>
        <v>Individual</v>
      </c>
      <c r="Q3816" t="str">
        <f>IF(COUNTIF(Customers!$A$2:$A$1001,B3816)&gt;0,"Valid","Invalid")</f>
        <v>Valid</v>
      </c>
      <c r="R3816" t="str">
        <f>IF(COUNTIF(Branches!$A$2:$A$11,F3816)&gt;0,"Valid","Invalid")</f>
        <v>Valid</v>
      </c>
    </row>
    <row r="3817" spans="1:18" x14ac:dyDescent="0.25">
      <c r="A3817" t="s">
        <v>5888</v>
      </c>
      <c r="B3817" t="s">
        <v>720</v>
      </c>
      <c r="C3817" s="8">
        <v>46206</v>
      </c>
      <c r="D3817" t="s">
        <v>2062</v>
      </c>
      <c r="E3817" t="s">
        <v>2068</v>
      </c>
      <c r="F3817" t="s">
        <v>29</v>
      </c>
      <c r="G3817">
        <v>1112.6400000000001</v>
      </c>
      <c r="H3817" t="s">
        <v>2060</v>
      </c>
      <c r="I3817" t="str">
        <f>VLOOKUP(B3817,Customers!A:G,7,FALSE)</f>
        <v>Individual</v>
      </c>
      <c r="Q3817" t="str">
        <f>IF(COUNTIF(Customers!$A$2:$A$1001,B3817)&gt;0,"Valid","Invalid")</f>
        <v>Valid</v>
      </c>
      <c r="R3817" t="str">
        <f>IF(COUNTIF(Branches!$A$2:$A$11,F3817)&gt;0,"Valid","Invalid")</f>
        <v>Valid</v>
      </c>
    </row>
    <row r="3818" spans="1:18" x14ac:dyDescent="0.25">
      <c r="A3818" t="s">
        <v>5889</v>
      </c>
      <c r="B3818" t="s">
        <v>241</v>
      </c>
      <c r="C3818" s="8">
        <v>46067</v>
      </c>
      <c r="D3818" t="s">
        <v>2058</v>
      </c>
      <c r="E3818" t="s">
        <v>2063</v>
      </c>
      <c r="F3818" t="s">
        <v>45</v>
      </c>
      <c r="G3818">
        <v>1763.88</v>
      </c>
      <c r="H3818" t="s">
        <v>2060</v>
      </c>
      <c r="I3818" t="str">
        <f>VLOOKUP(B3818,Customers!A:G,7,FALSE)</f>
        <v>Individual</v>
      </c>
      <c r="Q3818" t="str">
        <f>IF(COUNTIF(Customers!$A$2:$A$1001,B3818)&gt;0,"Valid","Invalid")</f>
        <v>Valid</v>
      </c>
      <c r="R3818" t="str">
        <f>IF(COUNTIF(Branches!$A$2:$A$11,F3818)&gt;0,"Valid","Invalid")</f>
        <v>Valid</v>
      </c>
    </row>
    <row r="3819" spans="1:18" x14ac:dyDescent="0.25">
      <c r="A3819" t="s">
        <v>5890</v>
      </c>
      <c r="B3819" t="s">
        <v>592</v>
      </c>
      <c r="C3819" s="8">
        <v>46265</v>
      </c>
      <c r="D3819" t="s">
        <v>2067</v>
      </c>
      <c r="E3819" t="s">
        <v>2068</v>
      </c>
      <c r="F3819" t="s">
        <v>45</v>
      </c>
      <c r="G3819">
        <v>583</v>
      </c>
      <c r="H3819" t="s">
        <v>2060</v>
      </c>
      <c r="I3819" t="str">
        <f>VLOOKUP(B3819,Customers!A:G,7,FALSE)</f>
        <v>SME</v>
      </c>
      <c r="Q3819" t="str">
        <f>IF(COUNTIF(Customers!$A$2:$A$1001,B3819)&gt;0,"Valid","Invalid")</f>
        <v>Valid</v>
      </c>
      <c r="R3819" t="str">
        <f>IF(COUNTIF(Branches!$A$2:$A$11,F3819)&gt;0,"Valid","Invalid")</f>
        <v>Valid</v>
      </c>
    </row>
    <row r="3820" spans="1:18" x14ac:dyDescent="0.25">
      <c r="A3820" t="s">
        <v>5891</v>
      </c>
      <c r="B3820" t="s">
        <v>42</v>
      </c>
      <c r="C3820" s="8">
        <v>46081</v>
      </c>
      <c r="D3820" t="s">
        <v>2065</v>
      </c>
      <c r="E3820" t="s">
        <v>2063</v>
      </c>
      <c r="F3820" t="s">
        <v>39</v>
      </c>
      <c r="G3820">
        <v>67.31</v>
      </c>
      <c r="H3820" t="s">
        <v>2060</v>
      </c>
      <c r="I3820" t="str">
        <f>VLOOKUP(B3820,Customers!A:G,7,FALSE)</f>
        <v>Individual</v>
      </c>
      <c r="Q3820" t="str">
        <f>IF(COUNTIF(Customers!$A$2:$A$1001,B3820)&gt;0,"Valid","Invalid")</f>
        <v>Valid</v>
      </c>
      <c r="R3820" t="str">
        <f>IF(COUNTIF(Branches!$A$2:$A$11,F3820)&gt;0,"Valid","Invalid")</f>
        <v>Valid</v>
      </c>
    </row>
    <row r="3821" spans="1:18" x14ac:dyDescent="0.25">
      <c r="A3821" t="s">
        <v>5892</v>
      </c>
      <c r="B3821" t="s">
        <v>704</v>
      </c>
      <c r="C3821" s="8">
        <v>46200</v>
      </c>
      <c r="D3821" t="s">
        <v>2067</v>
      </c>
      <c r="E3821" t="s">
        <v>2063</v>
      </c>
      <c r="F3821" t="s">
        <v>27</v>
      </c>
      <c r="G3821">
        <v>1294.1600000000001</v>
      </c>
      <c r="H3821" t="s">
        <v>2060</v>
      </c>
      <c r="I3821" t="str">
        <f>VLOOKUP(B3821,Customers!A:G,7,FALSE)</f>
        <v>Student</v>
      </c>
      <c r="Q3821" t="str">
        <f>IF(COUNTIF(Customers!$A$2:$A$1001,B3821)&gt;0,"Valid","Invalid")</f>
        <v>Valid</v>
      </c>
      <c r="R3821" t="str">
        <f>IF(COUNTIF(Branches!$A$2:$A$11,F3821)&gt;0,"Valid","Invalid")</f>
        <v>Valid</v>
      </c>
    </row>
    <row r="3822" spans="1:18" x14ac:dyDescent="0.25">
      <c r="A3822" t="s">
        <v>5893</v>
      </c>
      <c r="B3822" t="s">
        <v>312</v>
      </c>
      <c r="C3822" s="8">
        <v>46235</v>
      </c>
      <c r="D3822" t="s">
        <v>2067</v>
      </c>
      <c r="E3822" t="s">
        <v>2059</v>
      </c>
      <c r="F3822" t="s">
        <v>35</v>
      </c>
      <c r="G3822">
        <v>6857.69</v>
      </c>
      <c r="H3822" t="s">
        <v>2060</v>
      </c>
      <c r="I3822" t="str">
        <f>VLOOKUP(B3822,Customers!A:G,7,FALSE)</f>
        <v>SME</v>
      </c>
      <c r="Q3822" t="str">
        <f>IF(COUNTIF(Customers!$A$2:$A$1001,B3822)&gt;0,"Valid","Invalid")</f>
        <v>Valid</v>
      </c>
      <c r="R3822" t="str">
        <f>IF(COUNTIF(Branches!$A$2:$A$11,F3822)&gt;0,"Valid","Invalid")</f>
        <v>Valid</v>
      </c>
    </row>
    <row r="3823" spans="1:18" x14ac:dyDescent="0.25">
      <c r="A3823" t="s">
        <v>5894</v>
      </c>
      <c r="B3823" t="s">
        <v>336</v>
      </c>
      <c r="C3823" s="8">
        <v>46034</v>
      </c>
      <c r="D3823" t="s">
        <v>2062</v>
      </c>
      <c r="E3823" t="s">
        <v>2063</v>
      </c>
      <c r="F3823" t="s">
        <v>47</v>
      </c>
      <c r="G3823">
        <v>557.65</v>
      </c>
      <c r="H3823" t="s">
        <v>2115</v>
      </c>
      <c r="I3823" t="str">
        <f>VLOOKUP(B3823,Customers!A:G,7,FALSE)</f>
        <v>SME</v>
      </c>
      <c r="Q3823" t="str">
        <f>IF(COUNTIF(Customers!$A$2:$A$1001,B3823)&gt;0,"Valid","Invalid")</f>
        <v>Valid</v>
      </c>
      <c r="R3823" t="str">
        <f>IF(COUNTIF(Branches!$A$2:$A$11,F3823)&gt;0,"Valid","Invalid")</f>
        <v>Valid</v>
      </c>
    </row>
    <row r="3824" spans="1:18" x14ac:dyDescent="0.25">
      <c r="A3824" t="s">
        <v>5895</v>
      </c>
      <c r="B3824" t="s">
        <v>87</v>
      </c>
      <c r="C3824" s="8">
        <v>46242</v>
      </c>
      <c r="D3824" t="s">
        <v>2065</v>
      </c>
      <c r="E3824" t="s">
        <v>2059</v>
      </c>
      <c r="F3824" t="s">
        <v>39</v>
      </c>
      <c r="G3824">
        <v>186.58</v>
      </c>
      <c r="H3824" t="s">
        <v>2060</v>
      </c>
      <c r="I3824" t="str">
        <f>VLOOKUP(B3824,Customers!A:G,7,FALSE)</f>
        <v>Individual</v>
      </c>
      <c r="Q3824" t="str">
        <f>IF(COUNTIF(Customers!$A$2:$A$1001,B3824)&gt;0,"Valid","Invalid")</f>
        <v>Valid</v>
      </c>
      <c r="R3824" t="str">
        <f>IF(COUNTIF(Branches!$A$2:$A$11,F3824)&gt;0,"Valid","Invalid")</f>
        <v>Valid</v>
      </c>
    </row>
    <row r="3825" spans="1:18" x14ac:dyDescent="0.25">
      <c r="A3825" t="s">
        <v>5896</v>
      </c>
      <c r="B3825" t="s">
        <v>538</v>
      </c>
      <c r="C3825" s="8">
        <v>46162</v>
      </c>
      <c r="D3825" t="s">
        <v>2062</v>
      </c>
      <c r="E3825" t="s">
        <v>2068</v>
      </c>
      <c r="F3825" t="s">
        <v>29</v>
      </c>
      <c r="G3825">
        <v>1599.45</v>
      </c>
      <c r="H3825" t="s">
        <v>2115</v>
      </c>
      <c r="I3825" t="str">
        <f>VLOOKUP(B3825,Customers!A:G,7,FALSE)</f>
        <v>Individual</v>
      </c>
      <c r="Q3825" t="str">
        <f>IF(COUNTIF(Customers!$A$2:$A$1001,B3825)&gt;0,"Valid","Invalid")</f>
        <v>Valid</v>
      </c>
      <c r="R3825" t="str">
        <f>IF(COUNTIF(Branches!$A$2:$A$11,F3825)&gt;0,"Valid","Invalid")</f>
        <v>Valid</v>
      </c>
    </row>
    <row r="3826" spans="1:18" x14ac:dyDescent="0.25">
      <c r="A3826" t="s">
        <v>5897</v>
      </c>
      <c r="B3826" t="s">
        <v>407</v>
      </c>
      <c r="C3826" s="8">
        <v>46055</v>
      </c>
      <c r="D3826" t="s">
        <v>2062</v>
      </c>
      <c r="E3826" t="s">
        <v>2063</v>
      </c>
      <c r="F3826" t="s">
        <v>29</v>
      </c>
      <c r="G3826">
        <v>4646.33</v>
      </c>
      <c r="H3826" t="s">
        <v>2060</v>
      </c>
      <c r="I3826" t="str">
        <f>VLOOKUP(B3826,Customers!A:G,7,FALSE)</f>
        <v>Individual</v>
      </c>
      <c r="Q3826" t="str">
        <f>IF(COUNTIF(Customers!$A$2:$A$1001,B3826)&gt;0,"Valid","Invalid")</f>
        <v>Valid</v>
      </c>
      <c r="R3826" t="str">
        <f>IF(COUNTIF(Branches!$A$2:$A$11,F3826)&gt;0,"Valid","Invalid")</f>
        <v>Valid</v>
      </c>
    </row>
    <row r="3827" spans="1:18" x14ac:dyDescent="0.25">
      <c r="A3827" t="s">
        <v>5898</v>
      </c>
      <c r="B3827" t="s">
        <v>762</v>
      </c>
      <c r="C3827" s="8">
        <v>46234</v>
      </c>
      <c r="D3827" t="s">
        <v>2065</v>
      </c>
      <c r="E3827" t="s">
        <v>2076</v>
      </c>
      <c r="F3827" t="s">
        <v>53</v>
      </c>
      <c r="G3827">
        <v>1379.36</v>
      </c>
      <c r="H3827" t="s">
        <v>2060</v>
      </c>
      <c r="I3827" t="str">
        <f>VLOOKUP(B3827,Customers!A:G,7,FALSE)</f>
        <v>SME</v>
      </c>
      <c r="Q3827" t="str">
        <f>IF(COUNTIF(Customers!$A$2:$A$1001,B3827)&gt;0,"Valid","Invalid")</f>
        <v>Valid</v>
      </c>
      <c r="R3827" t="str">
        <f>IF(COUNTIF(Branches!$A$2:$A$11,F3827)&gt;0,"Valid","Invalid")</f>
        <v>Valid</v>
      </c>
    </row>
    <row r="3828" spans="1:18" x14ac:dyDescent="0.25">
      <c r="A3828" t="s">
        <v>5899</v>
      </c>
      <c r="B3828" t="s">
        <v>694</v>
      </c>
      <c r="C3828" s="8">
        <v>46254</v>
      </c>
      <c r="D3828" t="s">
        <v>2062</v>
      </c>
      <c r="E3828" t="s">
        <v>2063</v>
      </c>
      <c r="F3828" t="s">
        <v>45</v>
      </c>
      <c r="G3828">
        <v>4558.28</v>
      </c>
      <c r="H3828" t="s">
        <v>2060</v>
      </c>
      <c r="I3828" t="str">
        <f>VLOOKUP(B3828,Customers!A:G,7,FALSE)</f>
        <v>Student</v>
      </c>
      <c r="Q3828" t="str">
        <f>IF(COUNTIF(Customers!$A$2:$A$1001,B3828)&gt;0,"Valid","Invalid")</f>
        <v>Valid</v>
      </c>
      <c r="R3828" t="str">
        <f>IF(COUNTIF(Branches!$A$2:$A$11,F3828)&gt;0,"Valid","Invalid")</f>
        <v>Valid</v>
      </c>
    </row>
    <row r="3829" spans="1:18" x14ac:dyDescent="0.25">
      <c r="A3829" t="s">
        <v>5900</v>
      </c>
      <c r="B3829" t="s">
        <v>395</v>
      </c>
      <c r="C3829" s="8">
        <v>46199</v>
      </c>
      <c r="D3829" t="s">
        <v>2058</v>
      </c>
      <c r="E3829" t="s">
        <v>2063</v>
      </c>
      <c r="F3829" t="s">
        <v>21</v>
      </c>
      <c r="G3829">
        <v>1796.63</v>
      </c>
      <c r="H3829" t="s">
        <v>2060</v>
      </c>
      <c r="I3829" t="str">
        <f>VLOOKUP(B3829,Customers!A:G,7,FALSE)</f>
        <v>Individual</v>
      </c>
      <c r="Q3829" t="str">
        <f>IF(COUNTIF(Customers!$A$2:$A$1001,B3829)&gt;0,"Valid","Invalid")</f>
        <v>Valid</v>
      </c>
      <c r="R3829" t="str">
        <f>IF(COUNTIF(Branches!$A$2:$A$11,F3829)&gt;0,"Valid","Invalid")</f>
        <v>Valid</v>
      </c>
    </row>
    <row r="3830" spans="1:18" x14ac:dyDescent="0.25">
      <c r="A3830" t="s">
        <v>5901</v>
      </c>
      <c r="B3830" t="s">
        <v>18</v>
      </c>
      <c r="C3830" s="8">
        <v>46043</v>
      </c>
      <c r="D3830" t="s">
        <v>2062</v>
      </c>
      <c r="E3830" t="s">
        <v>2059</v>
      </c>
      <c r="F3830" t="s">
        <v>16</v>
      </c>
      <c r="G3830">
        <v>1647.23</v>
      </c>
      <c r="H3830" t="s">
        <v>2060</v>
      </c>
      <c r="I3830" t="str">
        <f>VLOOKUP(B3830,Customers!A:G,7,FALSE)</f>
        <v>SME</v>
      </c>
      <c r="Q3830" t="str">
        <f>IF(COUNTIF(Customers!$A$2:$A$1001,B3830)&gt;0,"Valid","Invalid")</f>
        <v>Valid</v>
      </c>
      <c r="R3830" t="str">
        <f>IF(COUNTIF(Branches!$A$2:$A$11,F3830)&gt;0,"Valid","Invalid")</f>
        <v>Valid</v>
      </c>
    </row>
    <row r="3831" spans="1:18" x14ac:dyDescent="0.25">
      <c r="A3831" t="s">
        <v>5902</v>
      </c>
      <c r="B3831" t="s">
        <v>292</v>
      </c>
      <c r="C3831" s="8">
        <v>46082</v>
      </c>
      <c r="D3831" t="s">
        <v>2065</v>
      </c>
      <c r="E3831" t="s">
        <v>2068</v>
      </c>
      <c r="F3831" t="s">
        <v>29</v>
      </c>
      <c r="G3831">
        <v>483.96</v>
      </c>
      <c r="H3831" t="s">
        <v>2060</v>
      </c>
      <c r="I3831" t="str">
        <f>VLOOKUP(B3831,Customers!A:G,7,FALSE)</f>
        <v>Student</v>
      </c>
      <c r="Q3831" t="str">
        <f>IF(COUNTIF(Customers!$A$2:$A$1001,B3831)&gt;0,"Valid","Invalid")</f>
        <v>Valid</v>
      </c>
      <c r="R3831" t="str">
        <f>IF(COUNTIF(Branches!$A$2:$A$11,F3831)&gt;0,"Valid","Invalid")</f>
        <v>Valid</v>
      </c>
    </row>
    <row r="3832" spans="1:18" x14ac:dyDescent="0.25">
      <c r="A3832" t="s">
        <v>5903</v>
      </c>
      <c r="B3832" t="s">
        <v>513</v>
      </c>
      <c r="C3832" s="8">
        <v>46074</v>
      </c>
      <c r="D3832" t="s">
        <v>2065</v>
      </c>
      <c r="E3832" t="s">
        <v>2059</v>
      </c>
      <c r="F3832" t="s">
        <v>11</v>
      </c>
      <c r="G3832">
        <v>1080.75</v>
      </c>
      <c r="H3832" t="s">
        <v>2060</v>
      </c>
      <c r="I3832" t="str">
        <f>VLOOKUP(B3832,Customers!A:G,7,FALSE)</f>
        <v>Individual</v>
      </c>
      <c r="Q3832" t="str">
        <f>IF(COUNTIF(Customers!$A$2:$A$1001,B3832)&gt;0,"Valid","Invalid")</f>
        <v>Valid</v>
      </c>
      <c r="R3832" t="str">
        <f>IF(COUNTIF(Branches!$A$2:$A$11,F3832)&gt;0,"Valid","Invalid")</f>
        <v>Valid</v>
      </c>
    </row>
    <row r="3833" spans="1:18" x14ac:dyDescent="0.25">
      <c r="A3833" t="s">
        <v>5904</v>
      </c>
      <c r="B3833" t="s">
        <v>885</v>
      </c>
      <c r="C3833" s="8">
        <v>46204</v>
      </c>
      <c r="D3833" t="s">
        <v>2065</v>
      </c>
      <c r="E3833" t="s">
        <v>2076</v>
      </c>
      <c r="F3833" t="s">
        <v>29</v>
      </c>
      <c r="G3833">
        <v>788.81</v>
      </c>
      <c r="H3833" t="s">
        <v>2060</v>
      </c>
      <c r="I3833" t="str">
        <f>VLOOKUP(B3833,Customers!A:G,7,FALSE)</f>
        <v>Individual</v>
      </c>
      <c r="Q3833" t="str">
        <f>IF(COUNTIF(Customers!$A$2:$A$1001,B3833)&gt;0,"Valid","Invalid")</f>
        <v>Valid</v>
      </c>
      <c r="R3833" t="str">
        <f>IF(COUNTIF(Branches!$A$2:$A$11,F3833)&gt;0,"Valid","Invalid")</f>
        <v>Valid</v>
      </c>
    </row>
    <row r="3834" spans="1:18" x14ac:dyDescent="0.25">
      <c r="A3834" t="s">
        <v>5905</v>
      </c>
      <c r="B3834" t="s">
        <v>544</v>
      </c>
      <c r="C3834" s="8">
        <v>46189</v>
      </c>
      <c r="D3834" t="s">
        <v>2067</v>
      </c>
      <c r="E3834" t="s">
        <v>2073</v>
      </c>
      <c r="F3834" t="s">
        <v>29</v>
      </c>
      <c r="G3834">
        <v>762.24</v>
      </c>
      <c r="H3834" t="s">
        <v>2060</v>
      </c>
      <c r="I3834" t="str">
        <f>VLOOKUP(B3834,Customers!A:G,7,FALSE)</f>
        <v>Student</v>
      </c>
      <c r="Q3834" t="str">
        <f>IF(COUNTIF(Customers!$A$2:$A$1001,B3834)&gt;0,"Valid","Invalid")</f>
        <v>Valid</v>
      </c>
      <c r="R3834" t="str">
        <f>IF(COUNTIF(Branches!$A$2:$A$11,F3834)&gt;0,"Valid","Invalid")</f>
        <v>Valid</v>
      </c>
    </row>
    <row r="3835" spans="1:18" x14ac:dyDescent="0.25">
      <c r="A3835" t="s">
        <v>5906</v>
      </c>
      <c r="B3835" t="s">
        <v>294</v>
      </c>
      <c r="C3835" s="8">
        <v>46255</v>
      </c>
      <c r="D3835" t="s">
        <v>2062</v>
      </c>
      <c r="E3835" t="s">
        <v>2068</v>
      </c>
      <c r="F3835" t="s">
        <v>47</v>
      </c>
      <c r="G3835">
        <v>630.26</v>
      </c>
      <c r="H3835" t="s">
        <v>2060</v>
      </c>
      <c r="I3835" t="str">
        <f>VLOOKUP(B3835,Customers!A:G,7,FALSE)</f>
        <v>Individual</v>
      </c>
      <c r="Q3835" t="str">
        <f>IF(COUNTIF(Customers!$A$2:$A$1001,B3835)&gt;0,"Valid","Invalid")</f>
        <v>Valid</v>
      </c>
      <c r="R3835" t="str">
        <f>IF(COUNTIF(Branches!$A$2:$A$11,F3835)&gt;0,"Valid","Invalid")</f>
        <v>Valid</v>
      </c>
    </row>
    <row r="3836" spans="1:18" x14ac:dyDescent="0.25">
      <c r="A3836" t="s">
        <v>5907</v>
      </c>
      <c r="B3836" t="s">
        <v>648</v>
      </c>
      <c r="C3836" s="8">
        <v>46199</v>
      </c>
      <c r="D3836" t="s">
        <v>2062</v>
      </c>
      <c r="E3836" t="s">
        <v>2063</v>
      </c>
      <c r="F3836" t="s">
        <v>47</v>
      </c>
      <c r="G3836">
        <v>1018.02</v>
      </c>
      <c r="H3836" t="s">
        <v>2060</v>
      </c>
      <c r="I3836" t="str">
        <f>VLOOKUP(B3836,Customers!A:G,7,FALSE)</f>
        <v>Individual</v>
      </c>
      <c r="Q3836" t="str">
        <f>IF(COUNTIF(Customers!$A$2:$A$1001,B3836)&gt;0,"Valid","Invalid")</f>
        <v>Valid</v>
      </c>
      <c r="R3836" t="str">
        <f>IF(COUNTIF(Branches!$A$2:$A$11,F3836)&gt;0,"Valid","Invalid")</f>
        <v>Valid</v>
      </c>
    </row>
    <row r="3837" spans="1:18" x14ac:dyDescent="0.25">
      <c r="A3837" t="s">
        <v>5908</v>
      </c>
      <c r="B3837" t="s">
        <v>723</v>
      </c>
      <c r="C3837" s="8">
        <v>46145</v>
      </c>
      <c r="D3837" t="s">
        <v>2070</v>
      </c>
      <c r="E3837" t="s">
        <v>2076</v>
      </c>
      <c r="F3837" t="s">
        <v>53</v>
      </c>
      <c r="G3837">
        <v>222.22</v>
      </c>
      <c r="H3837" t="s">
        <v>2060</v>
      </c>
      <c r="I3837" t="str">
        <f>VLOOKUP(B3837,Customers!A:G,7,FALSE)</f>
        <v>SME</v>
      </c>
      <c r="Q3837" t="str">
        <f>IF(COUNTIF(Customers!$A$2:$A$1001,B3837)&gt;0,"Valid","Invalid")</f>
        <v>Valid</v>
      </c>
      <c r="R3837" t="str">
        <f>IF(COUNTIF(Branches!$A$2:$A$11,F3837)&gt;0,"Valid","Invalid")</f>
        <v>Valid</v>
      </c>
    </row>
    <row r="3838" spans="1:18" x14ac:dyDescent="0.25">
      <c r="A3838" t="s">
        <v>5909</v>
      </c>
      <c r="B3838" t="s">
        <v>186</v>
      </c>
      <c r="C3838" s="8">
        <v>46128</v>
      </c>
      <c r="D3838" t="s">
        <v>2065</v>
      </c>
      <c r="E3838" t="s">
        <v>2059</v>
      </c>
      <c r="F3838" t="s">
        <v>29</v>
      </c>
      <c r="G3838">
        <v>1829.35</v>
      </c>
      <c r="H3838" t="s">
        <v>2060</v>
      </c>
      <c r="I3838" t="str">
        <f>VLOOKUP(B3838,Customers!A:G,7,FALSE)</f>
        <v>SME</v>
      </c>
      <c r="Q3838" t="str">
        <f>IF(COUNTIF(Customers!$A$2:$A$1001,B3838)&gt;0,"Valid","Invalid")</f>
        <v>Valid</v>
      </c>
      <c r="R3838" t="str">
        <f>IF(COUNTIF(Branches!$A$2:$A$11,F3838)&gt;0,"Valid","Invalid")</f>
        <v>Valid</v>
      </c>
    </row>
    <row r="3839" spans="1:18" x14ac:dyDescent="0.25">
      <c r="A3839" t="s">
        <v>5910</v>
      </c>
      <c r="B3839" t="s">
        <v>526</v>
      </c>
      <c r="C3839" s="8">
        <v>46214</v>
      </c>
      <c r="D3839" t="s">
        <v>2065</v>
      </c>
      <c r="E3839" t="s">
        <v>2076</v>
      </c>
      <c r="F3839" t="s">
        <v>53</v>
      </c>
      <c r="G3839">
        <v>337.73</v>
      </c>
      <c r="H3839" t="s">
        <v>2060</v>
      </c>
      <c r="I3839" t="str">
        <f>VLOOKUP(B3839,Customers!A:G,7,FALSE)</f>
        <v>Student</v>
      </c>
      <c r="Q3839" t="str">
        <f>IF(COUNTIF(Customers!$A$2:$A$1001,B3839)&gt;0,"Valid","Invalid")</f>
        <v>Valid</v>
      </c>
      <c r="R3839" t="str">
        <f>IF(COUNTIF(Branches!$A$2:$A$11,F3839)&gt;0,"Valid","Invalid")</f>
        <v>Valid</v>
      </c>
    </row>
    <row r="3840" spans="1:18" x14ac:dyDescent="0.25">
      <c r="A3840" t="s">
        <v>5911</v>
      </c>
      <c r="B3840" t="s">
        <v>317</v>
      </c>
      <c r="C3840" s="8">
        <v>46122</v>
      </c>
      <c r="D3840" t="s">
        <v>2058</v>
      </c>
      <c r="E3840" t="s">
        <v>2059</v>
      </c>
      <c r="F3840" t="s">
        <v>35</v>
      </c>
      <c r="G3840">
        <v>632.53</v>
      </c>
      <c r="H3840" t="s">
        <v>2060</v>
      </c>
      <c r="I3840" t="str">
        <f>VLOOKUP(B3840,Customers!A:G,7,FALSE)</f>
        <v>Individual</v>
      </c>
      <c r="Q3840" t="str">
        <f>IF(COUNTIF(Customers!$A$2:$A$1001,B3840)&gt;0,"Valid","Invalid")</f>
        <v>Valid</v>
      </c>
      <c r="R3840" t="str">
        <f>IF(COUNTIF(Branches!$A$2:$A$11,F3840)&gt;0,"Valid","Invalid")</f>
        <v>Valid</v>
      </c>
    </row>
    <row r="3841" spans="1:18" x14ac:dyDescent="0.25">
      <c r="A3841" t="s">
        <v>5912</v>
      </c>
      <c r="B3841" t="s">
        <v>95</v>
      </c>
      <c r="C3841" s="8">
        <v>46236</v>
      </c>
      <c r="D3841" t="s">
        <v>2065</v>
      </c>
      <c r="E3841" t="s">
        <v>2063</v>
      </c>
      <c r="F3841" t="s">
        <v>21</v>
      </c>
      <c r="G3841">
        <v>1130.6600000000001</v>
      </c>
      <c r="H3841" t="s">
        <v>2060</v>
      </c>
      <c r="I3841" t="str">
        <f>VLOOKUP(B3841,Customers!A:G,7,FALSE)</f>
        <v>SME</v>
      </c>
      <c r="Q3841" t="str">
        <f>IF(COUNTIF(Customers!$A$2:$A$1001,B3841)&gt;0,"Valid","Invalid")</f>
        <v>Valid</v>
      </c>
      <c r="R3841" t="str">
        <f>IF(COUNTIF(Branches!$A$2:$A$11,F3841)&gt;0,"Valid","Invalid")</f>
        <v>Valid</v>
      </c>
    </row>
    <row r="3842" spans="1:18" x14ac:dyDescent="0.25">
      <c r="A3842" t="s">
        <v>5913</v>
      </c>
      <c r="B3842" t="s">
        <v>484</v>
      </c>
      <c r="C3842" s="8">
        <v>46176</v>
      </c>
      <c r="D3842" t="s">
        <v>2067</v>
      </c>
      <c r="E3842" t="s">
        <v>2059</v>
      </c>
      <c r="F3842" t="s">
        <v>45</v>
      </c>
      <c r="G3842">
        <v>321.41000000000003</v>
      </c>
      <c r="H3842" t="s">
        <v>2060</v>
      </c>
      <c r="I3842" t="str">
        <f>VLOOKUP(B3842,Customers!A:G,7,FALSE)</f>
        <v>Student</v>
      </c>
      <c r="Q3842" t="str">
        <f>IF(COUNTIF(Customers!$A$2:$A$1001,B3842)&gt;0,"Valid","Invalid")</f>
        <v>Valid</v>
      </c>
      <c r="R3842" t="str">
        <f>IF(COUNTIF(Branches!$A$2:$A$11,F3842)&gt;0,"Valid","Invalid")</f>
        <v>Valid</v>
      </c>
    </row>
    <row r="3843" spans="1:18" x14ac:dyDescent="0.25">
      <c r="A3843" t="s">
        <v>5914</v>
      </c>
      <c r="B3843" t="s">
        <v>149</v>
      </c>
      <c r="C3843" s="8">
        <v>46093</v>
      </c>
      <c r="D3843" t="s">
        <v>2058</v>
      </c>
      <c r="E3843" t="s">
        <v>2059</v>
      </c>
      <c r="F3843" t="s">
        <v>45</v>
      </c>
      <c r="G3843">
        <v>113.7</v>
      </c>
      <c r="H3843" t="s">
        <v>2060</v>
      </c>
      <c r="I3843" t="str">
        <f>VLOOKUP(B3843,Customers!A:G,7,FALSE)</f>
        <v>Individual</v>
      </c>
      <c r="Q3843" t="str">
        <f>IF(COUNTIF(Customers!$A$2:$A$1001,B3843)&gt;0,"Valid","Invalid")</f>
        <v>Valid</v>
      </c>
      <c r="R3843" t="str">
        <f>IF(COUNTIF(Branches!$A$2:$A$11,F3843)&gt;0,"Valid","Invalid")</f>
        <v>Valid</v>
      </c>
    </row>
    <row r="3844" spans="1:18" x14ac:dyDescent="0.25">
      <c r="A3844" t="s">
        <v>5915</v>
      </c>
      <c r="B3844" t="s">
        <v>874</v>
      </c>
      <c r="C3844" s="8">
        <v>46157</v>
      </c>
      <c r="D3844" t="s">
        <v>2065</v>
      </c>
      <c r="E3844" t="s">
        <v>2059</v>
      </c>
      <c r="F3844" t="s">
        <v>11</v>
      </c>
      <c r="G3844">
        <v>553.88</v>
      </c>
      <c r="H3844" t="s">
        <v>2060</v>
      </c>
      <c r="I3844" t="str">
        <f>VLOOKUP(B3844,Customers!A:G,7,FALSE)</f>
        <v>Student</v>
      </c>
      <c r="Q3844" t="str">
        <f>IF(COUNTIF(Customers!$A$2:$A$1001,B3844)&gt;0,"Valid","Invalid")</f>
        <v>Valid</v>
      </c>
      <c r="R3844" t="str">
        <f>IF(COUNTIF(Branches!$A$2:$A$11,F3844)&gt;0,"Valid","Invalid")</f>
        <v>Valid</v>
      </c>
    </row>
    <row r="3845" spans="1:18" x14ac:dyDescent="0.25">
      <c r="A3845" t="s">
        <v>5916</v>
      </c>
      <c r="B3845" t="s">
        <v>793</v>
      </c>
      <c r="C3845" s="8">
        <v>46222</v>
      </c>
      <c r="D3845" t="s">
        <v>2058</v>
      </c>
      <c r="E3845" t="s">
        <v>2068</v>
      </c>
      <c r="F3845" t="s">
        <v>39</v>
      </c>
      <c r="G3845">
        <v>194.2</v>
      </c>
      <c r="H3845" t="s">
        <v>2060</v>
      </c>
      <c r="I3845" t="str">
        <f>VLOOKUP(B3845,Customers!A:G,7,FALSE)</f>
        <v>SME</v>
      </c>
      <c r="Q3845" t="str">
        <f>IF(COUNTIF(Customers!$A$2:$A$1001,B3845)&gt;0,"Valid","Invalid")</f>
        <v>Valid</v>
      </c>
      <c r="R3845" t="str">
        <f>IF(COUNTIF(Branches!$A$2:$A$11,F3845)&gt;0,"Valid","Invalid")</f>
        <v>Valid</v>
      </c>
    </row>
    <row r="3846" spans="1:18" x14ac:dyDescent="0.25">
      <c r="A3846" t="s">
        <v>5917</v>
      </c>
      <c r="B3846" t="s">
        <v>860</v>
      </c>
      <c r="C3846" s="8">
        <v>46084</v>
      </c>
      <c r="D3846" t="s">
        <v>2067</v>
      </c>
      <c r="E3846" t="s">
        <v>2068</v>
      </c>
      <c r="F3846" t="s">
        <v>21</v>
      </c>
      <c r="G3846">
        <v>1656.25</v>
      </c>
      <c r="H3846" t="s">
        <v>2060</v>
      </c>
      <c r="I3846" t="str">
        <f>VLOOKUP(B3846,Customers!A:G,7,FALSE)</f>
        <v>Individual</v>
      </c>
      <c r="Q3846" t="str">
        <f>IF(COUNTIF(Customers!$A$2:$A$1001,B3846)&gt;0,"Valid","Invalid")</f>
        <v>Valid</v>
      </c>
      <c r="R3846" t="str">
        <f>IF(COUNTIF(Branches!$A$2:$A$11,F3846)&gt;0,"Valid","Invalid")</f>
        <v>Valid</v>
      </c>
    </row>
    <row r="3847" spans="1:18" x14ac:dyDescent="0.25">
      <c r="A3847" t="s">
        <v>5918</v>
      </c>
      <c r="B3847" t="s">
        <v>607</v>
      </c>
      <c r="C3847" s="8">
        <v>46240</v>
      </c>
      <c r="D3847" t="s">
        <v>2058</v>
      </c>
      <c r="E3847" t="s">
        <v>2059</v>
      </c>
      <c r="F3847" t="s">
        <v>47</v>
      </c>
      <c r="G3847">
        <v>256.33999999999997</v>
      </c>
      <c r="H3847" t="s">
        <v>2060</v>
      </c>
      <c r="I3847" t="str">
        <f>VLOOKUP(B3847,Customers!A:G,7,FALSE)</f>
        <v>Individual</v>
      </c>
      <c r="Q3847" t="str">
        <f>IF(COUNTIF(Customers!$A$2:$A$1001,B3847)&gt;0,"Valid","Invalid")</f>
        <v>Valid</v>
      </c>
      <c r="R3847" t="str">
        <f>IF(COUNTIF(Branches!$A$2:$A$11,F3847)&gt;0,"Valid","Invalid")</f>
        <v>Valid</v>
      </c>
    </row>
    <row r="3848" spans="1:18" x14ac:dyDescent="0.25">
      <c r="A3848" t="s">
        <v>5919</v>
      </c>
      <c r="B3848" t="s">
        <v>527</v>
      </c>
      <c r="C3848" s="8">
        <v>46110</v>
      </c>
      <c r="D3848" t="s">
        <v>2062</v>
      </c>
      <c r="E3848" t="s">
        <v>2059</v>
      </c>
      <c r="F3848" t="s">
        <v>35</v>
      </c>
      <c r="G3848">
        <v>3587.3</v>
      </c>
      <c r="H3848" t="s">
        <v>2060</v>
      </c>
      <c r="I3848" t="str">
        <f>VLOOKUP(B3848,Customers!A:G,7,FALSE)</f>
        <v>Individual</v>
      </c>
      <c r="Q3848" t="str">
        <f>IF(COUNTIF(Customers!$A$2:$A$1001,B3848)&gt;0,"Valid","Invalid")</f>
        <v>Valid</v>
      </c>
      <c r="R3848" t="str">
        <f>IF(COUNTIF(Branches!$A$2:$A$11,F3848)&gt;0,"Valid","Invalid")</f>
        <v>Valid</v>
      </c>
    </row>
    <row r="3849" spans="1:18" x14ac:dyDescent="0.25">
      <c r="A3849" t="s">
        <v>5920</v>
      </c>
      <c r="B3849" t="s">
        <v>445</v>
      </c>
      <c r="C3849" s="8">
        <v>46046</v>
      </c>
      <c r="D3849" t="s">
        <v>2065</v>
      </c>
      <c r="E3849" t="s">
        <v>2059</v>
      </c>
      <c r="F3849" t="s">
        <v>53</v>
      </c>
      <c r="G3849">
        <v>807.71</v>
      </c>
      <c r="H3849" t="s">
        <v>2060</v>
      </c>
      <c r="I3849" t="str">
        <f>VLOOKUP(B3849,Customers!A:G,7,FALSE)</f>
        <v>Student</v>
      </c>
      <c r="Q3849" t="str">
        <f>IF(COUNTIF(Customers!$A$2:$A$1001,B3849)&gt;0,"Valid","Invalid")</f>
        <v>Valid</v>
      </c>
      <c r="R3849" t="str">
        <f>IF(COUNTIF(Branches!$A$2:$A$11,F3849)&gt;0,"Valid","Invalid")</f>
        <v>Valid</v>
      </c>
    </row>
    <row r="3850" spans="1:18" x14ac:dyDescent="0.25">
      <c r="A3850" t="s">
        <v>5921</v>
      </c>
      <c r="B3850" t="s">
        <v>405</v>
      </c>
      <c r="C3850" s="8">
        <v>46062</v>
      </c>
      <c r="D3850" t="s">
        <v>2070</v>
      </c>
      <c r="E3850" t="s">
        <v>2059</v>
      </c>
      <c r="F3850" t="s">
        <v>29</v>
      </c>
      <c r="G3850">
        <v>861.93</v>
      </c>
      <c r="H3850" t="s">
        <v>2060</v>
      </c>
      <c r="I3850" t="str">
        <f>VLOOKUP(B3850,Customers!A:G,7,FALSE)</f>
        <v>Student</v>
      </c>
      <c r="Q3850" t="str">
        <f>IF(COUNTIF(Customers!$A$2:$A$1001,B3850)&gt;0,"Valid","Invalid")</f>
        <v>Valid</v>
      </c>
      <c r="R3850" t="str">
        <f>IF(COUNTIF(Branches!$A$2:$A$11,F3850)&gt;0,"Valid","Invalid")</f>
        <v>Valid</v>
      </c>
    </row>
    <row r="3851" spans="1:18" x14ac:dyDescent="0.25">
      <c r="A3851" t="s">
        <v>5922</v>
      </c>
      <c r="B3851" t="s">
        <v>96</v>
      </c>
      <c r="C3851" s="8">
        <v>46262</v>
      </c>
      <c r="D3851" t="s">
        <v>2058</v>
      </c>
      <c r="E3851" t="s">
        <v>2073</v>
      </c>
      <c r="F3851" t="s">
        <v>39</v>
      </c>
      <c r="G3851">
        <v>112.1</v>
      </c>
      <c r="H3851" t="s">
        <v>2060</v>
      </c>
      <c r="I3851" t="str">
        <f>VLOOKUP(B3851,Customers!A:G,7,FALSE)</f>
        <v>Individual</v>
      </c>
      <c r="Q3851" t="str">
        <f>IF(COUNTIF(Customers!$A$2:$A$1001,B3851)&gt;0,"Valid","Invalid")</f>
        <v>Valid</v>
      </c>
      <c r="R3851" t="str">
        <f>IF(COUNTIF(Branches!$A$2:$A$11,F3851)&gt;0,"Valid","Invalid")</f>
        <v>Valid</v>
      </c>
    </row>
    <row r="3852" spans="1:18" x14ac:dyDescent="0.25">
      <c r="A3852" t="s">
        <v>5923</v>
      </c>
      <c r="B3852" t="s">
        <v>367</v>
      </c>
      <c r="C3852" s="8">
        <v>46098</v>
      </c>
      <c r="D3852" t="s">
        <v>2070</v>
      </c>
      <c r="E3852" t="s">
        <v>2076</v>
      </c>
      <c r="F3852" t="s">
        <v>39</v>
      </c>
      <c r="G3852">
        <v>939.04</v>
      </c>
      <c r="H3852" t="s">
        <v>2060</v>
      </c>
      <c r="I3852" t="str">
        <f>VLOOKUP(B3852,Customers!A:G,7,FALSE)</f>
        <v>Individual</v>
      </c>
      <c r="Q3852" t="str">
        <f>IF(COUNTIF(Customers!$A$2:$A$1001,B3852)&gt;0,"Valid","Invalid")</f>
        <v>Valid</v>
      </c>
      <c r="R3852" t="str">
        <f>IF(COUNTIF(Branches!$A$2:$A$11,F3852)&gt;0,"Valid","Invalid")</f>
        <v>Valid</v>
      </c>
    </row>
    <row r="3853" spans="1:18" x14ac:dyDescent="0.25">
      <c r="A3853" t="s">
        <v>5924</v>
      </c>
      <c r="B3853" t="s">
        <v>766</v>
      </c>
      <c r="C3853" s="8">
        <v>46197</v>
      </c>
      <c r="D3853" t="s">
        <v>2065</v>
      </c>
      <c r="E3853" t="s">
        <v>2063</v>
      </c>
      <c r="F3853" t="s">
        <v>27</v>
      </c>
      <c r="G3853">
        <v>749.81</v>
      </c>
      <c r="H3853" t="s">
        <v>2060</v>
      </c>
      <c r="I3853" t="str">
        <f>VLOOKUP(B3853,Customers!A:G,7,FALSE)</f>
        <v>Individual</v>
      </c>
      <c r="Q3853" t="str">
        <f>IF(COUNTIF(Customers!$A$2:$A$1001,B3853)&gt;0,"Valid","Invalid")</f>
        <v>Valid</v>
      </c>
      <c r="R3853" t="str">
        <f>IF(COUNTIF(Branches!$A$2:$A$11,F3853)&gt;0,"Valid","Invalid")</f>
        <v>Valid</v>
      </c>
    </row>
    <row r="3854" spans="1:18" x14ac:dyDescent="0.25">
      <c r="A3854" t="s">
        <v>5925</v>
      </c>
      <c r="B3854" t="s">
        <v>507</v>
      </c>
      <c r="C3854" s="8">
        <v>46158</v>
      </c>
      <c r="D3854" t="s">
        <v>2058</v>
      </c>
      <c r="E3854" t="s">
        <v>2059</v>
      </c>
      <c r="F3854" t="s">
        <v>47</v>
      </c>
      <c r="G3854">
        <v>221.61</v>
      </c>
      <c r="H3854" t="s">
        <v>2060</v>
      </c>
      <c r="I3854" t="str">
        <f>VLOOKUP(B3854,Customers!A:G,7,FALSE)</f>
        <v>Individual</v>
      </c>
      <c r="Q3854" t="str">
        <f>IF(COUNTIF(Customers!$A$2:$A$1001,B3854)&gt;0,"Valid","Invalid")</f>
        <v>Valid</v>
      </c>
      <c r="R3854" t="str">
        <f>IF(COUNTIF(Branches!$A$2:$A$11,F3854)&gt;0,"Valid","Invalid")</f>
        <v>Valid</v>
      </c>
    </row>
    <row r="3855" spans="1:18" x14ac:dyDescent="0.25">
      <c r="A3855" t="s">
        <v>5926</v>
      </c>
      <c r="B3855" t="s">
        <v>783</v>
      </c>
      <c r="C3855" s="8">
        <v>46204</v>
      </c>
      <c r="D3855" t="s">
        <v>2067</v>
      </c>
      <c r="E3855" t="s">
        <v>2076</v>
      </c>
      <c r="F3855" t="s">
        <v>53</v>
      </c>
      <c r="G3855">
        <v>886.49</v>
      </c>
      <c r="H3855" t="s">
        <v>2060</v>
      </c>
      <c r="I3855" t="str">
        <f>VLOOKUP(B3855,Customers!A:G,7,FALSE)</f>
        <v>SME</v>
      </c>
      <c r="Q3855" t="str">
        <f>IF(COUNTIF(Customers!$A$2:$A$1001,B3855)&gt;0,"Valid","Invalid")</f>
        <v>Valid</v>
      </c>
      <c r="R3855" t="str">
        <f>IF(COUNTIF(Branches!$A$2:$A$11,F3855)&gt;0,"Valid","Invalid")</f>
        <v>Valid</v>
      </c>
    </row>
    <row r="3856" spans="1:18" x14ac:dyDescent="0.25">
      <c r="A3856" t="s">
        <v>5927</v>
      </c>
      <c r="B3856" t="s">
        <v>605</v>
      </c>
      <c r="C3856" s="8">
        <v>46031</v>
      </c>
      <c r="D3856" t="s">
        <v>2062</v>
      </c>
      <c r="E3856" t="s">
        <v>2076</v>
      </c>
      <c r="F3856" t="s">
        <v>11</v>
      </c>
      <c r="G3856">
        <v>545.70000000000005</v>
      </c>
      <c r="H3856" t="s">
        <v>2107</v>
      </c>
      <c r="I3856" t="str">
        <f>VLOOKUP(B3856,Customers!A:G,7,FALSE)</f>
        <v>SME</v>
      </c>
      <c r="Q3856" t="str">
        <f>IF(COUNTIF(Customers!$A$2:$A$1001,B3856)&gt;0,"Valid","Invalid")</f>
        <v>Valid</v>
      </c>
      <c r="R3856" t="str">
        <f>IF(COUNTIF(Branches!$A$2:$A$11,F3856)&gt;0,"Valid","Invalid")</f>
        <v>Valid</v>
      </c>
    </row>
    <row r="3857" spans="1:18" x14ac:dyDescent="0.25">
      <c r="A3857" t="s">
        <v>5928</v>
      </c>
      <c r="B3857" t="s">
        <v>923</v>
      </c>
      <c r="C3857" s="8">
        <v>46025</v>
      </c>
      <c r="D3857" t="s">
        <v>2058</v>
      </c>
      <c r="E3857" t="s">
        <v>2059</v>
      </c>
      <c r="F3857" t="s">
        <v>16</v>
      </c>
      <c r="G3857">
        <v>654.07000000000005</v>
      </c>
      <c r="H3857" t="s">
        <v>2060</v>
      </c>
      <c r="I3857" t="str">
        <f>VLOOKUP(B3857,Customers!A:G,7,FALSE)</f>
        <v>Individual</v>
      </c>
      <c r="Q3857" t="str">
        <f>IF(COUNTIF(Customers!$A$2:$A$1001,B3857)&gt;0,"Valid","Invalid")</f>
        <v>Valid</v>
      </c>
      <c r="R3857" t="str">
        <f>IF(COUNTIF(Branches!$A$2:$A$11,F3857)&gt;0,"Valid","Invalid")</f>
        <v>Valid</v>
      </c>
    </row>
    <row r="3858" spans="1:18" x14ac:dyDescent="0.25">
      <c r="A3858" t="s">
        <v>5929</v>
      </c>
      <c r="B3858" t="s">
        <v>758</v>
      </c>
      <c r="C3858" s="8">
        <v>46204</v>
      </c>
      <c r="D3858" t="s">
        <v>2058</v>
      </c>
      <c r="E3858" t="s">
        <v>2063</v>
      </c>
      <c r="F3858" t="s">
        <v>45</v>
      </c>
      <c r="G3858">
        <v>833.71</v>
      </c>
      <c r="H3858" t="s">
        <v>2060</v>
      </c>
      <c r="I3858" t="str">
        <f>VLOOKUP(B3858,Customers!A:G,7,FALSE)</f>
        <v>Individual</v>
      </c>
      <c r="Q3858" t="str">
        <f>IF(COUNTIF(Customers!$A$2:$A$1001,B3858)&gt;0,"Valid","Invalid")</f>
        <v>Valid</v>
      </c>
      <c r="R3858" t="str">
        <f>IF(COUNTIF(Branches!$A$2:$A$11,F3858)&gt;0,"Valid","Invalid")</f>
        <v>Valid</v>
      </c>
    </row>
    <row r="3859" spans="1:18" x14ac:dyDescent="0.25">
      <c r="A3859" t="s">
        <v>5930</v>
      </c>
      <c r="B3859" t="s">
        <v>99</v>
      </c>
      <c r="C3859" s="8">
        <v>46043</v>
      </c>
      <c r="D3859" t="s">
        <v>2062</v>
      </c>
      <c r="E3859" t="s">
        <v>2063</v>
      </c>
      <c r="F3859" t="s">
        <v>21</v>
      </c>
      <c r="G3859">
        <v>507.02</v>
      </c>
      <c r="H3859" t="s">
        <v>2060</v>
      </c>
      <c r="I3859" t="str">
        <f>VLOOKUP(B3859,Customers!A:G,7,FALSE)</f>
        <v>Student</v>
      </c>
      <c r="Q3859" t="str">
        <f>IF(COUNTIF(Customers!$A$2:$A$1001,B3859)&gt;0,"Valid","Invalid")</f>
        <v>Valid</v>
      </c>
      <c r="R3859" t="str">
        <f>IF(COUNTIF(Branches!$A$2:$A$11,F3859)&gt;0,"Valid","Invalid")</f>
        <v>Valid</v>
      </c>
    </row>
    <row r="3860" spans="1:18" x14ac:dyDescent="0.25">
      <c r="A3860" t="s">
        <v>5931</v>
      </c>
      <c r="B3860" t="s">
        <v>221</v>
      </c>
      <c r="C3860" s="8">
        <v>46117</v>
      </c>
      <c r="D3860" t="s">
        <v>2067</v>
      </c>
      <c r="E3860" t="s">
        <v>2063</v>
      </c>
      <c r="F3860" t="s">
        <v>47</v>
      </c>
      <c r="G3860">
        <v>1039.46</v>
      </c>
      <c r="H3860" t="s">
        <v>2060</v>
      </c>
      <c r="I3860" t="str">
        <f>VLOOKUP(B3860,Customers!A:G,7,FALSE)</f>
        <v>SME</v>
      </c>
      <c r="Q3860" t="str">
        <f>IF(COUNTIF(Customers!$A$2:$A$1001,B3860)&gt;0,"Valid","Invalid")</f>
        <v>Valid</v>
      </c>
      <c r="R3860" t="str">
        <f>IF(COUNTIF(Branches!$A$2:$A$11,F3860)&gt;0,"Valid","Invalid")</f>
        <v>Valid</v>
      </c>
    </row>
    <row r="3861" spans="1:18" x14ac:dyDescent="0.25">
      <c r="A3861" t="s">
        <v>5932</v>
      </c>
      <c r="B3861" t="s">
        <v>349</v>
      </c>
      <c r="C3861" s="8">
        <v>46198</v>
      </c>
      <c r="D3861" t="s">
        <v>2065</v>
      </c>
      <c r="E3861" t="s">
        <v>2059</v>
      </c>
      <c r="F3861" t="s">
        <v>11</v>
      </c>
      <c r="G3861">
        <v>745.04</v>
      </c>
      <c r="H3861" t="s">
        <v>2060</v>
      </c>
      <c r="I3861" t="str">
        <f>VLOOKUP(B3861,Customers!A:G,7,FALSE)</f>
        <v>Individual</v>
      </c>
      <c r="Q3861" t="str">
        <f>IF(COUNTIF(Customers!$A$2:$A$1001,B3861)&gt;0,"Valid","Invalid")</f>
        <v>Valid</v>
      </c>
      <c r="R3861" t="str">
        <f>IF(COUNTIF(Branches!$A$2:$A$11,F3861)&gt;0,"Valid","Invalid")</f>
        <v>Valid</v>
      </c>
    </row>
    <row r="3862" spans="1:18" x14ac:dyDescent="0.25">
      <c r="A3862" t="s">
        <v>5933</v>
      </c>
      <c r="B3862" t="s">
        <v>831</v>
      </c>
      <c r="C3862" s="8">
        <v>46197</v>
      </c>
      <c r="D3862" t="s">
        <v>2058</v>
      </c>
      <c r="E3862" t="s">
        <v>2063</v>
      </c>
      <c r="F3862" t="s">
        <v>11</v>
      </c>
      <c r="G3862">
        <v>1303.45</v>
      </c>
      <c r="H3862" t="s">
        <v>2060</v>
      </c>
      <c r="I3862" t="str">
        <f>VLOOKUP(B3862,Customers!A:G,7,FALSE)</f>
        <v>Corporate</v>
      </c>
      <c r="Q3862" t="str">
        <f>IF(COUNTIF(Customers!$A$2:$A$1001,B3862)&gt;0,"Valid","Invalid")</f>
        <v>Valid</v>
      </c>
      <c r="R3862" t="str">
        <f>IF(COUNTIF(Branches!$A$2:$A$11,F3862)&gt;0,"Valid","Invalid")</f>
        <v>Valid</v>
      </c>
    </row>
    <row r="3863" spans="1:18" x14ac:dyDescent="0.25">
      <c r="A3863" t="s">
        <v>5934</v>
      </c>
      <c r="B3863" t="s">
        <v>576</v>
      </c>
      <c r="C3863" s="8">
        <v>46238</v>
      </c>
      <c r="D3863" t="s">
        <v>2058</v>
      </c>
      <c r="E3863" t="s">
        <v>2068</v>
      </c>
      <c r="F3863" t="s">
        <v>53</v>
      </c>
      <c r="G3863">
        <v>478.82</v>
      </c>
      <c r="H3863" t="s">
        <v>2060</v>
      </c>
      <c r="I3863" t="str">
        <f>VLOOKUP(B3863,Customers!A:G,7,FALSE)</f>
        <v>SME</v>
      </c>
      <c r="Q3863" t="str">
        <f>IF(COUNTIF(Customers!$A$2:$A$1001,B3863)&gt;0,"Valid","Invalid")</f>
        <v>Valid</v>
      </c>
      <c r="R3863" t="str">
        <f>IF(COUNTIF(Branches!$A$2:$A$11,F3863)&gt;0,"Valid","Invalid")</f>
        <v>Valid</v>
      </c>
    </row>
    <row r="3864" spans="1:18" x14ac:dyDescent="0.25">
      <c r="A3864" t="s">
        <v>5935</v>
      </c>
      <c r="B3864" t="s">
        <v>213</v>
      </c>
      <c r="C3864" s="8">
        <v>46218</v>
      </c>
      <c r="D3864" t="s">
        <v>2067</v>
      </c>
      <c r="E3864" t="s">
        <v>2059</v>
      </c>
      <c r="F3864" t="s">
        <v>29</v>
      </c>
      <c r="G3864">
        <v>280.08</v>
      </c>
      <c r="H3864" t="s">
        <v>2060</v>
      </c>
      <c r="I3864" t="str">
        <f>VLOOKUP(B3864,Customers!A:G,7,FALSE)</f>
        <v>Individual</v>
      </c>
      <c r="Q3864" t="str">
        <f>IF(COUNTIF(Customers!$A$2:$A$1001,B3864)&gt;0,"Valid","Invalid")</f>
        <v>Valid</v>
      </c>
      <c r="R3864" t="str">
        <f>IF(COUNTIF(Branches!$A$2:$A$11,F3864)&gt;0,"Valid","Invalid")</f>
        <v>Valid</v>
      </c>
    </row>
    <row r="3865" spans="1:18" x14ac:dyDescent="0.25">
      <c r="A3865" t="s">
        <v>5936</v>
      </c>
      <c r="B3865" t="s">
        <v>613</v>
      </c>
      <c r="C3865" s="8">
        <v>46234</v>
      </c>
      <c r="D3865" t="s">
        <v>2058</v>
      </c>
      <c r="E3865" t="s">
        <v>2073</v>
      </c>
      <c r="F3865" t="s">
        <v>27</v>
      </c>
      <c r="G3865">
        <v>399.87</v>
      </c>
      <c r="H3865" t="s">
        <v>2060</v>
      </c>
      <c r="I3865" t="str">
        <f>VLOOKUP(B3865,Customers!A:G,7,FALSE)</f>
        <v>Individual</v>
      </c>
      <c r="Q3865" t="str">
        <f>IF(COUNTIF(Customers!$A$2:$A$1001,B3865)&gt;0,"Valid","Invalid")</f>
        <v>Valid</v>
      </c>
      <c r="R3865" t="str">
        <f>IF(COUNTIF(Branches!$A$2:$A$11,F3865)&gt;0,"Valid","Invalid")</f>
        <v>Valid</v>
      </c>
    </row>
    <row r="3866" spans="1:18" x14ac:dyDescent="0.25">
      <c r="A3866" t="s">
        <v>5937</v>
      </c>
      <c r="B3866" t="s">
        <v>467</v>
      </c>
      <c r="C3866" s="8">
        <v>46213</v>
      </c>
      <c r="D3866" t="s">
        <v>2070</v>
      </c>
      <c r="E3866" t="s">
        <v>2063</v>
      </c>
      <c r="F3866" t="s">
        <v>11</v>
      </c>
      <c r="G3866">
        <v>3438.04</v>
      </c>
      <c r="H3866" t="s">
        <v>2060</v>
      </c>
      <c r="I3866" t="str">
        <f>VLOOKUP(B3866,Customers!A:G,7,FALSE)</f>
        <v>SME</v>
      </c>
      <c r="Q3866" t="str">
        <f>IF(COUNTIF(Customers!$A$2:$A$1001,B3866)&gt;0,"Valid","Invalid")</f>
        <v>Valid</v>
      </c>
      <c r="R3866" t="str">
        <f>IF(COUNTIF(Branches!$A$2:$A$11,F3866)&gt;0,"Valid","Invalid")</f>
        <v>Valid</v>
      </c>
    </row>
    <row r="3867" spans="1:18" x14ac:dyDescent="0.25">
      <c r="A3867" t="s">
        <v>5938</v>
      </c>
      <c r="B3867" t="s">
        <v>109</v>
      </c>
      <c r="C3867" s="8">
        <v>46038</v>
      </c>
      <c r="D3867" t="s">
        <v>2062</v>
      </c>
      <c r="E3867" t="s">
        <v>2063</v>
      </c>
      <c r="F3867" t="s">
        <v>27</v>
      </c>
      <c r="G3867">
        <v>2113.2199999999998</v>
      </c>
      <c r="H3867" t="s">
        <v>2060</v>
      </c>
      <c r="I3867" t="str">
        <f>VLOOKUP(B3867,Customers!A:G,7,FALSE)</f>
        <v>Individual</v>
      </c>
      <c r="Q3867" t="str">
        <f>IF(COUNTIF(Customers!$A$2:$A$1001,B3867)&gt;0,"Valid","Invalid")</f>
        <v>Valid</v>
      </c>
      <c r="R3867" t="str">
        <f>IF(COUNTIF(Branches!$A$2:$A$11,F3867)&gt;0,"Valid","Invalid")</f>
        <v>Valid</v>
      </c>
    </row>
    <row r="3868" spans="1:18" x14ac:dyDescent="0.25">
      <c r="A3868" t="s">
        <v>5939</v>
      </c>
      <c r="B3868" t="s">
        <v>885</v>
      </c>
      <c r="C3868" s="8">
        <v>46224</v>
      </c>
      <c r="D3868" t="s">
        <v>2065</v>
      </c>
      <c r="E3868" t="s">
        <v>2059</v>
      </c>
      <c r="F3868" t="s">
        <v>29</v>
      </c>
      <c r="G3868">
        <v>2733.61</v>
      </c>
      <c r="H3868" t="s">
        <v>2060</v>
      </c>
      <c r="I3868" t="str">
        <f>VLOOKUP(B3868,Customers!A:G,7,FALSE)</f>
        <v>Individual</v>
      </c>
      <c r="Q3868" t="str">
        <f>IF(COUNTIF(Customers!$A$2:$A$1001,B3868)&gt;0,"Valid","Invalid")</f>
        <v>Valid</v>
      </c>
      <c r="R3868" t="str">
        <f>IF(COUNTIF(Branches!$A$2:$A$11,F3868)&gt;0,"Valid","Invalid")</f>
        <v>Valid</v>
      </c>
    </row>
    <row r="3869" spans="1:18" x14ac:dyDescent="0.25">
      <c r="A3869" t="s">
        <v>5940</v>
      </c>
      <c r="B3869" t="s">
        <v>203</v>
      </c>
      <c r="C3869" s="8">
        <v>46129</v>
      </c>
      <c r="D3869" t="s">
        <v>2065</v>
      </c>
      <c r="E3869" t="s">
        <v>2063</v>
      </c>
      <c r="F3869" t="s">
        <v>11</v>
      </c>
      <c r="G3869">
        <v>2929.87</v>
      </c>
      <c r="H3869" t="s">
        <v>2060</v>
      </c>
      <c r="I3869" t="str">
        <f>VLOOKUP(B3869,Customers!A:G,7,FALSE)</f>
        <v>Student</v>
      </c>
      <c r="Q3869" t="str">
        <f>IF(COUNTIF(Customers!$A$2:$A$1001,B3869)&gt;0,"Valid","Invalid")</f>
        <v>Valid</v>
      </c>
      <c r="R3869" t="str">
        <f>IF(COUNTIF(Branches!$A$2:$A$11,F3869)&gt;0,"Valid","Invalid")</f>
        <v>Valid</v>
      </c>
    </row>
    <row r="3870" spans="1:18" x14ac:dyDescent="0.25">
      <c r="A3870" t="s">
        <v>5941</v>
      </c>
      <c r="B3870" t="s">
        <v>262</v>
      </c>
      <c r="C3870" s="8">
        <v>46240</v>
      </c>
      <c r="D3870" t="s">
        <v>2070</v>
      </c>
      <c r="E3870" t="s">
        <v>2073</v>
      </c>
      <c r="F3870" t="s">
        <v>21</v>
      </c>
      <c r="G3870">
        <v>509.63</v>
      </c>
      <c r="H3870" t="s">
        <v>2060</v>
      </c>
      <c r="I3870" t="str">
        <f>VLOOKUP(B3870,Customers!A:G,7,FALSE)</f>
        <v>Individual</v>
      </c>
      <c r="Q3870" t="str">
        <f>IF(COUNTIF(Customers!$A$2:$A$1001,B3870)&gt;0,"Valid","Invalid")</f>
        <v>Valid</v>
      </c>
      <c r="R3870" t="str">
        <f>IF(COUNTIF(Branches!$A$2:$A$11,F3870)&gt;0,"Valid","Invalid")</f>
        <v>Valid</v>
      </c>
    </row>
    <row r="3871" spans="1:18" x14ac:dyDescent="0.25">
      <c r="A3871" t="s">
        <v>5942</v>
      </c>
      <c r="B3871" t="s">
        <v>615</v>
      </c>
      <c r="C3871" s="8">
        <v>46115</v>
      </c>
      <c r="D3871" t="s">
        <v>2062</v>
      </c>
      <c r="E3871" t="s">
        <v>2063</v>
      </c>
      <c r="F3871" t="s">
        <v>27</v>
      </c>
      <c r="G3871">
        <v>1092.05</v>
      </c>
      <c r="H3871" t="s">
        <v>2060</v>
      </c>
      <c r="I3871" t="str">
        <f>VLOOKUP(B3871,Customers!A:G,7,FALSE)</f>
        <v>Student</v>
      </c>
      <c r="Q3871" t="str">
        <f>IF(COUNTIF(Customers!$A$2:$A$1001,B3871)&gt;0,"Valid","Invalid")</f>
        <v>Valid</v>
      </c>
      <c r="R3871" t="str">
        <f>IF(COUNTIF(Branches!$A$2:$A$11,F3871)&gt;0,"Valid","Invalid")</f>
        <v>Valid</v>
      </c>
    </row>
    <row r="3872" spans="1:18" x14ac:dyDescent="0.25">
      <c r="A3872" t="s">
        <v>5943</v>
      </c>
      <c r="B3872" t="s">
        <v>619</v>
      </c>
      <c r="C3872" s="8">
        <v>46155</v>
      </c>
      <c r="D3872" t="s">
        <v>2062</v>
      </c>
      <c r="E3872" t="s">
        <v>2059</v>
      </c>
      <c r="F3872" t="s">
        <v>45</v>
      </c>
      <c r="G3872">
        <v>876.41</v>
      </c>
      <c r="H3872" t="s">
        <v>2060</v>
      </c>
      <c r="I3872" t="str">
        <f>VLOOKUP(B3872,Customers!A:G,7,FALSE)</f>
        <v>Individual</v>
      </c>
      <c r="Q3872" t="str">
        <f>IF(COUNTIF(Customers!$A$2:$A$1001,B3872)&gt;0,"Valid","Invalid")</f>
        <v>Valid</v>
      </c>
      <c r="R3872" t="str">
        <f>IF(COUNTIF(Branches!$A$2:$A$11,F3872)&gt;0,"Valid","Invalid")</f>
        <v>Valid</v>
      </c>
    </row>
    <row r="3873" spans="1:18" x14ac:dyDescent="0.25">
      <c r="A3873" t="s">
        <v>5944</v>
      </c>
      <c r="B3873" t="s">
        <v>990</v>
      </c>
      <c r="C3873" s="8">
        <v>46161</v>
      </c>
      <c r="D3873" t="s">
        <v>2067</v>
      </c>
      <c r="E3873" t="s">
        <v>2073</v>
      </c>
      <c r="F3873" t="s">
        <v>39</v>
      </c>
      <c r="G3873">
        <v>1571.11</v>
      </c>
      <c r="H3873" t="s">
        <v>2060</v>
      </c>
      <c r="I3873" t="str">
        <f>VLOOKUP(B3873,Customers!A:G,7,FALSE)</f>
        <v>Individual</v>
      </c>
      <c r="Q3873" t="str">
        <f>IF(COUNTIF(Customers!$A$2:$A$1001,B3873)&gt;0,"Valid","Invalid")</f>
        <v>Valid</v>
      </c>
      <c r="R3873" t="str">
        <f>IF(COUNTIF(Branches!$A$2:$A$11,F3873)&gt;0,"Valid","Invalid")</f>
        <v>Valid</v>
      </c>
    </row>
    <row r="3874" spans="1:18" x14ac:dyDescent="0.25">
      <c r="A3874" t="s">
        <v>5945</v>
      </c>
      <c r="B3874" t="s">
        <v>36</v>
      </c>
      <c r="C3874" s="8">
        <v>46179</v>
      </c>
      <c r="D3874" t="s">
        <v>2062</v>
      </c>
      <c r="E3874" t="s">
        <v>2059</v>
      </c>
      <c r="F3874" t="s">
        <v>35</v>
      </c>
      <c r="G3874">
        <v>608.4</v>
      </c>
      <c r="H3874" t="s">
        <v>2060</v>
      </c>
      <c r="I3874" t="str">
        <f>VLOOKUP(B3874,Customers!A:G,7,FALSE)</f>
        <v>Individual</v>
      </c>
      <c r="Q3874" t="str">
        <f>IF(COUNTIF(Customers!$A$2:$A$1001,B3874)&gt;0,"Valid","Invalid")</f>
        <v>Valid</v>
      </c>
      <c r="R3874" t="str">
        <f>IF(COUNTIF(Branches!$A$2:$A$11,F3874)&gt;0,"Valid","Invalid")</f>
        <v>Valid</v>
      </c>
    </row>
    <row r="3875" spans="1:18" x14ac:dyDescent="0.25">
      <c r="A3875" t="s">
        <v>5946</v>
      </c>
      <c r="B3875" t="s">
        <v>274</v>
      </c>
      <c r="C3875" s="8">
        <v>46259</v>
      </c>
      <c r="D3875" t="s">
        <v>2062</v>
      </c>
      <c r="E3875" t="s">
        <v>2063</v>
      </c>
      <c r="F3875" t="s">
        <v>29</v>
      </c>
      <c r="G3875">
        <v>891.56</v>
      </c>
      <c r="H3875" t="s">
        <v>2060</v>
      </c>
      <c r="I3875" t="str">
        <f>VLOOKUP(B3875,Customers!A:G,7,FALSE)</f>
        <v>Individual</v>
      </c>
      <c r="Q3875" t="str">
        <f>IF(COUNTIF(Customers!$A$2:$A$1001,B3875)&gt;0,"Valid","Invalid")</f>
        <v>Valid</v>
      </c>
      <c r="R3875" t="str">
        <f>IF(COUNTIF(Branches!$A$2:$A$11,F3875)&gt;0,"Valid","Invalid")</f>
        <v>Valid</v>
      </c>
    </row>
    <row r="3876" spans="1:18" x14ac:dyDescent="0.25">
      <c r="A3876" t="s">
        <v>5947</v>
      </c>
      <c r="B3876" t="s">
        <v>748</v>
      </c>
      <c r="C3876" s="8">
        <v>46101</v>
      </c>
      <c r="D3876" t="s">
        <v>2067</v>
      </c>
      <c r="E3876" t="s">
        <v>2063</v>
      </c>
      <c r="F3876" t="s">
        <v>47</v>
      </c>
      <c r="G3876">
        <v>873.29</v>
      </c>
      <c r="H3876" t="s">
        <v>2060</v>
      </c>
      <c r="I3876" t="str">
        <f>VLOOKUP(B3876,Customers!A:G,7,FALSE)</f>
        <v>Individual</v>
      </c>
      <c r="Q3876" t="str">
        <f>IF(COUNTIF(Customers!$A$2:$A$1001,B3876)&gt;0,"Valid","Invalid")</f>
        <v>Valid</v>
      </c>
      <c r="R3876" t="str">
        <f>IF(COUNTIF(Branches!$A$2:$A$11,F3876)&gt;0,"Valid","Invalid")</f>
        <v>Valid</v>
      </c>
    </row>
    <row r="3877" spans="1:18" x14ac:dyDescent="0.25">
      <c r="A3877" t="s">
        <v>5948</v>
      </c>
      <c r="B3877" t="s">
        <v>962</v>
      </c>
      <c r="C3877" s="8">
        <v>46092</v>
      </c>
      <c r="D3877" t="s">
        <v>2058</v>
      </c>
      <c r="E3877" t="s">
        <v>2059</v>
      </c>
      <c r="F3877" t="s">
        <v>27</v>
      </c>
      <c r="G3877">
        <v>1383.35</v>
      </c>
      <c r="H3877" t="s">
        <v>2060</v>
      </c>
      <c r="I3877" t="str">
        <f>VLOOKUP(B3877,Customers!A:G,7,FALSE)</f>
        <v>Individual</v>
      </c>
      <c r="Q3877" t="str">
        <f>IF(COUNTIF(Customers!$A$2:$A$1001,B3877)&gt;0,"Valid","Invalid")</f>
        <v>Valid</v>
      </c>
      <c r="R3877" t="str">
        <f>IF(COUNTIF(Branches!$A$2:$A$11,F3877)&gt;0,"Valid","Invalid")</f>
        <v>Valid</v>
      </c>
    </row>
    <row r="3878" spans="1:18" x14ac:dyDescent="0.25">
      <c r="A3878" t="s">
        <v>5949</v>
      </c>
      <c r="B3878" t="s">
        <v>723</v>
      </c>
      <c r="C3878" s="8">
        <v>46070</v>
      </c>
      <c r="D3878" t="s">
        <v>2058</v>
      </c>
      <c r="E3878" t="s">
        <v>2063</v>
      </c>
      <c r="F3878" t="s">
        <v>16</v>
      </c>
      <c r="G3878">
        <v>1565.12</v>
      </c>
      <c r="H3878" t="s">
        <v>2060</v>
      </c>
      <c r="I3878" t="str">
        <f>VLOOKUP(B3878,Customers!A:G,7,FALSE)</f>
        <v>SME</v>
      </c>
      <c r="Q3878" t="str">
        <f>IF(COUNTIF(Customers!$A$2:$A$1001,B3878)&gt;0,"Valid","Invalid")</f>
        <v>Valid</v>
      </c>
      <c r="R3878" t="str">
        <f>IF(COUNTIF(Branches!$A$2:$A$11,F3878)&gt;0,"Valid","Invalid")</f>
        <v>Valid</v>
      </c>
    </row>
    <row r="3879" spans="1:18" x14ac:dyDescent="0.25">
      <c r="A3879" t="s">
        <v>5950</v>
      </c>
      <c r="B3879" t="s">
        <v>832</v>
      </c>
      <c r="C3879" s="8">
        <v>46037</v>
      </c>
      <c r="D3879" t="s">
        <v>2058</v>
      </c>
      <c r="E3879" t="s">
        <v>2059</v>
      </c>
      <c r="F3879" t="s">
        <v>39</v>
      </c>
      <c r="G3879">
        <v>892.18</v>
      </c>
      <c r="H3879" t="s">
        <v>2060</v>
      </c>
      <c r="I3879" t="str">
        <f>VLOOKUP(B3879,Customers!A:G,7,FALSE)</f>
        <v>Individual</v>
      </c>
      <c r="Q3879" t="str">
        <f>IF(COUNTIF(Customers!$A$2:$A$1001,B3879)&gt;0,"Valid","Invalid")</f>
        <v>Valid</v>
      </c>
      <c r="R3879" t="str">
        <f>IF(COUNTIF(Branches!$A$2:$A$11,F3879)&gt;0,"Valid","Invalid")</f>
        <v>Valid</v>
      </c>
    </row>
    <row r="3880" spans="1:18" x14ac:dyDescent="0.25">
      <c r="A3880" t="s">
        <v>5951</v>
      </c>
      <c r="B3880" t="s">
        <v>62</v>
      </c>
      <c r="C3880" s="8">
        <v>46257</v>
      </c>
      <c r="D3880" t="s">
        <v>2062</v>
      </c>
      <c r="E3880" t="s">
        <v>2068</v>
      </c>
      <c r="F3880" t="s">
        <v>53</v>
      </c>
      <c r="G3880">
        <v>919.65</v>
      </c>
      <c r="H3880" t="s">
        <v>2060</v>
      </c>
      <c r="I3880" t="str">
        <f>VLOOKUP(B3880,Customers!A:G,7,FALSE)</f>
        <v>Individual</v>
      </c>
      <c r="Q3880" t="str">
        <f>IF(COUNTIF(Customers!$A$2:$A$1001,B3880)&gt;0,"Valid","Invalid")</f>
        <v>Valid</v>
      </c>
      <c r="R3880" t="str">
        <f>IF(COUNTIF(Branches!$A$2:$A$11,F3880)&gt;0,"Valid","Invalid")</f>
        <v>Valid</v>
      </c>
    </row>
    <row r="3881" spans="1:18" x14ac:dyDescent="0.25">
      <c r="A3881" t="s">
        <v>5952</v>
      </c>
      <c r="B3881" t="s">
        <v>846</v>
      </c>
      <c r="C3881" s="8">
        <v>46234</v>
      </c>
      <c r="D3881" t="s">
        <v>2062</v>
      </c>
      <c r="E3881" t="s">
        <v>2068</v>
      </c>
      <c r="F3881" t="s">
        <v>29</v>
      </c>
      <c r="G3881">
        <v>1018.31</v>
      </c>
      <c r="H3881" t="s">
        <v>2060</v>
      </c>
      <c r="I3881" t="str">
        <f>VLOOKUP(B3881,Customers!A:G,7,FALSE)</f>
        <v>Individual</v>
      </c>
      <c r="Q3881" t="str">
        <f>IF(COUNTIF(Customers!$A$2:$A$1001,B3881)&gt;0,"Valid","Invalid")</f>
        <v>Valid</v>
      </c>
      <c r="R3881" t="str">
        <f>IF(COUNTIF(Branches!$A$2:$A$11,F3881)&gt;0,"Valid","Invalid")</f>
        <v>Valid</v>
      </c>
    </row>
    <row r="3882" spans="1:18" x14ac:dyDescent="0.25">
      <c r="A3882" t="s">
        <v>5953</v>
      </c>
      <c r="B3882" t="s">
        <v>949</v>
      </c>
      <c r="C3882" s="8">
        <v>46056</v>
      </c>
      <c r="D3882" t="s">
        <v>2062</v>
      </c>
      <c r="E3882" t="s">
        <v>2063</v>
      </c>
      <c r="F3882" t="s">
        <v>53</v>
      </c>
      <c r="G3882">
        <v>4215.62</v>
      </c>
      <c r="H3882" t="s">
        <v>2107</v>
      </c>
      <c r="I3882" t="str">
        <f>VLOOKUP(B3882,Customers!A:G,7,FALSE)</f>
        <v>Student</v>
      </c>
      <c r="Q3882" t="str">
        <f>IF(COUNTIF(Customers!$A$2:$A$1001,B3882)&gt;0,"Valid","Invalid")</f>
        <v>Valid</v>
      </c>
      <c r="R3882" t="str">
        <f>IF(COUNTIF(Branches!$A$2:$A$11,F3882)&gt;0,"Valid","Invalid")</f>
        <v>Valid</v>
      </c>
    </row>
    <row r="3883" spans="1:18" x14ac:dyDescent="0.25">
      <c r="A3883" t="s">
        <v>5954</v>
      </c>
      <c r="B3883" t="s">
        <v>684</v>
      </c>
      <c r="C3883" s="8">
        <v>46082</v>
      </c>
      <c r="D3883" t="s">
        <v>2062</v>
      </c>
      <c r="E3883" t="s">
        <v>2063</v>
      </c>
      <c r="F3883" t="s">
        <v>53</v>
      </c>
      <c r="G3883">
        <v>144.03</v>
      </c>
      <c r="H3883" t="s">
        <v>2060</v>
      </c>
      <c r="I3883" t="str">
        <f>VLOOKUP(B3883,Customers!A:G,7,FALSE)</f>
        <v>Student</v>
      </c>
      <c r="Q3883" t="str">
        <f>IF(COUNTIF(Customers!$A$2:$A$1001,B3883)&gt;0,"Valid","Invalid")</f>
        <v>Valid</v>
      </c>
      <c r="R3883" t="str">
        <f>IF(COUNTIF(Branches!$A$2:$A$11,F3883)&gt;0,"Valid","Invalid")</f>
        <v>Valid</v>
      </c>
    </row>
    <row r="3884" spans="1:18" x14ac:dyDescent="0.25">
      <c r="A3884" t="s">
        <v>5955</v>
      </c>
      <c r="B3884" t="s">
        <v>61</v>
      </c>
      <c r="C3884" s="8">
        <v>46212</v>
      </c>
      <c r="D3884" t="s">
        <v>2058</v>
      </c>
      <c r="E3884" t="s">
        <v>2063</v>
      </c>
      <c r="F3884" t="s">
        <v>21</v>
      </c>
      <c r="G3884">
        <v>308.07</v>
      </c>
      <c r="H3884" t="s">
        <v>2060</v>
      </c>
      <c r="I3884" t="str">
        <f>VLOOKUP(B3884,Customers!A:G,7,FALSE)</f>
        <v>Student</v>
      </c>
      <c r="Q3884" t="str">
        <f>IF(COUNTIF(Customers!$A$2:$A$1001,B3884)&gt;0,"Valid","Invalid")</f>
        <v>Valid</v>
      </c>
      <c r="R3884" t="str">
        <f>IF(COUNTIF(Branches!$A$2:$A$11,F3884)&gt;0,"Valid","Invalid")</f>
        <v>Valid</v>
      </c>
    </row>
    <row r="3885" spans="1:18" x14ac:dyDescent="0.25">
      <c r="A3885" t="s">
        <v>5956</v>
      </c>
      <c r="B3885" t="s">
        <v>588</v>
      </c>
      <c r="C3885" s="8">
        <v>46024</v>
      </c>
      <c r="D3885" t="s">
        <v>2067</v>
      </c>
      <c r="E3885" t="s">
        <v>2076</v>
      </c>
      <c r="F3885" t="s">
        <v>53</v>
      </c>
      <c r="G3885">
        <v>1593.49</v>
      </c>
      <c r="H3885" t="s">
        <v>2060</v>
      </c>
      <c r="I3885" t="str">
        <f>VLOOKUP(B3885,Customers!A:G,7,FALSE)</f>
        <v>Individual</v>
      </c>
      <c r="Q3885" t="str">
        <f>IF(COUNTIF(Customers!$A$2:$A$1001,B3885)&gt;0,"Valid","Invalid")</f>
        <v>Valid</v>
      </c>
      <c r="R3885" t="str">
        <f>IF(COUNTIF(Branches!$A$2:$A$11,F3885)&gt;0,"Valid","Invalid")</f>
        <v>Valid</v>
      </c>
    </row>
    <row r="3886" spans="1:18" x14ac:dyDescent="0.25">
      <c r="A3886" t="s">
        <v>5957</v>
      </c>
      <c r="B3886" t="s">
        <v>233</v>
      </c>
      <c r="C3886" s="8">
        <v>46258</v>
      </c>
      <c r="D3886" t="s">
        <v>2062</v>
      </c>
      <c r="E3886" t="s">
        <v>2059</v>
      </c>
      <c r="F3886" t="s">
        <v>11</v>
      </c>
      <c r="G3886">
        <v>1063.99</v>
      </c>
      <c r="H3886" t="s">
        <v>2060</v>
      </c>
      <c r="I3886" t="str">
        <f>VLOOKUP(B3886,Customers!A:G,7,FALSE)</f>
        <v>Individual</v>
      </c>
      <c r="Q3886" t="str">
        <f>IF(COUNTIF(Customers!$A$2:$A$1001,B3886)&gt;0,"Valid","Invalid")</f>
        <v>Valid</v>
      </c>
      <c r="R3886" t="str">
        <f>IF(COUNTIF(Branches!$A$2:$A$11,F3886)&gt;0,"Valid","Invalid")</f>
        <v>Valid</v>
      </c>
    </row>
    <row r="3887" spans="1:18" x14ac:dyDescent="0.25">
      <c r="A3887" t="s">
        <v>5958</v>
      </c>
      <c r="B3887" t="s">
        <v>240</v>
      </c>
      <c r="C3887" s="8">
        <v>46102</v>
      </c>
      <c r="D3887" t="s">
        <v>2058</v>
      </c>
      <c r="E3887" t="s">
        <v>2068</v>
      </c>
      <c r="F3887" t="s">
        <v>29</v>
      </c>
      <c r="G3887">
        <v>1056.53</v>
      </c>
      <c r="H3887" t="s">
        <v>2060</v>
      </c>
      <c r="I3887" t="str">
        <f>VLOOKUP(B3887,Customers!A:G,7,FALSE)</f>
        <v>Student</v>
      </c>
      <c r="Q3887" t="str">
        <f>IF(COUNTIF(Customers!$A$2:$A$1001,B3887)&gt;0,"Valid","Invalid")</f>
        <v>Valid</v>
      </c>
      <c r="R3887" t="str">
        <f>IF(COUNTIF(Branches!$A$2:$A$11,F3887)&gt;0,"Valid","Invalid")</f>
        <v>Valid</v>
      </c>
    </row>
    <row r="3888" spans="1:18" x14ac:dyDescent="0.25">
      <c r="A3888" t="s">
        <v>5959</v>
      </c>
      <c r="B3888" t="s">
        <v>121</v>
      </c>
      <c r="C3888" s="8">
        <v>46041</v>
      </c>
      <c r="D3888" t="s">
        <v>2065</v>
      </c>
      <c r="E3888" t="s">
        <v>2076</v>
      </c>
      <c r="F3888" t="s">
        <v>29</v>
      </c>
      <c r="G3888">
        <v>1583.66</v>
      </c>
      <c r="H3888" t="s">
        <v>2060</v>
      </c>
      <c r="I3888" t="str">
        <f>VLOOKUP(B3888,Customers!A:G,7,FALSE)</f>
        <v>Corporate</v>
      </c>
      <c r="Q3888" t="str">
        <f>IF(COUNTIF(Customers!$A$2:$A$1001,B3888)&gt;0,"Valid","Invalid")</f>
        <v>Valid</v>
      </c>
      <c r="R3888" t="str">
        <f>IF(COUNTIF(Branches!$A$2:$A$11,F3888)&gt;0,"Valid","Invalid")</f>
        <v>Valid</v>
      </c>
    </row>
    <row r="3889" spans="1:18" x14ac:dyDescent="0.25">
      <c r="A3889" t="s">
        <v>5960</v>
      </c>
      <c r="B3889" t="s">
        <v>870</v>
      </c>
      <c r="C3889" s="8">
        <v>46248</v>
      </c>
      <c r="D3889" t="s">
        <v>2058</v>
      </c>
      <c r="E3889" t="s">
        <v>2063</v>
      </c>
      <c r="F3889" t="s">
        <v>53</v>
      </c>
      <c r="G3889">
        <v>1006.26</v>
      </c>
      <c r="H3889" t="s">
        <v>2060</v>
      </c>
      <c r="I3889" t="str">
        <f>VLOOKUP(B3889,Customers!A:G,7,FALSE)</f>
        <v>SME</v>
      </c>
      <c r="Q3889" t="str">
        <f>IF(COUNTIF(Customers!$A$2:$A$1001,B3889)&gt;0,"Valid","Invalid")</f>
        <v>Valid</v>
      </c>
      <c r="R3889" t="str">
        <f>IF(COUNTIF(Branches!$A$2:$A$11,F3889)&gt;0,"Valid","Invalid")</f>
        <v>Valid</v>
      </c>
    </row>
    <row r="3890" spans="1:18" x14ac:dyDescent="0.25">
      <c r="A3890" t="s">
        <v>5961</v>
      </c>
      <c r="B3890" t="s">
        <v>64</v>
      </c>
      <c r="C3890" s="8">
        <v>46071</v>
      </c>
      <c r="D3890" t="s">
        <v>2065</v>
      </c>
      <c r="E3890" t="s">
        <v>2076</v>
      </c>
      <c r="F3890" t="s">
        <v>11</v>
      </c>
      <c r="G3890">
        <v>464.39</v>
      </c>
      <c r="H3890" t="s">
        <v>2060</v>
      </c>
      <c r="I3890" t="str">
        <f>VLOOKUP(B3890,Customers!A:G,7,FALSE)</f>
        <v>SME</v>
      </c>
      <c r="Q3890" t="str">
        <f>IF(COUNTIF(Customers!$A$2:$A$1001,B3890)&gt;0,"Valid","Invalid")</f>
        <v>Valid</v>
      </c>
      <c r="R3890" t="str">
        <f>IF(COUNTIF(Branches!$A$2:$A$11,F3890)&gt;0,"Valid","Invalid")</f>
        <v>Valid</v>
      </c>
    </row>
    <row r="3891" spans="1:18" x14ac:dyDescent="0.25">
      <c r="A3891" t="s">
        <v>5962</v>
      </c>
      <c r="B3891" t="s">
        <v>504</v>
      </c>
      <c r="C3891" s="8">
        <v>46100</v>
      </c>
      <c r="D3891" t="s">
        <v>2058</v>
      </c>
      <c r="E3891" t="s">
        <v>2063</v>
      </c>
      <c r="F3891" t="s">
        <v>27</v>
      </c>
      <c r="G3891">
        <v>1523.57</v>
      </c>
      <c r="H3891" t="s">
        <v>2060</v>
      </c>
      <c r="I3891" t="str">
        <f>VLOOKUP(B3891,Customers!A:G,7,FALSE)</f>
        <v>Student</v>
      </c>
      <c r="Q3891" t="str">
        <f>IF(COUNTIF(Customers!$A$2:$A$1001,B3891)&gt;0,"Valid","Invalid")</f>
        <v>Valid</v>
      </c>
      <c r="R3891" t="str">
        <f>IF(COUNTIF(Branches!$A$2:$A$11,F3891)&gt;0,"Valid","Invalid")</f>
        <v>Valid</v>
      </c>
    </row>
    <row r="3892" spans="1:18" x14ac:dyDescent="0.25">
      <c r="A3892" t="s">
        <v>5963</v>
      </c>
      <c r="B3892" t="s">
        <v>135</v>
      </c>
      <c r="C3892" s="8">
        <v>46238</v>
      </c>
      <c r="D3892" t="s">
        <v>2067</v>
      </c>
      <c r="E3892" t="s">
        <v>2063</v>
      </c>
      <c r="F3892" t="s">
        <v>21</v>
      </c>
      <c r="G3892">
        <v>829.55</v>
      </c>
      <c r="H3892" t="s">
        <v>2060</v>
      </c>
      <c r="I3892" t="str">
        <f>VLOOKUP(B3892,Customers!A:G,7,FALSE)</f>
        <v>Individual</v>
      </c>
      <c r="Q3892" t="str">
        <f>IF(COUNTIF(Customers!$A$2:$A$1001,B3892)&gt;0,"Valid","Invalid")</f>
        <v>Valid</v>
      </c>
      <c r="R3892" t="str">
        <f>IF(COUNTIF(Branches!$A$2:$A$11,F3892)&gt;0,"Valid","Invalid")</f>
        <v>Valid</v>
      </c>
    </row>
    <row r="3893" spans="1:18" x14ac:dyDescent="0.25">
      <c r="A3893" t="s">
        <v>5964</v>
      </c>
      <c r="B3893" t="s">
        <v>937</v>
      </c>
      <c r="C3893" s="8">
        <v>46050</v>
      </c>
      <c r="D3893" t="s">
        <v>2065</v>
      </c>
      <c r="E3893" t="s">
        <v>2063</v>
      </c>
      <c r="F3893" t="s">
        <v>29</v>
      </c>
      <c r="G3893">
        <v>519.27</v>
      </c>
      <c r="H3893" t="s">
        <v>2060</v>
      </c>
      <c r="I3893" t="str">
        <f>VLOOKUP(B3893,Customers!A:G,7,FALSE)</f>
        <v>SME</v>
      </c>
      <c r="Q3893" t="str">
        <f>IF(COUNTIF(Customers!$A$2:$A$1001,B3893)&gt;0,"Valid","Invalid")</f>
        <v>Valid</v>
      </c>
      <c r="R3893" t="str">
        <f>IF(COUNTIF(Branches!$A$2:$A$11,F3893)&gt;0,"Valid","Invalid")</f>
        <v>Valid</v>
      </c>
    </row>
    <row r="3894" spans="1:18" x14ac:dyDescent="0.25">
      <c r="A3894" t="s">
        <v>5965</v>
      </c>
      <c r="B3894" t="s">
        <v>227</v>
      </c>
      <c r="C3894" s="8">
        <v>46070</v>
      </c>
      <c r="D3894" t="s">
        <v>2070</v>
      </c>
      <c r="E3894" t="s">
        <v>2063</v>
      </c>
      <c r="F3894" t="s">
        <v>53</v>
      </c>
      <c r="G3894">
        <v>1620.29</v>
      </c>
      <c r="H3894" t="s">
        <v>2060</v>
      </c>
      <c r="I3894" t="str">
        <f>VLOOKUP(B3894,Customers!A:G,7,FALSE)</f>
        <v>SME</v>
      </c>
      <c r="Q3894" t="str">
        <f>IF(COUNTIF(Customers!$A$2:$A$1001,B3894)&gt;0,"Valid","Invalid")</f>
        <v>Valid</v>
      </c>
      <c r="R3894" t="str">
        <f>IF(COUNTIF(Branches!$A$2:$A$11,F3894)&gt;0,"Valid","Invalid")</f>
        <v>Valid</v>
      </c>
    </row>
    <row r="3895" spans="1:18" x14ac:dyDescent="0.25">
      <c r="A3895" t="s">
        <v>5966</v>
      </c>
      <c r="B3895" t="s">
        <v>41</v>
      </c>
      <c r="C3895" s="8">
        <v>46118</v>
      </c>
      <c r="D3895" t="s">
        <v>2062</v>
      </c>
      <c r="E3895" t="s">
        <v>2076</v>
      </c>
      <c r="F3895" t="s">
        <v>35</v>
      </c>
      <c r="G3895">
        <v>1557.81</v>
      </c>
      <c r="H3895" t="s">
        <v>2060</v>
      </c>
      <c r="I3895" t="str">
        <f>VLOOKUP(B3895,Customers!A:G,7,FALSE)</f>
        <v>Individual</v>
      </c>
      <c r="Q3895" t="str">
        <f>IF(COUNTIF(Customers!$A$2:$A$1001,B3895)&gt;0,"Valid","Invalid")</f>
        <v>Valid</v>
      </c>
      <c r="R3895" t="str">
        <f>IF(COUNTIF(Branches!$A$2:$A$11,F3895)&gt;0,"Valid","Invalid")</f>
        <v>Valid</v>
      </c>
    </row>
    <row r="3896" spans="1:18" x14ac:dyDescent="0.25">
      <c r="A3896" t="s">
        <v>5967</v>
      </c>
      <c r="B3896" t="s">
        <v>641</v>
      </c>
      <c r="C3896" s="8">
        <v>46187</v>
      </c>
      <c r="D3896" t="s">
        <v>2062</v>
      </c>
      <c r="E3896" t="s">
        <v>2059</v>
      </c>
      <c r="F3896" t="s">
        <v>53</v>
      </c>
      <c r="G3896">
        <v>1007.04</v>
      </c>
      <c r="H3896" t="s">
        <v>2060</v>
      </c>
      <c r="I3896" t="str">
        <f>VLOOKUP(B3896,Customers!A:G,7,FALSE)</f>
        <v>Individual</v>
      </c>
      <c r="Q3896" t="str">
        <f>IF(COUNTIF(Customers!$A$2:$A$1001,B3896)&gt;0,"Valid","Invalid")</f>
        <v>Valid</v>
      </c>
      <c r="R3896" t="str">
        <f>IF(COUNTIF(Branches!$A$2:$A$11,F3896)&gt;0,"Valid","Invalid")</f>
        <v>Valid</v>
      </c>
    </row>
    <row r="3897" spans="1:18" x14ac:dyDescent="0.25">
      <c r="A3897" t="s">
        <v>5968</v>
      </c>
      <c r="B3897" t="s">
        <v>64</v>
      </c>
      <c r="C3897" s="8">
        <v>46224</v>
      </c>
      <c r="D3897" t="s">
        <v>2058</v>
      </c>
      <c r="E3897" t="s">
        <v>2063</v>
      </c>
      <c r="F3897" t="s">
        <v>27</v>
      </c>
      <c r="G3897">
        <v>4523.8500000000004</v>
      </c>
      <c r="H3897" t="s">
        <v>2060</v>
      </c>
      <c r="I3897" t="str">
        <f>VLOOKUP(B3897,Customers!A:G,7,FALSE)</f>
        <v>SME</v>
      </c>
      <c r="Q3897" t="str">
        <f>IF(COUNTIF(Customers!$A$2:$A$1001,B3897)&gt;0,"Valid","Invalid")</f>
        <v>Valid</v>
      </c>
      <c r="R3897" t="str">
        <f>IF(COUNTIF(Branches!$A$2:$A$11,F3897)&gt;0,"Valid","Invalid")</f>
        <v>Valid</v>
      </c>
    </row>
    <row r="3898" spans="1:18" x14ac:dyDescent="0.25">
      <c r="A3898" t="s">
        <v>5969</v>
      </c>
      <c r="B3898" t="s">
        <v>763</v>
      </c>
      <c r="C3898" s="8">
        <v>46199</v>
      </c>
      <c r="D3898" t="s">
        <v>2062</v>
      </c>
      <c r="E3898" t="s">
        <v>2073</v>
      </c>
      <c r="F3898" t="s">
        <v>53</v>
      </c>
      <c r="G3898">
        <v>3062.01</v>
      </c>
      <c r="H3898" t="s">
        <v>2060</v>
      </c>
      <c r="I3898" t="str">
        <f>VLOOKUP(B3898,Customers!A:G,7,FALSE)</f>
        <v>SME</v>
      </c>
      <c r="Q3898" t="str">
        <f>IF(COUNTIF(Customers!$A$2:$A$1001,B3898)&gt;0,"Valid","Invalid")</f>
        <v>Valid</v>
      </c>
      <c r="R3898" t="str">
        <f>IF(COUNTIF(Branches!$A$2:$A$11,F3898)&gt;0,"Valid","Invalid")</f>
        <v>Valid</v>
      </c>
    </row>
    <row r="3899" spans="1:18" x14ac:dyDescent="0.25">
      <c r="A3899" t="s">
        <v>5970</v>
      </c>
      <c r="B3899" t="s">
        <v>72</v>
      </c>
      <c r="C3899" s="8">
        <v>46131</v>
      </c>
      <c r="D3899" t="s">
        <v>2062</v>
      </c>
      <c r="E3899" t="s">
        <v>2059</v>
      </c>
      <c r="F3899" t="s">
        <v>11</v>
      </c>
      <c r="G3899">
        <v>2212.4499999999998</v>
      </c>
      <c r="H3899" t="s">
        <v>2060</v>
      </c>
      <c r="I3899" t="str">
        <f>VLOOKUP(B3899,Customers!A:G,7,FALSE)</f>
        <v>Individual</v>
      </c>
      <c r="Q3899" t="str">
        <f>IF(COUNTIF(Customers!$A$2:$A$1001,B3899)&gt;0,"Valid","Invalid")</f>
        <v>Valid</v>
      </c>
      <c r="R3899" t="str">
        <f>IF(COUNTIF(Branches!$A$2:$A$11,F3899)&gt;0,"Valid","Invalid")</f>
        <v>Valid</v>
      </c>
    </row>
    <row r="3900" spans="1:18" x14ac:dyDescent="0.25">
      <c r="A3900" t="s">
        <v>5971</v>
      </c>
      <c r="B3900" t="s">
        <v>891</v>
      </c>
      <c r="C3900" s="8">
        <v>46198</v>
      </c>
      <c r="D3900" t="s">
        <v>2058</v>
      </c>
      <c r="E3900" t="s">
        <v>2063</v>
      </c>
      <c r="F3900" t="s">
        <v>29</v>
      </c>
      <c r="G3900">
        <v>10576.24</v>
      </c>
      <c r="H3900" t="s">
        <v>2060</v>
      </c>
      <c r="I3900" t="str">
        <f>VLOOKUP(B3900,Customers!A:G,7,FALSE)</f>
        <v>SME</v>
      </c>
      <c r="Q3900" t="str">
        <f>IF(COUNTIF(Customers!$A$2:$A$1001,B3900)&gt;0,"Valid","Invalid")</f>
        <v>Valid</v>
      </c>
      <c r="R3900" t="str">
        <f>IF(COUNTIF(Branches!$A$2:$A$11,F3900)&gt;0,"Valid","Invalid")</f>
        <v>Valid</v>
      </c>
    </row>
    <row r="3901" spans="1:18" x14ac:dyDescent="0.25">
      <c r="A3901" t="s">
        <v>5972</v>
      </c>
      <c r="B3901" t="s">
        <v>610</v>
      </c>
      <c r="C3901" s="8">
        <v>46095</v>
      </c>
      <c r="D3901" t="s">
        <v>2070</v>
      </c>
      <c r="E3901" t="s">
        <v>2063</v>
      </c>
      <c r="F3901" t="s">
        <v>29</v>
      </c>
      <c r="G3901">
        <v>701.72</v>
      </c>
      <c r="H3901" t="s">
        <v>2060</v>
      </c>
      <c r="I3901" t="str">
        <f>VLOOKUP(B3901,Customers!A:G,7,FALSE)</f>
        <v>Student</v>
      </c>
      <c r="Q3901" t="str">
        <f>IF(COUNTIF(Customers!$A$2:$A$1001,B3901)&gt;0,"Valid","Invalid")</f>
        <v>Valid</v>
      </c>
      <c r="R3901" t="str">
        <f>IF(COUNTIF(Branches!$A$2:$A$11,F3901)&gt;0,"Valid","Invalid")</f>
        <v>Valid</v>
      </c>
    </row>
    <row r="3902" spans="1:18" x14ac:dyDescent="0.25">
      <c r="A3902" t="s">
        <v>5973</v>
      </c>
      <c r="B3902" t="s">
        <v>332</v>
      </c>
      <c r="C3902" s="8">
        <v>46238</v>
      </c>
      <c r="D3902" t="s">
        <v>2065</v>
      </c>
      <c r="E3902" t="s">
        <v>2059</v>
      </c>
      <c r="F3902" t="s">
        <v>47</v>
      </c>
      <c r="G3902">
        <v>510.4</v>
      </c>
      <c r="H3902" t="s">
        <v>2115</v>
      </c>
      <c r="I3902" t="str">
        <f>VLOOKUP(B3902,Customers!A:G,7,FALSE)</f>
        <v>Student</v>
      </c>
      <c r="Q3902" t="str">
        <f>IF(COUNTIF(Customers!$A$2:$A$1001,B3902)&gt;0,"Valid","Invalid")</f>
        <v>Valid</v>
      </c>
      <c r="R3902" t="str">
        <f>IF(COUNTIF(Branches!$A$2:$A$11,F3902)&gt;0,"Valid","Invalid")</f>
        <v>Valid</v>
      </c>
    </row>
    <row r="3903" spans="1:18" x14ac:dyDescent="0.25">
      <c r="A3903" t="s">
        <v>5974</v>
      </c>
      <c r="B3903" t="s">
        <v>398</v>
      </c>
      <c r="C3903" s="8">
        <v>46122</v>
      </c>
      <c r="D3903" t="s">
        <v>2070</v>
      </c>
      <c r="E3903" t="s">
        <v>2073</v>
      </c>
      <c r="F3903" t="s">
        <v>45</v>
      </c>
      <c r="G3903">
        <v>1920.54</v>
      </c>
      <c r="H3903" t="s">
        <v>2060</v>
      </c>
      <c r="I3903" t="str">
        <f>VLOOKUP(B3903,Customers!A:G,7,FALSE)</f>
        <v>Individual</v>
      </c>
      <c r="Q3903" t="str">
        <f>IF(COUNTIF(Customers!$A$2:$A$1001,B3903)&gt;0,"Valid","Invalid")</f>
        <v>Valid</v>
      </c>
      <c r="R3903" t="str">
        <f>IF(COUNTIF(Branches!$A$2:$A$11,F3903)&gt;0,"Valid","Invalid")</f>
        <v>Valid</v>
      </c>
    </row>
    <row r="3904" spans="1:18" x14ac:dyDescent="0.25">
      <c r="A3904" t="s">
        <v>5975</v>
      </c>
      <c r="B3904" t="s">
        <v>693</v>
      </c>
      <c r="C3904" s="8">
        <v>46051</v>
      </c>
      <c r="D3904" t="s">
        <v>2067</v>
      </c>
      <c r="E3904" t="s">
        <v>2059</v>
      </c>
      <c r="F3904" t="s">
        <v>47</v>
      </c>
      <c r="G3904">
        <v>631.04</v>
      </c>
      <c r="H3904" t="s">
        <v>2115</v>
      </c>
      <c r="I3904" t="str">
        <f>VLOOKUP(B3904,Customers!A:G,7,FALSE)</f>
        <v>Individual</v>
      </c>
      <c r="Q3904" t="str">
        <f>IF(COUNTIF(Customers!$A$2:$A$1001,B3904)&gt;0,"Valid","Invalid")</f>
        <v>Valid</v>
      </c>
      <c r="R3904" t="str">
        <f>IF(COUNTIF(Branches!$A$2:$A$11,F3904)&gt;0,"Valid","Invalid")</f>
        <v>Valid</v>
      </c>
    </row>
    <row r="3905" spans="1:18" x14ac:dyDescent="0.25">
      <c r="A3905" t="s">
        <v>5976</v>
      </c>
      <c r="B3905" t="s">
        <v>952</v>
      </c>
      <c r="C3905" s="8">
        <v>46210</v>
      </c>
      <c r="D3905" t="s">
        <v>2058</v>
      </c>
      <c r="E3905" t="s">
        <v>2073</v>
      </c>
      <c r="F3905" t="s">
        <v>16</v>
      </c>
      <c r="G3905">
        <v>822.15</v>
      </c>
      <c r="H3905" t="s">
        <v>2060</v>
      </c>
      <c r="I3905" t="str">
        <f>VLOOKUP(B3905,Customers!A:G,7,FALSE)</f>
        <v>SME</v>
      </c>
      <c r="Q3905" t="str">
        <f>IF(COUNTIF(Customers!$A$2:$A$1001,B3905)&gt;0,"Valid","Invalid")</f>
        <v>Valid</v>
      </c>
      <c r="R3905" t="str">
        <f>IF(COUNTIF(Branches!$A$2:$A$11,F3905)&gt;0,"Valid","Invalid")</f>
        <v>Valid</v>
      </c>
    </row>
    <row r="3906" spans="1:18" x14ac:dyDescent="0.25">
      <c r="A3906" t="s">
        <v>5977</v>
      </c>
      <c r="B3906" t="s">
        <v>217</v>
      </c>
      <c r="C3906" s="8">
        <v>46179</v>
      </c>
      <c r="D3906" t="s">
        <v>2065</v>
      </c>
      <c r="E3906" t="s">
        <v>2059</v>
      </c>
      <c r="F3906" t="s">
        <v>45</v>
      </c>
      <c r="G3906">
        <v>303.11</v>
      </c>
      <c r="H3906" t="s">
        <v>2060</v>
      </c>
      <c r="I3906" t="str">
        <f>VLOOKUP(B3906,Customers!A:G,7,FALSE)</f>
        <v>Individual</v>
      </c>
      <c r="Q3906" t="str">
        <f>IF(COUNTIF(Customers!$A$2:$A$1001,B3906)&gt;0,"Valid","Invalid")</f>
        <v>Valid</v>
      </c>
      <c r="R3906" t="str">
        <f>IF(COUNTIF(Branches!$A$2:$A$11,F3906)&gt;0,"Valid","Invalid")</f>
        <v>Valid</v>
      </c>
    </row>
    <row r="3907" spans="1:18" x14ac:dyDescent="0.25">
      <c r="A3907" t="s">
        <v>5978</v>
      </c>
      <c r="B3907" t="s">
        <v>835</v>
      </c>
      <c r="C3907" s="8">
        <v>46080</v>
      </c>
      <c r="D3907" t="s">
        <v>2058</v>
      </c>
      <c r="E3907" t="s">
        <v>2059</v>
      </c>
      <c r="F3907" t="s">
        <v>39</v>
      </c>
      <c r="G3907">
        <v>1490.19</v>
      </c>
      <c r="H3907" t="s">
        <v>2060</v>
      </c>
      <c r="I3907" t="str">
        <f>VLOOKUP(B3907,Customers!A:G,7,FALSE)</f>
        <v>Individual</v>
      </c>
      <c r="Q3907" t="str">
        <f>IF(COUNTIF(Customers!$A$2:$A$1001,B3907)&gt;0,"Valid","Invalid")</f>
        <v>Valid</v>
      </c>
      <c r="R3907" t="str">
        <f>IF(COUNTIF(Branches!$A$2:$A$11,F3907)&gt;0,"Valid","Invalid")</f>
        <v>Valid</v>
      </c>
    </row>
    <row r="3908" spans="1:18" x14ac:dyDescent="0.25">
      <c r="A3908" t="s">
        <v>5979</v>
      </c>
      <c r="B3908" t="s">
        <v>148</v>
      </c>
      <c r="C3908" s="8">
        <v>46070</v>
      </c>
      <c r="D3908" t="s">
        <v>2058</v>
      </c>
      <c r="E3908" t="s">
        <v>2059</v>
      </c>
      <c r="F3908" t="s">
        <v>21</v>
      </c>
      <c r="G3908">
        <v>186.6</v>
      </c>
      <c r="H3908" t="s">
        <v>2060</v>
      </c>
      <c r="I3908" t="str">
        <f>VLOOKUP(B3908,Customers!A:G,7,FALSE)</f>
        <v>Individual</v>
      </c>
      <c r="Q3908" t="str">
        <f>IF(COUNTIF(Customers!$A$2:$A$1001,B3908)&gt;0,"Valid","Invalid")</f>
        <v>Valid</v>
      </c>
      <c r="R3908" t="str">
        <f>IF(COUNTIF(Branches!$A$2:$A$11,F3908)&gt;0,"Valid","Invalid")</f>
        <v>Valid</v>
      </c>
    </row>
    <row r="3909" spans="1:18" x14ac:dyDescent="0.25">
      <c r="A3909" t="s">
        <v>5980</v>
      </c>
      <c r="B3909" t="s">
        <v>780</v>
      </c>
      <c r="C3909" s="8">
        <v>46045</v>
      </c>
      <c r="D3909" t="s">
        <v>2070</v>
      </c>
      <c r="E3909" t="s">
        <v>2076</v>
      </c>
      <c r="F3909" t="s">
        <v>29</v>
      </c>
      <c r="G3909">
        <v>737.72</v>
      </c>
      <c r="H3909" t="s">
        <v>2060</v>
      </c>
      <c r="I3909" t="str">
        <f>VLOOKUP(B3909,Customers!A:G,7,FALSE)</f>
        <v>Individual</v>
      </c>
      <c r="Q3909" t="str">
        <f>IF(COUNTIF(Customers!$A$2:$A$1001,B3909)&gt;0,"Valid","Invalid")</f>
        <v>Valid</v>
      </c>
      <c r="R3909" t="str">
        <f>IF(COUNTIF(Branches!$A$2:$A$11,F3909)&gt;0,"Valid","Invalid")</f>
        <v>Valid</v>
      </c>
    </row>
    <row r="3910" spans="1:18" x14ac:dyDescent="0.25">
      <c r="A3910" t="s">
        <v>5981</v>
      </c>
      <c r="B3910" t="s">
        <v>482</v>
      </c>
      <c r="C3910" s="8">
        <v>46049</v>
      </c>
      <c r="D3910" t="s">
        <v>2070</v>
      </c>
      <c r="E3910" t="s">
        <v>2059</v>
      </c>
      <c r="F3910" t="s">
        <v>27</v>
      </c>
      <c r="G3910">
        <v>800.03</v>
      </c>
      <c r="H3910" t="s">
        <v>2060</v>
      </c>
      <c r="I3910" t="str">
        <f>VLOOKUP(B3910,Customers!A:G,7,FALSE)</f>
        <v>Individual</v>
      </c>
      <c r="Q3910" t="str">
        <f>IF(COUNTIF(Customers!$A$2:$A$1001,B3910)&gt;0,"Valid","Invalid")</f>
        <v>Valid</v>
      </c>
      <c r="R3910" t="str">
        <f>IF(COUNTIF(Branches!$A$2:$A$11,F3910)&gt;0,"Valid","Invalid")</f>
        <v>Valid</v>
      </c>
    </row>
    <row r="3911" spans="1:18" x14ac:dyDescent="0.25">
      <c r="A3911" t="s">
        <v>5982</v>
      </c>
      <c r="B3911" t="s">
        <v>55</v>
      </c>
      <c r="C3911" s="8">
        <v>46245</v>
      </c>
      <c r="D3911" t="s">
        <v>2070</v>
      </c>
      <c r="E3911" t="s">
        <v>2068</v>
      </c>
      <c r="F3911" t="s">
        <v>16</v>
      </c>
      <c r="G3911">
        <v>525.29999999999995</v>
      </c>
      <c r="H3911" t="s">
        <v>2060</v>
      </c>
      <c r="I3911" t="str">
        <f>VLOOKUP(B3911,Customers!A:G,7,FALSE)</f>
        <v>SME</v>
      </c>
      <c r="Q3911" t="str">
        <f>IF(COUNTIF(Customers!$A$2:$A$1001,B3911)&gt;0,"Valid","Invalid")</f>
        <v>Valid</v>
      </c>
      <c r="R3911" t="str">
        <f>IF(COUNTIF(Branches!$A$2:$A$11,F3911)&gt;0,"Valid","Invalid")</f>
        <v>Valid</v>
      </c>
    </row>
    <row r="3912" spans="1:18" x14ac:dyDescent="0.25">
      <c r="A3912" t="s">
        <v>5983</v>
      </c>
      <c r="B3912" t="s">
        <v>181</v>
      </c>
      <c r="C3912" s="8">
        <v>46257</v>
      </c>
      <c r="D3912" t="s">
        <v>2067</v>
      </c>
      <c r="E3912" t="s">
        <v>2063</v>
      </c>
      <c r="F3912" t="s">
        <v>29</v>
      </c>
      <c r="G3912">
        <v>140.16</v>
      </c>
      <c r="H3912" t="s">
        <v>2060</v>
      </c>
      <c r="I3912" t="str">
        <f>VLOOKUP(B3912,Customers!A:G,7,FALSE)</f>
        <v>Student</v>
      </c>
      <c r="Q3912" t="str">
        <f>IF(COUNTIF(Customers!$A$2:$A$1001,B3912)&gt;0,"Valid","Invalid")</f>
        <v>Valid</v>
      </c>
      <c r="R3912" t="str">
        <f>IF(COUNTIF(Branches!$A$2:$A$11,F3912)&gt;0,"Valid","Invalid")</f>
        <v>Valid</v>
      </c>
    </row>
    <row r="3913" spans="1:18" x14ac:dyDescent="0.25">
      <c r="A3913" t="s">
        <v>5984</v>
      </c>
      <c r="B3913" t="s">
        <v>537</v>
      </c>
      <c r="C3913" s="8">
        <v>46029</v>
      </c>
      <c r="D3913" t="s">
        <v>2070</v>
      </c>
      <c r="E3913" t="s">
        <v>2059</v>
      </c>
      <c r="F3913" t="s">
        <v>11</v>
      </c>
      <c r="G3913">
        <v>139.12</v>
      </c>
      <c r="H3913" t="s">
        <v>2060</v>
      </c>
      <c r="I3913" t="str">
        <f>VLOOKUP(B3913,Customers!A:G,7,FALSE)</f>
        <v>Individual</v>
      </c>
      <c r="Q3913" t="str">
        <f>IF(COUNTIF(Customers!$A$2:$A$1001,B3913)&gt;0,"Valid","Invalid")</f>
        <v>Valid</v>
      </c>
      <c r="R3913" t="str">
        <f>IF(COUNTIF(Branches!$A$2:$A$11,F3913)&gt;0,"Valid","Invalid")</f>
        <v>Valid</v>
      </c>
    </row>
    <row r="3914" spans="1:18" x14ac:dyDescent="0.25">
      <c r="A3914" t="s">
        <v>5985</v>
      </c>
      <c r="B3914" t="s">
        <v>182</v>
      </c>
      <c r="C3914" s="8">
        <v>46071</v>
      </c>
      <c r="D3914" t="s">
        <v>2067</v>
      </c>
      <c r="E3914" t="s">
        <v>2059</v>
      </c>
      <c r="F3914" t="s">
        <v>29</v>
      </c>
      <c r="G3914">
        <v>385.23</v>
      </c>
      <c r="H3914" t="s">
        <v>2060</v>
      </c>
      <c r="I3914" t="str">
        <f>VLOOKUP(B3914,Customers!A:G,7,FALSE)</f>
        <v>Individual</v>
      </c>
      <c r="Q3914" t="str">
        <f>IF(COUNTIF(Customers!$A$2:$A$1001,B3914)&gt;0,"Valid","Invalid")</f>
        <v>Valid</v>
      </c>
      <c r="R3914" t="str">
        <f>IF(COUNTIF(Branches!$A$2:$A$11,F3914)&gt;0,"Valid","Invalid")</f>
        <v>Valid</v>
      </c>
    </row>
    <row r="3915" spans="1:18" x14ac:dyDescent="0.25">
      <c r="A3915" t="s">
        <v>5986</v>
      </c>
      <c r="B3915" t="s">
        <v>479</v>
      </c>
      <c r="C3915" s="8">
        <v>46204</v>
      </c>
      <c r="D3915" t="s">
        <v>2062</v>
      </c>
      <c r="E3915" t="s">
        <v>2076</v>
      </c>
      <c r="F3915" t="s">
        <v>27</v>
      </c>
      <c r="G3915">
        <v>1392.77</v>
      </c>
      <c r="H3915" t="s">
        <v>2060</v>
      </c>
      <c r="I3915" t="str">
        <f>VLOOKUP(B3915,Customers!A:G,7,FALSE)</f>
        <v>Individual</v>
      </c>
      <c r="Q3915" t="str">
        <f>IF(COUNTIF(Customers!$A$2:$A$1001,B3915)&gt;0,"Valid","Invalid")</f>
        <v>Valid</v>
      </c>
      <c r="R3915" t="str">
        <f>IF(COUNTIF(Branches!$A$2:$A$11,F3915)&gt;0,"Valid","Invalid")</f>
        <v>Valid</v>
      </c>
    </row>
    <row r="3916" spans="1:18" x14ac:dyDescent="0.25">
      <c r="A3916" t="s">
        <v>5987</v>
      </c>
      <c r="B3916" t="s">
        <v>925</v>
      </c>
      <c r="C3916" s="8">
        <v>46131</v>
      </c>
      <c r="D3916" t="s">
        <v>2065</v>
      </c>
      <c r="E3916" t="s">
        <v>2063</v>
      </c>
      <c r="F3916" t="s">
        <v>29</v>
      </c>
      <c r="G3916">
        <v>1084.55</v>
      </c>
      <c r="H3916" t="s">
        <v>2060</v>
      </c>
      <c r="I3916" t="str">
        <f>VLOOKUP(B3916,Customers!A:G,7,FALSE)</f>
        <v>Individual</v>
      </c>
      <c r="Q3916" t="str">
        <f>IF(COUNTIF(Customers!$A$2:$A$1001,B3916)&gt;0,"Valid","Invalid")</f>
        <v>Valid</v>
      </c>
      <c r="R3916" t="str">
        <f>IF(COUNTIF(Branches!$A$2:$A$11,F3916)&gt;0,"Valid","Invalid")</f>
        <v>Valid</v>
      </c>
    </row>
    <row r="3917" spans="1:18" x14ac:dyDescent="0.25">
      <c r="A3917" t="s">
        <v>5988</v>
      </c>
      <c r="B3917" t="s">
        <v>459</v>
      </c>
      <c r="C3917" s="8">
        <v>46090</v>
      </c>
      <c r="D3917" t="s">
        <v>2058</v>
      </c>
      <c r="E3917" t="s">
        <v>2059</v>
      </c>
      <c r="F3917" t="s">
        <v>53</v>
      </c>
      <c r="G3917">
        <v>799.16</v>
      </c>
      <c r="H3917" t="s">
        <v>2060</v>
      </c>
      <c r="I3917" t="str">
        <f>VLOOKUP(B3917,Customers!A:G,7,FALSE)</f>
        <v>Individual</v>
      </c>
      <c r="Q3917" t="str">
        <f>IF(COUNTIF(Customers!$A$2:$A$1001,B3917)&gt;0,"Valid","Invalid")</f>
        <v>Valid</v>
      </c>
      <c r="R3917" t="str">
        <f>IF(COUNTIF(Branches!$A$2:$A$11,F3917)&gt;0,"Valid","Invalid")</f>
        <v>Valid</v>
      </c>
    </row>
    <row r="3918" spans="1:18" x14ac:dyDescent="0.25">
      <c r="A3918" t="s">
        <v>5989</v>
      </c>
      <c r="B3918" t="s">
        <v>354</v>
      </c>
      <c r="C3918" s="8">
        <v>46228</v>
      </c>
      <c r="D3918" t="s">
        <v>2070</v>
      </c>
      <c r="E3918" t="s">
        <v>2059</v>
      </c>
      <c r="F3918" t="s">
        <v>21</v>
      </c>
      <c r="G3918">
        <v>335.43</v>
      </c>
      <c r="H3918" t="s">
        <v>2107</v>
      </c>
      <c r="I3918" t="str">
        <f>VLOOKUP(B3918,Customers!A:G,7,FALSE)</f>
        <v>Individual</v>
      </c>
      <c r="Q3918" t="str">
        <f>IF(COUNTIF(Customers!$A$2:$A$1001,B3918)&gt;0,"Valid","Invalid")</f>
        <v>Valid</v>
      </c>
      <c r="R3918" t="str">
        <f>IF(COUNTIF(Branches!$A$2:$A$11,F3918)&gt;0,"Valid","Invalid")</f>
        <v>Valid</v>
      </c>
    </row>
    <row r="3919" spans="1:18" x14ac:dyDescent="0.25">
      <c r="A3919" t="s">
        <v>5990</v>
      </c>
      <c r="B3919" t="s">
        <v>202</v>
      </c>
      <c r="C3919" s="8">
        <v>46256</v>
      </c>
      <c r="D3919" t="s">
        <v>2070</v>
      </c>
      <c r="E3919" t="s">
        <v>2076</v>
      </c>
      <c r="F3919" t="s">
        <v>47</v>
      </c>
      <c r="G3919">
        <v>1142.68</v>
      </c>
      <c r="H3919" t="s">
        <v>2060</v>
      </c>
      <c r="I3919" t="str">
        <f>VLOOKUP(B3919,Customers!A:G,7,FALSE)</f>
        <v>Student</v>
      </c>
      <c r="Q3919" t="str">
        <f>IF(COUNTIF(Customers!$A$2:$A$1001,B3919)&gt;0,"Valid","Invalid")</f>
        <v>Valid</v>
      </c>
      <c r="R3919" t="str">
        <f>IF(COUNTIF(Branches!$A$2:$A$11,F3919)&gt;0,"Valid","Invalid")</f>
        <v>Valid</v>
      </c>
    </row>
    <row r="3920" spans="1:18" x14ac:dyDescent="0.25">
      <c r="A3920" t="s">
        <v>5991</v>
      </c>
      <c r="B3920" t="s">
        <v>690</v>
      </c>
      <c r="C3920" s="8">
        <v>46192</v>
      </c>
      <c r="D3920" t="s">
        <v>2058</v>
      </c>
      <c r="E3920" t="s">
        <v>2068</v>
      </c>
      <c r="F3920" t="s">
        <v>21</v>
      </c>
      <c r="G3920">
        <v>134.41999999999999</v>
      </c>
      <c r="H3920" t="s">
        <v>2060</v>
      </c>
      <c r="I3920" t="str">
        <f>VLOOKUP(B3920,Customers!A:G,7,FALSE)</f>
        <v>Individual</v>
      </c>
      <c r="Q3920" t="str">
        <f>IF(COUNTIF(Customers!$A$2:$A$1001,B3920)&gt;0,"Valid","Invalid")</f>
        <v>Valid</v>
      </c>
      <c r="R3920" t="str">
        <f>IF(COUNTIF(Branches!$A$2:$A$11,F3920)&gt;0,"Valid","Invalid")</f>
        <v>Valid</v>
      </c>
    </row>
    <row r="3921" spans="1:18" x14ac:dyDescent="0.25">
      <c r="A3921" t="s">
        <v>5992</v>
      </c>
      <c r="B3921" t="s">
        <v>240</v>
      </c>
      <c r="C3921" s="8">
        <v>46224</v>
      </c>
      <c r="D3921" t="s">
        <v>2062</v>
      </c>
      <c r="E3921" t="s">
        <v>2076</v>
      </c>
      <c r="F3921" t="s">
        <v>29</v>
      </c>
      <c r="G3921">
        <v>73.95</v>
      </c>
      <c r="H3921" t="s">
        <v>2060</v>
      </c>
      <c r="I3921" t="str">
        <f>VLOOKUP(B3921,Customers!A:G,7,FALSE)</f>
        <v>Student</v>
      </c>
      <c r="Q3921" t="str">
        <f>IF(COUNTIF(Customers!$A$2:$A$1001,B3921)&gt;0,"Valid","Invalid")</f>
        <v>Valid</v>
      </c>
      <c r="R3921" t="str">
        <f>IF(COUNTIF(Branches!$A$2:$A$11,F3921)&gt;0,"Valid","Invalid")</f>
        <v>Valid</v>
      </c>
    </row>
    <row r="3922" spans="1:18" x14ac:dyDescent="0.25">
      <c r="A3922" t="s">
        <v>5993</v>
      </c>
      <c r="B3922" t="s">
        <v>534</v>
      </c>
      <c r="C3922" s="8">
        <v>46209</v>
      </c>
      <c r="D3922" t="s">
        <v>2065</v>
      </c>
      <c r="E3922" t="s">
        <v>2059</v>
      </c>
      <c r="F3922" t="s">
        <v>29</v>
      </c>
      <c r="G3922">
        <v>637.1</v>
      </c>
      <c r="H3922" t="s">
        <v>2060</v>
      </c>
      <c r="I3922" t="str">
        <f>VLOOKUP(B3922,Customers!A:G,7,FALSE)</f>
        <v>Individual</v>
      </c>
      <c r="Q3922" t="str">
        <f>IF(COUNTIF(Customers!$A$2:$A$1001,B3922)&gt;0,"Valid","Invalid")</f>
        <v>Valid</v>
      </c>
      <c r="R3922" t="str">
        <f>IF(COUNTIF(Branches!$A$2:$A$11,F3922)&gt;0,"Valid","Invalid")</f>
        <v>Valid</v>
      </c>
    </row>
    <row r="3923" spans="1:18" x14ac:dyDescent="0.25">
      <c r="A3923" t="s">
        <v>5994</v>
      </c>
      <c r="B3923" t="s">
        <v>794</v>
      </c>
      <c r="C3923" s="8">
        <v>46194</v>
      </c>
      <c r="D3923" t="s">
        <v>2062</v>
      </c>
      <c r="E3923" t="s">
        <v>2073</v>
      </c>
      <c r="F3923" t="s">
        <v>11</v>
      </c>
      <c r="G3923">
        <v>470.57</v>
      </c>
      <c r="H3923" t="s">
        <v>2060</v>
      </c>
      <c r="I3923" t="str">
        <f>VLOOKUP(B3923,Customers!A:G,7,FALSE)</f>
        <v>Corporate</v>
      </c>
      <c r="Q3923" t="str">
        <f>IF(COUNTIF(Customers!$A$2:$A$1001,B3923)&gt;0,"Valid","Invalid")</f>
        <v>Valid</v>
      </c>
      <c r="R3923" t="str">
        <f>IF(COUNTIF(Branches!$A$2:$A$11,F3923)&gt;0,"Valid","Invalid")</f>
        <v>Valid</v>
      </c>
    </row>
    <row r="3924" spans="1:18" x14ac:dyDescent="0.25">
      <c r="A3924" t="s">
        <v>5995</v>
      </c>
      <c r="B3924" t="s">
        <v>663</v>
      </c>
      <c r="C3924" s="8">
        <v>46248</v>
      </c>
      <c r="D3924" t="s">
        <v>2058</v>
      </c>
      <c r="E3924" t="s">
        <v>2068</v>
      </c>
      <c r="F3924" t="s">
        <v>45</v>
      </c>
      <c r="G3924">
        <v>2237.63</v>
      </c>
      <c r="H3924" t="s">
        <v>2115</v>
      </c>
      <c r="I3924" t="str">
        <f>VLOOKUP(B3924,Customers!A:G,7,FALSE)</f>
        <v>SME</v>
      </c>
      <c r="Q3924" t="str">
        <f>IF(COUNTIF(Customers!$A$2:$A$1001,B3924)&gt;0,"Valid","Invalid")</f>
        <v>Valid</v>
      </c>
      <c r="R3924" t="str">
        <f>IF(COUNTIF(Branches!$A$2:$A$11,F3924)&gt;0,"Valid","Invalid")</f>
        <v>Valid</v>
      </c>
    </row>
    <row r="3925" spans="1:18" x14ac:dyDescent="0.25">
      <c r="A3925" t="s">
        <v>5996</v>
      </c>
      <c r="B3925" t="s">
        <v>506</v>
      </c>
      <c r="C3925" s="8">
        <v>46176</v>
      </c>
      <c r="D3925" t="s">
        <v>2065</v>
      </c>
      <c r="E3925" t="s">
        <v>2063</v>
      </c>
      <c r="F3925" t="s">
        <v>35</v>
      </c>
      <c r="G3925">
        <v>951.45</v>
      </c>
      <c r="H3925" t="s">
        <v>2060</v>
      </c>
      <c r="I3925" t="str">
        <f>VLOOKUP(B3925,Customers!A:G,7,FALSE)</f>
        <v>Individual</v>
      </c>
      <c r="Q3925" t="str">
        <f>IF(COUNTIF(Customers!$A$2:$A$1001,B3925)&gt;0,"Valid","Invalid")</f>
        <v>Valid</v>
      </c>
      <c r="R3925" t="str">
        <f>IF(COUNTIF(Branches!$A$2:$A$11,F3925)&gt;0,"Valid","Invalid")</f>
        <v>Valid</v>
      </c>
    </row>
    <row r="3926" spans="1:18" x14ac:dyDescent="0.25">
      <c r="A3926" t="s">
        <v>5997</v>
      </c>
      <c r="B3926" t="s">
        <v>751</v>
      </c>
      <c r="C3926" s="8">
        <v>46173</v>
      </c>
      <c r="D3926" t="s">
        <v>2065</v>
      </c>
      <c r="E3926" t="s">
        <v>2063</v>
      </c>
      <c r="F3926" t="s">
        <v>47</v>
      </c>
      <c r="G3926">
        <v>4233.29</v>
      </c>
      <c r="H3926" t="s">
        <v>2060</v>
      </c>
      <c r="I3926" t="str">
        <f>VLOOKUP(B3926,Customers!A:G,7,FALSE)</f>
        <v>SME</v>
      </c>
      <c r="Q3926" t="str">
        <f>IF(COUNTIF(Customers!$A$2:$A$1001,B3926)&gt;0,"Valid","Invalid")</f>
        <v>Valid</v>
      </c>
      <c r="R3926" t="str">
        <f>IF(COUNTIF(Branches!$A$2:$A$11,F3926)&gt;0,"Valid","Invalid")</f>
        <v>Valid</v>
      </c>
    </row>
    <row r="3927" spans="1:18" x14ac:dyDescent="0.25">
      <c r="A3927" t="s">
        <v>5998</v>
      </c>
      <c r="B3927" t="s">
        <v>423</v>
      </c>
      <c r="C3927" s="8">
        <v>46095</v>
      </c>
      <c r="D3927" t="s">
        <v>2065</v>
      </c>
      <c r="E3927" t="s">
        <v>2063</v>
      </c>
      <c r="F3927" t="s">
        <v>29</v>
      </c>
      <c r="G3927">
        <v>469.55</v>
      </c>
      <c r="H3927" t="s">
        <v>2115</v>
      </c>
      <c r="I3927" t="str">
        <f>VLOOKUP(B3927,Customers!A:G,7,FALSE)</f>
        <v>Individual</v>
      </c>
      <c r="Q3927" t="str">
        <f>IF(COUNTIF(Customers!$A$2:$A$1001,B3927)&gt;0,"Valid","Invalid")</f>
        <v>Valid</v>
      </c>
      <c r="R3927" t="str">
        <f>IF(COUNTIF(Branches!$A$2:$A$11,F3927)&gt;0,"Valid","Invalid")</f>
        <v>Valid</v>
      </c>
    </row>
    <row r="3928" spans="1:18" x14ac:dyDescent="0.25">
      <c r="A3928" t="s">
        <v>5999</v>
      </c>
      <c r="B3928" t="s">
        <v>352</v>
      </c>
      <c r="C3928" s="8">
        <v>46123</v>
      </c>
      <c r="D3928" t="s">
        <v>2062</v>
      </c>
      <c r="E3928" t="s">
        <v>2059</v>
      </c>
      <c r="F3928" t="s">
        <v>45</v>
      </c>
      <c r="G3928">
        <v>1321.83</v>
      </c>
      <c r="H3928" t="s">
        <v>2060</v>
      </c>
      <c r="I3928" t="str">
        <f>VLOOKUP(B3928,Customers!A:G,7,FALSE)</f>
        <v>SME</v>
      </c>
      <c r="Q3928" t="str">
        <f>IF(COUNTIF(Customers!$A$2:$A$1001,B3928)&gt;0,"Valid","Invalid")</f>
        <v>Valid</v>
      </c>
      <c r="R3928" t="str">
        <f>IF(COUNTIF(Branches!$A$2:$A$11,F3928)&gt;0,"Valid","Invalid")</f>
        <v>Valid</v>
      </c>
    </row>
    <row r="3929" spans="1:18" x14ac:dyDescent="0.25">
      <c r="A3929" t="s">
        <v>6000</v>
      </c>
      <c r="B3929" t="s">
        <v>809</v>
      </c>
      <c r="C3929" s="8">
        <v>46030</v>
      </c>
      <c r="D3929" t="s">
        <v>2065</v>
      </c>
      <c r="E3929" t="s">
        <v>2068</v>
      </c>
      <c r="F3929" t="s">
        <v>39</v>
      </c>
      <c r="G3929">
        <v>631.26</v>
      </c>
      <c r="H3929" t="s">
        <v>2060</v>
      </c>
      <c r="I3929" t="str">
        <f>VLOOKUP(B3929,Customers!A:G,7,FALSE)</f>
        <v>SME</v>
      </c>
      <c r="Q3929" t="str">
        <f>IF(COUNTIF(Customers!$A$2:$A$1001,B3929)&gt;0,"Valid","Invalid")</f>
        <v>Valid</v>
      </c>
      <c r="R3929" t="str">
        <f>IF(COUNTIF(Branches!$A$2:$A$11,F3929)&gt;0,"Valid","Invalid")</f>
        <v>Valid</v>
      </c>
    </row>
    <row r="3930" spans="1:18" x14ac:dyDescent="0.25">
      <c r="A3930" t="s">
        <v>6001</v>
      </c>
      <c r="B3930" t="s">
        <v>293</v>
      </c>
      <c r="C3930" s="8">
        <v>46075</v>
      </c>
      <c r="D3930" t="s">
        <v>2067</v>
      </c>
      <c r="E3930" t="s">
        <v>2068</v>
      </c>
      <c r="F3930" t="s">
        <v>29</v>
      </c>
      <c r="G3930">
        <v>3234.79</v>
      </c>
      <c r="H3930" t="s">
        <v>2060</v>
      </c>
      <c r="I3930" t="str">
        <f>VLOOKUP(B3930,Customers!A:G,7,FALSE)</f>
        <v>Corporate</v>
      </c>
      <c r="Q3930" t="str">
        <f>IF(COUNTIF(Customers!$A$2:$A$1001,B3930)&gt;0,"Valid","Invalid")</f>
        <v>Valid</v>
      </c>
      <c r="R3930" t="str">
        <f>IF(COUNTIF(Branches!$A$2:$A$11,F3930)&gt;0,"Valid","Invalid")</f>
        <v>Valid</v>
      </c>
    </row>
    <row r="3931" spans="1:18" x14ac:dyDescent="0.25">
      <c r="A3931" t="s">
        <v>6002</v>
      </c>
      <c r="B3931" t="s">
        <v>997</v>
      </c>
      <c r="C3931" s="8">
        <v>46164</v>
      </c>
      <c r="D3931" t="s">
        <v>2067</v>
      </c>
      <c r="E3931" t="s">
        <v>2068</v>
      </c>
      <c r="F3931" t="s">
        <v>27</v>
      </c>
      <c r="G3931">
        <v>662.45</v>
      </c>
      <c r="H3931" t="s">
        <v>2060</v>
      </c>
      <c r="I3931" t="str">
        <f>VLOOKUP(B3931,Customers!A:G,7,FALSE)</f>
        <v>Individual</v>
      </c>
      <c r="Q3931" t="str">
        <f>IF(COUNTIF(Customers!$A$2:$A$1001,B3931)&gt;0,"Valid","Invalid")</f>
        <v>Valid</v>
      </c>
      <c r="R3931" t="str">
        <f>IF(COUNTIF(Branches!$A$2:$A$11,F3931)&gt;0,"Valid","Invalid")</f>
        <v>Valid</v>
      </c>
    </row>
    <row r="3932" spans="1:18" x14ac:dyDescent="0.25">
      <c r="A3932" t="s">
        <v>6003</v>
      </c>
      <c r="B3932" t="s">
        <v>955</v>
      </c>
      <c r="C3932" s="8">
        <v>46221</v>
      </c>
      <c r="D3932" t="s">
        <v>2058</v>
      </c>
      <c r="E3932" t="s">
        <v>2063</v>
      </c>
      <c r="F3932" t="s">
        <v>35</v>
      </c>
      <c r="G3932">
        <v>1909.14</v>
      </c>
      <c r="H3932" t="s">
        <v>2060</v>
      </c>
      <c r="I3932" t="str">
        <f>VLOOKUP(B3932,Customers!A:G,7,FALSE)</f>
        <v>SME</v>
      </c>
      <c r="Q3932" t="str">
        <f>IF(COUNTIF(Customers!$A$2:$A$1001,B3932)&gt;0,"Valid","Invalid")</f>
        <v>Valid</v>
      </c>
      <c r="R3932" t="str">
        <f>IF(COUNTIF(Branches!$A$2:$A$11,F3932)&gt;0,"Valid","Invalid")</f>
        <v>Valid</v>
      </c>
    </row>
    <row r="3933" spans="1:18" x14ac:dyDescent="0.25">
      <c r="A3933" t="s">
        <v>6004</v>
      </c>
      <c r="B3933" t="s">
        <v>57</v>
      </c>
      <c r="C3933" s="8">
        <v>46157</v>
      </c>
      <c r="D3933" t="s">
        <v>2062</v>
      </c>
      <c r="E3933" t="s">
        <v>2076</v>
      </c>
      <c r="F3933" t="s">
        <v>29</v>
      </c>
      <c r="G3933">
        <v>276.55</v>
      </c>
      <c r="H3933" t="s">
        <v>2060</v>
      </c>
      <c r="I3933" t="str">
        <f>VLOOKUP(B3933,Customers!A:G,7,FALSE)</f>
        <v>SME</v>
      </c>
      <c r="Q3933" t="str">
        <f>IF(COUNTIF(Customers!$A$2:$A$1001,B3933)&gt;0,"Valid","Invalid")</f>
        <v>Valid</v>
      </c>
      <c r="R3933" t="str">
        <f>IF(COUNTIF(Branches!$A$2:$A$11,F3933)&gt;0,"Valid","Invalid")</f>
        <v>Valid</v>
      </c>
    </row>
    <row r="3934" spans="1:18" x14ac:dyDescent="0.25">
      <c r="A3934" t="s">
        <v>6005</v>
      </c>
      <c r="B3934" t="s">
        <v>943</v>
      </c>
      <c r="C3934" s="8">
        <v>46159</v>
      </c>
      <c r="D3934" t="s">
        <v>2058</v>
      </c>
      <c r="E3934" t="s">
        <v>2063</v>
      </c>
      <c r="F3934" t="s">
        <v>29</v>
      </c>
      <c r="G3934">
        <v>536.35</v>
      </c>
      <c r="H3934" t="s">
        <v>2060</v>
      </c>
      <c r="I3934" t="str">
        <f>VLOOKUP(B3934,Customers!A:G,7,FALSE)</f>
        <v>Individual</v>
      </c>
      <c r="Q3934" t="str">
        <f>IF(COUNTIF(Customers!$A$2:$A$1001,B3934)&gt;0,"Valid","Invalid")</f>
        <v>Valid</v>
      </c>
      <c r="R3934" t="str">
        <f>IF(COUNTIF(Branches!$A$2:$A$11,F3934)&gt;0,"Valid","Invalid")</f>
        <v>Valid</v>
      </c>
    </row>
    <row r="3935" spans="1:18" x14ac:dyDescent="0.25">
      <c r="A3935" t="s">
        <v>6006</v>
      </c>
      <c r="B3935" t="s">
        <v>796</v>
      </c>
      <c r="C3935" s="8">
        <v>46025</v>
      </c>
      <c r="D3935" t="s">
        <v>2058</v>
      </c>
      <c r="E3935" t="s">
        <v>2063</v>
      </c>
      <c r="F3935" t="s">
        <v>47</v>
      </c>
      <c r="G3935">
        <v>746.92</v>
      </c>
      <c r="H3935" t="s">
        <v>2060</v>
      </c>
      <c r="I3935" t="str">
        <f>VLOOKUP(B3935,Customers!A:G,7,FALSE)</f>
        <v>Student</v>
      </c>
      <c r="Q3935" t="str">
        <f>IF(COUNTIF(Customers!$A$2:$A$1001,B3935)&gt;0,"Valid","Invalid")</f>
        <v>Valid</v>
      </c>
      <c r="R3935" t="str">
        <f>IF(COUNTIF(Branches!$A$2:$A$11,F3935)&gt;0,"Valid","Invalid")</f>
        <v>Valid</v>
      </c>
    </row>
    <row r="3936" spans="1:18" x14ac:dyDescent="0.25">
      <c r="A3936" t="s">
        <v>6007</v>
      </c>
      <c r="B3936" t="s">
        <v>377</v>
      </c>
      <c r="C3936" s="8">
        <v>46100</v>
      </c>
      <c r="D3936" t="s">
        <v>2067</v>
      </c>
      <c r="E3936" t="s">
        <v>2076</v>
      </c>
      <c r="F3936" t="s">
        <v>39</v>
      </c>
      <c r="G3936">
        <v>2873.88</v>
      </c>
      <c r="H3936" t="s">
        <v>2060</v>
      </c>
      <c r="I3936" t="str">
        <f>VLOOKUP(B3936,Customers!A:G,7,FALSE)</f>
        <v>Individual</v>
      </c>
      <c r="Q3936" t="str">
        <f>IF(COUNTIF(Customers!$A$2:$A$1001,B3936)&gt;0,"Valid","Invalid")</f>
        <v>Valid</v>
      </c>
      <c r="R3936" t="str">
        <f>IF(COUNTIF(Branches!$A$2:$A$11,F3936)&gt;0,"Valid","Invalid")</f>
        <v>Valid</v>
      </c>
    </row>
    <row r="3937" spans="1:18" x14ac:dyDescent="0.25">
      <c r="A3937" t="s">
        <v>6008</v>
      </c>
      <c r="B3937" t="s">
        <v>531</v>
      </c>
      <c r="C3937" s="8">
        <v>46167</v>
      </c>
      <c r="D3937" t="s">
        <v>2067</v>
      </c>
      <c r="E3937" t="s">
        <v>2063</v>
      </c>
      <c r="F3937" t="s">
        <v>47</v>
      </c>
      <c r="G3937">
        <v>90.27</v>
      </c>
      <c r="H3937" t="s">
        <v>2060</v>
      </c>
      <c r="I3937" t="str">
        <f>VLOOKUP(B3937,Customers!A:G,7,FALSE)</f>
        <v>Individual</v>
      </c>
      <c r="Q3937" t="str">
        <f>IF(COUNTIF(Customers!$A$2:$A$1001,B3937)&gt;0,"Valid","Invalid")</f>
        <v>Valid</v>
      </c>
      <c r="R3937" t="str">
        <f>IF(COUNTIF(Branches!$A$2:$A$11,F3937)&gt;0,"Valid","Invalid")</f>
        <v>Valid</v>
      </c>
    </row>
    <row r="3938" spans="1:18" x14ac:dyDescent="0.25">
      <c r="A3938" t="s">
        <v>6009</v>
      </c>
      <c r="B3938" t="s">
        <v>861</v>
      </c>
      <c r="C3938" s="8">
        <v>46264</v>
      </c>
      <c r="D3938" t="s">
        <v>2062</v>
      </c>
      <c r="E3938" t="s">
        <v>2076</v>
      </c>
      <c r="F3938" t="s">
        <v>45</v>
      </c>
      <c r="G3938">
        <v>582.52</v>
      </c>
      <c r="H3938" t="s">
        <v>2060</v>
      </c>
      <c r="I3938" t="str">
        <f>VLOOKUP(B3938,Customers!A:G,7,FALSE)</f>
        <v>SME</v>
      </c>
      <c r="Q3938" t="str">
        <f>IF(COUNTIF(Customers!$A$2:$A$1001,B3938)&gt;0,"Valid","Invalid")</f>
        <v>Valid</v>
      </c>
      <c r="R3938" t="str">
        <f>IF(COUNTIF(Branches!$A$2:$A$11,F3938)&gt;0,"Valid","Invalid")</f>
        <v>Valid</v>
      </c>
    </row>
    <row r="3939" spans="1:18" x14ac:dyDescent="0.25">
      <c r="A3939" t="s">
        <v>6010</v>
      </c>
      <c r="B3939" t="s">
        <v>549</v>
      </c>
      <c r="C3939" s="8">
        <v>46194</v>
      </c>
      <c r="D3939" t="s">
        <v>2067</v>
      </c>
      <c r="E3939" t="s">
        <v>2076</v>
      </c>
      <c r="F3939" t="s">
        <v>21</v>
      </c>
      <c r="G3939">
        <v>563.14</v>
      </c>
      <c r="H3939" t="s">
        <v>2060</v>
      </c>
      <c r="I3939" t="str">
        <f>VLOOKUP(B3939,Customers!A:G,7,FALSE)</f>
        <v>Individual</v>
      </c>
      <c r="Q3939" t="str">
        <f>IF(COUNTIF(Customers!$A$2:$A$1001,B3939)&gt;0,"Valid","Invalid")</f>
        <v>Valid</v>
      </c>
      <c r="R3939" t="str">
        <f>IF(COUNTIF(Branches!$A$2:$A$11,F3939)&gt;0,"Valid","Invalid")</f>
        <v>Valid</v>
      </c>
    </row>
    <row r="3940" spans="1:18" x14ac:dyDescent="0.25">
      <c r="A3940" t="s">
        <v>6011</v>
      </c>
      <c r="B3940" t="s">
        <v>404</v>
      </c>
      <c r="C3940" s="8">
        <v>46108</v>
      </c>
      <c r="D3940" t="s">
        <v>2065</v>
      </c>
      <c r="E3940" t="s">
        <v>2068</v>
      </c>
      <c r="F3940" t="s">
        <v>27</v>
      </c>
      <c r="G3940">
        <v>101.8</v>
      </c>
      <c r="H3940" t="s">
        <v>2060</v>
      </c>
      <c r="I3940" t="str">
        <f>VLOOKUP(B3940,Customers!A:G,7,FALSE)</f>
        <v>Individual</v>
      </c>
      <c r="Q3940" t="str">
        <f>IF(COUNTIF(Customers!$A$2:$A$1001,B3940)&gt;0,"Valid","Invalid")</f>
        <v>Valid</v>
      </c>
      <c r="R3940" t="str">
        <f>IF(COUNTIF(Branches!$A$2:$A$11,F3940)&gt;0,"Valid","Invalid")</f>
        <v>Valid</v>
      </c>
    </row>
    <row r="3941" spans="1:18" x14ac:dyDescent="0.25">
      <c r="A3941" t="s">
        <v>6012</v>
      </c>
      <c r="B3941" t="s">
        <v>410</v>
      </c>
      <c r="C3941" s="8">
        <v>46068</v>
      </c>
      <c r="D3941" t="s">
        <v>2062</v>
      </c>
      <c r="E3941" t="s">
        <v>2063</v>
      </c>
      <c r="F3941" t="s">
        <v>29</v>
      </c>
      <c r="G3941">
        <v>510.79</v>
      </c>
      <c r="H3941" t="s">
        <v>2060</v>
      </c>
      <c r="I3941" t="str">
        <f>VLOOKUP(B3941,Customers!A:G,7,FALSE)</f>
        <v>Individual</v>
      </c>
      <c r="Q3941" t="str">
        <f>IF(COUNTIF(Customers!$A$2:$A$1001,B3941)&gt;0,"Valid","Invalid")</f>
        <v>Valid</v>
      </c>
      <c r="R3941" t="str">
        <f>IF(COUNTIF(Branches!$A$2:$A$11,F3941)&gt;0,"Valid","Invalid")</f>
        <v>Valid</v>
      </c>
    </row>
    <row r="3942" spans="1:18" x14ac:dyDescent="0.25">
      <c r="A3942" t="s">
        <v>6013</v>
      </c>
      <c r="B3942" t="s">
        <v>953</v>
      </c>
      <c r="C3942" s="8">
        <v>46112</v>
      </c>
      <c r="D3942" t="s">
        <v>2067</v>
      </c>
      <c r="E3942" t="s">
        <v>2068</v>
      </c>
      <c r="F3942" t="s">
        <v>16</v>
      </c>
      <c r="G3942">
        <v>174.05</v>
      </c>
      <c r="H3942" t="s">
        <v>2060</v>
      </c>
      <c r="I3942" t="str">
        <f>VLOOKUP(B3942,Customers!A:G,7,FALSE)</f>
        <v>Individual</v>
      </c>
      <c r="Q3942" t="str">
        <f>IF(COUNTIF(Customers!$A$2:$A$1001,B3942)&gt;0,"Valid","Invalid")</f>
        <v>Valid</v>
      </c>
      <c r="R3942" t="str">
        <f>IF(COUNTIF(Branches!$A$2:$A$11,F3942)&gt;0,"Valid","Invalid")</f>
        <v>Valid</v>
      </c>
    </row>
    <row r="3943" spans="1:18" x14ac:dyDescent="0.25">
      <c r="A3943" t="s">
        <v>6014</v>
      </c>
      <c r="B3943" t="s">
        <v>868</v>
      </c>
      <c r="C3943" s="8">
        <v>46208</v>
      </c>
      <c r="D3943" t="s">
        <v>2062</v>
      </c>
      <c r="E3943" t="s">
        <v>2073</v>
      </c>
      <c r="F3943" t="s">
        <v>53</v>
      </c>
      <c r="G3943">
        <v>78.989999999999995</v>
      </c>
      <c r="H3943" t="s">
        <v>2115</v>
      </c>
      <c r="I3943" t="str">
        <f>VLOOKUP(B3943,Customers!A:G,7,FALSE)</f>
        <v>Individual</v>
      </c>
      <c r="Q3943" t="str">
        <f>IF(COUNTIF(Customers!$A$2:$A$1001,B3943)&gt;0,"Valid","Invalid")</f>
        <v>Valid</v>
      </c>
      <c r="R3943" t="str">
        <f>IF(COUNTIF(Branches!$A$2:$A$11,F3943)&gt;0,"Valid","Invalid")</f>
        <v>Valid</v>
      </c>
    </row>
    <row r="3944" spans="1:18" x14ac:dyDescent="0.25">
      <c r="A3944" t="s">
        <v>6015</v>
      </c>
      <c r="B3944" t="s">
        <v>637</v>
      </c>
      <c r="C3944" s="8">
        <v>46178</v>
      </c>
      <c r="D3944" t="s">
        <v>2067</v>
      </c>
      <c r="E3944" t="s">
        <v>2068</v>
      </c>
      <c r="F3944" t="s">
        <v>53</v>
      </c>
      <c r="G3944">
        <v>624.96</v>
      </c>
      <c r="H3944" t="s">
        <v>2060</v>
      </c>
      <c r="I3944" t="str">
        <f>VLOOKUP(B3944,Customers!A:G,7,FALSE)</f>
        <v>Individual</v>
      </c>
      <c r="Q3944" t="str">
        <f>IF(COUNTIF(Customers!$A$2:$A$1001,B3944)&gt;0,"Valid","Invalid")</f>
        <v>Valid</v>
      </c>
      <c r="R3944" t="str">
        <f>IF(COUNTIF(Branches!$A$2:$A$11,F3944)&gt;0,"Valid","Invalid")</f>
        <v>Valid</v>
      </c>
    </row>
    <row r="3945" spans="1:18" x14ac:dyDescent="0.25">
      <c r="A3945" t="s">
        <v>6016</v>
      </c>
      <c r="B3945" t="s">
        <v>256</v>
      </c>
      <c r="C3945" s="8">
        <v>46259</v>
      </c>
      <c r="D3945" t="s">
        <v>2062</v>
      </c>
      <c r="E3945" t="s">
        <v>2068</v>
      </c>
      <c r="F3945" t="s">
        <v>16</v>
      </c>
      <c r="G3945">
        <v>604.16999999999996</v>
      </c>
      <c r="H3945" t="s">
        <v>2060</v>
      </c>
      <c r="I3945" t="str">
        <f>VLOOKUP(B3945,Customers!A:G,7,FALSE)</f>
        <v>SME</v>
      </c>
      <c r="Q3945" t="str">
        <f>IF(COUNTIF(Customers!$A$2:$A$1001,B3945)&gt;0,"Valid","Invalid")</f>
        <v>Valid</v>
      </c>
      <c r="R3945" t="str">
        <f>IF(COUNTIF(Branches!$A$2:$A$11,F3945)&gt;0,"Valid","Invalid")</f>
        <v>Valid</v>
      </c>
    </row>
    <row r="3946" spans="1:18" x14ac:dyDescent="0.25">
      <c r="A3946" t="s">
        <v>6017</v>
      </c>
      <c r="B3946" t="s">
        <v>513</v>
      </c>
      <c r="C3946" s="8">
        <v>46164</v>
      </c>
      <c r="D3946" t="s">
        <v>2065</v>
      </c>
      <c r="E3946" t="s">
        <v>2076</v>
      </c>
      <c r="F3946" t="s">
        <v>35</v>
      </c>
      <c r="G3946">
        <v>635.9</v>
      </c>
      <c r="H3946" t="s">
        <v>2115</v>
      </c>
      <c r="I3946" t="str">
        <f>VLOOKUP(B3946,Customers!A:G,7,FALSE)</f>
        <v>Individual</v>
      </c>
      <c r="Q3946" t="str">
        <f>IF(COUNTIF(Customers!$A$2:$A$1001,B3946)&gt;0,"Valid","Invalid")</f>
        <v>Valid</v>
      </c>
      <c r="R3946" t="str">
        <f>IF(COUNTIF(Branches!$A$2:$A$11,F3946)&gt;0,"Valid","Invalid")</f>
        <v>Valid</v>
      </c>
    </row>
    <row r="3947" spans="1:18" x14ac:dyDescent="0.25">
      <c r="A3947" t="s">
        <v>6018</v>
      </c>
      <c r="B3947" t="s">
        <v>461</v>
      </c>
      <c r="C3947" s="8">
        <v>46031</v>
      </c>
      <c r="D3947" t="s">
        <v>2067</v>
      </c>
      <c r="E3947" t="s">
        <v>2059</v>
      </c>
      <c r="F3947" t="s">
        <v>53</v>
      </c>
      <c r="G3947">
        <v>1046.1400000000001</v>
      </c>
      <c r="H3947" t="s">
        <v>2060</v>
      </c>
      <c r="I3947" t="str">
        <f>VLOOKUP(B3947,Customers!A:G,7,FALSE)</f>
        <v>Individual</v>
      </c>
      <c r="Q3947" t="str">
        <f>IF(COUNTIF(Customers!$A$2:$A$1001,B3947)&gt;0,"Valid","Invalid")</f>
        <v>Valid</v>
      </c>
      <c r="R3947" t="str">
        <f>IF(COUNTIF(Branches!$A$2:$A$11,F3947)&gt;0,"Valid","Invalid")</f>
        <v>Valid</v>
      </c>
    </row>
    <row r="3948" spans="1:18" x14ac:dyDescent="0.25">
      <c r="A3948" t="s">
        <v>6019</v>
      </c>
      <c r="B3948" t="s">
        <v>394</v>
      </c>
      <c r="C3948" s="8">
        <v>46137</v>
      </c>
      <c r="D3948" t="s">
        <v>2067</v>
      </c>
      <c r="E3948" t="s">
        <v>2076</v>
      </c>
      <c r="F3948" t="s">
        <v>53</v>
      </c>
      <c r="G3948">
        <v>337.18</v>
      </c>
      <c r="H3948" t="s">
        <v>2060</v>
      </c>
      <c r="I3948" t="str">
        <f>VLOOKUP(B3948,Customers!A:G,7,FALSE)</f>
        <v>Student</v>
      </c>
      <c r="Q3948" t="str">
        <f>IF(COUNTIF(Customers!$A$2:$A$1001,B3948)&gt;0,"Valid","Invalid")</f>
        <v>Valid</v>
      </c>
      <c r="R3948" t="str">
        <f>IF(COUNTIF(Branches!$A$2:$A$11,F3948)&gt;0,"Valid","Invalid")</f>
        <v>Valid</v>
      </c>
    </row>
    <row r="3949" spans="1:18" x14ac:dyDescent="0.25">
      <c r="A3949" t="s">
        <v>6020</v>
      </c>
      <c r="B3949" t="s">
        <v>498</v>
      </c>
      <c r="C3949" s="8">
        <v>46176</v>
      </c>
      <c r="D3949" t="s">
        <v>2062</v>
      </c>
      <c r="E3949" t="s">
        <v>2076</v>
      </c>
      <c r="F3949" t="s">
        <v>29</v>
      </c>
      <c r="G3949">
        <v>4870.03</v>
      </c>
      <c r="H3949" t="s">
        <v>2060</v>
      </c>
      <c r="I3949" t="str">
        <f>VLOOKUP(B3949,Customers!A:G,7,FALSE)</f>
        <v>Individual</v>
      </c>
      <c r="Q3949" t="str">
        <f>IF(COUNTIF(Customers!$A$2:$A$1001,B3949)&gt;0,"Valid","Invalid")</f>
        <v>Valid</v>
      </c>
      <c r="R3949" t="str">
        <f>IF(COUNTIF(Branches!$A$2:$A$11,F3949)&gt;0,"Valid","Invalid")</f>
        <v>Valid</v>
      </c>
    </row>
    <row r="3950" spans="1:18" x14ac:dyDescent="0.25">
      <c r="A3950" t="s">
        <v>6021</v>
      </c>
      <c r="B3950" t="s">
        <v>541</v>
      </c>
      <c r="C3950" s="8">
        <v>46152</v>
      </c>
      <c r="D3950" t="s">
        <v>2070</v>
      </c>
      <c r="E3950" t="s">
        <v>2076</v>
      </c>
      <c r="F3950" t="s">
        <v>35</v>
      </c>
      <c r="G3950">
        <v>785.8</v>
      </c>
      <c r="H3950" t="s">
        <v>2060</v>
      </c>
      <c r="I3950" t="str">
        <f>VLOOKUP(B3950,Customers!A:G,7,FALSE)</f>
        <v>Individual</v>
      </c>
      <c r="Q3950" t="str">
        <f>IF(COUNTIF(Customers!$A$2:$A$1001,B3950)&gt;0,"Valid","Invalid")</f>
        <v>Valid</v>
      </c>
      <c r="R3950" t="str">
        <f>IF(COUNTIF(Branches!$A$2:$A$11,F3950)&gt;0,"Valid","Invalid")</f>
        <v>Valid</v>
      </c>
    </row>
    <row r="3951" spans="1:18" x14ac:dyDescent="0.25">
      <c r="A3951" t="s">
        <v>6022</v>
      </c>
      <c r="B3951" t="s">
        <v>61</v>
      </c>
      <c r="C3951" s="8">
        <v>46097</v>
      </c>
      <c r="D3951" t="s">
        <v>2067</v>
      </c>
      <c r="E3951" t="s">
        <v>2068</v>
      </c>
      <c r="F3951" t="s">
        <v>45</v>
      </c>
      <c r="G3951">
        <v>2940.78</v>
      </c>
      <c r="H3951" t="s">
        <v>2060</v>
      </c>
      <c r="I3951" t="str">
        <f>VLOOKUP(B3951,Customers!A:G,7,FALSE)</f>
        <v>Student</v>
      </c>
      <c r="Q3951" t="str">
        <f>IF(COUNTIF(Customers!$A$2:$A$1001,B3951)&gt;0,"Valid","Invalid")</f>
        <v>Valid</v>
      </c>
      <c r="R3951" t="str">
        <f>IF(COUNTIF(Branches!$A$2:$A$11,F3951)&gt;0,"Valid","Invalid")</f>
        <v>Valid</v>
      </c>
    </row>
    <row r="3952" spans="1:18" x14ac:dyDescent="0.25">
      <c r="A3952" t="s">
        <v>6023</v>
      </c>
      <c r="B3952" t="s">
        <v>980</v>
      </c>
      <c r="C3952" s="8">
        <v>46103</v>
      </c>
      <c r="D3952" t="s">
        <v>2062</v>
      </c>
      <c r="E3952" t="s">
        <v>2059</v>
      </c>
      <c r="F3952" t="s">
        <v>11</v>
      </c>
      <c r="G3952">
        <v>151.43</v>
      </c>
      <c r="H3952" t="s">
        <v>2107</v>
      </c>
      <c r="I3952" t="str">
        <f>VLOOKUP(B3952,Customers!A:G,7,FALSE)</f>
        <v>Individual</v>
      </c>
      <c r="Q3952" t="str">
        <f>IF(COUNTIF(Customers!$A$2:$A$1001,B3952)&gt;0,"Valid","Invalid")</f>
        <v>Valid</v>
      </c>
      <c r="R3952" t="str">
        <f>IF(COUNTIF(Branches!$A$2:$A$11,F3952)&gt;0,"Valid","Invalid")</f>
        <v>Valid</v>
      </c>
    </row>
    <row r="3953" spans="1:18" x14ac:dyDescent="0.25">
      <c r="A3953" t="s">
        <v>6024</v>
      </c>
      <c r="B3953" t="s">
        <v>840</v>
      </c>
      <c r="C3953" s="8">
        <v>46150</v>
      </c>
      <c r="D3953" t="s">
        <v>2058</v>
      </c>
      <c r="E3953" t="s">
        <v>2063</v>
      </c>
      <c r="F3953" t="s">
        <v>21</v>
      </c>
      <c r="G3953">
        <v>352.65</v>
      </c>
      <c r="H3953" t="s">
        <v>2060</v>
      </c>
      <c r="I3953" t="str">
        <f>VLOOKUP(B3953,Customers!A:G,7,FALSE)</f>
        <v>Individual</v>
      </c>
      <c r="Q3953" t="str">
        <f>IF(COUNTIF(Customers!$A$2:$A$1001,B3953)&gt;0,"Valid","Invalid")</f>
        <v>Valid</v>
      </c>
      <c r="R3953" t="str">
        <f>IF(COUNTIF(Branches!$A$2:$A$11,F3953)&gt;0,"Valid","Invalid")</f>
        <v>Valid</v>
      </c>
    </row>
    <row r="3954" spans="1:18" x14ac:dyDescent="0.25">
      <c r="A3954" t="s">
        <v>6025</v>
      </c>
      <c r="B3954" t="s">
        <v>839</v>
      </c>
      <c r="C3954" s="8">
        <v>46056</v>
      </c>
      <c r="D3954" t="s">
        <v>2070</v>
      </c>
      <c r="E3954" t="s">
        <v>2059</v>
      </c>
      <c r="F3954" t="s">
        <v>21</v>
      </c>
      <c r="G3954">
        <v>1613.75</v>
      </c>
      <c r="H3954" t="s">
        <v>2060</v>
      </c>
      <c r="I3954" t="str">
        <f>VLOOKUP(B3954,Customers!A:G,7,FALSE)</f>
        <v>Individual</v>
      </c>
      <c r="Q3954" t="str">
        <f>IF(COUNTIF(Customers!$A$2:$A$1001,B3954)&gt;0,"Valid","Invalid")</f>
        <v>Valid</v>
      </c>
      <c r="R3954" t="str">
        <f>IF(COUNTIF(Branches!$A$2:$A$11,F3954)&gt;0,"Valid","Invalid")</f>
        <v>Valid</v>
      </c>
    </row>
    <row r="3955" spans="1:18" x14ac:dyDescent="0.25">
      <c r="A3955" t="s">
        <v>6026</v>
      </c>
      <c r="B3955" t="s">
        <v>898</v>
      </c>
      <c r="C3955" s="8">
        <v>46169</v>
      </c>
      <c r="D3955" t="s">
        <v>2062</v>
      </c>
      <c r="E3955" t="s">
        <v>2063</v>
      </c>
      <c r="F3955" t="s">
        <v>47</v>
      </c>
      <c r="G3955">
        <v>647.71</v>
      </c>
      <c r="H3955" t="s">
        <v>2060</v>
      </c>
      <c r="I3955" t="str">
        <f>VLOOKUP(B3955,Customers!A:G,7,FALSE)</f>
        <v>Student</v>
      </c>
      <c r="Q3955" t="str">
        <f>IF(COUNTIF(Customers!$A$2:$A$1001,B3955)&gt;0,"Valid","Invalid")</f>
        <v>Valid</v>
      </c>
      <c r="R3955" t="str">
        <f>IF(COUNTIF(Branches!$A$2:$A$11,F3955)&gt;0,"Valid","Invalid")</f>
        <v>Valid</v>
      </c>
    </row>
    <row r="3956" spans="1:18" x14ac:dyDescent="0.25">
      <c r="A3956" t="s">
        <v>6027</v>
      </c>
      <c r="B3956" t="s">
        <v>260</v>
      </c>
      <c r="C3956" s="8">
        <v>46061</v>
      </c>
      <c r="D3956" t="s">
        <v>2065</v>
      </c>
      <c r="E3956" t="s">
        <v>2059</v>
      </c>
      <c r="F3956" t="s">
        <v>39</v>
      </c>
      <c r="G3956">
        <v>277.77999999999997</v>
      </c>
      <c r="H3956" t="s">
        <v>2060</v>
      </c>
      <c r="I3956" t="str">
        <f>VLOOKUP(B3956,Customers!A:G,7,FALSE)</f>
        <v>SME</v>
      </c>
      <c r="Q3956" t="str">
        <f>IF(COUNTIF(Customers!$A$2:$A$1001,B3956)&gt;0,"Valid","Invalid")</f>
        <v>Valid</v>
      </c>
      <c r="R3956" t="str">
        <f>IF(COUNTIF(Branches!$A$2:$A$11,F3956)&gt;0,"Valid","Invalid")</f>
        <v>Valid</v>
      </c>
    </row>
    <row r="3957" spans="1:18" x14ac:dyDescent="0.25">
      <c r="A3957" t="s">
        <v>6028</v>
      </c>
      <c r="B3957" t="s">
        <v>902</v>
      </c>
      <c r="C3957" s="8">
        <v>46232</v>
      </c>
      <c r="D3957" t="s">
        <v>2062</v>
      </c>
      <c r="E3957" t="s">
        <v>2063</v>
      </c>
      <c r="F3957" t="s">
        <v>47</v>
      </c>
      <c r="G3957">
        <v>129.19999999999999</v>
      </c>
      <c r="H3957" t="s">
        <v>2060</v>
      </c>
      <c r="I3957" t="str">
        <f>VLOOKUP(B3957,Customers!A:G,7,FALSE)</f>
        <v>SME</v>
      </c>
      <c r="Q3957" t="str">
        <f>IF(COUNTIF(Customers!$A$2:$A$1001,B3957)&gt;0,"Valid","Invalid")</f>
        <v>Valid</v>
      </c>
      <c r="R3957" t="str">
        <f>IF(COUNTIF(Branches!$A$2:$A$11,F3957)&gt;0,"Valid","Invalid")</f>
        <v>Valid</v>
      </c>
    </row>
    <row r="3958" spans="1:18" x14ac:dyDescent="0.25">
      <c r="A3958" t="s">
        <v>6029</v>
      </c>
      <c r="B3958" t="s">
        <v>728</v>
      </c>
      <c r="C3958" s="8">
        <v>46035</v>
      </c>
      <c r="D3958" t="s">
        <v>2058</v>
      </c>
      <c r="E3958" t="s">
        <v>2059</v>
      </c>
      <c r="F3958" t="s">
        <v>45</v>
      </c>
      <c r="G3958">
        <v>1691.22</v>
      </c>
      <c r="H3958" t="s">
        <v>2060</v>
      </c>
      <c r="I3958" t="str">
        <f>VLOOKUP(B3958,Customers!A:G,7,FALSE)</f>
        <v>Individual</v>
      </c>
      <c r="Q3958" t="str">
        <f>IF(COUNTIF(Customers!$A$2:$A$1001,B3958)&gt;0,"Valid","Invalid")</f>
        <v>Valid</v>
      </c>
      <c r="R3958" t="str">
        <f>IF(COUNTIF(Branches!$A$2:$A$11,F3958)&gt;0,"Valid","Invalid")</f>
        <v>Valid</v>
      </c>
    </row>
    <row r="3959" spans="1:18" x14ac:dyDescent="0.25">
      <c r="A3959" t="s">
        <v>6030</v>
      </c>
      <c r="B3959" t="s">
        <v>184</v>
      </c>
      <c r="C3959" s="8">
        <v>46155</v>
      </c>
      <c r="D3959" t="s">
        <v>2065</v>
      </c>
      <c r="E3959" t="s">
        <v>2068</v>
      </c>
      <c r="F3959" t="s">
        <v>29</v>
      </c>
      <c r="G3959">
        <v>1558.69</v>
      </c>
      <c r="H3959" t="s">
        <v>2060</v>
      </c>
      <c r="I3959" t="str">
        <f>VLOOKUP(B3959,Customers!A:G,7,FALSE)</f>
        <v>Individual</v>
      </c>
      <c r="Q3959" t="str">
        <f>IF(COUNTIF(Customers!$A$2:$A$1001,B3959)&gt;0,"Valid","Invalid")</f>
        <v>Valid</v>
      </c>
      <c r="R3959" t="str">
        <f>IF(COUNTIF(Branches!$A$2:$A$11,F3959)&gt;0,"Valid","Invalid")</f>
        <v>Valid</v>
      </c>
    </row>
    <row r="3960" spans="1:18" x14ac:dyDescent="0.25">
      <c r="A3960" t="s">
        <v>6031</v>
      </c>
      <c r="B3960" t="s">
        <v>462</v>
      </c>
      <c r="C3960" s="8">
        <v>46072</v>
      </c>
      <c r="D3960" t="s">
        <v>2065</v>
      </c>
      <c r="E3960" t="s">
        <v>2059</v>
      </c>
      <c r="F3960" t="s">
        <v>39</v>
      </c>
      <c r="G3960">
        <v>1036.21</v>
      </c>
      <c r="H3960" t="s">
        <v>2115</v>
      </c>
      <c r="I3960" t="str">
        <f>VLOOKUP(B3960,Customers!A:G,7,FALSE)</f>
        <v>SME</v>
      </c>
      <c r="Q3960" t="str">
        <f>IF(COUNTIF(Customers!$A$2:$A$1001,B3960)&gt;0,"Valid","Invalid")</f>
        <v>Valid</v>
      </c>
      <c r="R3960" t="str">
        <f>IF(COUNTIF(Branches!$A$2:$A$11,F3960)&gt;0,"Valid","Invalid")</f>
        <v>Valid</v>
      </c>
    </row>
    <row r="3961" spans="1:18" x14ac:dyDescent="0.25">
      <c r="A3961" t="s">
        <v>6032</v>
      </c>
      <c r="B3961" t="s">
        <v>777</v>
      </c>
      <c r="C3961" s="8">
        <v>46045</v>
      </c>
      <c r="D3961" t="s">
        <v>2070</v>
      </c>
      <c r="E3961" t="s">
        <v>2063</v>
      </c>
      <c r="F3961" t="s">
        <v>11</v>
      </c>
      <c r="G3961">
        <v>494.77</v>
      </c>
      <c r="H3961" t="s">
        <v>2060</v>
      </c>
      <c r="I3961" t="str">
        <f>VLOOKUP(B3961,Customers!A:G,7,FALSE)</f>
        <v>Individual</v>
      </c>
      <c r="Q3961" t="str">
        <f>IF(COUNTIF(Customers!$A$2:$A$1001,B3961)&gt;0,"Valid","Invalid")</f>
        <v>Valid</v>
      </c>
      <c r="R3961" t="str">
        <f>IF(COUNTIF(Branches!$A$2:$A$11,F3961)&gt;0,"Valid","Invalid")</f>
        <v>Valid</v>
      </c>
    </row>
    <row r="3962" spans="1:18" x14ac:dyDescent="0.25">
      <c r="A3962" t="s">
        <v>6033</v>
      </c>
      <c r="B3962" t="s">
        <v>389</v>
      </c>
      <c r="C3962" s="8">
        <v>46144</v>
      </c>
      <c r="D3962" t="s">
        <v>2070</v>
      </c>
      <c r="E3962" t="s">
        <v>2059</v>
      </c>
      <c r="F3962" t="s">
        <v>29</v>
      </c>
      <c r="G3962">
        <v>266.91000000000003</v>
      </c>
      <c r="H3962" t="s">
        <v>2060</v>
      </c>
      <c r="I3962" t="str">
        <f>VLOOKUP(B3962,Customers!A:G,7,FALSE)</f>
        <v>Individual</v>
      </c>
      <c r="Q3962" t="str">
        <f>IF(COUNTIF(Customers!$A$2:$A$1001,B3962)&gt;0,"Valid","Invalid")</f>
        <v>Valid</v>
      </c>
      <c r="R3962" t="str">
        <f>IF(COUNTIF(Branches!$A$2:$A$11,F3962)&gt;0,"Valid","Invalid")</f>
        <v>Valid</v>
      </c>
    </row>
    <row r="3963" spans="1:18" x14ac:dyDescent="0.25">
      <c r="A3963" t="s">
        <v>6034</v>
      </c>
      <c r="B3963" t="s">
        <v>223</v>
      </c>
      <c r="C3963" s="8">
        <v>46142</v>
      </c>
      <c r="D3963" t="s">
        <v>2062</v>
      </c>
      <c r="E3963" t="s">
        <v>2063</v>
      </c>
      <c r="F3963" t="s">
        <v>29</v>
      </c>
      <c r="G3963">
        <v>770.48</v>
      </c>
      <c r="H3963" t="s">
        <v>2060</v>
      </c>
      <c r="I3963" t="str">
        <f>VLOOKUP(B3963,Customers!A:G,7,FALSE)</f>
        <v>Student</v>
      </c>
      <c r="Q3963" t="str">
        <f>IF(COUNTIF(Customers!$A$2:$A$1001,B3963)&gt;0,"Valid","Invalid")</f>
        <v>Valid</v>
      </c>
      <c r="R3963" t="str">
        <f>IF(COUNTIF(Branches!$A$2:$A$11,F3963)&gt;0,"Valid","Invalid")</f>
        <v>Valid</v>
      </c>
    </row>
    <row r="3964" spans="1:18" x14ac:dyDescent="0.25">
      <c r="A3964" t="s">
        <v>6035</v>
      </c>
      <c r="B3964" t="s">
        <v>453</v>
      </c>
      <c r="C3964" s="8">
        <v>46110</v>
      </c>
      <c r="D3964" t="s">
        <v>2070</v>
      </c>
      <c r="E3964" t="s">
        <v>2059</v>
      </c>
      <c r="F3964" t="s">
        <v>39</v>
      </c>
      <c r="G3964">
        <v>218.04</v>
      </c>
      <c r="H3964" t="s">
        <v>2060</v>
      </c>
      <c r="I3964" t="str">
        <f>VLOOKUP(B3964,Customers!A:G,7,FALSE)</f>
        <v>Student</v>
      </c>
      <c r="Q3964" t="str">
        <f>IF(COUNTIF(Customers!$A$2:$A$1001,B3964)&gt;0,"Valid","Invalid")</f>
        <v>Valid</v>
      </c>
      <c r="R3964" t="str">
        <f>IF(COUNTIF(Branches!$A$2:$A$11,F3964)&gt;0,"Valid","Invalid")</f>
        <v>Valid</v>
      </c>
    </row>
    <row r="3965" spans="1:18" x14ac:dyDescent="0.25">
      <c r="A3965" t="s">
        <v>6036</v>
      </c>
      <c r="B3965" t="s">
        <v>844</v>
      </c>
      <c r="C3965" s="8">
        <v>46179</v>
      </c>
      <c r="D3965" t="s">
        <v>2062</v>
      </c>
      <c r="E3965" t="s">
        <v>2059</v>
      </c>
      <c r="F3965" t="s">
        <v>47</v>
      </c>
      <c r="G3965">
        <v>383.15</v>
      </c>
      <c r="H3965" t="s">
        <v>2060</v>
      </c>
      <c r="I3965" t="str">
        <f>VLOOKUP(B3965,Customers!A:G,7,FALSE)</f>
        <v>Individual</v>
      </c>
      <c r="Q3965" t="str">
        <f>IF(COUNTIF(Customers!$A$2:$A$1001,B3965)&gt;0,"Valid","Invalid")</f>
        <v>Valid</v>
      </c>
      <c r="R3965" t="str">
        <f>IF(COUNTIF(Branches!$A$2:$A$11,F3965)&gt;0,"Valid","Invalid")</f>
        <v>Valid</v>
      </c>
    </row>
    <row r="3966" spans="1:18" x14ac:dyDescent="0.25">
      <c r="A3966" t="s">
        <v>6037</v>
      </c>
      <c r="B3966" t="s">
        <v>1020</v>
      </c>
      <c r="C3966" s="8">
        <v>46134</v>
      </c>
      <c r="D3966" t="s">
        <v>2065</v>
      </c>
      <c r="E3966" t="s">
        <v>2073</v>
      </c>
      <c r="F3966" t="s">
        <v>39</v>
      </c>
      <c r="G3966">
        <v>2867.66</v>
      </c>
      <c r="H3966" t="s">
        <v>2060</v>
      </c>
      <c r="I3966" t="str">
        <f>VLOOKUP(B3966,Customers!A:G,7,FALSE)</f>
        <v>Individual</v>
      </c>
      <c r="Q3966" t="str">
        <f>IF(COUNTIF(Customers!$A$2:$A$1001,B3966)&gt;0,"Valid","Invalid")</f>
        <v>Valid</v>
      </c>
      <c r="R3966" t="str">
        <f>IF(COUNTIF(Branches!$A$2:$A$11,F3966)&gt;0,"Valid","Invalid")</f>
        <v>Valid</v>
      </c>
    </row>
    <row r="3967" spans="1:18" x14ac:dyDescent="0.25">
      <c r="A3967" t="s">
        <v>6038</v>
      </c>
      <c r="B3967" t="s">
        <v>467</v>
      </c>
      <c r="C3967" s="8">
        <v>46133</v>
      </c>
      <c r="D3967" t="s">
        <v>2067</v>
      </c>
      <c r="E3967" t="s">
        <v>2063</v>
      </c>
      <c r="F3967" t="s">
        <v>53</v>
      </c>
      <c r="G3967">
        <v>127.63</v>
      </c>
      <c r="H3967" t="s">
        <v>2060</v>
      </c>
      <c r="I3967" t="str">
        <f>VLOOKUP(B3967,Customers!A:G,7,FALSE)</f>
        <v>SME</v>
      </c>
      <c r="Q3967" t="str">
        <f>IF(COUNTIF(Customers!$A$2:$A$1001,B3967)&gt;0,"Valid","Invalid")</f>
        <v>Valid</v>
      </c>
      <c r="R3967" t="str">
        <f>IF(COUNTIF(Branches!$A$2:$A$11,F3967)&gt;0,"Valid","Invalid")</f>
        <v>Valid</v>
      </c>
    </row>
    <row r="3968" spans="1:18" x14ac:dyDescent="0.25">
      <c r="A3968" t="s">
        <v>6039</v>
      </c>
      <c r="B3968" t="s">
        <v>75</v>
      </c>
      <c r="C3968" s="8">
        <v>46094</v>
      </c>
      <c r="D3968" t="s">
        <v>2065</v>
      </c>
      <c r="E3968" t="s">
        <v>2076</v>
      </c>
      <c r="F3968" t="s">
        <v>39</v>
      </c>
      <c r="G3968">
        <v>1599.63</v>
      </c>
      <c r="H3968" t="s">
        <v>2060</v>
      </c>
      <c r="I3968" t="str">
        <f>VLOOKUP(B3968,Customers!A:G,7,FALSE)</f>
        <v>Student</v>
      </c>
      <c r="Q3968" t="str">
        <f>IF(COUNTIF(Customers!$A$2:$A$1001,B3968)&gt;0,"Valid","Invalid")</f>
        <v>Valid</v>
      </c>
      <c r="R3968" t="str">
        <f>IF(COUNTIF(Branches!$A$2:$A$11,F3968)&gt;0,"Valid","Invalid")</f>
        <v>Valid</v>
      </c>
    </row>
    <row r="3969" spans="1:18" x14ac:dyDescent="0.25">
      <c r="A3969" t="s">
        <v>6040</v>
      </c>
      <c r="B3969" t="s">
        <v>943</v>
      </c>
      <c r="C3969" s="8">
        <v>46176</v>
      </c>
      <c r="D3969" t="s">
        <v>2065</v>
      </c>
      <c r="E3969" t="s">
        <v>2068</v>
      </c>
      <c r="F3969" t="s">
        <v>53</v>
      </c>
      <c r="G3969">
        <v>3619.88</v>
      </c>
      <c r="H3969" t="s">
        <v>2060</v>
      </c>
      <c r="I3969" t="str">
        <f>VLOOKUP(B3969,Customers!A:G,7,FALSE)</f>
        <v>Individual</v>
      </c>
      <c r="Q3969" t="str">
        <f>IF(COUNTIF(Customers!$A$2:$A$1001,B3969)&gt;0,"Valid","Invalid")</f>
        <v>Valid</v>
      </c>
      <c r="R3969" t="str">
        <f>IF(COUNTIF(Branches!$A$2:$A$11,F3969)&gt;0,"Valid","Invalid")</f>
        <v>Valid</v>
      </c>
    </row>
    <row r="3970" spans="1:18" x14ac:dyDescent="0.25">
      <c r="A3970" t="s">
        <v>6041</v>
      </c>
      <c r="B3970" t="s">
        <v>431</v>
      </c>
      <c r="C3970" s="8">
        <v>46229</v>
      </c>
      <c r="D3970" t="s">
        <v>2065</v>
      </c>
      <c r="E3970" t="s">
        <v>2073</v>
      </c>
      <c r="F3970" t="s">
        <v>11</v>
      </c>
      <c r="G3970">
        <v>1837.68</v>
      </c>
      <c r="H3970" t="s">
        <v>2060</v>
      </c>
      <c r="I3970" t="str">
        <f>VLOOKUP(B3970,Customers!A:G,7,FALSE)</f>
        <v>SME</v>
      </c>
      <c r="Q3970" t="str">
        <f>IF(COUNTIF(Customers!$A$2:$A$1001,B3970)&gt;0,"Valid","Invalid")</f>
        <v>Valid</v>
      </c>
      <c r="R3970" t="str">
        <f>IF(COUNTIF(Branches!$A$2:$A$11,F3970)&gt;0,"Valid","Invalid")</f>
        <v>Valid</v>
      </c>
    </row>
    <row r="3971" spans="1:18" x14ac:dyDescent="0.25">
      <c r="A3971" t="s">
        <v>6042</v>
      </c>
      <c r="B3971" t="s">
        <v>741</v>
      </c>
      <c r="C3971" s="8">
        <v>46079</v>
      </c>
      <c r="D3971" t="s">
        <v>2058</v>
      </c>
      <c r="E3971" t="s">
        <v>2063</v>
      </c>
      <c r="F3971" t="s">
        <v>29</v>
      </c>
      <c r="G3971">
        <v>1209.8</v>
      </c>
      <c r="H3971" t="s">
        <v>2060</v>
      </c>
      <c r="I3971" t="str">
        <f>VLOOKUP(B3971,Customers!A:G,7,FALSE)</f>
        <v>Individual</v>
      </c>
      <c r="Q3971" t="str">
        <f>IF(COUNTIF(Customers!$A$2:$A$1001,B3971)&gt;0,"Valid","Invalid")</f>
        <v>Valid</v>
      </c>
      <c r="R3971" t="str">
        <f>IF(COUNTIF(Branches!$A$2:$A$11,F3971)&gt;0,"Valid","Invalid")</f>
        <v>Valid</v>
      </c>
    </row>
    <row r="3972" spans="1:18" x14ac:dyDescent="0.25">
      <c r="A3972" t="s">
        <v>6043</v>
      </c>
      <c r="B3972" t="s">
        <v>115</v>
      </c>
      <c r="C3972" s="8">
        <v>46023</v>
      </c>
      <c r="D3972" t="s">
        <v>2062</v>
      </c>
      <c r="E3972" t="s">
        <v>2059</v>
      </c>
      <c r="F3972" t="s">
        <v>11</v>
      </c>
      <c r="G3972">
        <v>511.03</v>
      </c>
      <c r="H3972" t="s">
        <v>2060</v>
      </c>
      <c r="I3972" t="str">
        <f>VLOOKUP(B3972,Customers!A:G,7,FALSE)</f>
        <v>SME</v>
      </c>
      <c r="Q3972" t="str">
        <f>IF(COUNTIF(Customers!$A$2:$A$1001,B3972)&gt;0,"Valid","Invalid")</f>
        <v>Valid</v>
      </c>
      <c r="R3972" t="str">
        <f>IF(COUNTIF(Branches!$A$2:$A$11,F3972)&gt;0,"Valid","Invalid")</f>
        <v>Valid</v>
      </c>
    </row>
    <row r="3973" spans="1:18" x14ac:dyDescent="0.25">
      <c r="A3973" t="s">
        <v>6044</v>
      </c>
      <c r="B3973" t="s">
        <v>755</v>
      </c>
      <c r="C3973" s="8">
        <v>46178</v>
      </c>
      <c r="D3973" t="s">
        <v>2062</v>
      </c>
      <c r="E3973" t="s">
        <v>2063</v>
      </c>
      <c r="F3973" t="s">
        <v>39</v>
      </c>
      <c r="G3973">
        <v>425.86</v>
      </c>
      <c r="H3973" t="s">
        <v>2060</v>
      </c>
      <c r="I3973" t="str">
        <f>VLOOKUP(B3973,Customers!A:G,7,FALSE)</f>
        <v>Individual</v>
      </c>
      <c r="Q3973" t="str">
        <f>IF(COUNTIF(Customers!$A$2:$A$1001,B3973)&gt;0,"Valid","Invalid")</f>
        <v>Valid</v>
      </c>
      <c r="R3973" t="str">
        <f>IF(COUNTIF(Branches!$A$2:$A$11,F3973)&gt;0,"Valid","Invalid")</f>
        <v>Valid</v>
      </c>
    </row>
    <row r="3974" spans="1:18" x14ac:dyDescent="0.25">
      <c r="A3974" t="s">
        <v>6045</v>
      </c>
      <c r="B3974" t="s">
        <v>934</v>
      </c>
      <c r="C3974" s="8">
        <v>46135</v>
      </c>
      <c r="D3974" t="s">
        <v>2058</v>
      </c>
      <c r="E3974" t="s">
        <v>2059</v>
      </c>
      <c r="F3974" t="s">
        <v>21</v>
      </c>
      <c r="G3974">
        <v>85.79</v>
      </c>
      <c r="H3974" t="s">
        <v>2060</v>
      </c>
      <c r="I3974" t="str">
        <f>VLOOKUP(B3974,Customers!A:G,7,FALSE)</f>
        <v>Individual</v>
      </c>
      <c r="Q3974" t="str">
        <f>IF(COUNTIF(Customers!$A$2:$A$1001,B3974)&gt;0,"Valid","Invalid")</f>
        <v>Valid</v>
      </c>
      <c r="R3974" t="str">
        <f>IF(COUNTIF(Branches!$A$2:$A$11,F3974)&gt;0,"Valid","Invalid")</f>
        <v>Valid</v>
      </c>
    </row>
    <row r="3975" spans="1:18" x14ac:dyDescent="0.25">
      <c r="A3975" t="s">
        <v>6046</v>
      </c>
      <c r="B3975" t="s">
        <v>828</v>
      </c>
      <c r="C3975" s="8">
        <v>46084</v>
      </c>
      <c r="D3975" t="s">
        <v>2070</v>
      </c>
      <c r="E3975" t="s">
        <v>2063</v>
      </c>
      <c r="F3975" t="s">
        <v>47</v>
      </c>
      <c r="G3975">
        <v>843.03</v>
      </c>
      <c r="H3975" t="s">
        <v>2060</v>
      </c>
      <c r="I3975" t="str">
        <f>VLOOKUP(B3975,Customers!A:G,7,FALSE)</f>
        <v>Individual</v>
      </c>
      <c r="Q3975" t="str">
        <f>IF(COUNTIF(Customers!$A$2:$A$1001,B3975)&gt;0,"Valid","Invalid")</f>
        <v>Valid</v>
      </c>
      <c r="R3975" t="str">
        <f>IF(COUNTIF(Branches!$A$2:$A$11,F3975)&gt;0,"Valid","Invalid")</f>
        <v>Valid</v>
      </c>
    </row>
    <row r="3976" spans="1:18" x14ac:dyDescent="0.25">
      <c r="A3976" t="s">
        <v>6047</v>
      </c>
      <c r="B3976" t="s">
        <v>822</v>
      </c>
      <c r="C3976" s="8">
        <v>46069</v>
      </c>
      <c r="D3976" t="s">
        <v>2058</v>
      </c>
      <c r="E3976" t="s">
        <v>2068</v>
      </c>
      <c r="F3976" t="s">
        <v>39</v>
      </c>
      <c r="G3976">
        <v>543.35</v>
      </c>
      <c r="H3976" t="s">
        <v>2060</v>
      </c>
      <c r="I3976" t="str">
        <f>VLOOKUP(B3976,Customers!A:G,7,FALSE)</f>
        <v>Individual</v>
      </c>
      <c r="Q3976" t="str">
        <f>IF(COUNTIF(Customers!$A$2:$A$1001,B3976)&gt;0,"Valid","Invalid")</f>
        <v>Valid</v>
      </c>
      <c r="R3976" t="str">
        <f>IF(COUNTIF(Branches!$A$2:$A$11,F3976)&gt;0,"Valid","Invalid")</f>
        <v>Valid</v>
      </c>
    </row>
    <row r="3977" spans="1:18" x14ac:dyDescent="0.25">
      <c r="A3977" t="s">
        <v>6048</v>
      </c>
      <c r="B3977" t="s">
        <v>582</v>
      </c>
      <c r="C3977" s="8">
        <v>46260</v>
      </c>
      <c r="D3977" t="s">
        <v>2062</v>
      </c>
      <c r="E3977" t="s">
        <v>2063</v>
      </c>
      <c r="F3977" t="s">
        <v>47</v>
      </c>
      <c r="G3977">
        <v>404.22</v>
      </c>
      <c r="H3977" t="s">
        <v>2060</v>
      </c>
      <c r="I3977" t="str">
        <f>VLOOKUP(B3977,Customers!A:G,7,FALSE)</f>
        <v>Individual</v>
      </c>
      <c r="Q3977" t="str">
        <f>IF(COUNTIF(Customers!$A$2:$A$1001,B3977)&gt;0,"Valid","Invalid")</f>
        <v>Valid</v>
      </c>
      <c r="R3977" t="str">
        <f>IF(COUNTIF(Branches!$A$2:$A$11,F3977)&gt;0,"Valid","Invalid")</f>
        <v>Valid</v>
      </c>
    </row>
    <row r="3978" spans="1:18" x14ac:dyDescent="0.25">
      <c r="A3978" t="s">
        <v>6049</v>
      </c>
      <c r="B3978" t="s">
        <v>488</v>
      </c>
      <c r="C3978" s="8">
        <v>46100</v>
      </c>
      <c r="D3978" t="s">
        <v>2067</v>
      </c>
      <c r="E3978" t="s">
        <v>2059</v>
      </c>
      <c r="F3978" t="s">
        <v>47</v>
      </c>
      <c r="G3978">
        <v>796.25</v>
      </c>
      <c r="H3978" t="s">
        <v>2060</v>
      </c>
      <c r="I3978" t="str">
        <f>VLOOKUP(B3978,Customers!A:G,7,FALSE)</f>
        <v>SME</v>
      </c>
      <c r="Q3978" t="str">
        <f>IF(COUNTIF(Customers!$A$2:$A$1001,B3978)&gt;0,"Valid","Invalid")</f>
        <v>Valid</v>
      </c>
      <c r="R3978" t="str">
        <f>IF(COUNTIF(Branches!$A$2:$A$11,F3978)&gt;0,"Valid","Invalid")</f>
        <v>Valid</v>
      </c>
    </row>
    <row r="3979" spans="1:18" x14ac:dyDescent="0.25">
      <c r="A3979" t="s">
        <v>6050</v>
      </c>
      <c r="B3979" t="s">
        <v>512</v>
      </c>
      <c r="C3979" s="8">
        <v>46128</v>
      </c>
      <c r="D3979" t="s">
        <v>2065</v>
      </c>
      <c r="E3979" t="s">
        <v>2059</v>
      </c>
      <c r="F3979" t="s">
        <v>27</v>
      </c>
      <c r="G3979">
        <v>864.69</v>
      </c>
      <c r="H3979" t="s">
        <v>2060</v>
      </c>
      <c r="I3979" t="str">
        <f>VLOOKUP(B3979,Customers!A:G,7,FALSE)</f>
        <v>Individual</v>
      </c>
      <c r="Q3979" t="str">
        <f>IF(COUNTIF(Customers!$A$2:$A$1001,B3979)&gt;0,"Valid","Invalid")</f>
        <v>Valid</v>
      </c>
      <c r="R3979" t="str">
        <f>IF(COUNTIF(Branches!$A$2:$A$11,F3979)&gt;0,"Valid","Invalid")</f>
        <v>Valid</v>
      </c>
    </row>
    <row r="3980" spans="1:18" x14ac:dyDescent="0.25">
      <c r="A3980" t="s">
        <v>6051</v>
      </c>
      <c r="B3980" t="s">
        <v>178</v>
      </c>
      <c r="C3980" s="8">
        <v>46248</v>
      </c>
      <c r="D3980" t="s">
        <v>2062</v>
      </c>
      <c r="E3980" t="s">
        <v>2073</v>
      </c>
      <c r="F3980" t="s">
        <v>11</v>
      </c>
      <c r="G3980">
        <v>430.28</v>
      </c>
      <c r="H3980" t="s">
        <v>2060</v>
      </c>
      <c r="I3980" t="str">
        <f>VLOOKUP(B3980,Customers!A:G,7,FALSE)</f>
        <v>Individual</v>
      </c>
      <c r="Q3980" t="str">
        <f>IF(COUNTIF(Customers!$A$2:$A$1001,B3980)&gt;0,"Valid","Invalid")</f>
        <v>Valid</v>
      </c>
      <c r="R3980" t="str">
        <f>IF(COUNTIF(Branches!$A$2:$A$11,F3980)&gt;0,"Valid","Invalid")</f>
        <v>Valid</v>
      </c>
    </row>
    <row r="3981" spans="1:18" x14ac:dyDescent="0.25">
      <c r="A3981" t="s">
        <v>6052</v>
      </c>
      <c r="B3981" t="s">
        <v>289</v>
      </c>
      <c r="C3981" s="8">
        <v>46209</v>
      </c>
      <c r="D3981" t="s">
        <v>2067</v>
      </c>
      <c r="E3981" t="s">
        <v>2076</v>
      </c>
      <c r="F3981" t="s">
        <v>39</v>
      </c>
      <c r="G3981">
        <v>4076.85</v>
      </c>
      <c r="H3981" t="s">
        <v>2060</v>
      </c>
      <c r="I3981" t="str">
        <f>VLOOKUP(B3981,Customers!A:G,7,FALSE)</f>
        <v>Student</v>
      </c>
      <c r="Q3981" t="str">
        <f>IF(COUNTIF(Customers!$A$2:$A$1001,B3981)&gt;0,"Valid","Invalid")</f>
        <v>Valid</v>
      </c>
      <c r="R3981" t="str">
        <f>IF(COUNTIF(Branches!$A$2:$A$11,F3981)&gt;0,"Valid","Invalid")</f>
        <v>Valid</v>
      </c>
    </row>
    <row r="3982" spans="1:18" x14ac:dyDescent="0.25">
      <c r="A3982" t="s">
        <v>6053</v>
      </c>
      <c r="B3982" t="s">
        <v>332</v>
      </c>
      <c r="C3982" s="8">
        <v>46181</v>
      </c>
      <c r="D3982" t="s">
        <v>2058</v>
      </c>
      <c r="E3982" t="s">
        <v>2063</v>
      </c>
      <c r="F3982" t="s">
        <v>16</v>
      </c>
      <c r="G3982">
        <v>1686.82</v>
      </c>
      <c r="H3982" t="s">
        <v>2060</v>
      </c>
      <c r="I3982" t="str">
        <f>VLOOKUP(B3982,Customers!A:G,7,FALSE)</f>
        <v>Student</v>
      </c>
      <c r="Q3982" t="str">
        <f>IF(COUNTIF(Customers!$A$2:$A$1001,B3982)&gt;0,"Valid","Invalid")</f>
        <v>Valid</v>
      </c>
      <c r="R3982" t="str">
        <f>IF(COUNTIF(Branches!$A$2:$A$11,F3982)&gt;0,"Valid","Invalid")</f>
        <v>Valid</v>
      </c>
    </row>
    <row r="3983" spans="1:18" x14ac:dyDescent="0.25">
      <c r="A3983" t="s">
        <v>6054</v>
      </c>
      <c r="B3983" t="s">
        <v>648</v>
      </c>
      <c r="C3983" s="8">
        <v>46220</v>
      </c>
      <c r="D3983" t="s">
        <v>2067</v>
      </c>
      <c r="E3983" t="s">
        <v>2063</v>
      </c>
      <c r="F3983" t="s">
        <v>29</v>
      </c>
      <c r="G3983">
        <v>1990.77</v>
      </c>
      <c r="H3983" t="s">
        <v>2060</v>
      </c>
      <c r="I3983" t="str">
        <f>VLOOKUP(B3983,Customers!A:G,7,FALSE)</f>
        <v>Individual</v>
      </c>
      <c r="Q3983" t="str">
        <f>IF(COUNTIF(Customers!$A$2:$A$1001,B3983)&gt;0,"Valid","Invalid")</f>
        <v>Valid</v>
      </c>
      <c r="R3983" t="str">
        <f>IF(COUNTIF(Branches!$A$2:$A$11,F3983)&gt;0,"Valid","Invalid")</f>
        <v>Valid</v>
      </c>
    </row>
    <row r="3984" spans="1:18" x14ac:dyDescent="0.25">
      <c r="A3984" t="s">
        <v>6055</v>
      </c>
      <c r="B3984" t="s">
        <v>172</v>
      </c>
      <c r="C3984" s="8">
        <v>46148</v>
      </c>
      <c r="D3984" t="s">
        <v>2058</v>
      </c>
      <c r="E3984" t="s">
        <v>2063</v>
      </c>
      <c r="F3984" t="s">
        <v>27</v>
      </c>
      <c r="G3984">
        <v>732.67</v>
      </c>
      <c r="H3984" t="s">
        <v>2060</v>
      </c>
      <c r="I3984" t="str">
        <f>VLOOKUP(B3984,Customers!A:G,7,FALSE)</f>
        <v>Individual</v>
      </c>
      <c r="Q3984" t="str">
        <f>IF(COUNTIF(Customers!$A$2:$A$1001,B3984)&gt;0,"Valid","Invalid")</f>
        <v>Valid</v>
      </c>
      <c r="R3984" t="str">
        <f>IF(COUNTIF(Branches!$A$2:$A$11,F3984)&gt;0,"Valid","Invalid")</f>
        <v>Valid</v>
      </c>
    </row>
    <row r="3985" spans="1:18" x14ac:dyDescent="0.25">
      <c r="A3985" t="s">
        <v>6056</v>
      </c>
      <c r="B3985" t="s">
        <v>522</v>
      </c>
      <c r="C3985" s="8">
        <v>46199</v>
      </c>
      <c r="D3985" t="s">
        <v>2070</v>
      </c>
      <c r="E3985" t="s">
        <v>2068</v>
      </c>
      <c r="F3985" t="s">
        <v>35</v>
      </c>
      <c r="G3985">
        <v>1354.57</v>
      </c>
      <c r="H3985" t="s">
        <v>2060</v>
      </c>
      <c r="I3985" t="str">
        <f>VLOOKUP(B3985,Customers!A:G,7,FALSE)</f>
        <v>Individual</v>
      </c>
      <c r="Q3985" t="str">
        <f>IF(COUNTIF(Customers!$A$2:$A$1001,B3985)&gt;0,"Valid","Invalid")</f>
        <v>Valid</v>
      </c>
      <c r="R3985" t="str">
        <f>IF(COUNTIF(Branches!$A$2:$A$11,F3985)&gt;0,"Valid","Invalid")</f>
        <v>Valid</v>
      </c>
    </row>
    <row r="3986" spans="1:18" x14ac:dyDescent="0.25">
      <c r="A3986" t="s">
        <v>6057</v>
      </c>
      <c r="B3986" t="s">
        <v>827</v>
      </c>
      <c r="C3986" s="8">
        <v>46027</v>
      </c>
      <c r="D3986" t="s">
        <v>2065</v>
      </c>
      <c r="E3986" t="s">
        <v>2076</v>
      </c>
      <c r="F3986" t="s">
        <v>47</v>
      </c>
      <c r="G3986">
        <v>331.72</v>
      </c>
      <c r="H3986" t="s">
        <v>2060</v>
      </c>
      <c r="I3986" t="str">
        <f>VLOOKUP(B3986,Customers!A:G,7,FALSE)</f>
        <v>Individual</v>
      </c>
      <c r="Q3986" t="str">
        <f>IF(COUNTIF(Customers!$A$2:$A$1001,B3986)&gt;0,"Valid","Invalid")</f>
        <v>Valid</v>
      </c>
      <c r="R3986" t="str">
        <f>IF(COUNTIF(Branches!$A$2:$A$11,F3986)&gt;0,"Valid","Invalid")</f>
        <v>Valid</v>
      </c>
    </row>
    <row r="3987" spans="1:18" x14ac:dyDescent="0.25">
      <c r="A3987" t="s">
        <v>6058</v>
      </c>
      <c r="B3987" t="s">
        <v>350</v>
      </c>
      <c r="C3987" s="8">
        <v>46053</v>
      </c>
      <c r="D3987" t="s">
        <v>2062</v>
      </c>
      <c r="E3987" t="s">
        <v>2076</v>
      </c>
      <c r="F3987" t="s">
        <v>11</v>
      </c>
      <c r="G3987">
        <v>1581.7</v>
      </c>
      <c r="H3987" t="s">
        <v>2115</v>
      </c>
      <c r="I3987" t="str">
        <f>VLOOKUP(B3987,Customers!A:G,7,FALSE)</f>
        <v>Corporate</v>
      </c>
      <c r="Q3987" t="str">
        <f>IF(COUNTIF(Customers!$A$2:$A$1001,B3987)&gt;0,"Valid","Invalid")</f>
        <v>Valid</v>
      </c>
      <c r="R3987" t="str">
        <f>IF(COUNTIF(Branches!$A$2:$A$11,F3987)&gt;0,"Valid","Invalid")</f>
        <v>Valid</v>
      </c>
    </row>
    <row r="3988" spans="1:18" x14ac:dyDescent="0.25">
      <c r="A3988" t="s">
        <v>6059</v>
      </c>
      <c r="B3988" t="s">
        <v>852</v>
      </c>
      <c r="C3988" s="8">
        <v>46059</v>
      </c>
      <c r="D3988" t="s">
        <v>2065</v>
      </c>
      <c r="E3988" t="s">
        <v>2063</v>
      </c>
      <c r="F3988" t="s">
        <v>29</v>
      </c>
      <c r="G3988">
        <v>662.22</v>
      </c>
      <c r="H3988" t="s">
        <v>2060</v>
      </c>
      <c r="I3988" t="str">
        <f>VLOOKUP(B3988,Customers!A:G,7,FALSE)</f>
        <v>SME</v>
      </c>
      <c r="Q3988" t="str">
        <f>IF(COUNTIF(Customers!$A$2:$A$1001,B3988)&gt;0,"Valid","Invalid")</f>
        <v>Valid</v>
      </c>
      <c r="R3988" t="str">
        <f>IF(COUNTIF(Branches!$A$2:$A$11,F3988)&gt;0,"Valid","Invalid")</f>
        <v>Valid</v>
      </c>
    </row>
    <row r="3989" spans="1:18" x14ac:dyDescent="0.25">
      <c r="A3989" t="s">
        <v>6060</v>
      </c>
      <c r="B3989" t="s">
        <v>593</v>
      </c>
      <c r="C3989" s="8">
        <v>46101</v>
      </c>
      <c r="D3989" t="s">
        <v>2067</v>
      </c>
      <c r="E3989" t="s">
        <v>2068</v>
      </c>
      <c r="F3989" t="s">
        <v>39</v>
      </c>
      <c r="G3989">
        <v>292.37</v>
      </c>
      <c r="H3989" t="s">
        <v>2060</v>
      </c>
      <c r="I3989" t="str">
        <f>VLOOKUP(B3989,Customers!A:G,7,FALSE)</f>
        <v>SME</v>
      </c>
      <c r="Q3989" t="str">
        <f>IF(COUNTIF(Customers!$A$2:$A$1001,B3989)&gt;0,"Valid","Invalid")</f>
        <v>Valid</v>
      </c>
      <c r="R3989" t="str">
        <f>IF(COUNTIF(Branches!$A$2:$A$11,F3989)&gt;0,"Valid","Invalid")</f>
        <v>Valid</v>
      </c>
    </row>
    <row r="3990" spans="1:18" x14ac:dyDescent="0.25">
      <c r="A3990" t="s">
        <v>6061</v>
      </c>
      <c r="B3990" t="s">
        <v>670</v>
      </c>
      <c r="C3990" s="8">
        <v>46165</v>
      </c>
      <c r="D3990" t="s">
        <v>2065</v>
      </c>
      <c r="E3990" t="s">
        <v>2076</v>
      </c>
      <c r="F3990" t="s">
        <v>39</v>
      </c>
      <c r="G3990">
        <v>794.12</v>
      </c>
      <c r="H3990" t="s">
        <v>2060</v>
      </c>
      <c r="I3990" t="str">
        <f>VLOOKUP(B3990,Customers!A:G,7,FALSE)</f>
        <v>SME</v>
      </c>
      <c r="Q3990" t="str">
        <f>IF(COUNTIF(Customers!$A$2:$A$1001,B3990)&gt;0,"Valid","Invalid")</f>
        <v>Valid</v>
      </c>
      <c r="R3990" t="str">
        <f>IF(COUNTIF(Branches!$A$2:$A$11,F3990)&gt;0,"Valid","Invalid")</f>
        <v>Valid</v>
      </c>
    </row>
    <row r="3991" spans="1:18" x14ac:dyDescent="0.25">
      <c r="A3991" t="s">
        <v>6062</v>
      </c>
      <c r="B3991" t="s">
        <v>770</v>
      </c>
      <c r="C3991" s="8">
        <v>46074</v>
      </c>
      <c r="D3991" t="s">
        <v>2062</v>
      </c>
      <c r="E3991" t="s">
        <v>2073</v>
      </c>
      <c r="F3991" t="s">
        <v>39</v>
      </c>
      <c r="G3991">
        <v>606.65</v>
      </c>
      <c r="H3991" t="s">
        <v>2060</v>
      </c>
      <c r="I3991" t="str">
        <f>VLOOKUP(B3991,Customers!A:G,7,FALSE)</f>
        <v>Individual</v>
      </c>
      <c r="Q3991" t="str">
        <f>IF(COUNTIF(Customers!$A$2:$A$1001,B3991)&gt;0,"Valid","Invalid")</f>
        <v>Valid</v>
      </c>
      <c r="R3991" t="str">
        <f>IF(COUNTIF(Branches!$A$2:$A$11,F3991)&gt;0,"Valid","Invalid")</f>
        <v>Valid</v>
      </c>
    </row>
    <row r="3992" spans="1:18" x14ac:dyDescent="0.25">
      <c r="A3992" t="s">
        <v>6063</v>
      </c>
      <c r="B3992" t="s">
        <v>81</v>
      </c>
      <c r="C3992" s="8">
        <v>46257</v>
      </c>
      <c r="D3992" t="s">
        <v>2065</v>
      </c>
      <c r="E3992" t="s">
        <v>2059</v>
      </c>
      <c r="F3992" t="s">
        <v>27</v>
      </c>
      <c r="G3992">
        <v>8292.19</v>
      </c>
      <c r="H3992" t="s">
        <v>2060</v>
      </c>
      <c r="I3992" t="str">
        <f>VLOOKUP(B3992,Customers!A:G,7,FALSE)</f>
        <v>Individual</v>
      </c>
      <c r="Q3992" t="str">
        <f>IF(COUNTIF(Customers!$A$2:$A$1001,B3992)&gt;0,"Valid","Invalid")</f>
        <v>Valid</v>
      </c>
      <c r="R3992" t="str">
        <f>IF(COUNTIF(Branches!$A$2:$A$11,F3992)&gt;0,"Valid","Invalid")</f>
        <v>Valid</v>
      </c>
    </row>
    <row r="3993" spans="1:18" x14ac:dyDescent="0.25">
      <c r="A3993" t="s">
        <v>6064</v>
      </c>
      <c r="B3993" t="s">
        <v>274</v>
      </c>
      <c r="C3993" s="8">
        <v>46219</v>
      </c>
      <c r="D3993" t="s">
        <v>2058</v>
      </c>
      <c r="E3993" t="s">
        <v>2063</v>
      </c>
      <c r="F3993" t="s">
        <v>21</v>
      </c>
      <c r="G3993">
        <v>1255.6300000000001</v>
      </c>
      <c r="H3993" t="s">
        <v>2060</v>
      </c>
      <c r="I3993" t="str">
        <f>VLOOKUP(B3993,Customers!A:G,7,FALSE)</f>
        <v>Individual</v>
      </c>
      <c r="Q3993" t="str">
        <f>IF(COUNTIF(Customers!$A$2:$A$1001,B3993)&gt;0,"Valid","Invalid")</f>
        <v>Valid</v>
      </c>
      <c r="R3993" t="str">
        <f>IF(COUNTIF(Branches!$A$2:$A$11,F3993)&gt;0,"Valid","Invalid")</f>
        <v>Valid</v>
      </c>
    </row>
    <row r="3994" spans="1:18" x14ac:dyDescent="0.25">
      <c r="A3994" t="s">
        <v>6065</v>
      </c>
      <c r="B3994" t="s">
        <v>84</v>
      </c>
      <c r="C3994" s="8">
        <v>46242</v>
      </c>
      <c r="D3994" t="s">
        <v>2067</v>
      </c>
      <c r="E3994" t="s">
        <v>2059</v>
      </c>
      <c r="F3994" t="s">
        <v>29</v>
      </c>
      <c r="G3994">
        <v>3943.08</v>
      </c>
      <c r="H3994" t="s">
        <v>2060</v>
      </c>
      <c r="I3994" t="str">
        <f>VLOOKUP(B3994,Customers!A:G,7,FALSE)</f>
        <v>SME</v>
      </c>
      <c r="Q3994" t="str">
        <f>IF(COUNTIF(Customers!$A$2:$A$1001,B3994)&gt;0,"Valid","Invalid")</f>
        <v>Valid</v>
      </c>
      <c r="R3994" t="str">
        <f>IF(COUNTIF(Branches!$A$2:$A$11,F3994)&gt;0,"Valid","Invalid")</f>
        <v>Valid</v>
      </c>
    </row>
    <row r="3995" spans="1:18" x14ac:dyDescent="0.25">
      <c r="A3995" t="s">
        <v>6066</v>
      </c>
      <c r="B3995" t="s">
        <v>235</v>
      </c>
      <c r="C3995" s="8">
        <v>46247</v>
      </c>
      <c r="D3995" t="s">
        <v>2065</v>
      </c>
      <c r="E3995" t="s">
        <v>2063</v>
      </c>
      <c r="F3995" t="s">
        <v>16</v>
      </c>
      <c r="G3995">
        <v>2518.17</v>
      </c>
      <c r="H3995" t="s">
        <v>2060</v>
      </c>
      <c r="I3995" t="str">
        <f>VLOOKUP(B3995,Customers!A:G,7,FALSE)</f>
        <v>Individual</v>
      </c>
      <c r="Q3995" t="str">
        <f>IF(COUNTIF(Customers!$A$2:$A$1001,B3995)&gt;0,"Valid","Invalid")</f>
        <v>Valid</v>
      </c>
      <c r="R3995" t="str">
        <f>IF(COUNTIF(Branches!$A$2:$A$11,F3995)&gt;0,"Valid","Invalid")</f>
        <v>Valid</v>
      </c>
    </row>
    <row r="3996" spans="1:18" x14ac:dyDescent="0.25">
      <c r="A3996" t="s">
        <v>6067</v>
      </c>
      <c r="B3996" t="s">
        <v>120</v>
      </c>
      <c r="C3996" s="8">
        <v>46161</v>
      </c>
      <c r="D3996" t="s">
        <v>2062</v>
      </c>
      <c r="E3996" t="s">
        <v>2076</v>
      </c>
      <c r="F3996" t="s">
        <v>47</v>
      </c>
      <c r="G3996">
        <v>843.69</v>
      </c>
      <c r="H3996" t="s">
        <v>2060</v>
      </c>
      <c r="I3996" t="str">
        <f>VLOOKUP(B3996,Customers!A:G,7,FALSE)</f>
        <v>SME</v>
      </c>
      <c r="Q3996" t="str">
        <f>IF(COUNTIF(Customers!$A$2:$A$1001,B3996)&gt;0,"Valid","Invalid")</f>
        <v>Valid</v>
      </c>
      <c r="R3996" t="str">
        <f>IF(COUNTIF(Branches!$A$2:$A$11,F3996)&gt;0,"Valid","Invalid")</f>
        <v>Valid</v>
      </c>
    </row>
    <row r="3997" spans="1:18" x14ac:dyDescent="0.25">
      <c r="A3997" t="s">
        <v>6068</v>
      </c>
      <c r="B3997" t="s">
        <v>581</v>
      </c>
      <c r="C3997" s="8">
        <v>46065</v>
      </c>
      <c r="D3997" t="s">
        <v>2065</v>
      </c>
      <c r="E3997" t="s">
        <v>2076</v>
      </c>
      <c r="F3997" t="s">
        <v>29</v>
      </c>
      <c r="G3997">
        <v>521.28</v>
      </c>
      <c r="H3997" t="s">
        <v>2060</v>
      </c>
      <c r="I3997" t="str">
        <f>VLOOKUP(B3997,Customers!A:G,7,FALSE)</f>
        <v>Individual</v>
      </c>
      <c r="Q3997" t="str">
        <f>IF(COUNTIF(Customers!$A$2:$A$1001,B3997)&gt;0,"Valid","Invalid")</f>
        <v>Valid</v>
      </c>
      <c r="R3997" t="str">
        <f>IF(COUNTIF(Branches!$A$2:$A$11,F3997)&gt;0,"Valid","Invalid")</f>
        <v>Valid</v>
      </c>
    </row>
    <row r="3998" spans="1:18" x14ac:dyDescent="0.25">
      <c r="A3998" t="s">
        <v>6069</v>
      </c>
      <c r="B3998" t="s">
        <v>197</v>
      </c>
      <c r="C3998" s="8">
        <v>46220</v>
      </c>
      <c r="D3998" t="s">
        <v>2065</v>
      </c>
      <c r="E3998" t="s">
        <v>2063</v>
      </c>
      <c r="F3998" t="s">
        <v>16</v>
      </c>
      <c r="G3998">
        <v>142.56</v>
      </c>
      <c r="H3998" t="s">
        <v>2060</v>
      </c>
      <c r="I3998" t="str">
        <f>VLOOKUP(B3998,Customers!A:G,7,FALSE)</f>
        <v>Individual</v>
      </c>
      <c r="Q3998" t="str">
        <f>IF(COUNTIF(Customers!$A$2:$A$1001,B3998)&gt;0,"Valid","Invalid")</f>
        <v>Valid</v>
      </c>
      <c r="R3998" t="str">
        <f>IF(COUNTIF(Branches!$A$2:$A$11,F3998)&gt;0,"Valid","Invalid")</f>
        <v>Valid</v>
      </c>
    </row>
    <row r="3999" spans="1:18" x14ac:dyDescent="0.25">
      <c r="A3999" t="s">
        <v>6070</v>
      </c>
      <c r="B3999" t="s">
        <v>466</v>
      </c>
      <c r="C3999" s="8">
        <v>46173</v>
      </c>
      <c r="D3999" t="s">
        <v>2065</v>
      </c>
      <c r="E3999" t="s">
        <v>2063</v>
      </c>
      <c r="F3999" t="s">
        <v>45</v>
      </c>
      <c r="G3999">
        <v>340.04</v>
      </c>
      <c r="H3999" t="s">
        <v>2107</v>
      </c>
      <c r="I3999" t="str">
        <f>VLOOKUP(B3999,Customers!A:G,7,FALSE)</f>
        <v>Corporate</v>
      </c>
      <c r="Q3999" t="str">
        <f>IF(COUNTIF(Customers!$A$2:$A$1001,B3999)&gt;0,"Valid","Invalid")</f>
        <v>Valid</v>
      </c>
      <c r="R3999" t="str">
        <f>IF(COUNTIF(Branches!$A$2:$A$11,F3999)&gt;0,"Valid","Invalid")</f>
        <v>Valid</v>
      </c>
    </row>
    <row r="4000" spans="1:18" x14ac:dyDescent="0.25">
      <c r="A4000" t="s">
        <v>6071</v>
      </c>
      <c r="B4000" t="s">
        <v>107</v>
      </c>
      <c r="C4000" s="8">
        <v>46062</v>
      </c>
      <c r="D4000" t="s">
        <v>2058</v>
      </c>
      <c r="E4000" t="s">
        <v>2063</v>
      </c>
      <c r="F4000" t="s">
        <v>21</v>
      </c>
      <c r="G4000">
        <v>1576.17</v>
      </c>
      <c r="H4000" t="s">
        <v>2060</v>
      </c>
      <c r="I4000" t="str">
        <f>VLOOKUP(B4000,Customers!A:G,7,FALSE)</f>
        <v>SME</v>
      </c>
      <c r="Q4000" t="str">
        <f>IF(COUNTIF(Customers!$A$2:$A$1001,B4000)&gt;0,"Valid","Invalid")</f>
        <v>Valid</v>
      </c>
      <c r="R4000" t="str">
        <f>IF(COUNTIF(Branches!$A$2:$A$11,F4000)&gt;0,"Valid","Invalid")</f>
        <v>Valid</v>
      </c>
    </row>
    <row r="4001" spans="1:18" x14ac:dyDescent="0.25">
      <c r="A4001" t="s">
        <v>6072</v>
      </c>
      <c r="B4001" t="s">
        <v>558</v>
      </c>
      <c r="C4001" s="8">
        <v>46085</v>
      </c>
      <c r="D4001" t="s">
        <v>2058</v>
      </c>
      <c r="E4001" t="s">
        <v>2073</v>
      </c>
      <c r="F4001" t="s">
        <v>29</v>
      </c>
      <c r="G4001">
        <v>600.55999999999995</v>
      </c>
      <c r="H4001" t="s">
        <v>2060</v>
      </c>
      <c r="I4001" t="str">
        <f>VLOOKUP(B4001,Customers!A:G,7,FALSE)</f>
        <v>Individual</v>
      </c>
      <c r="Q4001" t="str">
        <f>IF(COUNTIF(Customers!$A$2:$A$1001,B4001)&gt;0,"Valid","Invalid")</f>
        <v>Valid</v>
      </c>
      <c r="R4001" t="str">
        <f>IF(COUNTIF(Branches!$A$2:$A$11,F4001)&gt;0,"Valid","Invalid")</f>
        <v>Valid</v>
      </c>
    </row>
    <row r="4002" spans="1:18" x14ac:dyDescent="0.25">
      <c r="A4002" t="s">
        <v>6073</v>
      </c>
      <c r="B4002" t="s">
        <v>1007</v>
      </c>
      <c r="C4002" s="8">
        <v>46152</v>
      </c>
      <c r="D4002" t="s">
        <v>2065</v>
      </c>
      <c r="E4002" t="s">
        <v>2063</v>
      </c>
      <c r="F4002" t="s">
        <v>45</v>
      </c>
      <c r="G4002">
        <v>1183.01</v>
      </c>
      <c r="H4002" t="s">
        <v>2115</v>
      </c>
      <c r="I4002" t="str">
        <f>VLOOKUP(B4002,Customers!A:G,7,FALSE)</f>
        <v>Individual</v>
      </c>
      <c r="Q4002" t="str">
        <f>IF(COUNTIF(Customers!$A$2:$A$1001,B4002)&gt;0,"Valid","Invalid")</f>
        <v>Valid</v>
      </c>
      <c r="R4002" t="str">
        <f>IF(COUNTIF(Branches!$A$2:$A$11,F4002)&gt;0,"Valid","Invalid")</f>
        <v>Valid</v>
      </c>
    </row>
    <row r="4003" spans="1:18" x14ac:dyDescent="0.25">
      <c r="A4003" t="s">
        <v>6074</v>
      </c>
      <c r="B4003" t="s">
        <v>936</v>
      </c>
      <c r="C4003" s="8">
        <v>46229</v>
      </c>
      <c r="D4003" t="s">
        <v>2065</v>
      </c>
      <c r="E4003" t="s">
        <v>2059</v>
      </c>
      <c r="F4003" t="s">
        <v>27</v>
      </c>
      <c r="G4003">
        <v>106.67</v>
      </c>
      <c r="H4003" t="s">
        <v>2060</v>
      </c>
      <c r="I4003" t="str">
        <f>VLOOKUP(B4003,Customers!A:G,7,FALSE)</f>
        <v>Individual</v>
      </c>
      <c r="Q4003" t="str">
        <f>IF(COUNTIF(Customers!$A$2:$A$1001,B4003)&gt;0,"Valid","Invalid")</f>
        <v>Valid</v>
      </c>
      <c r="R4003" t="str">
        <f>IF(COUNTIF(Branches!$A$2:$A$11,F4003)&gt;0,"Valid","Invalid")</f>
        <v>Valid</v>
      </c>
    </row>
    <row r="4004" spans="1:18" x14ac:dyDescent="0.25">
      <c r="A4004" t="s">
        <v>6075</v>
      </c>
      <c r="B4004" t="s">
        <v>951</v>
      </c>
      <c r="C4004" s="8">
        <v>46109</v>
      </c>
      <c r="D4004" t="s">
        <v>2067</v>
      </c>
      <c r="E4004" t="s">
        <v>2063</v>
      </c>
      <c r="F4004" t="s">
        <v>21</v>
      </c>
      <c r="G4004">
        <v>1278.5899999999999</v>
      </c>
      <c r="H4004" t="s">
        <v>2060</v>
      </c>
      <c r="I4004" t="str">
        <f>VLOOKUP(B4004,Customers!A:G,7,FALSE)</f>
        <v>Individual</v>
      </c>
      <c r="Q4004" t="str">
        <f>IF(COUNTIF(Customers!$A$2:$A$1001,B4004)&gt;0,"Valid","Invalid")</f>
        <v>Valid</v>
      </c>
      <c r="R4004" t="str">
        <f>IF(COUNTIF(Branches!$A$2:$A$11,F4004)&gt;0,"Valid","Invalid")</f>
        <v>Valid</v>
      </c>
    </row>
    <row r="4005" spans="1:18" x14ac:dyDescent="0.25">
      <c r="A4005" t="s">
        <v>6076</v>
      </c>
      <c r="B4005" t="s">
        <v>88</v>
      </c>
      <c r="C4005" s="8">
        <v>46236</v>
      </c>
      <c r="D4005" t="s">
        <v>2067</v>
      </c>
      <c r="E4005" t="s">
        <v>2059</v>
      </c>
      <c r="F4005" t="s">
        <v>16</v>
      </c>
      <c r="G4005">
        <v>2432.0300000000002</v>
      </c>
      <c r="H4005" t="s">
        <v>2060</v>
      </c>
      <c r="I4005" t="str">
        <f>VLOOKUP(B4005,Customers!A:G,7,FALSE)</f>
        <v>Student</v>
      </c>
      <c r="Q4005" t="str">
        <f>IF(COUNTIF(Customers!$A$2:$A$1001,B4005)&gt;0,"Valid","Invalid")</f>
        <v>Valid</v>
      </c>
      <c r="R4005" t="str">
        <f>IF(COUNTIF(Branches!$A$2:$A$11,F4005)&gt;0,"Valid","Invalid")</f>
        <v>Valid</v>
      </c>
    </row>
    <row r="4006" spans="1:18" x14ac:dyDescent="0.25">
      <c r="A4006" t="s">
        <v>6077</v>
      </c>
      <c r="B4006" t="s">
        <v>80</v>
      </c>
      <c r="C4006" s="8">
        <v>46095</v>
      </c>
      <c r="D4006" t="s">
        <v>2062</v>
      </c>
      <c r="E4006" t="s">
        <v>2076</v>
      </c>
      <c r="F4006" t="s">
        <v>47</v>
      </c>
      <c r="G4006">
        <v>137.58000000000001</v>
      </c>
      <c r="H4006" t="s">
        <v>2060</v>
      </c>
      <c r="I4006" t="str">
        <f>VLOOKUP(B4006,Customers!A:G,7,FALSE)</f>
        <v>Individual</v>
      </c>
      <c r="Q4006" t="str">
        <f>IF(COUNTIF(Customers!$A$2:$A$1001,B4006)&gt;0,"Valid","Invalid")</f>
        <v>Valid</v>
      </c>
      <c r="R4006" t="str">
        <f>IF(COUNTIF(Branches!$A$2:$A$11,F4006)&gt;0,"Valid","Invalid")</f>
        <v>Valid</v>
      </c>
    </row>
    <row r="4007" spans="1:18" x14ac:dyDescent="0.25">
      <c r="A4007" t="s">
        <v>6078</v>
      </c>
      <c r="B4007" t="s">
        <v>331</v>
      </c>
      <c r="C4007" s="8">
        <v>46197</v>
      </c>
      <c r="D4007" t="s">
        <v>2062</v>
      </c>
      <c r="E4007" t="s">
        <v>2068</v>
      </c>
      <c r="F4007" t="s">
        <v>27</v>
      </c>
      <c r="G4007">
        <v>1177.99</v>
      </c>
      <c r="H4007" t="s">
        <v>2060</v>
      </c>
      <c r="I4007" t="str">
        <f>VLOOKUP(B4007,Customers!A:G,7,FALSE)</f>
        <v>SME</v>
      </c>
      <c r="Q4007" t="str">
        <f>IF(COUNTIF(Customers!$A$2:$A$1001,B4007)&gt;0,"Valid","Invalid")</f>
        <v>Valid</v>
      </c>
      <c r="R4007" t="str">
        <f>IF(COUNTIF(Branches!$A$2:$A$11,F4007)&gt;0,"Valid","Invalid")</f>
        <v>Valid</v>
      </c>
    </row>
    <row r="4008" spans="1:18" x14ac:dyDescent="0.25">
      <c r="A4008" t="s">
        <v>6079</v>
      </c>
      <c r="B4008" t="s">
        <v>976</v>
      </c>
      <c r="C4008" s="8">
        <v>46126</v>
      </c>
      <c r="D4008" t="s">
        <v>2058</v>
      </c>
      <c r="E4008" t="s">
        <v>2063</v>
      </c>
      <c r="F4008" t="s">
        <v>21</v>
      </c>
      <c r="G4008">
        <v>3113.6</v>
      </c>
      <c r="H4008" t="s">
        <v>2060</v>
      </c>
      <c r="I4008" t="str">
        <f>VLOOKUP(B4008,Customers!A:G,7,FALSE)</f>
        <v>Individual</v>
      </c>
      <c r="Q4008" t="str">
        <f>IF(COUNTIF(Customers!$A$2:$A$1001,B4008)&gt;0,"Valid","Invalid")</f>
        <v>Valid</v>
      </c>
      <c r="R4008" t="str">
        <f>IF(COUNTIF(Branches!$A$2:$A$11,F4008)&gt;0,"Valid","Invalid")</f>
        <v>Valid</v>
      </c>
    </row>
    <row r="4009" spans="1:18" x14ac:dyDescent="0.25">
      <c r="A4009" t="s">
        <v>6080</v>
      </c>
      <c r="B4009" t="s">
        <v>850</v>
      </c>
      <c r="C4009" s="8">
        <v>46180</v>
      </c>
      <c r="D4009" t="s">
        <v>2067</v>
      </c>
      <c r="E4009" t="s">
        <v>2076</v>
      </c>
      <c r="F4009" t="s">
        <v>53</v>
      </c>
      <c r="G4009">
        <v>4359.3900000000003</v>
      </c>
      <c r="H4009" t="s">
        <v>2060</v>
      </c>
      <c r="I4009" t="str">
        <f>VLOOKUP(B4009,Customers!A:G,7,FALSE)</f>
        <v>Individual</v>
      </c>
      <c r="Q4009" t="str">
        <f>IF(COUNTIF(Customers!$A$2:$A$1001,B4009)&gt;0,"Valid","Invalid")</f>
        <v>Valid</v>
      </c>
      <c r="R4009" t="str">
        <f>IF(COUNTIF(Branches!$A$2:$A$11,F4009)&gt;0,"Valid","Invalid")</f>
        <v>Valid</v>
      </c>
    </row>
    <row r="4010" spans="1:18" x14ac:dyDescent="0.25">
      <c r="A4010" t="s">
        <v>6081</v>
      </c>
      <c r="B4010" t="s">
        <v>503</v>
      </c>
      <c r="C4010" s="8">
        <v>46038</v>
      </c>
      <c r="D4010" t="s">
        <v>2062</v>
      </c>
      <c r="E4010" t="s">
        <v>2059</v>
      </c>
      <c r="F4010" t="s">
        <v>29</v>
      </c>
      <c r="G4010">
        <v>491.03</v>
      </c>
      <c r="H4010" t="s">
        <v>2060</v>
      </c>
      <c r="I4010" t="str">
        <f>VLOOKUP(B4010,Customers!A:G,7,FALSE)</f>
        <v>SME</v>
      </c>
      <c r="Q4010" t="str">
        <f>IF(COUNTIF(Customers!$A$2:$A$1001,B4010)&gt;0,"Valid","Invalid")</f>
        <v>Valid</v>
      </c>
      <c r="R4010" t="str">
        <f>IF(COUNTIF(Branches!$A$2:$A$11,F4010)&gt;0,"Valid","Invalid")</f>
        <v>Valid</v>
      </c>
    </row>
    <row r="4011" spans="1:18" x14ac:dyDescent="0.25">
      <c r="A4011" t="s">
        <v>6082</v>
      </c>
      <c r="B4011" t="s">
        <v>923</v>
      </c>
      <c r="C4011" s="8">
        <v>46081</v>
      </c>
      <c r="D4011" t="s">
        <v>2062</v>
      </c>
      <c r="E4011" t="s">
        <v>2073</v>
      </c>
      <c r="F4011" t="s">
        <v>29</v>
      </c>
      <c r="G4011">
        <v>1772.12</v>
      </c>
      <c r="H4011" t="s">
        <v>2060</v>
      </c>
      <c r="I4011" t="str">
        <f>VLOOKUP(B4011,Customers!A:G,7,FALSE)</f>
        <v>Individual</v>
      </c>
      <c r="Q4011" t="str">
        <f>IF(COUNTIF(Customers!$A$2:$A$1001,B4011)&gt;0,"Valid","Invalid")</f>
        <v>Valid</v>
      </c>
      <c r="R4011" t="str">
        <f>IF(COUNTIF(Branches!$A$2:$A$11,F4011)&gt;0,"Valid","Invalid")</f>
        <v>Valid</v>
      </c>
    </row>
    <row r="4012" spans="1:18" x14ac:dyDescent="0.25">
      <c r="A4012" t="s">
        <v>6083</v>
      </c>
      <c r="B4012" t="s">
        <v>588</v>
      </c>
      <c r="C4012" s="8">
        <v>46260</v>
      </c>
      <c r="D4012" t="s">
        <v>2058</v>
      </c>
      <c r="E4012" t="s">
        <v>2063</v>
      </c>
      <c r="F4012" t="s">
        <v>27</v>
      </c>
      <c r="G4012">
        <v>3394.09</v>
      </c>
      <c r="H4012" t="s">
        <v>2060</v>
      </c>
      <c r="I4012" t="str">
        <f>VLOOKUP(B4012,Customers!A:G,7,FALSE)</f>
        <v>Individual</v>
      </c>
      <c r="Q4012" t="str">
        <f>IF(COUNTIF(Customers!$A$2:$A$1001,B4012)&gt;0,"Valid","Invalid")</f>
        <v>Valid</v>
      </c>
      <c r="R4012" t="str">
        <f>IF(COUNTIF(Branches!$A$2:$A$11,F4012)&gt;0,"Valid","Invalid")</f>
        <v>Valid</v>
      </c>
    </row>
    <row r="4013" spans="1:18" x14ac:dyDescent="0.25">
      <c r="A4013" t="s">
        <v>6084</v>
      </c>
      <c r="B4013" t="s">
        <v>905</v>
      </c>
      <c r="C4013" s="8">
        <v>46069</v>
      </c>
      <c r="D4013" t="s">
        <v>2062</v>
      </c>
      <c r="E4013" t="s">
        <v>2063</v>
      </c>
      <c r="F4013" t="s">
        <v>11</v>
      </c>
      <c r="G4013">
        <v>1213.6400000000001</v>
      </c>
      <c r="H4013" t="s">
        <v>2060</v>
      </c>
      <c r="I4013" t="str">
        <f>VLOOKUP(B4013,Customers!A:G,7,FALSE)</f>
        <v>Student</v>
      </c>
      <c r="Q4013" t="str">
        <f>IF(COUNTIF(Customers!$A$2:$A$1001,B4013)&gt;0,"Valid","Invalid")</f>
        <v>Valid</v>
      </c>
      <c r="R4013" t="str">
        <f>IF(COUNTIF(Branches!$A$2:$A$11,F4013)&gt;0,"Valid","Invalid")</f>
        <v>Valid</v>
      </c>
    </row>
    <row r="4014" spans="1:18" x14ac:dyDescent="0.25">
      <c r="A4014" t="s">
        <v>6085</v>
      </c>
      <c r="B4014" t="s">
        <v>418</v>
      </c>
      <c r="C4014" s="8">
        <v>46138</v>
      </c>
      <c r="D4014" t="s">
        <v>2062</v>
      </c>
      <c r="E4014" t="s">
        <v>2059</v>
      </c>
      <c r="F4014" t="s">
        <v>29</v>
      </c>
      <c r="G4014">
        <v>2936.81</v>
      </c>
      <c r="H4014" t="s">
        <v>2060</v>
      </c>
      <c r="I4014" t="str">
        <f>VLOOKUP(B4014,Customers!A:G,7,FALSE)</f>
        <v>Individual</v>
      </c>
      <c r="Q4014" t="str">
        <f>IF(COUNTIF(Customers!$A$2:$A$1001,B4014)&gt;0,"Valid","Invalid")</f>
        <v>Valid</v>
      </c>
      <c r="R4014" t="str">
        <f>IF(COUNTIF(Branches!$A$2:$A$11,F4014)&gt;0,"Valid","Invalid")</f>
        <v>Valid</v>
      </c>
    </row>
    <row r="4015" spans="1:18" x14ac:dyDescent="0.25">
      <c r="A4015" t="s">
        <v>6086</v>
      </c>
      <c r="B4015" t="s">
        <v>781</v>
      </c>
      <c r="C4015" s="8">
        <v>46180</v>
      </c>
      <c r="D4015" t="s">
        <v>2058</v>
      </c>
      <c r="E4015" t="s">
        <v>2063</v>
      </c>
      <c r="F4015" t="s">
        <v>11</v>
      </c>
      <c r="G4015">
        <v>783.79</v>
      </c>
      <c r="H4015" t="s">
        <v>2060</v>
      </c>
      <c r="I4015" t="str">
        <f>VLOOKUP(B4015,Customers!A:G,7,FALSE)</f>
        <v>SME</v>
      </c>
      <c r="Q4015" t="str">
        <f>IF(COUNTIF(Customers!$A$2:$A$1001,B4015)&gt;0,"Valid","Invalid")</f>
        <v>Valid</v>
      </c>
      <c r="R4015" t="str">
        <f>IF(COUNTIF(Branches!$A$2:$A$11,F4015)&gt;0,"Valid","Invalid")</f>
        <v>Valid</v>
      </c>
    </row>
    <row r="4016" spans="1:18" x14ac:dyDescent="0.25">
      <c r="A4016" t="s">
        <v>6087</v>
      </c>
      <c r="B4016" t="s">
        <v>516</v>
      </c>
      <c r="C4016" s="8">
        <v>46131</v>
      </c>
      <c r="D4016" t="s">
        <v>2067</v>
      </c>
      <c r="E4016" t="s">
        <v>2063</v>
      </c>
      <c r="F4016" t="s">
        <v>47</v>
      </c>
      <c r="G4016">
        <v>1205.0999999999999</v>
      </c>
      <c r="H4016" t="s">
        <v>2060</v>
      </c>
      <c r="I4016" t="str">
        <f>VLOOKUP(B4016,Customers!A:G,7,FALSE)</f>
        <v>SME</v>
      </c>
      <c r="Q4016" t="str">
        <f>IF(COUNTIF(Customers!$A$2:$A$1001,B4016)&gt;0,"Valid","Invalid")</f>
        <v>Valid</v>
      </c>
      <c r="R4016" t="str">
        <f>IF(COUNTIF(Branches!$A$2:$A$11,F4016)&gt;0,"Valid","Invalid")</f>
        <v>Valid</v>
      </c>
    </row>
    <row r="4017" spans="1:18" x14ac:dyDescent="0.25">
      <c r="A4017" t="s">
        <v>6088</v>
      </c>
      <c r="B4017" t="s">
        <v>300</v>
      </c>
      <c r="C4017" s="8">
        <v>46031</v>
      </c>
      <c r="D4017" t="s">
        <v>2062</v>
      </c>
      <c r="E4017" t="s">
        <v>2076</v>
      </c>
      <c r="F4017" t="s">
        <v>29</v>
      </c>
      <c r="G4017">
        <v>436.33</v>
      </c>
      <c r="H4017" t="s">
        <v>2060</v>
      </c>
      <c r="I4017" t="str">
        <f>VLOOKUP(B4017,Customers!A:G,7,FALSE)</f>
        <v>Corporate</v>
      </c>
      <c r="Q4017" t="str">
        <f>IF(COUNTIF(Customers!$A$2:$A$1001,B4017)&gt;0,"Valid","Invalid")</f>
        <v>Valid</v>
      </c>
      <c r="R4017" t="str">
        <f>IF(COUNTIF(Branches!$A$2:$A$11,F4017)&gt;0,"Valid","Invalid")</f>
        <v>Valid</v>
      </c>
    </row>
    <row r="4018" spans="1:18" x14ac:dyDescent="0.25">
      <c r="A4018" t="s">
        <v>6089</v>
      </c>
      <c r="B4018" t="s">
        <v>618</v>
      </c>
      <c r="C4018" s="8">
        <v>46087</v>
      </c>
      <c r="D4018" t="s">
        <v>2065</v>
      </c>
      <c r="E4018" t="s">
        <v>2076</v>
      </c>
      <c r="F4018" t="s">
        <v>29</v>
      </c>
      <c r="G4018">
        <v>689.11</v>
      </c>
      <c r="H4018" t="s">
        <v>2060</v>
      </c>
      <c r="I4018" t="str">
        <f>VLOOKUP(B4018,Customers!A:G,7,FALSE)</f>
        <v>Individual</v>
      </c>
      <c r="Q4018" t="str">
        <f>IF(COUNTIF(Customers!$A$2:$A$1001,B4018)&gt;0,"Valid","Invalid")</f>
        <v>Valid</v>
      </c>
      <c r="R4018" t="str">
        <f>IF(COUNTIF(Branches!$A$2:$A$11,F4018)&gt;0,"Valid","Invalid")</f>
        <v>Valid</v>
      </c>
    </row>
    <row r="4019" spans="1:18" x14ac:dyDescent="0.25">
      <c r="A4019" t="s">
        <v>6090</v>
      </c>
      <c r="B4019" t="s">
        <v>215</v>
      </c>
      <c r="C4019" s="8">
        <v>46081</v>
      </c>
      <c r="D4019" t="s">
        <v>2062</v>
      </c>
      <c r="E4019" t="s">
        <v>2059</v>
      </c>
      <c r="F4019" t="s">
        <v>35</v>
      </c>
      <c r="G4019">
        <v>1253.53</v>
      </c>
      <c r="H4019" t="s">
        <v>2060</v>
      </c>
      <c r="I4019" t="str">
        <f>VLOOKUP(B4019,Customers!A:G,7,FALSE)</f>
        <v>Individual</v>
      </c>
      <c r="Q4019" t="str">
        <f>IF(COUNTIF(Customers!$A$2:$A$1001,B4019)&gt;0,"Valid","Invalid")</f>
        <v>Valid</v>
      </c>
      <c r="R4019" t="str">
        <f>IF(COUNTIF(Branches!$A$2:$A$11,F4019)&gt;0,"Valid","Invalid")</f>
        <v>Valid</v>
      </c>
    </row>
    <row r="4020" spans="1:18" x14ac:dyDescent="0.25">
      <c r="A4020" t="s">
        <v>6091</v>
      </c>
      <c r="B4020" t="s">
        <v>395</v>
      </c>
      <c r="C4020" s="8">
        <v>46124</v>
      </c>
      <c r="D4020" t="s">
        <v>2062</v>
      </c>
      <c r="E4020" t="s">
        <v>2076</v>
      </c>
      <c r="F4020" t="s">
        <v>29</v>
      </c>
      <c r="G4020">
        <v>404.79</v>
      </c>
      <c r="H4020" t="s">
        <v>2060</v>
      </c>
      <c r="I4020" t="str">
        <f>VLOOKUP(B4020,Customers!A:G,7,FALSE)</f>
        <v>Individual</v>
      </c>
      <c r="Q4020" t="str">
        <f>IF(COUNTIF(Customers!$A$2:$A$1001,B4020)&gt;0,"Valid","Invalid")</f>
        <v>Valid</v>
      </c>
      <c r="R4020" t="str">
        <f>IF(COUNTIF(Branches!$A$2:$A$11,F4020)&gt;0,"Valid","Invalid")</f>
        <v>Valid</v>
      </c>
    </row>
    <row r="4021" spans="1:18" x14ac:dyDescent="0.25">
      <c r="A4021" t="s">
        <v>6092</v>
      </c>
      <c r="B4021" t="s">
        <v>457</v>
      </c>
      <c r="C4021" s="8">
        <v>46214</v>
      </c>
      <c r="D4021" t="s">
        <v>2062</v>
      </c>
      <c r="E4021" t="s">
        <v>2059</v>
      </c>
      <c r="F4021" t="s">
        <v>21</v>
      </c>
      <c r="G4021">
        <v>649.64</v>
      </c>
      <c r="H4021" t="s">
        <v>2060</v>
      </c>
      <c r="I4021" t="str">
        <f>VLOOKUP(B4021,Customers!A:G,7,FALSE)</f>
        <v>SME</v>
      </c>
      <c r="Q4021" t="str">
        <f>IF(COUNTIF(Customers!$A$2:$A$1001,B4021)&gt;0,"Valid","Invalid")</f>
        <v>Valid</v>
      </c>
      <c r="R4021" t="str">
        <f>IF(COUNTIF(Branches!$A$2:$A$11,F4021)&gt;0,"Valid","Invalid")</f>
        <v>Valid</v>
      </c>
    </row>
    <row r="4022" spans="1:18" x14ac:dyDescent="0.25">
      <c r="A4022" t="s">
        <v>6093</v>
      </c>
      <c r="B4022" t="s">
        <v>736</v>
      </c>
      <c r="C4022" s="8">
        <v>46158</v>
      </c>
      <c r="D4022" t="s">
        <v>2067</v>
      </c>
      <c r="E4022" t="s">
        <v>2076</v>
      </c>
      <c r="F4022" t="s">
        <v>21</v>
      </c>
      <c r="G4022">
        <v>1738.67</v>
      </c>
      <c r="H4022" t="s">
        <v>2060</v>
      </c>
      <c r="I4022" t="str">
        <f>VLOOKUP(B4022,Customers!A:G,7,FALSE)</f>
        <v>Individual</v>
      </c>
      <c r="Q4022" t="str">
        <f>IF(COUNTIF(Customers!$A$2:$A$1001,B4022)&gt;0,"Valid","Invalid")</f>
        <v>Valid</v>
      </c>
      <c r="R4022" t="str">
        <f>IF(COUNTIF(Branches!$A$2:$A$11,F4022)&gt;0,"Valid","Invalid")</f>
        <v>Valid</v>
      </c>
    </row>
    <row r="4023" spans="1:18" x14ac:dyDescent="0.25">
      <c r="A4023" t="s">
        <v>6094</v>
      </c>
      <c r="B4023" t="s">
        <v>991</v>
      </c>
      <c r="C4023" s="8">
        <v>46145</v>
      </c>
      <c r="D4023" t="s">
        <v>2065</v>
      </c>
      <c r="E4023" t="s">
        <v>2076</v>
      </c>
      <c r="F4023" t="s">
        <v>27</v>
      </c>
      <c r="G4023">
        <v>6326.85</v>
      </c>
      <c r="H4023" t="s">
        <v>2060</v>
      </c>
      <c r="I4023" t="str">
        <f>VLOOKUP(B4023,Customers!A:G,7,FALSE)</f>
        <v>Individual</v>
      </c>
      <c r="Q4023" t="str">
        <f>IF(COUNTIF(Customers!$A$2:$A$1001,B4023)&gt;0,"Valid","Invalid")</f>
        <v>Valid</v>
      </c>
      <c r="R4023" t="str">
        <f>IF(COUNTIF(Branches!$A$2:$A$11,F4023)&gt;0,"Valid","Invalid")</f>
        <v>Valid</v>
      </c>
    </row>
    <row r="4024" spans="1:18" x14ac:dyDescent="0.25">
      <c r="A4024" t="s">
        <v>6095</v>
      </c>
      <c r="B4024" t="s">
        <v>238</v>
      </c>
      <c r="C4024" s="8">
        <v>46202</v>
      </c>
      <c r="D4024" t="s">
        <v>2065</v>
      </c>
      <c r="E4024" t="s">
        <v>2076</v>
      </c>
      <c r="F4024" t="s">
        <v>47</v>
      </c>
      <c r="G4024">
        <v>104.64</v>
      </c>
      <c r="H4024" t="s">
        <v>2060</v>
      </c>
      <c r="I4024" t="str">
        <f>VLOOKUP(B4024,Customers!A:G,7,FALSE)</f>
        <v>Individual</v>
      </c>
      <c r="Q4024" t="str">
        <f>IF(COUNTIF(Customers!$A$2:$A$1001,B4024)&gt;0,"Valid","Invalid")</f>
        <v>Valid</v>
      </c>
      <c r="R4024" t="str">
        <f>IF(COUNTIF(Branches!$A$2:$A$11,F4024)&gt;0,"Valid","Invalid")</f>
        <v>Valid</v>
      </c>
    </row>
    <row r="4025" spans="1:18" x14ac:dyDescent="0.25">
      <c r="A4025" t="s">
        <v>6096</v>
      </c>
      <c r="B4025" t="s">
        <v>940</v>
      </c>
      <c r="C4025" s="8">
        <v>46168</v>
      </c>
      <c r="D4025" t="s">
        <v>2062</v>
      </c>
      <c r="E4025" t="s">
        <v>2063</v>
      </c>
      <c r="F4025" t="s">
        <v>35</v>
      </c>
      <c r="G4025">
        <v>5863.94</v>
      </c>
      <c r="H4025" t="s">
        <v>2060</v>
      </c>
      <c r="I4025" t="str">
        <f>VLOOKUP(B4025,Customers!A:G,7,FALSE)</f>
        <v>Individual</v>
      </c>
      <c r="Q4025" t="str">
        <f>IF(COUNTIF(Customers!$A$2:$A$1001,B4025)&gt;0,"Valid","Invalid")</f>
        <v>Valid</v>
      </c>
      <c r="R4025" t="str">
        <f>IF(COUNTIF(Branches!$A$2:$A$11,F4025)&gt;0,"Valid","Invalid")</f>
        <v>Valid</v>
      </c>
    </row>
    <row r="4026" spans="1:18" x14ac:dyDescent="0.25">
      <c r="A4026" t="s">
        <v>6097</v>
      </c>
      <c r="B4026" t="s">
        <v>42</v>
      </c>
      <c r="C4026" s="8">
        <v>46113</v>
      </c>
      <c r="D4026" t="s">
        <v>2062</v>
      </c>
      <c r="E4026" t="s">
        <v>2063</v>
      </c>
      <c r="F4026" t="s">
        <v>53</v>
      </c>
      <c r="G4026">
        <v>626.49</v>
      </c>
      <c r="H4026" t="s">
        <v>2060</v>
      </c>
      <c r="I4026" t="str">
        <f>VLOOKUP(B4026,Customers!A:G,7,FALSE)</f>
        <v>Individual</v>
      </c>
      <c r="Q4026" t="str">
        <f>IF(COUNTIF(Customers!$A$2:$A$1001,B4026)&gt;0,"Valid","Invalid")</f>
        <v>Valid</v>
      </c>
      <c r="R4026" t="str">
        <f>IF(COUNTIF(Branches!$A$2:$A$11,F4026)&gt;0,"Valid","Invalid")</f>
        <v>Valid</v>
      </c>
    </row>
    <row r="4027" spans="1:18" x14ac:dyDescent="0.25">
      <c r="A4027" t="s">
        <v>6098</v>
      </c>
      <c r="B4027" t="s">
        <v>481</v>
      </c>
      <c r="C4027" s="8">
        <v>46232</v>
      </c>
      <c r="D4027" t="s">
        <v>2058</v>
      </c>
      <c r="E4027" t="s">
        <v>2059</v>
      </c>
      <c r="F4027" t="s">
        <v>47</v>
      </c>
      <c r="G4027">
        <v>2132.1799999999998</v>
      </c>
      <c r="H4027" t="s">
        <v>2060</v>
      </c>
      <c r="I4027" t="str">
        <f>VLOOKUP(B4027,Customers!A:G,7,FALSE)</f>
        <v>Individual</v>
      </c>
      <c r="Q4027" t="str">
        <f>IF(COUNTIF(Customers!$A$2:$A$1001,B4027)&gt;0,"Valid","Invalid")</f>
        <v>Valid</v>
      </c>
      <c r="R4027" t="str">
        <f>IF(COUNTIF(Branches!$A$2:$A$11,F4027)&gt;0,"Valid","Invalid")</f>
        <v>Valid</v>
      </c>
    </row>
    <row r="4028" spans="1:18" x14ac:dyDescent="0.25">
      <c r="A4028" t="s">
        <v>6099</v>
      </c>
      <c r="B4028" t="s">
        <v>764</v>
      </c>
      <c r="C4028" s="8">
        <v>46118</v>
      </c>
      <c r="D4028" t="s">
        <v>2065</v>
      </c>
      <c r="E4028" t="s">
        <v>2059</v>
      </c>
      <c r="F4028" t="s">
        <v>53</v>
      </c>
      <c r="G4028">
        <v>2594.35</v>
      </c>
      <c r="H4028" t="s">
        <v>2060</v>
      </c>
      <c r="I4028" t="str">
        <f>VLOOKUP(B4028,Customers!A:G,7,FALSE)</f>
        <v>Individual</v>
      </c>
      <c r="Q4028" t="str">
        <f>IF(COUNTIF(Customers!$A$2:$A$1001,B4028)&gt;0,"Valid","Invalid")</f>
        <v>Valid</v>
      </c>
      <c r="R4028" t="str">
        <f>IF(COUNTIF(Branches!$A$2:$A$11,F4028)&gt;0,"Valid","Invalid")</f>
        <v>Valid</v>
      </c>
    </row>
    <row r="4029" spans="1:18" x14ac:dyDescent="0.25">
      <c r="A4029" t="s">
        <v>6100</v>
      </c>
      <c r="B4029" t="s">
        <v>770</v>
      </c>
      <c r="C4029" s="8">
        <v>46080</v>
      </c>
      <c r="D4029" t="s">
        <v>2070</v>
      </c>
      <c r="E4029" t="s">
        <v>2068</v>
      </c>
      <c r="F4029" t="s">
        <v>47</v>
      </c>
      <c r="G4029">
        <v>3883.52</v>
      </c>
      <c r="H4029" t="s">
        <v>2107</v>
      </c>
      <c r="I4029" t="str">
        <f>VLOOKUP(B4029,Customers!A:G,7,FALSE)</f>
        <v>Individual</v>
      </c>
      <c r="Q4029" t="str">
        <f>IF(COUNTIF(Customers!$A$2:$A$1001,B4029)&gt;0,"Valid","Invalid")</f>
        <v>Valid</v>
      </c>
      <c r="R4029" t="str">
        <f>IF(COUNTIF(Branches!$A$2:$A$11,F4029)&gt;0,"Valid","Invalid")</f>
        <v>Valid</v>
      </c>
    </row>
    <row r="4030" spans="1:18" x14ac:dyDescent="0.25">
      <c r="A4030" t="s">
        <v>6101</v>
      </c>
      <c r="B4030" t="s">
        <v>324</v>
      </c>
      <c r="C4030" s="8">
        <v>46199</v>
      </c>
      <c r="D4030" t="s">
        <v>2070</v>
      </c>
      <c r="E4030" t="s">
        <v>2059</v>
      </c>
      <c r="F4030" t="s">
        <v>11</v>
      </c>
      <c r="G4030">
        <v>392.3</v>
      </c>
      <c r="H4030" t="s">
        <v>2060</v>
      </c>
      <c r="I4030" t="str">
        <f>VLOOKUP(B4030,Customers!A:G,7,FALSE)</f>
        <v>Individual</v>
      </c>
      <c r="Q4030" t="str">
        <f>IF(COUNTIF(Customers!$A$2:$A$1001,B4030)&gt;0,"Valid","Invalid")</f>
        <v>Valid</v>
      </c>
      <c r="R4030" t="str">
        <f>IF(COUNTIF(Branches!$A$2:$A$11,F4030)&gt;0,"Valid","Invalid")</f>
        <v>Valid</v>
      </c>
    </row>
    <row r="4031" spans="1:18" x14ac:dyDescent="0.25">
      <c r="A4031" t="s">
        <v>6102</v>
      </c>
      <c r="B4031" t="s">
        <v>794</v>
      </c>
      <c r="C4031" s="8">
        <v>46054</v>
      </c>
      <c r="D4031" t="s">
        <v>2067</v>
      </c>
      <c r="E4031" t="s">
        <v>2063</v>
      </c>
      <c r="F4031" t="s">
        <v>53</v>
      </c>
      <c r="G4031">
        <v>648.54</v>
      </c>
      <c r="H4031" t="s">
        <v>2060</v>
      </c>
      <c r="I4031" t="str">
        <f>VLOOKUP(B4031,Customers!A:G,7,FALSE)</f>
        <v>Corporate</v>
      </c>
      <c r="Q4031" t="str">
        <f>IF(COUNTIF(Customers!$A$2:$A$1001,B4031)&gt;0,"Valid","Invalid")</f>
        <v>Valid</v>
      </c>
      <c r="R4031" t="str">
        <f>IF(COUNTIF(Branches!$A$2:$A$11,F4031)&gt;0,"Valid","Invalid")</f>
        <v>Valid</v>
      </c>
    </row>
    <row r="4032" spans="1:18" x14ac:dyDescent="0.25">
      <c r="A4032" t="s">
        <v>6103</v>
      </c>
      <c r="B4032" t="s">
        <v>906</v>
      </c>
      <c r="C4032" s="8">
        <v>46070</v>
      </c>
      <c r="D4032" t="s">
        <v>2058</v>
      </c>
      <c r="E4032" t="s">
        <v>2063</v>
      </c>
      <c r="F4032" t="s">
        <v>11</v>
      </c>
      <c r="G4032">
        <v>770.01</v>
      </c>
      <c r="H4032" t="s">
        <v>2060</v>
      </c>
      <c r="I4032" t="str">
        <f>VLOOKUP(B4032,Customers!A:G,7,FALSE)</f>
        <v>Individual</v>
      </c>
      <c r="Q4032" t="str">
        <f>IF(COUNTIF(Customers!$A$2:$A$1001,B4032)&gt;0,"Valid","Invalid")</f>
        <v>Valid</v>
      </c>
      <c r="R4032" t="str">
        <f>IF(COUNTIF(Branches!$A$2:$A$11,F4032)&gt;0,"Valid","Invalid")</f>
        <v>Valid</v>
      </c>
    </row>
    <row r="4033" spans="1:18" x14ac:dyDescent="0.25">
      <c r="A4033" t="s">
        <v>6104</v>
      </c>
      <c r="B4033" t="s">
        <v>296</v>
      </c>
      <c r="C4033" s="8">
        <v>46067</v>
      </c>
      <c r="D4033" t="s">
        <v>2062</v>
      </c>
      <c r="E4033" t="s">
        <v>2063</v>
      </c>
      <c r="F4033" t="s">
        <v>39</v>
      </c>
      <c r="G4033">
        <v>568.25</v>
      </c>
      <c r="H4033" t="s">
        <v>2060</v>
      </c>
      <c r="I4033" t="str">
        <f>VLOOKUP(B4033,Customers!A:G,7,FALSE)</f>
        <v>Individual</v>
      </c>
      <c r="Q4033" t="str">
        <f>IF(COUNTIF(Customers!$A$2:$A$1001,B4033)&gt;0,"Valid","Invalid")</f>
        <v>Valid</v>
      </c>
      <c r="R4033" t="str">
        <f>IF(COUNTIF(Branches!$A$2:$A$11,F4033)&gt;0,"Valid","Invalid")</f>
        <v>Valid</v>
      </c>
    </row>
    <row r="4034" spans="1:18" x14ac:dyDescent="0.25">
      <c r="A4034" t="s">
        <v>6105</v>
      </c>
      <c r="B4034" t="s">
        <v>608</v>
      </c>
      <c r="C4034" s="8">
        <v>46204</v>
      </c>
      <c r="D4034" t="s">
        <v>2062</v>
      </c>
      <c r="E4034" t="s">
        <v>2076</v>
      </c>
      <c r="F4034" t="s">
        <v>16</v>
      </c>
      <c r="G4034">
        <v>3037.41</v>
      </c>
      <c r="H4034" t="s">
        <v>2060</v>
      </c>
      <c r="I4034" t="str">
        <f>VLOOKUP(B4034,Customers!A:G,7,FALSE)</f>
        <v>Individual</v>
      </c>
      <c r="Q4034" t="str">
        <f>IF(COUNTIF(Customers!$A$2:$A$1001,B4034)&gt;0,"Valid","Invalid")</f>
        <v>Valid</v>
      </c>
      <c r="R4034" t="str">
        <f>IF(COUNTIF(Branches!$A$2:$A$11,F4034)&gt;0,"Valid","Invalid")</f>
        <v>Valid</v>
      </c>
    </row>
    <row r="4035" spans="1:18" x14ac:dyDescent="0.25">
      <c r="A4035" t="s">
        <v>6106</v>
      </c>
      <c r="B4035" t="s">
        <v>586</v>
      </c>
      <c r="C4035" s="8">
        <v>46122</v>
      </c>
      <c r="D4035" t="s">
        <v>2070</v>
      </c>
      <c r="E4035" t="s">
        <v>2059</v>
      </c>
      <c r="F4035" t="s">
        <v>11</v>
      </c>
      <c r="G4035">
        <v>752.33</v>
      </c>
      <c r="H4035" t="s">
        <v>2060</v>
      </c>
      <c r="I4035" t="str">
        <f>VLOOKUP(B4035,Customers!A:G,7,FALSE)</f>
        <v>Individual</v>
      </c>
      <c r="Q4035" t="str">
        <f>IF(COUNTIF(Customers!$A$2:$A$1001,B4035)&gt;0,"Valid","Invalid")</f>
        <v>Valid</v>
      </c>
      <c r="R4035" t="str">
        <f>IF(COUNTIF(Branches!$A$2:$A$11,F4035)&gt;0,"Valid","Invalid")</f>
        <v>Valid</v>
      </c>
    </row>
    <row r="4036" spans="1:18" x14ac:dyDescent="0.25">
      <c r="A4036" t="s">
        <v>6107</v>
      </c>
      <c r="B4036" t="s">
        <v>878</v>
      </c>
      <c r="C4036" s="8">
        <v>46122</v>
      </c>
      <c r="D4036" t="s">
        <v>2065</v>
      </c>
      <c r="E4036" t="s">
        <v>2076</v>
      </c>
      <c r="F4036" t="s">
        <v>11</v>
      </c>
      <c r="G4036">
        <v>161.01</v>
      </c>
      <c r="H4036" t="s">
        <v>2060</v>
      </c>
      <c r="I4036" t="str">
        <f>VLOOKUP(B4036,Customers!A:G,7,FALSE)</f>
        <v>Individual</v>
      </c>
      <c r="Q4036" t="str">
        <f>IF(COUNTIF(Customers!$A$2:$A$1001,B4036)&gt;0,"Valid","Invalid")</f>
        <v>Valid</v>
      </c>
      <c r="R4036" t="str">
        <f>IF(COUNTIF(Branches!$A$2:$A$11,F4036)&gt;0,"Valid","Invalid")</f>
        <v>Valid</v>
      </c>
    </row>
    <row r="4037" spans="1:18" x14ac:dyDescent="0.25">
      <c r="A4037" t="s">
        <v>6108</v>
      </c>
      <c r="B4037" t="s">
        <v>979</v>
      </c>
      <c r="C4037" s="8">
        <v>46235</v>
      </c>
      <c r="D4037" t="s">
        <v>2058</v>
      </c>
      <c r="E4037" t="s">
        <v>2059</v>
      </c>
      <c r="F4037" t="s">
        <v>21</v>
      </c>
      <c r="G4037">
        <v>431.38</v>
      </c>
      <c r="H4037" t="s">
        <v>2060</v>
      </c>
      <c r="I4037" t="str">
        <f>VLOOKUP(B4037,Customers!A:G,7,FALSE)</f>
        <v>Individual</v>
      </c>
      <c r="Q4037" t="str">
        <f>IF(COUNTIF(Customers!$A$2:$A$1001,B4037)&gt;0,"Valid","Invalid")</f>
        <v>Valid</v>
      </c>
      <c r="R4037" t="str">
        <f>IF(COUNTIF(Branches!$A$2:$A$11,F4037)&gt;0,"Valid","Invalid")</f>
        <v>Valid</v>
      </c>
    </row>
    <row r="4038" spans="1:18" x14ac:dyDescent="0.25">
      <c r="A4038" t="s">
        <v>6109</v>
      </c>
      <c r="B4038" t="s">
        <v>528</v>
      </c>
      <c r="C4038" s="8">
        <v>46068</v>
      </c>
      <c r="D4038" t="s">
        <v>2058</v>
      </c>
      <c r="E4038" t="s">
        <v>2068</v>
      </c>
      <c r="F4038" t="s">
        <v>27</v>
      </c>
      <c r="G4038">
        <v>167.6</v>
      </c>
      <c r="H4038" t="s">
        <v>2060</v>
      </c>
      <c r="I4038" t="str">
        <f>VLOOKUP(B4038,Customers!A:G,7,FALSE)</f>
        <v>SME</v>
      </c>
      <c r="Q4038" t="str">
        <f>IF(COUNTIF(Customers!$A$2:$A$1001,B4038)&gt;0,"Valid","Invalid")</f>
        <v>Valid</v>
      </c>
      <c r="R4038" t="str">
        <f>IF(COUNTIF(Branches!$A$2:$A$11,F4038)&gt;0,"Valid","Invalid")</f>
        <v>Valid</v>
      </c>
    </row>
    <row r="4039" spans="1:18" x14ac:dyDescent="0.25">
      <c r="A4039" t="s">
        <v>6110</v>
      </c>
      <c r="B4039" t="s">
        <v>536</v>
      </c>
      <c r="C4039" s="8">
        <v>46246</v>
      </c>
      <c r="D4039" t="s">
        <v>2062</v>
      </c>
      <c r="E4039" t="s">
        <v>2073</v>
      </c>
      <c r="F4039" t="s">
        <v>53</v>
      </c>
      <c r="G4039">
        <v>646.55999999999995</v>
      </c>
      <c r="H4039" t="s">
        <v>2060</v>
      </c>
      <c r="I4039" t="str">
        <f>VLOOKUP(B4039,Customers!A:G,7,FALSE)</f>
        <v>Individual</v>
      </c>
      <c r="Q4039" t="str">
        <f>IF(COUNTIF(Customers!$A$2:$A$1001,B4039)&gt;0,"Valid","Invalid")</f>
        <v>Valid</v>
      </c>
      <c r="R4039" t="str">
        <f>IF(COUNTIF(Branches!$A$2:$A$11,F4039)&gt;0,"Valid","Invalid")</f>
        <v>Valid</v>
      </c>
    </row>
    <row r="4040" spans="1:18" x14ac:dyDescent="0.25">
      <c r="A4040" t="s">
        <v>6111</v>
      </c>
      <c r="B4040" t="s">
        <v>943</v>
      </c>
      <c r="C4040" s="8">
        <v>46181</v>
      </c>
      <c r="D4040" t="s">
        <v>2062</v>
      </c>
      <c r="E4040" t="s">
        <v>2076</v>
      </c>
      <c r="F4040" t="s">
        <v>45</v>
      </c>
      <c r="G4040">
        <v>1591.69</v>
      </c>
      <c r="H4040" t="s">
        <v>2060</v>
      </c>
      <c r="I4040" t="str">
        <f>VLOOKUP(B4040,Customers!A:G,7,FALSE)</f>
        <v>Individual</v>
      </c>
      <c r="Q4040" t="str">
        <f>IF(COUNTIF(Customers!$A$2:$A$1001,B4040)&gt;0,"Valid","Invalid")</f>
        <v>Valid</v>
      </c>
      <c r="R4040" t="str">
        <f>IF(COUNTIF(Branches!$A$2:$A$11,F4040)&gt;0,"Valid","Invalid")</f>
        <v>Valid</v>
      </c>
    </row>
    <row r="4041" spans="1:18" x14ac:dyDescent="0.25">
      <c r="A4041" t="s">
        <v>6112</v>
      </c>
      <c r="B4041" t="s">
        <v>932</v>
      </c>
      <c r="C4041" s="8">
        <v>46187</v>
      </c>
      <c r="D4041" t="s">
        <v>2070</v>
      </c>
      <c r="E4041" t="s">
        <v>2068</v>
      </c>
      <c r="F4041" t="s">
        <v>35</v>
      </c>
      <c r="G4041">
        <v>422.22</v>
      </c>
      <c r="H4041" t="s">
        <v>2060</v>
      </c>
      <c r="I4041" t="str">
        <f>VLOOKUP(B4041,Customers!A:G,7,FALSE)</f>
        <v>Individual</v>
      </c>
      <c r="Q4041" t="str">
        <f>IF(COUNTIF(Customers!$A$2:$A$1001,B4041)&gt;0,"Valid","Invalid")</f>
        <v>Valid</v>
      </c>
      <c r="R4041" t="str">
        <f>IF(COUNTIF(Branches!$A$2:$A$11,F4041)&gt;0,"Valid","Invalid")</f>
        <v>Valid</v>
      </c>
    </row>
    <row r="4042" spans="1:18" x14ac:dyDescent="0.25">
      <c r="A4042" t="s">
        <v>6113</v>
      </c>
      <c r="B4042" t="s">
        <v>743</v>
      </c>
      <c r="C4042" s="8">
        <v>46166</v>
      </c>
      <c r="D4042" t="s">
        <v>2058</v>
      </c>
      <c r="E4042" t="s">
        <v>2059</v>
      </c>
      <c r="F4042" t="s">
        <v>27</v>
      </c>
      <c r="G4042">
        <v>542.91999999999996</v>
      </c>
      <c r="H4042" t="s">
        <v>2060</v>
      </c>
      <c r="I4042" t="str">
        <f>VLOOKUP(B4042,Customers!A:G,7,FALSE)</f>
        <v>Individual</v>
      </c>
      <c r="Q4042" t="str">
        <f>IF(COUNTIF(Customers!$A$2:$A$1001,B4042)&gt;0,"Valid","Invalid")</f>
        <v>Valid</v>
      </c>
      <c r="R4042" t="str">
        <f>IF(COUNTIF(Branches!$A$2:$A$11,F4042)&gt;0,"Valid","Invalid")</f>
        <v>Valid</v>
      </c>
    </row>
    <row r="4043" spans="1:18" x14ac:dyDescent="0.25">
      <c r="A4043" t="s">
        <v>6114</v>
      </c>
      <c r="B4043" t="s">
        <v>371</v>
      </c>
      <c r="C4043" s="8">
        <v>46196</v>
      </c>
      <c r="D4043" t="s">
        <v>2062</v>
      </c>
      <c r="E4043" t="s">
        <v>2073</v>
      </c>
      <c r="F4043" t="s">
        <v>47</v>
      </c>
      <c r="G4043">
        <v>617.23</v>
      </c>
      <c r="H4043" t="s">
        <v>2060</v>
      </c>
      <c r="I4043" t="str">
        <f>VLOOKUP(B4043,Customers!A:G,7,FALSE)</f>
        <v>Individual</v>
      </c>
      <c r="Q4043" t="str">
        <f>IF(COUNTIF(Customers!$A$2:$A$1001,B4043)&gt;0,"Valid","Invalid")</f>
        <v>Valid</v>
      </c>
      <c r="R4043" t="str">
        <f>IF(COUNTIF(Branches!$A$2:$A$11,F4043)&gt;0,"Valid","Invalid")</f>
        <v>Valid</v>
      </c>
    </row>
    <row r="4044" spans="1:18" x14ac:dyDescent="0.25">
      <c r="A4044" t="s">
        <v>6115</v>
      </c>
      <c r="B4044" t="s">
        <v>600</v>
      </c>
      <c r="C4044" s="8">
        <v>46148</v>
      </c>
      <c r="D4044" t="s">
        <v>2067</v>
      </c>
      <c r="E4044" t="s">
        <v>2068</v>
      </c>
      <c r="F4044" t="s">
        <v>53</v>
      </c>
      <c r="G4044">
        <v>935.18</v>
      </c>
      <c r="H4044" t="s">
        <v>2060</v>
      </c>
      <c r="I4044" t="str">
        <f>VLOOKUP(B4044,Customers!A:G,7,FALSE)</f>
        <v>Individual</v>
      </c>
      <c r="Q4044" t="str">
        <f>IF(COUNTIF(Customers!$A$2:$A$1001,B4044)&gt;0,"Valid","Invalid")</f>
        <v>Valid</v>
      </c>
      <c r="R4044" t="str">
        <f>IF(COUNTIF(Branches!$A$2:$A$11,F4044)&gt;0,"Valid","Invalid")</f>
        <v>Valid</v>
      </c>
    </row>
    <row r="4045" spans="1:18" x14ac:dyDescent="0.25">
      <c r="A4045" t="s">
        <v>6116</v>
      </c>
      <c r="B4045" t="s">
        <v>1013</v>
      </c>
      <c r="C4045" s="8">
        <v>46068</v>
      </c>
      <c r="D4045" t="s">
        <v>2067</v>
      </c>
      <c r="E4045" t="s">
        <v>2073</v>
      </c>
      <c r="F4045" t="s">
        <v>27</v>
      </c>
      <c r="G4045">
        <v>1361.15</v>
      </c>
      <c r="H4045" t="s">
        <v>2060</v>
      </c>
      <c r="I4045" t="str">
        <f>VLOOKUP(B4045,Customers!A:G,7,FALSE)</f>
        <v>Student</v>
      </c>
      <c r="Q4045" t="str">
        <f>IF(COUNTIF(Customers!$A$2:$A$1001,B4045)&gt;0,"Valid","Invalid")</f>
        <v>Valid</v>
      </c>
      <c r="R4045" t="str">
        <f>IF(COUNTIF(Branches!$A$2:$A$11,F4045)&gt;0,"Valid","Invalid")</f>
        <v>Valid</v>
      </c>
    </row>
    <row r="4046" spans="1:18" x14ac:dyDescent="0.25">
      <c r="A4046" t="s">
        <v>6117</v>
      </c>
      <c r="B4046" t="s">
        <v>66</v>
      </c>
      <c r="C4046" s="8">
        <v>46228</v>
      </c>
      <c r="D4046" t="s">
        <v>2065</v>
      </c>
      <c r="E4046" t="s">
        <v>2076</v>
      </c>
      <c r="F4046" t="s">
        <v>53</v>
      </c>
      <c r="G4046">
        <v>1821.21</v>
      </c>
      <c r="H4046" t="s">
        <v>2060</v>
      </c>
      <c r="I4046" t="str">
        <f>VLOOKUP(B4046,Customers!A:G,7,FALSE)</f>
        <v>Individual</v>
      </c>
      <c r="Q4046" t="str">
        <f>IF(COUNTIF(Customers!$A$2:$A$1001,B4046)&gt;0,"Valid","Invalid")</f>
        <v>Valid</v>
      </c>
      <c r="R4046" t="str">
        <f>IF(COUNTIF(Branches!$A$2:$A$11,F4046)&gt;0,"Valid","Invalid")</f>
        <v>Valid</v>
      </c>
    </row>
    <row r="4047" spans="1:18" x14ac:dyDescent="0.25">
      <c r="A4047" t="s">
        <v>6118</v>
      </c>
      <c r="B4047" t="s">
        <v>648</v>
      </c>
      <c r="C4047" s="8">
        <v>46143</v>
      </c>
      <c r="D4047" t="s">
        <v>2062</v>
      </c>
      <c r="E4047" t="s">
        <v>2068</v>
      </c>
      <c r="F4047" t="s">
        <v>47</v>
      </c>
      <c r="G4047">
        <v>7750.53</v>
      </c>
      <c r="H4047" t="s">
        <v>2060</v>
      </c>
      <c r="I4047" t="str">
        <f>VLOOKUP(B4047,Customers!A:G,7,FALSE)</f>
        <v>Individual</v>
      </c>
      <c r="Q4047" t="str">
        <f>IF(COUNTIF(Customers!$A$2:$A$1001,B4047)&gt;0,"Valid","Invalid")</f>
        <v>Valid</v>
      </c>
      <c r="R4047" t="str">
        <f>IF(COUNTIF(Branches!$A$2:$A$11,F4047)&gt;0,"Valid","Invalid")</f>
        <v>Valid</v>
      </c>
    </row>
    <row r="4048" spans="1:18" x14ac:dyDescent="0.25">
      <c r="A4048" t="s">
        <v>6119</v>
      </c>
      <c r="B4048" t="s">
        <v>77</v>
      </c>
      <c r="C4048" s="8">
        <v>46110</v>
      </c>
      <c r="D4048" t="s">
        <v>2070</v>
      </c>
      <c r="E4048" t="s">
        <v>2059</v>
      </c>
      <c r="F4048" t="s">
        <v>53</v>
      </c>
      <c r="G4048">
        <v>919.19</v>
      </c>
      <c r="H4048" t="s">
        <v>2060</v>
      </c>
      <c r="I4048" t="str">
        <f>VLOOKUP(B4048,Customers!A:G,7,FALSE)</f>
        <v>Corporate</v>
      </c>
      <c r="Q4048" t="str">
        <f>IF(COUNTIF(Customers!$A$2:$A$1001,B4048)&gt;0,"Valid","Invalid")</f>
        <v>Valid</v>
      </c>
      <c r="R4048" t="str">
        <f>IF(COUNTIF(Branches!$A$2:$A$11,F4048)&gt;0,"Valid","Invalid")</f>
        <v>Valid</v>
      </c>
    </row>
    <row r="4049" spans="1:18" x14ac:dyDescent="0.25">
      <c r="A4049" t="s">
        <v>6120</v>
      </c>
      <c r="B4049" t="s">
        <v>931</v>
      </c>
      <c r="C4049" s="8">
        <v>46239</v>
      </c>
      <c r="D4049" t="s">
        <v>2065</v>
      </c>
      <c r="E4049" t="s">
        <v>2063</v>
      </c>
      <c r="F4049" t="s">
        <v>53</v>
      </c>
      <c r="G4049">
        <v>1695.6</v>
      </c>
      <c r="H4049" t="s">
        <v>2060</v>
      </c>
      <c r="I4049" t="str">
        <f>VLOOKUP(B4049,Customers!A:G,7,FALSE)</f>
        <v>SME</v>
      </c>
      <c r="Q4049" t="str">
        <f>IF(COUNTIF(Customers!$A$2:$A$1001,B4049)&gt;0,"Valid","Invalid")</f>
        <v>Valid</v>
      </c>
      <c r="R4049" t="str">
        <f>IF(COUNTIF(Branches!$A$2:$A$11,F4049)&gt;0,"Valid","Invalid")</f>
        <v>Valid</v>
      </c>
    </row>
    <row r="4050" spans="1:18" x14ac:dyDescent="0.25">
      <c r="A4050" t="s">
        <v>6121</v>
      </c>
      <c r="B4050" t="s">
        <v>389</v>
      </c>
      <c r="C4050" s="8">
        <v>46083</v>
      </c>
      <c r="D4050" t="s">
        <v>2065</v>
      </c>
      <c r="E4050" t="s">
        <v>2059</v>
      </c>
      <c r="F4050" t="s">
        <v>47</v>
      </c>
      <c r="G4050">
        <v>166.08</v>
      </c>
      <c r="H4050" t="s">
        <v>2060</v>
      </c>
      <c r="I4050" t="str">
        <f>VLOOKUP(B4050,Customers!A:G,7,FALSE)</f>
        <v>Individual</v>
      </c>
      <c r="Q4050" t="str">
        <f>IF(COUNTIF(Customers!$A$2:$A$1001,B4050)&gt;0,"Valid","Invalid")</f>
        <v>Valid</v>
      </c>
      <c r="R4050" t="str">
        <f>IF(COUNTIF(Branches!$A$2:$A$11,F4050)&gt;0,"Valid","Invalid")</f>
        <v>Valid</v>
      </c>
    </row>
    <row r="4051" spans="1:18" x14ac:dyDescent="0.25">
      <c r="A4051" t="s">
        <v>6122</v>
      </c>
      <c r="B4051" t="s">
        <v>372</v>
      </c>
      <c r="C4051" s="8">
        <v>46068</v>
      </c>
      <c r="D4051" t="s">
        <v>2062</v>
      </c>
      <c r="E4051" t="s">
        <v>2068</v>
      </c>
      <c r="F4051" t="s">
        <v>35</v>
      </c>
      <c r="G4051">
        <v>556.03</v>
      </c>
      <c r="H4051" t="s">
        <v>2060</v>
      </c>
      <c r="I4051" t="str">
        <f>VLOOKUP(B4051,Customers!A:G,7,FALSE)</f>
        <v>Corporate</v>
      </c>
      <c r="Q4051" t="str">
        <f>IF(COUNTIF(Customers!$A$2:$A$1001,B4051)&gt;0,"Valid","Invalid")</f>
        <v>Valid</v>
      </c>
      <c r="R4051" t="str">
        <f>IF(COUNTIF(Branches!$A$2:$A$11,F4051)&gt;0,"Valid","Invalid")</f>
        <v>Valid</v>
      </c>
    </row>
    <row r="4052" spans="1:18" x14ac:dyDescent="0.25">
      <c r="A4052" t="s">
        <v>6123</v>
      </c>
      <c r="B4052" t="s">
        <v>860</v>
      </c>
      <c r="C4052" s="8">
        <v>46201</v>
      </c>
      <c r="D4052" t="s">
        <v>2058</v>
      </c>
      <c r="E4052" t="s">
        <v>2063</v>
      </c>
      <c r="F4052" t="s">
        <v>35</v>
      </c>
      <c r="G4052">
        <v>619.91999999999996</v>
      </c>
      <c r="H4052" t="s">
        <v>2060</v>
      </c>
      <c r="I4052" t="str">
        <f>VLOOKUP(B4052,Customers!A:G,7,FALSE)</f>
        <v>Individual</v>
      </c>
      <c r="Q4052" t="str">
        <f>IF(COUNTIF(Customers!$A$2:$A$1001,B4052)&gt;0,"Valid","Invalid")</f>
        <v>Valid</v>
      </c>
      <c r="R4052" t="str">
        <f>IF(COUNTIF(Branches!$A$2:$A$11,F4052)&gt;0,"Valid","Invalid")</f>
        <v>Valid</v>
      </c>
    </row>
    <row r="4053" spans="1:18" x14ac:dyDescent="0.25">
      <c r="A4053" t="s">
        <v>6124</v>
      </c>
      <c r="B4053" t="s">
        <v>597</v>
      </c>
      <c r="C4053" s="8">
        <v>46212</v>
      </c>
      <c r="D4053" t="s">
        <v>2070</v>
      </c>
      <c r="E4053" t="s">
        <v>2076</v>
      </c>
      <c r="F4053" t="s">
        <v>21</v>
      </c>
      <c r="G4053">
        <v>293.74</v>
      </c>
      <c r="H4053" t="s">
        <v>2060</v>
      </c>
      <c r="I4053" t="str">
        <f>VLOOKUP(B4053,Customers!A:G,7,FALSE)</f>
        <v>Individual</v>
      </c>
      <c r="Q4053" t="str">
        <f>IF(COUNTIF(Customers!$A$2:$A$1001,B4053)&gt;0,"Valid","Invalid")</f>
        <v>Valid</v>
      </c>
      <c r="R4053" t="str">
        <f>IF(COUNTIF(Branches!$A$2:$A$11,F4053)&gt;0,"Valid","Invalid")</f>
        <v>Valid</v>
      </c>
    </row>
    <row r="4054" spans="1:18" x14ac:dyDescent="0.25">
      <c r="A4054" t="s">
        <v>6125</v>
      </c>
      <c r="B4054" t="s">
        <v>308</v>
      </c>
      <c r="C4054" s="8">
        <v>46185</v>
      </c>
      <c r="D4054" t="s">
        <v>2065</v>
      </c>
      <c r="E4054" t="s">
        <v>2059</v>
      </c>
      <c r="F4054" t="s">
        <v>11</v>
      </c>
      <c r="G4054">
        <v>475.33</v>
      </c>
      <c r="H4054" t="s">
        <v>2060</v>
      </c>
      <c r="I4054" t="str">
        <f>VLOOKUP(B4054,Customers!A:G,7,FALSE)</f>
        <v>SME</v>
      </c>
      <c r="Q4054" t="str">
        <f>IF(COUNTIF(Customers!$A$2:$A$1001,B4054)&gt;0,"Valid","Invalid")</f>
        <v>Valid</v>
      </c>
      <c r="R4054" t="str">
        <f>IF(COUNTIF(Branches!$A$2:$A$11,F4054)&gt;0,"Valid","Invalid")</f>
        <v>Valid</v>
      </c>
    </row>
    <row r="4055" spans="1:18" x14ac:dyDescent="0.25">
      <c r="A4055" t="s">
        <v>6126</v>
      </c>
      <c r="B4055" t="s">
        <v>982</v>
      </c>
      <c r="C4055" s="8">
        <v>46103</v>
      </c>
      <c r="D4055" t="s">
        <v>2065</v>
      </c>
      <c r="E4055" t="s">
        <v>2059</v>
      </c>
      <c r="F4055" t="s">
        <v>11</v>
      </c>
      <c r="G4055">
        <v>729.61</v>
      </c>
      <c r="H4055" t="s">
        <v>2060</v>
      </c>
      <c r="I4055" t="str">
        <f>VLOOKUP(B4055,Customers!A:G,7,FALSE)</f>
        <v>Individual</v>
      </c>
      <c r="Q4055" t="str">
        <f>IF(COUNTIF(Customers!$A$2:$A$1001,B4055)&gt;0,"Valid","Invalid")</f>
        <v>Valid</v>
      </c>
      <c r="R4055" t="str">
        <f>IF(COUNTIF(Branches!$A$2:$A$11,F4055)&gt;0,"Valid","Invalid")</f>
        <v>Valid</v>
      </c>
    </row>
    <row r="4056" spans="1:18" x14ac:dyDescent="0.25">
      <c r="A4056" t="s">
        <v>6127</v>
      </c>
      <c r="B4056" t="s">
        <v>861</v>
      </c>
      <c r="C4056" s="8">
        <v>46260</v>
      </c>
      <c r="D4056" t="s">
        <v>2058</v>
      </c>
      <c r="E4056" t="s">
        <v>2068</v>
      </c>
      <c r="F4056" t="s">
        <v>21</v>
      </c>
      <c r="G4056">
        <v>490.46</v>
      </c>
      <c r="H4056" t="s">
        <v>2107</v>
      </c>
      <c r="I4056" t="str">
        <f>VLOOKUP(B4056,Customers!A:G,7,FALSE)</f>
        <v>SME</v>
      </c>
      <c r="Q4056" t="str">
        <f>IF(COUNTIF(Customers!$A$2:$A$1001,B4056)&gt;0,"Valid","Invalid")</f>
        <v>Valid</v>
      </c>
      <c r="R4056" t="str">
        <f>IF(COUNTIF(Branches!$A$2:$A$11,F4056)&gt;0,"Valid","Invalid")</f>
        <v>Valid</v>
      </c>
    </row>
    <row r="4057" spans="1:18" x14ac:dyDescent="0.25">
      <c r="A4057" t="s">
        <v>6128</v>
      </c>
      <c r="B4057" t="s">
        <v>451</v>
      </c>
      <c r="C4057" s="8">
        <v>46192</v>
      </c>
      <c r="D4057" t="s">
        <v>2065</v>
      </c>
      <c r="E4057" t="s">
        <v>2068</v>
      </c>
      <c r="F4057" t="s">
        <v>27</v>
      </c>
      <c r="G4057">
        <v>10958.1</v>
      </c>
      <c r="H4057" t="s">
        <v>2060</v>
      </c>
      <c r="I4057" t="str">
        <f>VLOOKUP(B4057,Customers!A:G,7,FALSE)</f>
        <v>Individual</v>
      </c>
      <c r="Q4057" t="str">
        <f>IF(COUNTIF(Customers!$A$2:$A$1001,B4057)&gt;0,"Valid","Invalid")</f>
        <v>Valid</v>
      </c>
      <c r="R4057" t="str">
        <f>IF(COUNTIF(Branches!$A$2:$A$11,F4057)&gt;0,"Valid","Invalid")</f>
        <v>Valid</v>
      </c>
    </row>
    <row r="4058" spans="1:18" x14ac:dyDescent="0.25">
      <c r="A4058" t="s">
        <v>6129</v>
      </c>
      <c r="B4058" t="s">
        <v>981</v>
      </c>
      <c r="C4058" s="8">
        <v>46067</v>
      </c>
      <c r="D4058" t="s">
        <v>2065</v>
      </c>
      <c r="E4058" t="s">
        <v>2076</v>
      </c>
      <c r="F4058" t="s">
        <v>27</v>
      </c>
      <c r="G4058">
        <v>1355.97</v>
      </c>
      <c r="H4058" t="s">
        <v>2060</v>
      </c>
      <c r="I4058" t="str">
        <f>VLOOKUP(B4058,Customers!A:G,7,FALSE)</f>
        <v>Individual</v>
      </c>
      <c r="Q4058" t="str">
        <f>IF(COUNTIF(Customers!$A$2:$A$1001,B4058)&gt;0,"Valid","Invalid")</f>
        <v>Valid</v>
      </c>
      <c r="R4058" t="str">
        <f>IF(COUNTIF(Branches!$A$2:$A$11,F4058)&gt;0,"Valid","Invalid")</f>
        <v>Valid</v>
      </c>
    </row>
    <row r="4059" spans="1:18" x14ac:dyDescent="0.25">
      <c r="A4059" t="s">
        <v>6130</v>
      </c>
      <c r="B4059" t="s">
        <v>613</v>
      </c>
      <c r="C4059" s="8">
        <v>46140</v>
      </c>
      <c r="D4059" t="s">
        <v>2065</v>
      </c>
      <c r="E4059" t="s">
        <v>2063</v>
      </c>
      <c r="F4059" t="s">
        <v>29</v>
      </c>
      <c r="G4059">
        <v>6009.05</v>
      </c>
      <c r="H4059" t="s">
        <v>2060</v>
      </c>
      <c r="I4059" t="str">
        <f>VLOOKUP(B4059,Customers!A:G,7,FALSE)</f>
        <v>Individual</v>
      </c>
      <c r="Q4059" t="str">
        <f>IF(COUNTIF(Customers!$A$2:$A$1001,B4059)&gt;0,"Valid","Invalid")</f>
        <v>Valid</v>
      </c>
      <c r="R4059" t="str">
        <f>IF(COUNTIF(Branches!$A$2:$A$11,F4059)&gt;0,"Valid","Invalid")</f>
        <v>Valid</v>
      </c>
    </row>
    <row r="4060" spans="1:18" x14ac:dyDescent="0.25">
      <c r="A4060" t="s">
        <v>6131</v>
      </c>
      <c r="B4060" t="s">
        <v>52</v>
      </c>
      <c r="C4060" s="8">
        <v>46218</v>
      </c>
      <c r="D4060" t="s">
        <v>2065</v>
      </c>
      <c r="E4060" t="s">
        <v>2059</v>
      </c>
      <c r="F4060" t="s">
        <v>39</v>
      </c>
      <c r="G4060">
        <v>3614.29</v>
      </c>
      <c r="H4060" t="s">
        <v>2060</v>
      </c>
      <c r="I4060" t="str">
        <f>VLOOKUP(B4060,Customers!A:G,7,FALSE)</f>
        <v>Individual</v>
      </c>
      <c r="Q4060" t="str">
        <f>IF(COUNTIF(Customers!$A$2:$A$1001,B4060)&gt;0,"Valid","Invalid")</f>
        <v>Valid</v>
      </c>
      <c r="R4060" t="str">
        <f>IF(COUNTIF(Branches!$A$2:$A$11,F4060)&gt;0,"Valid","Invalid")</f>
        <v>Valid</v>
      </c>
    </row>
    <row r="4061" spans="1:18" x14ac:dyDescent="0.25">
      <c r="A4061" t="s">
        <v>6132</v>
      </c>
      <c r="B4061" t="s">
        <v>385</v>
      </c>
      <c r="C4061" s="8">
        <v>46225</v>
      </c>
      <c r="D4061" t="s">
        <v>2065</v>
      </c>
      <c r="E4061" t="s">
        <v>2059</v>
      </c>
      <c r="F4061" t="s">
        <v>35</v>
      </c>
      <c r="G4061">
        <v>428.7</v>
      </c>
      <c r="H4061" t="s">
        <v>2060</v>
      </c>
      <c r="I4061" t="str">
        <f>VLOOKUP(B4061,Customers!A:G,7,FALSE)</f>
        <v>Individual</v>
      </c>
      <c r="Q4061" t="str">
        <f>IF(COUNTIF(Customers!$A$2:$A$1001,B4061)&gt;0,"Valid","Invalid")</f>
        <v>Valid</v>
      </c>
      <c r="R4061" t="str">
        <f>IF(COUNTIF(Branches!$A$2:$A$11,F4061)&gt;0,"Valid","Invalid")</f>
        <v>Valid</v>
      </c>
    </row>
    <row r="4062" spans="1:18" x14ac:dyDescent="0.25">
      <c r="A4062" t="s">
        <v>6133</v>
      </c>
      <c r="B4062" t="s">
        <v>943</v>
      </c>
      <c r="C4062" s="8">
        <v>46069</v>
      </c>
      <c r="D4062" t="s">
        <v>2070</v>
      </c>
      <c r="E4062" t="s">
        <v>2059</v>
      </c>
      <c r="F4062" t="s">
        <v>29</v>
      </c>
      <c r="G4062">
        <v>843.5</v>
      </c>
      <c r="H4062" t="s">
        <v>2060</v>
      </c>
      <c r="I4062" t="str">
        <f>VLOOKUP(B4062,Customers!A:G,7,FALSE)</f>
        <v>Individual</v>
      </c>
      <c r="Q4062" t="str">
        <f>IF(COUNTIF(Customers!$A$2:$A$1001,B4062)&gt;0,"Valid","Invalid")</f>
        <v>Valid</v>
      </c>
      <c r="R4062" t="str">
        <f>IF(COUNTIF(Branches!$A$2:$A$11,F4062)&gt;0,"Valid","Invalid")</f>
        <v>Valid</v>
      </c>
    </row>
    <row r="4063" spans="1:18" x14ac:dyDescent="0.25">
      <c r="A4063" t="s">
        <v>6134</v>
      </c>
      <c r="B4063" t="s">
        <v>651</v>
      </c>
      <c r="C4063" s="8">
        <v>46229</v>
      </c>
      <c r="D4063" t="s">
        <v>2065</v>
      </c>
      <c r="E4063" t="s">
        <v>2063</v>
      </c>
      <c r="F4063" t="s">
        <v>11</v>
      </c>
      <c r="G4063">
        <v>525.92999999999995</v>
      </c>
      <c r="H4063" t="s">
        <v>2060</v>
      </c>
      <c r="I4063" t="str">
        <f>VLOOKUP(B4063,Customers!A:G,7,FALSE)</f>
        <v>SME</v>
      </c>
      <c r="Q4063" t="str">
        <f>IF(COUNTIF(Customers!$A$2:$A$1001,B4063)&gt;0,"Valid","Invalid")</f>
        <v>Valid</v>
      </c>
      <c r="R4063" t="str">
        <f>IF(COUNTIF(Branches!$A$2:$A$11,F4063)&gt;0,"Valid","Invalid")</f>
        <v>Valid</v>
      </c>
    </row>
    <row r="4064" spans="1:18" x14ac:dyDescent="0.25">
      <c r="A4064" t="s">
        <v>6135</v>
      </c>
      <c r="B4064" t="s">
        <v>71</v>
      </c>
      <c r="C4064" s="8">
        <v>46180</v>
      </c>
      <c r="D4064" t="s">
        <v>2067</v>
      </c>
      <c r="E4064" t="s">
        <v>2059</v>
      </c>
      <c r="F4064" t="s">
        <v>27</v>
      </c>
      <c r="G4064">
        <v>691.03</v>
      </c>
      <c r="H4064" t="s">
        <v>2060</v>
      </c>
      <c r="I4064" t="str">
        <f>VLOOKUP(B4064,Customers!A:G,7,FALSE)</f>
        <v>Individual</v>
      </c>
      <c r="Q4064" t="str">
        <f>IF(COUNTIF(Customers!$A$2:$A$1001,B4064)&gt;0,"Valid","Invalid")</f>
        <v>Valid</v>
      </c>
      <c r="R4064" t="str">
        <f>IF(COUNTIF(Branches!$A$2:$A$11,F4064)&gt;0,"Valid","Invalid")</f>
        <v>Valid</v>
      </c>
    </row>
    <row r="4065" spans="1:18" x14ac:dyDescent="0.25">
      <c r="A4065" t="s">
        <v>6136</v>
      </c>
      <c r="B4065" t="s">
        <v>657</v>
      </c>
      <c r="C4065" s="8">
        <v>46174</v>
      </c>
      <c r="D4065" t="s">
        <v>2062</v>
      </c>
      <c r="E4065" t="s">
        <v>2063</v>
      </c>
      <c r="F4065" t="s">
        <v>39</v>
      </c>
      <c r="G4065">
        <v>305.99</v>
      </c>
      <c r="H4065" t="s">
        <v>2060</v>
      </c>
      <c r="I4065" t="str">
        <f>VLOOKUP(B4065,Customers!A:G,7,FALSE)</f>
        <v>Individual</v>
      </c>
      <c r="Q4065" t="str">
        <f>IF(COUNTIF(Customers!$A$2:$A$1001,B4065)&gt;0,"Valid","Invalid")</f>
        <v>Valid</v>
      </c>
      <c r="R4065" t="str">
        <f>IF(COUNTIF(Branches!$A$2:$A$11,F4065)&gt;0,"Valid","Invalid")</f>
        <v>Valid</v>
      </c>
    </row>
    <row r="4066" spans="1:18" x14ac:dyDescent="0.25">
      <c r="A4066" t="s">
        <v>6137</v>
      </c>
      <c r="B4066" t="s">
        <v>128</v>
      </c>
      <c r="C4066" s="8">
        <v>46216</v>
      </c>
      <c r="D4066" t="s">
        <v>2058</v>
      </c>
      <c r="E4066" t="s">
        <v>2076</v>
      </c>
      <c r="F4066" t="s">
        <v>29</v>
      </c>
      <c r="G4066">
        <v>522.41999999999996</v>
      </c>
      <c r="H4066" t="s">
        <v>2060</v>
      </c>
      <c r="I4066" t="str">
        <f>VLOOKUP(B4066,Customers!A:G,7,FALSE)</f>
        <v>Individual</v>
      </c>
      <c r="Q4066" t="str">
        <f>IF(COUNTIF(Customers!$A$2:$A$1001,B4066)&gt;0,"Valid","Invalid")</f>
        <v>Valid</v>
      </c>
      <c r="R4066" t="str">
        <f>IF(COUNTIF(Branches!$A$2:$A$11,F4066)&gt;0,"Valid","Invalid")</f>
        <v>Valid</v>
      </c>
    </row>
    <row r="4067" spans="1:18" x14ac:dyDescent="0.25">
      <c r="A4067" t="s">
        <v>6138</v>
      </c>
      <c r="B4067" t="s">
        <v>858</v>
      </c>
      <c r="C4067" s="8">
        <v>46193</v>
      </c>
      <c r="D4067" t="s">
        <v>2058</v>
      </c>
      <c r="E4067" t="s">
        <v>2063</v>
      </c>
      <c r="F4067" t="s">
        <v>35</v>
      </c>
      <c r="G4067">
        <v>1163.8900000000001</v>
      </c>
      <c r="H4067" t="s">
        <v>2060</v>
      </c>
      <c r="I4067" t="str">
        <f>VLOOKUP(B4067,Customers!A:G,7,FALSE)</f>
        <v>SME</v>
      </c>
      <c r="Q4067" t="str">
        <f>IF(COUNTIF(Customers!$A$2:$A$1001,B4067)&gt;0,"Valid","Invalid")</f>
        <v>Valid</v>
      </c>
      <c r="R4067" t="str">
        <f>IF(COUNTIF(Branches!$A$2:$A$11,F4067)&gt;0,"Valid","Invalid")</f>
        <v>Valid</v>
      </c>
    </row>
    <row r="4068" spans="1:18" x14ac:dyDescent="0.25">
      <c r="A4068" t="s">
        <v>6139</v>
      </c>
      <c r="B4068" t="s">
        <v>222</v>
      </c>
      <c r="C4068" s="8">
        <v>46184</v>
      </c>
      <c r="D4068" t="s">
        <v>2062</v>
      </c>
      <c r="E4068" t="s">
        <v>2059</v>
      </c>
      <c r="F4068" t="s">
        <v>29</v>
      </c>
      <c r="G4068">
        <v>1133.56</v>
      </c>
      <c r="H4068" t="s">
        <v>2060</v>
      </c>
      <c r="I4068" t="str">
        <f>VLOOKUP(B4068,Customers!A:G,7,FALSE)</f>
        <v>Corporate</v>
      </c>
      <c r="Q4068" t="str">
        <f>IF(COUNTIF(Customers!$A$2:$A$1001,B4068)&gt;0,"Valid","Invalid")</f>
        <v>Valid</v>
      </c>
      <c r="R4068" t="str">
        <f>IF(COUNTIF(Branches!$A$2:$A$11,F4068)&gt;0,"Valid","Invalid")</f>
        <v>Valid</v>
      </c>
    </row>
    <row r="4069" spans="1:18" x14ac:dyDescent="0.25">
      <c r="A4069" t="s">
        <v>6140</v>
      </c>
      <c r="B4069" t="s">
        <v>766</v>
      </c>
      <c r="C4069" s="8">
        <v>46045</v>
      </c>
      <c r="D4069" t="s">
        <v>2062</v>
      </c>
      <c r="E4069" t="s">
        <v>2063</v>
      </c>
      <c r="F4069" t="s">
        <v>35</v>
      </c>
      <c r="G4069">
        <v>1046.71</v>
      </c>
      <c r="H4069" t="s">
        <v>2115</v>
      </c>
      <c r="I4069" t="str">
        <f>VLOOKUP(B4069,Customers!A:G,7,FALSE)</f>
        <v>Individual</v>
      </c>
      <c r="Q4069" t="str">
        <f>IF(COUNTIF(Customers!$A$2:$A$1001,B4069)&gt;0,"Valid","Invalid")</f>
        <v>Valid</v>
      </c>
      <c r="R4069" t="str">
        <f>IF(COUNTIF(Branches!$A$2:$A$11,F4069)&gt;0,"Valid","Invalid")</f>
        <v>Valid</v>
      </c>
    </row>
    <row r="4070" spans="1:18" x14ac:dyDescent="0.25">
      <c r="A4070" t="s">
        <v>6141</v>
      </c>
      <c r="B4070" t="s">
        <v>62</v>
      </c>
      <c r="C4070" s="8">
        <v>46083</v>
      </c>
      <c r="D4070" t="s">
        <v>2062</v>
      </c>
      <c r="E4070" t="s">
        <v>2073</v>
      </c>
      <c r="F4070" t="s">
        <v>29</v>
      </c>
      <c r="G4070">
        <v>765.34</v>
      </c>
      <c r="H4070" t="s">
        <v>2060</v>
      </c>
      <c r="I4070" t="str">
        <f>VLOOKUP(B4070,Customers!A:G,7,FALSE)</f>
        <v>Individual</v>
      </c>
      <c r="Q4070" t="str">
        <f>IF(COUNTIF(Customers!$A$2:$A$1001,B4070)&gt;0,"Valid","Invalid")</f>
        <v>Valid</v>
      </c>
      <c r="R4070" t="str">
        <f>IF(COUNTIF(Branches!$A$2:$A$11,F4070)&gt;0,"Valid","Invalid")</f>
        <v>Valid</v>
      </c>
    </row>
    <row r="4071" spans="1:18" x14ac:dyDescent="0.25">
      <c r="A4071" t="s">
        <v>6142</v>
      </c>
      <c r="B4071" t="s">
        <v>586</v>
      </c>
      <c r="C4071" s="8">
        <v>46245</v>
      </c>
      <c r="D4071" t="s">
        <v>2058</v>
      </c>
      <c r="E4071" t="s">
        <v>2059</v>
      </c>
      <c r="F4071" t="s">
        <v>29</v>
      </c>
      <c r="G4071">
        <v>1921.27</v>
      </c>
      <c r="H4071" t="s">
        <v>2060</v>
      </c>
      <c r="I4071" t="str">
        <f>VLOOKUP(B4071,Customers!A:G,7,FALSE)</f>
        <v>Individual</v>
      </c>
      <c r="Q4071" t="str">
        <f>IF(COUNTIF(Customers!$A$2:$A$1001,B4071)&gt;0,"Valid","Invalid")</f>
        <v>Valid</v>
      </c>
      <c r="R4071" t="str">
        <f>IF(COUNTIF(Branches!$A$2:$A$11,F4071)&gt;0,"Valid","Invalid")</f>
        <v>Valid</v>
      </c>
    </row>
    <row r="4072" spans="1:18" x14ac:dyDescent="0.25">
      <c r="A4072" t="s">
        <v>6143</v>
      </c>
      <c r="B4072" t="s">
        <v>410</v>
      </c>
      <c r="C4072" s="8">
        <v>46187</v>
      </c>
      <c r="D4072" t="s">
        <v>2062</v>
      </c>
      <c r="E4072" t="s">
        <v>2063</v>
      </c>
      <c r="F4072" t="s">
        <v>45</v>
      </c>
      <c r="G4072">
        <v>628.26</v>
      </c>
      <c r="H4072" t="s">
        <v>2115</v>
      </c>
      <c r="I4072" t="str">
        <f>VLOOKUP(B4072,Customers!A:G,7,FALSE)</f>
        <v>Individual</v>
      </c>
      <c r="Q4072" t="str">
        <f>IF(COUNTIF(Customers!$A$2:$A$1001,B4072)&gt;0,"Valid","Invalid")</f>
        <v>Valid</v>
      </c>
      <c r="R4072" t="str">
        <f>IF(COUNTIF(Branches!$A$2:$A$11,F4072)&gt;0,"Valid","Invalid")</f>
        <v>Valid</v>
      </c>
    </row>
    <row r="4073" spans="1:18" x14ac:dyDescent="0.25">
      <c r="A4073" t="s">
        <v>6144</v>
      </c>
      <c r="B4073" t="s">
        <v>870</v>
      </c>
      <c r="C4073" s="8">
        <v>46035</v>
      </c>
      <c r="D4073" t="s">
        <v>2058</v>
      </c>
      <c r="E4073" t="s">
        <v>2059</v>
      </c>
      <c r="F4073" t="s">
        <v>35</v>
      </c>
      <c r="G4073">
        <v>3266.75</v>
      </c>
      <c r="H4073" t="s">
        <v>2060</v>
      </c>
      <c r="I4073" t="str">
        <f>VLOOKUP(B4073,Customers!A:G,7,FALSE)</f>
        <v>SME</v>
      </c>
      <c r="Q4073" t="str">
        <f>IF(COUNTIF(Customers!$A$2:$A$1001,B4073)&gt;0,"Valid","Invalid")</f>
        <v>Valid</v>
      </c>
      <c r="R4073" t="str">
        <f>IF(COUNTIF(Branches!$A$2:$A$11,F4073)&gt;0,"Valid","Invalid")</f>
        <v>Valid</v>
      </c>
    </row>
    <row r="4074" spans="1:18" x14ac:dyDescent="0.25">
      <c r="A4074" t="s">
        <v>6145</v>
      </c>
      <c r="B4074" t="s">
        <v>568</v>
      </c>
      <c r="C4074" s="8">
        <v>46247</v>
      </c>
      <c r="D4074" t="s">
        <v>2065</v>
      </c>
      <c r="E4074" t="s">
        <v>2068</v>
      </c>
      <c r="F4074" t="s">
        <v>16</v>
      </c>
      <c r="G4074">
        <v>128.05000000000001</v>
      </c>
      <c r="H4074" t="s">
        <v>2115</v>
      </c>
      <c r="I4074" t="str">
        <f>VLOOKUP(B4074,Customers!A:G,7,FALSE)</f>
        <v>Individual</v>
      </c>
      <c r="Q4074" t="str">
        <f>IF(COUNTIF(Customers!$A$2:$A$1001,B4074)&gt;0,"Valid","Invalid")</f>
        <v>Valid</v>
      </c>
      <c r="R4074" t="str">
        <f>IF(COUNTIF(Branches!$A$2:$A$11,F4074)&gt;0,"Valid","Invalid")</f>
        <v>Valid</v>
      </c>
    </row>
    <row r="4075" spans="1:18" x14ac:dyDescent="0.25">
      <c r="A4075" t="s">
        <v>6146</v>
      </c>
      <c r="B4075" t="s">
        <v>383</v>
      </c>
      <c r="C4075" s="8">
        <v>46221</v>
      </c>
      <c r="D4075" t="s">
        <v>2062</v>
      </c>
      <c r="E4075" t="s">
        <v>2068</v>
      </c>
      <c r="F4075" t="s">
        <v>29</v>
      </c>
      <c r="G4075">
        <v>1566.83</v>
      </c>
      <c r="H4075" t="s">
        <v>2060</v>
      </c>
      <c r="I4075" t="str">
        <f>VLOOKUP(B4075,Customers!A:G,7,FALSE)</f>
        <v>Individual</v>
      </c>
      <c r="Q4075" t="str">
        <f>IF(COUNTIF(Customers!$A$2:$A$1001,B4075)&gt;0,"Valid","Invalid")</f>
        <v>Valid</v>
      </c>
      <c r="R4075" t="str">
        <f>IF(COUNTIF(Branches!$A$2:$A$11,F4075)&gt;0,"Valid","Invalid")</f>
        <v>Valid</v>
      </c>
    </row>
    <row r="4076" spans="1:18" x14ac:dyDescent="0.25">
      <c r="A4076" t="s">
        <v>6147</v>
      </c>
      <c r="B4076" t="s">
        <v>457</v>
      </c>
      <c r="C4076" s="8">
        <v>46246</v>
      </c>
      <c r="D4076" t="s">
        <v>2058</v>
      </c>
      <c r="E4076" t="s">
        <v>2076</v>
      </c>
      <c r="F4076" t="s">
        <v>27</v>
      </c>
      <c r="G4076">
        <v>1323.94</v>
      </c>
      <c r="H4076" t="s">
        <v>2060</v>
      </c>
      <c r="I4076" t="str">
        <f>VLOOKUP(B4076,Customers!A:G,7,FALSE)</f>
        <v>SME</v>
      </c>
      <c r="Q4076" t="str">
        <f>IF(COUNTIF(Customers!$A$2:$A$1001,B4076)&gt;0,"Valid","Invalid")</f>
        <v>Valid</v>
      </c>
      <c r="R4076" t="str">
        <f>IF(COUNTIF(Branches!$A$2:$A$11,F4076)&gt;0,"Valid","Invalid")</f>
        <v>Valid</v>
      </c>
    </row>
    <row r="4077" spans="1:18" x14ac:dyDescent="0.25">
      <c r="A4077" t="s">
        <v>6148</v>
      </c>
      <c r="B4077" t="s">
        <v>233</v>
      </c>
      <c r="C4077" s="8">
        <v>46029</v>
      </c>
      <c r="D4077" t="s">
        <v>2062</v>
      </c>
      <c r="E4077" t="s">
        <v>2063</v>
      </c>
      <c r="F4077" t="s">
        <v>29</v>
      </c>
      <c r="G4077">
        <v>413.82</v>
      </c>
      <c r="H4077" t="s">
        <v>2060</v>
      </c>
      <c r="I4077" t="str">
        <f>VLOOKUP(B4077,Customers!A:G,7,FALSE)</f>
        <v>Individual</v>
      </c>
      <c r="Q4077" t="str">
        <f>IF(COUNTIF(Customers!$A$2:$A$1001,B4077)&gt;0,"Valid","Invalid")</f>
        <v>Valid</v>
      </c>
      <c r="R4077" t="str">
        <f>IF(COUNTIF(Branches!$A$2:$A$11,F4077)&gt;0,"Valid","Invalid")</f>
        <v>Valid</v>
      </c>
    </row>
    <row r="4078" spans="1:18" x14ac:dyDescent="0.25">
      <c r="A4078" t="s">
        <v>6149</v>
      </c>
      <c r="B4078" t="s">
        <v>114</v>
      </c>
      <c r="C4078" s="8">
        <v>46192</v>
      </c>
      <c r="D4078" t="s">
        <v>2065</v>
      </c>
      <c r="E4078" t="s">
        <v>2076</v>
      </c>
      <c r="F4078" t="s">
        <v>29</v>
      </c>
      <c r="G4078">
        <v>569.51</v>
      </c>
      <c r="H4078" t="s">
        <v>2060</v>
      </c>
      <c r="I4078" t="str">
        <f>VLOOKUP(B4078,Customers!A:G,7,FALSE)</f>
        <v>Individual</v>
      </c>
      <c r="Q4078" t="str">
        <f>IF(COUNTIF(Customers!$A$2:$A$1001,B4078)&gt;0,"Valid","Invalid")</f>
        <v>Valid</v>
      </c>
      <c r="R4078" t="str">
        <f>IF(COUNTIF(Branches!$A$2:$A$11,F4078)&gt;0,"Valid","Invalid")</f>
        <v>Valid</v>
      </c>
    </row>
    <row r="4079" spans="1:18" x14ac:dyDescent="0.25">
      <c r="A4079" t="s">
        <v>6150</v>
      </c>
      <c r="B4079" t="s">
        <v>203</v>
      </c>
      <c r="C4079" s="8">
        <v>46188</v>
      </c>
      <c r="D4079" t="s">
        <v>2067</v>
      </c>
      <c r="E4079" t="s">
        <v>2068</v>
      </c>
      <c r="F4079" t="s">
        <v>47</v>
      </c>
      <c r="G4079">
        <v>1293.0899999999999</v>
      </c>
      <c r="H4079" t="s">
        <v>2060</v>
      </c>
      <c r="I4079" t="str">
        <f>VLOOKUP(B4079,Customers!A:G,7,FALSE)</f>
        <v>Student</v>
      </c>
      <c r="Q4079" t="str">
        <f>IF(COUNTIF(Customers!$A$2:$A$1001,B4079)&gt;0,"Valid","Invalid")</f>
        <v>Valid</v>
      </c>
      <c r="R4079" t="str">
        <f>IF(COUNTIF(Branches!$A$2:$A$11,F4079)&gt;0,"Valid","Invalid")</f>
        <v>Valid</v>
      </c>
    </row>
    <row r="4080" spans="1:18" x14ac:dyDescent="0.25">
      <c r="A4080" t="s">
        <v>6151</v>
      </c>
      <c r="B4080" t="s">
        <v>126</v>
      </c>
      <c r="C4080" s="8">
        <v>46202</v>
      </c>
      <c r="D4080" t="s">
        <v>2070</v>
      </c>
      <c r="E4080" t="s">
        <v>2059</v>
      </c>
      <c r="F4080" t="s">
        <v>29</v>
      </c>
      <c r="G4080">
        <v>2030.29</v>
      </c>
      <c r="H4080" t="s">
        <v>2060</v>
      </c>
      <c r="I4080" t="str">
        <f>VLOOKUP(B4080,Customers!A:G,7,FALSE)</f>
        <v>Individual</v>
      </c>
      <c r="Q4080" t="str">
        <f>IF(COUNTIF(Customers!$A$2:$A$1001,B4080)&gt;0,"Valid","Invalid")</f>
        <v>Valid</v>
      </c>
      <c r="R4080" t="str">
        <f>IF(COUNTIF(Branches!$A$2:$A$11,F4080)&gt;0,"Valid","Invalid")</f>
        <v>Valid</v>
      </c>
    </row>
    <row r="4081" spans="1:18" x14ac:dyDescent="0.25">
      <c r="A4081" t="s">
        <v>6152</v>
      </c>
      <c r="B4081" t="s">
        <v>302</v>
      </c>
      <c r="C4081" s="8">
        <v>46194</v>
      </c>
      <c r="D4081" t="s">
        <v>2065</v>
      </c>
      <c r="E4081" t="s">
        <v>2068</v>
      </c>
      <c r="F4081" t="s">
        <v>35</v>
      </c>
      <c r="G4081">
        <v>141.25</v>
      </c>
      <c r="H4081" t="s">
        <v>2060</v>
      </c>
      <c r="I4081" t="str">
        <f>VLOOKUP(B4081,Customers!A:G,7,FALSE)</f>
        <v>Individual</v>
      </c>
      <c r="Q4081" t="str">
        <f>IF(COUNTIF(Customers!$A$2:$A$1001,B4081)&gt;0,"Valid","Invalid")</f>
        <v>Valid</v>
      </c>
      <c r="R4081" t="str">
        <f>IF(COUNTIF(Branches!$A$2:$A$11,F4081)&gt;0,"Valid","Invalid")</f>
        <v>Valid</v>
      </c>
    </row>
    <row r="4082" spans="1:18" x14ac:dyDescent="0.25">
      <c r="A4082" t="s">
        <v>6153</v>
      </c>
      <c r="B4082" t="s">
        <v>510</v>
      </c>
      <c r="C4082" s="8">
        <v>46214</v>
      </c>
      <c r="D4082" t="s">
        <v>2070</v>
      </c>
      <c r="E4082" t="s">
        <v>2063</v>
      </c>
      <c r="F4082" t="s">
        <v>29</v>
      </c>
      <c r="G4082">
        <v>1522.71</v>
      </c>
      <c r="H4082" t="s">
        <v>2060</v>
      </c>
      <c r="I4082" t="str">
        <f>VLOOKUP(B4082,Customers!A:G,7,FALSE)</f>
        <v>Individual</v>
      </c>
      <c r="Q4082" t="str">
        <f>IF(COUNTIF(Customers!$A$2:$A$1001,B4082)&gt;0,"Valid","Invalid")</f>
        <v>Valid</v>
      </c>
      <c r="R4082" t="str">
        <f>IF(COUNTIF(Branches!$A$2:$A$11,F4082)&gt;0,"Valid","Invalid")</f>
        <v>Valid</v>
      </c>
    </row>
    <row r="4083" spans="1:18" x14ac:dyDescent="0.25">
      <c r="A4083" t="s">
        <v>6154</v>
      </c>
      <c r="B4083" t="s">
        <v>245</v>
      </c>
      <c r="C4083" s="8">
        <v>46163</v>
      </c>
      <c r="D4083" t="s">
        <v>2070</v>
      </c>
      <c r="E4083" t="s">
        <v>2063</v>
      </c>
      <c r="F4083" t="s">
        <v>39</v>
      </c>
      <c r="G4083">
        <v>514.05999999999995</v>
      </c>
      <c r="H4083" t="s">
        <v>2060</v>
      </c>
      <c r="I4083" t="str">
        <f>VLOOKUP(B4083,Customers!A:G,7,FALSE)</f>
        <v>Individual</v>
      </c>
      <c r="Q4083" t="str">
        <f>IF(COUNTIF(Customers!$A$2:$A$1001,B4083)&gt;0,"Valid","Invalid")</f>
        <v>Valid</v>
      </c>
      <c r="R4083" t="str">
        <f>IF(COUNTIF(Branches!$A$2:$A$11,F4083)&gt;0,"Valid","Invalid")</f>
        <v>Valid</v>
      </c>
    </row>
    <row r="4084" spans="1:18" x14ac:dyDescent="0.25">
      <c r="A4084" t="s">
        <v>6155</v>
      </c>
      <c r="B4084" t="s">
        <v>762</v>
      </c>
      <c r="C4084" s="8">
        <v>46238</v>
      </c>
      <c r="D4084" t="s">
        <v>2062</v>
      </c>
      <c r="E4084" t="s">
        <v>2068</v>
      </c>
      <c r="F4084" t="s">
        <v>39</v>
      </c>
      <c r="G4084">
        <v>2503.11</v>
      </c>
      <c r="H4084" t="s">
        <v>2060</v>
      </c>
      <c r="I4084" t="str">
        <f>VLOOKUP(B4084,Customers!A:G,7,FALSE)</f>
        <v>SME</v>
      </c>
      <c r="Q4084" t="str">
        <f>IF(COUNTIF(Customers!$A$2:$A$1001,B4084)&gt;0,"Valid","Invalid")</f>
        <v>Valid</v>
      </c>
      <c r="R4084" t="str">
        <f>IF(COUNTIF(Branches!$A$2:$A$11,F4084)&gt;0,"Valid","Invalid")</f>
        <v>Valid</v>
      </c>
    </row>
    <row r="4085" spans="1:18" x14ac:dyDescent="0.25">
      <c r="A4085" t="s">
        <v>6156</v>
      </c>
      <c r="B4085" t="s">
        <v>309</v>
      </c>
      <c r="C4085" s="8">
        <v>46050</v>
      </c>
      <c r="D4085" t="s">
        <v>2058</v>
      </c>
      <c r="E4085" t="s">
        <v>2076</v>
      </c>
      <c r="F4085" t="s">
        <v>47</v>
      </c>
      <c r="G4085">
        <v>129.12</v>
      </c>
      <c r="H4085" t="s">
        <v>2060</v>
      </c>
      <c r="I4085" t="str">
        <f>VLOOKUP(B4085,Customers!A:G,7,FALSE)</f>
        <v>SME</v>
      </c>
      <c r="Q4085" t="str">
        <f>IF(COUNTIF(Customers!$A$2:$A$1001,B4085)&gt;0,"Valid","Invalid")</f>
        <v>Valid</v>
      </c>
      <c r="R4085" t="str">
        <f>IF(COUNTIF(Branches!$A$2:$A$11,F4085)&gt;0,"Valid","Invalid")</f>
        <v>Valid</v>
      </c>
    </row>
    <row r="4086" spans="1:18" x14ac:dyDescent="0.25">
      <c r="A4086" t="s">
        <v>6157</v>
      </c>
      <c r="B4086" t="s">
        <v>301</v>
      </c>
      <c r="C4086" s="8">
        <v>46118</v>
      </c>
      <c r="D4086" t="s">
        <v>2058</v>
      </c>
      <c r="E4086" t="s">
        <v>2063</v>
      </c>
      <c r="F4086" t="s">
        <v>16</v>
      </c>
      <c r="G4086">
        <v>9370.2900000000009</v>
      </c>
      <c r="H4086" t="s">
        <v>2060</v>
      </c>
      <c r="I4086" t="str">
        <f>VLOOKUP(B4086,Customers!A:G,7,FALSE)</f>
        <v>Individual</v>
      </c>
      <c r="Q4086" t="str">
        <f>IF(COUNTIF(Customers!$A$2:$A$1001,B4086)&gt;0,"Valid","Invalid")</f>
        <v>Valid</v>
      </c>
      <c r="R4086" t="str">
        <f>IF(COUNTIF(Branches!$A$2:$A$11,F4086)&gt;0,"Valid","Invalid")</f>
        <v>Valid</v>
      </c>
    </row>
    <row r="4087" spans="1:18" x14ac:dyDescent="0.25">
      <c r="A4087" t="s">
        <v>6158</v>
      </c>
      <c r="B4087" t="s">
        <v>544</v>
      </c>
      <c r="C4087" s="8">
        <v>46129</v>
      </c>
      <c r="D4087" t="s">
        <v>2062</v>
      </c>
      <c r="E4087" t="s">
        <v>2059</v>
      </c>
      <c r="F4087" t="s">
        <v>11</v>
      </c>
      <c r="G4087">
        <v>334.91</v>
      </c>
      <c r="H4087" t="s">
        <v>2060</v>
      </c>
      <c r="I4087" t="str">
        <f>VLOOKUP(B4087,Customers!A:G,7,FALSE)</f>
        <v>Student</v>
      </c>
      <c r="Q4087" t="str">
        <f>IF(COUNTIF(Customers!$A$2:$A$1001,B4087)&gt;0,"Valid","Invalid")</f>
        <v>Valid</v>
      </c>
      <c r="R4087" t="str">
        <f>IF(COUNTIF(Branches!$A$2:$A$11,F4087)&gt;0,"Valid","Invalid")</f>
        <v>Valid</v>
      </c>
    </row>
    <row r="4088" spans="1:18" x14ac:dyDescent="0.25">
      <c r="A4088" t="s">
        <v>6159</v>
      </c>
      <c r="B4088" t="s">
        <v>823</v>
      </c>
      <c r="C4088" s="8">
        <v>46232</v>
      </c>
      <c r="D4088" t="s">
        <v>2062</v>
      </c>
      <c r="E4088" t="s">
        <v>2068</v>
      </c>
      <c r="F4088" t="s">
        <v>35</v>
      </c>
      <c r="G4088">
        <v>3394.67</v>
      </c>
      <c r="H4088" t="s">
        <v>2060</v>
      </c>
      <c r="I4088" t="str">
        <f>VLOOKUP(B4088,Customers!A:G,7,FALSE)</f>
        <v>Individual</v>
      </c>
      <c r="Q4088" t="str">
        <f>IF(COUNTIF(Customers!$A$2:$A$1001,B4088)&gt;0,"Valid","Invalid")</f>
        <v>Valid</v>
      </c>
      <c r="R4088" t="str">
        <f>IF(COUNTIF(Branches!$A$2:$A$11,F4088)&gt;0,"Valid","Invalid")</f>
        <v>Valid</v>
      </c>
    </row>
    <row r="4089" spans="1:18" x14ac:dyDescent="0.25">
      <c r="A4089" t="s">
        <v>6160</v>
      </c>
      <c r="B4089" t="s">
        <v>550</v>
      </c>
      <c r="C4089" s="8">
        <v>46120</v>
      </c>
      <c r="D4089" t="s">
        <v>2058</v>
      </c>
      <c r="E4089" t="s">
        <v>2063</v>
      </c>
      <c r="F4089" t="s">
        <v>16</v>
      </c>
      <c r="G4089">
        <v>758.1</v>
      </c>
      <c r="H4089" t="s">
        <v>2060</v>
      </c>
      <c r="I4089" t="str">
        <f>VLOOKUP(B4089,Customers!A:G,7,FALSE)</f>
        <v>Individual</v>
      </c>
      <c r="Q4089" t="str">
        <f>IF(COUNTIF(Customers!$A$2:$A$1001,B4089)&gt;0,"Valid","Invalid")</f>
        <v>Valid</v>
      </c>
      <c r="R4089" t="str">
        <f>IF(COUNTIF(Branches!$A$2:$A$11,F4089)&gt;0,"Valid","Invalid")</f>
        <v>Valid</v>
      </c>
    </row>
    <row r="4090" spans="1:18" x14ac:dyDescent="0.25">
      <c r="A4090" t="s">
        <v>6161</v>
      </c>
      <c r="B4090" t="s">
        <v>892</v>
      </c>
      <c r="C4090" s="8">
        <v>46134</v>
      </c>
      <c r="D4090" t="s">
        <v>2070</v>
      </c>
      <c r="E4090" t="s">
        <v>2063</v>
      </c>
      <c r="F4090" t="s">
        <v>16</v>
      </c>
      <c r="G4090">
        <v>358.29</v>
      </c>
      <c r="H4090" t="s">
        <v>2060</v>
      </c>
      <c r="I4090" t="str">
        <f>VLOOKUP(B4090,Customers!A:G,7,FALSE)</f>
        <v>Individual</v>
      </c>
      <c r="Q4090" t="str">
        <f>IF(COUNTIF(Customers!$A$2:$A$1001,B4090)&gt;0,"Valid","Invalid")</f>
        <v>Valid</v>
      </c>
      <c r="R4090" t="str">
        <f>IF(COUNTIF(Branches!$A$2:$A$11,F4090)&gt;0,"Valid","Invalid")</f>
        <v>Valid</v>
      </c>
    </row>
    <row r="4091" spans="1:18" x14ac:dyDescent="0.25">
      <c r="A4091" t="s">
        <v>6162</v>
      </c>
      <c r="B4091" t="s">
        <v>764</v>
      </c>
      <c r="C4091" s="8">
        <v>46248</v>
      </c>
      <c r="D4091" t="s">
        <v>2058</v>
      </c>
      <c r="E4091" t="s">
        <v>2063</v>
      </c>
      <c r="F4091" t="s">
        <v>21</v>
      </c>
      <c r="G4091">
        <v>1059.04</v>
      </c>
      <c r="H4091" t="s">
        <v>2060</v>
      </c>
      <c r="I4091" t="str">
        <f>VLOOKUP(B4091,Customers!A:G,7,FALSE)</f>
        <v>Individual</v>
      </c>
      <c r="Q4091" t="str">
        <f>IF(COUNTIF(Customers!$A$2:$A$1001,B4091)&gt;0,"Valid","Invalid")</f>
        <v>Valid</v>
      </c>
      <c r="R4091" t="str">
        <f>IF(COUNTIF(Branches!$A$2:$A$11,F4091)&gt;0,"Valid","Invalid")</f>
        <v>Valid</v>
      </c>
    </row>
    <row r="4092" spans="1:18" x14ac:dyDescent="0.25">
      <c r="A4092" t="s">
        <v>6163</v>
      </c>
      <c r="B4092" t="s">
        <v>924</v>
      </c>
      <c r="C4092" s="8">
        <v>46265</v>
      </c>
      <c r="D4092" t="s">
        <v>2070</v>
      </c>
      <c r="E4092" t="s">
        <v>2073</v>
      </c>
      <c r="F4092" t="s">
        <v>47</v>
      </c>
      <c r="G4092">
        <v>2273.61</v>
      </c>
      <c r="H4092" t="s">
        <v>2060</v>
      </c>
      <c r="I4092" t="str">
        <f>VLOOKUP(B4092,Customers!A:G,7,FALSE)</f>
        <v>Individual</v>
      </c>
      <c r="Q4092" t="str">
        <f>IF(COUNTIF(Customers!$A$2:$A$1001,B4092)&gt;0,"Valid","Invalid")</f>
        <v>Valid</v>
      </c>
      <c r="R4092" t="str">
        <f>IF(COUNTIF(Branches!$A$2:$A$11,F4092)&gt;0,"Valid","Invalid")</f>
        <v>Valid</v>
      </c>
    </row>
    <row r="4093" spans="1:18" x14ac:dyDescent="0.25">
      <c r="A4093" t="s">
        <v>6164</v>
      </c>
      <c r="B4093" t="s">
        <v>614</v>
      </c>
      <c r="C4093" s="8">
        <v>46252</v>
      </c>
      <c r="D4093" t="s">
        <v>2065</v>
      </c>
      <c r="E4093" t="s">
        <v>2073</v>
      </c>
      <c r="F4093" t="s">
        <v>29</v>
      </c>
      <c r="G4093">
        <v>171.97</v>
      </c>
      <c r="H4093" t="s">
        <v>2060</v>
      </c>
      <c r="I4093" t="str">
        <f>VLOOKUP(B4093,Customers!A:G,7,FALSE)</f>
        <v>Individual</v>
      </c>
      <c r="Q4093" t="str">
        <f>IF(COUNTIF(Customers!$A$2:$A$1001,B4093)&gt;0,"Valid","Invalid")</f>
        <v>Valid</v>
      </c>
      <c r="R4093" t="str">
        <f>IF(COUNTIF(Branches!$A$2:$A$11,F4093)&gt;0,"Valid","Invalid")</f>
        <v>Valid</v>
      </c>
    </row>
    <row r="4094" spans="1:18" x14ac:dyDescent="0.25">
      <c r="A4094" t="s">
        <v>6165</v>
      </c>
      <c r="B4094" t="s">
        <v>562</v>
      </c>
      <c r="C4094" s="8">
        <v>46023</v>
      </c>
      <c r="D4094" t="s">
        <v>2065</v>
      </c>
      <c r="E4094" t="s">
        <v>2059</v>
      </c>
      <c r="F4094" t="s">
        <v>27</v>
      </c>
      <c r="G4094">
        <v>1638.59</v>
      </c>
      <c r="H4094" t="s">
        <v>2060</v>
      </c>
      <c r="I4094" t="str">
        <f>VLOOKUP(B4094,Customers!A:G,7,FALSE)</f>
        <v>Individual</v>
      </c>
      <c r="Q4094" t="str">
        <f>IF(COUNTIF(Customers!$A$2:$A$1001,B4094)&gt;0,"Valid","Invalid")</f>
        <v>Valid</v>
      </c>
      <c r="R4094" t="str">
        <f>IF(COUNTIF(Branches!$A$2:$A$11,F4094)&gt;0,"Valid","Invalid")</f>
        <v>Valid</v>
      </c>
    </row>
    <row r="4095" spans="1:18" x14ac:dyDescent="0.25">
      <c r="A4095" t="s">
        <v>6166</v>
      </c>
      <c r="B4095" t="s">
        <v>760</v>
      </c>
      <c r="C4095" s="8">
        <v>46065</v>
      </c>
      <c r="D4095" t="s">
        <v>2067</v>
      </c>
      <c r="E4095" t="s">
        <v>2059</v>
      </c>
      <c r="F4095" t="s">
        <v>11</v>
      </c>
      <c r="G4095">
        <v>802.57</v>
      </c>
      <c r="H4095" t="s">
        <v>2060</v>
      </c>
      <c r="I4095" t="str">
        <f>VLOOKUP(B4095,Customers!A:G,7,FALSE)</f>
        <v>Individual</v>
      </c>
      <c r="Q4095" t="str">
        <f>IF(COUNTIF(Customers!$A$2:$A$1001,B4095)&gt;0,"Valid","Invalid")</f>
        <v>Valid</v>
      </c>
      <c r="R4095" t="str">
        <f>IF(COUNTIF(Branches!$A$2:$A$11,F4095)&gt;0,"Valid","Invalid")</f>
        <v>Valid</v>
      </c>
    </row>
    <row r="4096" spans="1:18" x14ac:dyDescent="0.25">
      <c r="A4096" t="s">
        <v>6167</v>
      </c>
      <c r="B4096" t="s">
        <v>350</v>
      </c>
      <c r="C4096" s="8">
        <v>46264</v>
      </c>
      <c r="D4096" t="s">
        <v>2067</v>
      </c>
      <c r="E4096" t="s">
        <v>2063</v>
      </c>
      <c r="F4096" t="s">
        <v>45</v>
      </c>
      <c r="G4096">
        <v>1446.71</v>
      </c>
      <c r="H4096" t="s">
        <v>2060</v>
      </c>
      <c r="I4096" t="str">
        <f>VLOOKUP(B4096,Customers!A:G,7,FALSE)</f>
        <v>Corporate</v>
      </c>
      <c r="Q4096" t="str">
        <f>IF(COUNTIF(Customers!$A$2:$A$1001,B4096)&gt;0,"Valid","Invalid")</f>
        <v>Valid</v>
      </c>
      <c r="R4096" t="str">
        <f>IF(COUNTIF(Branches!$A$2:$A$11,F4096)&gt;0,"Valid","Invalid")</f>
        <v>Valid</v>
      </c>
    </row>
    <row r="4097" spans="1:18" x14ac:dyDescent="0.25">
      <c r="A4097" t="s">
        <v>6168</v>
      </c>
      <c r="B4097" t="s">
        <v>210</v>
      </c>
      <c r="C4097" s="8">
        <v>46064</v>
      </c>
      <c r="D4097" t="s">
        <v>2062</v>
      </c>
      <c r="E4097" t="s">
        <v>2063</v>
      </c>
      <c r="F4097" t="s">
        <v>21</v>
      </c>
      <c r="G4097">
        <v>821.37</v>
      </c>
      <c r="H4097" t="s">
        <v>2060</v>
      </c>
      <c r="I4097" t="str">
        <f>VLOOKUP(B4097,Customers!A:G,7,FALSE)</f>
        <v>SME</v>
      </c>
      <c r="Q4097" t="str">
        <f>IF(COUNTIF(Customers!$A$2:$A$1001,B4097)&gt;0,"Valid","Invalid")</f>
        <v>Valid</v>
      </c>
      <c r="R4097" t="str">
        <f>IF(COUNTIF(Branches!$A$2:$A$11,F4097)&gt;0,"Valid","Invalid")</f>
        <v>Valid</v>
      </c>
    </row>
    <row r="4098" spans="1:18" x14ac:dyDescent="0.25">
      <c r="A4098" t="s">
        <v>6169</v>
      </c>
      <c r="B4098" t="s">
        <v>469</v>
      </c>
      <c r="C4098" s="8">
        <v>46117</v>
      </c>
      <c r="D4098" t="s">
        <v>2065</v>
      </c>
      <c r="E4098" t="s">
        <v>2068</v>
      </c>
      <c r="F4098" t="s">
        <v>47</v>
      </c>
      <c r="G4098">
        <v>458.58</v>
      </c>
      <c r="H4098" t="s">
        <v>2060</v>
      </c>
      <c r="I4098" t="str">
        <f>VLOOKUP(B4098,Customers!A:G,7,FALSE)</f>
        <v>Individual</v>
      </c>
      <c r="Q4098" t="str">
        <f>IF(COUNTIF(Customers!$A$2:$A$1001,B4098)&gt;0,"Valid","Invalid")</f>
        <v>Valid</v>
      </c>
      <c r="R4098" t="str">
        <f>IF(COUNTIF(Branches!$A$2:$A$11,F4098)&gt;0,"Valid","Invalid")</f>
        <v>Valid</v>
      </c>
    </row>
    <row r="4099" spans="1:18" x14ac:dyDescent="0.25">
      <c r="A4099" t="s">
        <v>6170</v>
      </c>
      <c r="B4099" t="s">
        <v>806</v>
      </c>
      <c r="C4099" s="8">
        <v>46200</v>
      </c>
      <c r="D4099" t="s">
        <v>2070</v>
      </c>
      <c r="E4099" t="s">
        <v>2063</v>
      </c>
      <c r="F4099" t="s">
        <v>29</v>
      </c>
      <c r="G4099">
        <v>266.89999999999998</v>
      </c>
      <c r="H4099" t="s">
        <v>2060</v>
      </c>
      <c r="I4099" t="str">
        <f>VLOOKUP(B4099,Customers!A:G,7,FALSE)</f>
        <v>Student</v>
      </c>
      <c r="Q4099" t="str">
        <f>IF(COUNTIF(Customers!$A$2:$A$1001,B4099)&gt;0,"Valid","Invalid")</f>
        <v>Valid</v>
      </c>
      <c r="R4099" t="str">
        <f>IF(COUNTIF(Branches!$A$2:$A$11,F4099)&gt;0,"Valid","Invalid")</f>
        <v>Valid</v>
      </c>
    </row>
    <row r="4100" spans="1:18" x14ac:dyDescent="0.25">
      <c r="A4100" t="s">
        <v>6171</v>
      </c>
      <c r="B4100" t="s">
        <v>501</v>
      </c>
      <c r="C4100" s="8">
        <v>46210</v>
      </c>
      <c r="D4100" t="s">
        <v>2067</v>
      </c>
      <c r="E4100" t="s">
        <v>2059</v>
      </c>
      <c r="F4100" t="s">
        <v>47</v>
      </c>
      <c r="G4100">
        <v>1591.84</v>
      </c>
      <c r="H4100" t="s">
        <v>2060</v>
      </c>
      <c r="I4100" t="str">
        <f>VLOOKUP(B4100,Customers!A:G,7,FALSE)</f>
        <v>Individual</v>
      </c>
      <c r="Q4100" t="str">
        <f>IF(COUNTIF(Customers!$A$2:$A$1001,B4100)&gt;0,"Valid","Invalid")</f>
        <v>Valid</v>
      </c>
      <c r="R4100" t="str">
        <f>IF(COUNTIF(Branches!$A$2:$A$11,F4100)&gt;0,"Valid","Invalid")</f>
        <v>Valid</v>
      </c>
    </row>
    <row r="4101" spans="1:18" x14ac:dyDescent="0.25">
      <c r="A4101" t="s">
        <v>6172</v>
      </c>
      <c r="B4101" t="s">
        <v>137</v>
      </c>
      <c r="C4101" s="8">
        <v>46151</v>
      </c>
      <c r="D4101" t="s">
        <v>2067</v>
      </c>
      <c r="E4101" t="s">
        <v>2076</v>
      </c>
      <c r="F4101" t="s">
        <v>27</v>
      </c>
      <c r="G4101">
        <v>1583.31</v>
      </c>
      <c r="H4101" t="s">
        <v>2060</v>
      </c>
      <c r="I4101" t="str">
        <f>VLOOKUP(B4101,Customers!A:G,7,FALSE)</f>
        <v>Individual</v>
      </c>
      <c r="Q4101" t="str">
        <f>IF(COUNTIF(Customers!$A$2:$A$1001,B4101)&gt;0,"Valid","Invalid")</f>
        <v>Valid</v>
      </c>
      <c r="R4101" t="str">
        <f>IF(COUNTIF(Branches!$A$2:$A$11,F4101)&gt;0,"Valid","Invalid")</f>
        <v>Valid</v>
      </c>
    </row>
    <row r="4102" spans="1:18" x14ac:dyDescent="0.25">
      <c r="A4102" t="s">
        <v>6173</v>
      </c>
      <c r="B4102" t="s">
        <v>49</v>
      </c>
      <c r="C4102" s="8">
        <v>46073</v>
      </c>
      <c r="D4102" t="s">
        <v>2065</v>
      </c>
      <c r="E4102" t="s">
        <v>2063</v>
      </c>
      <c r="F4102" t="s">
        <v>29</v>
      </c>
      <c r="G4102">
        <v>1575.41</v>
      </c>
      <c r="H4102" t="s">
        <v>2060</v>
      </c>
      <c r="I4102" t="str">
        <f>VLOOKUP(B4102,Customers!A:G,7,FALSE)</f>
        <v>Individual</v>
      </c>
      <c r="Q4102" t="str">
        <f>IF(COUNTIF(Customers!$A$2:$A$1001,B4102)&gt;0,"Valid","Invalid")</f>
        <v>Valid</v>
      </c>
      <c r="R4102" t="str">
        <f>IF(COUNTIF(Branches!$A$2:$A$11,F4102)&gt;0,"Valid","Invalid")</f>
        <v>Valid</v>
      </c>
    </row>
    <row r="4103" spans="1:18" x14ac:dyDescent="0.25">
      <c r="A4103" t="s">
        <v>6174</v>
      </c>
      <c r="B4103" t="s">
        <v>747</v>
      </c>
      <c r="C4103" s="8">
        <v>46166</v>
      </c>
      <c r="D4103" t="s">
        <v>2058</v>
      </c>
      <c r="E4103" t="s">
        <v>2059</v>
      </c>
      <c r="F4103" t="s">
        <v>39</v>
      </c>
      <c r="G4103">
        <v>1245.8800000000001</v>
      </c>
      <c r="H4103" t="s">
        <v>2060</v>
      </c>
      <c r="I4103" t="str">
        <f>VLOOKUP(B4103,Customers!A:G,7,FALSE)</f>
        <v>SME</v>
      </c>
      <c r="Q4103" t="str">
        <f>IF(COUNTIF(Customers!$A$2:$A$1001,B4103)&gt;0,"Valid","Invalid")</f>
        <v>Valid</v>
      </c>
      <c r="R4103" t="str">
        <f>IF(COUNTIF(Branches!$A$2:$A$11,F4103)&gt;0,"Valid","Invalid")</f>
        <v>Valid</v>
      </c>
    </row>
    <row r="4104" spans="1:18" x14ac:dyDescent="0.25">
      <c r="A4104" t="s">
        <v>6175</v>
      </c>
      <c r="B4104" t="s">
        <v>296</v>
      </c>
      <c r="C4104" s="8">
        <v>46189</v>
      </c>
      <c r="D4104" t="s">
        <v>2065</v>
      </c>
      <c r="E4104" t="s">
        <v>2059</v>
      </c>
      <c r="F4104" t="s">
        <v>39</v>
      </c>
      <c r="G4104">
        <v>2089.54</v>
      </c>
      <c r="H4104" t="s">
        <v>2060</v>
      </c>
      <c r="I4104" t="str">
        <f>VLOOKUP(B4104,Customers!A:G,7,FALSE)</f>
        <v>Individual</v>
      </c>
      <c r="Q4104" t="str">
        <f>IF(COUNTIF(Customers!$A$2:$A$1001,B4104)&gt;0,"Valid","Invalid")</f>
        <v>Valid</v>
      </c>
      <c r="R4104" t="str">
        <f>IF(COUNTIF(Branches!$A$2:$A$11,F4104)&gt;0,"Valid","Invalid")</f>
        <v>Valid</v>
      </c>
    </row>
    <row r="4105" spans="1:18" x14ac:dyDescent="0.25">
      <c r="A4105" t="s">
        <v>6176</v>
      </c>
      <c r="B4105" t="s">
        <v>934</v>
      </c>
      <c r="C4105" s="8">
        <v>46037</v>
      </c>
      <c r="D4105" t="s">
        <v>2065</v>
      </c>
      <c r="E4105" t="s">
        <v>2076</v>
      </c>
      <c r="F4105" t="s">
        <v>47</v>
      </c>
      <c r="G4105">
        <v>3314.52</v>
      </c>
      <c r="H4105" t="s">
        <v>2060</v>
      </c>
      <c r="I4105" t="str">
        <f>VLOOKUP(B4105,Customers!A:G,7,FALSE)</f>
        <v>Individual</v>
      </c>
      <c r="Q4105" t="str">
        <f>IF(COUNTIF(Customers!$A$2:$A$1001,B4105)&gt;0,"Valid","Invalid")</f>
        <v>Valid</v>
      </c>
      <c r="R4105" t="str">
        <f>IF(COUNTIF(Branches!$A$2:$A$11,F4105)&gt;0,"Valid","Invalid")</f>
        <v>Valid</v>
      </c>
    </row>
    <row r="4106" spans="1:18" x14ac:dyDescent="0.25">
      <c r="A4106" t="s">
        <v>6177</v>
      </c>
      <c r="B4106" t="s">
        <v>282</v>
      </c>
      <c r="C4106" s="8">
        <v>46147</v>
      </c>
      <c r="D4106" t="s">
        <v>2062</v>
      </c>
      <c r="E4106" t="s">
        <v>2063</v>
      </c>
      <c r="F4106" t="s">
        <v>27</v>
      </c>
      <c r="G4106">
        <v>124.41</v>
      </c>
      <c r="H4106" t="s">
        <v>2060</v>
      </c>
      <c r="I4106" t="str">
        <f>VLOOKUP(B4106,Customers!A:G,7,FALSE)</f>
        <v>SME</v>
      </c>
      <c r="Q4106" t="str">
        <f>IF(COUNTIF(Customers!$A$2:$A$1001,B4106)&gt;0,"Valid","Invalid")</f>
        <v>Valid</v>
      </c>
      <c r="R4106" t="str">
        <f>IF(COUNTIF(Branches!$A$2:$A$11,F4106)&gt;0,"Valid","Invalid")</f>
        <v>Valid</v>
      </c>
    </row>
    <row r="4107" spans="1:18" x14ac:dyDescent="0.25">
      <c r="A4107" t="s">
        <v>6178</v>
      </c>
      <c r="B4107" t="s">
        <v>386</v>
      </c>
      <c r="C4107" s="8">
        <v>46183</v>
      </c>
      <c r="D4107" t="s">
        <v>2065</v>
      </c>
      <c r="E4107" t="s">
        <v>2063</v>
      </c>
      <c r="F4107" t="s">
        <v>27</v>
      </c>
      <c r="G4107">
        <v>78.12</v>
      </c>
      <c r="H4107" t="s">
        <v>2060</v>
      </c>
      <c r="I4107" t="str">
        <f>VLOOKUP(B4107,Customers!A:G,7,FALSE)</f>
        <v>SME</v>
      </c>
      <c r="Q4107" t="str">
        <f>IF(COUNTIF(Customers!$A$2:$A$1001,B4107)&gt;0,"Valid","Invalid")</f>
        <v>Valid</v>
      </c>
      <c r="R4107" t="str">
        <f>IF(COUNTIF(Branches!$A$2:$A$11,F4107)&gt;0,"Valid","Invalid")</f>
        <v>Valid</v>
      </c>
    </row>
    <row r="4108" spans="1:18" x14ac:dyDescent="0.25">
      <c r="A4108" t="s">
        <v>6179</v>
      </c>
      <c r="B4108" t="s">
        <v>287</v>
      </c>
      <c r="C4108" s="8">
        <v>46109</v>
      </c>
      <c r="D4108" t="s">
        <v>2065</v>
      </c>
      <c r="E4108" t="s">
        <v>2059</v>
      </c>
      <c r="F4108" t="s">
        <v>53</v>
      </c>
      <c r="G4108">
        <v>4527.6000000000004</v>
      </c>
      <c r="H4108" t="s">
        <v>2060</v>
      </c>
      <c r="I4108" t="str">
        <f>VLOOKUP(B4108,Customers!A:G,7,FALSE)</f>
        <v>Individual</v>
      </c>
      <c r="Q4108" t="str">
        <f>IF(COUNTIF(Customers!$A$2:$A$1001,B4108)&gt;0,"Valid","Invalid")</f>
        <v>Valid</v>
      </c>
      <c r="R4108" t="str">
        <f>IF(COUNTIF(Branches!$A$2:$A$11,F4108)&gt;0,"Valid","Invalid")</f>
        <v>Valid</v>
      </c>
    </row>
    <row r="4109" spans="1:18" x14ac:dyDescent="0.25">
      <c r="A4109" t="s">
        <v>6180</v>
      </c>
      <c r="B4109" t="s">
        <v>141</v>
      </c>
      <c r="C4109" s="8">
        <v>46075</v>
      </c>
      <c r="D4109" t="s">
        <v>2062</v>
      </c>
      <c r="E4109" t="s">
        <v>2073</v>
      </c>
      <c r="F4109" t="s">
        <v>16</v>
      </c>
      <c r="G4109">
        <v>212.5</v>
      </c>
      <c r="H4109" t="s">
        <v>2060</v>
      </c>
      <c r="I4109" t="str">
        <f>VLOOKUP(B4109,Customers!A:G,7,FALSE)</f>
        <v>Individual</v>
      </c>
      <c r="Q4109" t="str">
        <f>IF(COUNTIF(Customers!$A$2:$A$1001,B4109)&gt;0,"Valid","Invalid")</f>
        <v>Valid</v>
      </c>
      <c r="R4109" t="str">
        <f>IF(COUNTIF(Branches!$A$2:$A$11,F4109)&gt;0,"Valid","Invalid")</f>
        <v>Valid</v>
      </c>
    </row>
    <row r="4110" spans="1:18" x14ac:dyDescent="0.25">
      <c r="A4110" t="s">
        <v>6181</v>
      </c>
      <c r="B4110" t="s">
        <v>732</v>
      </c>
      <c r="C4110" s="8">
        <v>46255</v>
      </c>
      <c r="D4110" t="s">
        <v>2065</v>
      </c>
      <c r="E4110" t="s">
        <v>2063</v>
      </c>
      <c r="F4110" t="s">
        <v>29</v>
      </c>
      <c r="G4110">
        <v>274.17</v>
      </c>
      <c r="H4110" t="s">
        <v>2060</v>
      </c>
      <c r="I4110" t="str">
        <f>VLOOKUP(B4110,Customers!A:G,7,FALSE)</f>
        <v>SME</v>
      </c>
      <c r="Q4110" t="str">
        <f>IF(COUNTIF(Customers!$A$2:$A$1001,B4110)&gt;0,"Valid","Invalid")</f>
        <v>Valid</v>
      </c>
      <c r="R4110" t="str">
        <f>IF(COUNTIF(Branches!$A$2:$A$11,F4110)&gt;0,"Valid","Invalid")</f>
        <v>Valid</v>
      </c>
    </row>
    <row r="4111" spans="1:18" x14ac:dyDescent="0.25">
      <c r="A4111" t="s">
        <v>6182</v>
      </c>
      <c r="B4111" t="s">
        <v>705</v>
      </c>
      <c r="C4111" s="8">
        <v>46248</v>
      </c>
      <c r="D4111" t="s">
        <v>2067</v>
      </c>
      <c r="E4111" t="s">
        <v>2073</v>
      </c>
      <c r="F4111" t="s">
        <v>11</v>
      </c>
      <c r="G4111">
        <v>609.35</v>
      </c>
      <c r="H4111" t="s">
        <v>2060</v>
      </c>
      <c r="I4111" t="str">
        <f>VLOOKUP(B4111,Customers!A:G,7,FALSE)</f>
        <v>SME</v>
      </c>
      <c r="Q4111" t="str">
        <f>IF(COUNTIF(Customers!$A$2:$A$1001,B4111)&gt;0,"Valid","Invalid")</f>
        <v>Valid</v>
      </c>
      <c r="R4111" t="str">
        <f>IF(COUNTIF(Branches!$A$2:$A$11,F4111)&gt;0,"Valid","Invalid")</f>
        <v>Valid</v>
      </c>
    </row>
    <row r="4112" spans="1:18" x14ac:dyDescent="0.25">
      <c r="A4112" t="s">
        <v>6183</v>
      </c>
      <c r="B4112" t="s">
        <v>325</v>
      </c>
      <c r="C4112" s="8">
        <v>46167</v>
      </c>
      <c r="D4112" t="s">
        <v>2065</v>
      </c>
      <c r="E4112" t="s">
        <v>2076</v>
      </c>
      <c r="F4112" t="s">
        <v>35</v>
      </c>
      <c r="G4112">
        <v>155.4</v>
      </c>
      <c r="H4112" t="s">
        <v>2060</v>
      </c>
      <c r="I4112" t="str">
        <f>VLOOKUP(B4112,Customers!A:G,7,FALSE)</f>
        <v>Corporate</v>
      </c>
      <c r="Q4112" t="str">
        <f>IF(COUNTIF(Customers!$A$2:$A$1001,B4112)&gt;0,"Valid","Invalid")</f>
        <v>Valid</v>
      </c>
      <c r="R4112" t="str">
        <f>IF(COUNTIF(Branches!$A$2:$A$11,F4112)&gt;0,"Valid","Invalid")</f>
        <v>Valid</v>
      </c>
    </row>
    <row r="4113" spans="1:18" x14ac:dyDescent="0.25">
      <c r="A4113" t="s">
        <v>6184</v>
      </c>
      <c r="B4113" t="s">
        <v>205</v>
      </c>
      <c r="C4113" s="8">
        <v>46111</v>
      </c>
      <c r="D4113" t="s">
        <v>2067</v>
      </c>
      <c r="E4113" t="s">
        <v>2068</v>
      </c>
      <c r="F4113" t="s">
        <v>11</v>
      </c>
      <c r="G4113">
        <v>554.69000000000005</v>
      </c>
      <c r="H4113" t="s">
        <v>2060</v>
      </c>
      <c r="I4113" t="str">
        <f>VLOOKUP(B4113,Customers!A:G,7,FALSE)</f>
        <v>SME</v>
      </c>
      <c r="Q4113" t="str">
        <f>IF(COUNTIF(Customers!$A$2:$A$1001,B4113)&gt;0,"Valid","Invalid")</f>
        <v>Valid</v>
      </c>
      <c r="R4113" t="str">
        <f>IF(COUNTIF(Branches!$A$2:$A$11,F4113)&gt;0,"Valid","Invalid")</f>
        <v>Valid</v>
      </c>
    </row>
    <row r="4114" spans="1:18" x14ac:dyDescent="0.25">
      <c r="A4114" t="s">
        <v>6185</v>
      </c>
      <c r="B4114" t="s">
        <v>458</v>
      </c>
      <c r="C4114" s="8">
        <v>46128</v>
      </c>
      <c r="D4114" t="s">
        <v>2058</v>
      </c>
      <c r="E4114" t="s">
        <v>2063</v>
      </c>
      <c r="F4114" t="s">
        <v>53</v>
      </c>
      <c r="G4114">
        <v>314.79000000000002</v>
      </c>
      <c r="H4114" t="s">
        <v>2060</v>
      </c>
      <c r="I4114" t="str">
        <f>VLOOKUP(B4114,Customers!A:G,7,FALSE)</f>
        <v>Individual</v>
      </c>
      <c r="Q4114" t="str">
        <f>IF(COUNTIF(Customers!$A$2:$A$1001,B4114)&gt;0,"Valid","Invalid")</f>
        <v>Valid</v>
      </c>
      <c r="R4114" t="str">
        <f>IF(COUNTIF(Branches!$A$2:$A$11,F4114)&gt;0,"Valid","Invalid")</f>
        <v>Valid</v>
      </c>
    </row>
    <row r="4115" spans="1:18" x14ac:dyDescent="0.25">
      <c r="A4115" t="s">
        <v>6186</v>
      </c>
      <c r="B4115" t="s">
        <v>83</v>
      </c>
      <c r="C4115" s="8">
        <v>46028</v>
      </c>
      <c r="D4115" t="s">
        <v>2065</v>
      </c>
      <c r="E4115" t="s">
        <v>2063</v>
      </c>
      <c r="F4115" t="s">
        <v>39</v>
      </c>
      <c r="G4115">
        <v>643.33000000000004</v>
      </c>
      <c r="H4115" t="s">
        <v>2060</v>
      </c>
      <c r="I4115" t="str">
        <f>VLOOKUP(B4115,Customers!A:G,7,FALSE)</f>
        <v>SME</v>
      </c>
      <c r="Q4115" t="str">
        <f>IF(COUNTIF(Customers!$A$2:$A$1001,B4115)&gt;0,"Valid","Invalid")</f>
        <v>Valid</v>
      </c>
      <c r="R4115" t="str">
        <f>IF(COUNTIF(Branches!$A$2:$A$11,F4115)&gt;0,"Valid","Invalid")</f>
        <v>Valid</v>
      </c>
    </row>
    <row r="4116" spans="1:18" x14ac:dyDescent="0.25">
      <c r="A4116" t="s">
        <v>6187</v>
      </c>
      <c r="B4116" t="s">
        <v>77</v>
      </c>
      <c r="C4116" s="8">
        <v>46053</v>
      </c>
      <c r="D4116" t="s">
        <v>2062</v>
      </c>
      <c r="E4116" t="s">
        <v>2063</v>
      </c>
      <c r="F4116" t="s">
        <v>39</v>
      </c>
      <c r="G4116">
        <v>1074.75</v>
      </c>
      <c r="H4116" t="s">
        <v>2060</v>
      </c>
      <c r="I4116" t="str">
        <f>VLOOKUP(B4116,Customers!A:G,7,FALSE)</f>
        <v>Corporate</v>
      </c>
      <c r="Q4116" t="str">
        <f>IF(COUNTIF(Customers!$A$2:$A$1001,B4116)&gt;0,"Valid","Invalid")</f>
        <v>Valid</v>
      </c>
      <c r="R4116" t="str">
        <f>IF(COUNTIF(Branches!$A$2:$A$11,F4116)&gt;0,"Valid","Invalid")</f>
        <v>Valid</v>
      </c>
    </row>
    <row r="4117" spans="1:18" x14ac:dyDescent="0.25">
      <c r="A4117" t="s">
        <v>6188</v>
      </c>
      <c r="B4117" t="s">
        <v>359</v>
      </c>
      <c r="C4117" s="8">
        <v>46219</v>
      </c>
      <c r="D4117" t="s">
        <v>2062</v>
      </c>
      <c r="E4117" t="s">
        <v>2059</v>
      </c>
      <c r="F4117" t="s">
        <v>29</v>
      </c>
      <c r="G4117">
        <v>576.20000000000005</v>
      </c>
      <c r="H4117" t="s">
        <v>2060</v>
      </c>
      <c r="I4117" t="str">
        <f>VLOOKUP(B4117,Customers!A:G,7,FALSE)</f>
        <v>SME</v>
      </c>
      <c r="Q4117" t="str">
        <f>IF(COUNTIF(Customers!$A$2:$A$1001,B4117)&gt;0,"Valid","Invalid")</f>
        <v>Valid</v>
      </c>
      <c r="R4117" t="str">
        <f>IF(COUNTIF(Branches!$A$2:$A$11,F4117)&gt;0,"Valid","Invalid")</f>
        <v>Valid</v>
      </c>
    </row>
    <row r="4118" spans="1:18" x14ac:dyDescent="0.25">
      <c r="A4118" t="s">
        <v>6189</v>
      </c>
      <c r="B4118" t="s">
        <v>856</v>
      </c>
      <c r="C4118" s="8">
        <v>46254</v>
      </c>
      <c r="D4118" t="s">
        <v>2065</v>
      </c>
      <c r="E4118" t="s">
        <v>2073</v>
      </c>
      <c r="F4118" t="s">
        <v>53</v>
      </c>
      <c r="G4118">
        <v>547.82000000000005</v>
      </c>
      <c r="H4118" t="s">
        <v>2060</v>
      </c>
      <c r="I4118" t="str">
        <f>VLOOKUP(B4118,Customers!A:G,7,FALSE)</f>
        <v>Individual</v>
      </c>
      <c r="Q4118" t="str">
        <f>IF(COUNTIF(Customers!$A$2:$A$1001,B4118)&gt;0,"Valid","Invalid")</f>
        <v>Valid</v>
      </c>
      <c r="R4118" t="str">
        <f>IF(COUNTIF(Branches!$A$2:$A$11,F4118)&gt;0,"Valid","Invalid")</f>
        <v>Valid</v>
      </c>
    </row>
    <row r="4119" spans="1:18" x14ac:dyDescent="0.25">
      <c r="A4119" t="s">
        <v>6190</v>
      </c>
      <c r="B4119" t="s">
        <v>258</v>
      </c>
      <c r="C4119" s="8">
        <v>46062</v>
      </c>
      <c r="D4119" t="s">
        <v>2070</v>
      </c>
      <c r="E4119" t="s">
        <v>2063</v>
      </c>
      <c r="F4119" t="s">
        <v>11</v>
      </c>
      <c r="G4119">
        <v>1051.52</v>
      </c>
      <c r="H4119" t="s">
        <v>2060</v>
      </c>
      <c r="I4119" t="str">
        <f>VLOOKUP(B4119,Customers!A:G,7,FALSE)</f>
        <v>SME</v>
      </c>
      <c r="Q4119" t="str">
        <f>IF(COUNTIF(Customers!$A$2:$A$1001,B4119)&gt;0,"Valid","Invalid")</f>
        <v>Valid</v>
      </c>
      <c r="R4119" t="str">
        <f>IF(COUNTIF(Branches!$A$2:$A$11,F4119)&gt;0,"Valid","Invalid")</f>
        <v>Valid</v>
      </c>
    </row>
    <row r="4120" spans="1:18" x14ac:dyDescent="0.25">
      <c r="A4120" t="s">
        <v>6191</v>
      </c>
      <c r="B4120" t="s">
        <v>551</v>
      </c>
      <c r="C4120" s="8">
        <v>46180</v>
      </c>
      <c r="D4120" t="s">
        <v>2067</v>
      </c>
      <c r="E4120" t="s">
        <v>2059</v>
      </c>
      <c r="F4120" t="s">
        <v>39</v>
      </c>
      <c r="G4120">
        <v>2308.36</v>
      </c>
      <c r="H4120" t="s">
        <v>2060</v>
      </c>
      <c r="I4120" t="str">
        <f>VLOOKUP(B4120,Customers!A:G,7,FALSE)</f>
        <v>Student</v>
      </c>
      <c r="Q4120" t="str">
        <f>IF(COUNTIF(Customers!$A$2:$A$1001,B4120)&gt;0,"Valid","Invalid")</f>
        <v>Valid</v>
      </c>
      <c r="R4120" t="str">
        <f>IF(COUNTIF(Branches!$A$2:$A$11,F4120)&gt;0,"Valid","Invalid")</f>
        <v>Valid</v>
      </c>
    </row>
    <row r="4121" spans="1:18" x14ac:dyDescent="0.25">
      <c r="A4121" t="s">
        <v>6192</v>
      </c>
      <c r="B4121" t="s">
        <v>750</v>
      </c>
      <c r="C4121" s="8">
        <v>46091</v>
      </c>
      <c r="D4121" t="s">
        <v>2065</v>
      </c>
      <c r="E4121" t="s">
        <v>2063</v>
      </c>
      <c r="F4121" t="s">
        <v>27</v>
      </c>
      <c r="G4121">
        <v>4035.82</v>
      </c>
      <c r="H4121" t="s">
        <v>2060</v>
      </c>
      <c r="I4121" t="str">
        <f>VLOOKUP(B4121,Customers!A:G,7,FALSE)</f>
        <v>Individual</v>
      </c>
      <c r="Q4121" t="str">
        <f>IF(COUNTIF(Customers!$A$2:$A$1001,B4121)&gt;0,"Valid","Invalid")</f>
        <v>Valid</v>
      </c>
      <c r="R4121" t="str">
        <f>IF(COUNTIF(Branches!$A$2:$A$11,F4121)&gt;0,"Valid","Invalid")</f>
        <v>Valid</v>
      </c>
    </row>
    <row r="4122" spans="1:18" x14ac:dyDescent="0.25">
      <c r="A4122" t="s">
        <v>6193</v>
      </c>
      <c r="B4122" t="s">
        <v>479</v>
      </c>
      <c r="C4122" s="8">
        <v>46226</v>
      </c>
      <c r="D4122" t="s">
        <v>2065</v>
      </c>
      <c r="E4122" t="s">
        <v>2076</v>
      </c>
      <c r="F4122" t="s">
        <v>39</v>
      </c>
      <c r="G4122">
        <v>652.91999999999996</v>
      </c>
      <c r="H4122" t="s">
        <v>2060</v>
      </c>
      <c r="I4122" t="str">
        <f>VLOOKUP(B4122,Customers!A:G,7,FALSE)</f>
        <v>Individual</v>
      </c>
      <c r="Q4122" t="str">
        <f>IF(COUNTIF(Customers!$A$2:$A$1001,B4122)&gt;0,"Valid","Invalid")</f>
        <v>Valid</v>
      </c>
      <c r="R4122" t="str">
        <f>IF(COUNTIF(Branches!$A$2:$A$11,F4122)&gt;0,"Valid","Invalid")</f>
        <v>Valid</v>
      </c>
    </row>
    <row r="4123" spans="1:18" x14ac:dyDescent="0.25">
      <c r="A4123" t="s">
        <v>6194</v>
      </c>
      <c r="B4123" t="s">
        <v>180</v>
      </c>
      <c r="C4123" s="8">
        <v>46157</v>
      </c>
      <c r="D4123" t="s">
        <v>2067</v>
      </c>
      <c r="E4123" t="s">
        <v>2063</v>
      </c>
      <c r="F4123" t="s">
        <v>39</v>
      </c>
      <c r="G4123">
        <v>5038.63</v>
      </c>
      <c r="H4123" t="s">
        <v>2115</v>
      </c>
      <c r="I4123" t="str">
        <f>VLOOKUP(B4123,Customers!A:G,7,FALSE)</f>
        <v>Individual</v>
      </c>
      <c r="Q4123" t="str">
        <f>IF(COUNTIF(Customers!$A$2:$A$1001,B4123)&gt;0,"Valid","Invalid")</f>
        <v>Valid</v>
      </c>
      <c r="R4123" t="str">
        <f>IF(COUNTIF(Branches!$A$2:$A$11,F4123)&gt;0,"Valid","Invalid")</f>
        <v>Valid</v>
      </c>
    </row>
    <row r="4124" spans="1:18" x14ac:dyDescent="0.25">
      <c r="A4124" t="s">
        <v>6195</v>
      </c>
      <c r="B4124" t="s">
        <v>928</v>
      </c>
      <c r="C4124" s="8">
        <v>46259</v>
      </c>
      <c r="D4124" t="s">
        <v>2058</v>
      </c>
      <c r="E4124" t="s">
        <v>2063</v>
      </c>
      <c r="F4124" t="s">
        <v>47</v>
      </c>
      <c r="G4124">
        <v>1952.19</v>
      </c>
      <c r="H4124" t="s">
        <v>2060</v>
      </c>
      <c r="I4124" t="str">
        <f>VLOOKUP(B4124,Customers!A:G,7,FALSE)</f>
        <v>SME</v>
      </c>
      <c r="Q4124" t="str">
        <f>IF(COUNTIF(Customers!$A$2:$A$1001,B4124)&gt;0,"Valid","Invalid")</f>
        <v>Valid</v>
      </c>
      <c r="R4124" t="str">
        <f>IF(COUNTIF(Branches!$A$2:$A$11,F4124)&gt;0,"Valid","Invalid")</f>
        <v>Valid</v>
      </c>
    </row>
    <row r="4125" spans="1:18" x14ac:dyDescent="0.25">
      <c r="A4125" t="s">
        <v>6196</v>
      </c>
      <c r="B4125" t="s">
        <v>62</v>
      </c>
      <c r="C4125" s="8">
        <v>46035</v>
      </c>
      <c r="D4125" t="s">
        <v>2067</v>
      </c>
      <c r="E4125" t="s">
        <v>2063</v>
      </c>
      <c r="F4125" t="s">
        <v>47</v>
      </c>
      <c r="G4125">
        <v>236.98</v>
      </c>
      <c r="H4125" t="s">
        <v>2060</v>
      </c>
      <c r="I4125" t="str">
        <f>VLOOKUP(B4125,Customers!A:G,7,FALSE)</f>
        <v>Individual</v>
      </c>
      <c r="Q4125" t="str">
        <f>IF(COUNTIF(Customers!$A$2:$A$1001,B4125)&gt;0,"Valid","Invalid")</f>
        <v>Valid</v>
      </c>
      <c r="R4125" t="str">
        <f>IF(COUNTIF(Branches!$A$2:$A$11,F4125)&gt;0,"Valid","Invalid")</f>
        <v>Valid</v>
      </c>
    </row>
    <row r="4126" spans="1:18" x14ac:dyDescent="0.25">
      <c r="A4126" t="s">
        <v>6197</v>
      </c>
      <c r="B4126" t="s">
        <v>892</v>
      </c>
      <c r="C4126" s="8">
        <v>46263</v>
      </c>
      <c r="D4126" t="s">
        <v>2062</v>
      </c>
      <c r="E4126" t="s">
        <v>2068</v>
      </c>
      <c r="F4126" t="s">
        <v>11</v>
      </c>
      <c r="G4126">
        <v>230.16</v>
      </c>
      <c r="H4126" t="s">
        <v>2060</v>
      </c>
      <c r="I4126" t="str">
        <f>VLOOKUP(B4126,Customers!A:G,7,FALSE)</f>
        <v>Individual</v>
      </c>
      <c r="Q4126" t="str">
        <f>IF(COUNTIF(Customers!$A$2:$A$1001,B4126)&gt;0,"Valid","Invalid")</f>
        <v>Valid</v>
      </c>
      <c r="R4126" t="str">
        <f>IF(COUNTIF(Branches!$A$2:$A$11,F4126)&gt;0,"Valid","Invalid")</f>
        <v>Valid</v>
      </c>
    </row>
    <row r="4127" spans="1:18" x14ac:dyDescent="0.25">
      <c r="A4127" t="s">
        <v>6198</v>
      </c>
      <c r="B4127" t="s">
        <v>888</v>
      </c>
      <c r="C4127" s="8">
        <v>46026</v>
      </c>
      <c r="D4127" t="s">
        <v>2062</v>
      </c>
      <c r="E4127" t="s">
        <v>2063</v>
      </c>
      <c r="F4127" t="s">
        <v>47</v>
      </c>
      <c r="G4127">
        <v>456.1</v>
      </c>
      <c r="H4127" t="s">
        <v>2060</v>
      </c>
      <c r="I4127" t="str">
        <f>VLOOKUP(B4127,Customers!A:G,7,FALSE)</f>
        <v>SME</v>
      </c>
      <c r="Q4127" t="str">
        <f>IF(COUNTIF(Customers!$A$2:$A$1001,B4127)&gt;0,"Valid","Invalid")</f>
        <v>Valid</v>
      </c>
      <c r="R4127" t="str">
        <f>IF(COUNTIF(Branches!$A$2:$A$11,F4127)&gt;0,"Valid","Invalid")</f>
        <v>Valid</v>
      </c>
    </row>
    <row r="4128" spans="1:18" x14ac:dyDescent="0.25">
      <c r="A4128" t="s">
        <v>6199</v>
      </c>
      <c r="B4128" t="s">
        <v>828</v>
      </c>
      <c r="C4128" s="8">
        <v>46200</v>
      </c>
      <c r="D4128" t="s">
        <v>2067</v>
      </c>
      <c r="E4128" t="s">
        <v>2063</v>
      </c>
      <c r="F4128" t="s">
        <v>39</v>
      </c>
      <c r="G4128">
        <v>3444.74</v>
      </c>
      <c r="H4128" t="s">
        <v>2060</v>
      </c>
      <c r="I4128" t="str">
        <f>VLOOKUP(B4128,Customers!A:G,7,FALSE)</f>
        <v>Individual</v>
      </c>
      <c r="Q4128" t="str">
        <f>IF(COUNTIF(Customers!$A$2:$A$1001,B4128)&gt;0,"Valid","Invalid")</f>
        <v>Valid</v>
      </c>
      <c r="R4128" t="str">
        <f>IF(COUNTIF(Branches!$A$2:$A$11,F4128)&gt;0,"Valid","Invalid")</f>
        <v>Valid</v>
      </c>
    </row>
    <row r="4129" spans="1:18" x14ac:dyDescent="0.25">
      <c r="A4129" t="s">
        <v>6200</v>
      </c>
      <c r="B4129" t="s">
        <v>591</v>
      </c>
      <c r="C4129" s="8">
        <v>46256</v>
      </c>
      <c r="D4129" t="s">
        <v>2062</v>
      </c>
      <c r="E4129" t="s">
        <v>2063</v>
      </c>
      <c r="F4129" t="s">
        <v>27</v>
      </c>
      <c r="G4129">
        <v>492.08</v>
      </c>
      <c r="H4129" t="s">
        <v>2060</v>
      </c>
      <c r="I4129" t="str">
        <f>VLOOKUP(B4129,Customers!A:G,7,FALSE)</f>
        <v>Individual</v>
      </c>
      <c r="Q4129" t="str">
        <f>IF(COUNTIF(Customers!$A$2:$A$1001,B4129)&gt;0,"Valid","Invalid")</f>
        <v>Valid</v>
      </c>
      <c r="R4129" t="str">
        <f>IF(COUNTIF(Branches!$A$2:$A$11,F4129)&gt;0,"Valid","Invalid")</f>
        <v>Valid</v>
      </c>
    </row>
    <row r="4130" spans="1:18" x14ac:dyDescent="0.25">
      <c r="A4130" t="s">
        <v>6201</v>
      </c>
      <c r="B4130" t="s">
        <v>882</v>
      </c>
      <c r="C4130" s="8">
        <v>46025</v>
      </c>
      <c r="D4130" t="s">
        <v>2070</v>
      </c>
      <c r="E4130" t="s">
        <v>2073</v>
      </c>
      <c r="F4130" t="s">
        <v>47</v>
      </c>
      <c r="G4130">
        <v>122.44</v>
      </c>
      <c r="H4130" t="s">
        <v>2060</v>
      </c>
      <c r="I4130" t="str">
        <f>VLOOKUP(B4130,Customers!A:G,7,FALSE)</f>
        <v>Individual</v>
      </c>
      <c r="Q4130" t="str">
        <f>IF(COUNTIF(Customers!$A$2:$A$1001,B4130)&gt;0,"Valid","Invalid")</f>
        <v>Valid</v>
      </c>
      <c r="R4130" t="str">
        <f>IF(COUNTIF(Branches!$A$2:$A$11,F4130)&gt;0,"Valid","Invalid")</f>
        <v>Valid</v>
      </c>
    </row>
    <row r="4131" spans="1:18" x14ac:dyDescent="0.25">
      <c r="A4131" t="s">
        <v>6202</v>
      </c>
      <c r="B4131" t="s">
        <v>697</v>
      </c>
      <c r="C4131" s="8">
        <v>46162</v>
      </c>
      <c r="D4131" t="s">
        <v>2065</v>
      </c>
      <c r="E4131" t="s">
        <v>2076</v>
      </c>
      <c r="F4131" t="s">
        <v>35</v>
      </c>
      <c r="G4131">
        <v>646.20000000000005</v>
      </c>
      <c r="H4131" t="s">
        <v>2060</v>
      </c>
      <c r="I4131" t="str">
        <f>VLOOKUP(B4131,Customers!A:G,7,FALSE)</f>
        <v>SME</v>
      </c>
      <c r="Q4131" t="str">
        <f>IF(COUNTIF(Customers!$A$2:$A$1001,B4131)&gt;0,"Valid","Invalid")</f>
        <v>Valid</v>
      </c>
      <c r="R4131" t="str">
        <f>IF(COUNTIF(Branches!$A$2:$A$11,F4131)&gt;0,"Valid","Invalid")</f>
        <v>Valid</v>
      </c>
    </row>
    <row r="4132" spans="1:18" x14ac:dyDescent="0.25">
      <c r="A4132" t="s">
        <v>6203</v>
      </c>
      <c r="B4132" t="s">
        <v>895</v>
      </c>
      <c r="C4132" s="8">
        <v>46087</v>
      </c>
      <c r="D4132" t="s">
        <v>2067</v>
      </c>
      <c r="E4132" t="s">
        <v>2076</v>
      </c>
      <c r="F4132" t="s">
        <v>53</v>
      </c>
      <c r="G4132">
        <v>112.1</v>
      </c>
      <c r="H4132" t="s">
        <v>2060</v>
      </c>
      <c r="I4132" t="str">
        <f>VLOOKUP(B4132,Customers!A:G,7,FALSE)</f>
        <v>SME</v>
      </c>
      <c r="Q4132" t="str">
        <f>IF(COUNTIF(Customers!$A$2:$A$1001,B4132)&gt;0,"Valid","Invalid")</f>
        <v>Valid</v>
      </c>
      <c r="R4132" t="str">
        <f>IF(COUNTIF(Branches!$A$2:$A$11,F4132)&gt;0,"Valid","Invalid")</f>
        <v>Valid</v>
      </c>
    </row>
    <row r="4133" spans="1:18" x14ac:dyDescent="0.25">
      <c r="A4133" t="s">
        <v>6204</v>
      </c>
      <c r="B4133" t="s">
        <v>728</v>
      </c>
      <c r="C4133" s="8">
        <v>46049</v>
      </c>
      <c r="D4133" t="s">
        <v>2067</v>
      </c>
      <c r="E4133" t="s">
        <v>2076</v>
      </c>
      <c r="F4133" t="s">
        <v>29</v>
      </c>
      <c r="G4133">
        <v>282.88</v>
      </c>
      <c r="H4133" t="s">
        <v>2060</v>
      </c>
      <c r="I4133" t="str">
        <f>VLOOKUP(B4133,Customers!A:G,7,FALSE)</f>
        <v>Individual</v>
      </c>
      <c r="Q4133" t="str">
        <f>IF(COUNTIF(Customers!$A$2:$A$1001,B4133)&gt;0,"Valid","Invalid")</f>
        <v>Valid</v>
      </c>
      <c r="R4133" t="str">
        <f>IF(COUNTIF(Branches!$A$2:$A$11,F4133)&gt;0,"Valid","Invalid")</f>
        <v>Valid</v>
      </c>
    </row>
    <row r="4134" spans="1:18" x14ac:dyDescent="0.25">
      <c r="A4134" t="s">
        <v>6205</v>
      </c>
      <c r="B4134" t="s">
        <v>865</v>
      </c>
      <c r="C4134" s="8">
        <v>46129</v>
      </c>
      <c r="D4134" t="s">
        <v>2058</v>
      </c>
      <c r="E4134" t="s">
        <v>2063</v>
      </c>
      <c r="F4134" t="s">
        <v>47</v>
      </c>
      <c r="G4134">
        <v>451.68</v>
      </c>
      <c r="H4134" t="s">
        <v>2060</v>
      </c>
      <c r="I4134" t="str">
        <f>VLOOKUP(B4134,Customers!A:G,7,FALSE)</f>
        <v>Individual</v>
      </c>
      <c r="Q4134" t="str">
        <f>IF(COUNTIF(Customers!$A$2:$A$1001,B4134)&gt;0,"Valid","Invalid")</f>
        <v>Valid</v>
      </c>
      <c r="R4134" t="str">
        <f>IF(COUNTIF(Branches!$A$2:$A$11,F4134)&gt;0,"Valid","Invalid")</f>
        <v>Valid</v>
      </c>
    </row>
    <row r="4135" spans="1:18" x14ac:dyDescent="0.25">
      <c r="A4135" t="s">
        <v>6206</v>
      </c>
      <c r="B4135" t="s">
        <v>875</v>
      </c>
      <c r="C4135" s="8">
        <v>46072</v>
      </c>
      <c r="D4135" t="s">
        <v>2058</v>
      </c>
      <c r="E4135" t="s">
        <v>2076</v>
      </c>
      <c r="F4135" t="s">
        <v>27</v>
      </c>
      <c r="G4135">
        <v>943.57</v>
      </c>
      <c r="H4135" t="s">
        <v>2060</v>
      </c>
      <c r="I4135" t="str">
        <f>VLOOKUP(B4135,Customers!A:G,7,FALSE)</f>
        <v>Student</v>
      </c>
      <c r="Q4135" t="str">
        <f>IF(COUNTIF(Customers!$A$2:$A$1001,B4135)&gt;0,"Valid","Invalid")</f>
        <v>Valid</v>
      </c>
      <c r="R4135" t="str">
        <f>IF(COUNTIF(Branches!$A$2:$A$11,F4135)&gt;0,"Valid","Invalid")</f>
        <v>Valid</v>
      </c>
    </row>
    <row r="4136" spans="1:18" x14ac:dyDescent="0.25">
      <c r="A4136" t="s">
        <v>6207</v>
      </c>
      <c r="B4136" t="s">
        <v>968</v>
      </c>
      <c r="C4136" s="8">
        <v>46227</v>
      </c>
      <c r="D4136" t="s">
        <v>2067</v>
      </c>
      <c r="E4136" t="s">
        <v>2063</v>
      </c>
      <c r="F4136" t="s">
        <v>11</v>
      </c>
      <c r="G4136">
        <v>2262.36</v>
      </c>
      <c r="H4136" t="s">
        <v>2060</v>
      </c>
      <c r="I4136" t="str">
        <f>VLOOKUP(B4136,Customers!A:G,7,FALSE)</f>
        <v>SME</v>
      </c>
      <c r="Q4136" t="str">
        <f>IF(COUNTIF(Customers!$A$2:$A$1001,B4136)&gt;0,"Valid","Invalid")</f>
        <v>Valid</v>
      </c>
      <c r="R4136" t="str">
        <f>IF(COUNTIF(Branches!$A$2:$A$11,F4136)&gt;0,"Valid","Invalid")</f>
        <v>Valid</v>
      </c>
    </row>
    <row r="4137" spans="1:18" x14ac:dyDescent="0.25">
      <c r="A4137" t="s">
        <v>6208</v>
      </c>
      <c r="B4137" t="s">
        <v>203</v>
      </c>
      <c r="C4137" s="8">
        <v>46039</v>
      </c>
      <c r="D4137" t="s">
        <v>2058</v>
      </c>
      <c r="E4137" t="s">
        <v>2059</v>
      </c>
      <c r="F4137" t="s">
        <v>35</v>
      </c>
      <c r="G4137">
        <v>1626.42</v>
      </c>
      <c r="H4137" t="s">
        <v>2060</v>
      </c>
      <c r="I4137" t="str">
        <f>VLOOKUP(B4137,Customers!A:G,7,FALSE)</f>
        <v>Student</v>
      </c>
      <c r="Q4137" t="str">
        <f>IF(COUNTIF(Customers!$A$2:$A$1001,B4137)&gt;0,"Valid","Invalid")</f>
        <v>Valid</v>
      </c>
      <c r="R4137" t="str">
        <f>IF(COUNTIF(Branches!$A$2:$A$11,F4137)&gt;0,"Valid","Invalid")</f>
        <v>Valid</v>
      </c>
    </row>
    <row r="4138" spans="1:18" x14ac:dyDescent="0.25">
      <c r="A4138" t="s">
        <v>6209</v>
      </c>
      <c r="B4138" t="s">
        <v>673</v>
      </c>
      <c r="C4138" s="8">
        <v>46222</v>
      </c>
      <c r="D4138" t="s">
        <v>2058</v>
      </c>
      <c r="E4138" t="s">
        <v>2059</v>
      </c>
      <c r="F4138" t="s">
        <v>53</v>
      </c>
      <c r="G4138">
        <v>249.8</v>
      </c>
      <c r="H4138" t="s">
        <v>2060</v>
      </c>
      <c r="I4138" t="str">
        <f>VLOOKUP(B4138,Customers!A:G,7,FALSE)</f>
        <v>Individual</v>
      </c>
      <c r="Q4138" t="str">
        <f>IF(COUNTIF(Customers!$A$2:$A$1001,B4138)&gt;0,"Valid","Invalid")</f>
        <v>Valid</v>
      </c>
      <c r="R4138" t="str">
        <f>IF(COUNTIF(Branches!$A$2:$A$11,F4138)&gt;0,"Valid","Invalid")</f>
        <v>Valid</v>
      </c>
    </row>
    <row r="4139" spans="1:18" x14ac:dyDescent="0.25">
      <c r="A4139" t="s">
        <v>6210</v>
      </c>
      <c r="B4139" t="s">
        <v>624</v>
      </c>
      <c r="C4139" s="8">
        <v>46054</v>
      </c>
      <c r="D4139" t="s">
        <v>2058</v>
      </c>
      <c r="E4139" t="s">
        <v>2059</v>
      </c>
      <c r="F4139" t="s">
        <v>35</v>
      </c>
      <c r="G4139">
        <v>560.20000000000005</v>
      </c>
      <c r="H4139" t="s">
        <v>2060</v>
      </c>
      <c r="I4139" t="str">
        <f>VLOOKUP(B4139,Customers!A:G,7,FALSE)</f>
        <v>Corporate</v>
      </c>
      <c r="Q4139" t="str">
        <f>IF(COUNTIF(Customers!$A$2:$A$1001,B4139)&gt;0,"Valid","Invalid")</f>
        <v>Valid</v>
      </c>
      <c r="R4139" t="str">
        <f>IF(COUNTIF(Branches!$A$2:$A$11,F4139)&gt;0,"Valid","Invalid")</f>
        <v>Valid</v>
      </c>
    </row>
    <row r="4140" spans="1:18" x14ac:dyDescent="0.25">
      <c r="A4140" t="s">
        <v>6211</v>
      </c>
      <c r="B4140" t="s">
        <v>789</v>
      </c>
      <c r="C4140" s="8">
        <v>46234</v>
      </c>
      <c r="D4140" t="s">
        <v>2065</v>
      </c>
      <c r="E4140" t="s">
        <v>2063</v>
      </c>
      <c r="F4140" t="s">
        <v>29</v>
      </c>
      <c r="G4140">
        <v>876.88</v>
      </c>
      <c r="H4140" t="s">
        <v>2060</v>
      </c>
      <c r="I4140" t="str">
        <f>VLOOKUP(B4140,Customers!A:G,7,FALSE)</f>
        <v>Corporate</v>
      </c>
      <c r="Q4140" t="str">
        <f>IF(COUNTIF(Customers!$A$2:$A$1001,B4140)&gt;0,"Valid","Invalid")</f>
        <v>Valid</v>
      </c>
      <c r="R4140" t="str">
        <f>IF(COUNTIF(Branches!$A$2:$A$11,F4140)&gt;0,"Valid","Invalid")</f>
        <v>Valid</v>
      </c>
    </row>
    <row r="4141" spans="1:18" x14ac:dyDescent="0.25">
      <c r="A4141" t="s">
        <v>6212</v>
      </c>
      <c r="B4141" t="s">
        <v>287</v>
      </c>
      <c r="C4141" s="8">
        <v>46201</v>
      </c>
      <c r="D4141" t="s">
        <v>2067</v>
      </c>
      <c r="E4141" t="s">
        <v>2063</v>
      </c>
      <c r="F4141" t="s">
        <v>39</v>
      </c>
      <c r="G4141">
        <v>625.03</v>
      </c>
      <c r="H4141" t="s">
        <v>2060</v>
      </c>
      <c r="I4141" t="str">
        <f>VLOOKUP(B4141,Customers!A:G,7,FALSE)</f>
        <v>Individual</v>
      </c>
      <c r="Q4141" t="str">
        <f>IF(COUNTIF(Customers!$A$2:$A$1001,B4141)&gt;0,"Valid","Invalid")</f>
        <v>Valid</v>
      </c>
      <c r="R4141" t="str">
        <f>IF(COUNTIF(Branches!$A$2:$A$11,F4141)&gt;0,"Valid","Invalid")</f>
        <v>Valid</v>
      </c>
    </row>
    <row r="4142" spans="1:18" x14ac:dyDescent="0.25">
      <c r="A4142" t="s">
        <v>6213</v>
      </c>
      <c r="B4142" t="s">
        <v>813</v>
      </c>
      <c r="C4142" s="8">
        <v>46039</v>
      </c>
      <c r="D4142" t="s">
        <v>2067</v>
      </c>
      <c r="E4142" t="s">
        <v>2068</v>
      </c>
      <c r="F4142" t="s">
        <v>35</v>
      </c>
      <c r="G4142">
        <v>620.61</v>
      </c>
      <c r="H4142" t="s">
        <v>2060</v>
      </c>
      <c r="I4142" t="str">
        <f>VLOOKUP(B4142,Customers!A:G,7,FALSE)</f>
        <v>Individual</v>
      </c>
      <c r="Q4142" t="str">
        <f>IF(COUNTIF(Customers!$A$2:$A$1001,B4142)&gt;0,"Valid","Invalid")</f>
        <v>Valid</v>
      </c>
      <c r="R4142" t="str">
        <f>IF(COUNTIF(Branches!$A$2:$A$11,F4142)&gt;0,"Valid","Invalid")</f>
        <v>Valid</v>
      </c>
    </row>
    <row r="4143" spans="1:18" x14ac:dyDescent="0.25">
      <c r="A4143" t="s">
        <v>6214</v>
      </c>
      <c r="B4143" t="s">
        <v>802</v>
      </c>
      <c r="C4143" s="8">
        <v>46056</v>
      </c>
      <c r="D4143" t="s">
        <v>2058</v>
      </c>
      <c r="E4143" t="s">
        <v>2076</v>
      </c>
      <c r="F4143" t="s">
        <v>11</v>
      </c>
      <c r="G4143">
        <v>145.08000000000001</v>
      </c>
      <c r="H4143" t="s">
        <v>2060</v>
      </c>
      <c r="I4143" t="str">
        <f>VLOOKUP(B4143,Customers!A:G,7,FALSE)</f>
        <v>Individual</v>
      </c>
      <c r="Q4143" t="str">
        <f>IF(COUNTIF(Customers!$A$2:$A$1001,B4143)&gt;0,"Valid","Invalid")</f>
        <v>Valid</v>
      </c>
      <c r="R4143" t="str">
        <f>IF(COUNTIF(Branches!$A$2:$A$11,F4143)&gt;0,"Valid","Invalid")</f>
        <v>Valid</v>
      </c>
    </row>
    <row r="4144" spans="1:18" x14ac:dyDescent="0.25">
      <c r="A4144" t="s">
        <v>6215</v>
      </c>
      <c r="B4144" t="s">
        <v>395</v>
      </c>
      <c r="C4144" s="8">
        <v>46057</v>
      </c>
      <c r="D4144" t="s">
        <v>2070</v>
      </c>
      <c r="E4144" t="s">
        <v>2063</v>
      </c>
      <c r="F4144" t="s">
        <v>29</v>
      </c>
      <c r="G4144">
        <v>256.54000000000002</v>
      </c>
      <c r="H4144" t="s">
        <v>2060</v>
      </c>
      <c r="I4144" t="str">
        <f>VLOOKUP(B4144,Customers!A:G,7,FALSE)</f>
        <v>Individual</v>
      </c>
      <c r="Q4144" t="str">
        <f>IF(COUNTIF(Customers!$A$2:$A$1001,B4144)&gt;0,"Valid","Invalid")</f>
        <v>Valid</v>
      </c>
      <c r="R4144" t="str">
        <f>IF(COUNTIF(Branches!$A$2:$A$11,F4144)&gt;0,"Valid","Invalid")</f>
        <v>Valid</v>
      </c>
    </row>
    <row r="4145" spans="1:18" x14ac:dyDescent="0.25">
      <c r="A4145" t="s">
        <v>6216</v>
      </c>
      <c r="B4145" t="s">
        <v>147</v>
      </c>
      <c r="C4145" s="8">
        <v>46249</v>
      </c>
      <c r="D4145" t="s">
        <v>2058</v>
      </c>
      <c r="E4145" t="s">
        <v>2063</v>
      </c>
      <c r="F4145" t="s">
        <v>53</v>
      </c>
      <c r="G4145">
        <v>542.97</v>
      </c>
      <c r="H4145" t="s">
        <v>2060</v>
      </c>
      <c r="I4145" t="str">
        <f>VLOOKUP(B4145,Customers!A:G,7,FALSE)</f>
        <v>Individual</v>
      </c>
      <c r="Q4145" t="str">
        <f>IF(COUNTIF(Customers!$A$2:$A$1001,B4145)&gt;0,"Valid","Invalid")</f>
        <v>Valid</v>
      </c>
      <c r="R4145" t="str">
        <f>IF(COUNTIF(Branches!$A$2:$A$11,F4145)&gt;0,"Valid","Invalid")</f>
        <v>Valid</v>
      </c>
    </row>
    <row r="4146" spans="1:18" x14ac:dyDescent="0.25">
      <c r="A4146" t="s">
        <v>6217</v>
      </c>
      <c r="B4146" t="s">
        <v>730</v>
      </c>
      <c r="C4146" s="8">
        <v>46252</v>
      </c>
      <c r="D4146" t="s">
        <v>2065</v>
      </c>
      <c r="E4146" t="s">
        <v>2068</v>
      </c>
      <c r="F4146" t="s">
        <v>16</v>
      </c>
      <c r="G4146">
        <v>36.85</v>
      </c>
      <c r="H4146" t="s">
        <v>2060</v>
      </c>
      <c r="I4146" t="str">
        <f>VLOOKUP(B4146,Customers!A:G,7,FALSE)</f>
        <v>Individual</v>
      </c>
      <c r="Q4146" t="str">
        <f>IF(COUNTIF(Customers!$A$2:$A$1001,B4146)&gt;0,"Valid","Invalid")</f>
        <v>Valid</v>
      </c>
      <c r="R4146" t="str">
        <f>IF(COUNTIF(Branches!$A$2:$A$11,F4146)&gt;0,"Valid","Invalid")</f>
        <v>Valid</v>
      </c>
    </row>
    <row r="4147" spans="1:18" x14ac:dyDescent="0.25">
      <c r="A4147" t="s">
        <v>6218</v>
      </c>
      <c r="B4147" t="s">
        <v>738</v>
      </c>
      <c r="C4147" s="8">
        <v>46256</v>
      </c>
      <c r="D4147" t="s">
        <v>2067</v>
      </c>
      <c r="E4147" t="s">
        <v>2068</v>
      </c>
      <c r="F4147" t="s">
        <v>39</v>
      </c>
      <c r="G4147">
        <v>1541.71</v>
      </c>
      <c r="H4147" t="s">
        <v>2060</v>
      </c>
      <c r="I4147" t="str">
        <f>VLOOKUP(B4147,Customers!A:G,7,FALSE)</f>
        <v>Individual</v>
      </c>
      <c r="Q4147" t="str">
        <f>IF(COUNTIF(Customers!$A$2:$A$1001,B4147)&gt;0,"Valid","Invalid")</f>
        <v>Valid</v>
      </c>
      <c r="R4147" t="str">
        <f>IF(COUNTIF(Branches!$A$2:$A$11,F4147)&gt;0,"Valid","Invalid")</f>
        <v>Valid</v>
      </c>
    </row>
    <row r="4148" spans="1:18" x14ac:dyDescent="0.25">
      <c r="A4148" t="s">
        <v>6219</v>
      </c>
      <c r="B4148" t="s">
        <v>858</v>
      </c>
      <c r="C4148" s="8">
        <v>46174</v>
      </c>
      <c r="D4148" t="s">
        <v>2062</v>
      </c>
      <c r="E4148" t="s">
        <v>2073</v>
      </c>
      <c r="F4148" t="s">
        <v>39</v>
      </c>
      <c r="G4148">
        <v>205.89</v>
      </c>
      <c r="H4148" t="s">
        <v>2060</v>
      </c>
      <c r="I4148" t="str">
        <f>VLOOKUP(B4148,Customers!A:G,7,FALSE)</f>
        <v>SME</v>
      </c>
      <c r="Q4148" t="str">
        <f>IF(COUNTIF(Customers!$A$2:$A$1001,B4148)&gt;0,"Valid","Invalid")</f>
        <v>Valid</v>
      </c>
      <c r="R4148" t="str">
        <f>IF(COUNTIF(Branches!$A$2:$A$11,F4148)&gt;0,"Valid","Invalid")</f>
        <v>Valid</v>
      </c>
    </row>
    <row r="4149" spans="1:18" x14ac:dyDescent="0.25">
      <c r="A4149" t="s">
        <v>6220</v>
      </c>
      <c r="B4149" t="s">
        <v>757</v>
      </c>
      <c r="C4149" s="8">
        <v>46204</v>
      </c>
      <c r="D4149" t="s">
        <v>2062</v>
      </c>
      <c r="E4149" t="s">
        <v>2063</v>
      </c>
      <c r="F4149" t="s">
        <v>39</v>
      </c>
      <c r="G4149">
        <v>1614.59</v>
      </c>
      <c r="H4149" t="s">
        <v>2060</v>
      </c>
      <c r="I4149" t="str">
        <f>VLOOKUP(B4149,Customers!A:G,7,FALSE)</f>
        <v>Individual</v>
      </c>
      <c r="Q4149" t="str">
        <f>IF(COUNTIF(Customers!$A$2:$A$1001,B4149)&gt;0,"Valid","Invalid")</f>
        <v>Valid</v>
      </c>
      <c r="R4149" t="str">
        <f>IF(COUNTIF(Branches!$A$2:$A$11,F4149)&gt;0,"Valid","Invalid")</f>
        <v>Valid</v>
      </c>
    </row>
    <row r="4150" spans="1:18" x14ac:dyDescent="0.25">
      <c r="A4150" t="s">
        <v>6221</v>
      </c>
      <c r="B4150" t="s">
        <v>272</v>
      </c>
      <c r="C4150" s="8">
        <v>46168</v>
      </c>
      <c r="D4150" t="s">
        <v>2058</v>
      </c>
      <c r="E4150" t="s">
        <v>2059</v>
      </c>
      <c r="F4150" t="s">
        <v>29</v>
      </c>
      <c r="G4150">
        <v>1478.7</v>
      </c>
      <c r="H4150" t="s">
        <v>2060</v>
      </c>
      <c r="I4150" t="str">
        <f>VLOOKUP(B4150,Customers!A:G,7,FALSE)</f>
        <v>Corporate</v>
      </c>
      <c r="Q4150" t="str">
        <f>IF(COUNTIF(Customers!$A$2:$A$1001,B4150)&gt;0,"Valid","Invalid")</f>
        <v>Valid</v>
      </c>
      <c r="R4150" t="str">
        <f>IF(COUNTIF(Branches!$A$2:$A$11,F4150)&gt;0,"Valid","Invalid")</f>
        <v>Valid</v>
      </c>
    </row>
    <row r="4151" spans="1:18" x14ac:dyDescent="0.25">
      <c r="A4151" t="s">
        <v>6222</v>
      </c>
      <c r="B4151" t="s">
        <v>58</v>
      </c>
      <c r="C4151" s="8">
        <v>46072</v>
      </c>
      <c r="D4151" t="s">
        <v>2065</v>
      </c>
      <c r="E4151" t="s">
        <v>2063</v>
      </c>
      <c r="F4151" t="s">
        <v>53</v>
      </c>
      <c r="G4151">
        <v>471.68</v>
      </c>
      <c r="H4151" t="s">
        <v>2060</v>
      </c>
      <c r="I4151" t="str">
        <f>VLOOKUP(B4151,Customers!A:G,7,FALSE)</f>
        <v>Individual</v>
      </c>
      <c r="Q4151" t="str">
        <f>IF(COUNTIF(Customers!$A$2:$A$1001,B4151)&gt;0,"Valid","Invalid")</f>
        <v>Valid</v>
      </c>
      <c r="R4151" t="str">
        <f>IF(COUNTIF(Branches!$A$2:$A$11,F4151)&gt;0,"Valid","Invalid")</f>
        <v>Valid</v>
      </c>
    </row>
    <row r="4152" spans="1:18" x14ac:dyDescent="0.25">
      <c r="A4152" t="s">
        <v>6223</v>
      </c>
      <c r="B4152" t="s">
        <v>60</v>
      </c>
      <c r="C4152" s="8">
        <v>46196</v>
      </c>
      <c r="D4152" t="s">
        <v>2067</v>
      </c>
      <c r="E4152" t="s">
        <v>2076</v>
      </c>
      <c r="F4152" t="s">
        <v>29</v>
      </c>
      <c r="G4152">
        <v>2209.56</v>
      </c>
      <c r="H4152" t="s">
        <v>2060</v>
      </c>
      <c r="I4152" t="str">
        <f>VLOOKUP(B4152,Customers!A:G,7,FALSE)</f>
        <v>Student</v>
      </c>
      <c r="Q4152" t="str">
        <f>IF(COUNTIF(Customers!$A$2:$A$1001,B4152)&gt;0,"Valid","Invalid")</f>
        <v>Valid</v>
      </c>
      <c r="R4152" t="str">
        <f>IF(COUNTIF(Branches!$A$2:$A$11,F4152)&gt;0,"Valid","Invalid")</f>
        <v>Valid</v>
      </c>
    </row>
    <row r="4153" spans="1:18" x14ac:dyDescent="0.25">
      <c r="A4153" t="s">
        <v>6224</v>
      </c>
      <c r="B4153" t="s">
        <v>419</v>
      </c>
      <c r="C4153" s="8">
        <v>46198</v>
      </c>
      <c r="D4153" t="s">
        <v>2058</v>
      </c>
      <c r="E4153" t="s">
        <v>2063</v>
      </c>
      <c r="F4153" t="s">
        <v>11</v>
      </c>
      <c r="G4153">
        <v>1708.2</v>
      </c>
      <c r="H4153" t="s">
        <v>2060</v>
      </c>
      <c r="I4153" t="str">
        <f>VLOOKUP(B4153,Customers!A:G,7,FALSE)</f>
        <v>SME</v>
      </c>
      <c r="Q4153" t="str">
        <f>IF(COUNTIF(Customers!$A$2:$A$1001,B4153)&gt;0,"Valid","Invalid")</f>
        <v>Valid</v>
      </c>
      <c r="R4153" t="str">
        <f>IF(COUNTIF(Branches!$A$2:$A$11,F4153)&gt;0,"Valid","Invalid")</f>
        <v>Valid</v>
      </c>
    </row>
    <row r="4154" spans="1:18" x14ac:dyDescent="0.25">
      <c r="A4154" t="s">
        <v>6225</v>
      </c>
      <c r="B4154" t="s">
        <v>768</v>
      </c>
      <c r="C4154" s="8">
        <v>46125</v>
      </c>
      <c r="D4154" t="s">
        <v>2070</v>
      </c>
      <c r="E4154" t="s">
        <v>2063</v>
      </c>
      <c r="F4154" t="s">
        <v>45</v>
      </c>
      <c r="G4154">
        <v>596.48</v>
      </c>
      <c r="H4154" t="s">
        <v>2060</v>
      </c>
      <c r="I4154" t="str">
        <f>VLOOKUP(B4154,Customers!A:G,7,FALSE)</f>
        <v>Individual</v>
      </c>
      <c r="Q4154" t="str">
        <f>IF(COUNTIF(Customers!$A$2:$A$1001,B4154)&gt;0,"Valid","Invalid")</f>
        <v>Valid</v>
      </c>
      <c r="R4154" t="str">
        <f>IF(COUNTIF(Branches!$A$2:$A$11,F4154)&gt;0,"Valid","Invalid")</f>
        <v>Valid</v>
      </c>
    </row>
    <row r="4155" spans="1:18" x14ac:dyDescent="0.25">
      <c r="A4155" t="s">
        <v>6226</v>
      </c>
      <c r="B4155" t="s">
        <v>384</v>
      </c>
      <c r="C4155" s="8">
        <v>46055</v>
      </c>
      <c r="D4155" t="s">
        <v>2058</v>
      </c>
      <c r="E4155" t="s">
        <v>2063</v>
      </c>
      <c r="F4155" t="s">
        <v>39</v>
      </c>
      <c r="G4155">
        <v>532.85</v>
      </c>
      <c r="H4155" t="s">
        <v>2060</v>
      </c>
      <c r="I4155" t="str">
        <f>VLOOKUP(B4155,Customers!A:G,7,FALSE)</f>
        <v>Individual</v>
      </c>
      <c r="Q4155" t="str">
        <f>IF(COUNTIF(Customers!$A$2:$A$1001,B4155)&gt;0,"Valid","Invalid")</f>
        <v>Valid</v>
      </c>
      <c r="R4155" t="str">
        <f>IF(COUNTIF(Branches!$A$2:$A$11,F4155)&gt;0,"Valid","Invalid")</f>
        <v>Valid</v>
      </c>
    </row>
    <row r="4156" spans="1:18" x14ac:dyDescent="0.25">
      <c r="A4156" t="s">
        <v>6227</v>
      </c>
      <c r="B4156" t="s">
        <v>416</v>
      </c>
      <c r="C4156" s="8">
        <v>46263</v>
      </c>
      <c r="D4156" t="s">
        <v>2058</v>
      </c>
      <c r="E4156" t="s">
        <v>2076</v>
      </c>
      <c r="F4156" t="s">
        <v>16</v>
      </c>
      <c r="G4156">
        <v>2433.86</v>
      </c>
      <c r="H4156" t="s">
        <v>2060</v>
      </c>
      <c r="I4156" t="str">
        <f>VLOOKUP(B4156,Customers!A:G,7,FALSE)</f>
        <v>Individual</v>
      </c>
      <c r="Q4156" t="str">
        <f>IF(COUNTIF(Customers!$A$2:$A$1001,B4156)&gt;0,"Valid","Invalid")</f>
        <v>Valid</v>
      </c>
      <c r="R4156" t="str">
        <f>IF(COUNTIF(Branches!$A$2:$A$11,F4156)&gt;0,"Valid","Invalid")</f>
        <v>Valid</v>
      </c>
    </row>
    <row r="4157" spans="1:18" x14ac:dyDescent="0.25">
      <c r="A4157" t="s">
        <v>6228</v>
      </c>
      <c r="B4157" t="s">
        <v>560</v>
      </c>
      <c r="C4157" s="8">
        <v>46237</v>
      </c>
      <c r="D4157" t="s">
        <v>2058</v>
      </c>
      <c r="E4157" t="s">
        <v>2059</v>
      </c>
      <c r="F4157" t="s">
        <v>47</v>
      </c>
      <c r="G4157">
        <v>1024.56</v>
      </c>
      <c r="H4157" t="s">
        <v>2060</v>
      </c>
      <c r="I4157" t="str">
        <f>VLOOKUP(B4157,Customers!A:G,7,FALSE)</f>
        <v>Individual</v>
      </c>
      <c r="Q4157" t="str">
        <f>IF(COUNTIF(Customers!$A$2:$A$1001,B4157)&gt;0,"Valid","Invalid")</f>
        <v>Valid</v>
      </c>
      <c r="R4157" t="str">
        <f>IF(COUNTIF(Branches!$A$2:$A$11,F4157)&gt;0,"Valid","Invalid")</f>
        <v>Valid</v>
      </c>
    </row>
    <row r="4158" spans="1:18" x14ac:dyDescent="0.25">
      <c r="A4158" t="s">
        <v>6229</v>
      </c>
      <c r="B4158" t="s">
        <v>50</v>
      </c>
      <c r="C4158" s="8">
        <v>46111</v>
      </c>
      <c r="D4158" t="s">
        <v>2067</v>
      </c>
      <c r="E4158" t="s">
        <v>2076</v>
      </c>
      <c r="F4158" t="s">
        <v>11</v>
      </c>
      <c r="G4158">
        <v>2309.29</v>
      </c>
      <c r="H4158" t="s">
        <v>2060</v>
      </c>
      <c r="I4158" t="str">
        <f>VLOOKUP(B4158,Customers!A:G,7,FALSE)</f>
        <v>SME</v>
      </c>
      <c r="Q4158" t="str">
        <f>IF(COUNTIF(Customers!$A$2:$A$1001,B4158)&gt;0,"Valid","Invalid")</f>
        <v>Valid</v>
      </c>
      <c r="R4158" t="str">
        <f>IF(COUNTIF(Branches!$A$2:$A$11,F4158)&gt;0,"Valid","Invalid")</f>
        <v>Valid</v>
      </c>
    </row>
    <row r="4159" spans="1:18" x14ac:dyDescent="0.25">
      <c r="A4159" t="s">
        <v>6230</v>
      </c>
      <c r="B4159" t="s">
        <v>283</v>
      </c>
      <c r="C4159" s="8">
        <v>46251</v>
      </c>
      <c r="D4159" t="s">
        <v>2062</v>
      </c>
      <c r="E4159" t="s">
        <v>2068</v>
      </c>
      <c r="F4159" t="s">
        <v>45</v>
      </c>
      <c r="G4159">
        <v>74.52</v>
      </c>
      <c r="H4159" t="s">
        <v>2060</v>
      </c>
      <c r="I4159" t="str">
        <f>VLOOKUP(B4159,Customers!A:G,7,FALSE)</f>
        <v>Individual</v>
      </c>
      <c r="Q4159" t="str">
        <f>IF(COUNTIF(Customers!$A$2:$A$1001,B4159)&gt;0,"Valid","Invalid")</f>
        <v>Valid</v>
      </c>
      <c r="R4159" t="str">
        <f>IF(COUNTIF(Branches!$A$2:$A$11,F4159)&gt;0,"Valid","Invalid")</f>
        <v>Valid</v>
      </c>
    </row>
    <row r="4160" spans="1:18" x14ac:dyDescent="0.25">
      <c r="A4160" t="s">
        <v>6231</v>
      </c>
      <c r="B4160" t="s">
        <v>756</v>
      </c>
      <c r="C4160" s="8">
        <v>46177</v>
      </c>
      <c r="D4160" t="s">
        <v>2058</v>
      </c>
      <c r="E4160" t="s">
        <v>2076</v>
      </c>
      <c r="F4160" t="s">
        <v>47</v>
      </c>
      <c r="G4160">
        <v>896.49</v>
      </c>
      <c r="H4160" t="s">
        <v>2060</v>
      </c>
      <c r="I4160" t="str">
        <f>VLOOKUP(B4160,Customers!A:G,7,FALSE)</f>
        <v>Individual</v>
      </c>
      <c r="Q4160" t="str">
        <f>IF(COUNTIF(Customers!$A$2:$A$1001,B4160)&gt;0,"Valid","Invalid")</f>
        <v>Valid</v>
      </c>
      <c r="R4160" t="str">
        <f>IF(COUNTIF(Branches!$A$2:$A$11,F4160)&gt;0,"Valid","Invalid")</f>
        <v>Valid</v>
      </c>
    </row>
    <row r="4161" spans="1:18" x14ac:dyDescent="0.25">
      <c r="A4161" t="s">
        <v>6232</v>
      </c>
      <c r="B4161" t="s">
        <v>808</v>
      </c>
      <c r="C4161" s="8">
        <v>46151</v>
      </c>
      <c r="D4161" t="s">
        <v>2070</v>
      </c>
      <c r="E4161" t="s">
        <v>2059</v>
      </c>
      <c r="F4161" t="s">
        <v>29</v>
      </c>
      <c r="G4161">
        <v>167.77</v>
      </c>
      <c r="H4161" t="s">
        <v>2107</v>
      </c>
      <c r="I4161" t="str">
        <f>VLOOKUP(B4161,Customers!A:G,7,FALSE)</f>
        <v>Individual</v>
      </c>
      <c r="Q4161" t="str">
        <f>IF(COUNTIF(Customers!$A$2:$A$1001,B4161)&gt;0,"Valid","Invalid")</f>
        <v>Valid</v>
      </c>
      <c r="R4161" t="str">
        <f>IF(COUNTIF(Branches!$A$2:$A$11,F4161)&gt;0,"Valid","Invalid")</f>
        <v>Valid</v>
      </c>
    </row>
    <row r="4162" spans="1:18" x14ac:dyDescent="0.25">
      <c r="A4162" t="s">
        <v>6233</v>
      </c>
      <c r="B4162" t="s">
        <v>662</v>
      </c>
      <c r="C4162" s="8">
        <v>46107</v>
      </c>
      <c r="D4162" t="s">
        <v>2067</v>
      </c>
      <c r="E4162" t="s">
        <v>2073</v>
      </c>
      <c r="F4162" t="s">
        <v>53</v>
      </c>
      <c r="G4162">
        <v>791.72</v>
      </c>
      <c r="H4162" t="s">
        <v>2060</v>
      </c>
      <c r="I4162" t="str">
        <f>VLOOKUP(B4162,Customers!A:G,7,FALSE)</f>
        <v>SME</v>
      </c>
      <c r="Q4162" t="str">
        <f>IF(COUNTIF(Customers!$A$2:$A$1001,B4162)&gt;0,"Valid","Invalid")</f>
        <v>Valid</v>
      </c>
      <c r="R4162" t="str">
        <f>IF(COUNTIF(Branches!$A$2:$A$11,F4162)&gt;0,"Valid","Invalid")</f>
        <v>Valid</v>
      </c>
    </row>
    <row r="4163" spans="1:18" x14ac:dyDescent="0.25">
      <c r="A4163" t="s">
        <v>6234</v>
      </c>
      <c r="B4163" t="s">
        <v>755</v>
      </c>
      <c r="C4163" s="8">
        <v>46081</v>
      </c>
      <c r="D4163" t="s">
        <v>2065</v>
      </c>
      <c r="E4163" t="s">
        <v>2059</v>
      </c>
      <c r="F4163" t="s">
        <v>11</v>
      </c>
      <c r="G4163">
        <v>1658.75</v>
      </c>
      <c r="H4163" t="s">
        <v>2060</v>
      </c>
      <c r="I4163" t="str">
        <f>VLOOKUP(B4163,Customers!A:G,7,FALSE)</f>
        <v>Individual</v>
      </c>
      <c r="Q4163" t="str">
        <f>IF(COUNTIF(Customers!$A$2:$A$1001,B4163)&gt;0,"Valid","Invalid")</f>
        <v>Valid</v>
      </c>
      <c r="R4163" t="str">
        <f>IF(COUNTIF(Branches!$A$2:$A$11,F4163)&gt;0,"Valid","Invalid")</f>
        <v>Valid</v>
      </c>
    </row>
    <row r="4164" spans="1:18" x14ac:dyDescent="0.25">
      <c r="A4164" t="s">
        <v>6235</v>
      </c>
      <c r="B4164" t="s">
        <v>577</v>
      </c>
      <c r="C4164" s="8">
        <v>46263</v>
      </c>
      <c r="D4164" t="s">
        <v>2058</v>
      </c>
      <c r="E4164" t="s">
        <v>2063</v>
      </c>
      <c r="F4164" t="s">
        <v>16</v>
      </c>
      <c r="G4164">
        <v>4624.58</v>
      </c>
      <c r="H4164" t="s">
        <v>2060</v>
      </c>
      <c r="I4164" t="str">
        <f>VLOOKUP(B4164,Customers!A:G,7,FALSE)</f>
        <v>Individual</v>
      </c>
      <c r="Q4164" t="str">
        <f>IF(COUNTIF(Customers!$A$2:$A$1001,B4164)&gt;0,"Valid","Invalid")</f>
        <v>Valid</v>
      </c>
      <c r="R4164" t="str">
        <f>IF(COUNTIF(Branches!$A$2:$A$11,F4164)&gt;0,"Valid","Invalid")</f>
        <v>Valid</v>
      </c>
    </row>
    <row r="4165" spans="1:18" x14ac:dyDescent="0.25">
      <c r="A4165" t="s">
        <v>6236</v>
      </c>
      <c r="B4165" t="s">
        <v>1007</v>
      </c>
      <c r="C4165" s="8">
        <v>46032</v>
      </c>
      <c r="D4165" t="s">
        <v>2065</v>
      </c>
      <c r="E4165" t="s">
        <v>2073</v>
      </c>
      <c r="F4165" t="s">
        <v>53</v>
      </c>
      <c r="G4165">
        <v>317.93</v>
      </c>
      <c r="H4165" t="s">
        <v>2060</v>
      </c>
      <c r="I4165" t="str">
        <f>VLOOKUP(B4165,Customers!A:G,7,FALSE)</f>
        <v>Individual</v>
      </c>
      <c r="Q4165" t="str">
        <f>IF(COUNTIF(Customers!$A$2:$A$1001,B4165)&gt;0,"Valid","Invalid")</f>
        <v>Valid</v>
      </c>
      <c r="R4165" t="str">
        <f>IF(COUNTIF(Branches!$A$2:$A$11,F4165)&gt;0,"Valid","Invalid")</f>
        <v>Valid</v>
      </c>
    </row>
    <row r="4166" spans="1:18" x14ac:dyDescent="0.25">
      <c r="A4166" t="s">
        <v>6237</v>
      </c>
      <c r="B4166" t="s">
        <v>621</v>
      </c>
      <c r="C4166" s="8">
        <v>46245</v>
      </c>
      <c r="D4166" t="s">
        <v>2065</v>
      </c>
      <c r="E4166" t="s">
        <v>2063</v>
      </c>
      <c r="F4166" t="s">
        <v>35</v>
      </c>
      <c r="G4166">
        <v>480.24</v>
      </c>
      <c r="H4166" t="s">
        <v>2060</v>
      </c>
      <c r="I4166" t="str">
        <f>VLOOKUP(B4166,Customers!A:G,7,FALSE)</f>
        <v>Individual</v>
      </c>
      <c r="Q4166" t="str">
        <f>IF(COUNTIF(Customers!$A$2:$A$1001,B4166)&gt;0,"Valid","Invalid")</f>
        <v>Valid</v>
      </c>
      <c r="R4166" t="str">
        <f>IF(COUNTIF(Branches!$A$2:$A$11,F4166)&gt;0,"Valid","Invalid")</f>
        <v>Valid</v>
      </c>
    </row>
    <row r="4167" spans="1:18" x14ac:dyDescent="0.25">
      <c r="A4167" t="s">
        <v>6238</v>
      </c>
      <c r="B4167" t="s">
        <v>726</v>
      </c>
      <c r="C4167" s="8">
        <v>46258</v>
      </c>
      <c r="D4167" t="s">
        <v>2067</v>
      </c>
      <c r="E4167" t="s">
        <v>2059</v>
      </c>
      <c r="F4167" t="s">
        <v>35</v>
      </c>
      <c r="G4167">
        <v>738.39</v>
      </c>
      <c r="H4167" t="s">
        <v>2060</v>
      </c>
      <c r="I4167" t="str">
        <f>VLOOKUP(B4167,Customers!A:G,7,FALSE)</f>
        <v>Individual</v>
      </c>
      <c r="Q4167" t="str">
        <f>IF(COUNTIF(Customers!$A$2:$A$1001,B4167)&gt;0,"Valid","Invalid")</f>
        <v>Valid</v>
      </c>
      <c r="R4167" t="str">
        <f>IF(COUNTIF(Branches!$A$2:$A$11,F4167)&gt;0,"Valid","Invalid")</f>
        <v>Valid</v>
      </c>
    </row>
    <row r="4168" spans="1:18" x14ac:dyDescent="0.25">
      <c r="A4168" t="s">
        <v>6239</v>
      </c>
      <c r="B4168" t="s">
        <v>239</v>
      </c>
      <c r="C4168" s="8">
        <v>46175</v>
      </c>
      <c r="D4168" t="s">
        <v>2062</v>
      </c>
      <c r="E4168" t="s">
        <v>2063</v>
      </c>
      <c r="F4168" t="s">
        <v>29</v>
      </c>
      <c r="G4168">
        <v>306.58</v>
      </c>
      <c r="H4168" t="s">
        <v>2107</v>
      </c>
      <c r="I4168" t="str">
        <f>VLOOKUP(B4168,Customers!A:G,7,FALSE)</f>
        <v>SME</v>
      </c>
      <c r="Q4168" t="str">
        <f>IF(COUNTIF(Customers!$A$2:$A$1001,B4168)&gt;0,"Valid","Invalid")</f>
        <v>Valid</v>
      </c>
      <c r="R4168" t="str">
        <f>IF(COUNTIF(Branches!$A$2:$A$11,F4168)&gt;0,"Valid","Invalid")</f>
        <v>Valid</v>
      </c>
    </row>
    <row r="4169" spans="1:18" x14ac:dyDescent="0.25">
      <c r="A4169" t="s">
        <v>6240</v>
      </c>
      <c r="B4169" t="s">
        <v>286</v>
      </c>
      <c r="C4169" s="8">
        <v>46234</v>
      </c>
      <c r="D4169" t="s">
        <v>2058</v>
      </c>
      <c r="E4169" t="s">
        <v>2059</v>
      </c>
      <c r="F4169" t="s">
        <v>21</v>
      </c>
      <c r="G4169">
        <v>2161.5</v>
      </c>
      <c r="H4169" t="s">
        <v>2060</v>
      </c>
      <c r="I4169" t="str">
        <f>VLOOKUP(B4169,Customers!A:G,7,FALSE)</f>
        <v>Student</v>
      </c>
      <c r="Q4169" t="str">
        <f>IF(COUNTIF(Customers!$A$2:$A$1001,B4169)&gt;0,"Valid","Invalid")</f>
        <v>Valid</v>
      </c>
      <c r="R4169" t="str">
        <f>IF(COUNTIF(Branches!$A$2:$A$11,F4169)&gt;0,"Valid","Invalid")</f>
        <v>Valid</v>
      </c>
    </row>
    <row r="4170" spans="1:18" x14ac:dyDescent="0.25">
      <c r="A4170" t="s">
        <v>6241</v>
      </c>
      <c r="B4170" t="s">
        <v>154</v>
      </c>
      <c r="C4170" s="8">
        <v>46079</v>
      </c>
      <c r="D4170" t="s">
        <v>2065</v>
      </c>
      <c r="E4170" t="s">
        <v>2059</v>
      </c>
      <c r="F4170" t="s">
        <v>47</v>
      </c>
      <c r="G4170">
        <v>757.41</v>
      </c>
      <c r="H4170" t="s">
        <v>2060</v>
      </c>
      <c r="I4170" t="str">
        <f>VLOOKUP(B4170,Customers!A:G,7,FALSE)</f>
        <v>Individual</v>
      </c>
      <c r="Q4170" t="str">
        <f>IF(COUNTIF(Customers!$A$2:$A$1001,B4170)&gt;0,"Valid","Invalid")</f>
        <v>Valid</v>
      </c>
      <c r="R4170" t="str">
        <f>IF(COUNTIF(Branches!$A$2:$A$11,F4170)&gt;0,"Valid","Invalid")</f>
        <v>Valid</v>
      </c>
    </row>
    <row r="4171" spans="1:18" x14ac:dyDescent="0.25">
      <c r="A4171" t="s">
        <v>6242</v>
      </c>
      <c r="B4171" t="s">
        <v>36</v>
      </c>
      <c r="C4171" s="8">
        <v>46088</v>
      </c>
      <c r="D4171" t="s">
        <v>2058</v>
      </c>
      <c r="E4171" t="s">
        <v>2063</v>
      </c>
      <c r="F4171" t="s">
        <v>29</v>
      </c>
      <c r="G4171">
        <v>917.78</v>
      </c>
      <c r="H4171" t="s">
        <v>2060</v>
      </c>
      <c r="I4171" t="str">
        <f>VLOOKUP(B4171,Customers!A:G,7,FALSE)</f>
        <v>Individual</v>
      </c>
      <c r="Q4171" t="str">
        <f>IF(COUNTIF(Customers!$A$2:$A$1001,B4171)&gt;0,"Valid","Invalid")</f>
        <v>Valid</v>
      </c>
      <c r="R4171" t="str">
        <f>IF(COUNTIF(Branches!$A$2:$A$11,F4171)&gt;0,"Valid","Invalid")</f>
        <v>Valid</v>
      </c>
    </row>
    <row r="4172" spans="1:18" x14ac:dyDescent="0.25">
      <c r="A4172" t="s">
        <v>6243</v>
      </c>
      <c r="B4172" t="s">
        <v>636</v>
      </c>
      <c r="C4172" s="8">
        <v>46141</v>
      </c>
      <c r="D4172" t="s">
        <v>2067</v>
      </c>
      <c r="E4172" t="s">
        <v>2059</v>
      </c>
      <c r="F4172" t="s">
        <v>35</v>
      </c>
      <c r="G4172">
        <v>1510.47</v>
      </c>
      <c r="H4172" t="s">
        <v>2060</v>
      </c>
      <c r="I4172" t="str">
        <f>VLOOKUP(B4172,Customers!A:G,7,FALSE)</f>
        <v>Individual</v>
      </c>
      <c r="Q4172" t="str">
        <f>IF(COUNTIF(Customers!$A$2:$A$1001,B4172)&gt;0,"Valid","Invalid")</f>
        <v>Valid</v>
      </c>
      <c r="R4172" t="str">
        <f>IF(COUNTIF(Branches!$A$2:$A$11,F4172)&gt;0,"Valid","Invalid")</f>
        <v>Valid</v>
      </c>
    </row>
    <row r="4173" spans="1:18" x14ac:dyDescent="0.25">
      <c r="A4173" t="s">
        <v>6244</v>
      </c>
      <c r="B4173" t="s">
        <v>57</v>
      </c>
      <c r="C4173" s="8">
        <v>46134</v>
      </c>
      <c r="D4173" t="s">
        <v>2070</v>
      </c>
      <c r="E4173" t="s">
        <v>2068</v>
      </c>
      <c r="F4173" t="s">
        <v>11</v>
      </c>
      <c r="G4173">
        <v>756.19</v>
      </c>
      <c r="H4173" t="s">
        <v>2060</v>
      </c>
      <c r="I4173" t="str">
        <f>VLOOKUP(B4173,Customers!A:G,7,FALSE)</f>
        <v>SME</v>
      </c>
      <c r="Q4173" t="str">
        <f>IF(COUNTIF(Customers!$A$2:$A$1001,B4173)&gt;0,"Valid","Invalid")</f>
        <v>Valid</v>
      </c>
      <c r="R4173" t="str">
        <f>IF(COUNTIF(Branches!$A$2:$A$11,F4173)&gt;0,"Valid","Invalid")</f>
        <v>Valid</v>
      </c>
    </row>
    <row r="4174" spans="1:18" x14ac:dyDescent="0.25">
      <c r="A4174" t="s">
        <v>6245</v>
      </c>
      <c r="B4174" t="s">
        <v>1005</v>
      </c>
      <c r="C4174" s="8">
        <v>46037</v>
      </c>
      <c r="D4174" t="s">
        <v>2058</v>
      </c>
      <c r="E4174" t="s">
        <v>2063</v>
      </c>
      <c r="F4174" t="s">
        <v>11</v>
      </c>
      <c r="G4174">
        <v>358.69</v>
      </c>
      <c r="H4174" t="s">
        <v>2115</v>
      </c>
      <c r="I4174" t="str">
        <f>VLOOKUP(B4174,Customers!A:G,7,FALSE)</f>
        <v>SME</v>
      </c>
      <c r="Q4174" t="str">
        <f>IF(COUNTIF(Customers!$A$2:$A$1001,B4174)&gt;0,"Valid","Invalid")</f>
        <v>Valid</v>
      </c>
      <c r="R4174" t="str">
        <f>IF(COUNTIF(Branches!$A$2:$A$11,F4174)&gt;0,"Valid","Invalid")</f>
        <v>Valid</v>
      </c>
    </row>
    <row r="4175" spans="1:18" x14ac:dyDescent="0.25">
      <c r="A4175" t="s">
        <v>6246</v>
      </c>
      <c r="B4175" t="s">
        <v>278</v>
      </c>
      <c r="C4175" s="8">
        <v>46178</v>
      </c>
      <c r="D4175" t="s">
        <v>2062</v>
      </c>
      <c r="E4175" t="s">
        <v>2059</v>
      </c>
      <c r="F4175" t="s">
        <v>11</v>
      </c>
      <c r="G4175">
        <v>762.79</v>
      </c>
      <c r="H4175" t="s">
        <v>2060</v>
      </c>
      <c r="I4175" t="str">
        <f>VLOOKUP(B4175,Customers!A:G,7,FALSE)</f>
        <v>Individual</v>
      </c>
      <c r="Q4175" t="str">
        <f>IF(COUNTIF(Customers!$A$2:$A$1001,B4175)&gt;0,"Valid","Invalid")</f>
        <v>Valid</v>
      </c>
      <c r="R4175" t="str">
        <f>IF(COUNTIF(Branches!$A$2:$A$11,F4175)&gt;0,"Valid","Invalid")</f>
        <v>Valid</v>
      </c>
    </row>
    <row r="4176" spans="1:18" x14ac:dyDescent="0.25">
      <c r="A4176" t="s">
        <v>6247</v>
      </c>
      <c r="B4176" t="s">
        <v>623</v>
      </c>
      <c r="C4176" s="8">
        <v>46035</v>
      </c>
      <c r="D4176" t="s">
        <v>2065</v>
      </c>
      <c r="E4176" t="s">
        <v>2063</v>
      </c>
      <c r="F4176" t="s">
        <v>47</v>
      </c>
      <c r="G4176">
        <v>345.09</v>
      </c>
      <c r="H4176" t="s">
        <v>2060</v>
      </c>
      <c r="I4176" t="str">
        <f>VLOOKUP(B4176,Customers!A:G,7,FALSE)</f>
        <v>Individual</v>
      </c>
      <c r="Q4176" t="str">
        <f>IF(COUNTIF(Customers!$A$2:$A$1001,B4176)&gt;0,"Valid","Invalid")</f>
        <v>Valid</v>
      </c>
      <c r="R4176" t="str">
        <f>IF(COUNTIF(Branches!$A$2:$A$11,F4176)&gt;0,"Valid","Invalid")</f>
        <v>Valid</v>
      </c>
    </row>
    <row r="4177" spans="1:18" x14ac:dyDescent="0.25">
      <c r="A4177" t="s">
        <v>6248</v>
      </c>
      <c r="B4177" t="s">
        <v>61</v>
      </c>
      <c r="C4177" s="8">
        <v>46136</v>
      </c>
      <c r="D4177" t="s">
        <v>2062</v>
      </c>
      <c r="E4177" t="s">
        <v>2068</v>
      </c>
      <c r="F4177" t="s">
        <v>53</v>
      </c>
      <c r="G4177">
        <v>905.04</v>
      </c>
      <c r="H4177" t="s">
        <v>2060</v>
      </c>
      <c r="I4177" t="str">
        <f>VLOOKUP(B4177,Customers!A:G,7,FALSE)</f>
        <v>Student</v>
      </c>
      <c r="Q4177" t="str">
        <f>IF(COUNTIF(Customers!$A$2:$A$1001,B4177)&gt;0,"Valid","Invalid")</f>
        <v>Valid</v>
      </c>
      <c r="R4177" t="str">
        <f>IF(COUNTIF(Branches!$A$2:$A$11,F4177)&gt;0,"Valid","Invalid")</f>
        <v>Valid</v>
      </c>
    </row>
    <row r="4178" spans="1:18" x14ac:dyDescent="0.25">
      <c r="A4178" t="s">
        <v>6249</v>
      </c>
      <c r="B4178" t="s">
        <v>1022</v>
      </c>
      <c r="C4178" s="8">
        <v>46140</v>
      </c>
      <c r="D4178" t="s">
        <v>2062</v>
      </c>
      <c r="E4178" t="s">
        <v>2076</v>
      </c>
      <c r="F4178" t="s">
        <v>53</v>
      </c>
      <c r="G4178">
        <v>2201.6</v>
      </c>
      <c r="H4178" t="s">
        <v>2060</v>
      </c>
      <c r="I4178" t="str">
        <f>VLOOKUP(B4178,Customers!A:G,7,FALSE)</f>
        <v>Individual</v>
      </c>
      <c r="Q4178" t="str">
        <f>IF(COUNTIF(Customers!$A$2:$A$1001,B4178)&gt;0,"Valid","Invalid")</f>
        <v>Valid</v>
      </c>
      <c r="R4178" t="str">
        <f>IF(COUNTIF(Branches!$A$2:$A$11,F4178)&gt;0,"Valid","Invalid")</f>
        <v>Valid</v>
      </c>
    </row>
    <row r="4179" spans="1:18" x14ac:dyDescent="0.25">
      <c r="A4179" t="s">
        <v>6250</v>
      </c>
      <c r="B4179" t="s">
        <v>899</v>
      </c>
      <c r="C4179" s="8">
        <v>46164</v>
      </c>
      <c r="D4179" t="s">
        <v>2062</v>
      </c>
      <c r="E4179" t="s">
        <v>2068</v>
      </c>
      <c r="F4179" t="s">
        <v>11</v>
      </c>
      <c r="G4179">
        <v>250.89</v>
      </c>
      <c r="H4179" t="s">
        <v>2060</v>
      </c>
      <c r="I4179" t="str">
        <f>VLOOKUP(B4179,Customers!A:G,7,FALSE)</f>
        <v>Corporate</v>
      </c>
      <c r="Q4179" t="str">
        <f>IF(COUNTIF(Customers!$A$2:$A$1001,B4179)&gt;0,"Valid","Invalid")</f>
        <v>Valid</v>
      </c>
      <c r="R4179" t="str">
        <f>IF(COUNTIF(Branches!$A$2:$A$11,F4179)&gt;0,"Valid","Invalid")</f>
        <v>Valid</v>
      </c>
    </row>
    <row r="4180" spans="1:18" x14ac:dyDescent="0.25">
      <c r="A4180" t="s">
        <v>6251</v>
      </c>
      <c r="B4180" t="s">
        <v>117</v>
      </c>
      <c r="C4180" s="8">
        <v>46136</v>
      </c>
      <c r="D4180" t="s">
        <v>2065</v>
      </c>
      <c r="E4180" t="s">
        <v>2063</v>
      </c>
      <c r="F4180" t="s">
        <v>35</v>
      </c>
      <c r="G4180">
        <v>175.5</v>
      </c>
      <c r="H4180" t="s">
        <v>2060</v>
      </c>
      <c r="I4180" t="str">
        <f>VLOOKUP(B4180,Customers!A:G,7,FALSE)</f>
        <v>Student</v>
      </c>
      <c r="Q4180" t="str">
        <f>IF(COUNTIF(Customers!$A$2:$A$1001,B4180)&gt;0,"Valid","Invalid")</f>
        <v>Valid</v>
      </c>
      <c r="R4180" t="str">
        <f>IF(COUNTIF(Branches!$A$2:$A$11,F4180)&gt;0,"Valid","Invalid")</f>
        <v>Valid</v>
      </c>
    </row>
    <row r="4181" spans="1:18" x14ac:dyDescent="0.25">
      <c r="A4181" t="s">
        <v>6252</v>
      </c>
      <c r="B4181" t="s">
        <v>634</v>
      </c>
      <c r="C4181" s="8">
        <v>46216</v>
      </c>
      <c r="D4181" t="s">
        <v>2067</v>
      </c>
      <c r="E4181" t="s">
        <v>2063</v>
      </c>
      <c r="F4181" t="s">
        <v>11</v>
      </c>
      <c r="G4181">
        <v>853.42</v>
      </c>
      <c r="H4181" t="s">
        <v>2060</v>
      </c>
      <c r="I4181" t="str">
        <f>VLOOKUP(B4181,Customers!A:G,7,FALSE)</f>
        <v>Individual</v>
      </c>
      <c r="Q4181" t="str">
        <f>IF(COUNTIF(Customers!$A$2:$A$1001,B4181)&gt;0,"Valid","Invalid")</f>
        <v>Valid</v>
      </c>
      <c r="R4181" t="str">
        <f>IF(COUNTIF(Branches!$A$2:$A$11,F4181)&gt;0,"Valid","Invalid")</f>
        <v>Valid</v>
      </c>
    </row>
    <row r="4182" spans="1:18" x14ac:dyDescent="0.25">
      <c r="A4182" t="s">
        <v>6253</v>
      </c>
      <c r="B4182" t="s">
        <v>236</v>
      </c>
      <c r="C4182" s="8">
        <v>46056</v>
      </c>
      <c r="D4182" t="s">
        <v>2058</v>
      </c>
      <c r="E4182" t="s">
        <v>2063</v>
      </c>
      <c r="F4182" t="s">
        <v>29</v>
      </c>
      <c r="G4182">
        <v>376.98</v>
      </c>
      <c r="H4182" t="s">
        <v>2060</v>
      </c>
      <c r="I4182" t="str">
        <f>VLOOKUP(B4182,Customers!A:G,7,FALSE)</f>
        <v>Individual</v>
      </c>
      <c r="Q4182" t="str">
        <f>IF(COUNTIF(Customers!$A$2:$A$1001,B4182)&gt;0,"Valid","Invalid")</f>
        <v>Valid</v>
      </c>
      <c r="R4182" t="str">
        <f>IF(COUNTIF(Branches!$A$2:$A$11,F4182)&gt;0,"Valid","Invalid")</f>
        <v>Valid</v>
      </c>
    </row>
    <row r="4183" spans="1:18" x14ac:dyDescent="0.25">
      <c r="A4183" t="s">
        <v>6254</v>
      </c>
      <c r="B4183" t="s">
        <v>593</v>
      </c>
      <c r="C4183" s="8">
        <v>46249</v>
      </c>
      <c r="D4183" t="s">
        <v>2065</v>
      </c>
      <c r="E4183" t="s">
        <v>2063</v>
      </c>
      <c r="F4183" t="s">
        <v>47</v>
      </c>
      <c r="G4183">
        <v>838.61</v>
      </c>
      <c r="H4183" t="s">
        <v>2060</v>
      </c>
      <c r="I4183" t="str">
        <f>VLOOKUP(B4183,Customers!A:G,7,FALSE)</f>
        <v>SME</v>
      </c>
      <c r="Q4183" t="str">
        <f>IF(COUNTIF(Customers!$A$2:$A$1001,B4183)&gt;0,"Valid","Invalid")</f>
        <v>Valid</v>
      </c>
      <c r="R4183" t="str">
        <f>IF(COUNTIF(Branches!$A$2:$A$11,F4183)&gt;0,"Valid","Invalid")</f>
        <v>Valid</v>
      </c>
    </row>
    <row r="4184" spans="1:18" x14ac:dyDescent="0.25">
      <c r="A4184" t="s">
        <v>6255</v>
      </c>
      <c r="B4184" t="s">
        <v>1038</v>
      </c>
      <c r="C4184" s="8">
        <v>46123</v>
      </c>
      <c r="D4184" t="s">
        <v>2067</v>
      </c>
      <c r="E4184" t="s">
        <v>2059</v>
      </c>
      <c r="F4184" t="s">
        <v>21</v>
      </c>
      <c r="G4184">
        <v>1119.24</v>
      </c>
      <c r="H4184" t="s">
        <v>2060</v>
      </c>
      <c r="I4184" t="str">
        <f>VLOOKUP(B4184,Customers!A:G,7,FALSE)</f>
        <v>Individual</v>
      </c>
      <c r="Q4184" t="str">
        <f>IF(COUNTIF(Customers!$A$2:$A$1001,B4184)&gt;0,"Valid","Invalid")</f>
        <v>Valid</v>
      </c>
      <c r="R4184" t="str">
        <f>IF(COUNTIF(Branches!$A$2:$A$11,F4184)&gt;0,"Valid","Invalid")</f>
        <v>Valid</v>
      </c>
    </row>
    <row r="4185" spans="1:18" x14ac:dyDescent="0.25">
      <c r="A4185" t="s">
        <v>6256</v>
      </c>
      <c r="B4185" t="s">
        <v>813</v>
      </c>
      <c r="C4185" s="8">
        <v>46047</v>
      </c>
      <c r="D4185" t="s">
        <v>2070</v>
      </c>
      <c r="E4185" t="s">
        <v>2073</v>
      </c>
      <c r="F4185" t="s">
        <v>27</v>
      </c>
      <c r="G4185">
        <v>95.23</v>
      </c>
      <c r="H4185" t="s">
        <v>2060</v>
      </c>
      <c r="I4185" t="str">
        <f>VLOOKUP(B4185,Customers!A:G,7,FALSE)</f>
        <v>Individual</v>
      </c>
      <c r="Q4185" t="str">
        <f>IF(COUNTIF(Customers!$A$2:$A$1001,B4185)&gt;0,"Valid","Invalid")</f>
        <v>Valid</v>
      </c>
      <c r="R4185" t="str">
        <f>IF(COUNTIF(Branches!$A$2:$A$11,F4185)&gt;0,"Valid","Invalid")</f>
        <v>Valid</v>
      </c>
    </row>
    <row r="4186" spans="1:18" x14ac:dyDescent="0.25">
      <c r="A4186" t="s">
        <v>6257</v>
      </c>
      <c r="B4186" t="s">
        <v>128</v>
      </c>
      <c r="C4186" s="8">
        <v>46134</v>
      </c>
      <c r="D4186" t="s">
        <v>2067</v>
      </c>
      <c r="E4186" t="s">
        <v>2059</v>
      </c>
      <c r="F4186" t="s">
        <v>16</v>
      </c>
      <c r="G4186">
        <v>1619.46</v>
      </c>
      <c r="H4186" t="s">
        <v>2060</v>
      </c>
      <c r="I4186" t="str">
        <f>VLOOKUP(B4186,Customers!A:G,7,FALSE)</f>
        <v>Individual</v>
      </c>
      <c r="Q4186" t="str">
        <f>IF(COUNTIF(Customers!$A$2:$A$1001,B4186)&gt;0,"Valid","Invalid")</f>
        <v>Valid</v>
      </c>
      <c r="R4186" t="str">
        <f>IF(COUNTIF(Branches!$A$2:$A$11,F4186)&gt;0,"Valid","Invalid")</f>
        <v>Valid</v>
      </c>
    </row>
    <row r="4187" spans="1:18" x14ac:dyDescent="0.25">
      <c r="A4187" t="s">
        <v>6258</v>
      </c>
      <c r="B4187" t="s">
        <v>889</v>
      </c>
      <c r="C4187" s="8">
        <v>46076</v>
      </c>
      <c r="D4187" t="s">
        <v>2070</v>
      </c>
      <c r="E4187" t="s">
        <v>2073</v>
      </c>
      <c r="F4187" t="s">
        <v>39</v>
      </c>
      <c r="G4187">
        <v>252.23</v>
      </c>
      <c r="H4187" t="s">
        <v>2060</v>
      </c>
      <c r="I4187" t="str">
        <f>VLOOKUP(B4187,Customers!A:G,7,FALSE)</f>
        <v>Corporate</v>
      </c>
      <c r="Q4187" t="str">
        <f>IF(COUNTIF(Customers!$A$2:$A$1001,B4187)&gt;0,"Valid","Invalid")</f>
        <v>Valid</v>
      </c>
      <c r="R4187" t="str">
        <f>IF(COUNTIF(Branches!$A$2:$A$11,F4187)&gt;0,"Valid","Invalid")</f>
        <v>Valid</v>
      </c>
    </row>
    <row r="4188" spans="1:18" x14ac:dyDescent="0.25">
      <c r="A4188" t="s">
        <v>6259</v>
      </c>
      <c r="B4188" t="s">
        <v>997</v>
      </c>
      <c r="C4188" s="8">
        <v>46229</v>
      </c>
      <c r="D4188" t="s">
        <v>2065</v>
      </c>
      <c r="E4188" t="s">
        <v>2063</v>
      </c>
      <c r="F4188" t="s">
        <v>47</v>
      </c>
      <c r="G4188">
        <v>794.45</v>
      </c>
      <c r="H4188" t="s">
        <v>2060</v>
      </c>
      <c r="I4188" t="str">
        <f>VLOOKUP(B4188,Customers!A:G,7,FALSE)</f>
        <v>Individual</v>
      </c>
      <c r="Q4188" t="str">
        <f>IF(COUNTIF(Customers!$A$2:$A$1001,B4188)&gt;0,"Valid","Invalid")</f>
        <v>Valid</v>
      </c>
      <c r="R4188" t="str">
        <f>IF(COUNTIF(Branches!$A$2:$A$11,F4188)&gt;0,"Valid","Invalid")</f>
        <v>Valid</v>
      </c>
    </row>
    <row r="4189" spans="1:18" x14ac:dyDescent="0.25">
      <c r="A4189" t="s">
        <v>6260</v>
      </c>
      <c r="B4189" t="s">
        <v>120</v>
      </c>
      <c r="C4189" s="8">
        <v>46034</v>
      </c>
      <c r="D4189" t="s">
        <v>2062</v>
      </c>
      <c r="E4189" t="s">
        <v>2073</v>
      </c>
      <c r="F4189" t="s">
        <v>29</v>
      </c>
      <c r="G4189">
        <v>420.15</v>
      </c>
      <c r="H4189" t="s">
        <v>2060</v>
      </c>
      <c r="I4189" t="str">
        <f>VLOOKUP(B4189,Customers!A:G,7,FALSE)</f>
        <v>SME</v>
      </c>
      <c r="Q4189" t="str">
        <f>IF(COUNTIF(Customers!$A$2:$A$1001,B4189)&gt;0,"Valid","Invalid")</f>
        <v>Valid</v>
      </c>
      <c r="R4189" t="str">
        <f>IF(COUNTIF(Branches!$A$2:$A$11,F4189)&gt;0,"Valid","Invalid")</f>
        <v>Valid</v>
      </c>
    </row>
    <row r="4190" spans="1:18" x14ac:dyDescent="0.25">
      <c r="A4190" t="s">
        <v>6261</v>
      </c>
      <c r="B4190" t="s">
        <v>338</v>
      </c>
      <c r="C4190" s="8">
        <v>46148</v>
      </c>
      <c r="D4190" t="s">
        <v>2058</v>
      </c>
      <c r="E4190" t="s">
        <v>2063</v>
      </c>
      <c r="F4190" t="s">
        <v>27</v>
      </c>
      <c r="G4190">
        <v>467.8</v>
      </c>
      <c r="H4190" t="s">
        <v>2060</v>
      </c>
      <c r="I4190" t="str">
        <f>VLOOKUP(B4190,Customers!A:G,7,FALSE)</f>
        <v>Individual</v>
      </c>
      <c r="Q4190" t="str">
        <f>IF(COUNTIF(Customers!$A$2:$A$1001,B4190)&gt;0,"Valid","Invalid")</f>
        <v>Valid</v>
      </c>
      <c r="R4190" t="str">
        <f>IF(COUNTIF(Branches!$A$2:$A$11,F4190)&gt;0,"Valid","Invalid")</f>
        <v>Valid</v>
      </c>
    </row>
    <row r="4191" spans="1:18" x14ac:dyDescent="0.25">
      <c r="A4191" t="s">
        <v>6262</v>
      </c>
      <c r="B4191" t="s">
        <v>973</v>
      </c>
      <c r="C4191" s="8">
        <v>46159</v>
      </c>
      <c r="D4191" t="s">
        <v>2058</v>
      </c>
      <c r="E4191" t="s">
        <v>2073</v>
      </c>
      <c r="F4191" t="s">
        <v>39</v>
      </c>
      <c r="G4191">
        <v>4420.28</v>
      </c>
      <c r="H4191" t="s">
        <v>2060</v>
      </c>
      <c r="I4191" t="str">
        <f>VLOOKUP(B4191,Customers!A:G,7,FALSE)</f>
        <v>Individual</v>
      </c>
      <c r="Q4191" t="str">
        <f>IF(COUNTIF(Customers!$A$2:$A$1001,B4191)&gt;0,"Valid","Invalid")</f>
        <v>Valid</v>
      </c>
      <c r="R4191" t="str">
        <f>IF(COUNTIF(Branches!$A$2:$A$11,F4191)&gt;0,"Valid","Invalid")</f>
        <v>Valid</v>
      </c>
    </row>
    <row r="4192" spans="1:18" x14ac:dyDescent="0.25">
      <c r="A4192" t="s">
        <v>6263</v>
      </c>
      <c r="B4192" t="s">
        <v>334</v>
      </c>
      <c r="C4192" s="8">
        <v>46053</v>
      </c>
      <c r="D4192" t="s">
        <v>2070</v>
      </c>
      <c r="E4192" t="s">
        <v>2063</v>
      </c>
      <c r="F4192" t="s">
        <v>47</v>
      </c>
      <c r="G4192">
        <v>1117.97</v>
      </c>
      <c r="H4192" t="s">
        <v>2060</v>
      </c>
      <c r="I4192" t="str">
        <f>VLOOKUP(B4192,Customers!A:G,7,FALSE)</f>
        <v>Individual</v>
      </c>
      <c r="Q4192" t="str">
        <f>IF(COUNTIF(Customers!$A$2:$A$1001,B4192)&gt;0,"Valid","Invalid")</f>
        <v>Valid</v>
      </c>
      <c r="R4192" t="str">
        <f>IF(COUNTIF(Branches!$A$2:$A$11,F4192)&gt;0,"Valid","Invalid")</f>
        <v>Valid</v>
      </c>
    </row>
    <row r="4193" spans="1:18" x14ac:dyDescent="0.25">
      <c r="A4193" t="s">
        <v>6264</v>
      </c>
      <c r="B4193" t="s">
        <v>685</v>
      </c>
      <c r="C4193" s="8">
        <v>46100</v>
      </c>
      <c r="D4193" t="s">
        <v>2065</v>
      </c>
      <c r="E4193" t="s">
        <v>2073</v>
      </c>
      <c r="F4193" t="s">
        <v>27</v>
      </c>
      <c r="G4193">
        <v>2007.59</v>
      </c>
      <c r="H4193" t="s">
        <v>2060</v>
      </c>
      <c r="I4193" t="str">
        <f>VLOOKUP(B4193,Customers!A:G,7,FALSE)</f>
        <v>Individual</v>
      </c>
      <c r="Q4193" t="str">
        <f>IF(COUNTIF(Customers!$A$2:$A$1001,B4193)&gt;0,"Valid","Invalid")</f>
        <v>Valid</v>
      </c>
      <c r="R4193" t="str">
        <f>IF(COUNTIF(Branches!$A$2:$A$11,F4193)&gt;0,"Valid","Invalid")</f>
        <v>Valid</v>
      </c>
    </row>
    <row r="4194" spans="1:18" x14ac:dyDescent="0.25">
      <c r="A4194" t="s">
        <v>6265</v>
      </c>
      <c r="B4194" t="s">
        <v>492</v>
      </c>
      <c r="C4194" s="8">
        <v>46243</v>
      </c>
      <c r="D4194" t="s">
        <v>2062</v>
      </c>
      <c r="E4194" t="s">
        <v>2063</v>
      </c>
      <c r="F4194" t="s">
        <v>35</v>
      </c>
      <c r="G4194">
        <v>944.77</v>
      </c>
      <c r="H4194" t="s">
        <v>2060</v>
      </c>
      <c r="I4194" t="str">
        <f>VLOOKUP(B4194,Customers!A:G,7,FALSE)</f>
        <v>Individual</v>
      </c>
      <c r="Q4194" t="str">
        <f>IF(COUNTIF(Customers!$A$2:$A$1001,B4194)&gt;0,"Valid","Invalid")</f>
        <v>Valid</v>
      </c>
      <c r="R4194" t="str">
        <f>IF(COUNTIF(Branches!$A$2:$A$11,F4194)&gt;0,"Valid","Invalid")</f>
        <v>Valid</v>
      </c>
    </row>
    <row r="4195" spans="1:18" x14ac:dyDescent="0.25">
      <c r="A4195" t="s">
        <v>6266</v>
      </c>
      <c r="B4195" t="s">
        <v>319</v>
      </c>
      <c r="C4195" s="8">
        <v>46075</v>
      </c>
      <c r="D4195" t="s">
        <v>2058</v>
      </c>
      <c r="E4195" t="s">
        <v>2063</v>
      </c>
      <c r="F4195" t="s">
        <v>21</v>
      </c>
      <c r="G4195">
        <v>1510.22</v>
      </c>
      <c r="H4195" t="s">
        <v>2060</v>
      </c>
      <c r="I4195" t="str">
        <f>VLOOKUP(B4195,Customers!A:G,7,FALSE)</f>
        <v>Student</v>
      </c>
      <c r="Q4195" t="str">
        <f>IF(COUNTIF(Customers!$A$2:$A$1001,B4195)&gt;0,"Valid","Invalid")</f>
        <v>Valid</v>
      </c>
      <c r="R4195" t="str">
        <f>IF(COUNTIF(Branches!$A$2:$A$11,F4195)&gt;0,"Valid","Invalid")</f>
        <v>Valid</v>
      </c>
    </row>
    <row r="4196" spans="1:18" x14ac:dyDescent="0.25">
      <c r="A4196" t="s">
        <v>6267</v>
      </c>
      <c r="B4196" t="s">
        <v>95</v>
      </c>
      <c r="C4196" s="8">
        <v>46134</v>
      </c>
      <c r="D4196" t="s">
        <v>2065</v>
      </c>
      <c r="E4196" t="s">
        <v>2059</v>
      </c>
      <c r="F4196" t="s">
        <v>39</v>
      </c>
      <c r="G4196">
        <v>1233.21</v>
      </c>
      <c r="H4196" t="s">
        <v>2060</v>
      </c>
      <c r="I4196" t="str">
        <f>VLOOKUP(B4196,Customers!A:G,7,FALSE)</f>
        <v>SME</v>
      </c>
      <c r="Q4196" t="str">
        <f>IF(COUNTIF(Customers!$A$2:$A$1001,B4196)&gt;0,"Valid","Invalid")</f>
        <v>Valid</v>
      </c>
      <c r="R4196" t="str">
        <f>IF(COUNTIF(Branches!$A$2:$A$11,F4196)&gt;0,"Valid","Invalid")</f>
        <v>Valid</v>
      </c>
    </row>
    <row r="4197" spans="1:18" x14ac:dyDescent="0.25">
      <c r="A4197" t="s">
        <v>6268</v>
      </c>
      <c r="B4197" t="s">
        <v>947</v>
      </c>
      <c r="C4197" s="8">
        <v>46065</v>
      </c>
      <c r="D4197" t="s">
        <v>2062</v>
      </c>
      <c r="E4197" t="s">
        <v>2059</v>
      </c>
      <c r="F4197" t="s">
        <v>45</v>
      </c>
      <c r="G4197">
        <v>1047.81</v>
      </c>
      <c r="H4197" t="s">
        <v>2060</v>
      </c>
      <c r="I4197" t="str">
        <f>VLOOKUP(B4197,Customers!A:G,7,FALSE)</f>
        <v>Individual</v>
      </c>
      <c r="Q4197" t="str">
        <f>IF(COUNTIF(Customers!$A$2:$A$1001,B4197)&gt;0,"Valid","Invalid")</f>
        <v>Valid</v>
      </c>
      <c r="R4197" t="str">
        <f>IF(COUNTIF(Branches!$A$2:$A$11,F4197)&gt;0,"Valid","Invalid")</f>
        <v>Valid</v>
      </c>
    </row>
    <row r="4198" spans="1:18" x14ac:dyDescent="0.25">
      <c r="A4198" t="s">
        <v>6269</v>
      </c>
      <c r="B4198" t="s">
        <v>909</v>
      </c>
      <c r="C4198" s="8">
        <v>46188</v>
      </c>
      <c r="D4198" t="s">
        <v>2067</v>
      </c>
      <c r="E4198" t="s">
        <v>2076</v>
      </c>
      <c r="F4198" t="s">
        <v>29</v>
      </c>
      <c r="G4198">
        <v>2458.13</v>
      </c>
      <c r="H4198" t="s">
        <v>2060</v>
      </c>
      <c r="I4198" t="str">
        <f>VLOOKUP(B4198,Customers!A:G,7,FALSE)</f>
        <v>Individual</v>
      </c>
      <c r="Q4198" t="str">
        <f>IF(COUNTIF(Customers!$A$2:$A$1001,B4198)&gt;0,"Valid","Invalid")</f>
        <v>Valid</v>
      </c>
      <c r="R4198" t="str">
        <f>IF(COUNTIF(Branches!$A$2:$A$11,F4198)&gt;0,"Valid","Invalid")</f>
        <v>Valid</v>
      </c>
    </row>
    <row r="4199" spans="1:18" x14ac:dyDescent="0.25">
      <c r="A4199" t="s">
        <v>6270</v>
      </c>
      <c r="B4199" t="s">
        <v>1038</v>
      </c>
      <c r="C4199" s="8">
        <v>46064</v>
      </c>
      <c r="D4199" t="s">
        <v>2062</v>
      </c>
      <c r="E4199" t="s">
        <v>2073</v>
      </c>
      <c r="F4199" t="s">
        <v>47</v>
      </c>
      <c r="G4199">
        <v>950.04</v>
      </c>
      <c r="H4199" t="s">
        <v>2060</v>
      </c>
      <c r="I4199" t="str">
        <f>VLOOKUP(B4199,Customers!A:G,7,FALSE)</f>
        <v>Individual</v>
      </c>
      <c r="Q4199" t="str">
        <f>IF(COUNTIF(Customers!$A$2:$A$1001,B4199)&gt;0,"Valid","Invalid")</f>
        <v>Valid</v>
      </c>
      <c r="R4199" t="str">
        <f>IF(COUNTIF(Branches!$A$2:$A$11,F4199)&gt;0,"Valid","Invalid")</f>
        <v>Valid</v>
      </c>
    </row>
    <row r="4200" spans="1:18" x14ac:dyDescent="0.25">
      <c r="A4200" t="s">
        <v>6271</v>
      </c>
      <c r="B4200" t="s">
        <v>380</v>
      </c>
      <c r="C4200" s="8">
        <v>46146</v>
      </c>
      <c r="D4200" t="s">
        <v>2067</v>
      </c>
      <c r="E4200" t="s">
        <v>2076</v>
      </c>
      <c r="F4200" t="s">
        <v>29</v>
      </c>
      <c r="G4200">
        <v>7983.63</v>
      </c>
      <c r="H4200" t="s">
        <v>2060</v>
      </c>
      <c r="I4200" t="str">
        <f>VLOOKUP(B4200,Customers!A:G,7,FALSE)</f>
        <v>Individual</v>
      </c>
      <c r="Q4200" t="str">
        <f>IF(COUNTIF(Customers!$A$2:$A$1001,B4200)&gt;0,"Valid","Invalid")</f>
        <v>Valid</v>
      </c>
      <c r="R4200" t="str">
        <f>IF(COUNTIF(Branches!$A$2:$A$11,F4200)&gt;0,"Valid","Invalid")</f>
        <v>Valid</v>
      </c>
    </row>
    <row r="4201" spans="1:18" x14ac:dyDescent="0.25">
      <c r="A4201" t="s">
        <v>6272</v>
      </c>
      <c r="B4201" t="s">
        <v>791</v>
      </c>
      <c r="C4201" s="8">
        <v>46222</v>
      </c>
      <c r="D4201" t="s">
        <v>2062</v>
      </c>
      <c r="E4201" t="s">
        <v>2076</v>
      </c>
      <c r="F4201" t="s">
        <v>29</v>
      </c>
      <c r="G4201">
        <v>2122.89</v>
      </c>
      <c r="H4201" t="s">
        <v>2060</v>
      </c>
      <c r="I4201" t="str">
        <f>VLOOKUP(B4201,Customers!A:G,7,FALSE)</f>
        <v>SME</v>
      </c>
      <c r="Q4201" t="str">
        <f>IF(COUNTIF(Customers!$A$2:$A$1001,B4201)&gt;0,"Valid","Invalid")</f>
        <v>Valid</v>
      </c>
      <c r="R4201" t="str">
        <f>IF(COUNTIF(Branches!$A$2:$A$11,F4201)&gt;0,"Valid","Invalid")</f>
        <v>Valid</v>
      </c>
    </row>
    <row r="4202" spans="1:18" x14ac:dyDescent="0.25">
      <c r="A4202" t="s">
        <v>6273</v>
      </c>
      <c r="B4202" t="s">
        <v>503</v>
      </c>
      <c r="C4202" s="8">
        <v>46198</v>
      </c>
      <c r="D4202" t="s">
        <v>2058</v>
      </c>
      <c r="E4202" t="s">
        <v>2063</v>
      </c>
      <c r="F4202" t="s">
        <v>35</v>
      </c>
      <c r="G4202">
        <v>259.94</v>
      </c>
      <c r="H4202" t="s">
        <v>2060</v>
      </c>
      <c r="I4202" t="str">
        <f>VLOOKUP(B4202,Customers!A:G,7,FALSE)</f>
        <v>SME</v>
      </c>
      <c r="Q4202" t="str">
        <f>IF(COUNTIF(Customers!$A$2:$A$1001,B4202)&gt;0,"Valid","Invalid")</f>
        <v>Valid</v>
      </c>
      <c r="R4202" t="str">
        <f>IF(COUNTIF(Branches!$A$2:$A$11,F4202)&gt;0,"Valid","Invalid")</f>
        <v>Valid</v>
      </c>
    </row>
    <row r="4203" spans="1:18" x14ac:dyDescent="0.25">
      <c r="A4203" t="s">
        <v>6274</v>
      </c>
      <c r="B4203" t="s">
        <v>918</v>
      </c>
      <c r="C4203" s="8">
        <v>46089</v>
      </c>
      <c r="D4203" t="s">
        <v>2065</v>
      </c>
      <c r="E4203" t="s">
        <v>2076</v>
      </c>
      <c r="F4203" t="s">
        <v>47</v>
      </c>
      <c r="G4203">
        <v>680.92</v>
      </c>
      <c r="H4203" t="s">
        <v>2060</v>
      </c>
      <c r="I4203" t="str">
        <f>VLOOKUP(B4203,Customers!A:G,7,FALSE)</f>
        <v>SME</v>
      </c>
      <c r="Q4203" t="str">
        <f>IF(COUNTIF(Customers!$A$2:$A$1001,B4203)&gt;0,"Valid","Invalid")</f>
        <v>Valid</v>
      </c>
      <c r="R4203" t="str">
        <f>IF(COUNTIF(Branches!$A$2:$A$11,F4203)&gt;0,"Valid","Invalid")</f>
        <v>Valid</v>
      </c>
    </row>
    <row r="4204" spans="1:18" x14ac:dyDescent="0.25">
      <c r="A4204" t="s">
        <v>6275</v>
      </c>
      <c r="B4204" t="s">
        <v>380</v>
      </c>
      <c r="C4204" s="8">
        <v>46088</v>
      </c>
      <c r="D4204" t="s">
        <v>2058</v>
      </c>
      <c r="E4204" t="s">
        <v>2059</v>
      </c>
      <c r="F4204" t="s">
        <v>39</v>
      </c>
      <c r="G4204">
        <v>1208.43</v>
      </c>
      <c r="H4204" t="s">
        <v>2060</v>
      </c>
      <c r="I4204" t="str">
        <f>VLOOKUP(B4204,Customers!A:G,7,FALSE)</f>
        <v>Individual</v>
      </c>
      <c r="Q4204" t="str">
        <f>IF(COUNTIF(Customers!$A$2:$A$1001,B4204)&gt;0,"Valid","Invalid")</f>
        <v>Valid</v>
      </c>
      <c r="R4204" t="str">
        <f>IF(COUNTIF(Branches!$A$2:$A$11,F4204)&gt;0,"Valid","Invalid")</f>
        <v>Valid</v>
      </c>
    </row>
    <row r="4205" spans="1:18" x14ac:dyDescent="0.25">
      <c r="A4205" t="s">
        <v>6276</v>
      </c>
      <c r="B4205" t="s">
        <v>648</v>
      </c>
      <c r="C4205" s="8">
        <v>46166</v>
      </c>
      <c r="D4205" t="s">
        <v>2065</v>
      </c>
      <c r="E4205" t="s">
        <v>2068</v>
      </c>
      <c r="F4205" t="s">
        <v>39</v>
      </c>
      <c r="G4205">
        <v>849.37</v>
      </c>
      <c r="H4205" t="s">
        <v>2060</v>
      </c>
      <c r="I4205" t="str">
        <f>VLOOKUP(B4205,Customers!A:G,7,FALSE)</f>
        <v>Individual</v>
      </c>
      <c r="Q4205" t="str">
        <f>IF(COUNTIF(Customers!$A$2:$A$1001,B4205)&gt;0,"Valid","Invalid")</f>
        <v>Valid</v>
      </c>
      <c r="R4205" t="str">
        <f>IF(COUNTIF(Branches!$A$2:$A$11,F4205)&gt;0,"Valid","Invalid")</f>
        <v>Valid</v>
      </c>
    </row>
    <row r="4206" spans="1:18" x14ac:dyDescent="0.25">
      <c r="A4206" t="s">
        <v>6277</v>
      </c>
      <c r="B4206" t="s">
        <v>98</v>
      </c>
      <c r="C4206" s="8">
        <v>46105</v>
      </c>
      <c r="D4206" t="s">
        <v>2067</v>
      </c>
      <c r="E4206" t="s">
        <v>2059</v>
      </c>
      <c r="F4206" t="s">
        <v>39</v>
      </c>
      <c r="G4206">
        <v>1614.65</v>
      </c>
      <c r="H4206" t="s">
        <v>2060</v>
      </c>
      <c r="I4206" t="str">
        <f>VLOOKUP(B4206,Customers!A:G,7,FALSE)</f>
        <v>Individual</v>
      </c>
      <c r="Q4206" t="str">
        <f>IF(COUNTIF(Customers!$A$2:$A$1001,B4206)&gt;0,"Valid","Invalid")</f>
        <v>Valid</v>
      </c>
      <c r="R4206" t="str">
        <f>IF(COUNTIF(Branches!$A$2:$A$11,F4206)&gt;0,"Valid","Invalid")</f>
        <v>Valid</v>
      </c>
    </row>
    <row r="4207" spans="1:18" x14ac:dyDescent="0.25">
      <c r="A4207" t="s">
        <v>6278</v>
      </c>
      <c r="B4207" t="s">
        <v>814</v>
      </c>
      <c r="C4207" s="8">
        <v>46116</v>
      </c>
      <c r="D4207" t="s">
        <v>2065</v>
      </c>
      <c r="E4207" t="s">
        <v>2076</v>
      </c>
      <c r="F4207" t="s">
        <v>27</v>
      </c>
      <c r="G4207">
        <v>1802.66</v>
      </c>
      <c r="H4207" t="s">
        <v>2060</v>
      </c>
      <c r="I4207" t="str">
        <f>VLOOKUP(B4207,Customers!A:G,7,FALSE)</f>
        <v>Individual</v>
      </c>
      <c r="Q4207" t="str">
        <f>IF(COUNTIF(Customers!$A$2:$A$1001,B4207)&gt;0,"Valid","Invalid")</f>
        <v>Valid</v>
      </c>
      <c r="R4207" t="str">
        <f>IF(COUNTIF(Branches!$A$2:$A$11,F4207)&gt;0,"Valid","Invalid")</f>
        <v>Valid</v>
      </c>
    </row>
    <row r="4208" spans="1:18" x14ac:dyDescent="0.25">
      <c r="A4208" t="s">
        <v>6279</v>
      </c>
      <c r="B4208" t="s">
        <v>663</v>
      </c>
      <c r="C4208" s="8">
        <v>46127</v>
      </c>
      <c r="D4208" t="s">
        <v>2065</v>
      </c>
      <c r="E4208" t="s">
        <v>2063</v>
      </c>
      <c r="F4208" t="s">
        <v>53</v>
      </c>
      <c r="G4208">
        <v>208.6</v>
      </c>
      <c r="H4208" t="s">
        <v>2060</v>
      </c>
      <c r="I4208" t="str">
        <f>VLOOKUP(B4208,Customers!A:G,7,FALSE)</f>
        <v>SME</v>
      </c>
      <c r="Q4208" t="str">
        <f>IF(COUNTIF(Customers!$A$2:$A$1001,B4208)&gt;0,"Valid","Invalid")</f>
        <v>Valid</v>
      </c>
      <c r="R4208" t="str">
        <f>IF(COUNTIF(Branches!$A$2:$A$11,F4208)&gt;0,"Valid","Invalid")</f>
        <v>Valid</v>
      </c>
    </row>
    <row r="4209" spans="1:18" x14ac:dyDescent="0.25">
      <c r="A4209" t="s">
        <v>6280</v>
      </c>
      <c r="B4209" t="s">
        <v>467</v>
      </c>
      <c r="C4209" s="8">
        <v>46166</v>
      </c>
      <c r="D4209" t="s">
        <v>2065</v>
      </c>
      <c r="E4209" t="s">
        <v>2063</v>
      </c>
      <c r="F4209" t="s">
        <v>53</v>
      </c>
      <c r="G4209">
        <v>2925.08</v>
      </c>
      <c r="H4209" t="s">
        <v>2060</v>
      </c>
      <c r="I4209" t="str">
        <f>VLOOKUP(B4209,Customers!A:G,7,FALSE)</f>
        <v>SME</v>
      </c>
      <c r="Q4209" t="str">
        <f>IF(COUNTIF(Customers!$A$2:$A$1001,B4209)&gt;0,"Valid","Invalid")</f>
        <v>Valid</v>
      </c>
      <c r="R4209" t="str">
        <f>IF(COUNTIF(Branches!$A$2:$A$11,F4209)&gt;0,"Valid","Invalid")</f>
        <v>Valid</v>
      </c>
    </row>
    <row r="4210" spans="1:18" x14ac:dyDescent="0.25">
      <c r="A4210" t="s">
        <v>6281</v>
      </c>
      <c r="B4210" t="s">
        <v>696</v>
      </c>
      <c r="C4210" s="8">
        <v>46053</v>
      </c>
      <c r="D4210" t="s">
        <v>2058</v>
      </c>
      <c r="E4210" t="s">
        <v>2059</v>
      </c>
      <c r="F4210" t="s">
        <v>35</v>
      </c>
      <c r="G4210">
        <v>494.32</v>
      </c>
      <c r="H4210" t="s">
        <v>2060</v>
      </c>
      <c r="I4210" t="str">
        <f>VLOOKUP(B4210,Customers!A:G,7,FALSE)</f>
        <v>Individual</v>
      </c>
      <c r="Q4210" t="str">
        <f>IF(COUNTIF(Customers!$A$2:$A$1001,B4210)&gt;0,"Valid","Invalid")</f>
        <v>Valid</v>
      </c>
      <c r="R4210" t="str">
        <f>IF(COUNTIF(Branches!$A$2:$A$11,F4210)&gt;0,"Valid","Invalid")</f>
        <v>Valid</v>
      </c>
    </row>
    <row r="4211" spans="1:18" x14ac:dyDescent="0.25">
      <c r="A4211" t="s">
        <v>6282</v>
      </c>
      <c r="B4211" t="s">
        <v>766</v>
      </c>
      <c r="C4211" s="8">
        <v>46140</v>
      </c>
      <c r="D4211" t="s">
        <v>2058</v>
      </c>
      <c r="E4211" t="s">
        <v>2063</v>
      </c>
      <c r="F4211" t="s">
        <v>29</v>
      </c>
      <c r="G4211">
        <v>447.69</v>
      </c>
      <c r="H4211" t="s">
        <v>2060</v>
      </c>
      <c r="I4211" t="str">
        <f>VLOOKUP(B4211,Customers!A:G,7,FALSE)</f>
        <v>Individual</v>
      </c>
      <c r="Q4211" t="str">
        <f>IF(COUNTIF(Customers!$A$2:$A$1001,B4211)&gt;0,"Valid","Invalid")</f>
        <v>Valid</v>
      </c>
      <c r="R4211" t="str">
        <f>IF(COUNTIF(Branches!$A$2:$A$11,F4211)&gt;0,"Valid","Invalid")</f>
        <v>Valid</v>
      </c>
    </row>
    <row r="4212" spans="1:18" x14ac:dyDescent="0.25">
      <c r="A4212" t="s">
        <v>6283</v>
      </c>
      <c r="B4212" t="s">
        <v>294</v>
      </c>
      <c r="C4212" s="8">
        <v>46208</v>
      </c>
      <c r="D4212" t="s">
        <v>2058</v>
      </c>
      <c r="E4212" t="s">
        <v>2063</v>
      </c>
      <c r="F4212" t="s">
        <v>29</v>
      </c>
      <c r="G4212">
        <v>446.25</v>
      </c>
      <c r="H4212" t="s">
        <v>2060</v>
      </c>
      <c r="I4212" t="str">
        <f>VLOOKUP(B4212,Customers!A:G,7,FALSE)</f>
        <v>Individual</v>
      </c>
      <c r="Q4212" t="str">
        <f>IF(COUNTIF(Customers!$A$2:$A$1001,B4212)&gt;0,"Valid","Invalid")</f>
        <v>Valid</v>
      </c>
      <c r="R4212" t="str">
        <f>IF(COUNTIF(Branches!$A$2:$A$11,F4212)&gt;0,"Valid","Invalid")</f>
        <v>Valid</v>
      </c>
    </row>
    <row r="4213" spans="1:18" x14ac:dyDescent="0.25">
      <c r="A4213" t="s">
        <v>6284</v>
      </c>
      <c r="B4213" t="s">
        <v>866</v>
      </c>
      <c r="C4213" s="8">
        <v>46050</v>
      </c>
      <c r="D4213" t="s">
        <v>2065</v>
      </c>
      <c r="E4213" t="s">
        <v>2063</v>
      </c>
      <c r="F4213" t="s">
        <v>53</v>
      </c>
      <c r="G4213">
        <v>1823.62</v>
      </c>
      <c r="H4213" t="s">
        <v>2060</v>
      </c>
      <c r="I4213" t="str">
        <f>VLOOKUP(B4213,Customers!A:G,7,FALSE)</f>
        <v>Individual</v>
      </c>
      <c r="Q4213" t="str">
        <f>IF(COUNTIF(Customers!$A$2:$A$1001,B4213)&gt;0,"Valid","Invalid")</f>
        <v>Valid</v>
      </c>
      <c r="R4213" t="str">
        <f>IF(COUNTIF(Branches!$A$2:$A$11,F4213)&gt;0,"Valid","Invalid")</f>
        <v>Valid</v>
      </c>
    </row>
    <row r="4214" spans="1:18" x14ac:dyDescent="0.25">
      <c r="A4214" t="s">
        <v>6285</v>
      </c>
      <c r="B4214" t="s">
        <v>866</v>
      </c>
      <c r="C4214" s="8">
        <v>46026</v>
      </c>
      <c r="D4214" t="s">
        <v>2058</v>
      </c>
      <c r="E4214" t="s">
        <v>2068</v>
      </c>
      <c r="F4214" t="s">
        <v>11</v>
      </c>
      <c r="G4214">
        <v>622</v>
      </c>
      <c r="H4214" t="s">
        <v>2060</v>
      </c>
      <c r="I4214" t="str">
        <f>VLOOKUP(B4214,Customers!A:G,7,FALSE)</f>
        <v>Individual</v>
      </c>
      <c r="Q4214" t="str">
        <f>IF(COUNTIF(Customers!$A$2:$A$1001,B4214)&gt;0,"Valid","Invalid")</f>
        <v>Valid</v>
      </c>
      <c r="R4214" t="str">
        <f>IF(COUNTIF(Branches!$A$2:$A$11,F4214)&gt;0,"Valid","Invalid")</f>
        <v>Valid</v>
      </c>
    </row>
    <row r="4215" spans="1:18" x14ac:dyDescent="0.25">
      <c r="A4215" t="s">
        <v>6286</v>
      </c>
      <c r="B4215" t="s">
        <v>912</v>
      </c>
      <c r="C4215" s="8">
        <v>46160</v>
      </c>
      <c r="D4215" t="s">
        <v>2062</v>
      </c>
      <c r="E4215" t="s">
        <v>2063</v>
      </c>
      <c r="F4215" t="s">
        <v>11</v>
      </c>
      <c r="G4215">
        <v>418.4</v>
      </c>
      <c r="H4215" t="s">
        <v>2060</v>
      </c>
      <c r="I4215" t="str">
        <f>VLOOKUP(B4215,Customers!A:G,7,FALSE)</f>
        <v>Individual</v>
      </c>
      <c r="Q4215" t="str">
        <f>IF(COUNTIF(Customers!$A$2:$A$1001,B4215)&gt;0,"Valid","Invalid")</f>
        <v>Valid</v>
      </c>
      <c r="R4215" t="str">
        <f>IF(COUNTIF(Branches!$A$2:$A$11,F4215)&gt;0,"Valid","Invalid")</f>
        <v>Valid</v>
      </c>
    </row>
    <row r="4216" spans="1:18" x14ac:dyDescent="0.25">
      <c r="A4216" t="s">
        <v>6287</v>
      </c>
      <c r="B4216" t="s">
        <v>808</v>
      </c>
      <c r="C4216" s="8">
        <v>46201</v>
      </c>
      <c r="D4216" t="s">
        <v>2067</v>
      </c>
      <c r="E4216" t="s">
        <v>2068</v>
      </c>
      <c r="F4216" t="s">
        <v>16</v>
      </c>
      <c r="G4216">
        <v>531.67999999999995</v>
      </c>
      <c r="H4216" t="s">
        <v>2060</v>
      </c>
      <c r="I4216" t="str">
        <f>VLOOKUP(B4216,Customers!A:G,7,FALSE)</f>
        <v>Individual</v>
      </c>
      <c r="Q4216" t="str">
        <f>IF(COUNTIF(Customers!$A$2:$A$1001,B4216)&gt;0,"Valid","Invalid")</f>
        <v>Valid</v>
      </c>
      <c r="R4216" t="str">
        <f>IF(COUNTIF(Branches!$A$2:$A$11,F4216)&gt;0,"Valid","Invalid")</f>
        <v>Valid</v>
      </c>
    </row>
    <row r="4217" spans="1:18" x14ac:dyDescent="0.25">
      <c r="A4217" t="s">
        <v>6288</v>
      </c>
      <c r="B4217" t="s">
        <v>744</v>
      </c>
      <c r="C4217" s="8">
        <v>46259</v>
      </c>
      <c r="D4217" t="s">
        <v>2062</v>
      </c>
      <c r="E4217" t="s">
        <v>2063</v>
      </c>
      <c r="F4217" t="s">
        <v>21</v>
      </c>
      <c r="G4217">
        <v>135</v>
      </c>
      <c r="H4217" t="s">
        <v>2060</v>
      </c>
      <c r="I4217" t="str">
        <f>VLOOKUP(B4217,Customers!A:G,7,FALSE)</f>
        <v>Individual</v>
      </c>
      <c r="Q4217" t="str">
        <f>IF(COUNTIF(Customers!$A$2:$A$1001,B4217)&gt;0,"Valid","Invalid")</f>
        <v>Valid</v>
      </c>
      <c r="R4217" t="str">
        <f>IF(COUNTIF(Branches!$A$2:$A$11,F4217)&gt;0,"Valid","Invalid")</f>
        <v>Valid</v>
      </c>
    </row>
    <row r="4218" spans="1:18" x14ac:dyDescent="0.25">
      <c r="A4218" t="s">
        <v>6289</v>
      </c>
      <c r="B4218" t="s">
        <v>385</v>
      </c>
      <c r="C4218" s="8">
        <v>46040</v>
      </c>
      <c r="D4218" t="s">
        <v>2058</v>
      </c>
      <c r="E4218" t="s">
        <v>2063</v>
      </c>
      <c r="F4218" t="s">
        <v>35</v>
      </c>
      <c r="G4218">
        <v>349.97</v>
      </c>
      <c r="H4218" t="s">
        <v>2060</v>
      </c>
      <c r="I4218" t="str">
        <f>VLOOKUP(B4218,Customers!A:G,7,FALSE)</f>
        <v>Individual</v>
      </c>
      <c r="Q4218" t="str">
        <f>IF(COUNTIF(Customers!$A$2:$A$1001,B4218)&gt;0,"Valid","Invalid")</f>
        <v>Valid</v>
      </c>
      <c r="R4218" t="str">
        <f>IF(COUNTIF(Branches!$A$2:$A$11,F4218)&gt;0,"Valid","Invalid")</f>
        <v>Valid</v>
      </c>
    </row>
    <row r="4219" spans="1:18" x14ac:dyDescent="0.25">
      <c r="A4219" t="s">
        <v>6290</v>
      </c>
      <c r="B4219" t="s">
        <v>564</v>
      </c>
      <c r="C4219" s="8">
        <v>46069</v>
      </c>
      <c r="D4219" t="s">
        <v>2062</v>
      </c>
      <c r="E4219" t="s">
        <v>2059</v>
      </c>
      <c r="F4219" t="s">
        <v>11</v>
      </c>
      <c r="G4219">
        <v>235.2</v>
      </c>
      <c r="H4219" t="s">
        <v>2060</v>
      </c>
      <c r="I4219" t="str">
        <f>VLOOKUP(B4219,Customers!A:G,7,FALSE)</f>
        <v>SME</v>
      </c>
      <c r="Q4219" t="str">
        <f>IF(COUNTIF(Customers!$A$2:$A$1001,B4219)&gt;0,"Valid","Invalid")</f>
        <v>Valid</v>
      </c>
      <c r="R4219" t="str">
        <f>IF(COUNTIF(Branches!$A$2:$A$11,F4219)&gt;0,"Valid","Invalid")</f>
        <v>Valid</v>
      </c>
    </row>
    <row r="4220" spans="1:18" x14ac:dyDescent="0.25">
      <c r="A4220" t="s">
        <v>6291</v>
      </c>
      <c r="B4220" t="s">
        <v>342</v>
      </c>
      <c r="C4220" s="8">
        <v>46182</v>
      </c>
      <c r="D4220" t="s">
        <v>2065</v>
      </c>
      <c r="E4220" t="s">
        <v>2059</v>
      </c>
      <c r="F4220" t="s">
        <v>47</v>
      </c>
      <c r="G4220">
        <v>620.69000000000005</v>
      </c>
      <c r="H4220" t="s">
        <v>2060</v>
      </c>
      <c r="I4220" t="str">
        <f>VLOOKUP(B4220,Customers!A:G,7,FALSE)</f>
        <v>Individual</v>
      </c>
      <c r="Q4220" t="str">
        <f>IF(COUNTIF(Customers!$A$2:$A$1001,B4220)&gt;0,"Valid","Invalid")</f>
        <v>Valid</v>
      </c>
      <c r="R4220" t="str">
        <f>IF(COUNTIF(Branches!$A$2:$A$11,F4220)&gt;0,"Valid","Invalid")</f>
        <v>Valid</v>
      </c>
    </row>
    <row r="4221" spans="1:18" x14ac:dyDescent="0.25">
      <c r="A4221" t="s">
        <v>6292</v>
      </c>
      <c r="B4221" t="s">
        <v>653</v>
      </c>
      <c r="C4221" s="8">
        <v>46180</v>
      </c>
      <c r="D4221" t="s">
        <v>2065</v>
      </c>
      <c r="E4221" t="s">
        <v>2059</v>
      </c>
      <c r="F4221" t="s">
        <v>21</v>
      </c>
      <c r="G4221">
        <v>1578.44</v>
      </c>
      <c r="H4221" t="s">
        <v>2060</v>
      </c>
      <c r="I4221" t="str">
        <f>VLOOKUP(B4221,Customers!A:G,7,FALSE)</f>
        <v>Individual</v>
      </c>
      <c r="Q4221" t="str">
        <f>IF(COUNTIF(Customers!$A$2:$A$1001,B4221)&gt;0,"Valid","Invalid")</f>
        <v>Valid</v>
      </c>
      <c r="R4221" t="str">
        <f>IF(COUNTIF(Branches!$A$2:$A$11,F4221)&gt;0,"Valid","Invalid")</f>
        <v>Valid</v>
      </c>
    </row>
    <row r="4222" spans="1:18" x14ac:dyDescent="0.25">
      <c r="A4222" t="s">
        <v>6293</v>
      </c>
      <c r="B4222" t="s">
        <v>283</v>
      </c>
      <c r="C4222" s="8">
        <v>46186</v>
      </c>
      <c r="D4222" t="s">
        <v>2062</v>
      </c>
      <c r="E4222" t="s">
        <v>2059</v>
      </c>
      <c r="F4222" t="s">
        <v>45</v>
      </c>
      <c r="G4222">
        <v>1413.57</v>
      </c>
      <c r="H4222" t="s">
        <v>2060</v>
      </c>
      <c r="I4222" t="str">
        <f>VLOOKUP(B4222,Customers!A:G,7,FALSE)</f>
        <v>Individual</v>
      </c>
      <c r="Q4222" t="str">
        <f>IF(COUNTIF(Customers!$A$2:$A$1001,B4222)&gt;0,"Valid","Invalid")</f>
        <v>Valid</v>
      </c>
      <c r="R4222" t="str">
        <f>IF(COUNTIF(Branches!$A$2:$A$11,F4222)&gt;0,"Valid","Invalid")</f>
        <v>Valid</v>
      </c>
    </row>
    <row r="4223" spans="1:18" x14ac:dyDescent="0.25">
      <c r="A4223" t="s">
        <v>6294</v>
      </c>
      <c r="B4223" t="s">
        <v>795</v>
      </c>
      <c r="C4223" s="8">
        <v>46031</v>
      </c>
      <c r="D4223" t="s">
        <v>2062</v>
      </c>
      <c r="E4223" t="s">
        <v>2063</v>
      </c>
      <c r="F4223" t="s">
        <v>27</v>
      </c>
      <c r="G4223">
        <v>2854.78</v>
      </c>
      <c r="H4223" t="s">
        <v>2115</v>
      </c>
      <c r="I4223" t="str">
        <f>VLOOKUP(B4223,Customers!A:G,7,FALSE)</f>
        <v>Individual</v>
      </c>
      <c r="Q4223" t="str">
        <f>IF(COUNTIF(Customers!$A$2:$A$1001,B4223)&gt;0,"Valid","Invalid")</f>
        <v>Valid</v>
      </c>
      <c r="R4223" t="str">
        <f>IF(COUNTIF(Branches!$A$2:$A$11,F4223)&gt;0,"Valid","Invalid")</f>
        <v>Valid</v>
      </c>
    </row>
    <row r="4224" spans="1:18" x14ac:dyDescent="0.25">
      <c r="A4224" t="s">
        <v>6295</v>
      </c>
      <c r="B4224" t="s">
        <v>862</v>
      </c>
      <c r="C4224" s="8">
        <v>46186</v>
      </c>
      <c r="D4224" t="s">
        <v>2065</v>
      </c>
      <c r="E4224" t="s">
        <v>2076</v>
      </c>
      <c r="F4224" t="s">
        <v>35</v>
      </c>
      <c r="G4224">
        <v>2284.67</v>
      </c>
      <c r="H4224" t="s">
        <v>2060</v>
      </c>
      <c r="I4224" t="str">
        <f>VLOOKUP(B4224,Customers!A:G,7,FALSE)</f>
        <v>SME</v>
      </c>
      <c r="Q4224" t="str">
        <f>IF(COUNTIF(Customers!$A$2:$A$1001,B4224)&gt;0,"Valid","Invalid")</f>
        <v>Valid</v>
      </c>
      <c r="R4224" t="str">
        <f>IF(COUNTIF(Branches!$A$2:$A$11,F4224)&gt;0,"Valid","Invalid")</f>
        <v>Valid</v>
      </c>
    </row>
    <row r="4225" spans="1:18" x14ac:dyDescent="0.25">
      <c r="A4225" t="s">
        <v>6296</v>
      </c>
      <c r="B4225" t="s">
        <v>818</v>
      </c>
      <c r="C4225" s="8">
        <v>46051</v>
      </c>
      <c r="D4225" t="s">
        <v>2067</v>
      </c>
      <c r="E4225" t="s">
        <v>2059</v>
      </c>
      <c r="F4225" t="s">
        <v>16</v>
      </c>
      <c r="G4225">
        <v>478.86</v>
      </c>
      <c r="H4225" t="s">
        <v>2060</v>
      </c>
      <c r="I4225" t="str">
        <f>VLOOKUP(B4225,Customers!A:G,7,FALSE)</f>
        <v>Corporate</v>
      </c>
      <c r="Q4225" t="str">
        <f>IF(COUNTIF(Customers!$A$2:$A$1001,B4225)&gt;0,"Valid","Invalid")</f>
        <v>Valid</v>
      </c>
      <c r="R4225" t="str">
        <f>IF(COUNTIF(Branches!$A$2:$A$11,F4225)&gt;0,"Valid","Invalid")</f>
        <v>Valid</v>
      </c>
    </row>
    <row r="4226" spans="1:18" x14ac:dyDescent="0.25">
      <c r="A4226" t="s">
        <v>6297</v>
      </c>
      <c r="B4226" t="s">
        <v>774</v>
      </c>
      <c r="C4226" s="8">
        <v>46166</v>
      </c>
      <c r="D4226" t="s">
        <v>2058</v>
      </c>
      <c r="E4226" t="s">
        <v>2063</v>
      </c>
      <c r="F4226" t="s">
        <v>53</v>
      </c>
      <c r="G4226">
        <v>828.05</v>
      </c>
      <c r="H4226" t="s">
        <v>2060</v>
      </c>
      <c r="I4226" t="str">
        <f>VLOOKUP(B4226,Customers!A:G,7,FALSE)</f>
        <v>Individual</v>
      </c>
      <c r="Q4226" t="str">
        <f>IF(COUNTIF(Customers!$A$2:$A$1001,B4226)&gt;0,"Valid","Invalid")</f>
        <v>Valid</v>
      </c>
      <c r="R4226" t="str">
        <f>IF(COUNTIF(Branches!$A$2:$A$11,F4226)&gt;0,"Valid","Invalid")</f>
        <v>Valid</v>
      </c>
    </row>
    <row r="4227" spans="1:18" x14ac:dyDescent="0.25">
      <c r="A4227" t="s">
        <v>6298</v>
      </c>
      <c r="B4227" t="s">
        <v>770</v>
      </c>
      <c r="C4227" s="8">
        <v>46114</v>
      </c>
      <c r="D4227" t="s">
        <v>2058</v>
      </c>
      <c r="E4227" t="s">
        <v>2068</v>
      </c>
      <c r="F4227" t="s">
        <v>47</v>
      </c>
      <c r="G4227">
        <v>786.38</v>
      </c>
      <c r="H4227" t="s">
        <v>2060</v>
      </c>
      <c r="I4227" t="str">
        <f>VLOOKUP(B4227,Customers!A:G,7,FALSE)</f>
        <v>Individual</v>
      </c>
      <c r="Q4227" t="str">
        <f>IF(COUNTIF(Customers!$A$2:$A$1001,B4227)&gt;0,"Valid","Invalid")</f>
        <v>Valid</v>
      </c>
      <c r="R4227" t="str">
        <f>IF(COUNTIF(Branches!$A$2:$A$11,F4227)&gt;0,"Valid","Invalid")</f>
        <v>Valid</v>
      </c>
    </row>
    <row r="4228" spans="1:18" x14ac:dyDescent="0.25">
      <c r="A4228" t="s">
        <v>6299</v>
      </c>
      <c r="B4228" t="s">
        <v>861</v>
      </c>
      <c r="C4228" s="8">
        <v>46171</v>
      </c>
      <c r="D4228" t="s">
        <v>2062</v>
      </c>
      <c r="E4228" t="s">
        <v>2076</v>
      </c>
      <c r="F4228" t="s">
        <v>27</v>
      </c>
      <c r="G4228">
        <v>94.53</v>
      </c>
      <c r="H4228" t="s">
        <v>2060</v>
      </c>
      <c r="I4228" t="str">
        <f>VLOOKUP(B4228,Customers!A:G,7,FALSE)</f>
        <v>SME</v>
      </c>
      <c r="Q4228" t="str">
        <f>IF(COUNTIF(Customers!$A$2:$A$1001,B4228)&gt;0,"Valid","Invalid")</f>
        <v>Valid</v>
      </c>
      <c r="R4228" t="str">
        <f>IF(COUNTIF(Branches!$A$2:$A$11,F4228)&gt;0,"Valid","Invalid")</f>
        <v>Valid</v>
      </c>
    </row>
    <row r="4229" spans="1:18" x14ac:dyDescent="0.25">
      <c r="A4229" t="s">
        <v>6300</v>
      </c>
      <c r="B4229" t="s">
        <v>450</v>
      </c>
      <c r="C4229" s="8">
        <v>46086</v>
      </c>
      <c r="D4229" t="s">
        <v>2065</v>
      </c>
      <c r="E4229" t="s">
        <v>2059</v>
      </c>
      <c r="F4229" t="s">
        <v>16</v>
      </c>
      <c r="G4229">
        <v>240.5</v>
      </c>
      <c r="H4229" t="s">
        <v>2060</v>
      </c>
      <c r="I4229" t="str">
        <f>VLOOKUP(B4229,Customers!A:G,7,FALSE)</f>
        <v>Individual</v>
      </c>
      <c r="Q4229" t="str">
        <f>IF(COUNTIF(Customers!$A$2:$A$1001,B4229)&gt;0,"Valid","Invalid")</f>
        <v>Valid</v>
      </c>
      <c r="R4229" t="str">
        <f>IF(COUNTIF(Branches!$A$2:$A$11,F4229)&gt;0,"Valid","Invalid")</f>
        <v>Valid</v>
      </c>
    </row>
    <row r="4230" spans="1:18" x14ac:dyDescent="0.25">
      <c r="A4230" t="s">
        <v>6301</v>
      </c>
      <c r="B4230" t="s">
        <v>916</v>
      </c>
      <c r="C4230" s="8">
        <v>46133</v>
      </c>
      <c r="D4230" t="s">
        <v>2067</v>
      </c>
      <c r="E4230" t="s">
        <v>2068</v>
      </c>
      <c r="F4230" t="s">
        <v>11</v>
      </c>
      <c r="G4230">
        <v>687.26</v>
      </c>
      <c r="H4230" t="s">
        <v>2060</v>
      </c>
      <c r="I4230" t="str">
        <f>VLOOKUP(B4230,Customers!A:G,7,FALSE)</f>
        <v>Individual</v>
      </c>
      <c r="Q4230" t="str">
        <f>IF(COUNTIF(Customers!$A$2:$A$1001,B4230)&gt;0,"Valid","Invalid")</f>
        <v>Valid</v>
      </c>
      <c r="R4230" t="str">
        <f>IF(COUNTIF(Branches!$A$2:$A$11,F4230)&gt;0,"Valid","Invalid")</f>
        <v>Valid</v>
      </c>
    </row>
    <row r="4231" spans="1:18" x14ac:dyDescent="0.25">
      <c r="A4231" t="s">
        <v>6302</v>
      </c>
      <c r="B4231" t="s">
        <v>254</v>
      </c>
      <c r="C4231" s="8">
        <v>46216</v>
      </c>
      <c r="D4231" t="s">
        <v>2065</v>
      </c>
      <c r="E4231" t="s">
        <v>2073</v>
      </c>
      <c r="F4231" t="s">
        <v>39</v>
      </c>
      <c r="G4231">
        <v>683.42</v>
      </c>
      <c r="H4231" t="s">
        <v>2060</v>
      </c>
      <c r="I4231" t="str">
        <f>VLOOKUP(B4231,Customers!A:G,7,FALSE)</f>
        <v>Individual</v>
      </c>
      <c r="Q4231" t="str">
        <f>IF(COUNTIF(Customers!$A$2:$A$1001,B4231)&gt;0,"Valid","Invalid")</f>
        <v>Valid</v>
      </c>
      <c r="R4231" t="str">
        <f>IF(COUNTIF(Branches!$A$2:$A$11,F4231)&gt;0,"Valid","Invalid")</f>
        <v>Valid</v>
      </c>
    </row>
    <row r="4232" spans="1:18" x14ac:dyDescent="0.25">
      <c r="A4232" t="s">
        <v>6303</v>
      </c>
      <c r="B4232" t="s">
        <v>554</v>
      </c>
      <c r="C4232" s="8">
        <v>46146</v>
      </c>
      <c r="D4232" t="s">
        <v>2067</v>
      </c>
      <c r="E4232" t="s">
        <v>2059</v>
      </c>
      <c r="F4232" t="s">
        <v>39</v>
      </c>
      <c r="G4232">
        <v>1356.04</v>
      </c>
      <c r="H4232" t="s">
        <v>2060</v>
      </c>
      <c r="I4232" t="str">
        <f>VLOOKUP(B4232,Customers!A:G,7,FALSE)</f>
        <v>Student</v>
      </c>
      <c r="Q4232" t="str">
        <f>IF(COUNTIF(Customers!$A$2:$A$1001,B4232)&gt;0,"Valid","Invalid")</f>
        <v>Valid</v>
      </c>
      <c r="R4232" t="str">
        <f>IF(COUNTIF(Branches!$A$2:$A$11,F4232)&gt;0,"Valid","Invalid")</f>
        <v>Valid</v>
      </c>
    </row>
    <row r="4233" spans="1:18" x14ac:dyDescent="0.25">
      <c r="A4233" t="s">
        <v>6304</v>
      </c>
      <c r="B4233" t="s">
        <v>512</v>
      </c>
      <c r="C4233" s="8">
        <v>46209</v>
      </c>
      <c r="D4233" t="s">
        <v>2065</v>
      </c>
      <c r="E4233" t="s">
        <v>2063</v>
      </c>
      <c r="F4233" t="s">
        <v>47</v>
      </c>
      <c r="G4233">
        <v>1291.6099999999999</v>
      </c>
      <c r="H4233" t="s">
        <v>2115</v>
      </c>
      <c r="I4233" t="str">
        <f>VLOOKUP(B4233,Customers!A:G,7,FALSE)</f>
        <v>Individual</v>
      </c>
      <c r="Q4233" t="str">
        <f>IF(COUNTIF(Customers!$A$2:$A$1001,B4233)&gt;0,"Valid","Invalid")</f>
        <v>Valid</v>
      </c>
      <c r="R4233" t="str">
        <f>IF(COUNTIF(Branches!$A$2:$A$11,F4233)&gt;0,"Valid","Invalid")</f>
        <v>Valid</v>
      </c>
    </row>
    <row r="4234" spans="1:18" x14ac:dyDescent="0.25">
      <c r="A4234" t="s">
        <v>6305</v>
      </c>
      <c r="B4234" t="s">
        <v>70</v>
      </c>
      <c r="C4234" s="8">
        <v>46132</v>
      </c>
      <c r="D4234" t="s">
        <v>2062</v>
      </c>
      <c r="E4234" t="s">
        <v>2073</v>
      </c>
      <c r="F4234" t="s">
        <v>27</v>
      </c>
      <c r="G4234">
        <v>138.28</v>
      </c>
      <c r="H4234" t="s">
        <v>2060</v>
      </c>
      <c r="I4234" t="str">
        <f>VLOOKUP(B4234,Customers!A:G,7,FALSE)</f>
        <v>Individual</v>
      </c>
      <c r="Q4234" t="str">
        <f>IF(COUNTIF(Customers!$A$2:$A$1001,B4234)&gt;0,"Valid","Invalid")</f>
        <v>Valid</v>
      </c>
      <c r="R4234" t="str">
        <f>IF(COUNTIF(Branches!$A$2:$A$11,F4234)&gt;0,"Valid","Invalid")</f>
        <v>Valid</v>
      </c>
    </row>
    <row r="4235" spans="1:18" x14ac:dyDescent="0.25">
      <c r="A4235" t="s">
        <v>6306</v>
      </c>
      <c r="B4235" t="s">
        <v>214</v>
      </c>
      <c r="C4235" s="8">
        <v>46249</v>
      </c>
      <c r="D4235" t="s">
        <v>2058</v>
      </c>
      <c r="E4235" t="s">
        <v>2063</v>
      </c>
      <c r="F4235" t="s">
        <v>11</v>
      </c>
      <c r="G4235">
        <v>1364.57</v>
      </c>
      <c r="H4235" t="s">
        <v>2060</v>
      </c>
      <c r="I4235" t="str">
        <f>VLOOKUP(B4235,Customers!A:G,7,FALSE)</f>
        <v>Student</v>
      </c>
      <c r="Q4235" t="str">
        <f>IF(COUNTIF(Customers!$A$2:$A$1001,B4235)&gt;0,"Valid","Invalid")</f>
        <v>Valid</v>
      </c>
      <c r="R4235" t="str">
        <f>IF(COUNTIF(Branches!$A$2:$A$11,F4235)&gt;0,"Valid","Invalid")</f>
        <v>Valid</v>
      </c>
    </row>
    <row r="4236" spans="1:18" x14ac:dyDescent="0.25">
      <c r="A4236" t="s">
        <v>6307</v>
      </c>
      <c r="B4236" t="s">
        <v>425</v>
      </c>
      <c r="C4236" s="8">
        <v>46140</v>
      </c>
      <c r="D4236" t="s">
        <v>2062</v>
      </c>
      <c r="E4236" t="s">
        <v>2063</v>
      </c>
      <c r="F4236" t="s">
        <v>35</v>
      </c>
      <c r="G4236">
        <v>971.25</v>
      </c>
      <c r="H4236" t="s">
        <v>2060</v>
      </c>
      <c r="I4236" t="str">
        <f>VLOOKUP(B4236,Customers!A:G,7,FALSE)</f>
        <v>Student</v>
      </c>
      <c r="Q4236" t="str">
        <f>IF(COUNTIF(Customers!$A$2:$A$1001,B4236)&gt;0,"Valid","Invalid")</f>
        <v>Valid</v>
      </c>
      <c r="R4236" t="str">
        <f>IF(COUNTIF(Branches!$A$2:$A$11,F4236)&gt;0,"Valid","Invalid")</f>
        <v>Valid</v>
      </c>
    </row>
    <row r="4237" spans="1:18" x14ac:dyDescent="0.25">
      <c r="A4237" t="s">
        <v>6308</v>
      </c>
      <c r="B4237" t="s">
        <v>807</v>
      </c>
      <c r="C4237" s="8">
        <v>46178</v>
      </c>
      <c r="D4237" t="s">
        <v>2065</v>
      </c>
      <c r="E4237" t="s">
        <v>2063</v>
      </c>
      <c r="F4237" t="s">
        <v>21</v>
      </c>
      <c r="G4237">
        <v>1515.31</v>
      </c>
      <c r="H4237" t="s">
        <v>2060</v>
      </c>
      <c r="I4237" t="str">
        <f>VLOOKUP(B4237,Customers!A:G,7,FALSE)</f>
        <v>SME</v>
      </c>
      <c r="Q4237" t="str">
        <f>IF(COUNTIF(Customers!$A$2:$A$1001,B4237)&gt;0,"Valid","Invalid")</f>
        <v>Valid</v>
      </c>
      <c r="R4237" t="str">
        <f>IF(COUNTIF(Branches!$A$2:$A$11,F4237)&gt;0,"Valid","Invalid")</f>
        <v>Valid</v>
      </c>
    </row>
    <row r="4238" spans="1:18" x14ac:dyDescent="0.25">
      <c r="A4238" t="s">
        <v>6309</v>
      </c>
      <c r="B4238" t="s">
        <v>50</v>
      </c>
      <c r="C4238" s="8">
        <v>46205</v>
      </c>
      <c r="D4238" t="s">
        <v>2065</v>
      </c>
      <c r="E4238" t="s">
        <v>2076</v>
      </c>
      <c r="F4238" t="s">
        <v>45</v>
      </c>
      <c r="G4238">
        <v>2361.06</v>
      </c>
      <c r="H4238" t="s">
        <v>2060</v>
      </c>
      <c r="I4238" t="str">
        <f>VLOOKUP(B4238,Customers!A:G,7,FALSE)</f>
        <v>SME</v>
      </c>
      <c r="Q4238" t="str">
        <f>IF(COUNTIF(Customers!$A$2:$A$1001,B4238)&gt;0,"Valid","Invalid")</f>
        <v>Valid</v>
      </c>
      <c r="R4238" t="str">
        <f>IF(COUNTIF(Branches!$A$2:$A$11,F4238)&gt;0,"Valid","Invalid")</f>
        <v>Valid</v>
      </c>
    </row>
    <row r="4239" spans="1:18" x14ac:dyDescent="0.25">
      <c r="A4239" t="s">
        <v>6310</v>
      </c>
      <c r="B4239" t="s">
        <v>749</v>
      </c>
      <c r="C4239" s="8">
        <v>46122</v>
      </c>
      <c r="D4239" t="s">
        <v>2065</v>
      </c>
      <c r="E4239" t="s">
        <v>2073</v>
      </c>
      <c r="F4239" t="s">
        <v>47</v>
      </c>
      <c r="G4239">
        <v>704.24</v>
      </c>
      <c r="H4239" t="s">
        <v>2060</v>
      </c>
      <c r="I4239" t="str">
        <f>VLOOKUP(B4239,Customers!A:G,7,FALSE)</f>
        <v>Individual</v>
      </c>
      <c r="Q4239" t="str">
        <f>IF(COUNTIF(Customers!$A$2:$A$1001,B4239)&gt;0,"Valid","Invalid")</f>
        <v>Valid</v>
      </c>
      <c r="R4239" t="str">
        <f>IF(COUNTIF(Branches!$A$2:$A$11,F4239)&gt;0,"Valid","Invalid")</f>
        <v>Valid</v>
      </c>
    </row>
    <row r="4240" spans="1:18" x14ac:dyDescent="0.25">
      <c r="A4240" t="s">
        <v>6311</v>
      </c>
      <c r="B4240" t="s">
        <v>868</v>
      </c>
      <c r="C4240" s="8">
        <v>46053</v>
      </c>
      <c r="D4240" t="s">
        <v>2067</v>
      </c>
      <c r="E4240" t="s">
        <v>2076</v>
      </c>
      <c r="F4240" t="s">
        <v>29</v>
      </c>
      <c r="G4240">
        <v>2823.09</v>
      </c>
      <c r="H4240" t="s">
        <v>2060</v>
      </c>
      <c r="I4240" t="str">
        <f>VLOOKUP(B4240,Customers!A:G,7,FALSE)</f>
        <v>Individual</v>
      </c>
      <c r="Q4240" t="str">
        <f>IF(COUNTIF(Customers!$A$2:$A$1001,B4240)&gt;0,"Valid","Invalid")</f>
        <v>Valid</v>
      </c>
      <c r="R4240" t="str">
        <f>IF(COUNTIF(Branches!$A$2:$A$11,F4240)&gt;0,"Valid","Invalid")</f>
        <v>Valid</v>
      </c>
    </row>
    <row r="4241" spans="1:18" x14ac:dyDescent="0.25">
      <c r="A4241" t="s">
        <v>6312</v>
      </c>
      <c r="B4241" t="s">
        <v>84</v>
      </c>
      <c r="C4241" s="8">
        <v>46183</v>
      </c>
      <c r="D4241" t="s">
        <v>2062</v>
      </c>
      <c r="E4241" t="s">
        <v>2073</v>
      </c>
      <c r="F4241" t="s">
        <v>35</v>
      </c>
      <c r="G4241">
        <v>333.82</v>
      </c>
      <c r="H4241" t="s">
        <v>2060</v>
      </c>
      <c r="I4241" t="str">
        <f>VLOOKUP(B4241,Customers!A:G,7,FALSE)</f>
        <v>SME</v>
      </c>
      <c r="Q4241" t="str">
        <f>IF(COUNTIF(Customers!$A$2:$A$1001,B4241)&gt;0,"Valid","Invalid")</f>
        <v>Valid</v>
      </c>
      <c r="R4241" t="str">
        <f>IF(COUNTIF(Branches!$A$2:$A$11,F4241)&gt;0,"Valid","Invalid")</f>
        <v>Valid</v>
      </c>
    </row>
    <row r="4242" spans="1:18" x14ac:dyDescent="0.25">
      <c r="A4242" t="s">
        <v>6313</v>
      </c>
      <c r="B4242" t="s">
        <v>98</v>
      </c>
      <c r="C4242" s="8">
        <v>46237</v>
      </c>
      <c r="D4242" t="s">
        <v>2067</v>
      </c>
      <c r="E4242" t="s">
        <v>2063</v>
      </c>
      <c r="F4242" t="s">
        <v>11</v>
      </c>
      <c r="G4242">
        <v>315.52999999999997</v>
      </c>
      <c r="H4242" t="s">
        <v>2060</v>
      </c>
      <c r="I4242" t="str">
        <f>VLOOKUP(B4242,Customers!A:G,7,FALSE)</f>
        <v>Individual</v>
      </c>
      <c r="Q4242" t="str">
        <f>IF(COUNTIF(Customers!$A$2:$A$1001,B4242)&gt;0,"Valid","Invalid")</f>
        <v>Valid</v>
      </c>
      <c r="R4242" t="str">
        <f>IF(COUNTIF(Branches!$A$2:$A$11,F4242)&gt;0,"Valid","Invalid")</f>
        <v>Valid</v>
      </c>
    </row>
    <row r="4243" spans="1:18" x14ac:dyDescent="0.25">
      <c r="A4243" t="s">
        <v>6314</v>
      </c>
      <c r="B4243" t="s">
        <v>105</v>
      </c>
      <c r="C4243" s="8">
        <v>46210</v>
      </c>
      <c r="D4243" t="s">
        <v>2065</v>
      </c>
      <c r="E4243" t="s">
        <v>2063</v>
      </c>
      <c r="F4243" t="s">
        <v>47</v>
      </c>
      <c r="G4243">
        <v>1247.3399999999999</v>
      </c>
      <c r="H4243" t="s">
        <v>2060</v>
      </c>
      <c r="I4243" t="str">
        <f>VLOOKUP(B4243,Customers!A:G,7,FALSE)</f>
        <v>SME</v>
      </c>
      <c r="Q4243" t="str">
        <f>IF(COUNTIF(Customers!$A$2:$A$1001,B4243)&gt;0,"Valid","Invalid")</f>
        <v>Valid</v>
      </c>
      <c r="R4243" t="str">
        <f>IF(COUNTIF(Branches!$A$2:$A$11,F4243)&gt;0,"Valid","Invalid")</f>
        <v>Valid</v>
      </c>
    </row>
    <row r="4244" spans="1:18" x14ac:dyDescent="0.25">
      <c r="A4244" t="s">
        <v>6315</v>
      </c>
      <c r="B4244" t="s">
        <v>697</v>
      </c>
      <c r="C4244" s="8">
        <v>46191</v>
      </c>
      <c r="D4244" t="s">
        <v>2065</v>
      </c>
      <c r="E4244" t="s">
        <v>2076</v>
      </c>
      <c r="F4244" t="s">
        <v>29</v>
      </c>
      <c r="G4244">
        <v>561.85</v>
      </c>
      <c r="H4244" t="s">
        <v>2060</v>
      </c>
      <c r="I4244" t="str">
        <f>VLOOKUP(B4244,Customers!A:G,7,FALSE)</f>
        <v>SME</v>
      </c>
      <c r="Q4244" t="str">
        <f>IF(COUNTIF(Customers!$A$2:$A$1001,B4244)&gt;0,"Valid","Invalid")</f>
        <v>Valid</v>
      </c>
      <c r="R4244" t="str">
        <f>IF(COUNTIF(Branches!$A$2:$A$11,F4244)&gt;0,"Valid","Invalid")</f>
        <v>Valid</v>
      </c>
    </row>
    <row r="4245" spans="1:18" x14ac:dyDescent="0.25">
      <c r="A4245" t="s">
        <v>6316</v>
      </c>
      <c r="B4245" t="s">
        <v>909</v>
      </c>
      <c r="C4245" s="8">
        <v>46103</v>
      </c>
      <c r="D4245" t="s">
        <v>2065</v>
      </c>
      <c r="E4245" t="s">
        <v>2073</v>
      </c>
      <c r="F4245" t="s">
        <v>27</v>
      </c>
      <c r="G4245">
        <v>1055.3599999999999</v>
      </c>
      <c r="H4245" t="s">
        <v>2060</v>
      </c>
      <c r="I4245" t="str">
        <f>VLOOKUP(B4245,Customers!A:G,7,FALSE)</f>
        <v>Individual</v>
      </c>
      <c r="Q4245" t="str">
        <f>IF(COUNTIF(Customers!$A$2:$A$1001,B4245)&gt;0,"Valid","Invalid")</f>
        <v>Valid</v>
      </c>
      <c r="R4245" t="str">
        <f>IF(COUNTIF(Branches!$A$2:$A$11,F4245)&gt;0,"Valid","Invalid")</f>
        <v>Valid</v>
      </c>
    </row>
    <row r="4246" spans="1:18" x14ac:dyDescent="0.25">
      <c r="A4246" t="s">
        <v>6317</v>
      </c>
      <c r="B4246" t="s">
        <v>404</v>
      </c>
      <c r="C4246" s="8">
        <v>46068</v>
      </c>
      <c r="D4246" t="s">
        <v>2062</v>
      </c>
      <c r="E4246" t="s">
        <v>2059</v>
      </c>
      <c r="F4246" t="s">
        <v>29</v>
      </c>
      <c r="G4246">
        <v>5960.93</v>
      </c>
      <c r="H4246" t="s">
        <v>2060</v>
      </c>
      <c r="I4246" t="str">
        <f>VLOOKUP(B4246,Customers!A:G,7,FALSE)</f>
        <v>Individual</v>
      </c>
      <c r="Q4246" t="str">
        <f>IF(COUNTIF(Customers!$A$2:$A$1001,B4246)&gt;0,"Valid","Invalid")</f>
        <v>Valid</v>
      </c>
      <c r="R4246" t="str">
        <f>IF(COUNTIF(Branches!$A$2:$A$11,F4246)&gt;0,"Valid","Invalid")</f>
        <v>Valid</v>
      </c>
    </row>
    <row r="4247" spans="1:18" x14ac:dyDescent="0.25">
      <c r="A4247" t="s">
        <v>6318</v>
      </c>
      <c r="B4247" t="s">
        <v>198</v>
      </c>
      <c r="C4247" s="8">
        <v>46071</v>
      </c>
      <c r="D4247" t="s">
        <v>2067</v>
      </c>
      <c r="E4247" t="s">
        <v>2063</v>
      </c>
      <c r="F4247" t="s">
        <v>27</v>
      </c>
      <c r="G4247">
        <v>1204.1099999999999</v>
      </c>
      <c r="H4247" t="s">
        <v>2060</v>
      </c>
      <c r="I4247" t="str">
        <f>VLOOKUP(B4247,Customers!A:G,7,FALSE)</f>
        <v>Individual</v>
      </c>
      <c r="Q4247" t="str">
        <f>IF(COUNTIF(Customers!$A$2:$A$1001,B4247)&gt;0,"Valid","Invalid")</f>
        <v>Valid</v>
      </c>
      <c r="R4247" t="str">
        <f>IF(COUNTIF(Branches!$A$2:$A$11,F4247)&gt;0,"Valid","Invalid")</f>
        <v>Valid</v>
      </c>
    </row>
    <row r="4248" spans="1:18" x14ac:dyDescent="0.25">
      <c r="A4248" t="s">
        <v>6319</v>
      </c>
      <c r="B4248" t="s">
        <v>777</v>
      </c>
      <c r="C4248" s="8">
        <v>46215</v>
      </c>
      <c r="D4248" t="s">
        <v>2062</v>
      </c>
      <c r="E4248" t="s">
        <v>2063</v>
      </c>
      <c r="F4248" t="s">
        <v>21</v>
      </c>
      <c r="G4248">
        <v>1004.42</v>
      </c>
      <c r="H4248" t="s">
        <v>2060</v>
      </c>
      <c r="I4248" t="str">
        <f>VLOOKUP(B4248,Customers!A:G,7,FALSE)</f>
        <v>Individual</v>
      </c>
      <c r="Q4248" t="str">
        <f>IF(COUNTIF(Customers!$A$2:$A$1001,B4248)&gt;0,"Valid","Invalid")</f>
        <v>Valid</v>
      </c>
      <c r="R4248" t="str">
        <f>IF(COUNTIF(Branches!$A$2:$A$11,F4248)&gt;0,"Valid","Invalid")</f>
        <v>Valid</v>
      </c>
    </row>
    <row r="4249" spans="1:18" x14ac:dyDescent="0.25">
      <c r="A4249" t="s">
        <v>6320</v>
      </c>
      <c r="B4249" t="s">
        <v>983</v>
      </c>
      <c r="C4249" s="8">
        <v>46064</v>
      </c>
      <c r="D4249" t="s">
        <v>2058</v>
      </c>
      <c r="E4249" t="s">
        <v>2063</v>
      </c>
      <c r="F4249" t="s">
        <v>27</v>
      </c>
      <c r="G4249">
        <v>340.62</v>
      </c>
      <c r="H4249" t="s">
        <v>2060</v>
      </c>
      <c r="I4249" t="str">
        <f>VLOOKUP(B4249,Customers!A:G,7,FALSE)</f>
        <v>Individual</v>
      </c>
      <c r="Q4249" t="str">
        <f>IF(COUNTIF(Customers!$A$2:$A$1001,B4249)&gt;0,"Valid","Invalid")</f>
        <v>Valid</v>
      </c>
      <c r="R4249" t="str">
        <f>IF(COUNTIF(Branches!$A$2:$A$11,F4249)&gt;0,"Valid","Invalid")</f>
        <v>Valid</v>
      </c>
    </row>
    <row r="4250" spans="1:18" x14ac:dyDescent="0.25">
      <c r="A4250" t="s">
        <v>6321</v>
      </c>
      <c r="B4250" t="s">
        <v>1014</v>
      </c>
      <c r="C4250" s="8">
        <v>46173</v>
      </c>
      <c r="D4250" t="s">
        <v>2065</v>
      </c>
      <c r="E4250" t="s">
        <v>2063</v>
      </c>
      <c r="F4250" t="s">
        <v>35</v>
      </c>
      <c r="G4250">
        <v>148.41999999999999</v>
      </c>
      <c r="H4250" t="s">
        <v>2060</v>
      </c>
      <c r="I4250" t="str">
        <f>VLOOKUP(B4250,Customers!A:G,7,FALSE)</f>
        <v>SME</v>
      </c>
      <c r="Q4250" t="str">
        <f>IF(COUNTIF(Customers!$A$2:$A$1001,B4250)&gt;0,"Valid","Invalid")</f>
        <v>Valid</v>
      </c>
      <c r="R4250" t="str">
        <f>IF(COUNTIF(Branches!$A$2:$A$11,F4250)&gt;0,"Valid","Invalid")</f>
        <v>Valid</v>
      </c>
    </row>
    <row r="4251" spans="1:18" x14ac:dyDescent="0.25">
      <c r="A4251" t="s">
        <v>6322</v>
      </c>
      <c r="B4251" t="s">
        <v>526</v>
      </c>
      <c r="C4251" s="8">
        <v>46134</v>
      </c>
      <c r="D4251" t="s">
        <v>2065</v>
      </c>
      <c r="E4251" t="s">
        <v>2063</v>
      </c>
      <c r="F4251" t="s">
        <v>29</v>
      </c>
      <c r="G4251">
        <v>755.56</v>
      </c>
      <c r="H4251" t="s">
        <v>2060</v>
      </c>
      <c r="I4251" t="str">
        <f>VLOOKUP(B4251,Customers!A:G,7,FALSE)</f>
        <v>Student</v>
      </c>
      <c r="Q4251" t="str">
        <f>IF(COUNTIF(Customers!$A$2:$A$1001,B4251)&gt;0,"Valid","Invalid")</f>
        <v>Valid</v>
      </c>
      <c r="R4251" t="str">
        <f>IF(COUNTIF(Branches!$A$2:$A$11,F4251)&gt;0,"Valid","Invalid")</f>
        <v>Valid</v>
      </c>
    </row>
    <row r="4252" spans="1:18" x14ac:dyDescent="0.25">
      <c r="A4252" t="s">
        <v>6323</v>
      </c>
      <c r="B4252" t="s">
        <v>469</v>
      </c>
      <c r="C4252" s="8">
        <v>46049</v>
      </c>
      <c r="D4252" t="s">
        <v>2062</v>
      </c>
      <c r="E4252" t="s">
        <v>2073</v>
      </c>
      <c r="F4252" t="s">
        <v>53</v>
      </c>
      <c r="G4252">
        <v>2361.0700000000002</v>
      </c>
      <c r="H4252" t="s">
        <v>2060</v>
      </c>
      <c r="I4252" t="str">
        <f>VLOOKUP(B4252,Customers!A:G,7,FALSE)</f>
        <v>Individual</v>
      </c>
      <c r="Q4252" t="str">
        <f>IF(COUNTIF(Customers!$A$2:$A$1001,B4252)&gt;0,"Valid","Invalid")</f>
        <v>Valid</v>
      </c>
      <c r="R4252" t="str">
        <f>IF(COUNTIF(Branches!$A$2:$A$11,F4252)&gt;0,"Valid","Invalid")</f>
        <v>Valid</v>
      </c>
    </row>
    <row r="4253" spans="1:18" x14ac:dyDescent="0.25">
      <c r="A4253" t="s">
        <v>6324</v>
      </c>
      <c r="B4253" t="s">
        <v>1037</v>
      </c>
      <c r="C4253" s="8">
        <v>46239</v>
      </c>
      <c r="D4253" t="s">
        <v>2062</v>
      </c>
      <c r="E4253" t="s">
        <v>2059</v>
      </c>
      <c r="F4253" t="s">
        <v>47</v>
      </c>
      <c r="G4253">
        <v>588.20000000000005</v>
      </c>
      <c r="H4253" t="s">
        <v>2060</v>
      </c>
      <c r="I4253" t="str">
        <f>VLOOKUP(B4253,Customers!A:G,7,FALSE)</f>
        <v>SME</v>
      </c>
      <c r="Q4253" t="str">
        <f>IF(COUNTIF(Customers!$A$2:$A$1001,B4253)&gt;0,"Valid","Invalid")</f>
        <v>Valid</v>
      </c>
      <c r="R4253" t="str">
        <f>IF(COUNTIF(Branches!$A$2:$A$11,F4253)&gt;0,"Valid","Invalid")</f>
        <v>Valid</v>
      </c>
    </row>
    <row r="4254" spans="1:18" x14ac:dyDescent="0.25">
      <c r="A4254" t="s">
        <v>6325</v>
      </c>
      <c r="B4254" t="s">
        <v>897</v>
      </c>
      <c r="C4254" s="8">
        <v>46182</v>
      </c>
      <c r="D4254" t="s">
        <v>2067</v>
      </c>
      <c r="E4254" t="s">
        <v>2076</v>
      </c>
      <c r="F4254" t="s">
        <v>35</v>
      </c>
      <c r="G4254">
        <v>1213.74</v>
      </c>
      <c r="H4254" t="s">
        <v>2060</v>
      </c>
      <c r="I4254" t="str">
        <f>VLOOKUP(B4254,Customers!A:G,7,FALSE)</f>
        <v>Individual</v>
      </c>
      <c r="Q4254" t="str">
        <f>IF(COUNTIF(Customers!$A$2:$A$1001,B4254)&gt;0,"Valid","Invalid")</f>
        <v>Valid</v>
      </c>
      <c r="R4254" t="str">
        <f>IF(COUNTIF(Branches!$A$2:$A$11,F4254)&gt;0,"Valid","Invalid")</f>
        <v>Valid</v>
      </c>
    </row>
    <row r="4255" spans="1:18" x14ac:dyDescent="0.25">
      <c r="A4255" t="s">
        <v>6326</v>
      </c>
      <c r="B4255" t="s">
        <v>527</v>
      </c>
      <c r="C4255" s="8">
        <v>46233</v>
      </c>
      <c r="D4255" t="s">
        <v>2065</v>
      </c>
      <c r="E4255" t="s">
        <v>2063</v>
      </c>
      <c r="F4255" t="s">
        <v>16</v>
      </c>
      <c r="G4255">
        <v>3382.93</v>
      </c>
      <c r="H4255" t="s">
        <v>2060</v>
      </c>
      <c r="I4255" t="str">
        <f>VLOOKUP(B4255,Customers!A:G,7,FALSE)</f>
        <v>Individual</v>
      </c>
      <c r="Q4255" t="str">
        <f>IF(COUNTIF(Customers!$A$2:$A$1001,B4255)&gt;0,"Valid","Invalid")</f>
        <v>Valid</v>
      </c>
      <c r="R4255" t="str">
        <f>IF(COUNTIF(Branches!$A$2:$A$11,F4255)&gt;0,"Valid","Invalid")</f>
        <v>Valid</v>
      </c>
    </row>
    <row r="4256" spans="1:18" x14ac:dyDescent="0.25">
      <c r="A4256" t="s">
        <v>6327</v>
      </c>
      <c r="B4256" t="s">
        <v>267</v>
      </c>
      <c r="C4256" s="8">
        <v>46110</v>
      </c>
      <c r="D4256" t="s">
        <v>2065</v>
      </c>
      <c r="E4256" t="s">
        <v>2063</v>
      </c>
      <c r="F4256" t="s">
        <v>11</v>
      </c>
      <c r="G4256">
        <v>3299.47</v>
      </c>
      <c r="H4256" t="s">
        <v>2060</v>
      </c>
      <c r="I4256" t="str">
        <f>VLOOKUP(B4256,Customers!A:G,7,FALSE)</f>
        <v>SME</v>
      </c>
      <c r="Q4256" t="str">
        <f>IF(COUNTIF(Customers!$A$2:$A$1001,B4256)&gt;0,"Valid","Invalid")</f>
        <v>Valid</v>
      </c>
      <c r="R4256" t="str">
        <f>IF(COUNTIF(Branches!$A$2:$A$11,F4256)&gt;0,"Valid","Invalid")</f>
        <v>Valid</v>
      </c>
    </row>
    <row r="4257" spans="1:18" x14ac:dyDescent="0.25">
      <c r="A4257" t="s">
        <v>6328</v>
      </c>
      <c r="B4257" t="s">
        <v>408</v>
      </c>
      <c r="C4257" s="8">
        <v>46143</v>
      </c>
      <c r="D4257" t="s">
        <v>2067</v>
      </c>
      <c r="E4257" t="s">
        <v>2059</v>
      </c>
      <c r="F4257" t="s">
        <v>11</v>
      </c>
      <c r="G4257">
        <v>1247.4000000000001</v>
      </c>
      <c r="H4257" t="s">
        <v>2060</v>
      </c>
      <c r="I4257" t="str">
        <f>VLOOKUP(B4257,Customers!A:G,7,FALSE)</f>
        <v>Individual</v>
      </c>
      <c r="Q4257" t="str">
        <f>IF(COUNTIF(Customers!$A$2:$A$1001,B4257)&gt;0,"Valid","Invalid")</f>
        <v>Valid</v>
      </c>
      <c r="R4257" t="str">
        <f>IF(COUNTIF(Branches!$A$2:$A$11,F4257)&gt;0,"Valid","Invalid")</f>
        <v>Valid</v>
      </c>
    </row>
    <row r="4258" spans="1:18" x14ac:dyDescent="0.25">
      <c r="A4258" t="s">
        <v>6329</v>
      </c>
      <c r="B4258" t="s">
        <v>214</v>
      </c>
      <c r="C4258" s="8">
        <v>46025</v>
      </c>
      <c r="D4258" t="s">
        <v>2065</v>
      </c>
      <c r="E4258" t="s">
        <v>2068</v>
      </c>
      <c r="F4258" t="s">
        <v>47</v>
      </c>
      <c r="G4258">
        <v>963.05</v>
      </c>
      <c r="H4258" t="s">
        <v>2060</v>
      </c>
      <c r="I4258" t="str">
        <f>VLOOKUP(B4258,Customers!A:G,7,FALSE)</f>
        <v>Student</v>
      </c>
      <c r="Q4258" t="str">
        <f>IF(COUNTIF(Customers!$A$2:$A$1001,B4258)&gt;0,"Valid","Invalid")</f>
        <v>Valid</v>
      </c>
      <c r="R4258" t="str">
        <f>IF(COUNTIF(Branches!$A$2:$A$11,F4258)&gt;0,"Valid","Invalid")</f>
        <v>Valid</v>
      </c>
    </row>
    <row r="4259" spans="1:18" x14ac:dyDescent="0.25">
      <c r="A4259" t="s">
        <v>6330</v>
      </c>
      <c r="B4259" t="s">
        <v>895</v>
      </c>
      <c r="C4259" s="8">
        <v>46082</v>
      </c>
      <c r="D4259" t="s">
        <v>2065</v>
      </c>
      <c r="E4259" t="s">
        <v>2059</v>
      </c>
      <c r="F4259" t="s">
        <v>35</v>
      </c>
      <c r="G4259">
        <v>177.93</v>
      </c>
      <c r="H4259" t="s">
        <v>2060</v>
      </c>
      <c r="I4259" t="str">
        <f>VLOOKUP(B4259,Customers!A:G,7,FALSE)</f>
        <v>SME</v>
      </c>
      <c r="Q4259" t="str">
        <f>IF(COUNTIF(Customers!$A$2:$A$1001,B4259)&gt;0,"Valid","Invalid")</f>
        <v>Valid</v>
      </c>
      <c r="R4259" t="str">
        <f>IF(COUNTIF(Branches!$A$2:$A$11,F4259)&gt;0,"Valid","Invalid")</f>
        <v>Valid</v>
      </c>
    </row>
    <row r="4260" spans="1:18" x14ac:dyDescent="0.25">
      <c r="A4260" t="s">
        <v>6331</v>
      </c>
      <c r="B4260" t="s">
        <v>448</v>
      </c>
      <c r="C4260" s="8">
        <v>46226</v>
      </c>
      <c r="D4260" t="s">
        <v>2067</v>
      </c>
      <c r="E4260" t="s">
        <v>2068</v>
      </c>
      <c r="F4260" t="s">
        <v>39</v>
      </c>
      <c r="G4260">
        <v>432.6</v>
      </c>
      <c r="H4260" t="s">
        <v>2060</v>
      </c>
      <c r="I4260" t="str">
        <f>VLOOKUP(B4260,Customers!A:G,7,FALSE)</f>
        <v>Student</v>
      </c>
      <c r="Q4260" t="str">
        <f>IF(COUNTIF(Customers!$A$2:$A$1001,B4260)&gt;0,"Valid","Invalid")</f>
        <v>Valid</v>
      </c>
      <c r="R4260" t="str">
        <f>IF(COUNTIF(Branches!$A$2:$A$11,F4260)&gt;0,"Valid","Invalid")</f>
        <v>Valid</v>
      </c>
    </row>
    <row r="4261" spans="1:18" x14ac:dyDescent="0.25">
      <c r="A4261" t="s">
        <v>6332</v>
      </c>
      <c r="B4261" t="s">
        <v>606</v>
      </c>
      <c r="C4261" s="8">
        <v>46249</v>
      </c>
      <c r="D4261" t="s">
        <v>2065</v>
      </c>
      <c r="E4261" t="s">
        <v>2068</v>
      </c>
      <c r="F4261" t="s">
        <v>35</v>
      </c>
      <c r="G4261">
        <v>613.54</v>
      </c>
      <c r="H4261" t="s">
        <v>2060</v>
      </c>
      <c r="I4261" t="str">
        <f>VLOOKUP(B4261,Customers!A:G,7,FALSE)</f>
        <v>SME</v>
      </c>
      <c r="Q4261" t="str">
        <f>IF(COUNTIF(Customers!$A$2:$A$1001,B4261)&gt;0,"Valid","Invalid")</f>
        <v>Valid</v>
      </c>
      <c r="R4261" t="str">
        <f>IF(COUNTIF(Branches!$A$2:$A$11,F4261)&gt;0,"Valid","Invalid")</f>
        <v>Valid</v>
      </c>
    </row>
    <row r="4262" spans="1:18" x14ac:dyDescent="0.25">
      <c r="A4262" t="s">
        <v>6333</v>
      </c>
      <c r="B4262" t="s">
        <v>628</v>
      </c>
      <c r="C4262" s="8">
        <v>46101</v>
      </c>
      <c r="D4262" t="s">
        <v>2065</v>
      </c>
      <c r="E4262" t="s">
        <v>2063</v>
      </c>
      <c r="F4262" t="s">
        <v>29</v>
      </c>
      <c r="G4262">
        <v>346.43</v>
      </c>
      <c r="H4262" t="s">
        <v>2060</v>
      </c>
      <c r="I4262" t="str">
        <f>VLOOKUP(B4262,Customers!A:G,7,FALSE)</f>
        <v>Individual</v>
      </c>
      <c r="Q4262" t="str">
        <f>IF(COUNTIF(Customers!$A$2:$A$1001,B4262)&gt;0,"Valid","Invalid")</f>
        <v>Valid</v>
      </c>
      <c r="R4262" t="str">
        <f>IF(COUNTIF(Branches!$A$2:$A$11,F4262)&gt;0,"Valid","Invalid")</f>
        <v>Valid</v>
      </c>
    </row>
    <row r="4263" spans="1:18" x14ac:dyDescent="0.25">
      <c r="A4263" t="s">
        <v>6334</v>
      </c>
      <c r="B4263" t="s">
        <v>308</v>
      </c>
      <c r="C4263" s="8">
        <v>46167</v>
      </c>
      <c r="D4263" t="s">
        <v>2062</v>
      </c>
      <c r="E4263" t="s">
        <v>2063</v>
      </c>
      <c r="F4263" t="s">
        <v>53</v>
      </c>
      <c r="G4263">
        <v>1041.54</v>
      </c>
      <c r="H4263" t="s">
        <v>2060</v>
      </c>
      <c r="I4263" t="str">
        <f>VLOOKUP(B4263,Customers!A:G,7,FALSE)</f>
        <v>SME</v>
      </c>
      <c r="Q4263" t="str">
        <f>IF(COUNTIF(Customers!$A$2:$A$1001,B4263)&gt;0,"Valid","Invalid")</f>
        <v>Valid</v>
      </c>
      <c r="R4263" t="str">
        <f>IF(COUNTIF(Branches!$A$2:$A$11,F4263)&gt;0,"Valid","Invalid")</f>
        <v>Valid</v>
      </c>
    </row>
    <row r="4264" spans="1:18" x14ac:dyDescent="0.25">
      <c r="A4264" t="s">
        <v>6335</v>
      </c>
      <c r="B4264" t="s">
        <v>243</v>
      </c>
      <c r="C4264" s="8">
        <v>46264</v>
      </c>
      <c r="D4264" t="s">
        <v>2058</v>
      </c>
      <c r="E4264" t="s">
        <v>2076</v>
      </c>
      <c r="F4264" t="s">
        <v>39</v>
      </c>
      <c r="G4264">
        <v>5495.3</v>
      </c>
      <c r="H4264" t="s">
        <v>2060</v>
      </c>
      <c r="I4264" t="str">
        <f>VLOOKUP(B4264,Customers!A:G,7,FALSE)</f>
        <v>Student</v>
      </c>
      <c r="Q4264" t="str">
        <f>IF(COUNTIF(Customers!$A$2:$A$1001,B4264)&gt;0,"Valid","Invalid")</f>
        <v>Valid</v>
      </c>
      <c r="R4264" t="str">
        <f>IF(COUNTIF(Branches!$A$2:$A$11,F4264)&gt;0,"Valid","Invalid")</f>
        <v>Valid</v>
      </c>
    </row>
    <row r="4265" spans="1:18" x14ac:dyDescent="0.25">
      <c r="A4265" t="s">
        <v>6336</v>
      </c>
      <c r="B4265" t="s">
        <v>831</v>
      </c>
      <c r="C4265" s="8">
        <v>46054</v>
      </c>
      <c r="D4265" t="s">
        <v>2070</v>
      </c>
      <c r="E4265" t="s">
        <v>2059</v>
      </c>
      <c r="F4265" t="s">
        <v>35</v>
      </c>
      <c r="G4265">
        <v>3706.2</v>
      </c>
      <c r="H4265" t="s">
        <v>2060</v>
      </c>
      <c r="I4265" t="str">
        <f>VLOOKUP(B4265,Customers!A:G,7,FALSE)</f>
        <v>Corporate</v>
      </c>
      <c r="Q4265" t="str">
        <f>IF(COUNTIF(Customers!$A$2:$A$1001,B4265)&gt;0,"Valid","Invalid")</f>
        <v>Valid</v>
      </c>
      <c r="R4265" t="str">
        <f>IF(COUNTIF(Branches!$A$2:$A$11,F4265)&gt;0,"Valid","Invalid")</f>
        <v>Valid</v>
      </c>
    </row>
    <row r="4266" spans="1:18" x14ac:dyDescent="0.25">
      <c r="A4266" t="s">
        <v>6337</v>
      </c>
      <c r="B4266" t="s">
        <v>778</v>
      </c>
      <c r="C4266" s="8">
        <v>46029</v>
      </c>
      <c r="D4266" t="s">
        <v>2067</v>
      </c>
      <c r="E4266" t="s">
        <v>2063</v>
      </c>
      <c r="F4266" t="s">
        <v>11</v>
      </c>
      <c r="G4266">
        <v>1036.79</v>
      </c>
      <c r="H4266" t="s">
        <v>2060</v>
      </c>
      <c r="I4266" t="str">
        <f>VLOOKUP(B4266,Customers!A:G,7,FALSE)</f>
        <v>SME</v>
      </c>
      <c r="Q4266" t="str">
        <f>IF(COUNTIF(Customers!$A$2:$A$1001,B4266)&gt;0,"Valid","Invalid")</f>
        <v>Valid</v>
      </c>
      <c r="R4266" t="str">
        <f>IF(COUNTIF(Branches!$A$2:$A$11,F4266)&gt;0,"Valid","Invalid")</f>
        <v>Valid</v>
      </c>
    </row>
    <row r="4267" spans="1:18" x14ac:dyDescent="0.25">
      <c r="A4267" t="s">
        <v>6338</v>
      </c>
      <c r="B4267" t="s">
        <v>938</v>
      </c>
      <c r="C4267" s="8">
        <v>46233</v>
      </c>
      <c r="D4267" t="s">
        <v>2058</v>
      </c>
      <c r="E4267" t="s">
        <v>2059</v>
      </c>
      <c r="F4267" t="s">
        <v>11</v>
      </c>
      <c r="G4267">
        <v>1771.24</v>
      </c>
      <c r="H4267" t="s">
        <v>2060</v>
      </c>
      <c r="I4267" t="str">
        <f>VLOOKUP(B4267,Customers!A:G,7,FALSE)</f>
        <v>Individual</v>
      </c>
      <c r="Q4267" t="str">
        <f>IF(COUNTIF(Customers!$A$2:$A$1001,B4267)&gt;0,"Valid","Invalid")</f>
        <v>Valid</v>
      </c>
      <c r="R4267" t="str">
        <f>IF(COUNTIF(Branches!$A$2:$A$11,F4267)&gt;0,"Valid","Invalid")</f>
        <v>Valid</v>
      </c>
    </row>
    <row r="4268" spans="1:18" x14ac:dyDescent="0.25">
      <c r="A4268" t="s">
        <v>6339</v>
      </c>
      <c r="B4268" t="s">
        <v>789</v>
      </c>
      <c r="C4268" s="8">
        <v>46093</v>
      </c>
      <c r="D4268" t="s">
        <v>2065</v>
      </c>
      <c r="E4268" t="s">
        <v>2059</v>
      </c>
      <c r="F4268" t="s">
        <v>35</v>
      </c>
      <c r="G4268">
        <v>392.05</v>
      </c>
      <c r="H4268" t="s">
        <v>2060</v>
      </c>
      <c r="I4268" t="str">
        <f>VLOOKUP(B4268,Customers!A:G,7,FALSE)</f>
        <v>Corporate</v>
      </c>
      <c r="Q4268" t="str">
        <f>IF(COUNTIF(Customers!$A$2:$A$1001,B4268)&gt;0,"Valid","Invalid")</f>
        <v>Valid</v>
      </c>
      <c r="R4268" t="str">
        <f>IF(COUNTIF(Branches!$A$2:$A$11,F4268)&gt;0,"Valid","Invalid")</f>
        <v>Valid</v>
      </c>
    </row>
    <row r="4269" spans="1:18" x14ac:dyDescent="0.25">
      <c r="A4269" t="s">
        <v>6340</v>
      </c>
      <c r="B4269" t="s">
        <v>1013</v>
      </c>
      <c r="C4269" s="8">
        <v>46150</v>
      </c>
      <c r="D4269" t="s">
        <v>2058</v>
      </c>
      <c r="E4269" t="s">
        <v>2073</v>
      </c>
      <c r="F4269" t="s">
        <v>29</v>
      </c>
      <c r="G4269">
        <v>3512.52</v>
      </c>
      <c r="H4269" t="s">
        <v>2060</v>
      </c>
      <c r="I4269" t="str">
        <f>VLOOKUP(B4269,Customers!A:G,7,FALSE)</f>
        <v>Student</v>
      </c>
      <c r="Q4269" t="str">
        <f>IF(COUNTIF(Customers!$A$2:$A$1001,B4269)&gt;0,"Valid","Invalid")</f>
        <v>Valid</v>
      </c>
      <c r="R4269" t="str">
        <f>IF(COUNTIF(Branches!$A$2:$A$11,F4269)&gt;0,"Valid","Invalid")</f>
        <v>Valid</v>
      </c>
    </row>
    <row r="4270" spans="1:18" x14ac:dyDescent="0.25">
      <c r="A4270" t="s">
        <v>6341</v>
      </c>
      <c r="B4270" t="s">
        <v>838</v>
      </c>
      <c r="C4270" s="8">
        <v>46219</v>
      </c>
      <c r="D4270" t="s">
        <v>2065</v>
      </c>
      <c r="E4270" t="s">
        <v>2063</v>
      </c>
      <c r="F4270" t="s">
        <v>53</v>
      </c>
      <c r="G4270">
        <v>170.38</v>
      </c>
      <c r="H4270" t="s">
        <v>2060</v>
      </c>
      <c r="I4270" t="str">
        <f>VLOOKUP(B4270,Customers!A:G,7,FALSE)</f>
        <v>Individual</v>
      </c>
      <c r="Q4270" t="str">
        <f>IF(COUNTIF(Customers!$A$2:$A$1001,B4270)&gt;0,"Valid","Invalid")</f>
        <v>Valid</v>
      </c>
      <c r="R4270" t="str">
        <f>IF(COUNTIF(Branches!$A$2:$A$11,F4270)&gt;0,"Valid","Invalid")</f>
        <v>Valid</v>
      </c>
    </row>
    <row r="4271" spans="1:18" x14ac:dyDescent="0.25">
      <c r="A4271" t="s">
        <v>6342</v>
      </c>
      <c r="B4271" t="s">
        <v>118</v>
      </c>
      <c r="C4271" s="8">
        <v>46080</v>
      </c>
      <c r="D4271" t="s">
        <v>2065</v>
      </c>
      <c r="E4271" t="s">
        <v>2063</v>
      </c>
      <c r="F4271" t="s">
        <v>53</v>
      </c>
      <c r="G4271">
        <v>2023.99</v>
      </c>
      <c r="H4271" t="s">
        <v>2060</v>
      </c>
      <c r="I4271" t="str">
        <f>VLOOKUP(B4271,Customers!A:G,7,FALSE)</f>
        <v>Corporate</v>
      </c>
      <c r="Q4271" t="str">
        <f>IF(COUNTIF(Customers!$A$2:$A$1001,B4271)&gt;0,"Valid","Invalid")</f>
        <v>Valid</v>
      </c>
      <c r="R4271" t="str">
        <f>IF(COUNTIF(Branches!$A$2:$A$11,F4271)&gt;0,"Valid","Invalid")</f>
        <v>Valid</v>
      </c>
    </row>
    <row r="4272" spans="1:18" x14ac:dyDescent="0.25">
      <c r="A4272" t="s">
        <v>6343</v>
      </c>
      <c r="B4272" t="s">
        <v>884</v>
      </c>
      <c r="C4272" s="8">
        <v>46190</v>
      </c>
      <c r="D4272" t="s">
        <v>2070</v>
      </c>
      <c r="E4272" t="s">
        <v>2059</v>
      </c>
      <c r="F4272" t="s">
        <v>29</v>
      </c>
      <c r="G4272">
        <v>1333.54</v>
      </c>
      <c r="H4272" t="s">
        <v>2060</v>
      </c>
      <c r="I4272" t="str">
        <f>VLOOKUP(B4272,Customers!A:G,7,FALSE)</f>
        <v>SME</v>
      </c>
      <c r="Q4272" t="str">
        <f>IF(COUNTIF(Customers!$A$2:$A$1001,B4272)&gt;0,"Valid","Invalid")</f>
        <v>Valid</v>
      </c>
      <c r="R4272" t="str">
        <f>IF(COUNTIF(Branches!$A$2:$A$11,F4272)&gt;0,"Valid","Invalid")</f>
        <v>Valid</v>
      </c>
    </row>
    <row r="4273" spans="1:18" x14ac:dyDescent="0.25">
      <c r="A4273" t="s">
        <v>6344</v>
      </c>
      <c r="B4273" t="s">
        <v>800</v>
      </c>
      <c r="C4273" s="8">
        <v>46235</v>
      </c>
      <c r="D4273" t="s">
        <v>2058</v>
      </c>
      <c r="E4273" t="s">
        <v>2076</v>
      </c>
      <c r="F4273" t="s">
        <v>11</v>
      </c>
      <c r="G4273">
        <v>381.51</v>
      </c>
      <c r="H4273" t="s">
        <v>2060</v>
      </c>
      <c r="I4273" t="str">
        <f>VLOOKUP(B4273,Customers!A:G,7,FALSE)</f>
        <v>Individual</v>
      </c>
      <c r="Q4273" t="str">
        <f>IF(COUNTIF(Customers!$A$2:$A$1001,B4273)&gt;0,"Valid","Invalid")</f>
        <v>Valid</v>
      </c>
      <c r="R4273" t="str">
        <f>IF(COUNTIF(Branches!$A$2:$A$11,F4273)&gt;0,"Valid","Invalid")</f>
        <v>Valid</v>
      </c>
    </row>
    <row r="4274" spans="1:18" x14ac:dyDescent="0.25">
      <c r="A4274" t="s">
        <v>6345</v>
      </c>
      <c r="B4274" t="s">
        <v>230</v>
      </c>
      <c r="C4274" s="8">
        <v>46134</v>
      </c>
      <c r="D4274" t="s">
        <v>2070</v>
      </c>
      <c r="E4274" t="s">
        <v>2076</v>
      </c>
      <c r="F4274" t="s">
        <v>21</v>
      </c>
      <c r="G4274">
        <v>659.32</v>
      </c>
      <c r="H4274" t="s">
        <v>2060</v>
      </c>
      <c r="I4274" t="str">
        <f>VLOOKUP(B4274,Customers!A:G,7,FALSE)</f>
        <v>Individual</v>
      </c>
      <c r="Q4274" t="str">
        <f>IF(COUNTIF(Customers!$A$2:$A$1001,B4274)&gt;0,"Valid","Invalid")</f>
        <v>Valid</v>
      </c>
      <c r="R4274" t="str">
        <f>IF(COUNTIF(Branches!$A$2:$A$11,F4274)&gt;0,"Valid","Invalid")</f>
        <v>Valid</v>
      </c>
    </row>
    <row r="4275" spans="1:18" x14ac:dyDescent="0.25">
      <c r="A4275" t="s">
        <v>6346</v>
      </c>
      <c r="B4275" t="s">
        <v>656</v>
      </c>
      <c r="C4275" s="8">
        <v>46070</v>
      </c>
      <c r="D4275" t="s">
        <v>2067</v>
      </c>
      <c r="E4275" t="s">
        <v>2073</v>
      </c>
      <c r="F4275" t="s">
        <v>11</v>
      </c>
      <c r="G4275">
        <v>261.32</v>
      </c>
      <c r="H4275" t="s">
        <v>2060</v>
      </c>
      <c r="I4275" t="str">
        <f>VLOOKUP(B4275,Customers!A:G,7,FALSE)</f>
        <v>Individual</v>
      </c>
      <c r="Q4275" t="str">
        <f>IF(COUNTIF(Customers!$A$2:$A$1001,B4275)&gt;0,"Valid","Invalid")</f>
        <v>Valid</v>
      </c>
      <c r="R4275" t="str">
        <f>IF(COUNTIF(Branches!$A$2:$A$11,F4275)&gt;0,"Valid","Invalid")</f>
        <v>Valid</v>
      </c>
    </row>
    <row r="4276" spans="1:18" x14ac:dyDescent="0.25">
      <c r="A4276" t="s">
        <v>6347</v>
      </c>
      <c r="B4276" t="s">
        <v>226</v>
      </c>
      <c r="C4276" s="8">
        <v>46201</v>
      </c>
      <c r="D4276" t="s">
        <v>2067</v>
      </c>
      <c r="E4276" t="s">
        <v>2068</v>
      </c>
      <c r="F4276" t="s">
        <v>11</v>
      </c>
      <c r="G4276">
        <v>272.7</v>
      </c>
      <c r="H4276" t="s">
        <v>2060</v>
      </c>
      <c r="I4276" t="str">
        <f>VLOOKUP(B4276,Customers!A:G,7,FALSE)</f>
        <v>Individual</v>
      </c>
      <c r="Q4276" t="str">
        <f>IF(COUNTIF(Customers!$A$2:$A$1001,B4276)&gt;0,"Valid","Invalid")</f>
        <v>Valid</v>
      </c>
      <c r="R4276" t="str">
        <f>IF(COUNTIF(Branches!$A$2:$A$11,F4276)&gt;0,"Valid","Invalid")</f>
        <v>Valid</v>
      </c>
    </row>
    <row r="4277" spans="1:18" x14ac:dyDescent="0.25">
      <c r="A4277" t="s">
        <v>6348</v>
      </c>
      <c r="B4277" t="s">
        <v>314</v>
      </c>
      <c r="C4277" s="8">
        <v>46207</v>
      </c>
      <c r="D4277" t="s">
        <v>2067</v>
      </c>
      <c r="E4277" t="s">
        <v>2059</v>
      </c>
      <c r="F4277" t="s">
        <v>45</v>
      </c>
      <c r="G4277">
        <v>165.5</v>
      </c>
      <c r="H4277" t="s">
        <v>2060</v>
      </c>
      <c r="I4277" t="str">
        <f>VLOOKUP(B4277,Customers!A:G,7,FALSE)</f>
        <v>Corporate</v>
      </c>
      <c r="Q4277" t="str">
        <f>IF(COUNTIF(Customers!$A$2:$A$1001,B4277)&gt;0,"Valid","Invalid")</f>
        <v>Valid</v>
      </c>
      <c r="R4277" t="str">
        <f>IF(COUNTIF(Branches!$A$2:$A$11,F4277)&gt;0,"Valid","Invalid")</f>
        <v>Valid</v>
      </c>
    </row>
    <row r="4278" spans="1:18" x14ac:dyDescent="0.25">
      <c r="A4278" t="s">
        <v>6349</v>
      </c>
      <c r="B4278" t="s">
        <v>110</v>
      </c>
      <c r="C4278" s="8">
        <v>46133</v>
      </c>
      <c r="D4278" t="s">
        <v>2062</v>
      </c>
      <c r="E4278" t="s">
        <v>2063</v>
      </c>
      <c r="F4278" t="s">
        <v>16</v>
      </c>
      <c r="G4278">
        <v>1750.25</v>
      </c>
      <c r="H4278" t="s">
        <v>2060</v>
      </c>
      <c r="I4278" t="str">
        <f>VLOOKUP(B4278,Customers!A:G,7,FALSE)</f>
        <v>Individual</v>
      </c>
      <c r="Q4278" t="str">
        <f>IF(COUNTIF(Customers!$A$2:$A$1001,B4278)&gt;0,"Valid","Invalid")</f>
        <v>Valid</v>
      </c>
      <c r="R4278" t="str">
        <f>IF(COUNTIF(Branches!$A$2:$A$11,F4278)&gt;0,"Valid","Invalid")</f>
        <v>Valid</v>
      </c>
    </row>
    <row r="4279" spans="1:18" x14ac:dyDescent="0.25">
      <c r="A4279" t="s">
        <v>6350</v>
      </c>
      <c r="B4279" t="s">
        <v>37</v>
      </c>
      <c r="C4279" s="8">
        <v>46093</v>
      </c>
      <c r="D4279" t="s">
        <v>2058</v>
      </c>
      <c r="E4279" t="s">
        <v>2059</v>
      </c>
      <c r="F4279" t="s">
        <v>21</v>
      </c>
      <c r="G4279">
        <v>2711.74</v>
      </c>
      <c r="H4279" t="s">
        <v>2060</v>
      </c>
      <c r="I4279" t="str">
        <f>VLOOKUP(B4279,Customers!A:G,7,FALSE)</f>
        <v>SME</v>
      </c>
      <c r="Q4279" t="str">
        <f>IF(COUNTIF(Customers!$A$2:$A$1001,B4279)&gt;0,"Valid","Invalid")</f>
        <v>Valid</v>
      </c>
      <c r="R4279" t="str">
        <f>IF(COUNTIF(Branches!$A$2:$A$11,F4279)&gt;0,"Valid","Invalid")</f>
        <v>Valid</v>
      </c>
    </row>
    <row r="4280" spans="1:18" x14ac:dyDescent="0.25">
      <c r="A4280" t="s">
        <v>6351</v>
      </c>
      <c r="B4280" t="s">
        <v>673</v>
      </c>
      <c r="C4280" s="8">
        <v>46187</v>
      </c>
      <c r="D4280" t="s">
        <v>2070</v>
      </c>
      <c r="E4280" t="s">
        <v>2076</v>
      </c>
      <c r="F4280" t="s">
        <v>45</v>
      </c>
      <c r="G4280">
        <v>93.52</v>
      </c>
      <c r="H4280" t="s">
        <v>2060</v>
      </c>
      <c r="I4280" t="str">
        <f>VLOOKUP(B4280,Customers!A:G,7,FALSE)</f>
        <v>Individual</v>
      </c>
      <c r="Q4280" t="str">
        <f>IF(COUNTIF(Customers!$A$2:$A$1001,B4280)&gt;0,"Valid","Invalid")</f>
        <v>Valid</v>
      </c>
      <c r="R4280" t="str">
        <f>IF(COUNTIF(Branches!$A$2:$A$11,F4280)&gt;0,"Valid","Invalid")</f>
        <v>Valid</v>
      </c>
    </row>
    <row r="4281" spans="1:18" x14ac:dyDescent="0.25">
      <c r="A4281" t="s">
        <v>6352</v>
      </c>
      <c r="B4281" t="s">
        <v>253</v>
      </c>
      <c r="C4281" s="8">
        <v>46237</v>
      </c>
      <c r="D4281" t="s">
        <v>2065</v>
      </c>
      <c r="E4281" t="s">
        <v>2068</v>
      </c>
      <c r="F4281" t="s">
        <v>16</v>
      </c>
      <c r="G4281">
        <v>5106.68</v>
      </c>
      <c r="H4281" t="s">
        <v>2060</v>
      </c>
      <c r="I4281" t="str">
        <f>VLOOKUP(B4281,Customers!A:G,7,FALSE)</f>
        <v>SME</v>
      </c>
      <c r="Q4281" t="str">
        <f>IF(COUNTIF(Customers!$A$2:$A$1001,B4281)&gt;0,"Valid","Invalid")</f>
        <v>Valid</v>
      </c>
      <c r="R4281" t="str">
        <f>IF(COUNTIF(Branches!$A$2:$A$11,F4281)&gt;0,"Valid","Invalid")</f>
        <v>Valid</v>
      </c>
    </row>
    <row r="4282" spans="1:18" x14ac:dyDescent="0.25">
      <c r="A4282" t="s">
        <v>6353</v>
      </c>
      <c r="B4282" t="s">
        <v>328</v>
      </c>
      <c r="C4282" s="8">
        <v>46097</v>
      </c>
      <c r="D4282" t="s">
        <v>2062</v>
      </c>
      <c r="E4282" t="s">
        <v>2073</v>
      </c>
      <c r="F4282" t="s">
        <v>45</v>
      </c>
      <c r="G4282">
        <v>802.71</v>
      </c>
      <c r="H4282" t="s">
        <v>2060</v>
      </c>
      <c r="I4282" t="str">
        <f>VLOOKUP(B4282,Customers!A:G,7,FALSE)</f>
        <v>Individual</v>
      </c>
      <c r="Q4282" t="str">
        <f>IF(COUNTIF(Customers!$A$2:$A$1001,B4282)&gt;0,"Valid","Invalid")</f>
        <v>Valid</v>
      </c>
      <c r="R4282" t="str">
        <f>IF(COUNTIF(Branches!$A$2:$A$11,F4282)&gt;0,"Valid","Invalid")</f>
        <v>Valid</v>
      </c>
    </row>
    <row r="4283" spans="1:18" x14ac:dyDescent="0.25">
      <c r="A4283" t="s">
        <v>6354</v>
      </c>
      <c r="B4283" t="s">
        <v>483</v>
      </c>
      <c r="C4283" s="8">
        <v>46096</v>
      </c>
      <c r="D4283" t="s">
        <v>2067</v>
      </c>
      <c r="E4283" t="s">
        <v>2076</v>
      </c>
      <c r="F4283" t="s">
        <v>16</v>
      </c>
      <c r="G4283">
        <v>1085.56</v>
      </c>
      <c r="H4283" t="s">
        <v>2060</v>
      </c>
      <c r="I4283" t="str">
        <f>VLOOKUP(B4283,Customers!A:G,7,FALSE)</f>
        <v>Corporate</v>
      </c>
      <c r="Q4283" t="str">
        <f>IF(COUNTIF(Customers!$A$2:$A$1001,B4283)&gt;0,"Valid","Invalid")</f>
        <v>Valid</v>
      </c>
      <c r="R4283" t="str">
        <f>IF(COUNTIF(Branches!$A$2:$A$11,F4283)&gt;0,"Valid","Invalid")</f>
        <v>Valid</v>
      </c>
    </row>
    <row r="4284" spans="1:18" x14ac:dyDescent="0.25">
      <c r="A4284" t="s">
        <v>6355</v>
      </c>
      <c r="B4284" t="s">
        <v>1026</v>
      </c>
      <c r="C4284" s="8">
        <v>46143</v>
      </c>
      <c r="D4284" t="s">
        <v>2065</v>
      </c>
      <c r="E4284" t="s">
        <v>2059</v>
      </c>
      <c r="F4284" t="s">
        <v>21</v>
      </c>
      <c r="G4284">
        <v>186.34</v>
      </c>
      <c r="H4284" t="s">
        <v>2115</v>
      </c>
      <c r="I4284" t="str">
        <f>VLOOKUP(B4284,Customers!A:G,7,FALSE)</f>
        <v>Individual</v>
      </c>
      <c r="Q4284" t="str">
        <f>IF(COUNTIF(Customers!$A$2:$A$1001,B4284)&gt;0,"Valid","Invalid")</f>
        <v>Valid</v>
      </c>
      <c r="R4284" t="str">
        <f>IF(COUNTIF(Branches!$A$2:$A$11,F4284)&gt;0,"Valid","Invalid")</f>
        <v>Valid</v>
      </c>
    </row>
    <row r="4285" spans="1:18" x14ac:dyDescent="0.25">
      <c r="A4285" t="s">
        <v>6356</v>
      </c>
      <c r="B4285" t="s">
        <v>961</v>
      </c>
      <c r="C4285" s="8">
        <v>46235</v>
      </c>
      <c r="D4285" t="s">
        <v>2058</v>
      </c>
      <c r="E4285" t="s">
        <v>2063</v>
      </c>
      <c r="F4285" t="s">
        <v>39</v>
      </c>
      <c r="G4285">
        <v>3043.69</v>
      </c>
      <c r="H4285" t="s">
        <v>2060</v>
      </c>
      <c r="I4285" t="str">
        <f>VLOOKUP(B4285,Customers!A:G,7,FALSE)</f>
        <v>SME</v>
      </c>
      <c r="Q4285" t="str">
        <f>IF(COUNTIF(Customers!$A$2:$A$1001,B4285)&gt;0,"Valid","Invalid")</f>
        <v>Valid</v>
      </c>
      <c r="R4285" t="str">
        <f>IF(COUNTIF(Branches!$A$2:$A$11,F4285)&gt;0,"Valid","Invalid")</f>
        <v>Valid</v>
      </c>
    </row>
    <row r="4286" spans="1:18" x14ac:dyDescent="0.25">
      <c r="A4286" t="s">
        <v>6357</v>
      </c>
      <c r="B4286" t="s">
        <v>590</v>
      </c>
      <c r="C4286" s="8">
        <v>46077</v>
      </c>
      <c r="D4286" t="s">
        <v>2058</v>
      </c>
      <c r="E4286" t="s">
        <v>2063</v>
      </c>
      <c r="F4286" t="s">
        <v>39</v>
      </c>
      <c r="G4286">
        <v>992.52</v>
      </c>
      <c r="H4286" t="s">
        <v>2060</v>
      </c>
      <c r="I4286" t="str">
        <f>VLOOKUP(B4286,Customers!A:G,7,FALSE)</f>
        <v>SME</v>
      </c>
      <c r="Q4286" t="str">
        <f>IF(COUNTIF(Customers!$A$2:$A$1001,B4286)&gt;0,"Valid","Invalid")</f>
        <v>Valid</v>
      </c>
      <c r="R4286" t="str">
        <f>IF(COUNTIF(Branches!$A$2:$A$11,F4286)&gt;0,"Valid","Invalid")</f>
        <v>Valid</v>
      </c>
    </row>
    <row r="4287" spans="1:18" x14ac:dyDescent="0.25">
      <c r="A4287" t="s">
        <v>6358</v>
      </c>
      <c r="B4287" t="s">
        <v>230</v>
      </c>
      <c r="C4287" s="8">
        <v>46063</v>
      </c>
      <c r="D4287" t="s">
        <v>2065</v>
      </c>
      <c r="E4287" t="s">
        <v>2063</v>
      </c>
      <c r="F4287" t="s">
        <v>35</v>
      </c>
      <c r="G4287">
        <v>2537.2199999999998</v>
      </c>
      <c r="H4287" t="s">
        <v>2060</v>
      </c>
      <c r="I4287" t="str">
        <f>VLOOKUP(B4287,Customers!A:G,7,FALSE)</f>
        <v>Individual</v>
      </c>
      <c r="Q4287" t="str">
        <f>IF(COUNTIF(Customers!$A$2:$A$1001,B4287)&gt;0,"Valid","Invalid")</f>
        <v>Valid</v>
      </c>
      <c r="R4287" t="str">
        <f>IF(COUNTIF(Branches!$A$2:$A$11,F4287)&gt;0,"Valid","Invalid")</f>
        <v>Valid</v>
      </c>
    </row>
    <row r="4288" spans="1:18" x14ac:dyDescent="0.25">
      <c r="A4288" t="s">
        <v>6359</v>
      </c>
      <c r="B4288" t="s">
        <v>677</v>
      </c>
      <c r="C4288" s="8">
        <v>46119</v>
      </c>
      <c r="D4288" t="s">
        <v>2065</v>
      </c>
      <c r="E4288" t="s">
        <v>2063</v>
      </c>
      <c r="F4288" t="s">
        <v>39</v>
      </c>
      <c r="G4288">
        <v>2754.13</v>
      </c>
      <c r="H4288" t="s">
        <v>2060</v>
      </c>
      <c r="I4288" t="str">
        <f>VLOOKUP(B4288,Customers!A:G,7,FALSE)</f>
        <v>Student</v>
      </c>
      <c r="Q4288" t="str">
        <f>IF(COUNTIF(Customers!$A$2:$A$1001,B4288)&gt;0,"Valid","Invalid")</f>
        <v>Valid</v>
      </c>
      <c r="R4288" t="str">
        <f>IF(COUNTIF(Branches!$A$2:$A$11,F4288)&gt;0,"Valid","Invalid")</f>
        <v>Valid</v>
      </c>
    </row>
    <row r="4289" spans="1:18" x14ac:dyDescent="0.25">
      <c r="A4289" t="s">
        <v>6360</v>
      </c>
      <c r="B4289" t="s">
        <v>327</v>
      </c>
      <c r="C4289" s="8">
        <v>46170</v>
      </c>
      <c r="D4289" t="s">
        <v>2067</v>
      </c>
      <c r="E4289" t="s">
        <v>2059</v>
      </c>
      <c r="F4289" t="s">
        <v>21</v>
      </c>
      <c r="G4289">
        <v>3086.75</v>
      </c>
      <c r="H4289" t="s">
        <v>2060</v>
      </c>
      <c r="I4289" t="str">
        <f>VLOOKUP(B4289,Customers!A:G,7,FALSE)</f>
        <v>Individual</v>
      </c>
      <c r="Q4289" t="str">
        <f>IF(COUNTIF(Customers!$A$2:$A$1001,B4289)&gt;0,"Valid","Invalid")</f>
        <v>Valid</v>
      </c>
      <c r="R4289" t="str">
        <f>IF(COUNTIF(Branches!$A$2:$A$11,F4289)&gt;0,"Valid","Invalid")</f>
        <v>Valid</v>
      </c>
    </row>
    <row r="4290" spans="1:18" x14ac:dyDescent="0.25">
      <c r="A4290" t="s">
        <v>6361</v>
      </c>
      <c r="B4290" t="s">
        <v>1002</v>
      </c>
      <c r="C4290" s="8">
        <v>46055</v>
      </c>
      <c r="D4290" t="s">
        <v>2067</v>
      </c>
      <c r="E4290" t="s">
        <v>2063</v>
      </c>
      <c r="F4290" t="s">
        <v>47</v>
      </c>
      <c r="G4290">
        <v>424.84</v>
      </c>
      <c r="H4290" t="s">
        <v>2060</v>
      </c>
      <c r="I4290" t="str">
        <f>VLOOKUP(B4290,Customers!A:G,7,FALSE)</f>
        <v>Student</v>
      </c>
      <c r="Q4290" t="str">
        <f>IF(COUNTIF(Customers!$A$2:$A$1001,B4290)&gt;0,"Valid","Invalid")</f>
        <v>Valid</v>
      </c>
      <c r="R4290" t="str">
        <f>IF(COUNTIF(Branches!$A$2:$A$11,F4290)&gt;0,"Valid","Invalid")</f>
        <v>Valid</v>
      </c>
    </row>
    <row r="4291" spans="1:18" x14ac:dyDescent="0.25">
      <c r="A4291" t="s">
        <v>6362</v>
      </c>
      <c r="B4291" t="s">
        <v>621</v>
      </c>
      <c r="C4291" s="8">
        <v>46190</v>
      </c>
      <c r="D4291" t="s">
        <v>2067</v>
      </c>
      <c r="E4291" t="s">
        <v>2076</v>
      </c>
      <c r="F4291" t="s">
        <v>35</v>
      </c>
      <c r="G4291">
        <v>659.87</v>
      </c>
      <c r="H4291" t="s">
        <v>2060</v>
      </c>
      <c r="I4291" t="str">
        <f>VLOOKUP(B4291,Customers!A:G,7,FALSE)</f>
        <v>Individual</v>
      </c>
      <c r="Q4291" t="str">
        <f>IF(COUNTIF(Customers!$A$2:$A$1001,B4291)&gt;0,"Valid","Invalid")</f>
        <v>Valid</v>
      </c>
      <c r="R4291" t="str">
        <f>IF(COUNTIF(Branches!$A$2:$A$11,F4291)&gt;0,"Valid","Invalid")</f>
        <v>Valid</v>
      </c>
    </row>
    <row r="4292" spans="1:18" x14ac:dyDescent="0.25">
      <c r="A4292" t="s">
        <v>6363</v>
      </c>
      <c r="B4292" t="s">
        <v>687</v>
      </c>
      <c r="C4292" s="8">
        <v>46249</v>
      </c>
      <c r="D4292" t="s">
        <v>2065</v>
      </c>
      <c r="E4292" t="s">
        <v>2059</v>
      </c>
      <c r="F4292" t="s">
        <v>53</v>
      </c>
      <c r="G4292">
        <v>440.67</v>
      </c>
      <c r="H4292" t="s">
        <v>2060</v>
      </c>
      <c r="I4292" t="str">
        <f>VLOOKUP(B4292,Customers!A:G,7,FALSE)</f>
        <v>Individual</v>
      </c>
      <c r="Q4292" t="str">
        <f>IF(COUNTIF(Customers!$A$2:$A$1001,B4292)&gt;0,"Valid","Invalid")</f>
        <v>Valid</v>
      </c>
      <c r="R4292" t="str">
        <f>IF(COUNTIF(Branches!$A$2:$A$11,F4292)&gt;0,"Valid","Invalid")</f>
        <v>Valid</v>
      </c>
    </row>
    <row r="4293" spans="1:18" x14ac:dyDescent="0.25">
      <c r="A4293" t="s">
        <v>6364</v>
      </c>
      <c r="B4293" t="s">
        <v>180</v>
      </c>
      <c r="C4293" s="8">
        <v>46056</v>
      </c>
      <c r="D4293" t="s">
        <v>2065</v>
      </c>
      <c r="E4293" t="s">
        <v>2076</v>
      </c>
      <c r="F4293" t="s">
        <v>47</v>
      </c>
      <c r="G4293">
        <v>1988.42</v>
      </c>
      <c r="H4293" t="s">
        <v>2060</v>
      </c>
      <c r="I4293" t="str">
        <f>VLOOKUP(B4293,Customers!A:G,7,FALSE)</f>
        <v>Individual</v>
      </c>
      <c r="Q4293" t="str">
        <f>IF(COUNTIF(Customers!$A$2:$A$1001,B4293)&gt;0,"Valid","Invalid")</f>
        <v>Valid</v>
      </c>
      <c r="R4293" t="str">
        <f>IF(COUNTIF(Branches!$A$2:$A$11,F4293)&gt;0,"Valid","Invalid")</f>
        <v>Valid</v>
      </c>
    </row>
    <row r="4294" spans="1:18" x14ac:dyDescent="0.25">
      <c r="A4294" t="s">
        <v>6365</v>
      </c>
      <c r="B4294" t="s">
        <v>427</v>
      </c>
      <c r="C4294" s="8">
        <v>46084</v>
      </c>
      <c r="D4294" t="s">
        <v>2070</v>
      </c>
      <c r="E4294" t="s">
        <v>2059</v>
      </c>
      <c r="F4294" t="s">
        <v>45</v>
      </c>
      <c r="G4294">
        <v>1133.3</v>
      </c>
      <c r="H4294" t="s">
        <v>2115</v>
      </c>
      <c r="I4294" t="str">
        <f>VLOOKUP(B4294,Customers!A:G,7,FALSE)</f>
        <v>Individual</v>
      </c>
      <c r="Q4294" t="str">
        <f>IF(COUNTIF(Customers!$A$2:$A$1001,B4294)&gt;0,"Valid","Invalid")</f>
        <v>Valid</v>
      </c>
      <c r="R4294" t="str">
        <f>IF(COUNTIF(Branches!$A$2:$A$11,F4294)&gt;0,"Valid","Invalid")</f>
        <v>Valid</v>
      </c>
    </row>
    <row r="4295" spans="1:18" x14ac:dyDescent="0.25">
      <c r="A4295" t="s">
        <v>6366</v>
      </c>
      <c r="B4295" t="s">
        <v>904</v>
      </c>
      <c r="C4295" s="8">
        <v>46250</v>
      </c>
      <c r="D4295" t="s">
        <v>2070</v>
      </c>
      <c r="E4295" t="s">
        <v>2063</v>
      </c>
      <c r="F4295" t="s">
        <v>11</v>
      </c>
      <c r="G4295">
        <v>2366.4499999999998</v>
      </c>
      <c r="H4295" t="s">
        <v>2060</v>
      </c>
      <c r="I4295" t="str">
        <f>VLOOKUP(B4295,Customers!A:G,7,FALSE)</f>
        <v>Individual</v>
      </c>
      <c r="Q4295" t="str">
        <f>IF(COUNTIF(Customers!$A$2:$A$1001,B4295)&gt;0,"Valid","Invalid")</f>
        <v>Valid</v>
      </c>
      <c r="R4295" t="str">
        <f>IF(COUNTIF(Branches!$A$2:$A$11,F4295)&gt;0,"Valid","Invalid")</f>
        <v>Valid</v>
      </c>
    </row>
    <row r="4296" spans="1:18" x14ac:dyDescent="0.25">
      <c r="A4296" t="s">
        <v>6367</v>
      </c>
      <c r="B4296" t="s">
        <v>930</v>
      </c>
      <c r="C4296" s="8">
        <v>46241</v>
      </c>
      <c r="D4296" t="s">
        <v>2058</v>
      </c>
      <c r="E4296" t="s">
        <v>2073</v>
      </c>
      <c r="F4296" t="s">
        <v>47</v>
      </c>
      <c r="G4296">
        <v>2471.89</v>
      </c>
      <c r="H4296" t="s">
        <v>2060</v>
      </c>
      <c r="I4296" t="str">
        <f>VLOOKUP(B4296,Customers!A:G,7,FALSE)</f>
        <v>Individual</v>
      </c>
      <c r="Q4296" t="str">
        <f>IF(COUNTIF(Customers!$A$2:$A$1001,B4296)&gt;0,"Valid","Invalid")</f>
        <v>Valid</v>
      </c>
      <c r="R4296" t="str">
        <f>IF(COUNTIF(Branches!$A$2:$A$11,F4296)&gt;0,"Valid","Invalid")</f>
        <v>Valid</v>
      </c>
    </row>
    <row r="4297" spans="1:18" x14ac:dyDescent="0.25">
      <c r="A4297" t="s">
        <v>6368</v>
      </c>
      <c r="B4297" t="s">
        <v>445</v>
      </c>
      <c r="C4297" s="8">
        <v>46041</v>
      </c>
      <c r="D4297" t="s">
        <v>2070</v>
      </c>
      <c r="E4297" t="s">
        <v>2063</v>
      </c>
      <c r="F4297" t="s">
        <v>47</v>
      </c>
      <c r="G4297">
        <v>144.41999999999999</v>
      </c>
      <c r="H4297" t="s">
        <v>2107</v>
      </c>
      <c r="I4297" t="str">
        <f>VLOOKUP(B4297,Customers!A:G,7,FALSE)</f>
        <v>Student</v>
      </c>
      <c r="Q4297" t="str">
        <f>IF(COUNTIF(Customers!$A$2:$A$1001,B4297)&gt;0,"Valid","Invalid")</f>
        <v>Valid</v>
      </c>
      <c r="R4297" t="str">
        <f>IF(COUNTIF(Branches!$A$2:$A$11,F4297)&gt;0,"Valid","Invalid")</f>
        <v>Valid</v>
      </c>
    </row>
    <row r="4298" spans="1:18" x14ac:dyDescent="0.25">
      <c r="A4298" t="s">
        <v>6369</v>
      </c>
      <c r="B4298" t="s">
        <v>849</v>
      </c>
      <c r="C4298" s="8">
        <v>46193</v>
      </c>
      <c r="D4298" t="s">
        <v>2058</v>
      </c>
      <c r="E4298" t="s">
        <v>2073</v>
      </c>
      <c r="F4298" t="s">
        <v>29</v>
      </c>
      <c r="G4298">
        <v>3136.21</v>
      </c>
      <c r="H4298" t="s">
        <v>2060</v>
      </c>
      <c r="I4298" t="str">
        <f>VLOOKUP(B4298,Customers!A:G,7,FALSE)</f>
        <v>Individual</v>
      </c>
      <c r="Q4298" t="str">
        <f>IF(COUNTIF(Customers!$A$2:$A$1001,B4298)&gt;0,"Valid","Invalid")</f>
        <v>Valid</v>
      </c>
      <c r="R4298" t="str">
        <f>IF(COUNTIF(Branches!$A$2:$A$11,F4298)&gt;0,"Valid","Invalid")</f>
        <v>Valid</v>
      </c>
    </row>
    <row r="4299" spans="1:18" x14ac:dyDescent="0.25">
      <c r="A4299" t="s">
        <v>6370</v>
      </c>
      <c r="B4299" t="s">
        <v>408</v>
      </c>
      <c r="C4299" s="8">
        <v>46219</v>
      </c>
      <c r="D4299" t="s">
        <v>2065</v>
      </c>
      <c r="E4299" t="s">
        <v>2063</v>
      </c>
      <c r="F4299" t="s">
        <v>29</v>
      </c>
      <c r="G4299">
        <v>2102.4499999999998</v>
      </c>
      <c r="H4299" t="s">
        <v>2060</v>
      </c>
      <c r="I4299" t="str">
        <f>VLOOKUP(B4299,Customers!A:G,7,FALSE)</f>
        <v>Individual</v>
      </c>
      <c r="Q4299" t="str">
        <f>IF(COUNTIF(Customers!$A$2:$A$1001,B4299)&gt;0,"Valid","Invalid")</f>
        <v>Valid</v>
      </c>
      <c r="R4299" t="str">
        <f>IF(COUNTIF(Branches!$A$2:$A$11,F4299)&gt;0,"Valid","Invalid")</f>
        <v>Valid</v>
      </c>
    </row>
    <row r="4300" spans="1:18" x14ac:dyDescent="0.25">
      <c r="A4300" t="s">
        <v>6371</v>
      </c>
      <c r="B4300" t="s">
        <v>895</v>
      </c>
      <c r="C4300" s="8">
        <v>46213</v>
      </c>
      <c r="D4300" t="s">
        <v>2065</v>
      </c>
      <c r="E4300" t="s">
        <v>2059</v>
      </c>
      <c r="F4300" t="s">
        <v>27</v>
      </c>
      <c r="G4300">
        <v>561.59</v>
      </c>
      <c r="H4300" t="s">
        <v>2060</v>
      </c>
      <c r="I4300" t="str">
        <f>VLOOKUP(B4300,Customers!A:G,7,FALSE)</f>
        <v>SME</v>
      </c>
      <c r="Q4300" t="str">
        <f>IF(COUNTIF(Customers!$A$2:$A$1001,B4300)&gt;0,"Valid","Invalid")</f>
        <v>Valid</v>
      </c>
      <c r="R4300" t="str">
        <f>IF(COUNTIF(Branches!$A$2:$A$11,F4300)&gt;0,"Valid","Invalid")</f>
        <v>Valid</v>
      </c>
    </row>
    <row r="4301" spans="1:18" x14ac:dyDescent="0.25">
      <c r="A4301" t="s">
        <v>6372</v>
      </c>
      <c r="B4301" t="s">
        <v>479</v>
      </c>
      <c r="C4301" s="8">
        <v>46243</v>
      </c>
      <c r="D4301" t="s">
        <v>2062</v>
      </c>
      <c r="E4301" t="s">
        <v>2063</v>
      </c>
      <c r="F4301" t="s">
        <v>35</v>
      </c>
      <c r="G4301">
        <v>1152.6199999999999</v>
      </c>
      <c r="H4301" t="s">
        <v>2060</v>
      </c>
      <c r="I4301" t="str">
        <f>VLOOKUP(B4301,Customers!A:G,7,FALSE)</f>
        <v>Individual</v>
      </c>
      <c r="Q4301" t="str">
        <f>IF(COUNTIF(Customers!$A$2:$A$1001,B4301)&gt;0,"Valid","Invalid")</f>
        <v>Valid</v>
      </c>
      <c r="R4301" t="str">
        <f>IF(COUNTIF(Branches!$A$2:$A$11,F4301)&gt;0,"Valid","Invalid")</f>
        <v>Valid</v>
      </c>
    </row>
    <row r="4302" spans="1:18" x14ac:dyDescent="0.25">
      <c r="A4302" t="s">
        <v>6373</v>
      </c>
      <c r="B4302" t="s">
        <v>985</v>
      </c>
      <c r="C4302" s="8">
        <v>46032</v>
      </c>
      <c r="D4302" t="s">
        <v>2058</v>
      </c>
      <c r="E4302" t="s">
        <v>2063</v>
      </c>
      <c r="F4302" t="s">
        <v>53</v>
      </c>
      <c r="G4302">
        <v>717.9</v>
      </c>
      <c r="H4302" t="s">
        <v>2060</v>
      </c>
      <c r="I4302" t="str">
        <f>VLOOKUP(B4302,Customers!A:G,7,FALSE)</f>
        <v>Individual</v>
      </c>
      <c r="Q4302" t="str">
        <f>IF(COUNTIF(Customers!$A$2:$A$1001,B4302)&gt;0,"Valid","Invalid")</f>
        <v>Valid</v>
      </c>
      <c r="R4302" t="str">
        <f>IF(COUNTIF(Branches!$A$2:$A$11,F4302)&gt;0,"Valid","Invalid")</f>
        <v>Valid</v>
      </c>
    </row>
    <row r="4303" spans="1:18" x14ac:dyDescent="0.25">
      <c r="A4303" t="s">
        <v>6374</v>
      </c>
      <c r="B4303" t="s">
        <v>819</v>
      </c>
      <c r="C4303" s="8">
        <v>46142</v>
      </c>
      <c r="D4303" t="s">
        <v>2062</v>
      </c>
      <c r="E4303" t="s">
        <v>2059</v>
      </c>
      <c r="F4303" t="s">
        <v>39</v>
      </c>
      <c r="G4303">
        <v>1504.26</v>
      </c>
      <c r="H4303" t="s">
        <v>2115</v>
      </c>
      <c r="I4303" t="str">
        <f>VLOOKUP(B4303,Customers!A:G,7,FALSE)</f>
        <v>SME</v>
      </c>
      <c r="Q4303" t="str">
        <f>IF(COUNTIF(Customers!$A$2:$A$1001,B4303)&gt;0,"Valid","Invalid")</f>
        <v>Valid</v>
      </c>
      <c r="R4303" t="str">
        <f>IF(COUNTIF(Branches!$A$2:$A$11,F4303)&gt;0,"Valid","Invalid")</f>
        <v>Valid</v>
      </c>
    </row>
    <row r="4304" spans="1:18" x14ac:dyDescent="0.25">
      <c r="A4304" t="s">
        <v>6375</v>
      </c>
      <c r="B4304" t="s">
        <v>934</v>
      </c>
      <c r="C4304" s="8">
        <v>46145</v>
      </c>
      <c r="D4304" t="s">
        <v>2062</v>
      </c>
      <c r="E4304" t="s">
        <v>2076</v>
      </c>
      <c r="F4304" t="s">
        <v>45</v>
      </c>
      <c r="G4304">
        <v>560.37</v>
      </c>
      <c r="H4304" t="s">
        <v>2060</v>
      </c>
      <c r="I4304" t="str">
        <f>VLOOKUP(B4304,Customers!A:G,7,FALSE)</f>
        <v>Individual</v>
      </c>
      <c r="Q4304" t="str">
        <f>IF(COUNTIF(Customers!$A$2:$A$1001,B4304)&gt;0,"Valid","Invalid")</f>
        <v>Valid</v>
      </c>
      <c r="R4304" t="str">
        <f>IF(COUNTIF(Branches!$A$2:$A$11,F4304)&gt;0,"Valid","Invalid")</f>
        <v>Valid</v>
      </c>
    </row>
    <row r="4305" spans="1:18" x14ac:dyDescent="0.25">
      <c r="A4305" t="s">
        <v>6376</v>
      </c>
      <c r="B4305" t="s">
        <v>958</v>
      </c>
      <c r="C4305" s="8">
        <v>46126</v>
      </c>
      <c r="D4305" t="s">
        <v>2067</v>
      </c>
      <c r="E4305" t="s">
        <v>2063</v>
      </c>
      <c r="F4305" t="s">
        <v>11</v>
      </c>
      <c r="G4305">
        <v>1311.5</v>
      </c>
      <c r="H4305" t="s">
        <v>2060</v>
      </c>
      <c r="I4305" t="str">
        <f>VLOOKUP(B4305,Customers!A:G,7,FALSE)</f>
        <v>Individual</v>
      </c>
      <c r="Q4305" t="str">
        <f>IF(COUNTIF(Customers!$A$2:$A$1001,B4305)&gt;0,"Valid","Invalid")</f>
        <v>Valid</v>
      </c>
      <c r="R4305" t="str">
        <f>IF(COUNTIF(Branches!$A$2:$A$11,F4305)&gt;0,"Valid","Invalid")</f>
        <v>Valid</v>
      </c>
    </row>
    <row r="4306" spans="1:18" x14ac:dyDescent="0.25">
      <c r="A4306" t="s">
        <v>6377</v>
      </c>
      <c r="B4306" t="s">
        <v>689</v>
      </c>
      <c r="C4306" s="8">
        <v>46163</v>
      </c>
      <c r="D4306" t="s">
        <v>2065</v>
      </c>
      <c r="E4306" t="s">
        <v>2059</v>
      </c>
      <c r="F4306" t="s">
        <v>39</v>
      </c>
      <c r="G4306">
        <v>868.97</v>
      </c>
      <c r="H4306" t="s">
        <v>2115</v>
      </c>
      <c r="I4306" t="str">
        <f>VLOOKUP(B4306,Customers!A:G,7,FALSE)</f>
        <v>Individual</v>
      </c>
      <c r="Q4306" t="str">
        <f>IF(COUNTIF(Customers!$A$2:$A$1001,B4306)&gt;0,"Valid","Invalid")</f>
        <v>Valid</v>
      </c>
      <c r="R4306" t="str">
        <f>IF(COUNTIF(Branches!$A$2:$A$11,F4306)&gt;0,"Valid","Invalid")</f>
        <v>Valid</v>
      </c>
    </row>
    <row r="4307" spans="1:18" x14ac:dyDescent="0.25">
      <c r="A4307" t="s">
        <v>6378</v>
      </c>
      <c r="B4307" t="s">
        <v>602</v>
      </c>
      <c r="C4307" s="8">
        <v>46243</v>
      </c>
      <c r="D4307" t="s">
        <v>2065</v>
      </c>
      <c r="E4307" t="s">
        <v>2063</v>
      </c>
      <c r="F4307" t="s">
        <v>11</v>
      </c>
      <c r="G4307">
        <v>527.32000000000005</v>
      </c>
      <c r="H4307" t="s">
        <v>2107</v>
      </c>
      <c r="I4307" t="str">
        <f>VLOOKUP(B4307,Customers!A:G,7,FALSE)</f>
        <v>Student</v>
      </c>
      <c r="Q4307" t="str">
        <f>IF(COUNTIF(Customers!$A$2:$A$1001,B4307)&gt;0,"Valid","Invalid")</f>
        <v>Valid</v>
      </c>
      <c r="R4307" t="str">
        <f>IF(COUNTIF(Branches!$A$2:$A$11,F4307)&gt;0,"Valid","Invalid")</f>
        <v>Valid</v>
      </c>
    </row>
    <row r="4308" spans="1:18" x14ac:dyDescent="0.25">
      <c r="A4308" t="s">
        <v>6379</v>
      </c>
      <c r="B4308" t="s">
        <v>567</v>
      </c>
      <c r="C4308" s="8">
        <v>46027</v>
      </c>
      <c r="D4308" t="s">
        <v>2065</v>
      </c>
      <c r="E4308" t="s">
        <v>2059</v>
      </c>
      <c r="F4308" t="s">
        <v>39</v>
      </c>
      <c r="G4308">
        <v>982.54</v>
      </c>
      <c r="H4308" t="s">
        <v>2060</v>
      </c>
      <c r="I4308" t="str">
        <f>VLOOKUP(B4308,Customers!A:G,7,FALSE)</f>
        <v>Student</v>
      </c>
      <c r="Q4308" t="str">
        <f>IF(COUNTIF(Customers!$A$2:$A$1001,B4308)&gt;0,"Valid","Invalid")</f>
        <v>Valid</v>
      </c>
      <c r="R4308" t="str">
        <f>IF(COUNTIF(Branches!$A$2:$A$11,F4308)&gt;0,"Valid","Invalid")</f>
        <v>Valid</v>
      </c>
    </row>
    <row r="4309" spans="1:18" x14ac:dyDescent="0.25">
      <c r="A4309" t="s">
        <v>6380</v>
      </c>
      <c r="B4309" t="s">
        <v>715</v>
      </c>
      <c r="C4309" s="8">
        <v>46080</v>
      </c>
      <c r="D4309" t="s">
        <v>2065</v>
      </c>
      <c r="E4309" t="s">
        <v>2073</v>
      </c>
      <c r="F4309" t="s">
        <v>47</v>
      </c>
      <c r="G4309">
        <v>12166.84</v>
      </c>
      <c r="H4309" t="s">
        <v>2060</v>
      </c>
      <c r="I4309" t="str">
        <f>VLOOKUP(B4309,Customers!A:G,7,FALSE)</f>
        <v>Individual</v>
      </c>
      <c r="Q4309" t="str">
        <f>IF(COUNTIF(Customers!$A$2:$A$1001,B4309)&gt;0,"Valid","Invalid")</f>
        <v>Valid</v>
      </c>
      <c r="R4309" t="str">
        <f>IF(COUNTIF(Branches!$A$2:$A$11,F4309)&gt;0,"Valid","Invalid")</f>
        <v>Valid</v>
      </c>
    </row>
    <row r="4310" spans="1:18" x14ac:dyDescent="0.25">
      <c r="A4310" t="s">
        <v>6381</v>
      </c>
      <c r="B4310" t="s">
        <v>42</v>
      </c>
      <c r="C4310" s="8">
        <v>46081</v>
      </c>
      <c r="D4310" t="s">
        <v>2067</v>
      </c>
      <c r="E4310" t="s">
        <v>2068</v>
      </c>
      <c r="F4310" t="s">
        <v>16</v>
      </c>
      <c r="G4310">
        <v>409.31</v>
      </c>
      <c r="H4310" t="s">
        <v>2060</v>
      </c>
      <c r="I4310" t="str">
        <f>VLOOKUP(B4310,Customers!A:G,7,FALSE)</f>
        <v>Individual</v>
      </c>
      <c r="Q4310" t="str">
        <f>IF(COUNTIF(Customers!$A$2:$A$1001,B4310)&gt;0,"Valid","Invalid")</f>
        <v>Valid</v>
      </c>
      <c r="R4310" t="str">
        <f>IF(COUNTIF(Branches!$A$2:$A$11,F4310)&gt;0,"Valid","Invalid")</f>
        <v>Valid</v>
      </c>
    </row>
    <row r="4311" spans="1:18" x14ac:dyDescent="0.25">
      <c r="A4311" t="s">
        <v>6382</v>
      </c>
      <c r="B4311" t="s">
        <v>740</v>
      </c>
      <c r="C4311" s="8">
        <v>46226</v>
      </c>
      <c r="D4311" t="s">
        <v>2065</v>
      </c>
      <c r="E4311" t="s">
        <v>2059</v>
      </c>
      <c r="F4311" t="s">
        <v>29</v>
      </c>
      <c r="G4311">
        <v>632.74</v>
      </c>
      <c r="H4311" t="s">
        <v>2060</v>
      </c>
      <c r="I4311" t="str">
        <f>VLOOKUP(B4311,Customers!A:G,7,FALSE)</f>
        <v>Individual</v>
      </c>
      <c r="Q4311" t="str">
        <f>IF(COUNTIF(Customers!$A$2:$A$1001,B4311)&gt;0,"Valid","Invalid")</f>
        <v>Valid</v>
      </c>
      <c r="R4311" t="str">
        <f>IF(COUNTIF(Branches!$A$2:$A$11,F4311)&gt;0,"Valid","Invalid")</f>
        <v>Valid</v>
      </c>
    </row>
    <row r="4312" spans="1:18" x14ac:dyDescent="0.25">
      <c r="A4312" t="s">
        <v>6383</v>
      </c>
      <c r="B4312" t="s">
        <v>1025</v>
      </c>
      <c r="C4312" s="8">
        <v>46150</v>
      </c>
      <c r="D4312" t="s">
        <v>2065</v>
      </c>
      <c r="E4312" t="s">
        <v>2063</v>
      </c>
      <c r="F4312" t="s">
        <v>27</v>
      </c>
      <c r="G4312">
        <v>416.5</v>
      </c>
      <c r="H4312" t="s">
        <v>2060</v>
      </c>
      <c r="I4312" t="str">
        <f>VLOOKUP(B4312,Customers!A:G,7,FALSE)</f>
        <v>Individual</v>
      </c>
      <c r="Q4312" t="str">
        <f>IF(COUNTIF(Customers!$A$2:$A$1001,B4312)&gt;0,"Valid","Invalid")</f>
        <v>Valid</v>
      </c>
      <c r="R4312" t="str">
        <f>IF(COUNTIF(Branches!$A$2:$A$11,F4312)&gt;0,"Valid","Invalid")</f>
        <v>Valid</v>
      </c>
    </row>
    <row r="4313" spans="1:18" x14ac:dyDescent="0.25">
      <c r="A4313" t="s">
        <v>6384</v>
      </c>
      <c r="B4313" t="s">
        <v>378</v>
      </c>
      <c r="C4313" s="8">
        <v>46209</v>
      </c>
      <c r="D4313" t="s">
        <v>2067</v>
      </c>
      <c r="E4313" t="s">
        <v>2063</v>
      </c>
      <c r="F4313" t="s">
        <v>11</v>
      </c>
      <c r="G4313">
        <v>462.56</v>
      </c>
      <c r="H4313" t="s">
        <v>2060</v>
      </c>
      <c r="I4313" t="str">
        <f>VLOOKUP(B4313,Customers!A:G,7,FALSE)</f>
        <v>SME</v>
      </c>
      <c r="Q4313" t="str">
        <f>IF(COUNTIF(Customers!$A$2:$A$1001,B4313)&gt;0,"Valid","Invalid")</f>
        <v>Valid</v>
      </c>
      <c r="R4313" t="str">
        <f>IF(COUNTIF(Branches!$A$2:$A$11,F4313)&gt;0,"Valid","Invalid")</f>
        <v>Valid</v>
      </c>
    </row>
    <row r="4314" spans="1:18" x14ac:dyDescent="0.25">
      <c r="A4314" t="s">
        <v>6385</v>
      </c>
      <c r="B4314" t="s">
        <v>903</v>
      </c>
      <c r="C4314" s="8">
        <v>46227</v>
      </c>
      <c r="D4314" t="s">
        <v>2067</v>
      </c>
      <c r="E4314" t="s">
        <v>2073</v>
      </c>
      <c r="F4314" t="s">
        <v>27</v>
      </c>
      <c r="G4314">
        <v>1836.79</v>
      </c>
      <c r="H4314" t="s">
        <v>2060</v>
      </c>
      <c r="I4314" t="str">
        <f>VLOOKUP(B4314,Customers!A:G,7,FALSE)</f>
        <v>Student</v>
      </c>
      <c r="Q4314" t="str">
        <f>IF(COUNTIF(Customers!$A$2:$A$1001,B4314)&gt;0,"Valid","Invalid")</f>
        <v>Valid</v>
      </c>
      <c r="R4314" t="str">
        <f>IF(COUNTIF(Branches!$A$2:$A$11,F4314)&gt;0,"Valid","Invalid")</f>
        <v>Valid</v>
      </c>
    </row>
    <row r="4315" spans="1:18" x14ac:dyDescent="0.25">
      <c r="A4315" t="s">
        <v>6386</v>
      </c>
      <c r="B4315" t="s">
        <v>912</v>
      </c>
      <c r="C4315" s="8">
        <v>46108</v>
      </c>
      <c r="D4315" t="s">
        <v>2067</v>
      </c>
      <c r="E4315" t="s">
        <v>2063</v>
      </c>
      <c r="F4315" t="s">
        <v>53</v>
      </c>
      <c r="G4315">
        <v>1662.18</v>
      </c>
      <c r="H4315" t="s">
        <v>2060</v>
      </c>
      <c r="I4315" t="str">
        <f>VLOOKUP(B4315,Customers!A:G,7,FALSE)</f>
        <v>Individual</v>
      </c>
      <c r="Q4315" t="str">
        <f>IF(COUNTIF(Customers!$A$2:$A$1001,B4315)&gt;0,"Valid","Invalid")</f>
        <v>Valid</v>
      </c>
      <c r="R4315" t="str">
        <f>IF(COUNTIF(Branches!$A$2:$A$11,F4315)&gt;0,"Valid","Invalid")</f>
        <v>Valid</v>
      </c>
    </row>
    <row r="4316" spans="1:18" x14ac:dyDescent="0.25">
      <c r="A4316" t="s">
        <v>6387</v>
      </c>
      <c r="B4316" t="s">
        <v>902</v>
      </c>
      <c r="C4316" s="8">
        <v>46126</v>
      </c>
      <c r="D4316" t="s">
        <v>2067</v>
      </c>
      <c r="E4316" t="s">
        <v>2068</v>
      </c>
      <c r="F4316" t="s">
        <v>11</v>
      </c>
      <c r="G4316">
        <v>807.66</v>
      </c>
      <c r="H4316" t="s">
        <v>2060</v>
      </c>
      <c r="I4316" t="str">
        <f>VLOOKUP(B4316,Customers!A:G,7,FALSE)</f>
        <v>SME</v>
      </c>
      <c r="Q4316" t="str">
        <f>IF(COUNTIF(Customers!$A$2:$A$1001,B4316)&gt;0,"Valid","Invalid")</f>
        <v>Valid</v>
      </c>
      <c r="R4316" t="str">
        <f>IF(COUNTIF(Branches!$A$2:$A$11,F4316)&gt;0,"Valid","Invalid")</f>
        <v>Valid</v>
      </c>
    </row>
    <row r="4317" spans="1:18" x14ac:dyDescent="0.25">
      <c r="A4317" t="s">
        <v>6388</v>
      </c>
      <c r="B4317" t="s">
        <v>814</v>
      </c>
      <c r="C4317" s="8">
        <v>46165</v>
      </c>
      <c r="D4317" t="s">
        <v>2058</v>
      </c>
      <c r="E4317" t="s">
        <v>2059</v>
      </c>
      <c r="F4317" t="s">
        <v>47</v>
      </c>
      <c r="G4317">
        <v>2267.19</v>
      </c>
      <c r="H4317" t="s">
        <v>2060</v>
      </c>
      <c r="I4317" t="str">
        <f>VLOOKUP(B4317,Customers!A:G,7,FALSE)</f>
        <v>Individual</v>
      </c>
      <c r="Q4317" t="str">
        <f>IF(COUNTIF(Customers!$A$2:$A$1001,B4317)&gt;0,"Valid","Invalid")</f>
        <v>Valid</v>
      </c>
      <c r="R4317" t="str">
        <f>IF(COUNTIF(Branches!$A$2:$A$11,F4317)&gt;0,"Valid","Invalid")</f>
        <v>Valid</v>
      </c>
    </row>
    <row r="4318" spans="1:18" x14ac:dyDescent="0.25">
      <c r="A4318" t="s">
        <v>6389</v>
      </c>
      <c r="B4318" t="s">
        <v>350</v>
      </c>
      <c r="C4318" s="8">
        <v>46227</v>
      </c>
      <c r="D4318" t="s">
        <v>2070</v>
      </c>
      <c r="E4318" t="s">
        <v>2073</v>
      </c>
      <c r="F4318" t="s">
        <v>47</v>
      </c>
      <c r="G4318">
        <v>1796.23</v>
      </c>
      <c r="H4318" t="s">
        <v>2060</v>
      </c>
      <c r="I4318" t="str">
        <f>VLOOKUP(B4318,Customers!A:G,7,FALSE)</f>
        <v>Corporate</v>
      </c>
      <c r="Q4318" t="str">
        <f>IF(COUNTIF(Customers!$A$2:$A$1001,B4318)&gt;0,"Valid","Invalid")</f>
        <v>Valid</v>
      </c>
      <c r="R4318" t="str">
        <f>IF(COUNTIF(Branches!$A$2:$A$11,F4318)&gt;0,"Valid","Invalid")</f>
        <v>Valid</v>
      </c>
    </row>
    <row r="4319" spans="1:18" x14ac:dyDescent="0.25">
      <c r="A4319" t="s">
        <v>6390</v>
      </c>
      <c r="B4319" t="s">
        <v>771</v>
      </c>
      <c r="C4319" s="8">
        <v>46151</v>
      </c>
      <c r="D4319" t="s">
        <v>2065</v>
      </c>
      <c r="E4319" t="s">
        <v>2059</v>
      </c>
      <c r="F4319" t="s">
        <v>45</v>
      </c>
      <c r="G4319">
        <v>690.67</v>
      </c>
      <c r="H4319" t="s">
        <v>2115</v>
      </c>
      <c r="I4319" t="str">
        <f>VLOOKUP(B4319,Customers!A:G,7,FALSE)</f>
        <v>Student</v>
      </c>
      <c r="Q4319" t="str">
        <f>IF(COUNTIF(Customers!$A$2:$A$1001,B4319)&gt;0,"Valid","Invalid")</f>
        <v>Valid</v>
      </c>
      <c r="R4319" t="str">
        <f>IF(COUNTIF(Branches!$A$2:$A$11,F4319)&gt;0,"Valid","Invalid")</f>
        <v>Valid</v>
      </c>
    </row>
    <row r="4320" spans="1:18" x14ac:dyDescent="0.25">
      <c r="A4320" t="s">
        <v>6391</v>
      </c>
      <c r="B4320" t="s">
        <v>140</v>
      </c>
      <c r="C4320" s="8">
        <v>46060</v>
      </c>
      <c r="D4320" t="s">
        <v>2065</v>
      </c>
      <c r="E4320" t="s">
        <v>2059</v>
      </c>
      <c r="F4320" t="s">
        <v>47</v>
      </c>
      <c r="G4320">
        <v>175.24</v>
      </c>
      <c r="H4320" t="s">
        <v>2060</v>
      </c>
      <c r="I4320" t="str">
        <f>VLOOKUP(B4320,Customers!A:G,7,FALSE)</f>
        <v>Individual</v>
      </c>
      <c r="Q4320" t="str">
        <f>IF(COUNTIF(Customers!$A$2:$A$1001,B4320)&gt;0,"Valid","Invalid")</f>
        <v>Valid</v>
      </c>
      <c r="R4320" t="str">
        <f>IF(COUNTIF(Branches!$A$2:$A$11,F4320)&gt;0,"Valid","Invalid")</f>
        <v>Valid</v>
      </c>
    </row>
    <row r="4321" spans="1:18" x14ac:dyDescent="0.25">
      <c r="A4321" t="s">
        <v>6392</v>
      </c>
      <c r="B4321" t="s">
        <v>377</v>
      </c>
      <c r="C4321" s="8">
        <v>46129</v>
      </c>
      <c r="D4321" t="s">
        <v>2062</v>
      </c>
      <c r="E4321" t="s">
        <v>2076</v>
      </c>
      <c r="F4321" t="s">
        <v>21</v>
      </c>
      <c r="G4321">
        <v>1862.7</v>
      </c>
      <c r="H4321" t="s">
        <v>2060</v>
      </c>
      <c r="I4321" t="str">
        <f>VLOOKUP(B4321,Customers!A:G,7,FALSE)</f>
        <v>Individual</v>
      </c>
      <c r="Q4321" t="str">
        <f>IF(COUNTIF(Customers!$A$2:$A$1001,B4321)&gt;0,"Valid","Invalid")</f>
        <v>Valid</v>
      </c>
      <c r="R4321" t="str">
        <f>IF(COUNTIF(Branches!$A$2:$A$11,F4321)&gt;0,"Valid","Invalid")</f>
        <v>Valid</v>
      </c>
    </row>
    <row r="4322" spans="1:18" x14ac:dyDescent="0.25">
      <c r="A4322" t="s">
        <v>6393</v>
      </c>
      <c r="B4322" t="s">
        <v>235</v>
      </c>
      <c r="C4322" s="8">
        <v>46131</v>
      </c>
      <c r="D4322" t="s">
        <v>2058</v>
      </c>
      <c r="E4322" t="s">
        <v>2073</v>
      </c>
      <c r="F4322" t="s">
        <v>53</v>
      </c>
      <c r="G4322">
        <v>962.63</v>
      </c>
      <c r="H4322" t="s">
        <v>2060</v>
      </c>
      <c r="I4322" t="str">
        <f>VLOOKUP(B4322,Customers!A:G,7,FALSE)</f>
        <v>Individual</v>
      </c>
      <c r="Q4322" t="str">
        <f>IF(COUNTIF(Customers!$A$2:$A$1001,B4322)&gt;0,"Valid","Invalid")</f>
        <v>Valid</v>
      </c>
      <c r="R4322" t="str">
        <f>IF(COUNTIF(Branches!$A$2:$A$11,F4322)&gt;0,"Valid","Invalid")</f>
        <v>Valid</v>
      </c>
    </row>
    <row r="4323" spans="1:18" x14ac:dyDescent="0.25">
      <c r="A4323" t="s">
        <v>6394</v>
      </c>
      <c r="B4323" t="s">
        <v>338</v>
      </c>
      <c r="C4323" s="8">
        <v>46075</v>
      </c>
      <c r="D4323" t="s">
        <v>2062</v>
      </c>
      <c r="E4323" t="s">
        <v>2073</v>
      </c>
      <c r="F4323" t="s">
        <v>29</v>
      </c>
      <c r="G4323">
        <v>830.66</v>
      </c>
      <c r="H4323" t="s">
        <v>2060</v>
      </c>
      <c r="I4323" t="str">
        <f>VLOOKUP(B4323,Customers!A:G,7,FALSE)</f>
        <v>Individual</v>
      </c>
      <c r="Q4323" t="str">
        <f>IF(COUNTIF(Customers!$A$2:$A$1001,B4323)&gt;0,"Valid","Invalid")</f>
        <v>Valid</v>
      </c>
      <c r="R4323" t="str">
        <f>IF(COUNTIF(Branches!$A$2:$A$11,F4323)&gt;0,"Valid","Invalid")</f>
        <v>Valid</v>
      </c>
    </row>
    <row r="4324" spans="1:18" x14ac:dyDescent="0.25">
      <c r="A4324" t="s">
        <v>6395</v>
      </c>
      <c r="B4324" t="s">
        <v>482</v>
      </c>
      <c r="C4324" s="8">
        <v>46074</v>
      </c>
      <c r="D4324" t="s">
        <v>2065</v>
      </c>
      <c r="E4324" t="s">
        <v>2076</v>
      </c>
      <c r="F4324" t="s">
        <v>47</v>
      </c>
      <c r="G4324">
        <v>509.77</v>
      </c>
      <c r="H4324" t="s">
        <v>2060</v>
      </c>
      <c r="I4324" t="str">
        <f>VLOOKUP(B4324,Customers!A:G,7,FALSE)</f>
        <v>Individual</v>
      </c>
      <c r="Q4324" t="str">
        <f>IF(COUNTIF(Customers!$A$2:$A$1001,B4324)&gt;0,"Valid","Invalid")</f>
        <v>Valid</v>
      </c>
      <c r="R4324" t="str">
        <f>IF(COUNTIF(Branches!$A$2:$A$11,F4324)&gt;0,"Valid","Invalid")</f>
        <v>Valid</v>
      </c>
    </row>
    <row r="4325" spans="1:18" x14ac:dyDescent="0.25">
      <c r="A4325" t="s">
        <v>6396</v>
      </c>
      <c r="B4325" t="s">
        <v>397</v>
      </c>
      <c r="C4325" s="8">
        <v>46023</v>
      </c>
      <c r="D4325" t="s">
        <v>2062</v>
      </c>
      <c r="E4325" t="s">
        <v>2068</v>
      </c>
      <c r="F4325" t="s">
        <v>35</v>
      </c>
      <c r="G4325">
        <v>1710.68</v>
      </c>
      <c r="H4325" t="s">
        <v>2060</v>
      </c>
      <c r="I4325" t="str">
        <f>VLOOKUP(B4325,Customers!A:G,7,FALSE)</f>
        <v>Individual</v>
      </c>
      <c r="Q4325" t="str">
        <f>IF(COUNTIF(Customers!$A$2:$A$1001,B4325)&gt;0,"Valid","Invalid")</f>
        <v>Valid</v>
      </c>
      <c r="R4325" t="str">
        <f>IF(COUNTIF(Branches!$A$2:$A$11,F4325)&gt;0,"Valid","Invalid")</f>
        <v>Valid</v>
      </c>
    </row>
    <row r="4326" spans="1:18" x14ac:dyDescent="0.25">
      <c r="A4326" t="s">
        <v>6397</v>
      </c>
      <c r="B4326" t="s">
        <v>406</v>
      </c>
      <c r="C4326" s="8">
        <v>46033</v>
      </c>
      <c r="D4326" t="s">
        <v>2070</v>
      </c>
      <c r="E4326" t="s">
        <v>2059</v>
      </c>
      <c r="F4326" t="s">
        <v>27</v>
      </c>
      <c r="G4326">
        <v>1151.1300000000001</v>
      </c>
      <c r="H4326" t="s">
        <v>2060</v>
      </c>
      <c r="I4326" t="str">
        <f>VLOOKUP(B4326,Customers!A:G,7,FALSE)</f>
        <v>SME</v>
      </c>
      <c r="Q4326" t="str">
        <f>IF(COUNTIF(Customers!$A$2:$A$1001,B4326)&gt;0,"Valid","Invalid")</f>
        <v>Valid</v>
      </c>
      <c r="R4326" t="str">
        <f>IF(COUNTIF(Branches!$A$2:$A$11,F4326)&gt;0,"Valid","Invalid")</f>
        <v>Valid</v>
      </c>
    </row>
    <row r="4327" spans="1:18" x14ac:dyDescent="0.25">
      <c r="A4327" t="s">
        <v>6398</v>
      </c>
      <c r="B4327" t="s">
        <v>205</v>
      </c>
      <c r="C4327" s="8">
        <v>46080</v>
      </c>
      <c r="D4327" t="s">
        <v>2058</v>
      </c>
      <c r="E4327" t="s">
        <v>2068</v>
      </c>
      <c r="F4327" t="s">
        <v>47</v>
      </c>
      <c r="G4327">
        <v>641.09</v>
      </c>
      <c r="H4327" t="s">
        <v>2060</v>
      </c>
      <c r="I4327" t="str">
        <f>VLOOKUP(B4327,Customers!A:G,7,FALSE)</f>
        <v>SME</v>
      </c>
      <c r="Q4327" t="str">
        <f>IF(COUNTIF(Customers!$A$2:$A$1001,B4327)&gt;0,"Valid","Invalid")</f>
        <v>Valid</v>
      </c>
      <c r="R4327" t="str">
        <f>IF(COUNTIF(Branches!$A$2:$A$11,F4327)&gt;0,"Valid","Invalid")</f>
        <v>Valid</v>
      </c>
    </row>
    <row r="4328" spans="1:18" x14ac:dyDescent="0.25">
      <c r="A4328" t="s">
        <v>6399</v>
      </c>
      <c r="B4328" t="s">
        <v>185</v>
      </c>
      <c r="C4328" s="8">
        <v>46257</v>
      </c>
      <c r="D4328" t="s">
        <v>2065</v>
      </c>
      <c r="E4328" t="s">
        <v>2068</v>
      </c>
      <c r="F4328" t="s">
        <v>39</v>
      </c>
      <c r="G4328">
        <v>238.54</v>
      </c>
      <c r="H4328" t="s">
        <v>2115</v>
      </c>
      <c r="I4328" t="str">
        <f>VLOOKUP(B4328,Customers!A:G,7,FALSE)</f>
        <v>SME</v>
      </c>
      <c r="Q4328" t="str">
        <f>IF(COUNTIF(Customers!$A$2:$A$1001,B4328)&gt;0,"Valid","Invalid")</f>
        <v>Valid</v>
      </c>
      <c r="R4328" t="str">
        <f>IF(COUNTIF(Branches!$A$2:$A$11,F4328)&gt;0,"Valid","Invalid")</f>
        <v>Valid</v>
      </c>
    </row>
    <row r="4329" spans="1:18" x14ac:dyDescent="0.25">
      <c r="A4329" t="s">
        <v>6400</v>
      </c>
      <c r="B4329" t="s">
        <v>799</v>
      </c>
      <c r="C4329" s="8">
        <v>46150</v>
      </c>
      <c r="D4329" t="s">
        <v>2062</v>
      </c>
      <c r="E4329" t="s">
        <v>2059</v>
      </c>
      <c r="F4329" t="s">
        <v>45</v>
      </c>
      <c r="G4329">
        <v>2363.5700000000002</v>
      </c>
      <c r="H4329" t="s">
        <v>2060</v>
      </c>
      <c r="I4329" t="str">
        <f>VLOOKUP(B4329,Customers!A:G,7,FALSE)</f>
        <v>Student</v>
      </c>
      <c r="Q4329" t="str">
        <f>IF(COUNTIF(Customers!$A$2:$A$1001,B4329)&gt;0,"Valid","Invalid")</f>
        <v>Valid</v>
      </c>
      <c r="R4329" t="str">
        <f>IF(COUNTIF(Branches!$A$2:$A$11,F4329)&gt;0,"Valid","Invalid")</f>
        <v>Valid</v>
      </c>
    </row>
    <row r="4330" spans="1:18" x14ac:dyDescent="0.25">
      <c r="A4330" t="s">
        <v>6401</v>
      </c>
      <c r="B4330" t="s">
        <v>806</v>
      </c>
      <c r="C4330" s="8">
        <v>46190</v>
      </c>
      <c r="D4330" t="s">
        <v>2062</v>
      </c>
      <c r="E4330" t="s">
        <v>2076</v>
      </c>
      <c r="F4330" t="s">
        <v>11</v>
      </c>
      <c r="G4330">
        <v>1487.58</v>
      </c>
      <c r="H4330" t="s">
        <v>2060</v>
      </c>
      <c r="I4330" t="str">
        <f>VLOOKUP(B4330,Customers!A:G,7,FALSE)</f>
        <v>Student</v>
      </c>
      <c r="Q4330" t="str">
        <f>IF(COUNTIF(Customers!$A$2:$A$1001,B4330)&gt;0,"Valid","Invalid")</f>
        <v>Valid</v>
      </c>
      <c r="R4330" t="str">
        <f>IF(COUNTIF(Branches!$A$2:$A$11,F4330)&gt;0,"Valid","Invalid")</f>
        <v>Valid</v>
      </c>
    </row>
    <row r="4331" spans="1:18" x14ac:dyDescent="0.25">
      <c r="A4331" t="s">
        <v>6402</v>
      </c>
      <c r="B4331" t="s">
        <v>1020</v>
      </c>
      <c r="C4331" s="8">
        <v>46236</v>
      </c>
      <c r="D4331" t="s">
        <v>2062</v>
      </c>
      <c r="E4331" t="s">
        <v>2059</v>
      </c>
      <c r="F4331" t="s">
        <v>27</v>
      </c>
      <c r="G4331">
        <v>1048.8</v>
      </c>
      <c r="H4331" t="s">
        <v>2060</v>
      </c>
      <c r="I4331" t="str">
        <f>VLOOKUP(B4331,Customers!A:G,7,FALSE)</f>
        <v>Individual</v>
      </c>
      <c r="Q4331" t="str">
        <f>IF(COUNTIF(Customers!$A$2:$A$1001,B4331)&gt;0,"Valid","Invalid")</f>
        <v>Valid</v>
      </c>
      <c r="R4331" t="str">
        <f>IF(COUNTIF(Branches!$A$2:$A$11,F4331)&gt;0,"Valid","Invalid")</f>
        <v>Valid</v>
      </c>
    </row>
    <row r="4332" spans="1:18" x14ac:dyDescent="0.25">
      <c r="A4332" t="s">
        <v>6403</v>
      </c>
      <c r="B4332" t="s">
        <v>76</v>
      </c>
      <c r="C4332" s="8">
        <v>46249</v>
      </c>
      <c r="D4332" t="s">
        <v>2065</v>
      </c>
      <c r="E4332" t="s">
        <v>2059</v>
      </c>
      <c r="F4332" t="s">
        <v>11</v>
      </c>
      <c r="G4332">
        <v>57.01</v>
      </c>
      <c r="H4332" t="s">
        <v>2060</v>
      </c>
      <c r="I4332" t="str">
        <f>VLOOKUP(B4332,Customers!A:G,7,FALSE)</f>
        <v>Individual</v>
      </c>
      <c r="Q4332" t="str">
        <f>IF(COUNTIF(Customers!$A$2:$A$1001,B4332)&gt;0,"Valid","Invalid")</f>
        <v>Valid</v>
      </c>
      <c r="R4332" t="str">
        <f>IF(COUNTIF(Branches!$A$2:$A$11,F4332)&gt;0,"Valid","Invalid")</f>
        <v>Valid</v>
      </c>
    </row>
    <row r="4333" spans="1:18" x14ac:dyDescent="0.25">
      <c r="A4333" t="s">
        <v>6404</v>
      </c>
      <c r="B4333" t="s">
        <v>239</v>
      </c>
      <c r="C4333" s="8">
        <v>46210</v>
      </c>
      <c r="D4333" t="s">
        <v>2062</v>
      </c>
      <c r="E4333" t="s">
        <v>2068</v>
      </c>
      <c r="F4333" t="s">
        <v>29</v>
      </c>
      <c r="G4333">
        <v>782.2</v>
      </c>
      <c r="H4333" t="s">
        <v>2060</v>
      </c>
      <c r="I4333" t="str">
        <f>VLOOKUP(B4333,Customers!A:G,7,FALSE)</f>
        <v>SME</v>
      </c>
      <c r="Q4333" t="str">
        <f>IF(COUNTIF(Customers!$A$2:$A$1001,B4333)&gt;0,"Valid","Invalid")</f>
        <v>Valid</v>
      </c>
      <c r="R4333" t="str">
        <f>IF(COUNTIF(Branches!$A$2:$A$11,F4333)&gt;0,"Valid","Invalid")</f>
        <v>Valid</v>
      </c>
    </row>
    <row r="4334" spans="1:18" x14ac:dyDescent="0.25">
      <c r="A4334" t="s">
        <v>6405</v>
      </c>
      <c r="B4334" t="s">
        <v>1008</v>
      </c>
      <c r="C4334" s="8">
        <v>46265</v>
      </c>
      <c r="D4334" t="s">
        <v>2065</v>
      </c>
      <c r="E4334" t="s">
        <v>2059</v>
      </c>
      <c r="F4334" t="s">
        <v>11</v>
      </c>
      <c r="G4334">
        <v>638.29</v>
      </c>
      <c r="H4334" t="s">
        <v>2060</v>
      </c>
      <c r="I4334" t="str">
        <f>VLOOKUP(B4334,Customers!A:G,7,FALSE)</f>
        <v>Individual</v>
      </c>
      <c r="Q4334" t="str">
        <f>IF(COUNTIF(Customers!$A$2:$A$1001,B4334)&gt;0,"Valid","Invalid")</f>
        <v>Valid</v>
      </c>
      <c r="R4334" t="str">
        <f>IF(COUNTIF(Branches!$A$2:$A$11,F4334)&gt;0,"Valid","Invalid")</f>
        <v>Valid</v>
      </c>
    </row>
    <row r="4335" spans="1:18" x14ac:dyDescent="0.25">
      <c r="A4335" t="s">
        <v>6406</v>
      </c>
      <c r="B4335" t="s">
        <v>282</v>
      </c>
      <c r="C4335" s="8">
        <v>46066</v>
      </c>
      <c r="D4335" t="s">
        <v>2065</v>
      </c>
      <c r="E4335" t="s">
        <v>2063</v>
      </c>
      <c r="F4335" t="s">
        <v>21</v>
      </c>
      <c r="G4335">
        <v>437.69</v>
      </c>
      <c r="H4335" t="s">
        <v>2060</v>
      </c>
      <c r="I4335" t="str">
        <f>VLOOKUP(B4335,Customers!A:G,7,FALSE)</f>
        <v>SME</v>
      </c>
      <c r="Q4335" t="str">
        <f>IF(COUNTIF(Customers!$A$2:$A$1001,B4335)&gt;0,"Valid","Invalid")</f>
        <v>Valid</v>
      </c>
      <c r="R4335" t="str">
        <f>IF(COUNTIF(Branches!$A$2:$A$11,F4335)&gt;0,"Valid","Invalid")</f>
        <v>Valid</v>
      </c>
    </row>
    <row r="4336" spans="1:18" x14ac:dyDescent="0.25">
      <c r="A4336" t="s">
        <v>6407</v>
      </c>
      <c r="B4336" t="s">
        <v>707</v>
      </c>
      <c r="C4336" s="8">
        <v>46028</v>
      </c>
      <c r="D4336" t="s">
        <v>2058</v>
      </c>
      <c r="E4336" t="s">
        <v>2059</v>
      </c>
      <c r="F4336" t="s">
        <v>53</v>
      </c>
      <c r="G4336">
        <v>1727.16</v>
      </c>
      <c r="H4336" t="s">
        <v>2060</v>
      </c>
      <c r="I4336" t="str">
        <f>VLOOKUP(B4336,Customers!A:G,7,FALSE)</f>
        <v>Individual</v>
      </c>
      <c r="Q4336" t="str">
        <f>IF(COUNTIF(Customers!$A$2:$A$1001,B4336)&gt;0,"Valid","Invalid")</f>
        <v>Valid</v>
      </c>
      <c r="R4336" t="str">
        <f>IF(COUNTIF(Branches!$A$2:$A$11,F4336)&gt;0,"Valid","Invalid")</f>
        <v>Valid</v>
      </c>
    </row>
    <row r="4337" spans="1:18" x14ac:dyDescent="0.25">
      <c r="A4337" t="s">
        <v>6408</v>
      </c>
      <c r="B4337" t="s">
        <v>502</v>
      </c>
      <c r="C4337" s="8">
        <v>46178</v>
      </c>
      <c r="D4337" t="s">
        <v>2065</v>
      </c>
      <c r="E4337" t="s">
        <v>2063</v>
      </c>
      <c r="F4337" t="s">
        <v>11</v>
      </c>
      <c r="G4337">
        <v>1660.48</v>
      </c>
      <c r="H4337" t="s">
        <v>2060</v>
      </c>
      <c r="I4337" t="str">
        <f>VLOOKUP(B4337,Customers!A:G,7,FALSE)</f>
        <v>SME</v>
      </c>
      <c r="Q4337" t="str">
        <f>IF(COUNTIF(Customers!$A$2:$A$1001,B4337)&gt;0,"Valid","Invalid")</f>
        <v>Valid</v>
      </c>
      <c r="R4337" t="str">
        <f>IF(COUNTIF(Branches!$A$2:$A$11,F4337)&gt;0,"Valid","Invalid")</f>
        <v>Valid</v>
      </c>
    </row>
    <row r="4338" spans="1:18" x14ac:dyDescent="0.25">
      <c r="A4338" t="s">
        <v>6409</v>
      </c>
      <c r="B4338" t="s">
        <v>487</v>
      </c>
      <c r="C4338" s="8">
        <v>46181</v>
      </c>
      <c r="D4338" t="s">
        <v>2058</v>
      </c>
      <c r="E4338" t="s">
        <v>2059</v>
      </c>
      <c r="F4338" t="s">
        <v>11</v>
      </c>
      <c r="G4338">
        <v>1257.43</v>
      </c>
      <c r="H4338" t="s">
        <v>2115</v>
      </c>
      <c r="I4338" t="str">
        <f>VLOOKUP(B4338,Customers!A:G,7,FALSE)</f>
        <v>Student</v>
      </c>
      <c r="Q4338" t="str">
        <f>IF(COUNTIF(Customers!$A$2:$A$1001,B4338)&gt;0,"Valid","Invalid")</f>
        <v>Valid</v>
      </c>
      <c r="R4338" t="str">
        <f>IF(COUNTIF(Branches!$A$2:$A$11,F4338)&gt;0,"Valid","Invalid")</f>
        <v>Valid</v>
      </c>
    </row>
    <row r="4339" spans="1:18" x14ac:dyDescent="0.25">
      <c r="A4339" t="s">
        <v>6410</v>
      </c>
      <c r="B4339" t="s">
        <v>951</v>
      </c>
      <c r="C4339" s="8">
        <v>46030</v>
      </c>
      <c r="D4339" t="s">
        <v>2058</v>
      </c>
      <c r="E4339" t="s">
        <v>2073</v>
      </c>
      <c r="F4339" t="s">
        <v>53</v>
      </c>
      <c r="G4339">
        <v>2293.63</v>
      </c>
      <c r="H4339" t="s">
        <v>2060</v>
      </c>
      <c r="I4339" t="str">
        <f>VLOOKUP(B4339,Customers!A:G,7,FALSE)</f>
        <v>Individual</v>
      </c>
      <c r="Q4339" t="str">
        <f>IF(COUNTIF(Customers!$A$2:$A$1001,B4339)&gt;0,"Valid","Invalid")</f>
        <v>Valid</v>
      </c>
      <c r="R4339" t="str">
        <f>IF(COUNTIF(Branches!$A$2:$A$11,F4339)&gt;0,"Valid","Invalid")</f>
        <v>Valid</v>
      </c>
    </row>
    <row r="4340" spans="1:18" x14ac:dyDescent="0.25">
      <c r="A4340" t="s">
        <v>6411</v>
      </c>
      <c r="B4340" t="s">
        <v>836</v>
      </c>
      <c r="C4340" s="8">
        <v>46027</v>
      </c>
      <c r="D4340" t="s">
        <v>2065</v>
      </c>
      <c r="E4340" t="s">
        <v>2076</v>
      </c>
      <c r="F4340" t="s">
        <v>11</v>
      </c>
      <c r="G4340">
        <v>292.27999999999997</v>
      </c>
      <c r="H4340" t="s">
        <v>2060</v>
      </c>
      <c r="I4340" t="str">
        <f>VLOOKUP(B4340,Customers!A:G,7,FALSE)</f>
        <v>Student</v>
      </c>
      <c r="Q4340" t="str">
        <f>IF(COUNTIF(Customers!$A$2:$A$1001,B4340)&gt;0,"Valid","Invalid")</f>
        <v>Valid</v>
      </c>
      <c r="R4340" t="str">
        <f>IF(COUNTIF(Branches!$A$2:$A$11,F4340)&gt;0,"Valid","Invalid")</f>
        <v>Valid</v>
      </c>
    </row>
    <row r="4341" spans="1:18" x14ac:dyDescent="0.25">
      <c r="A4341" t="s">
        <v>6412</v>
      </c>
      <c r="B4341" t="s">
        <v>832</v>
      </c>
      <c r="C4341" s="8">
        <v>46128</v>
      </c>
      <c r="D4341" t="s">
        <v>2058</v>
      </c>
      <c r="E4341" t="s">
        <v>2068</v>
      </c>
      <c r="F4341" t="s">
        <v>39</v>
      </c>
      <c r="G4341">
        <v>516.12</v>
      </c>
      <c r="H4341" t="s">
        <v>2060</v>
      </c>
      <c r="I4341" t="str">
        <f>VLOOKUP(B4341,Customers!A:G,7,FALSE)</f>
        <v>Individual</v>
      </c>
      <c r="Q4341" t="str">
        <f>IF(COUNTIF(Customers!$A$2:$A$1001,B4341)&gt;0,"Valid","Invalid")</f>
        <v>Valid</v>
      </c>
      <c r="R4341" t="str">
        <f>IF(COUNTIF(Branches!$A$2:$A$11,F4341)&gt;0,"Valid","Invalid")</f>
        <v>Valid</v>
      </c>
    </row>
    <row r="4342" spans="1:18" x14ac:dyDescent="0.25">
      <c r="A4342" t="s">
        <v>6413</v>
      </c>
      <c r="B4342" t="s">
        <v>475</v>
      </c>
      <c r="C4342" s="8">
        <v>46204</v>
      </c>
      <c r="D4342" t="s">
        <v>2070</v>
      </c>
      <c r="E4342" t="s">
        <v>2063</v>
      </c>
      <c r="F4342" t="s">
        <v>29</v>
      </c>
      <c r="G4342">
        <v>875.5</v>
      </c>
      <c r="H4342" t="s">
        <v>2060</v>
      </c>
      <c r="I4342" t="str">
        <f>VLOOKUP(B4342,Customers!A:G,7,FALSE)</f>
        <v>Individual</v>
      </c>
      <c r="Q4342" t="str">
        <f>IF(COUNTIF(Customers!$A$2:$A$1001,B4342)&gt;0,"Valid","Invalid")</f>
        <v>Valid</v>
      </c>
      <c r="R4342" t="str">
        <f>IF(COUNTIF(Branches!$A$2:$A$11,F4342)&gt;0,"Valid","Invalid")</f>
        <v>Valid</v>
      </c>
    </row>
    <row r="4343" spans="1:18" x14ac:dyDescent="0.25">
      <c r="A4343" t="s">
        <v>6414</v>
      </c>
      <c r="B4343" t="s">
        <v>931</v>
      </c>
      <c r="C4343" s="8">
        <v>46134</v>
      </c>
      <c r="D4343" t="s">
        <v>2065</v>
      </c>
      <c r="E4343" t="s">
        <v>2073</v>
      </c>
      <c r="F4343" t="s">
        <v>45</v>
      </c>
      <c r="G4343">
        <v>436.16</v>
      </c>
      <c r="H4343" t="s">
        <v>2060</v>
      </c>
      <c r="I4343" t="str">
        <f>VLOOKUP(B4343,Customers!A:G,7,FALSE)</f>
        <v>SME</v>
      </c>
      <c r="Q4343" t="str">
        <f>IF(COUNTIF(Customers!$A$2:$A$1001,B4343)&gt;0,"Valid","Invalid")</f>
        <v>Valid</v>
      </c>
      <c r="R4343" t="str">
        <f>IF(COUNTIF(Branches!$A$2:$A$11,F4343)&gt;0,"Valid","Invalid")</f>
        <v>Valid</v>
      </c>
    </row>
    <row r="4344" spans="1:18" x14ac:dyDescent="0.25">
      <c r="A4344" t="s">
        <v>6415</v>
      </c>
      <c r="B4344" t="s">
        <v>788</v>
      </c>
      <c r="C4344" s="8">
        <v>46258</v>
      </c>
      <c r="D4344" t="s">
        <v>2058</v>
      </c>
      <c r="E4344" t="s">
        <v>2076</v>
      </c>
      <c r="F4344" t="s">
        <v>47</v>
      </c>
      <c r="G4344">
        <v>1681.04</v>
      </c>
      <c r="H4344" t="s">
        <v>2060</v>
      </c>
      <c r="I4344" t="str">
        <f>VLOOKUP(B4344,Customers!A:G,7,FALSE)</f>
        <v>Student</v>
      </c>
      <c r="Q4344" t="str">
        <f>IF(COUNTIF(Customers!$A$2:$A$1001,B4344)&gt;0,"Valid","Invalid")</f>
        <v>Valid</v>
      </c>
      <c r="R4344" t="str">
        <f>IF(COUNTIF(Branches!$A$2:$A$11,F4344)&gt;0,"Valid","Invalid")</f>
        <v>Valid</v>
      </c>
    </row>
    <row r="4345" spans="1:18" x14ac:dyDescent="0.25">
      <c r="A4345" t="s">
        <v>6416</v>
      </c>
      <c r="B4345" t="s">
        <v>569</v>
      </c>
      <c r="C4345" s="8">
        <v>46039</v>
      </c>
      <c r="D4345" t="s">
        <v>2067</v>
      </c>
      <c r="E4345" t="s">
        <v>2063</v>
      </c>
      <c r="F4345" t="s">
        <v>39</v>
      </c>
      <c r="G4345">
        <v>481.93</v>
      </c>
      <c r="H4345" t="s">
        <v>2060</v>
      </c>
      <c r="I4345" t="str">
        <f>VLOOKUP(B4345,Customers!A:G,7,FALSE)</f>
        <v>Individual</v>
      </c>
      <c r="Q4345" t="str">
        <f>IF(COUNTIF(Customers!$A$2:$A$1001,B4345)&gt;0,"Valid","Invalid")</f>
        <v>Valid</v>
      </c>
      <c r="R4345" t="str">
        <f>IF(COUNTIF(Branches!$A$2:$A$11,F4345)&gt;0,"Valid","Invalid")</f>
        <v>Valid</v>
      </c>
    </row>
    <row r="4346" spans="1:18" x14ac:dyDescent="0.25">
      <c r="A4346" t="s">
        <v>6417</v>
      </c>
      <c r="B4346" t="s">
        <v>603</v>
      </c>
      <c r="C4346" s="8">
        <v>46188</v>
      </c>
      <c r="D4346" t="s">
        <v>2067</v>
      </c>
      <c r="E4346" t="s">
        <v>2076</v>
      </c>
      <c r="F4346" t="s">
        <v>53</v>
      </c>
      <c r="G4346">
        <v>2976.1</v>
      </c>
      <c r="H4346" t="s">
        <v>2060</v>
      </c>
      <c r="I4346" t="str">
        <f>VLOOKUP(B4346,Customers!A:G,7,FALSE)</f>
        <v>Individual</v>
      </c>
      <c r="Q4346" t="str">
        <f>IF(COUNTIF(Customers!$A$2:$A$1001,B4346)&gt;0,"Valid","Invalid")</f>
        <v>Valid</v>
      </c>
      <c r="R4346" t="str">
        <f>IF(COUNTIF(Branches!$A$2:$A$11,F4346)&gt;0,"Valid","Invalid")</f>
        <v>Valid</v>
      </c>
    </row>
    <row r="4347" spans="1:18" x14ac:dyDescent="0.25">
      <c r="A4347" t="s">
        <v>6418</v>
      </c>
      <c r="B4347" t="s">
        <v>635</v>
      </c>
      <c r="C4347" s="8">
        <v>46031</v>
      </c>
      <c r="D4347" t="s">
        <v>2067</v>
      </c>
      <c r="E4347" t="s">
        <v>2073</v>
      </c>
      <c r="F4347" t="s">
        <v>21</v>
      </c>
      <c r="G4347">
        <v>320.17</v>
      </c>
      <c r="H4347" t="s">
        <v>2060</v>
      </c>
      <c r="I4347" t="str">
        <f>VLOOKUP(B4347,Customers!A:G,7,FALSE)</f>
        <v>SME</v>
      </c>
      <c r="Q4347" t="str">
        <f>IF(COUNTIF(Customers!$A$2:$A$1001,B4347)&gt;0,"Valid","Invalid")</f>
        <v>Valid</v>
      </c>
      <c r="R4347" t="str">
        <f>IF(COUNTIF(Branches!$A$2:$A$11,F4347)&gt;0,"Valid","Invalid")</f>
        <v>Valid</v>
      </c>
    </row>
    <row r="4348" spans="1:18" x14ac:dyDescent="0.25">
      <c r="A4348" t="s">
        <v>6419</v>
      </c>
      <c r="B4348" t="s">
        <v>311</v>
      </c>
      <c r="C4348" s="8">
        <v>46224</v>
      </c>
      <c r="D4348" t="s">
        <v>2067</v>
      </c>
      <c r="E4348" t="s">
        <v>2063</v>
      </c>
      <c r="F4348" t="s">
        <v>45</v>
      </c>
      <c r="G4348">
        <v>6849.86</v>
      </c>
      <c r="H4348" t="s">
        <v>2107</v>
      </c>
      <c r="I4348" t="str">
        <f>VLOOKUP(B4348,Customers!A:G,7,FALSE)</f>
        <v>Individual</v>
      </c>
      <c r="Q4348" t="str">
        <f>IF(COUNTIF(Customers!$A$2:$A$1001,B4348)&gt;0,"Valid","Invalid")</f>
        <v>Valid</v>
      </c>
      <c r="R4348" t="str">
        <f>IF(COUNTIF(Branches!$A$2:$A$11,F4348)&gt;0,"Valid","Invalid")</f>
        <v>Valid</v>
      </c>
    </row>
    <row r="4349" spans="1:18" x14ac:dyDescent="0.25">
      <c r="A4349" t="s">
        <v>6420</v>
      </c>
      <c r="B4349" t="s">
        <v>468</v>
      </c>
      <c r="C4349" s="8">
        <v>46234</v>
      </c>
      <c r="D4349" t="s">
        <v>2065</v>
      </c>
      <c r="E4349" t="s">
        <v>2059</v>
      </c>
      <c r="F4349" t="s">
        <v>47</v>
      </c>
      <c r="G4349">
        <v>6181.38</v>
      </c>
      <c r="H4349" t="s">
        <v>2060</v>
      </c>
      <c r="I4349" t="str">
        <f>VLOOKUP(B4349,Customers!A:G,7,FALSE)</f>
        <v>SME</v>
      </c>
      <c r="Q4349" t="str">
        <f>IF(COUNTIF(Customers!$A$2:$A$1001,B4349)&gt;0,"Valid","Invalid")</f>
        <v>Valid</v>
      </c>
      <c r="R4349" t="str">
        <f>IF(COUNTIF(Branches!$A$2:$A$11,F4349)&gt;0,"Valid","Invalid")</f>
        <v>Valid</v>
      </c>
    </row>
    <row r="4350" spans="1:18" x14ac:dyDescent="0.25">
      <c r="A4350" t="s">
        <v>6421</v>
      </c>
      <c r="B4350" t="s">
        <v>910</v>
      </c>
      <c r="C4350" s="8">
        <v>46100</v>
      </c>
      <c r="D4350" t="s">
        <v>2070</v>
      </c>
      <c r="E4350" t="s">
        <v>2073</v>
      </c>
      <c r="F4350" t="s">
        <v>39</v>
      </c>
      <c r="G4350">
        <v>738.96</v>
      </c>
      <c r="H4350" t="s">
        <v>2060</v>
      </c>
      <c r="I4350" t="str">
        <f>VLOOKUP(B4350,Customers!A:G,7,FALSE)</f>
        <v>Student</v>
      </c>
      <c r="Q4350" t="str">
        <f>IF(COUNTIF(Customers!$A$2:$A$1001,B4350)&gt;0,"Valid","Invalid")</f>
        <v>Valid</v>
      </c>
      <c r="R4350" t="str">
        <f>IF(COUNTIF(Branches!$A$2:$A$11,F4350)&gt;0,"Valid","Invalid")</f>
        <v>Valid</v>
      </c>
    </row>
    <row r="4351" spans="1:18" x14ac:dyDescent="0.25">
      <c r="A4351" t="s">
        <v>6422</v>
      </c>
      <c r="B4351" t="s">
        <v>250</v>
      </c>
      <c r="C4351" s="8">
        <v>46036</v>
      </c>
      <c r="D4351" t="s">
        <v>2058</v>
      </c>
      <c r="E4351" t="s">
        <v>2063</v>
      </c>
      <c r="F4351" t="s">
        <v>47</v>
      </c>
      <c r="G4351">
        <v>2555.9299999999998</v>
      </c>
      <c r="H4351" t="s">
        <v>2060</v>
      </c>
      <c r="I4351" t="str">
        <f>VLOOKUP(B4351,Customers!A:G,7,FALSE)</f>
        <v>Individual</v>
      </c>
      <c r="Q4351" t="str">
        <f>IF(COUNTIF(Customers!$A$2:$A$1001,B4351)&gt;0,"Valid","Invalid")</f>
        <v>Valid</v>
      </c>
      <c r="R4351" t="str">
        <f>IF(COUNTIF(Branches!$A$2:$A$11,F4351)&gt;0,"Valid","Invalid")</f>
        <v>Valid</v>
      </c>
    </row>
    <row r="4352" spans="1:18" x14ac:dyDescent="0.25">
      <c r="A4352" t="s">
        <v>6423</v>
      </c>
      <c r="B4352" t="s">
        <v>987</v>
      </c>
      <c r="C4352" s="8">
        <v>46176</v>
      </c>
      <c r="D4352" t="s">
        <v>2058</v>
      </c>
      <c r="E4352" t="s">
        <v>2076</v>
      </c>
      <c r="F4352" t="s">
        <v>29</v>
      </c>
      <c r="G4352">
        <v>544.34</v>
      </c>
      <c r="H4352" t="s">
        <v>2060</v>
      </c>
      <c r="I4352" t="str">
        <f>VLOOKUP(B4352,Customers!A:G,7,FALSE)</f>
        <v>Individual</v>
      </c>
      <c r="Q4352" t="str">
        <f>IF(COUNTIF(Customers!$A$2:$A$1001,B4352)&gt;0,"Valid","Invalid")</f>
        <v>Valid</v>
      </c>
      <c r="R4352" t="str">
        <f>IF(COUNTIF(Branches!$A$2:$A$11,F4352)&gt;0,"Valid","Invalid")</f>
        <v>Valid</v>
      </c>
    </row>
    <row r="4353" spans="1:18" x14ac:dyDescent="0.25">
      <c r="A4353" t="s">
        <v>6424</v>
      </c>
      <c r="B4353" t="s">
        <v>911</v>
      </c>
      <c r="C4353" s="8">
        <v>46243</v>
      </c>
      <c r="D4353" t="s">
        <v>2067</v>
      </c>
      <c r="E4353" t="s">
        <v>2059</v>
      </c>
      <c r="F4353" t="s">
        <v>16</v>
      </c>
      <c r="G4353">
        <v>2237.88</v>
      </c>
      <c r="H4353" t="s">
        <v>2060</v>
      </c>
      <c r="I4353" t="str">
        <f>VLOOKUP(B4353,Customers!A:G,7,FALSE)</f>
        <v>Individual</v>
      </c>
      <c r="Q4353" t="str">
        <f>IF(COUNTIF(Customers!$A$2:$A$1001,B4353)&gt;0,"Valid","Invalid")</f>
        <v>Valid</v>
      </c>
      <c r="R4353" t="str">
        <f>IF(COUNTIF(Branches!$A$2:$A$11,F4353)&gt;0,"Valid","Invalid")</f>
        <v>Valid</v>
      </c>
    </row>
    <row r="4354" spans="1:18" x14ac:dyDescent="0.25">
      <c r="A4354" t="s">
        <v>6425</v>
      </c>
      <c r="B4354" t="s">
        <v>140</v>
      </c>
      <c r="C4354" s="8">
        <v>46135</v>
      </c>
      <c r="D4354" t="s">
        <v>2058</v>
      </c>
      <c r="E4354" t="s">
        <v>2059</v>
      </c>
      <c r="F4354" t="s">
        <v>47</v>
      </c>
      <c r="G4354">
        <v>681.31</v>
      </c>
      <c r="H4354" t="s">
        <v>2060</v>
      </c>
      <c r="I4354" t="str">
        <f>VLOOKUP(B4354,Customers!A:G,7,FALSE)</f>
        <v>Individual</v>
      </c>
      <c r="Q4354" t="str">
        <f>IF(COUNTIF(Customers!$A$2:$A$1001,B4354)&gt;0,"Valid","Invalid")</f>
        <v>Valid</v>
      </c>
      <c r="R4354" t="str">
        <f>IF(COUNTIF(Branches!$A$2:$A$11,F4354)&gt;0,"Valid","Invalid")</f>
        <v>Valid</v>
      </c>
    </row>
    <row r="4355" spans="1:18" x14ac:dyDescent="0.25">
      <c r="A4355" t="s">
        <v>6426</v>
      </c>
      <c r="B4355" t="s">
        <v>229</v>
      </c>
      <c r="C4355" s="8">
        <v>46212</v>
      </c>
      <c r="D4355" t="s">
        <v>2067</v>
      </c>
      <c r="E4355" t="s">
        <v>2076</v>
      </c>
      <c r="F4355" t="s">
        <v>47</v>
      </c>
      <c r="G4355">
        <v>224.65</v>
      </c>
      <c r="H4355" t="s">
        <v>2060</v>
      </c>
      <c r="I4355" t="str">
        <f>VLOOKUP(B4355,Customers!A:G,7,FALSE)</f>
        <v>Corporate</v>
      </c>
      <c r="Q4355" t="str">
        <f>IF(COUNTIF(Customers!$A$2:$A$1001,B4355)&gt;0,"Valid","Invalid")</f>
        <v>Valid</v>
      </c>
      <c r="R4355" t="str">
        <f>IF(COUNTIF(Branches!$A$2:$A$11,F4355)&gt;0,"Valid","Invalid")</f>
        <v>Valid</v>
      </c>
    </row>
    <row r="4356" spans="1:18" x14ac:dyDescent="0.25">
      <c r="A4356" t="s">
        <v>6427</v>
      </c>
      <c r="B4356" t="s">
        <v>979</v>
      </c>
      <c r="C4356" s="8">
        <v>46113</v>
      </c>
      <c r="D4356" t="s">
        <v>2067</v>
      </c>
      <c r="E4356" t="s">
        <v>2063</v>
      </c>
      <c r="F4356" t="s">
        <v>29</v>
      </c>
      <c r="G4356">
        <v>23.74</v>
      </c>
      <c r="H4356" t="s">
        <v>2060</v>
      </c>
      <c r="I4356" t="str">
        <f>VLOOKUP(B4356,Customers!A:G,7,FALSE)</f>
        <v>Individual</v>
      </c>
      <c r="Q4356" t="str">
        <f>IF(COUNTIF(Customers!$A$2:$A$1001,B4356)&gt;0,"Valid","Invalid")</f>
        <v>Valid</v>
      </c>
      <c r="R4356" t="str">
        <f>IF(COUNTIF(Branches!$A$2:$A$11,F4356)&gt;0,"Valid","Invalid")</f>
        <v>Valid</v>
      </c>
    </row>
    <row r="4357" spans="1:18" x14ac:dyDescent="0.25">
      <c r="A4357" t="s">
        <v>6428</v>
      </c>
      <c r="B4357" t="s">
        <v>727</v>
      </c>
      <c r="C4357" s="8">
        <v>46047</v>
      </c>
      <c r="D4357" t="s">
        <v>2067</v>
      </c>
      <c r="E4357" t="s">
        <v>2068</v>
      </c>
      <c r="F4357" t="s">
        <v>53</v>
      </c>
      <c r="G4357">
        <v>620.97</v>
      </c>
      <c r="H4357" t="s">
        <v>2060</v>
      </c>
      <c r="I4357" t="str">
        <f>VLOOKUP(B4357,Customers!A:G,7,FALSE)</f>
        <v>SME</v>
      </c>
      <c r="Q4357" t="str">
        <f>IF(COUNTIF(Customers!$A$2:$A$1001,B4357)&gt;0,"Valid","Invalid")</f>
        <v>Valid</v>
      </c>
      <c r="R4357" t="str">
        <f>IF(COUNTIF(Branches!$A$2:$A$11,F4357)&gt;0,"Valid","Invalid")</f>
        <v>Valid</v>
      </c>
    </row>
    <row r="4358" spans="1:18" x14ac:dyDescent="0.25">
      <c r="A4358" t="s">
        <v>6429</v>
      </c>
      <c r="B4358" t="s">
        <v>697</v>
      </c>
      <c r="C4358" s="8">
        <v>46230</v>
      </c>
      <c r="D4358" t="s">
        <v>2065</v>
      </c>
      <c r="E4358" t="s">
        <v>2063</v>
      </c>
      <c r="F4358" t="s">
        <v>35</v>
      </c>
      <c r="G4358">
        <v>1073.9100000000001</v>
      </c>
      <c r="H4358" t="s">
        <v>2060</v>
      </c>
      <c r="I4358" t="str">
        <f>VLOOKUP(B4358,Customers!A:G,7,FALSE)</f>
        <v>SME</v>
      </c>
      <c r="Q4358" t="str">
        <f>IF(COUNTIF(Customers!$A$2:$A$1001,B4358)&gt;0,"Valid","Invalid")</f>
        <v>Valid</v>
      </c>
      <c r="R4358" t="str">
        <f>IF(COUNTIF(Branches!$A$2:$A$11,F4358)&gt;0,"Valid","Invalid")</f>
        <v>Valid</v>
      </c>
    </row>
    <row r="4359" spans="1:18" x14ac:dyDescent="0.25">
      <c r="A4359" t="s">
        <v>6430</v>
      </c>
      <c r="B4359" t="s">
        <v>418</v>
      </c>
      <c r="C4359" s="8">
        <v>46186</v>
      </c>
      <c r="D4359" t="s">
        <v>2065</v>
      </c>
      <c r="E4359" t="s">
        <v>2063</v>
      </c>
      <c r="F4359" t="s">
        <v>47</v>
      </c>
      <c r="G4359">
        <v>3072.71</v>
      </c>
      <c r="H4359" t="s">
        <v>2060</v>
      </c>
      <c r="I4359" t="str">
        <f>VLOOKUP(B4359,Customers!A:G,7,FALSE)</f>
        <v>Individual</v>
      </c>
      <c r="Q4359" t="str">
        <f>IF(COUNTIF(Customers!$A$2:$A$1001,B4359)&gt;0,"Valid","Invalid")</f>
        <v>Valid</v>
      </c>
      <c r="R4359" t="str">
        <f>IF(COUNTIF(Branches!$A$2:$A$11,F4359)&gt;0,"Valid","Invalid")</f>
        <v>Valid</v>
      </c>
    </row>
    <row r="4360" spans="1:18" x14ac:dyDescent="0.25">
      <c r="A4360" t="s">
        <v>6431</v>
      </c>
      <c r="B4360" t="s">
        <v>1005</v>
      </c>
      <c r="C4360" s="8">
        <v>46120</v>
      </c>
      <c r="D4360" t="s">
        <v>2058</v>
      </c>
      <c r="E4360" t="s">
        <v>2059</v>
      </c>
      <c r="F4360" t="s">
        <v>27</v>
      </c>
      <c r="G4360">
        <v>842.71</v>
      </c>
      <c r="H4360" t="s">
        <v>2060</v>
      </c>
      <c r="I4360" t="str">
        <f>VLOOKUP(B4360,Customers!A:G,7,FALSE)</f>
        <v>SME</v>
      </c>
      <c r="Q4360" t="str">
        <f>IF(COUNTIF(Customers!$A$2:$A$1001,B4360)&gt;0,"Valid","Invalid")</f>
        <v>Valid</v>
      </c>
      <c r="R4360" t="str">
        <f>IF(COUNTIF(Branches!$A$2:$A$11,F4360)&gt;0,"Valid","Invalid")</f>
        <v>Valid</v>
      </c>
    </row>
    <row r="4361" spans="1:18" x14ac:dyDescent="0.25">
      <c r="A4361" t="s">
        <v>6432</v>
      </c>
      <c r="B4361" t="s">
        <v>117</v>
      </c>
      <c r="C4361" s="8">
        <v>46230</v>
      </c>
      <c r="D4361" t="s">
        <v>2062</v>
      </c>
      <c r="E4361" t="s">
        <v>2059</v>
      </c>
      <c r="F4361" t="s">
        <v>53</v>
      </c>
      <c r="G4361">
        <v>2214.7800000000002</v>
      </c>
      <c r="H4361" t="s">
        <v>2060</v>
      </c>
      <c r="I4361" t="str">
        <f>VLOOKUP(B4361,Customers!A:G,7,FALSE)</f>
        <v>Student</v>
      </c>
      <c r="Q4361" t="str">
        <f>IF(COUNTIF(Customers!$A$2:$A$1001,B4361)&gt;0,"Valid","Invalid")</f>
        <v>Valid</v>
      </c>
      <c r="R4361" t="str">
        <f>IF(COUNTIF(Branches!$A$2:$A$11,F4361)&gt;0,"Valid","Invalid")</f>
        <v>Valid</v>
      </c>
    </row>
    <row r="4362" spans="1:18" x14ac:dyDescent="0.25">
      <c r="A4362" t="s">
        <v>6433</v>
      </c>
      <c r="B4362" t="s">
        <v>743</v>
      </c>
      <c r="C4362" s="8">
        <v>46183</v>
      </c>
      <c r="D4362" t="s">
        <v>2065</v>
      </c>
      <c r="E4362" t="s">
        <v>2063</v>
      </c>
      <c r="F4362" t="s">
        <v>11</v>
      </c>
      <c r="G4362">
        <v>515.98</v>
      </c>
      <c r="H4362" t="s">
        <v>2115</v>
      </c>
      <c r="I4362" t="str">
        <f>VLOOKUP(B4362,Customers!A:G,7,FALSE)</f>
        <v>Individual</v>
      </c>
      <c r="Q4362" t="str">
        <f>IF(COUNTIF(Customers!$A$2:$A$1001,B4362)&gt;0,"Valid","Invalid")</f>
        <v>Valid</v>
      </c>
      <c r="R4362" t="str">
        <f>IF(COUNTIF(Branches!$A$2:$A$11,F4362)&gt;0,"Valid","Invalid")</f>
        <v>Valid</v>
      </c>
    </row>
    <row r="4363" spans="1:18" x14ac:dyDescent="0.25">
      <c r="A4363" t="s">
        <v>6434</v>
      </c>
      <c r="B4363" t="s">
        <v>587</v>
      </c>
      <c r="C4363" s="8">
        <v>46025</v>
      </c>
      <c r="D4363" t="s">
        <v>2065</v>
      </c>
      <c r="E4363" t="s">
        <v>2068</v>
      </c>
      <c r="F4363" t="s">
        <v>27</v>
      </c>
      <c r="G4363">
        <v>579.82000000000005</v>
      </c>
      <c r="H4363" t="s">
        <v>2060</v>
      </c>
      <c r="I4363" t="str">
        <f>VLOOKUP(B4363,Customers!A:G,7,FALSE)</f>
        <v>Individual</v>
      </c>
      <c r="Q4363" t="str">
        <f>IF(COUNTIF(Customers!$A$2:$A$1001,B4363)&gt;0,"Valid","Invalid")</f>
        <v>Valid</v>
      </c>
      <c r="R4363" t="str">
        <f>IF(COUNTIF(Branches!$A$2:$A$11,F4363)&gt;0,"Valid","Invalid")</f>
        <v>Valid</v>
      </c>
    </row>
    <row r="4364" spans="1:18" x14ac:dyDescent="0.25">
      <c r="A4364" t="s">
        <v>6435</v>
      </c>
      <c r="B4364" t="s">
        <v>415</v>
      </c>
      <c r="C4364" s="8">
        <v>46237</v>
      </c>
      <c r="D4364" t="s">
        <v>2065</v>
      </c>
      <c r="E4364" t="s">
        <v>2073</v>
      </c>
      <c r="F4364" t="s">
        <v>27</v>
      </c>
      <c r="G4364">
        <v>2330.96</v>
      </c>
      <c r="H4364" t="s">
        <v>2107</v>
      </c>
      <c r="I4364" t="str">
        <f>VLOOKUP(B4364,Customers!A:G,7,FALSE)</f>
        <v>Individual</v>
      </c>
      <c r="Q4364" t="str">
        <f>IF(COUNTIF(Customers!$A$2:$A$1001,B4364)&gt;0,"Valid","Invalid")</f>
        <v>Valid</v>
      </c>
      <c r="R4364" t="str">
        <f>IF(COUNTIF(Branches!$A$2:$A$11,F4364)&gt;0,"Valid","Invalid")</f>
        <v>Valid</v>
      </c>
    </row>
    <row r="4365" spans="1:18" x14ac:dyDescent="0.25">
      <c r="A4365" t="s">
        <v>6436</v>
      </c>
      <c r="B4365" t="s">
        <v>876</v>
      </c>
      <c r="C4365" s="8">
        <v>46161</v>
      </c>
      <c r="D4365" t="s">
        <v>2070</v>
      </c>
      <c r="E4365" t="s">
        <v>2068</v>
      </c>
      <c r="F4365" t="s">
        <v>11</v>
      </c>
      <c r="G4365">
        <v>69.08</v>
      </c>
      <c r="H4365" t="s">
        <v>2060</v>
      </c>
      <c r="I4365" t="str">
        <f>VLOOKUP(B4365,Customers!A:G,7,FALSE)</f>
        <v>Individual</v>
      </c>
      <c r="Q4365" t="str">
        <f>IF(COUNTIF(Customers!$A$2:$A$1001,B4365)&gt;0,"Valid","Invalid")</f>
        <v>Valid</v>
      </c>
      <c r="R4365" t="str">
        <f>IF(COUNTIF(Branches!$A$2:$A$11,F4365)&gt;0,"Valid","Invalid")</f>
        <v>Valid</v>
      </c>
    </row>
    <row r="4366" spans="1:18" x14ac:dyDescent="0.25">
      <c r="A4366" t="s">
        <v>6437</v>
      </c>
      <c r="B4366" t="s">
        <v>190</v>
      </c>
      <c r="C4366" s="8">
        <v>46134</v>
      </c>
      <c r="D4366" t="s">
        <v>2062</v>
      </c>
      <c r="E4366" t="s">
        <v>2059</v>
      </c>
      <c r="F4366" t="s">
        <v>35</v>
      </c>
      <c r="G4366">
        <v>823.02</v>
      </c>
      <c r="H4366" t="s">
        <v>2060</v>
      </c>
      <c r="I4366" t="str">
        <f>VLOOKUP(B4366,Customers!A:G,7,FALSE)</f>
        <v>Corporate</v>
      </c>
      <c r="Q4366" t="str">
        <f>IF(COUNTIF(Customers!$A$2:$A$1001,B4366)&gt;0,"Valid","Invalid")</f>
        <v>Valid</v>
      </c>
      <c r="R4366" t="str">
        <f>IF(COUNTIF(Branches!$A$2:$A$11,F4366)&gt;0,"Valid","Invalid")</f>
        <v>Valid</v>
      </c>
    </row>
    <row r="4367" spans="1:18" x14ac:dyDescent="0.25">
      <c r="A4367" t="s">
        <v>6438</v>
      </c>
      <c r="B4367" t="s">
        <v>680</v>
      </c>
      <c r="C4367" s="8">
        <v>46208</v>
      </c>
      <c r="D4367" t="s">
        <v>2058</v>
      </c>
      <c r="E4367" t="s">
        <v>2068</v>
      </c>
      <c r="F4367" t="s">
        <v>29</v>
      </c>
      <c r="G4367">
        <v>544.59</v>
      </c>
      <c r="H4367" t="s">
        <v>2060</v>
      </c>
      <c r="I4367" t="str">
        <f>VLOOKUP(B4367,Customers!A:G,7,FALSE)</f>
        <v>Individual</v>
      </c>
      <c r="Q4367" t="str">
        <f>IF(COUNTIF(Customers!$A$2:$A$1001,B4367)&gt;0,"Valid","Invalid")</f>
        <v>Valid</v>
      </c>
      <c r="R4367" t="str">
        <f>IF(COUNTIF(Branches!$A$2:$A$11,F4367)&gt;0,"Valid","Invalid")</f>
        <v>Valid</v>
      </c>
    </row>
    <row r="4368" spans="1:18" x14ac:dyDescent="0.25">
      <c r="A4368" t="s">
        <v>6439</v>
      </c>
      <c r="B4368" t="s">
        <v>609</v>
      </c>
      <c r="C4368" s="8">
        <v>46214</v>
      </c>
      <c r="D4368" t="s">
        <v>2070</v>
      </c>
      <c r="E4368" t="s">
        <v>2073</v>
      </c>
      <c r="F4368" t="s">
        <v>29</v>
      </c>
      <c r="G4368">
        <v>3167.23</v>
      </c>
      <c r="H4368" t="s">
        <v>2060</v>
      </c>
      <c r="I4368" t="str">
        <f>VLOOKUP(B4368,Customers!A:G,7,FALSE)</f>
        <v>Student</v>
      </c>
      <c r="Q4368" t="str">
        <f>IF(COUNTIF(Customers!$A$2:$A$1001,B4368)&gt;0,"Valid","Invalid")</f>
        <v>Valid</v>
      </c>
      <c r="R4368" t="str">
        <f>IF(COUNTIF(Branches!$A$2:$A$11,F4368)&gt;0,"Valid","Invalid")</f>
        <v>Valid</v>
      </c>
    </row>
    <row r="4369" spans="1:18" x14ac:dyDescent="0.25">
      <c r="A4369" t="s">
        <v>6440</v>
      </c>
      <c r="B4369" t="s">
        <v>774</v>
      </c>
      <c r="C4369" s="8">
        <v>46168</v>
      </c>
      <c r="D4369" t="s">
        <v>2067</v>
      </c>
      <c r="E4369" t="s">
        <v>2059</v>
      </c>
      <c r="F4369" t="s">
        <v>16</v>
      </c>
      <c r="G4369">
        <v>479.03</v>
      </c>
      <c r="H4369" t="s">
        <v>2060</v>
      </c>
      <c r="I4369" t="str">
        <f>VLOOKUP(B4369,Customers!A:G,7,FALSE)</f>
        <v>Individual</v>
      </c>
      <c r="Q4369" t="str">
        <f>IF(COUNTIF(Customers!$A$2:$A$1001,B4369)&gt;0,"Valid","Invalid")</f>
        <v>Valid</v>
      </c>
      <c r="R4369" t="str">
        <f>IF(COUNTIF(Branches!$A$2:$A$11,F4369)&gt;0,"Valid","Invalid")</f>
        <v>Valid</v>
      </c>
    </row>
    <row r="4370" spans="1:18" x14ac:dyDescent="0.25">
      <c r="A4370" t="s">
        <v>6441</v>
      </c>
      <c r="B4370" t="s">
        <v>799</v>
      </c>
      <c r="C4370" s="8">
        <v>46069</v>
      </c>
      <c r="D4370" t="s">
        <v>2070</v>
      </c>
      <c r="E4370" t="s">
        <v>2063</v>
      </c>
      <c r="F4370" t="s">
        <v>21</v>
      </c>
      <c r="G4370">
        <v>1361.83</v>
      </c>
      <c r="H4370" t="s">
        <v>2060</v>
      </c>
      <c r="I4370" t="str">
        <f>VLOOKUP(B4370,Customers!A:G,7,FALSE)</f>
        <v>Student</v>
      </c>
      <c r="Q4370" t="str">
        <f>IF(COUNTIF(Customers!$A$2:$A$1001,B4370)&gt;0,"Valid","Invalid")</f>
        <v>Valid</v>
      </c>
      <c r="R4370" t="str">
        <f>IF(COUNTIF(Branches!$A$2:$A$11,F4370)&gt;0,"Valid","Invalid")</f>
        <v>Valid</v>
      </c>
    </row>
    <row r="4371" spans="1:18" x14ac:dyDescent="0.25">
      <c r="A4371" t="s">
        <v>6442</v>
      </c>
      <c r="B4371" t="s">
        <v>278</v>
      </c>
      <c r="C4371" s="8">
        <v>46255</v>
      </c>
      <c r="D4371" t="s">
        <v>2067</v>
      </c>
      <c r="E4371" t="s">
        <v>2063</v>
      </c>
      <c r="F4371" t="s">
        <v>45</v>
      </c>
      <c r="G4371">
        <v>2041.66</v>
      </c>
      <c r="H4371" t="s">
        <v>2060</v>
      </c>
      <c r="I4371" t="str">
        <f>VLOOKUP(B4371,Customers!A:G,7,FALSE)</f>
        <v>Individual</v>
      </c>
      <c r="Q4371" t="str">
        <f>IF(COUNTIF(Customers!$A$2:$A$1001,B4371)&gt;0,"Valid","Invalid")</f>
        <v>Valid</v>
      </c>
      <c r="R4371" t="str">
        <f>IF(COUNTIF(Branches!$A$2:$A$11,F4371)&gt;0,"Valid","Invalid")</f>
        <v>Valid</v>
      </c>
    </row>
    <row r="4372" spans="1:18" x14ac:dyDescent="0.25">
      <c r="A4372" t="s">
        <v>6443</v>
      </c>
      <c r="B4372" t="s">
        <v>412</v>
      </c>
      <c r="C4372" s="8">
        <v>46194</v>
      </c>
      <c r="D4372" t="s">
        <v>2065</v>
      </c>
      <c r="E4372" t="s">
        <v>2059</v>
      </c>
      <c r="F4372" t="s">
        <v>27</v>
      </c>
      <c r="G4372">
        <v>182.62</v>
      </c>
      <c r="H4372" t="s">
        <v>2060</v>
      </c>
      <c r="I4372" t="str">
        <f>VLOOKUP(B4372,Customers!A:G,7,FALSE)</f>
        <v>Individual</v>
      </c>
      <c r="Q4372" t="str">
        <f>IF(COUNTIF(Customers!$A$2:$A$1001,B4372)&gt;0,"Valid","Invalid")</f>
        <v>Valid</v>
      </c>
      <c r="R4372" t="str">
        <f>IF(COUNTIF(Branches!$A$2:$A$11,F4372)&gt;0,"Valid","Invalid")</f>
        <v>Valid</v>
      </c>
    </row>
    <row r="4373" spans="1:18" x14ac:dyDescent="0.25">
      <c r="A4373" t="s">
        <v>6444</v>
      </c>
      <c r="B4373" t="s">
        <v>939</v>
      </c>
      <c r="C4373" s="8">
        <v>46243</v>
      </c>
      <c r="D4373" t="s">
        <v>2058</v>
      </c>
      <c r="E4373" t="s">
        <v>2073</v>
      </c>
      <c r="F4373" t="s">
        <v>53</v>
      </c>
      <c r="G4373">
        <v>706.72</v>
      </c>
      <c r="H4373" t="s">
        <v>2115</v>
      </c>
      <c r="I4373" t="str">
        <f>VLOOKUP(B4373,Customers!A:G,7,FALSE)</f>
        <v>Individual</v>
      </c>
      <c r="Q4373" t="str">
        <f>IF(COUNTIF(Customers!$A$2:$A$1001,B4373)&gt;0,"Valid","Invalid")</f>
        <v>Valid</v>
      </c>
      <c r="R4373" t="str">
        <f>IF(COUNTIF(Branches!$A$2:$A$11,F4373)&gt;0,"Valid","Invalid")</f>
        <v>Valid</v>
      </c>
    </row>
    <row r="4374" spans="1:18" x14ac:dyDescent="0.25">
      <c r="A4374" t="s">
        <v>6445</v>
      </c>
      <c r="B4374" t="s">
        <v>843</v>
      </c>
      <c r="C4374" s="8">
        <v>46209</v>
      </c>
      <c r="D4374" t="s">
        <v>2067</v>
      </c>
      <c r="E4374" t="s">
        <v>2059</v>
      </c>
      <c r="F4374" t="s">
        <v>39</v>
      </c>
      <c r="G4374">
        <v>527.61</v>
      </c>
      <c r="H4374" t="s">
        <v>2060</v>
      </c>
      <c r="I4374" t="str">
        <f>VLOOKUP(B4374,Customers!A:G,7,FALSE)</f>
        <v>Individual</v>
      </c>
      <c r="Q4374" t="str">
        <f>IF(COUNTIF(Customers!$A$2:$A$1001,B4374)&gt;0,"Valid","Invalid")</f>
        <v>Valid</v>
      </c>
      <c r="R4374" t="str">
        <f>IF(COUNTIF(Branches!$A$2:$A$11,F4374)&gt;0,"Valid","Invalid")</f>
        <v>Valid</v>
      </c>
    </row>
    <row r="4375" spans="1:18" x14ac:dyDescent="0.25">
      <c r="A4375" t="s">
        <v>6446</v>
      </c>
      <c r="B4375" t="s">
        <v>837</v>
      </c>
      <c r="C4375" s="8">
        <v>46072</v>
      </c>
      <c r="D4375" t="s">
        <v>2058</v>
      </c>
      <c r="E4375" t="s">
        <v>2076</v>
      </c>
      <c r="F4375" t="s">
        <v>29</v>
      </c>
      <c r="G4375">
        <v>2092.87</v>
      </c>
      <c r="H4375" t="s">
        <v>2107</v>
      </c>
      <c r="I4375" t="str">
        <f>VLOOKUP(B4375,Customers!A:G,7,FALSE)</f>
        <v>Individual</v>
      </c>
      <c r="Q4375" t="str">
        <f>IF(COUNTIF(Customers!$A$2:$A$1001,B4375)&gt;0,"Valid","Invalid")</f>
        <v>Valid</v>
      </c>
      <c r="R4375" t="str">
        <f>IF(COUNTIF(Branches!$A$2:$A$11,F4375)&gt;0,"Valid","Invalid")</f>
        <v>Valid</v>
      </c>
    </row>
    <row r="4376" spans="1:18" x14ac:dyDescent="0.25">
      <c r="A4376" t="s">
        <v>6447</v>
      </c>
      <c r="B4376" t="s">
        <v>241</v>
      </c>
      <c r="C4376" s="8">
        <v>46219</v>
      </c>
      <c r="D4376" t="s">
        <v>2067</v>
      </c>
      <c r="E4376" t="s">
        <v>2063</v>
      </c>
      <c r="F4376" t="s">
        <v>21</v>
      </c>
      <c r="G4376">
        <v>1595.72</v>
      </c>
      <c r="H4376" t="s">
        <v>2060</v>
      </c>
      <c r="I4376" t="str">
        <f>VLOOKUP(B4376,Customers!A:G,7,FALSE)</f>
        <v>Individual</v>
      </c>
      <c r="Q4376" t="str">
        <f>IF(COUNTIF(Customers!$A$2:$A$1001,B4376)&gt;0,"Valid","Invalid")</f>
        <v>Valid</v>
      </c>
      <c r="R4376" t="str">
        <f>IF(COUNTIF(Branches!$A$2:$A$11,F4376)&gt;0,"Valid","Invalid")</f>
        <v>Valid</v>
      </c>
    </row>
    <row r="4377" spans="1:18" x14ac:dyDescent="0.25">
      <c r="A4377" t="s">
        <v>6448</v>
      </c>
      <c r="B4377" t="s">
        <v>649</v>
      </c>
      <c r="C4377" s="8">
        <v>46238</v>
      </c>
      <c r="D4377" t="s">
        <v>2058</v>
      </c>
      <c r="E4377" t="s">
        <v>2063</v>
      </c>
      <c r="F4377" t="s">
        <v>27</v>
      </c>
      <c r="G4377">
        <v>643.41999999999996</v>
      </c>
      <c r="H4377" t="s">
        <v>2060</v>
      </c>
      <c r="I4377" t="str">
        <f>VLOOKUP(B4377,Customers!A:G,7,FALSE)</f>
        <v>Individual</v>
      </c>
      <c r="Q4377" t="str">
        <f>IF(COUNTIF(Customers!$A$2:$A$1001,B4377)&gt;0,"Valid","Invalid")</f>
        <v>Valid</v>
      </c>
      <c r="R4377" t="str">
        <f>IF(COUNTIF(Branches!$A$2:$A$11,F4377)&gt;0,"Valid","Invalid")</f>
        <v>Valid</v>
      </c>
    </row>
    <row r="4378" spans="1:18" x14ac:dyDescent="0.25">
      <c r="A4378" t="s">
        <v>6449</v>
      </c>
      <c r="B4378" t="s">
        <v>388</v>
      </c>
      <c r="C4378" s="8">
        <v>46179</v>
      </c>
      <c r="D4378" t="s">
        <v>2065</v>
      </c>
      <c r="E4378" t="s">
        <v>2059</v>
      </c>
      <c r="F4378" t="s">
        <v>16</v>
      </c>
      <c r="G4378">
        <v>285.02999999999997</v>
      </c>
      <c r="H4378" t="s">
        <v>2060</v>
      </c>
      <c r="I4378" t="str">
        <f>VLOOKUP(B4378,Customers!A:G,7,FALSE)</f>
        <v>SME</v>
      </c>
      <c r="Q4378" t="str">
        <f>IF(COUNTIF(Customers!$A$2:$A$1001,B4378)&gt;0,"Valid","Invalid")</f>
        <v>Valid</v>
      </c>
      <c r="R4378" t="str">
        <f>IF(COUNTIF(Branches!$A$2:$A$11,F4378)&gt;0,"Valid","Invalid")</f>
        <v>Valid</v>
      </c>
    </row>
    <row r="4379" spans="1:18" x14ac:dyDescent="0.25">
      <c r="A4379" t="s">
        <v>6450</v>
      </c>
      <c r="B4379" t="s">
        <v>726</v>
      </c>
      <c r="C4379" s="8">
        <v>46243</v>
      </c>
      <c r="D4379" t="s">
        <v>2065</v>
      </c>
      <c r="E4379" t="s">
        <v>2073</v>
      </c>
      <c r="F4379" t="s">
        <v>39</v>
      </c>
      <c r="G4379">
        <v>2294.2199999999998</v>
      </c>
      <c r="H4379" t="s">
        <v>2060</v>
      </c>
      <c r="I4379" t="str">
        <f>VLOOKUP(B4379,Customers!A:G,7,FALSE)</f>
        <v>Individual</v>
      </c>
      <c r="Q4379" t="str">
        <f>IF(COUNTIF(Customers!$A$2:$A$1001,B4379)&gt;0,"Valid","Invalid")</f>
        <v>Valid</v>
      </c>
      <c r="R4379" t="str">
        <f>IF(COUNTIF(Branches!$A$2:$A$11,F4379)&gt;0,"Valid","Invalid")</f>
        <v>Valid</v>
      </c>
    </row>
    <row r="4380" spans="1:18" x14ac:dyDescent="0.25">
      <c r="A4380" t="s">
        <v>6451</v>
      </c>
      <c r="B4380" t="s">
        <v>812</v>
      </c>
      <c r="C4380" s="8">
        <v>46146</v>
      </c>
      <c r="D4380" t="s">
        <v>2062</v>
      </c>
      <c r="E4380" t="s">
        <v>2059</v>
      </c>
      <c r="F4380" t="s">
        <v>29</v>
      </c>
      <c r="G4380">
        <v>759.26</v>
      </c>
      <c r="H4380" t="s">
        <v>2060</v>
      </c>
      <c r="I4380" t="str">
        <f>VLOOKUP(B4380,Customers!A:G,7,FALSE)</f>
        <v>Individual</v>
      </c>
      <c r="Q4380" t="str">
        <f>IF(COUNTIF(Customers!$A$2:$A$1001,B4380)&gt;0,"Valid","Invalid")</f>
        <v>Valid</v>
      </c>
      <c r="R4380" t="str">
        <f>IF(COUNTIF(Branches!$A$2:$A$11,F4380)&gt;0,"Valid","Invalid")</f>
        <v>Valid</v>
      </c>
    </row>
    <row r="4381" spans="1:18" x14ac:dyDescent="0.25">
      <c r="A4381" t="s">
        <v>6452</v>
      </c>
      <c r="B4381" t="s">
        <v>821</v>
      </c>
      <c r="C4381" s="8">
        <v>46112</v>
      </c>
      <c r="D4381" t="s">
        <v>2062</v>
      </c>
      <c r="E4381" t="s">
        <v>2068</v>
      </c>
      <c r="F4381" t="s">
        <v>53</v>
      </c>
      <c r="G4381">
        <v>161.04</v>
      </c>
      <c r="H4381" t="s">
        <v>2060</v>
      </c>
      <c r="I4381" t="str">
        <f>VLOOKUP(B4381,Customers!A:G,7,FALSE)</f>
        <v>SME</v>
      </c>
      <c r="Q4381" t="str">
        <f>IF(COUNTIF(Customers!$A$2:$A$1001,B4381)&gt;0,"Valid","Invalid")</f>
        <v>Valid</v>
      </c>
      <c r="R4381" t="str">
        <f>IF(COUNTIF(Branches!$A$2:$A$11,F4381)&gt;0,"Valid","Invalid")</f>
        <v>Valid</v>
      </c>
    </row>
    <row r="4382" spans="1:18" x14ac:dyDescent="0.25">
      <c r="A4382" t="s">
        <v>6453</v>
      </c>
      <c r="B4382" t="s">
        <v>179</v>
      </c>
      <c r="C4382" s="8">
        <v>46254</v>
      </c>
      <c r="D4382" t="s">
        <v>2070</v>
      </c>
      <c r="E4382" t="s">
        <v>2063</v>
      </c>
      <c r="F4382" t="s">
        <v>29</v>
      </c>
      <c r="G4382">
        <v>175.5</v>
      </c>
      <c r="H4382" t="s">
        <v>2060</v>
      </c>
      <c r="I4382" t="str">
        <f>VLOOKUP(B4382,Customers!A:G,7,FALSE)</f>
        <v>Individual</v>
      </c>
      <c r="Q4382" t="str">
        <f>IF(COUNTIF(Customers!$A$2:$A$1001,B4382)&gt;0,"Valid","Invalid")</f>
        <v>Valid</v>
      </c>
      <c r="R4382" t="str">
        <f>IF(COUNTIF(Branches!$A$2:$A$11,F4382)&gt;0,"Valid","Invalid")</f>
        <v>Valid</v>
      </c>
    </row>
    <row r="4383" spans="1:18" x14ac:dyDescent="0.25">
      <c r="A4383" t="s">
        <v>6454</v>
      </c>
      <c r="B4383" t="s">
        <v>226</v>
      </c>
      <c r="C4383" s="8">
        <v>46089</v>
      </c>
      <c r="D4383" t="s">
        <v>2062</v>
      </c>
      <c r="E4383" t="s">
        <v>2076</v>
      </c>
      <c r="F4383" t="s">
        <v>21</v>
      </c>
      <c r="G4383">
        <v>1258.45</v>
      </c>
      <c r="H4383" t="s">
        <v>2060</v>
      </c>
      <c r="I4383" t="str">
        <f>VLOOKUP(B4383,Customers!A:G,7,FALSE)</f>
        <v>Individual</v>
      </c>
      <c r="Q4383" t="str">
        <f>IF(COUNTIF(Customers!$A$2:$A$1001,B4383)&gt;0,"Valid","Invalid")</f>
        <v>Valid</v>
      </c>
      <c r="R4383" t="str">
        <f>IF(COUNTIF(Branches!$A$2:$A$11,F4383)&gt;0,"Valid","Invalid")</f>
        <v>Valid</v>
      </c>
    </row>
    <row r="4384" spans="1:18" x14ac:dyDescent="0.25">
      <c r="A4384" t="s">
        <v>6455</v>
      </c>
      <c r="B4384" t="s">
        <v>310</v>
      </c>
      <c r="C4384" s="8">
        <v>46024</v>
      </c>
      <c r="D4384" t="s">
        <v>2058</v>
      </c>
      <c r="E4384" t="s">
        <v>2076</v>
      </c>
      <c r="F4384" t="s">
        <v>27</v>
      </c>
      <c r="G4384">
        <v>226.83</v>
      </c>
      <c r="H4384" t="s">
        <v>2060</v>
      </c>
      <c r="I4384" t="str">
        <f>VLOOKUP(B4384,Customers!A:G,7,FALSE)</f>
        <v>Individual</v>
      </c>
      <c r="Q4384" t="str">
        <f>IF(COUNTIF(Customers!$A$2:$A$1001,B4384)&gt;0,"Valid","Invalid")</f>
        <v>Valid</v>
      </c>
      <c r="R4384" t="str">
        <f>IF(COUNTIF(Branches!$A$2:$A$11,F4384)&gt;0,"Valid","Invalid")</f>
        <v>Valid</v>
      </c>
    </row>
    <row r="4385" spans="1:18" x14ac:dyDescent="0.25">
      <c r="A4385" t="s">
        <v>6456</v>
      </c>
      <c r="B4385" t="s">
        <v>570</v>
      </c>
      <c r="C4385" s="8">
        <v>46175</v>
      </c>
      <c r="D4385" t="s">
        <v>2058</v>
      </c>
      <c r="E4385" t="s">
        <v>2068</v>
      </c>
      <c r="F4385" t="s">
        <v>11</v>
      </c>
      <c r="G4385">
        <v>5216.84</v>
      </c>
      <c r="H4385" t="s">
        <v>2060</v>
      </c>
      <c r="I4385" t="str">
        <f>VLOOKUP(B4385,Customers!A:G,7,FALSE)</f>
        <v>Individual</v>
      </c>
      <c r="Q4385" t="str">
        <f>IF(COUNTIF(Customers!$A$2:$A$1001,B4385)&gt;0,"Valid","Invalid")</f>
        <v>Valid</v>
      </c>
      <c r="R4385" t="str">
        <f>IF(COUNTIF(Branches!$A$2:$A$11,F4385)&gt;0,"Valid","Invalid")</f>
        <v>Valid</v>
      </c>
    </row>
    <row r="4386" spans="1:18" x14ac:dyDescent="0.25">
      <c r="A4386" t="s">
        <v>6457</v>
      </c>
      <c r="B4386" t="s">
        <v>883</v>
      </c>
      <c r="C4386" s="8">
        <v>46169</v>
      </c>
      <c r="D4386" t="s">
        <v>2065</v>
      </c>
      <c r="E4386" t="s">
        <v>2063</v>
      </c>
      <c r="F4386" t="s">
        <v>16</v>
      </c>
      <c r="G4386">
        <v>318.27999999999997</v>
      </c>
      <c r="H4386" t="s">
        <v>2060</v>
      </c>
      <c r="I4386" t="str">
        <f>VLOOKUP(B4386,Customers!A:G,7,FALSE)</f>
        <v>SME</v>
      </c>
      <c r="Q4386" t="str">
        <f>IF(COUNTIF(Customers!$A$2:$A$1001,B4386)&gt;0,"Valid","Invalid")</f>
        <v>Valid</v>
      </c>
      <c r="R4386" t="str">
        <f>IF(COUNTIF(Branches!$A$2:$A$11,F4386)&gt;0,"Valid","Invalid")</f>
        <v>Valid</v>
      </c>
    </row>
    <row r="4387" spans="1:18" x14ac:dyDescent="0.25">
      <c r="A4387" t="s">
        <v>6458</v>
      </c>
      <c r="B4387" t="s">
        <v>338</v>
      </c>
      <c r="C4387" s="8">
        <v>46190</v>
      </c>
      <c r="D4387" t="s">
        <v>2065</v>
      </c>
      <c r="E4387" t="s">
        <v>2063</v>
      </c>
      <c r="F4387" t="s">
        <v>16</v>
      </c>
      <c r="G4387">
        <v>812.11</v>
      </c>
      <c r="H4387" t="s">
        <v>2060</v>
      </c>
      <c r="I4387" t="str">
        <f>VLOOKUP(B4387,Customers!A:G,7,FALSE)</f>
        <v>Individual</v>
      </c>
      <c r="Q4387" t="str">
        <f>IF(COUNTIF(Customers!$A$2:$A$1001,B4387)&gt;0,"Valid","Invalid")</f>
        <v>Valid</v>
      </c>
      <c r="R4387" t="str">
        <f>IF(COUNTIF(Branches!$A$2:$A$11,F4387)&gt;0,"Valid","Invalid")</f>
        <v>Valid</v>
      </c>
    </row>
    <row r="4388" spans="1:18" x14ac:dyDescent="0.25">
      <c r="A4388" t="s">
        <v>6459</v>
      </c>
      <c r="B4388" t="s">
        <v>464</v>
      </c>
      <c r="C4388" s="8">
        <v>46024</v>
      </c>
      <c r="D4388" t="s">
        <v>2067</v>
      </c>
      <c r="E4388" t="s">
        <v>2063</v>
      </c>
      <c r="F4388" t="s">
        <v>16</v>
      </c>
      <c r="G4388">
        <v>952.52</v>
      </c>
      <c r="H4388" t="s">
        <v>2060</v>
      </c>
      <c r="I4388" t="str">
        <f>VLOOKUP(B4388,Customers!A:G,7,FALSE)</f>
        <v>Student</v>
      </c>
      <c r="Q4388" t="str">
        <f>IF(COUNTIF(Customers!$A$2:$A$1001,B4388)&gt;0,"Valid","Invalid")</f>
        <v>Valid</v>
      </c>
      <c r="R4388" t="str">
        <f>IF(COUNTIF(Branches!$A$2:$A$11,F4388)&gt;0,"Valid","Invalid")</f>
        <v>Valid</v>
      </c>
    </row>
    <row r="4389" spans="1:18" x14ac:dyDescent="0.25">
      <c r="A4389" t="s">
        <v>6460</v>
      </c>
      <c r="B4389" t="s">
        <v>81</v>
      </c>
      <c r="C4389" s="8">
        <v>46233</v>
      </c>
      <c r="D4389" t="s">
        <v>2062</v>
      </c>
      <c r="E4389" t="s">
        <v>2073</v>
      </c>
      <c r="F4389" t="s">
        <v>47</v>
      </c>
      <c r="G4389">
        <v>391.75</v>
      </c>
      <c r="H4389" t="s">
        <v>2107</v>
      </c>
      <c r="I4389" t="str">
        <f>VLOOKUP(B4389,Customers!A:G,7,FALSE)</f>
        <v>Individual</v>
      </c>
      <c r="Q4389" t="str">
        <f>IF(COUNTIF(Customers!$A$2:$A$1001,B4389)&gt;0,"Valid","Invalid")</f>
        <v>Valid</v>
      </c>
      <c r="R4389" t="str">
        <f>IF(COUNTIF(Branches!$A$2:$A$11,F4389)&gt;0,"Valid","Invalid")</f>
        <v>Valid</v>
      </c>
    </row>
    <row r="4390" spans="1:18" x14ac:dyDescent="0.25">
      <c r="A4390" t="s">
        <v>6461</v>
      </c>
      <c r="B4390" t="s">
        <v>131</v>
      </c>
      <c r="C4390" s="8">
        <v>46087</v>
      </c>
      <c r="D4390" t="s">
        <v>2065</v>
      </c>
      <c r="E4390" t="s">
        <v>2063</v>
      </c>
      <c r="F4390" t="s">
        <v>21</v>
      </c>
      <c r="G4390">
        <v>86.5</v>
      </c>
      <c r="H4390" t="s">
        <v>2060</v>
      </c>
      <c r="I4390" t="str">
        <f>VLOOKUP(B4390,Customers!A:G,7,FALSE)</f>
        <v>Individual</v>
      </c>
      <c r="Q4390" t="str">
        <f>IF(COUNTIF(Customers!$A$2:$A$1001,B4390)&gt;0,"Valid","Invalid")</f>
        <v>Valid</v>
      </c>
      <c r="R4390" t="str">
        <f>IF(COUNTIF(Branches!$A$2:$A$11,F4390)&gt;0,"Valid","Invalid")</f>
        <v>Valid</v>
      </c>
    </row>
    <row r="4391" spans="1:18" x14ac:dyDescent="0.25">
      <c r="A4391" t="s">
        <v>6462</v>
      </c>
      <c r="B4391" t="s">
        <v>968</v>
      </c>
      <c r="C4391" s="8">
        <v>46212</v>
      </c>
      <c r="D4391" t="s">
        <v>2070</v>
      </c>
      <c r="E4391" t="s">
        <v>2063</v>
      </c>
      <c r="F4391" t="s">
        <v>16</v>
      </c>
      <c r="G4391">
        <v>983.28</v>
      </c>
      <c r="H4391" t="s">
        <v>2060</v>
      </c>
      <c r="I4391" t="str">
        <f>VLOOKUP(B4391,Customers!A:G,7,FALSE)</f>
        <v>SME</v>
      </c>
      <c r="Q4391" t="str">
        <f>IF(COUNTIF(Customers!$A$2:$A$1001,B4391)&gt;0,"Valid","Invalid")</f>
        <v>Valid</v>
      </c>
      <c r="R4391" t="str">
        <f>IF(COUNTIF(Branches!$A$2:$A$11,F4391)&gt;0,"Valid","Invalid")</f>
        <v>Valid</v>
      </c>
    </row>
    <row r="4392" spans="1:18" x14ac:dyDescent="0.25">
      <c r="A4392" t="s">
        <v>6463</v>
      </c>
      <c r="B4392" t="s">
        <v>100</v>
      </c>
      <c r="C4392" s="8">
        <v>46113</v>
      </c>
      <c r="D4392" t="s">
        <v>2058</v>
      </c>
      <c r="E4392" t="s">
        <v>2059</v>
      </c>
      <c r="F4392" t="s">
        <v>27</v>
      </c>
      <c r="G4392">
        <v>382.51</v>
      </c>
      <c r="H4392" t="s">
        <v>2060</v>
      </c>
      <c r="I4392" t="str">
        <f>VLOOKUP(B4392,Customers!A:G,7,FALSE)</f>
        <v>Individual</v>
      </c>
      <c r="Q4392" t="str">
        <f>IF(COUNTIF(Customers!$A$2:$A$1001,B4392)&gt;0,"Valid","Invalid")</f>
        <v>Valid</v>
      </c>
      <c r="R4392" t="str">
        <f>IF(COUNTIF(Branches!$A$2:$A$11,F4392)&gt;0,"Valid","Invalid")</f>
        <v>Valid</v>
      </c>
    </row>
    <row r="4393" spans="1:18" x14ac:dyDescent="0.25">
      <c r="A4393" t="s">
        <v>6464</v>
      </c>
      <c r="B4393" t="s">
        <v>451</v>
      </c>
      <c r="C4393" s="8">
        <v>46204</v>
      </c>
      <c r="D4393" t="s">
        <v>2062</v>
      </c>
      <c r="E4393" t="s">
        <v>2059</v>
      </c>
      <c r="F4393" t="s">
        <v>47</v>
      </c>
      <c r="G4393">
        <v>912.82</v>
      </c>
      <c r="H4393" t="s">
        <v>2060</v>
      </c>
      <c r="I4393" t="str">
        <f>VLOOKUP(B4393,Customers!A:G,7,FALSE)</f>
        <v>Individual</v>
      </c>
      <c r="Q4393" t="str">
        <f>IF(COUNTIF(Customers!$A$2:$A$1001,B4393)&gt;0,"Valid","Invalid")</f>
        <v>Valid</v>
      </c>
      <c r="R4393" t="str">
        <f>IF(COUNTIF(Branches!$A$2:$A$11,F4393)&gt;0,"Valid","Invalid")</f>
        <v>Valid</v>
      </c>
    </row>
    <row r="4394" spans="1:18" x14ac:dyDescent="0.25">
      <c r="A4394" t="s">
        <v>6465</v>
      </c>
      <c r="B4394" t="s">
        <v>681</v>
      </c>
      <c r="C4394" s="8">
        <v>46195</v>
      </c>
      <c r="D4394" t="s">
        <v>2065</v>
      </c>
      <c r="E4394" t="s">
        <v>2068</v>
      </c>
      <c r="F4394" t="s">
        <v>45</v>
      </c>
      <c r="G4394">
        <v>718.86</v>
      </c>
      <c r="H4394" t="s">
        <v>2060</v>
      </c>
      <c r="I4394" t="str">
        <f>VLOOKUP(B4394,Customers!A:G,7,FALSE)</f>
        <v>Corporate</v>
      </c>
      <c r="Q4394" t="str">
        <f>IF(COUNTIF(Customers!$A$2:$A$1001,B4394)&gt;0,"Valid","Invalid")</f>
        <v>Valid</v>
      </c>
      <c r="R4394" t="str">
        <f>IF(COUNTIF(Branches!$A$2:$A$11,F4394)&gt;0,"Valid","Invalid")</f>
        <v>Valid</v>
      </c>
    </row>
    <row r="4395" spans="1:18" x14ac:dyDescent="0.25">
      <c r="A4395" t="s">
        <v>6466</v>
      </c>
      <c r="B4395" t="s">
        <v>36</v>
      </c>
      <c r="C4395" s="8">
        <v>46138</v>
      </c>
      <c r="D4395" t="s">
        <v>2065</v>
      </c>
      <c r="E4395" t="s">
        <v>2073</v>
      </c>
      <c r="F4395" t="s">
        <v>35</v>
      </c>
      <c r="G4395">
        <v>1057.1099999999999</v>
      </c>
      <c r="H4395" t="s">
        <v>2060</v>
      </c>
      <c r="I4395" t="str">
        <f>VLOOKUP(B4395,Customers!A:G,7,FALSE)</f>
        <v>Individual</v>
      </c>
      <c r="Q4395" t="str">
        <f>IF(COUNTIF(Customers!$A$2:$A$1001,B4395)&gt;0,"Valid","Invalid")</f>
        <v>Valid</v>
      </c>
      <c r="R4395" t="str">
        <f>IF(COUNTIF(Branches!$A$2:$A$11,F4395)&gt;0,"Valid","Invalid")</f>
        <v>Valid</v>
      </c>
    </row>
    <row r="4396" spans="1:18" x14ac:dyDescent="0.25">
      <c r="A4396" t="s">
        <v>6467</v>
      </c>
      <c r="B4396" t="s">
        <v>497</v>
      </c>
      <c r="C4396" s="8">
        <v>46071</v>
      </c>
      <c r="D4396" t="s">
        <v>2070</v>
      </c>
      <c r="E4396" t="s">
        <v>2059</v>
      </c>
      <c r="F4396" t="s">
        <v>39</v>
      </c>
      <c r="G4396">
        <v>3873.33</v>
      </c>
      <c r="H4396" t="s">
        <v>2060</v>
      </c>
      <c r="I4396" t="str">
        <f>VLOOKUP(B4396,Customers!A:G,7,FALSE)</f>
        <v>Individual</v>
      </c>
      <c r="Q4396" t="str">
        <f>IF(COUNTIF(Customers!$A$2:$A$1001,B4396)&gt;0,"Valid","Invalid")</f>
        <v>Valid</v>
      </c>
      <c r="R4396" t="str">
        <f>IF(COUNTIF(Branches!$A$2:$A$11,F4396)&gt;0,"Valid","Invalid")</f>
        <v>Valid</v>
      </c>
    </row>
    <row r="4397" spans="1:18" x14ac:dyDescent="0.25">
      <c r="A4397" t="s">
        <v>6468</v>
      </c>
      <c r="B4397" t="s">
        <v>753</v>
      </c>
      <c r="C4397" s="8">
        <v>46249</v>
      </c>
      <c r="D4397" t="s">
        <v>2065</v>
      </c>
      <c r="E4397" t="s">
        <v>2073</v>
      </c>
      <c r="F4397" t="s">
        <v>11</v>
      </c>
      <c r="G4397">
        <v>470.51</v>
      </c>
      <c r="H4397" t="s">
        <v>2060</v>
      </c>
      <c r="I4397" t="str">
        <f>VLOOKUP(B4397,Customers!A:G,7,FALSE)</f>
        <v>Individual</v>
      </c>
      <c r="Q4397" t="str">
        <f>IF(COUNTIF(Customers!$A$2:$A$1001,B4397)&gt;0,"Valid","Invalid")</f>
        <v>Valid</v>
      </c>
      <c r="R4397" t="str">
        <f>IF(COUNTIF(Branches!$A$2:$A$11,F4397)&gt;0,"Valid","Invalid")</f>
        <v>Valid</v>
      </c>
    </row>
    <row r="4398" spans="1:18" x14ac:dyDescent="0.25">
      <c r="A4398" t="s">
        <v>6469</v>
      </c>
      <c r="B4398" t="s">
        <v>447</v>
      </c>
      <c r="C4398" s="8">
        <v>46255</v>
      </c>
      <c r="D4398" t="s">
        <v>2067</v>
      </c>
      <c r="E4398" t="s">
        <v>2076</v>
      </c>
      <c r="F4398" t="s">
        <v>47</v>
      </c>
      <c r="G4398">
        <v>508.34</v>
      </c>
      <c r="H4398" t="s">
        <v>2060</v>
      </c>
      <c r="I4398" t="str">
        <f>VLOOKUP(B4398,Customers!A:G,7,FALSE)</f>
        <v>Individual</v>
      </c>
      <c r="Q4398" t="str">
        <f>IF(COUNTIF(Customers!$A$2:$A$1001,B4398)&gt;0,"Valid","Invalid")</f>
        <v>Valid</v>
      </c>
      <c r="R4398" t="str">
        <f>IF(COUNTIF(Branches!$A$2:$A$11,F4398)&gt;0,"Valid","Invalid")</f>
        <v>Valid</v>
      </c>
    </row>
    <row r="4399" spans="1:18" x14ac:dyDescent="0.25">
      <c r="A4399" t="s">
        <v>6470</v>
      </c>
      <c r="B4399" t="s">
        <v>508</v>
      </c>
      <c r="C4399" s="8">
        <v>46091</v>
      </c>
      <c r="D4399" t="s">
        <v>2065</v>
      </c>
      <c r="E4399" t="s">
        <v>2063</v>
      </c>
      <c r="F4399" t="s">
        <v>39</v>
      </c>
      <c r="G4399">
        <v>153.58000000000001</v>
      </c>
      <c r="H4399" t="s">
        <v>2060</v>
      </c>
      <c r="I4399" t="str">
        <f>VLOOKUP(B4399,Customers!A:G,7,FALSE)</f>
        <v>Individual</v>
      </c>
      <c r="Q4399" t="str">
        <f>IF(COUNTIF(Customers!$A$2:$A$1001,B4399)&gt;0,"Valid","Invalid")</f>
        <v>Valid</v>
      </c>
      <c r="R4399" t="str">
        <f>IF(COUNTIF(Branches!$A$2:$A$11,F4399)&gt;0,"Valid","Invalid")</f>
        <v>Valid</v>
      </c>
    </row>
    <row r="4400" spans="1:18" x14ac:dyDescent="0.25">
      <c r="A4400" t="s">
        <v>6471</v>
      </c>
      <c r="B4400" t="s">
        <v>848</v>
      </c>
      <c r="C4400" s="8">
        <v>46188</v>
      </c>
      <c r="D4400" t="s">
        <v>2065</v>
      </c>
      <c r="E4400" t="s">
        <v>2073</v>
      </c>
      <c r="F4400" t="s">
        <v>53</v>
      </c>
      <c r="G4400">
        <v>668.35</v>
      </c>
      <c r="H4400" t="s">
        <v>2060</v>
      </c>
      <c r="I4400" t="str">
        <f>VLOOKUP(B4400,Customers!A:G,7,FALSE)</f>
        <v>Individual</v>
      </c>
      <c r="Q4400" t="str">
        <f>IF(COUNTIF(Customers!$A$2:$A$1001,B4400)&gt;0,"Valid","Invalid")</f>
        <v>Valid</v>
      </c>
      <c r="R4400" t="str">
        <f>IF(COUNTIF(Branches!$A$2:$A$11,F4400)&gt;0,"Valid","Invalid")</f>
        <v>Valid</v>
      </c>
    </row>
    <row r="4401" spans="1:18" x14ac:dyDescent="0.25">
      <c r="A4401" t="s">
        <v>6472</v>
      </c>
      <c r="B4401" t="s">
        <v>544</v>
      </c>
      <c r="C4401" s="8">
        <v>46154</v>
      </c>
      <c r="D4401" t="s">
        <v>2065</v>
      </c>
      <c r="E4401" t="s">
        <v>2076</v>
      </c>
      <c r="F4401" t="s">
        <v>39</v>
      </c>
      <c r="G4401">
        <v>1223.99</v>
      </c>
      <c r="H4401" t="s">
        <v>2060</v>
      </c>
      <c r="I4401" t="str">
        <f>VLOOKUP(B4401,Customers!A:G,7,FALSE)</f>
        <v>Student</v>
      </c>
      <c r="Q4401" t="str">
        <f>IF(COUNTIF(Customers!$A$2:$A$1001,B4401)&gt;0,"Valid","Invalid")</f>
        <v>Valid</v>
      </c>
      <c r="R4401" t="str">
        <f>IF(COUNTIF(Branches!$A$2:$A$11,F4401)&gt;0,"Valid","Invalid")</f>
        <v>Valid</v>
      </c>
    </row>
    <row r="4402" spans="1:18" x14ac:dyDescent="0.25">
      <c r="A4402" t="s">
        <v>6473</v>
      </c>
      <c r="B4402" t="s">
        <v>724</v>
      </c>
      <c r="C4402" s="8">
        <v>46167</v>
      </c>
      <c r="D4402" t="s">
        <v>2058</v>
      </c>
      <c r="E4402" t="s">
        <v>2059</v>
      </c>
      <c r="F4402" t="s">
        <v>29</v>
      </c>
      <c r="G4402">
        <v>500.95</v>
      </c>
      <c r="H4402" t="s">
        <v>2060</v>
      </c>
      <c r="I4402" t="str">
        <f>VLOOKUP(B4402,Customers!A:G,7,FALSE)</f>
        <v>SME</v>
      </c>
      <c r="Q4402" t="str">
        <f>IF(COUNTIF(Customers!$A$2:$A$1001,B4402)&gt;0,"Valid","Invalid")</f>
        <v>Valid</v>
      </c>
      <c r="R4402" t="str">
        <f>IF(COUNTIF(Branches!$A$2:$A$11,F4402)&gt;0,"Valid","Invalid")</f>
        <v>Valid</v>
      </c>
    </row>
    <row r="4403" spans="1:18" x14ac:dyDescent="0.25">
      <c r="A4403" t="s">
        <v>6474</v>
      </c>
      <c r="B4403" t="s">
        <v>109</v>
      </c>
      <c r="C4403" s="8">
        <v>46148</v>
      </c>
      <c r="D4403" t="s">
        <v>2067</v>
      </c>
      <c r="E4403" t="s">
        <v>2076</v>
      </c>
      <c r="F4403" t="s">
        <v>29</v>
      </c>
      <c r="G4403">
        <v>1232.04</v>
      </c>
      <c r="H4403" t="s">
        <v>2060</v>
      </c>
      <c r="I4403" t="str">
        <f>VLOOKUP(B4403,Customers!A:G,7,FALSE)</f>
        <v>Individual</v>
      </c>
      <c r="Q4403" t="str">
        <f>IF(COUNTIF(Customers!$A$2:$A$1001,B4403)&gt;0,"Valid","Invalid")</f>
        <v>Valid</v>
      </c>
      <c r="R4403" t="str">
        <f>IF(COUNTIF(Branches!$A$2:$A$11,F4403)&gt;0,"Valid","Invalid")</f>
        <v>Valid</v>
      </c>
    </row>
    <row r="4404" spans="1:18" x14ac:dyDescent="0.25">
      <c r="A4404" t="s">
        <v>6475</v>
      </c>
      <c r="B4404" t="s">
        <v>120</v>
      </c>
      <c r="C4404" s="8">
        <v>46203</v>
      </c>
      <c r="D4404" t="s">
        <v>2058</v>
      </c>
      <c r="E4404" t="s">
        <v>2059</v>
      </c>
      <c r="F4404" t="s">
        <v>11</v>
      </c>
      <c r="G4404">
        <v>680.27</v>
      </c>
      <c r="H4404" t="s">
        <v>2060</v>
      </c>
      <c r="I4404" t="str">
        <f>VLOOKUP(B4404,Customers!A:G,7,FALSE)</f>
        <v>SME</v>
      </c>
      <c r="Q4404" t="str">
        <f>IF(COUNTIF(Customers!$A$2:$A$1001,B4404)&gt;0,"Valid","Invalid")</f>
        <v>Valid</v>
      </c>
      <c r="R4404" t="str">
        <f>IF(COUNTIF(Branches!$A$2:$A$11,F4404)&gt;0,"Valid","Invalid")</f>
        <v>Valid</v>
      </c>
    </row>
    <row r="4405" spans="1:18" x14ac:dyDescent="0.25">
      <c r="A4405" t="s">
        <v>6476</v>
      </c>
      <c r="B4405" t="s">
        <v>95</v>
      </c>
      <c r="C4405" s="8">
        <v>46235</v>
      </c>
      <c r="D4405" t="s">
        <v>2065</v>
      </c>
      <c r="E4405" t="s">
        <v>2063</v>
      </c>
      <c r="F4405" t="s">
        <v>47</v>
      </c>
      <c r="G4405">
        <v>220.91</v>
      </c>
      <c r="H4405" t="s">
        <v>2060</v>
      </c>
      <c r="I4405" t="str">
        <f>VLOOKUP(B4405,Customers!A:G,7,FALSE)</f>
        <v>SME</v>
      </c>
      <c r="Q4405" t="str">
        <f>IF(COUNTIF(Customers!$A$2:$A$1001,B4405)&gt;0,"Valid","Invalid")</f>
        <v>Valid</v>
      </c>
      <c r="R4405" t="str">
        <f>IF(COUNTIF(Branches!$A$2:$A$11,F4405)&gt;0,"Valid","Invalid")</f>
        <v>Valid</v>
      </c>
    </row>
    <row r="4406" spans="1:18" x14ac:dyDescent="0.25">
      <c r="A4406" t="s">
        <v>6477</v>
      </c>
      <c r="B4406" t="s">
        <v>55</v>
      </c>
      <c r="C4406" s="8">
        <v>46075</v>
      </c>
      <c r="D4406" t="s">
        <v>2062</v>
      </c>
      <c r="E4406" t="s">
        <v>2076</v>
      </c>
      <c r="F4406" t="s">
        <v>39</v>
      </c>
      <c r="G4406">
        <v>1109.8599999999999</v>
      </c>
      <c r="H4406" t="s">
        <v>2060</v>
      </c>
      <c r="I4406" t="str">
        <f>VLOOKUP(B4406,Customers!A:G,7,FALSE)</f>
        <v>SME</v>
      </c>
      <c r="Q4406" t="str">
        <f>IF(COUNTIF(Customers!$A$2:$A$1001,B4406)&gt;0,"Valid","Invalid")</f>
        <v>Valid</v>
      </c>
      <c r="R4406" t="str">
        <f>IF(COUNTIF(Branches!$A$2:$A$11,F4406)&gt;0,"Valid","Invalid")</f>
        <v>Valid</v>
      </c>
    </row>
    <row r="4407" spans="1:18" x14ac:dyDescent="0.25">
      <c r="A4407" t="s">
        <v>6478</v>
      </c>
      <c r="B4407" t="s">
        <v>496</v>
      </c>
      <c r="C4407" s="8">
        <v>46134</v>
      </c>
      <c r="D4407" t="s">
        <v>2062</v>
      </c>
      <c r="E4407" t="s">
        <v>2068</v>
      </c>
      <c r="F4407" t="s">
        <v>11</v>
      </c>
      <c r="G4407">
        <v>661.27</v>
      </c>
      <c r="H4407" t="s">
        <v>2060</v>
      </c>
      <c r="I4407" t="str">
        <f>VLOOKUP(B4407,Customers!A:G,7,FALSE)</f>
        <v>Individual</v>
      </c>
      <c r="Q4407" t="str">
        <f>IF(COUNTIF(Customers!$A$2:$A$1001,B4407)&gt;0,"Valid","Invalid")</f>
        <v>Valid</v>
      </c>
      <c r="R4407" t="str">
        <f>IF(COUNTIF(Branches!$A$2:$A$11,F4407)&gt;0,"Valid","Invalid")</f>
        <v>Valid</v>
      </c>
    </row>
    <row r="4408" spans="1:18" x14ac:dyDescent="0.25">
      <c r="A4408" t="s">
        <v>6479</v>
      </c>
      <c r="B4408" t="s">
        <v>956</v>
      </c>
      <c r="C4408" s="8">
        <v>46181</v>
      </c>
      <c r="D4408" t="s">
        <v>2065</v>
      </c>
      <c r="E4408" t="s">
        <v>2076</v>
      </c>
      <c r="F4408" t="s">
        <v>39</v>
      </c>
      <c r="G4408">
        <v>918.51</v>
      </c>
      <c r="H4408" t="s">
        <v>2060</v>
      </c>
      <c r="I4408" t="str">
        <f>VLOOKUP(B4408,Customers!A:G,7,FALSE)</f>
        <v>SME</v>
      </c>
      <c r="Q4408" t="str">
        <f>IF(COUNTIF(Customers!$A$2:$A$1001,B4408)&gt;0,"Valid","Invalid")</f>
        <v>Valid</v>
      </c>
      <c r="R4408" t="str">
        <f>IF(COUNTIF(Branches!$A$2:$A$11,F4408)&gt;0,"Valid","Invalid")</f>
        <v>Valid</v>
      </c>
    </row>
    <row r="4409" spans="1:18" x14ac:dyDescent="0.25">
      <c r="A4409" t="s">
        <v>6480</v>
      </c>
      <c r="B4409" t="s">
        <v>193</v>
      </c>
      <c r="C4409" s="8">
        <v>46262</v>
      </c>
      <c r="D4409" t="s">
        <v>2067</v>
      </c>
      <c r="E4409" t="s">
        <v>2063</v>
      </c>
      <c r="F4409" t="s">
        <v>21</v>
      </c>
      <c r="G4409">
        <v>460.84</v>
      </c>
      <c r="H4409" t="s">
        <v>2060</v>
      </c>
      <c r="I4409" t="str">
        <f>VLOOKUP(B4409,Customers!A:G,7,FALSE)</f>
        <v>Individual</v>
      </c>
      <c r="Q4409" t="str">
        <f>IF(COUNTIF(Customers!$A$2:$A$1001,B4409)&gt;0,"Valid","Invalid")</f>
        <v>Valid</v>
      </c>
      <c r="R4409" t="str">
        <f>IF(COUNTIF(Branches!$A$2:$A$11,F4409)&gt;0,"Valid","Invalid")</f>
        <v>Valid</v>
      </c>
    </row>
    <row r="4410" spans="1:18" x14ac:dyDescent="0.25">
      <c r="A4410" t="s">
        <v>6481</v>
      </c>
      <c r="B4410" t="s">
        <v>869</v>
      </c>
      <c r="C4410" s="8">
        <v>46172</v>
      </c>
      <c r="D4410" t="s">
        <v>2065</v>
      </c>
      <c r="E4410" t="s">
        <v>2073</v>
      </c>
      <c r="F4410" t="s">
        <v>47</v>
      </c>
      <c r="G4410">
        <v>421.83</v>
      </c>
      <c r="H4410" t="s">
        <v>2060</v>
      </c>
      <c r="I4410" t="str">
        <f>VLOOKUP(B4410,Customers!A:G,7,FALSE)</f>
        <v>Individual</v>
      </c>
      <c r="Q4410" t="str">
        <f>IF(COUNTIF(Customers!$A$2:$A$1001,B4410)&gt;0,"Valid","Invalid")</f>
        <v>Valid</v>
      </c>
      <c r="R4410" t="str">
        <f>IF(COUNTIF(Branches!$A$2:$A$11,F4410)&gt;0,"Valid","Invalid")</f>
        <v>Valid</v>
      </c>
    </row>
    <row r="4411" spans="1:18" x14ac:dyDescent="0.25">
      <c r="A4411" t="s">
        <v>6482</v>
      </c>
      <c r="B4411" t="s">
        <v>367</v>
      </c>
      <c r="C4411" s="8">
        <v>46161</v>
      </c>
      <c r="D4411" t="s">
        <v>2062</v>
      </c>
      <c r="E4411" t="s">
        <v>2063</v>
      </c>
      <c r="F4411" t="s">
        <v>35</v>
      </c>
      <c r="G4411">
        <v>950.9</v>
      </c>
      <c r="H4411" t="s">
        <v>2060</v>
      </c>
      <c r="I4411" t="str">
        <f>VLOOKUP(B4411,Customers!A:G,7,FALSE)</f>
        <v>Individual</v>
      </c>
      <c r="Q4411" t="str">
        <f>IF(COUNTIF(Customers!$A$2:$A$1001,B4411)&gt;0,"Valid","Invalid")</f>
        <v>Valid</v>
      </c>
      <c r="R4411" t="str">
        <f>IF(COUNTIF(Branches!$A$2:$A$11,F4411)&gt;0,"Valid","Invalid")</f>
        <v>Valid</v>
      </c>
    </row>
    <row r="4412" spans="1:18" x14ac:dyDescent="0.25">
      <c r="A4412" t="s">
        <v>6483</v>
      </c>
      <c r="B4412" t="s">
        <v>611</v>
      </c>
      <c r="C4412" s="8">
        <v>46184</v>
      </c>
      <c r="D4412" t="s">
        <v>2062</v>
      </c>
      <c r="E4412" t="s">
        <v>2063</v>
      </c>
      <c r="F4412" t="s">
        <v>45</v>
      </c>
      <c r="G4412">
        <v>645.1</v>
      </c>
      <c r="H4412" t="s">
        <v>2060</v>
      </c>
      <c r="I4412" t="str">
        <f>VLOOKUP(B4412,Customers!A:G,7,FALSE)</f>
        <v>Individual</v>
      </c>
      <c r="Q4412" t="str">
        <f>IF(COUNTIF(Customers!$A$2:$A$1001,B4412)&gt;0,"Valid","Invalid")</f>
        <v>Valid</v>
      </c>
      <c r="R4412" t="str">
        <f>IF(COUNTIF(Branches!$A$2:$A$11,F4412)&gt;0,"Valid","Invalid")</f>
        <v>Valid</v>
      </c>
    </row>
    <row r="4413" spans="1:18" x14ac:dyDescent="0.25">
      <c r="A4413" t="s">
        <v>6484</v>
      </c>
      <c r="B4413" t="s">
        <v>614</v>
      </c>
      <c r="C4413" s="8">
        <v>46135</v>
      </c>
      <c r="D4413" t="s">
        <v>2062</v>
      </c>
      <c r="E4413" t="s">
        <v>2063</v>
      </c>
      <c r="F4413" t="s">
        <v>39</v>
      </c>
      <c r="G4413">
        <v>4556.3599999999997</v>
      </c>
      <c r="H4413" t="s">
        <v>2107</v>
      </c>
      <c r="I4413" t="str">
        <f>VLOOKUP(B4413,Customers!A:G,7,FALSE)</f>
        <v>Individual</v>
      </c>
      <c r="Q4413" t="str">
        <f>IF(COUNTIF(Customers!$A$2:$A$1001,B4413)&gt;0,"Valid","Invalid")</f>
        <v>Valid</v>
      </c>
      <c r="R4413" t="str">
        <f>IF(COUNTIF(Branches!$A$2:$A$11,F4413)&gt;0,"Valid","Invalid")</f>
        <v>Valid</v>
      </c>
    </row>
    <row r="4414" spans="1:18" x14ac:dyDescent="0.25">
      <c r="A4414" t="s">
        <v>6485</v>
      </c>
      <c r="B4414" t="s">
        <v>875</v>
      </c>
      <c r="C4414" s="8">
        <v>46165</v>
      </c>
      <c r="D4414" t="s">
        <v>2065</v>
      </c>
      <c r="E4414" t="s">
        <v>2063</v>
      </c>
      <c r="F4414" t="s">
        <v>35</v>
      </c>
      <c r="G4414">
        <v>1805.75</v>
      </c>
      <c r="H4414" t="s">
        <v>2060</v>
      </c>
      <c r="I4414" t="str">
        <f>VLOOKUP(B4414,Customers!A:G,7,FALSE)</f>
        <v>Student</v>
      </c>
      <c r="Q4414" t="str">
        <f>IF(COUNTIF(Customers!$A$2:$A$1001,B4414)&gt;0,"Valid","Invalid")</f>
        <v>Valid</v>
      </c>
      <c r="R4414" t="str">
        <f>IF(COUNTIF(Branches!$A$2:$A$11,F4414)&gt;0,"Valid","Invalid")</f>
        <v>Valid</v>
      </c>
    </row>
    <row r="4415" spans="1:18" x14ac:dyDescent="0.25">
      <c r="A4415" t="s">
        <v>6486</v>
      </c>
      <c r="B4415" t="s">
        <v>718</v>
      </c>
      <c r="C4415" s="8">
        <v>46136</v>
      </c>
      <c r="D4415" t="s">
        <v>2067</v>
      </c>
      <c r="E4415" t="s">
        <v>2059</v>
      </c>
      <c r="F4415" t="s">
        <v>47</v>
      </c>
      <c r="G4415">
        <v>1401.09</v>
      </c>
      <c r="H4415" t="s">
        <v>2060</v>
      </c>
      <c r="I4415" t="str">
        <f>VLOOKUP(B4415,Customers!A:G,7,FALSE)</f>
        <v>SME</v>
      </c>
      <c r="Q4415" t="str">
        <f>IF(COUNTIF(Customers!$A$2:$A$1001,B4415)&gt;0,"Valid","Invalid")</f>
        <v>Valid</v>
      </c>
      <c r="R4415" t="str">
        <f>IF(COUNTIF(Branches!$A$2:$A$11,F4415)&gt;0,"Valid","Invalid")</f>
        <v>Valid</v>
      </c>
    </row>
    <row r="4416" spans="1:18" x14ac:dyDescent="0.25">
      <c r="A4416" t="s">
        <v>6487</v>
      </c>
      <c r="B4416" t="s">
        <v>240</v>
      </c>
      <c r="C4416" s="8">
        <v>46160</v>
      </c>
      <c r="D4416" t="s">
        <v>2065</v>
      </c>
      <c r="E4416" t="s">
        <v>2076</v>
      </c>
      <c r="F4416" t="s">
        <v>53</v>
      </c>
      <c r="G4416">
        <v>680.29</v>
      </c>
      <c r="H4416" t="s">
        <v>2060</v>
      </c>
      <c r="I4416" t="str">
        <f>VLOOKUP(B4416,Customers!A:G,7,FALSE)</f>
        <v>Student</v>
      </c>
      <c r="Q4416" t="str">
        <f>IF(COUNTIF(Customers!$A$2:$A$1001,B4416)&gt;0,"Valid","Invalid")</f>
        <v>Valid</v>
      </c>
      <c r="R4416" t="str">
        <f>IF(COUNTIF(Branches!$A$2:$A$11,F4416)&gt;0,"Valid","Invalid")</f>
        <v>Valid</v>
      </c>
    </row>
    <row r="4417" spans="1:18" x14ac:dyDescent="0.25">
      <c r="A4417" t="s">
        <v>6488</v>
      </c>
      <c r="B4417" t="s">
        <v>679</v>
      </c>
      <c r="C4417" s="8">
        <v>46252</v>
      </c>
      <c r="D4417" t="s">
        <v>2067</v>
      </c>
      <c r="E4417" t="s">
        <v>2068</v>
      </c>
      <c r="F4417" t="s">
        <v>29</v>
      </c>
      <c r="G4417">
        <v>107.12</v>
      </c>
      <c r="H4417" t="s">
        <v>2060</v>
      </c>
      <c r="I4417" t="str">
        <f>VLOOKUP(B4417,Customers!A:G,7,FALSE)</f>
        <v>Individual</v>
      </c>
      <c r="Q4417" t="str">
        <f>IF(COUNTIF(Customers!$A$2:$A$1001,B4417)&gt;0,"Valid","Invalid")</f>
        <v>Valid</v>
      </c>
      <c r="R4417" t="str">
        <f>IF(COUNTIF(Branches!$A$2:$A$11,F4417)&gt;0,"Valid","Invalid")</f>
        <v>Valid</v>
      </c>
    </row>
    <row r="4418" spans="1:18" x14ac:dyDescent="0.25">
      <c r="A4418" t="s">
        <v>6489</v>
      </c>
      <c r="B4418" t="s">
        <v>795</v>
      </c>
      <c r="C4418" s="8">
        <v>46246</v>
      </c>
      <c r="D4418" t="s">
        <v>2058</v>
      </c>
      <c r="E4418" t="s">
        <v>2073</v>
      </c>
      <c r="F4418" t="s">
        <v>53</v>
      </c>
      <c r="G4418">
        <v>362.28</v>
      </c>
      <c r="H4418" t="s">
        <v>2060</v>
      </c>
      <c r="I4418" t="str">
        <f>VLOOKUP(B4418,Customers!A:G,7,FALSE)</f>
        <v>Individual</v>
      </c>
      <c r="Q4418" t="str">
        <f>IF(COUNTIF(Customers!$A$2:$A$1001,B4418)&gt;0,"Valid","Invalid")</f>
        <v>Valid</v>
      </c>
      <c r="R4418" t="str">
        <f>IF(COUNTIF(Branches!$A$2:$A$11,F4418)&gt;0,"Valid","Invalid")</f>
        <v>Valid</v>
      </c>
    </row>
    <row r="4419" spans="1:18" x14ac:dyDescent="0.25">
      <c r="A4419" t="s">
        <v>6490</v>
      </c>
      <c r="B4419" t="s">
        <v>142</v>
      </c>
      <c r="C4419" s="8">
        <v>46203</v>
      </c>
      <c r="D4419" t="s">
        <v>2065</v>
      </c>
      <c r="E4419" t="s">
        <v>2068</v>
      </c>
      <c r="F4419" t="s">
        <v>27</v>
      </c>
      <c r="G4419">
        <v>425.26</v>
      </c>
      <c r="H4419" t="s">
        <v>2060</v>
      </c>
      <c r="I4419" t="str">
        <f>VLOOKUP(B4419,Customers!A:G,7,FALSE)</f>
        <v>SME</v>
      </c>
      <c r="Q4419" t="str">
        <f>IF(COUNTIF(Customers!$A$2:$A$1001,B4419)&gt;0,"Valid","Invalid")</f>
        <v>Valid</v>
      </c>
      <c r="R4419" t="str">
        <f>IF(COUNTIF(Branches!$A$2:$A$11,F4419)&gt;0,"Valid","Invalid")</f>
        <v>Valid</v>
      </c>
    </row>
    <row r="4420" spans="1:18" x14ac:dyDescent="0.25">
      <c r="A4420" t="s">
        <v>6491</v>
      </c>
      <c r="B4420" t="s">
        <v>871</v>
      </c>
      <c r="C4420" s="8">
        <v>46070</v>
      </c>
      <c r="D4420" t="s">
        <v>2062</v>
      </c>
      <c r="E4420" t="s">
        <v>2059</v>
      </c>
      <c r="F4420" t="s">
        <v>39</v>
      </c>
      <c r="G4420">
        <v>617.09</v>
      </c>
      <c r="H4420" t="s">
        <v>2060</v>
      </c>
      <c r="I4420" t="str">
        <f>VLOOKUP(B4420,Customers!A:G,7,FALSE)</f>
        <v>Individual</v>
      </c>
      <c r="Q4420" t="str">
        <f>IF(COUNTIF(Customers!$A$2:$A$1001,B4420)&gt;0,"Valid","Invalid")</f>
        <v>Valid</v>
      </c>
      <c r="R4420" t="str">
        <f>IF(COUNTIF(Branches!$A$2:$A$11,F4420)&gt;0,"Valid","Invalid")</f>
        <v>Valid</v>
      </c>
    </row>
    <row r="4421" spans="1:18" x14ac:dyDescent="0.25">
      <c r="A4421" t="s">
        <v>6492</v>
      </c>
      <c r="B4421" t="s">
        <v>158</v>
      </c>
      <c r="C4421" s="8">
        <v>46053</v>
      </c>
      <c r="D4421" t="s">
        <v>2058</v>
      </c>
      <c r="E4421" t="s">
        <v>2076</v>
      </c>
      <c r="F4421" t="s">
        <v>29</v>
      </c>
      <c r="G4421">
        <v>785.75</v>
      </c>
      <c r="H4421" t="s">
        <v>2060</v>
      </c>
      <c r="I4421" t="str">
        <f>VLOOKUP(B4421,Customers!A:G,7,FALSE)</f>
        <v>Individual</v>
      </c>
      <c r="Q4421" t="str">
        <f>IF(COUNTIF(Customers!$A$2:$A$1001,B4421)&gt;0,"Valid","Invalid")</f>
        <v>Valid</v>
      </c>
      <c r="R4421" t="str">
        <f>IF(COUNTIF(Branches!$A$2:$A$11,F4421)&gt;0,"Valid","Invalid")</f>
        <v>Valid</v>
      </c>
    </row>
    <row r="4422" spans="1:18" x14ac:dyDescent="0.25">
      <c r="A4422" t="s">
        <v>6493</v>
      </c>
      <c r="B4422" t="s">
        <v>356</v>
      </c>
      <c r="C4422" s="8">
        <v>46059</v>
      </c>
      <c r="D4422" t="s">
        <v>2062</v>
      </c>
      <c r="E4422" t="s">
        <v>2068</v>
      </c>
      <c r="F4422" t="s">
        <v>29</v>
      </c>
      <c r="G4422">
        <v>1565.68</v>
      </c>
      <c r="H4422" t="s">
        <v>2060</v>
      </c>
      <c r="I4422" t="str">
        <f>VLOOKUP(B4422,Customers!A:G,7,FALSE)</f>
        <v>Individual</v>
      </c>
      <c r="Q4422" t="str">
        <f>IF(COUNTIF(Customers!$A$2:$A$1001,B4422)&gt;0,"Valid","Invalid")</f>
        <v>Valid</v>
      </c>
      <c r="R4422" t="str">
        <f>IF(COUNTIF(Branches!$A$2:$A$11,F4422)&gt;0,"Valid","Invalid")</f>
        <v>Valid</v>
      </c>
    </row>
    <row r="4423" spans="1:18" x14ac:dyDescent="0.25">
      <c r="A4423" t="s">
        <v>6494</v>
      </c>
      <c r="B4423" t="s">
        <v>219</v>
      </c>
      <c r="C4423" s="8">
        <v>46130</v>
      </c>
      <c r="D4423" t="s">
        <v>2065</v>
      </c>
      <c r="E4423" t="s">
        <v>2059</v>
      </c>
      <c r="F4423" t="s">
        <v>53</v>
      </c>
      <c r="G4423">
        <v>1067.58</v>
      </c>
      <c r="H4423" t="s">
        <v>2060</v>
      </c>
      <c r="I4423" t="str">
        <f>VLOOKUP(B4423,Customers!A:G,7,FALSE)</f>
        <v>Individual</v>
      </c>
      <c r="Q4423" t="str">
        <f>IF(COUNTIF(Customers!$A$2:$A$1001,B4423)&gt;0,"Valid","Invalid")</f>
        <v>Valid</v>
      </c>
      <c r="R4423" t="str">
        <f>IF(COUNTIF(Branches!$A$2:$A$11,F4423)&gt;0,"Valid","Invalid")</f>
        <v>Valid</v>
      </c>
    </row>
    <row r="4424" spans="1:18" x14ac:dyDescent="0.25">
      <c r="A4424" t="s">
        <v>6495</v>
      </c>
      <c r="B4424" t="s">
        <v>653</v>
      </c>
      <c r="C4424" s="8">
        <v>46050</v>
      </c>
      <c r="D4424" t="s">
        <v>2062</v>
      </c>
      <c r="E4424" t="s">
        <v>2068</v>
      </c>
      <c r="F4424" t="s">
        <v>47</v>
      </c>
      <c r="G4424">
        <v>2589.46</v>
      </c>
      <c r="H4424" t="s">
        <v>2060</v>
      </c>
      <c r="I4424" t="str">
        <f>VLOOKUP(B4424,Customers!A:G,7,FALSE)</f>
        <v>Individual</v>
      </c>
      <c r="Q4424" t="str">
        <f>IF(COUNTIF(Customers!$A$2:$A$1001,B4424)&gt;0,"Valid","Invalid")</f>
        <v>Valid</v>
      </c>
      <c r="R4424" t="str">
        <f>IF(COUNTIF(Branches!$A$2:$A$11,F4424)&gt;0,"Valid","Invalid")</f>
        <v>Valid</v>
      </c>
    </row>
    <row r="4425" spans="1:18" x14ac:dyDescent="0.25">
      <c r="A4425" t="s">
        <v>6496</v>
      </c>
      <c r="B4425" t="s">
        <v>354</v>
      </c>
      <c r="C4425" s="8">
        <v>46181</v>
      </c>
      <c r="D4425" t="s">
        <v>2070</v>
      </c>
      <c r="E4425" t="s">
        <v>2059</v>
      </c>
      <c r="F4425" t="s">
        <v>21</v>
      </c>
      <c r="G4425">
        <v>594.72</v>
      </c>
      <c r="H4425" t="s">
        <v>2060</v>
      </c>
      <c r="I4425" t="str">
        <f>VLOOKUP(B4425,Customers!A:G,7,FALSE)</f>
        <v>Individual</v>
      </c>
      <c r="Q4425" t="str">
        <f>IF(COUNTIF(Customers!$A$2:$A$1001,B4425)&gt;0,"Valid","Invalid")</f>
        <v>Valid</v>
      </c>
      <c r="R4425" t="str">
        <f>IF(COUNTIF(Branches!$A$2:$A$11,F4425)&gt;0,"Valid","Invalid")</f>
        <v>Valid</v>
      </c>
    </row>
    <row r="4426" spans="1:18" x14ac:dyDescent="0.25">
      <c r="A4426" t="s">
        <v>6497</v>
      </c>
      <c r="B4426" t="s">
        <v>852</v>
      </c>
      <c r="C4426" s="8">
        <v>46092</v>
      </c>
      <c r="D4426" t="s">
        <v>2062</v>
      </c>
      <c r="E4426" t="s">
        <v>2059</v>
      </c>
      <c r="F4426" t="s">
        <v>39</v>
      </c>
      <c r="G4426">
        <v>1050.6500000000001</v>
      </c>
      <c r="H4426" t="s">
        <v>2060</v>
      </c>
      <c r="I4426" t="str">
        <f>VLOOKUP(B4426,Customers!A:G,7,FALSE)</f>
        <v>SME</v>
      </c>
      <c r="Q4426" t="str">
        <f>IF(COUNTIF(Customers!$A$2:$A$1001,B4426)&gt;0,"Valid","Invalid")</f>
        <v>Valid</v>
      </c>
      <c r="R4426" t="str">
        <f>IF(COUNTIF(Branches!$A$2:$A$11,F4426)&gt;0,"Valid","Invalid")</f>
        <v>Valid</v>
      </c>
    </row>
    <row r="4427" spans="1:18" x14ac:dyDescent="0.25">
      <c r="A4427" t="s">
        <v>6498</v>
      </c>
      <c r="B4427" t="s">
        <v>811</v>
      </c>
      <c r="C4427" s="8">
        <v>46036</v>
      </c>
      <c r="D4427" t="s">
        <v>2062</v>
      </c>
      <c r="E4427" t="s">
        <v>2059</v>
      </c>
      <c r="F4427" t="s">
        <v>11</v>
      </c>
      <c r="G4427">
        <v>1145.78</v>
      </c>
      <c r="H4427" t="s">
        <v>2060</v>
      </c>
      <c r="I4427" t="str">
        <f>VLOOKUP(B4427,Customers!A:G,7,FALSE)</f>
        <v>SME</v>
      </c>
      <c r="Q4427" t="str">
        <f>IF(COUNTIF(Customers!$A$2:$A$1001,B4427)&gt;0,"Valid","Invalid")</f>
        <v>Valid</v>
      </c>
      <c r="R4427" t="str">
        <f>IF(COUNTIF(Branches!$A$2:$A$11,F4427)&gt;0,"Valid","Invalid")</f>
        <v>Valid</v>
      </c>
    </row>
    <row r="4428" spans="1:18" x14ac:dyDescent="0.25">
      <c r="A4428" t="s">
        <v>6499</v>
      </c>
      <c r="B4428" t="s">
        <v>663</v>
      </c>
      <c r="C4428" s="8">
        <v>46144</v>
      </c>
      <c r="D4428" t="s">
        <v>2062</v>
      </c>
      <c r="E4428" t="s">
        <v>2076</v>
      </c>
      <c r="F4428" t="s">
        <v>29</v>
      </c>
      <c r="G4428">
        <v>1038.7</v>
      </c>
      <c r="H4428" t="s">
        <v>2060</v>
      </c>
      <c r="I4428" t="str">
        <f>VLOOKUP(B4428,Customers!A:G,7,FALSE)</f>
        <v>SME</v>
      </c>
      <c r="Q4428" t="str">
        <f>IF(COUNTIF(Customers!$A$2:$A$1001,B4428)&gt;0,"Valid","Invalid")</f>
        <v>Valid</v>
      </c>
      <c r="R4428" t="str">
        <f>IF(COUNTIF(Branches!$A$2:$A$11,F4428)&gt;0,"Valid","Invalid")</f>
        <v>Valid</v>
      </c>
    </row>
    <row r="4429" spans="1:18" x14ac:dyDescent="0.25">
      <c r="A4429" t="s">
        <v>6500</v>
      </c>
      <c r="B4429" t="s">
        <v>444</v>
      </c>
      <c r="C4429" s="8">
        <v>46237</v>
      </c>
      <c r="D4429" t="s">
        <v>2058</v>
      </c>
      <c r="E4429" t="s">
        <v>2076</v>
      </c>
      <c r="F4429" t="s">
        <v>47</v>
      </c>
      <c r="G4429">
        <v>2927.46</v>
      </c>
      <c r="H4429" t="s">
        <v>2115</v>
      </c>
      <c r="I4429" t="str">
        <f>VLOOKUP(B4429,Customers!A:G,7,FALSE)</f>
        <v>Student</v>
      </c>
      <c r="Q4429" t="str">
        <f>IF(COUNTIF(Customers!$A$2:$A$1001,B4429)&gt;0,"Valid","Invalid")</f>
        <v>Valid</v>
      </c>
      <c r="R4429" t="str">
        <f>IF(COUNTIF(Branches!$A$2:$A$11,F4429)&gt;0,"Valid","Invalid")</f>
        <v>Valid</v>
      </c>
    </row>
    <row r="4430" spans="1:18" x14ac:dyDescent="0.25">
      <c r="A4430" t="s">
        <v>6501</v>
      </c>
      <c r="B4430" t="s">
        <v>1024</v>
      </c>
      <c r="C4430" s="8">
        <v>46038</v>
      </c>
      <c r="D4430" t="s">
        <v>2065</v>
      </c>
      <c r="E4430" t="s">
        <v>2059</v>
      </c>
      <c r="F4430" t="s">
        <v>39</v>
      </c>
      <c r="G4430">
        <v>1814.88</v>
      </c>
      <c r="H4430" t="s">
        <v>2060</v>
      </c>
      <c r="I4430" t="str">
        <f>VLOOKUP(B4430,Customers!A:G,7,FALSE)</f>
        <v>Student</v>
      </c>
      <c r="Q4430" t="str">
        <f>IF(COUNTIF(Customers!$A$2:$A$1001,B4430)&gt;0,"Valid","Invalid")</f>
        <v>Valid</v>
      </c>
      <c r="R4430" t="str">
        <f>IF(COUNTIF(Branches!$A$2:$A$11,F4430)&gt;0,"Valid","Invalid")</f>
        <v>Valid</v>
      </c>
    </row>
    <row r="4431" spans="1:18" x14ac:dyDescent="0.25">
      <c r="A4431" t="s">
        <v>6502</v>
      </c>
      <c r="B4431" t="s">
        <v>987</v>
      </c>
      <c r="C4431" s="8">
        <v>46047</v>
      </c>
      <c r="D4431" t="s">
        <v>2058</v>
      </c>
      <c r="E4431" t="s">
        <v>2059</v>
      </c>
      <c r="F4431" t="s">
        <v>16</v>
      </c>
      <c r="G4431">
        <v>217.15</v>
      </c>
      <c r="H4431" t="s">
        <v>2060</v>
      </c>
      <c r="I4431" t="str">
        <f>VLOOKUP(B4431,Customers!A:G,7,FALSE)</f>
        <v>Individual</v>
      </c>
      <c r="Q4431" t="str">
        <f>IF(COUNTIF(Customers!$A$2:$A$1001,B4431)&gt;0,"Valid","Invalid")</f>
        <v>Valid</v>
      </c>
      <c r="R4431" t="str">
        <f>IF(COUNTIF(Branches!$A$2:$A$11,F4431)&gt;0,"Valid","Invalid")</f>
        <v>Valid</v>
      </c>
    </row>
    <row r="4432" spans="1:18" x14ac:dyDescent="0.25">
      <c r="A4432" t="s">
        <v>6503</v>
      </c>
      <c r="B4432" t="s">
        <v>106</v>
      </c>
      <c r="C4432" s="8">
        <v>46189</v>
      </c>
      <c r="D4432" t="s">
        <v>2062</v>
      </c>
      <c r="E4432" t="s">
        <v>2073</v>
      </c>
      <c r="F4432" t="s">
        <v>11</v>
      </c>
      <c r="G4432">
        <v>724.64</v>
      </c>
      <c r="H4432" t="s">
        <v>2060</v>
      </c>
      <c r="I4432" t="str">
        <f>VLOOKUP(B4432,Customers!A:G,7,FALSE)</f>
        <v>SME</v>
      </c>
      <c r="Q4432" t="str">
        <f>IF(COUNTIF(Customers!$A$2:$A$1001,B4432)&gt;0,"Valid","Invalid")</f>
        <v>Valid</v>
      </c>
      <c r="R4432" t="str">
        <f>IF(COUNTIF(Branches!$A$2:$A$11,F4432)&gt;0,"Valid","Invalid")</f>
        <v>Valid</v>
      </c>
    </row>
    <row r="4433" spans="1:18" x14ac:dyDescent="0.25">
      <c r="A4433" t="s">
        <v>6504</v>
      </c>
      <c r="B4433" t="s">
        <v>196</v>
      </c>
      <c r="C4433" s="8">
        <v>46088</v>
      </c>
      <c r="D4433" t="s">
        <v>2070</v>
      </c>
      <c r="E4433" t="s">
        <v>2073</v>
      </c>
      <c r="F4433" t="s">
        <v>45</v>
      </c>
      <c r="G4433">
        <v>801.13</v>
      </c>
      <c r="H4433" t="s">
        <v>2060</v>
      </c>
      <c r="I4433" t="str">
        <f>VLOOKUP(B4433,Customers!A:G,7,FALSE)</f>
        <v>Individual</v>
      </c>
      <c r="Q4433" t="str">
        <f>IF(COUNTIF(Customers!$A$2:$A$1001,B4433)&gt;0,"Valid","Invalid")</f>
        <v>Valid</v>
      </c>
      <c r="R4433" t="str">
        <f>IF(COUNTIF(Branches!$A$2:$A$11,F4433)&gt;0,"Valid","Invalid")</f>
        <v>Valid</v>
      </c>
    </row>
    <row r="4434" spans="1:18" x14ac:dyDescent="0.25">
      <c r="A4434" t="s">
        <v>6505</v>
      </c>
      <c r="B4434" t="s">
        <v>278</v>
      </c>
      <c r="C4434" s="8">
        <v>46060</v>
      </c>
      <c r="D4434" t="s">
        <v>2058</v>
      </c>
      <c r="E4434" t="s">
        <v>2063</v>
      </c>
      <c r="F4434" t="s">
        <v>35</v>
      </c>
      <c r="G4434">
        <v>6985.15</v>
      </c>
      <c r="H4434" t="s">
        <v>2060</v>
      </c>
      <c r="I4434" t="str">
        <f>VLOOKUP(B4434,Customers!A:G,7,FALSE)</f>
        <v>Individual</v>
      </c>
      <c r="Q4434" t="str">
        <f>IF(COUNTIF(Customers!$A$2:$A$1001,B4434)&gt;0,"Valid","Invalid")</f>
        <v>Valid</v>
      </c>
      <c r="R4434" t="str">
        <f>IF(COUNTIF(Branches!$A$2:$A$11,F4434)&gt;0,"Valid","Invalid")</f>
        <v>Valid</v>
      </c>
    </row>
    <row r="4435" spans="1:18" x14ac:dyDescent="0.25">
      <c r="A4435" t="s">
        <v>6506</v>
      </c>
      <c r="B4435" t="s">
        <v>561</v>
      </c>
      <c r="C4435" s="8">
        <v>46191</v>
      </c>
      <c r="D4435" t="s">
        <v>2065</v>
      </c>
      <c r="E4435" t="s">
        <v>2063</v>
      </c>
      <c r="F4435" t="s">
        <v>29</v>
      </c>
      <c r="G4435">
        <v>584.17999999999995</v>
      </c>
      <c r="H4435" t="s">
        <v>2060</v>
      </c>
      <c r="I4435" t="str">
        <f>VLOOKUP(B4435,Customers!A:G,7,FALSE)</f>
        <v>Student</v>
      </c>
      <c r="Q4435" t="str">
        <f>IF(COUNTIF(Customers!$A$2:$A$1001,B4435)&gt;0,"Valid","Invalid")</f>
        <v>Valid</v>
      </c>
      <c r="R4435" t="str">
        <f>IF(COUNTIF(Branches!$A$2:$A$11,F4435)&gt;0,"Valid","Invalid")</f>
        <v>Valid</v>
      </c>
    </row>
    <row r="4436" spans="1:18" x14ac:dyDescent="0.25">
      <c r="A4436" t="s">
        <v>6507</v>
      </c>
      <c r="B4436" t="s">
        <v>174</v>
      </c>
      <c r="C4436" s="8">
        <v>46125</v>
      </c>
      <c r="D4436" t="s">
        <v>2058</v>
      </c>
      <c r="E4436" t="s">
        <v>2076</v>
      </c>
      <c r="F4436" t="s">
        <v>35</v>
      </c>
      <c r="G4436">
        <v>304.14999999999998</v>
      </c>
      <c r="H4436" t="s">
        <v>2060</v>
      </c>
      <c r="I4436" t="str">
        <f>VLOOKUP(B4436,Customers!A:G,7,FALSE)</f>
        <v>Corporate</v>
      </c>
      <c r="Q4436" t="str">
        <f>IF(COUNTIF(Customers!$A$2:$A$1001,B4436)&gt;0,"Valid","Invalid")</f>
        <v>Valid</v>
      </c>
      <c r="R4436" t="str">
        <f>IF(COUNTIF(Branches!$A$2:$A$11,F4436)&gt;0,"Valid","Invalid")</f>
        <v>Valid</v>
      </c>
    </row>
    <row r="4437" spans="1:18" x14ac:dyDescent="0.25">
      <c r="A4437" t="s">
        <v>6508</v>
      </c>
      <c r="B4437" t="s">
        <v>533</v>
      </c>
      <c r="C4437" s="8">
        <v>46120</v>
      </c>
      <c r="D4437" t="s">
        <v>2070</v>
      </c>
      <c r="E4437" t="s">
        <v>2059</v>
      </c>
      <c r="F4437" t="s">
        <v>53</v>
      </c>
      <c r="G4437">
        <v>1259.32</v>
      </c>
      <c r="H4437" t="s">
        <v>2060</v>
      </c>
      <c r="I4437" t="str">
        <f>VLOOKUP(B4437,Customers!A:G,7,FALSE)</f>
        <v>SME</v>
      </c>
      <c r="Q4437" t="str">
        <f>IF(COUNTIF(Customers!$A$2:$A$1001,B4437)&gt;0,"Valid","Invalid")</f>
        <v>Valid</v>
      </c>
      <c r="R4437" t="str">
        <f>IF(COUNTIF(Branches!$A$2:$A$11,F4437)&gt;0,"Valid","Invalid")</f>
        <v>Valid</v>
      </c>
    </row>
    <row r="4438" spans="1:18" x14ac:dyDescent="0.25">
      <c r="A4438" t="s">
        <v>6509</v>
      </c>
      <c r="B4438" t="s">
        <v>717</v>
      </c>
      <c r="C4438" s="8">
        <v>46137</v>
      </c>
      <c r="D4438" t="s">
        <v>2065</v>
      </c>
      <c r="E4438" t="s">
        <v>2063</v>
      </c>
      <c r="F4438" t="s">
        <v>16</v>
      </c>
      <c r="G4438">
        <v>1335.4</v>
      </c>
      <c r="H4438" t="s">
        <v>2060</v>
      </c>
      <c r="I4438" t="str">
        <f>VLOOKUP(B4438,Customers!A:G,7,FALSE)</f>
        <v>Individual</v>
      </c>
      <c r="Q4438" t="str">
        <f>IF(COUNTIF(Customers!$A$2:$A$1001,B4438)&gt;0,"Valid","Invalid")</f>
        <v>Valid</v>
      </c>
      <c r="R4438" t="str">
        <f>IF(COUNTIF(Branches!$A$2:$A$11,F4438)&gt;0,"Valid","Invalid")</f>
        <v>Valid</v>
      </c>
    </row>
    <row r="4439" spans="1:18" x14ac:dyDescent="0.25">
      <c r="A4439" t="s">
        <v>6510</v>
      </c>
      <c r="B4439" t="s">
        <v>285</v>
      </c>
      <c r="C4439" s="8">
        <v>46062</v>
      </c>
      <c r="D4439" t="s">
        <v>2067</v>
      </c>
      <c r="E4439" t="s">
        <v>2059</v>
      </c>
      <c r="F4439" t="s">
        <v>27</v>
      </c>
      <c r="G4439">
        <v>754.63</v>
      </c>
      <c r="H4439" t="s">
        <v>2060</v>
      </c>
      <c r="I4439" t="str">
        <f>VLOOKUP(B4439,Customers!A:G,7,FALSE)</f>
        <v>Individual</v>
      </c>
      <c r="Q4439" t="str">
        <f>IF(COUNTIF(Customers!$A$2:$A$1001,B4439)&gt;0,"Valid","Invalid")</f>
        <v>Valid</v>
      </c>
      <c r="R4439" t="str">
        <f>IF(COUNTIF(Branches!$A$2:$A$11,F4439)&gt;0,"Valid","Invalid")</f>
        <v>Valid</v>
      </c>
    </row>
    <row r="4440" spans="1:18" x14ac:dyDescent="0.25">
      <c r="A4440" t="s">
        <v>6511</v>
      </c>
      <c r="B4440" t="s">
        <v>904</v>
      </c>
      <c r="C4440" s="8">
        <v>46257</v>
      </c>
      <c r="D4440" t="s">
        <v>2058</v>
      </c>
      <c r="E4440" t="s">
        <v>2068</v>
      </c>
      <c r="F4440" t="s">
        <v>47</v>
      </c>
      <c r="G4440">
        <v>651.79999999999995</v>
      </c>
      <c r="H4440" t="s">
        <v>2060</v>
      </c>
      <c r="I4440" t="str">
        <f>VLOOKUP(B4440,Customers!A:G,7,FALSE)</f>
        <v>Individual</v>
      </c>
      <c r="Q4440" t="str">
        <f>IF(COUNTIF(Customers!$A$2:$A$1001,B4440)&gt;0,"Valid","Invalid")</f>
        <v>Valid</v>
      </c>
      <c r="R4440" t="str">
        <f>IF(COUNTIF(Branches!$A$2:$A$11,F4440)&gt;0,"Valid","Invalid")</f>
        <v>Valid</v>
      </c>
    </row>
    <row r="4441" spans="1:18" x14ac:dyDescent="0.25">
      <c r="A4441" t="s">
        <v>6512</v>
      </c>
      <c r="B4441" t="s">
        <v>581</v>
      </c>
      <c r="C4441" s="8">
        <v>46086</v>
      </c>
      <c r="D4441" t="s">
        <v>2065</v>
      </c>
      <c r="E4441" t="s">
        <v>2068</v>
      </c>
      <c r="F4441" t="s">
        <v>16</v>
      </c>
      <c r="G4441">
        <v>2098.34</v>
      </c>
      <c r="H4441" t="s">
        <v>2060</v>
      </c>
      <c r="I4441" t="str">
        <f>VLOOKUP(B4441,Customers!A:G,7,FALSE)</f>
        <v>Individual</v>
      </c>
      <c r="Q4441" t="str">
        <f>IF(COUNTIF(Customers!$A$2:$A$1001,B4441)&gt;0,"Valid","Invalid")</f>
        <v>Valid</v>
      </c>
      <c r="R4441" t="str">
        <f>IF(COUNTIF(Branches!$A$2:$A$11,F4441)&gt;0,"Valid","Invalid")</f>
        <v>Valid</v>
      </c>
    </row>
    <row r="4442" spans="1:18" x14ac:dyDescent="0.25">
      <c r="A4442" t="s">
        <v>6513</v>
      </c>
      <c r="B4442" t="s">
        <v>562</v>
      </c>
      <c r="C4442" s="8">
        <v>46111</v>
      </c>
      <c r="D4442" t="s">
        <v>2065</v>
      </c>
      <c r="E4442" t="s">
        <v>2059</v>
      </c>
      <c r="F4442" t="s">
        <v>47</v>
      </c>
      <c r="G4442">
        <v>345.99</v>
      </c>
      <c r="H4442" t="s">
        <v>2060</v>
      </c>
      <c r="I4442" t="str">
        <f>VLOOKUP(B4442,Customers!A:G,7,FALSE)</f>
        <v>Individual</v>
      </c>
      <c r="Q4442" t="str">
        <f>IF(COUNTIF(Customers!$A$2:$A$1001,B4442)&gt;0,"Valid","Invalid")</f>
        <v>Valid</v>
      </c>
      <c r="R4442" t="str">
        <f>IF(COUNTIF(Branches!$A$2:$A$11,F4442)&gt;0,"Valid","Invalid")</f>
        <v>Valid</v>
      </c>
    </row>
    <row r="4443" spans="1:18" x14ac:dyDescent="0.25">
      <c r="A4443" t="s">
        <v>6514</v>
      </c>
      <c r="B4443" t="s">
        <v>281</v>
      </c>
      <c r="C4443" s="8">
        <v>46122</v>
      </c>
      <c r="D4443" t="s">
        <v>2067</v>
      </c>
      <c r="E4443" t="s">
        <v>2059</v>
      </c>
      <c r="F4443" t="s">
        <v>35</v>
      </c>
      <c r="G4443">
        <v>577.70000000000005</v>
      </c>
      <c r="H4443" t="s">
        <v>2060</v>
      </c>
      <c r="I4443" t="str">
        <f>VLOOKUP(B4443,Customers!A:G,7,FALSE)</f>
        <v>Individual</v>
      </c>
      <c r="Q4443" t="str">
        <f>IF(COUNTIF(Customers!$A$2:$A$1001,B4443)&gt;0,"Valid","Invalid")</f>
        <v>Valid</v>
      </c>
      <c r="R4443" t="str">
        <f>IF(COUNTIF(Branches!$A$2:$A$11,F4443)&gt;0,"Valid","Invalid")</f>
        <v>Valid</v>
      </c>
    </row>
    <row r="4444" spans="1:18" x14ac:dyDescent="0.25">
      <c r="A4444" t="s">
        <v>6515</v>
      </c>
      <c r="B4444" t="s">
        <v>658</v>
      </c>
      <c r="C4444" s="8">
        <v>46166</v>
      </c>
      <c r="D4444" t="s">
        <v>2062</v>
      </c>
      <c r="E4444" t="s">
        <v>2059</v>
      </c>
      <c r="F4444" t="s">
        <v>47</v>
      </c>
      <c r="G4444">
        <v>481.95</v>
      </c>
      <c r="H4444" t="s">
        <v>2107</v>
      </c>
      <c r="I4444" t="str">
        <f>VLOOKUP(B4444,Customers!A:G,7,FALSE)</f>
        <v>Student</v>
      </c>
      <c r="Q4444" t="str">
        <f>IF(COUNTIF(Customers!$A$2:$A$1001,B4444)&gt;0,"Valid","Invalid")</f>
        <v>Valid</v>
      </c>
      <c r="R4444" t="str">
        <f>IF(COUNTIF(Branches!$A$2:$A$11,F4444)&gt;0,"Valid","Invalid")</f>
        <v>Valid</v>
      </c>
    </row>
    <row r="4445" spans="1:18" x14ac:dyDescent="0.25">
      <c r="A4445" t="s">
        <v>6516</v>
      </c>
      <c r="B4445" t="s">
        <v>374</v>
      </c>
      <c r="C4445" s="8">
        <v>46104</v>
      </c>
      <c r="D4445" t="s">
        <v>2065</v>
      </c>
      <c r="E4445" t="s">
        <v>2063</v>
      </c>
      <c r="F4445" t="s">
        <v>39</v>
      </c>
      <c r="G4445">
        <v>2425.75</v>
      </c>
      <c r="H4445" t="s">
        <v>2115</v>
      </c>
      <c r="I4445" t="str">
        <f>VLOOKUP(B4445,Customers!A:G,7,FALSE)</f>
        <v>Individual</v>
      </c>
      <c r="Q4445" t="str">
        <f>IF(COUNTIF(Customers!$A$2:$A$1001,B4445)&gt;0,"Valid","Invalid")</f>
        <v>Valid</v>
      </c>
      <c r="R4445" t="str">
        <f>IF(COUNTIF(Branches!$A$2:$A$11,F4445)&gt;0,"Valid","Invalid")</f>
        <v>Valid</v>
      </c>
    </row>
    <row r="4446" spans="1:18" x14ac:dyDescent="0.25">
      <c r="A4446" t="s">
        <v>6517</v>
      </c>
      <c r="B4446" t="s">
        <v>460</v>
      </c>
      <c r="C4446" s="8">
        <v>46099</v>
      </c>
      <c r="D4446" t="s">
        <v>2067</v>
      </c>
      <c r="E4446" t="s">
        <v>2059</v>
      </c>
      <c r="F4446" t="s">
        <v>53</v>
      </c>
      <c r="G4446">
        <v>1080.8399999999999</v>
      </c>
      <c r="H4446" t="s">
        <v>2060</v>
      </c>
      <c r="I4446" t="str">
        <f>VLOOKUP(B4446,Customers!A:G,7,FALSE)</f>
        <v>Individual</v>
      </c>
      <c r="Q4446" t="str">
        <f>IF(COUNTIF(Customers!$A$2:$A$1001,B4446)&gt;0,"Valid","Invalid")</f>
        <v>Valid</v>
      </c>
      <c r="R4446" t="str">
        <f>IF(COUNTIF(Branches!$A$2:$A$11,F4446)&gt;0,"Valid","Invalid")</f>
        <v>Valid</v>
      </c>
    </row>
    <row r="4447" spans="1:18" x14ac:dyDescent="0.25">
      <c r="A4447" t="s">
        <v>6518</v>
      </c>
      <c r="B4447" t="s">
        <v>873</v>
      </c>
      <c r="C4447" s="8">
        <v>46081</v>
      </c>
      <c r="D4447" t="s">
        <v>2062</v>
      </c>
      <c r="E4447" t="s">
        <v>2063</v>
      </c>
      <c r="F4447" t="s">
        <v>16</v>
      </c>
      <c r="G4447">
        <v>280.06</v>
      </c>
      <c r="H4447" t="s">
        <v>2060</v>
      </c>
      <c r="I4447" t="str">
        <f>VLOOKUP(B4447,Customers!A:G,7,FALSE)</f>
        <v>Individual</v>
      </c>
      <c r="Q4447" t="str">
        <f>IF(COUNTIF(Customers!$A$2:$A$1001,B4447)&gt;0,"Valid","Invalid")</f>
        <v>Valid</v>
      </c>
      <c r="R4447" t="str">
        <f>IF(COUNTIF(Branches!$A$2:$A$11,F4447)&gt;0,"Valid","Invalid")</f>
        <v>Valid</v>
      </c>
    </row>
    <row r="4448" spans="1:18" x14ac:dyDescent="0.25">
      <c r="A4448" t="s">
        <v>6519</v>
      </c>
      <c r="B4448" t="s">
        <v>231</v>
      </c>
      <c r="C4448" s="8">
        <v>46251</v>
      </c>
      <c r="D4448" t="s">
        <v>2070</v>
      </c>
      <c r="E4448" t="s">
        <v>2059</v>
      </c>
      <c r="F4448" t="s">
        <v>47</v>
      </c>
      <c r="G4448">
        <v>309.67</v>
      </c>
      <c r="H4448" t="s">
        <v>2060</v>
      </c>
      <c r="I4448" t="str">
        <f>VLOOKUP(B4448,Customers!A:G,7,FALSE)</f>
        <v>Individual</v>
      </c>
      <c r="Q4448" t="str">
        <f>IF(COUNTIF(Customers!$A$2:$A$1001,B4448)&gt;0,"Valid","Invalid")</f>
        <v>Valid</v>
      </c>
      <c r="R4448" t="str">
        <f>IF(COUNTIF(Branches!$A$2:$A$11,F4448)&gt;0,"Valid","Invalid")</f>
        <v>Valid</v>
      </c>
    </row>
    <row r="4449" spans="1:18" x14ac:dyDescent="0.25">
      <c r="A4449" t="s">
        <v>6520</v>
      </c>
      <c r="B4449" t="s">
        <v>346</v>
      </c>
      <c r="C4449" s="8">
        <v>46113</v>
      </c>
      <c r="D4449" t="s">
        <v>2070</v>
      </c>
      <c r="E4449" t="s">
        <v>2063</v>
      </c>
      <c r="F4449" t="s">
        <v>11</v>
      </c>
      <c r="G4449">
        <v>5289.16</v>
      </c>
      <c r="H4449" t="s">
        <v>2060</v>
      </c>
      <c r="I4449" t="str">
        <f>VLOOKUP(B4449,Customers!A:G,7,FALSE)</f>
        <v>SME</v>
      </c>
      <c r="Q4449" t="str">
        <f>IF(COUNTIF(Customers!$A$2:$A$1001,B4449)&gt;0,"Valid","Invalid")</f>
        <v>Valid</v>
      </c>
      <c r="R4449" t="str">
        <f>IF(COUNTIF(Branches!$A$2:$A$11,F4449)&gt;0,"Valid","Invalid")</f>
        <v>Valid</v>
      </c>
    </row>
    <row r="4450" spans="1:18" x14ac:dyDescent="0.25">
      <c r="A4450" t="s">
        <v>6521</v>
      </c>
      <c r="B4450" t="s">
        <v>683</v>
      </c>
      <c r="C4450" s="8">
        <v>46120</v>
      </c>
      <c r="D4450" t="s">
        <v>2067</v>
      </c>
      <c r="E4450" t="s">
        <v>2076</v>
      </c>
      <c r="F4450" t="s">
        <v>39</v>
      </c>
      <c r="G4450">
        <v>2399.98</v>
      </c>
      <c r="H4450" t="s">
        <v>2060</v>
      </c>
      <c r="I4450" t="str">
        <f>VLOOKUP(B4450,Customers!A:G,7,FALSE)</f>
        <v>Individual</v>
      </c>
      <c r="Q4450" t="str">
        <f>IF(COUNTIF(Customers!$A$2:$A$1001,B4450)&gt;0,"Valid","Invalid")</f>
        <v>Valid</v>
      </c>
      <c r="R4450" t="str">
        <f>IF(COUNTIF(Branches!$A$2:$A$11,F4450)&gt;0,"Valid","Invalid")</f>
        <v>Valid</v>
      </c>
    </row>
    <row r="4451" spans="1:18" x14ac:dyDescent="0.25">
      <c r="A4451" t="s">
        <v>6522</v>
      </c>
      <c r="B4451" t="s">
        <v>945</v>
      </c>
      <c r="C4451" s="8">
        <v>46161</v>
      </c>
      <c r="D4451" t="s">
        <v>2070</v>
      </c>
      <c r="E4451" t="s">
        <v>2076</v>
      </c>
      <c r="F4451" t="s">
        <v>16</v>
      </c>
      <c r="G4451">
        <v>1884.75</v>
      </c>
      <c r="H4451" t="s">
        <v>2060</v>
      </c>
      <c r="I4451" t="str">
        <f>VLOOKUP(B4451,Customers!A:G,7,FALSE)</f>
        <v>Student</v>
      </c>
      <c r="Q4451" t="str">
        <f>IF(COUNTIF(Customers!$A$2:$A$1001,B4451)&gt;0,"Valid","Invalid")</f>
        <v>Valid</v>
      </c>
      <c r="R4451" t="str">
        <f>IF(COUNTIF(Branches!$A$2:$A$11,F4451)&gt;0,"Valid","Invalid")</f>
        <v>Valid</v>
      </c>
    </row>
    <row r="4452" spans="1:18" x14ac:dyDescent="0.25">
      <c r="A4452" t="s">
        <v>6523</v>
      </c>
      <c r="B4452" t="s">
        <v>544</v>
      </c>
      <c r="C4452" s="8">
        <v>46023</v>
      </c>
      <c r="D4452" t="s">
        <v>2065</v>
      </c>
      <c r="E4452" t="s">
        <v>2059</v>
      </c>
      <c r="F4452" t="s">
        <v>11</v>
      </c>
      <c r="G4452">
        <v>822.42</v>
      </c>
      <c r="H4452" t="s">
        <v>2060</v>
      </c>
      <c r="I4452" t="str">
        <f>VLOOKUP(B4452,Customers!A:G,7,FALSE)</f>
        <v>Student</v>
      </c>
      <c r="Q4452" t="str">
        <f>IF(COUNTIF(Customers!$A$2:$A$1001,B4452)&gt;0,"Valid","Invalid")</f>
        <v>Valid</v>
      </c>
      <c r="R4452" t="str">
        <f>IF(COUNTIF(Branches!$A$2:$A$11,F4452)&gt;0,"Valid","Invalid")</f>
        <v>Valid</v>
      </c>
    </row>
    <row r="4453" spans="1:18" x14ac:dyDescent="0.25">
      <c r="A4453" t="s">
        <v>6524</v>
      </c>
      <c r="B4453" t="s">
        <v>319</v>
      </c>
      <c r="C4453" s="8">
        <v>46035</v>
      </c>
      <c r="D4453" t="s">
        <v>2062</v>
      </c>
      <c r="E4453" t="s">
        <v>2063</v>
      </c>
      <c r="F4453" t="s">
        <v>11</v>
      </c>
      <c r="G4453">
        <v>3671.93</v>
      </c>
      <c r="H4453" t="s">
        <v>2060</v>
      </c>
      <c r="I4453" t="str">
        <f>VLOOKUP(B4453,Customers!A:G,7,FALSE)</f>
        <v>Student</v>
      </c>
      <c r="Q4453" t="str">
        <f>IF(COUNTIF(Customers!$A$2:$A$1001,B4453)&gt;0,"Valid","Invalid")</f>
        <v>Valid</v>
      </c>
      <c r="R4453" t="str">
        <f>IF(COUNTIF(Branches!$A$2:$A$11,F4453)&gt;0,"Valid","Invalid")</f>
        <v>Valid</v>
      </c>
    </row>
    <row r="4454" spans="1:18" x14ac:dyDescent="0.25">
      <c r="A4454" t="s">
        <v>6525</v>
      </c>
      <c r="B4454" t="s">
        <v>841</v>
      </c>
      <c r="C4454" s="8">
        <v>46052</v>
      </c>
      <c r="D4454" t="s">
        <v>2058</v>
      </c>
      <c r="E4454" t="s">
        <v>2063</v>
      </c>
      <c r="F4454" t="s">
        <v>53</v>
      </c>
      <c r="G4454">
        <v>269.51</v>
      </c>
      <c r="H4454" t="s">
        <v>2060</v>
      </c>
      <c r="I4454" t="str">
        <f>VLOOKUP(B4454,Customers!A:G,7,FALSE)</f>
        <v>Corporate</v>
      </c>
      <c r="Q4454" t="str">
        <f>IF(COUNTIF(Customers!$A$2:$A$1001,B4454)&gt;0,"Valid","Invalid")</f>
        <v>Valid</v>
      </c>
      <c r="R4454" t="str">
        <f>IF(COUNTIF(Branches!$A$2:$A$11,F4454)&gt;0,"Valid","Invalid")</f>
        <v>Valid</v>
      </c>
    </row>
    <row r="4455" spans="1:18" x14ac:dyDescent="0.25">
      <c r="A4455" t="s">
        <v>6526</v>
      </c>
      <c r="B4455" t="s">
        <v>713</v>
      </c>
      <c r="C4455" s="8">
        <v>46219</v>
      </c>
      <c r="D4455" t="s">
        <v>2065</v>
      </c>
      <c r="E4455" t="s">
        <v>2076</v>
      </c>
      <c r="F4455" t="s">
        <v>47</v>
      </c>
      <c r="G4455">
        <v>1724.97</v>
      </c>
      <c r="H4455" t="s">
        <v>2060</v>
      </c>
      <c r="I4455" t="str">
        <f>VLOOKUP(B4455,Customers!A:G,7,FALSE)</f>
        <v>SME</v>
      </c>
      <c r="Q4455" t="str">
        <f>IF(COUNTIF(Customers!$A$2:$A$1001,B4455)&gt;0,"Valid","Invalid")</f>
        <v>Valid</v>
      </c>
      <c r="R4455" t="str">
        <f>IF(COUNTIF(Branches!$A$2:$A$11,F4455)&gt;0,"Valid","Invalid")</f>
        <v>Valid</v>
      </c>
    </row>
    <row r="4456" spans="1:18" x14ac:dyDescent="0.25">
      <c r="A4456" t="s">
        <v>6527</v>
      </c>
      <c r="B4456" t="s">
        <v>828</v>
      </c>
      <c r="C4456" s="8">
        <v>46040</v>
      </c>
      <c r="D4456" t="s">
        <v>2058</v>
      </c>
      <c r="E4456" t="s">
        <v>2063</v>
      </c>
      <c r="F4456" t="s">
        <v>45</v>
      </c>
      <c r="G4456">
        <v>521.51</v>
      </c>
      <c r="H4456" t="s">
        <v>2060</v>
      </c>
      <c r="I4456" t="str">
        <f>VLOOKUP(B4456,Customers!A:G,7,FALSE)</f>
        <v>Individual</v>
      </c>
      <c r="Q4456" t="str">
        <f>IF(COUNTIF(Customers!$A$2:$A$1001,B4456)&gt;0,"Valid","Invalid")</f>
        <v>Valid</v>
      </c>
      <c r="R4456" t="str">
        <f>IF(COUNTIF(Branches!$A$2:$A$11,F4456)&gt;0,"Valid","Invalid")</f>
        <v>Valid</v>
      </c>
    </row>
    <row r="4457" spans="1:18" x14ac:dyDescent="0.25">
      <c r="A4457" t="s">
        <v>6528</v>
      </c>
      <c r="B4457" t="s">
        <v>971</v>
      </c>
      <c r="C4457" s="8">
        <v>46100</v>
      </c>
      <c r="D4457" t="s">
        <v>2065</v>
      </c>
      <c r="E4457" t="s">
        <v>2063</v>
      </c>
      <c r="F4457" t="s">
        <v>29</v>
      </c>
      <c r="G4457">
        <v>633.4</v>
      </c>
      <c r="H4457" t="s">
        <v>2060</v>
      </c>
      <c r="I4457" t="str">
        <f>VLOOKUP(B4457,Customers!A:G,7,FALSE)</f>
        <v>Individual</v>
      </c>
      <c r="Q4457" t="str">
        <f>IF(COUNTIF(Customers!$A$2:$A$1001,B4457)&gt;0,"Valid","Invalid")</f>
        <v>Valid</v>
      </c>
      <c r="R4457" t="str">
        <f>IF(COUNTIF(Branches!$A$2:$A$11,F4457)&gt;0,"Valid","Invalid")</f>
        <v>Valid</v>
      </c>
    </row>
    <row r="4458" spans="1:18" x14ac:dyDescent="0.25">
      <c r="A4458" t="s">
        <v>6529</v>
      </c>
      <c r="B4458" t="s">
        <v>1020</v>
      </c>
      <c r="C4458" s="8">
        <v>46163</v>
      </c>
      <c r="D4458" t="s">
        <v>2062</v>
      </c>
      <c r="E4458" t="s">
        <v>2076</v>
      </c>
      <c r="F4458" t="s">
        <v>39</v>
      </c>
      <c r="G4458">
        <v>1678.72</v>
      </c>
      <c r="H4458" t="s">
        <v>2060</v>
      </c>
      <c r="I4458" t="str">
        <f>VLOOKUP(B4458,Customers!A:G,7,FALSE)</f>
        <v>Individual</v>
      </c>
      <c r="Q4458" t="str">
        <f>IF(COUNTIF(Customers!$A$2:$A$1001,B4458)&gt;0,"Valid","Invalid")</f>
        <v>Valid</v>
      </c>
      <c r="R4458" t="str">
        <f>IF(COUNTIF(Branches!$A$2:$A$11,F4458)&gt;0,"Valid","Invalid")</f>
        <v>Valid</v>
      </c>
    </row>
    <row r="4459" spans="1:18" x14ac:dyDescent="0.25">
      <c r="A4459" t="s">
        <v>6530</v>
      </c>
      <c r="B4459" t="s">
        <v>477</v>
      </c>
      <c r="C4459" s="8">
        <v>46054</v>
      </c>
      <c r="D4459" t="s">
        <v>2067</v>
      </c>
      <c r="E4459" t="s">
        <v>2068</v>
      </c>
      <c r="F4459" t="s">
        <v>27</v>
      </c>
      <c r="G4459">
        <v>703.76</v>
      </c>
      <c r="H4459" t="s">
        <v>2060</v>
      </c>
      <c r="I4459" t="str">
        <f>VLOOKUP(B4459,Customers!A:G,7,FALSE)</f>
        <v>Individual</v>
      </c>
      <c r="Q4459" t="str">
        <f>IF(COUNTIF(Customers!$A$2:$A$1001,B4459)&gt;0,"Valid","Invalid")</f>
        <v>Valid</v>
      </c>
      <c r="R4459" t="str">
        <f>IF(COUNTIF(Branches!$A$2:$A$11,F4459)&gt;0,"Valid","Invalid")</f>
        <v>Valid</v>
      </c>
    </row>
    <row r="4460" spans="1:18" x14ac:dyDescent="0.25">
      <c r="A4460" t="s">
        <v>6531</v>
      </c>
      <c r="B4460" t="s">
        <v>753</v>
      </c>
      <c r="C4460" s="8">
        <v>46093</v>
      </c>
      <c r="D4460" t="s">
        <v>2058</v>
      </c>
      <c r="E4460" t="s">
        <v>2063</v>
      </c>
      <c r="F4460" t="s">
        <v>47</v>
      </c>
      <c r="G4460">
        <v>526</v>
      </c>
      <c r="H4460" t="s">
        <v>2060</v>
      </c>
      <c r="I4460" t="str">
        <f>VLOOKUP(B4460,Customers!A:G,7,FALSE)</f>
        <v>Individual</v>
      </c>
      <c r="Q4460" t="str">
        <f>IF(COUNTIF(Customers!$A$2:$A$1001,B4460)&gt;0,"Valid","Invalid")</f>
        <v>Valid</v>
      </c>
      <c r="R4460" t="str">
        <f>IF(COUNTIF(Branches!$A$2:$A$11,F4460)&gt;0,"Valid","Invalid")</f>
        <v>Valid</v>
      </c>
    </row>
    <row r="4461" spans="1:18" x14ac:dyDescent="0.25">
      <c r="A4461" t="s">
        <v>6532</v>
      </c>
      <c r="B4461" t="s">
        <v>646</v>
      </c>
      <c r="C4461" s="8">
        <v>46222</v>
      </c>
      <c r="D4461" t="s">
        <v>2065</v>
      </c>
      <c r="E4461" t="s">
        <v>2059</v>
      </c>
      <c r="F4461" t="s">
        <v>53</v>
      </c>
      <c r="G4461">
        <v>495.14</v>
      </c>
      <c r="H4461" t="s">
        <v>2060</v>
      </c>
      <c r="I4461" t="str">
        <f>VLOOKUP(B4461,Customers!A:G,7,FALSE)</f>
        <v>SME</v>
      </c>
      <c r="Q4461" t="str">
        <f>IF(COUNTIF(Customers!$A$2:$A$1001,B4461)&gt;0,"Valid","Invalid")</f>
        <v>Valid</v>
      </c>
      <c r="R4461" t="str">
        <f>IF(COUNTIF(Branches!$A$2:$A$11,F4461)&gt;0,"Valid","Invalid")</f>
        <v>Valid</v>
      </c>
    </row>
    <row r="4462" spans="1:18" x14ac:dyDescent="0.25">
      <c r="A4462" t="s">
        <v>6533</v>
      </c>
      <c r="B4462" t="s">
        <v>521</v>
      </c>
      <c r="C4462" s="8">
        <v>46072</v>
      </c>
      <c r="D4462" t="s">
        <v>2065</v>
      </c>
      <c r="E4462" t="s">
        <v>2073</v>
      </c>
      <c r="F4462" t="s">
        <v>45</v>
      </c>
      <c r="G4462">
        <v>111.46</v>
      </c>
      <c r="H4462" t="s">
        <v>2060</v>
      </c>
      <c r="I4462" t="str">
        <f>VLOOKUP(B4462,Customers!A:G,7,FALSE)</f>
        <v>Individual</v>
      </c>
      <c r="Q4462" t="str">
        <f>IF(COUNTIF(Customers!$A$2:$A$1001,B4462)&gt;0,"Valid","Invalid")</f>
        <v>Valid</v>
      </c>
      <c r="R4462" t="str">
        <f>IF(COUNTIF(Branches!$A$2:$A$11,F4462)&gt;0,"Valid","Invalid")</f>
        <v>Valid</v>
      </c>
    </row>
    <row r="4463" spans="1:18" x14ac:dyDescent="0.25">
      <c r="A4463" t="s">
        <v>6534</v>
      </c>
      <c r="B4463" t="s">
        <v>260</v>
      </c>
      <c r="C4463" s="8">
        <v>46221</v>
      </c>
      <c r="D4463" t="s">
        <v>2070</v>
      </c>
      <c r="E4463" t="s">
        <v>2073</v>
      </c>
      <c r="F4463" t="s">
        <v>53</v>
      </c>
      <c r="G4463">
        <v>1742.72</v>
      </c>
      <c r="H4463" t="s">
        <v>2060</v>
      </c>
      <c r="I4463" t="str">
        <f>VLOOKUP(B4463,Customers!A:G,7,FALSE)</f>
        <v>SME</v>
      </c>
      <c r="Q4463" t="str">
        <f>IF(COUNTIF(Customers!$A$2:$A$1001,B4463)&gt;0,"Valid","Invalid")</f>
        <v>Valid</v>
      </c>
      <c r="R4463" t="str">
        <f>IF(COUNTIF(Branches!$A$2:$A$11,F4463)&gt;0,"Valid","Invalid")</f>
        <v>Valid</v>
      </c>
    </row>
    <row r="4464" spans="1:18" x14ac:dyDescent="0.25">
      <c r="A4464" t="s">
        <v>6535</v>
      </c>
      <c r="B4464" t="s">
        <v>787</v>
      </c>
      <c r="C4464" s="8">
        <v>46138</v>
      </c>
      <c r="D4464" t="s">
        <v>2062</v>
      </c>
      <c r="E4464" t="s">
        <v>2063</v>
      </c>
      <c r="F4464" t="s">
        <v>29</v>
      </c>
      <c r="G4464">
        <v>296.89</v>
      </c>
      <c r="H4464" t="s">
        <v>2060</v>
      </c>
      <c r="I4464" t="str">
        <f>VLOOKUP(B4464,Customers!A:G,7,FALSE)</f>
        <v>Student</v>
      </c>
      <c r="Q4464" t="str">
        <f>IF(COUNTIF(Customers!$A$2:$A$1001,B4464)&gt;0,"Valid","Invalid")</f>
        <v>Valid</v>
      </c>
      <c r="R4464" t="str">
        <f>IF(COUNTIF(Branches!$A$2:$A$11,F4464)&gt;0,"Valid","Invalid")</f>
        <v>Valid</v>
      </c>
    </row>
    <row r="4465" spans="1:18" x14ac:dyDescent="0.25">
      <c r="A4465" t="s">
        <v>6536</v>
      </c>
      <c r="B4465" t="s">
        <v>153</v>
      </c>
      <c r="C4465" s="8">
        <v>46135</v>
      </c>
      <c r="D4465" t="s">
        <v>2070</v>
      </c>
      <c r="E4465" t="s">
        <v>2068</v>
      </c>
      <c r="F4465" t="s">
        <v>29</v>
      </c>
      <c r="G4465">
        <v>5210.3900000000003</v>
      </c>
      <c r="H4465" t="s">
        <v>2060</v>
      </c>
      <c r="I4465" t="str">
        <f>VLOOKUP(B4465,Customers!A:G,7,FALSE)</f>
        <v>Individual</v>
      </c>
      <c r="Q4465" t="str">
        <f>IF(COUNTIF(Customers!$A$2:$A$1001,B4465)&gt;0,"Valid","Invalid")</f>
        <v>Valid</v>
      </c>
      <c r="R4465" t="str">
        <f>IF(COUNTIF(Branches!$A$2:$A$11,F4465)&gt;0,"Valid","Invalid")</f>
        <v>Valid</v>
      </c>
    </row>
    <row r="4466" spans="1:18" x14ac:dyDescent="0.25">
      <c r="A4466" t="s">
        <v>6537</v>
      </c>
      <c r="B4466" t="s">
        <v>1006</v>
      </c>
      <c r="C4466" s="8">
        <v>46102</v>
      </c>
      <c r="D4466" t="s">
        <v>2067</v>
      </c>
      <c r="E4466" t="s">
        <v>2076</v>
      </c>
      <c r="F4466" t="s">
        <v>21</v>
      </c>
      <c r="G4466">
        <v>609.35</v>
      </c>
      <c r="H4466" t="s">
        <v>2060</v>
      </c>
      <c r="I4466" t="str">
        <f>VLOOKUP(B4466,Customers!A:G,7,FALSE)</f>
        <v>Individual</v>
      </c>
      <c r="Q4466" t="str">
        <f>IF(COUNTIF(Customers!$A$2:$A$1001,B4466)&gt;0,"Valid","Invalid")</f>
        <v>Valid</v>
      </c>
      <c r="R4466" t="str">
        <f>IF(COUNTIF(Branches!$A$2:$A$11,F4466)&gt;0,"Valid","Invalid")</f>
        <v>Valid</v>
      </c>
    </row>
    <row r="4467" spans="1:18" x14ac:dyDescent="0.25">
      <c r="A4467" t="s">
        <v>6538</v>
      </c>
      <c r="B4467" t="s">
        <v>229</v>
      </c>
      <c r="C4467" s="8">
        <v>46257</v>
      </c>
      <c r="D4467" t="s">
        <v>2065</v>
      </c>
      <c r="E4467" t="s">
        <v>2073</v>
      </c>
      <c r="F4467" t="s">
        <v>11</v>
      </c>
      <c r="G4467">
        <v>3009.23</v>
      </c>
      <c r="H4467" t="s">
        <v>2060</v>
      </c>
      <c r="I4467" t="str">
        <f>VLOOKUP(B4467,Customers!A:G,7,FALSE)</f>
        <v>Corporate</v>
      </c>
      <c r="Q4467" t="str">
        <f>IF(COUNTIF(Customers!$A$2:$A$1001,B4467)&gt;0,"Valid","Invalid")</f>
        <v>Valid</v>
      </c>
      <c r="R4467" t="str">
        <f>IF(COUNTIF(Branches!$A$2:$A$11,F4467)&gt;0,"Valid","Invalid")</f>
        <v>Valid</v>
      </c>
    </row>
    <row r="4468" spans="1:18" x14ac:dyDescent="0.25">
      <c r="A4468" t="s">
        <v>6539</v>
      </c>
      <c r="B4468" t="s">
        <v>826</v>
      </c>
      <c r="C4468" s="8">
        <v>46053</v>
      </c>
      <c r="D4468" t="s">
        <v>2058</v>
      </c>
      <c r="E4468" t="s">
        <v>2059</v>
      </c>
      <c r="F4468" t="s">
        <v>16</v>
      </c>
      <c r="G4468">
        <v>133.08000000000001</v>
      </c>
      <c r="H4468" t="s">
        <v>2060</v>
      </c>
      <c r="I4468" t="str">
        <f>VLOOKUP(B4468,Customers!A:G,7,FALSE)</f>
        <v>SME</v>
      </c>
      <c r="Q4468" t="str">
        <f>IF(COUNTIF(Customers!$A$2:$A$1001,B4468)&gt;0,"Valid","Invalid")</f>
        <v>Valid</v>
      </c>
      <c r="R4468" t="str">
        <f>IF(COUNTIF(Branches!$A$2:$A$11,F4468)&gt;0,"Valid","Invalid")</f>
        <v>Valid</v>
      </c>
    </row>
    <row r="4469" spans="1:18" x14ac:dyDescent="0.25">
      <c r="A4469" t="s">
        <v>6540</v>
      </c>
      <c r="B4469" t="s">
        <v>656</v>
      </c>
      <c r="C4469" s="8">
        <v>46073</v>
      </c>
      <c r="D4469" t="s">
        <v>2058</v>
      </c>
      <c r="E4469" t="s">
        <v>2068</v>
      </c>
      <c r="F4469" t="s">
        <v>39</v>
      </c>
      <c r="G4469">
        <v>1688.31</v>
      </c>
      <c r="H4469" t="s">
        <v>2060</v>
      </c>
      <c r="I4469" t="str">
        <f>VLOOKUP(B4469,Customers!A:G,7,FALSE)</f>
        <v>Individual</v>
      </c>
      <c r="Q4469" t="str">
        <f>IF(COUNTIF(Customers!$A$2:$A$1001,B4469)&gt;0,"Valid","Invalid")</f>
        <v>Valid</v>
      </c>
      <c r="R4469" t="str">
        <f>IF(COUNTIF(Branches!$A$2:$A$11,F4469)&gt;0,"Valid","Invalid")</f>
        <v>Valid</v>
      </c>
    </row>
    <row r="4470" spans="1:18" x14ac:dyDescent="0.25">
      <c r="A4470" t="s">
        <v>6541</v>
      </c>
      <c r="B4470" t="s">
        <v>1032</v>
      </c>
      <c r="C4470" s="8">
        <v>46177</v>
      </c>
      <c r="D4470" t="s">
        <v>2065</v>
      </c>
      <c r="E4470" t="s">
        <v>2068</v>
      </c>
      <c r="F4470" t="s">
        <v>53</v>
      </c>
      <c r="G4470">
        <v>2183.2199999999998</v>
      </c>
      <c r="H4470" t="s">
        <v>2060</v>
      </c>
      <c r="I4470" t="str">
        <f>VLOOKUP(B4470,Customers!A:G,7,FALSE)</f>
        <v>Individual</v>
      </c>
      <c r="Q4470" t="str">
        <f>IF(COUNTIF(Customers!$A$2:$A$1001,B4470)&gt;0,"Valid","Invalid")</f>
        <v>Valid</v>
      </c>
      <c r="R4470" t="str">
        <f>IF(COUNTIF(Branches!$A$2:$A$11,F4470)&gt;0,"Valid","Invalid")</f>
        <v>Valid</v>
      </c>
    </row>
    <row r="4471" spans="1:18" x14ac:dyDescent="0.25">
      <c r="A4471" t="s">
        <v>6542</v>
      </c>
      <c r="B4471" t="s">
        <v>554</v>
      </c>
      <c r="C4471" s="8">
        <v>46082</v>
      </c>
      <c r="D4471" t="s">
        <v>2062</v>
      </c>
      <c r="E4471" t="s">
        <v>2059</v>
      </c>
      <c r="F4471" t="s">
        <v>27</v>
      </c>
      <c r="G4471">
        <v>2991.6</v>
      </c>
      <c r="H4471" t="s">
        <v>2060</v>
      </c>
      <c r="I4471" t="str">
        <f>VLOOKUP(B4471,Customers!A:G,7,FALSE)</f>
        <v>Student</v>
      </c>
      <c r="Q4471" t="str">
        <f>IF(COUNTIF(Customers!$A$2:$A$1001,B4471)&gt;0,"Valid","Invalid")</f>
        <v>Valid</v>
      </c>
      <c r="R4471" t="str">
        <f>IF(COUNTIF(Branches!$A$2:$A$11,F4471)&gt;0,"Valid","Invalid")</f>
        <v>Valid</v>
      </c>
    </row>
    <row r="4472" spans="1:18" x14ac:dyDescent="0.25">
      <c r="A4472" t="s">
        <v>6543</v>
      </c>
      <c r="B4472" t="s">
        <v>568</v>
      </c>
      <c r="C4472" s="8">
        <v>46055</v>
      </c>
      <c r="D4472" t="s">
        <v>2067</v>
      </c>
      <c r="E4472" t="s">
        <v>2068</v>
      </c>
      <c r="F4472" t="s">
        <v>53</v>
      </c>
      <c r="G4472">
        <v>176.26</v>
      </c>
      <c r="H4472" t="s">
        <v>2060</v>
      </c>
      <c r="I4472" t="str">
        <f>VLOOKUP(B4472,Customers!A:G,7,FALSE)</f>
        <v>Individual</v>
      </c>
      <c r="Q4472" t="str">
        <f>IF(COUNTIF(Customers!$A$2:$A$1001,B4472)&gt;0,"Valid","Invalid")</f>
        <v>Valid</v>
      </c>
      <c r="R4472" t="str">
        <f>IF(COUNTIF(Branches!$A$2:$A$11,F4472)&gt;0,"Valid","Invalid")</f>
        <v>Valid</v>
      </c>
    </row>
    <row r="4473" spans="1:18" x14ac:dyDescent="0.25">
      <c r="A4473" t="s">
        <v>6544</v>
      </c>
      <c r="B4473" t="s">
        <v>345</v>
      </c>
      <c r="C4473" s="8">
        <v>46203</v>
      </c>
      <c r="D4473" t="s">
        <v>2065</v>
      </c>
      <c r="E4473" t="s">
        <v>2063</v>
      </c>
      <c r="F4473" t="s">
        <v>35</v>
      </c>
      <c r="G4473">
        <v>402.33</v>
      </c>
      <c r="H4473" t="s">
        <v>2060</v>
      </c>
      <c r="I4473" t="str">
        <f>VLOOKUP(B4473,Customers!A:G,7,FALSE)</f>
        <v>Individual</v>
      </c>
      <c r="Q4473" t="str">
        <f>IF(COUNTIF(Customers!$A$2:$A$1001,B4473)&gt;0,"Valid","Invalid")</f>
        <v>Valid</v>
      </c>
      <c r="R4473" t="str">
        <f>IF(COUNTIF(Branches!$A$2:$A$11,F4473)&gt;0,"Valid","Invalid")</f>
        <v>Valid</v>
      </c>
    </row>
    <row r="4474" spans="1:18" x14ac:dyDescent="0.25">
      <c r="A4474" t="s">
        <v>6545</v>
      </c>
      <c r="B4474" t="s">
        <v>1002</v>
      </c>
      <c r="C4474" s="8">
        <v>46149</v>
      </c>
      <c r="D4474" t="s">
        <v>2067</v>
      </c>
      <c r="E4474" t="s">
        <v>2063</v>
      </c>
      <c r="F4474" t="s">
        <v>53</v>
      </c>
      <c r="G4474">
        <v>1445.93</v>
      </c>
      <c r="H4474" t="s">
        <v>2060</v>
      </c>
      <c r="I4474" t="str">
        <f>VLOOKUP(B4474,Customers!A:G,7,FALSE)</f>
        <v>Student</v>
      </c>
      <c r="Q4474" t="str">
        <f>IF(COUNTIF(Customers!$A$2:$A$1001,B4474)&gt;0,"Valid","Invalid")</f>
        <v>Valid</v>
      </c>
      <c r="R4474" t="str">
        <f>IF(COUNTIF(Branches!$A$2:$A$11,F4474)&gt;0,"Valid","Invalid")</f>
        <v>Valid</v>
      </c>
    </row>
    <row r="4475" spans="1:18" x14ac:dyDescent="0.25">
      <c r="A4475" t="s">
        <v>6546</v>
      </c>
      <c r="B4475" t="s">
        <v>570</v>
      </c>
      <c r="C4475" s="8">
        <v>46243</v>
      </c>
      <c r="D4475" t="s">
        <v>2058</v>
      </c>
      <c r="E4475" t="s">
        <v>2059</v>
      </c>
      <c r="F4475" t="s">
        <v>29</v>
      </c>
      <c r="G4475">
        <v>942.41</v>
      </c>
      <c r="H4475" t="s">
        <v>2060</v>
      </c>
      <c r="I4475" t="str">
        <f>VLOOKUP(B4475,Customers!A:G,7,FALSE)</f>
        <v>Individual</v>
      </c>
      <c r="Q4475" t="str">
        <f>IF(COUNTIF(Customers!$A$2:$A$1001,B4475)&gt;0,"Valid","Invalid")</f>
        <v>Valid</v>
      </c>
      <c r="R4475" t="str">
        <f>IF(COUNTIF(Branches!$A$2:$A$11,F4475)&gt;0,"Valid","Invalid")</f>
        <v>Valid</v>
      </c>
    </row>
    <row r="4476" spans="1:18" x14ac:dyDescent="0.25">
      <c r="A4476" t="s">
        <v>6547</v>
      </c>
      <c r="B4476" t="s">
        <v>158</v>
      </c>
      <c r="C4476" s="8">
        <v>46222</v>
      </c>
      <c r="D4476" t="s">
        <v>2062</v>
      </c>
      <c r="E4476" t="s">
        <v>2073</v>
      </c>
      <c r="F4476" t="s">
        <v>27</v>
      </c>
      <c r="G4476">
        <v>1089.3800000000001</v>
      </c>
      <c r="H4476" t="s">
        <v>2060</v>
      </c>
      <c r="I4476" t="str">
        <f>VLOOKUP(B4476,Customers!A:G,7,FALSE)</f>
        <v>Individual</v>
      </c>
      <c r="Q4476" t="str">
        <f>IF(COUNTIF(Customers!$A$2:$A$1001,B4476)&gt;0,"Valid","Invalid")</f>
        <v>Valid</v>
      </c>
      <c r="R4476" t="str">
        <f>IF(COUNTIF(Branches!$A$2:$A$11,F4476)&gt;0,"Valid","Invalid")</f>
        <v>Valid</v>
      </c>
    </row>
    <row r="4477" spans="1:18" x14ac:dyDescent="0.25">
      <c r="A4477" t="s">
        <v>6548</v>
      </c>
      <c r="B4477" t="s">
        <v>687</v>
      </c>
      <c r="C4477" s="8">
        <v>46183</v>
      </c>
      <c r="D4477" t="s">
        <v>2058</v>
      </c>
      <c r="E4477" t="s">
        <v>2059</v>
      </c>
      <c r="F4477" t="s">
        <v>39</v>
      </c>
      <c r="G4477">
        <v>566.63</v>
      </c>
      <c r="H4477" t="s">
        <v>2060</v>
      </c>
      <c r="I4477" t="str">
        <f>VLOOKUP(B4477,Customers!A:G,7,FALSE)</f>
        <v>Individual</v>
      </c>
      <c r="Q4477" t="str">
        <f>IF(COUNTIF(Customers!$A$2:$A$1001,B4477)&gt;0,"Valid","Invalid")</f>
        <v>Valid</v>
      </c>
      <c r="R4477" t="str">
        <f>IF(COUNTIF(Branches!$A$2:$A$11,F4477)&gt;0,"Valid","Invalid")</f>
        <v>Valid</v>
      </c>
    </row>
    <row r="4478" spans="1:18" x14ac:dyDescent="0.25">
      <c r="A4478" t="s">
        <v>6549</v>
      </c>
      <c r="B4478" t="s">
        <v>630</v>
      </c>
      <c r="C4478" s="8">
        <v>46148</v>
      </c>
      <c r="D4478" t="s">
        <v>2058</v>
      </c>
      <c r="E4478" t="s">
        <v>2076</v>
      </c>
      <c r="F4478" t="s">
        <v>21</v>
      </c>
      <c r="G4478">
        <v>3830.68</v>
      </c>
      <c r="H4478" t="s">
        <v>2060</v>
      </c>
      <c r="I4478" t="str">
        <f>VLOOKUP(B4478,Customers!A:G,7,FALSE)</f>
        <v>Individual</v>
      </c>
      <c r="Q4478" t="str">
        <f>IF(COUNTIF(Customers!$A$2:$A$1001,B4478)&gt;0,"Valid","Invalid")</f>
        <v>Valid</v>
      </c>
      <c r="R4478" t="str">
        <f>IF(COUNTIF(Branches!$A$2:$A$11,F4478)&gt;0,"Valid","Invalid")</f>
        <v>Valid</v>
      </c>
    </row>
    <row r="4479" spans="1:18" x14ac:dyDescent="0.25">
      <c r="A4479" t="s">
        <v>6550</v>
      </c>
      <c r="B4479" t="s">
        <v>190</v>
      </c>
      <c r="C4479" s="8">
        <v>46063</v>
      </c>
      <c r="D4479" t="s">
        <v>2065</v>
      </c>
      <c r="E4479" t="s">
        <v>2076</v>
      </c>
      <c r="F4479" t="s">
        <v>16</v>
      </c>
      <c r="G4479">
        <v>11031.01</v>
      </c>
      <c r="H4479" t="s">
        <v>2060</v>
      </c>
      <c r="I4479" t="str">
        <f>VLOOKUP(B4479,Customers!A:G,7,FALSE)</f>
        <v>Corporate</v>
      </c>
      <c r="Q4479" t="str">
        <f>IF(COUNTIF(Customers!$A$2:$A$1001,B4479)&gt;0,"Valid","Invalid")</f>
        <v>Valid</v>
      </c>
      <c r="R4479" t="str">
        <f>IF(COUNTIF(Branches!$A$2:$A$11,F4479)&gt;0,"Valid","Invalid")</f>
        <v>Valid</v>
      </c>
    </row>
    <row r="4480" spans="1:18" x14ac:dyDescent="0.25">
      <c r="A4480" t="s">
        <v>6551</v>
      </c>
      <c r="B4480" t="s">
        <v>908</v>
      </c>
      <c r="C4480" s="8">
        <v>46041</v>
      </c>
      <c r="D4480" t="s">
        <v>2062</v>
      </c>
      <c r="E4480" t="s">
        <v>2063</v>
      </c>
      <c r="F4480" t="s">
        <v>53</v>
      </c>
      <c r="G4480">
        <v>901.43</v>
      </c>
      <c r="H4480" t="s">
        <v>2060</v>
      </c>
      <c r="I4480" t="str">
        <f>VLOOKUP(B4480,Customers!A:G,7,FALSE)</f>
        <v>Individual</v>
      </c>
      <c r="Q4480" t="str">
        <f>IF(COUNTIF(Customers!$A$2:$A$1001,B4480)&gt;0,"Valid","Invalid")</f>
        <v>Valid</v>
      </c>
      <c r="R4480" t="str">
        <f>IF(COUNTIF(Branches!$A$2:$A$11,F4480)&gt;0,"Valid","Invalid")</f>
        <v>Valid</v>
      </c>
    </row>
    <row r="4481" spans="1:18" x14ac:dyDescent="0.25">
      <c r="A4481" t="s">
        <v>6552</v>
      </c>
      <c r="B4481" t="s">
        <v>575</v>
      </c>
      <c r="C4481" s="8">
        <v>46235</v>
      </c>
      <c r="D4481" t="s">
        <v>2070</v>
      </c>
      <c r="E4481" t="s">
        <v>2059</v>
      </c>
      <c r="F4481" t="s">
        <v>11</v>
      </c>
      <c r="G4481">
        <v>1278.47</v>
      </c>
      <c r="H4481" t="s">
        <v>2060</v>
      </c>
      <c r="I4481" t="str">
        <f>VLOOKUP(B4481,Customers!A:G,7,FALSE)</f>
        <v>SME</v>
      </c>
      <c r="Q4481" t="str">
        <f>IF(COUNTIF(Customers!$A$2:$A$1001,B4481)&gt;0,"Valid","Invalid")</f>
        <v>Valid</v>
      </c>
      <c r="R4481" t="str">
        <f>IF(COUNTIF(Branches!$A$2:$A$11,F4481)&gt;0,"Valid","Invalid")</f>
        <v>Valid</v>
      </c>
    </row>
    <row r="4482" spans="1:18" x14ac:dyDescent="0.25">
      <c r="A4482" t="s">
        <v>6553</v>
      </c>
      <c r="B4482" t="s">
        <v>490</v>
      </c>
      <c r="C4482" s="8">
        <v>46063</v>
      </c>
      <c r="D4482" t="s">
        <v>2058</v>
      </c>
      <c r="E4482" t="s">
        <v>2076</v>
      </c>
      <c r="F4482" t="s">
        <v>53</v>
      </c>
      <c r="G4482">
        <v>859.41</v>
      </c>
      <c r="H4482" t="s">
        <v>2060</v>
      </c>
      <c r="I4482" t="str">
        <f>VLOOKUP(B4482,Customers!A:G,7,FALSE)</f>
        <v>Individual</v>
      </c>
      <c r="Q4482" t="str">
        <f>IF(COUNTIF(Customers!$A$2:$A$1001,B4482)&gt;0,"Valid","Invalid")</f>
        <v>Valid</v>
      </c>
      <c r="R4482" t="str">
        <f>IF(COUNTIF(Branches!$A$2:$A$11,F4482)&gt;0,"Valid","Invalid")</f>
        <v>Valid</v>
      </c>
    </row>
    <row r="4483" spans="1:18" x14ac:dyDescent="0.25">
      <c r="A4483" t="s">
        <v>6554</v>
      </c>
      <c r="B4483" t="s">
        <v>205</v>
      </c>
      <c r="C4483" s="8">
        <v>46107</v>
      </c>
      <c r="D4483" t="s">
        <v>2065</v>
      </c>
      <c r="E4483" t="s">
        <v>2073</v>
      </c>
      <c r="F4483" t="s">
        <v>35</v>
      </c>
      <c r="G4483">
        <v>2933.8</v>
      </c>
      <c r="H4483" t="s">
        <v>2060</v>
      </c>
      <c r="I4483" t="str">
        <f>VLOOKUP(B4483,Customers!A:G,7,FALSE)</f>
        <v>SME</v>
      </c>
      <c r="Q4483" t="str">
        <f>IF(COUNTIF(Customers!$A$2:$A$1001,B4483)&gt;0,"Valid","Invalid")</f>
        <v>Valid</v>
      </c>
      <c r="R4483" t="str">
        <f>IF(COUNTIF(Branches!$A$2:$A$11,F4483)&gt;0,"Valid","Invalid")</f>
        <v>Valid</v>
      </c>
    </row>
    <row r="4484" spans="1:18" x14ac:dyDescent="0.25">
      <c r="A4484" t="s">
        <v>6555</v>
      </c>
      <c r="B4484" t="s">
        <v>95</v>
      </c>
      <c r="C4484" s="8">
        <v>46111</v>
      </c>
      <c r="D4484" t="s">
        <v>2058</v>
      </c>
      <c r="E4484" t="s">
        <v>2063</v>
      </c>
      <c r="F4484" t="s">
        <v>16</v>
      </c>
      <c r="G4484">
        <v>1861.46</v>
      </c>
      <c r="H4484" t="s">
        <v>2060</v>
      </c>
      <c r="I4484" t="str">
        <f>VLOOKUP(B4484,Customers!A:G,7,FALSE)</f>
        <v>SME</v>
      </c>
      <c r="Q4484" t="str">
        <f>IF(COUNTIF(Customers!$A$2:$A$1001,B4484)&gt;0,"Valid","Invalid")</f>
        <v>Valid</v>
      </c>
      <c r="R4484" t="str">
        <f>IF(COUNTIF(Branches!$A$2:$A$11,F4484)&gt;0,"Valid","Invalid")</f>
        <v>Valid</v>
      </c>
    </row>
    <row r="4485" spans="1:18" x14ac:dyDescent="0.25">
      <c r="A4485" t="s">
        <v>6556</v>
      </c>
      <c r="B4485" t="s">
        <v>339</v>
      </c>
      <c r="C4485" s="8">
        <v>46064</v>
      </c>
      <c r="D4485" t="s">
        <v>2058</v>
      </c>
      <c r="E4485" t="s">
        <v>2059</v>
      </c>
      <c r="F4485" t="s">
        <v>16</v>
      </c>
      <c r="G4485">
        <v>279.67</v>
      </c>
      <c r="H4485" t="s">
        <v>2107</v>
      </c>
      <c r="I4485" t="str">
        <f>VLOOKUP(B4485,Customers!A:G,7,FALSE)</f>
        <v>SME</v>
      </c>
      <c r="Q4485" t="str">
        <f>IF(COUNTIF(Customers!$A$2:$A$1001,B4485)&gt;0,"Valid","Invalid")</f>
        <v>Valid</v>
      </c>
      <c r="R4485" t="str">
        <f>IF(COUNTIF(Branches!$A$2:$A$11,F4485)&gt;0,"Valid","Invalid")</f>
        <v>Valid</v>
      </c>
    </row>
    <row r="4486" spans="1:18" x14ac:dyDescent="0.25">
      <c r="A4486" t="s">
        <v>6557</v>
      </c>
      <c r="B4486" t="s">
        <v>591</v>
      </c>
      <c r="C4486" s="8">
        <v>46142</v>
      </c>
      <c r="D4486" t="s">
        <v>2070</v>
      </c>
      <c r="E4486" t="s">
        <v>2063</v>
      </c>
      <c r="F4486" t="s">
        <v>47</v>
      </c>
      <c r="G4486">
        <v>440.23</v>
      </c>
      <c r="H4486" t="s">
        <v>2060</v>
      </c>
      <c r="I4486" t="str">
        <f>VLOOKUP(B4486,Customers!A:G,7,FALSE)</f>
        <v>Individual</v>
      </c>
      <c r="Q4486" t="str">
        <f>IF(COUNTIF(Customers!$A$2:$A$1001,B4486)&gt;0,"Valid","Invalid")</f>
        <v>Valid</v>
      </c>
      <c r="R4486" t="str">
        <f>IF(COUNTIF(Branches!$A$2:$A$11,F4486)&gt;0,"Valid","Invalid")</f>
        <v>Valid</v>
      </c>
    </row>
    <row r="4487" spans="1:18" x14ac:dyDescent="0.25">
      <c r="A4487" t="s">
        <v>6558</v>
      </c>
      <c r="B4487" t="s">
        <v>588</v>
      </c>
      <c r="C4487" s="8">
        <v>46045</v>
      </c>
      <c r="D4487" t="s">
        <v>2070</v>
      </c>
      <c r="E4487" t="s">
        <v>2063</v>
      </c>
      <c r="F4487" t="s">
        <v>53</v>
      </c>
      <c r="G4487">
        <v>296.10000000000002</v>
      </c>
      <c r="H4487" t="s">
        <v>2060</v>
      </c>
      <c r="I4487" t="str">
        <f>VLOOKUP(B4487,Customers!A:G,7,FALSE)</f>
        <v>Individual</v>
      </c>
      <c r="Q4487" t="str">
        <f>IF(COUNTIF(Customers!$A$2:$A$1001,B4487)&gt;0,"Valid","Invalid")</f>
        <v>Valid</v>
      </c>
      <c r="R4487" t="str">
        <f>IF(COUNTIF(Branches!$A$2:$A$11,F4487)&gt;0,"Valid","Invalid")</f>
        <v>Valid</v>
      </c>
    </row>
    <row r="4488" spans="1:18" x14ac:dyDescent="0.25">
      <c r="A4488" t="s">
        <v>6559</v>
      </c>
      <c r="B4488" t="s">
        <v>153</v>
      </c>
      <c r="C4488" s="8">
        <v>46225</v>
      </c>
      <c r="D4488" t="s">
        <v>2062</v>
      </c>
      <c r="E4488" t="s">
        <v>2059</v>
      </c>
      <c r="F4488" t="s">
        <v>47</v>
      </c>
      <c r="G4488">
        <v>12025.95</v>
      </c>
      <c r="H4488" t="s">
        <v>2060</v>
      </c>
      <c r="I4488" t="str">
        <f>VLOOKUP(B4488,Customers!A:G,7,FALSE)</f>
        <v>Individual</v>
      </c>
      <c r="Q4488" t="str">
        <f>IF(COUNTIF(Customers!$A$2:$A$1001,B4488)&gt;0,"Valid","Invalid")</f>
        <v>Valid</v>
      </c>
      <c r="R4488" t="str">
        <f>IF(COUNTIF(Branches!$A$2:$A$11,F4488)&gt;0,"Valid","Invalid")</f>
        <v>Valid</v>
      </c>
    </row>
    <row r="4489" spans="1:18" x14ac:dyDescent="0.25">
      <c r="A4489" t="s">
        <v>6560</v>
      </c>
      <c r="B4489" t="s">
        <v>825</v>
      </c>
      <c r="C4489" s="8">
        <v>46055</v>
      </c>
      <c r="D4489" t="s">
        <v>2065</v>
      </c>
      <c r="E4489" t="s">
        <v>2059</v>
      </c>
      <c r="F4489" t="s">
        <v>11</v>
      </c>
      <c r="G4489">
        <v>1533.51</v>
      </c>
      <c r="H4489" t="s">
        <v>2060</v>
      </c>
      <c r="I4489" t="str">
        <f>VLOOKUP(B4489,Customers!A:G,7,FALSE)</f>
        <v>SME</v>
      </c>
      <c r="Q4489" t="str">
        <f>IF(COUNTIF(Customers!$A$2:$A$1001,B4489)&gt;0,"Valid","Invalid")</f>
        <v>Valid</v>
      </c>
      <c r="R4489" t="str">
        <f>IF(COUNTIF(Branches!$A$2:$A$11,F4489)&gt;0,"Valid","Invalid")</f>
        <v>Valid</v>
      </c>
    </row>
    <row r="4490" spans="1:18" x14ac:dyDescent="0.25">
      <c r="A4490" t="s">
        <v>6561</v>
      </c>
      <c r="B4490" t="s">
        <v>820</v>
      </c>
      <c r="C4490" s="8">
        <v>46042</v>
      </c>
      <c r="D4490" t="s">
        <v>2070</v>
      </c>
      <c r="E4490" t="s">
        <v>2063</v>
      </c>
      <c r="F4490" t="s">
        <v>29</v>
      </c>
      <c r="G4490">
        <v>447.79</v>
      </c>
      <c r="H4490" t="s">
        <v>2060</v>
      </c>
      <c r="I4490" t="str">
        <f>VLOOKUP(B4490,Customers!A:G,7,FALSE)</f>
        <v>Individual</v>
      </c>
      <c r="Q4490" t="str">
        <f>IF(COUNTIF(Customers!$A$2:$A$1001,B4490)&gt;0,"Valid","Invalid")</f>
        <v>Valid</v>
      </c>
      <c r="R4490" t="str">
        <f>IF(COUNTIF(Branches!$A$2:$A$11,F4490)&gt;0,"Valid","Invalid")</f>
        <v>Valid</v>
      </c>
    </row>
    <row r="4491" spans="1:18" x14ac:dyDescent="0.25">
      <c r="A4491" t="s">
        <v>6562</v>
      </c>
      <c r="B4491" t="s">
        <v>163</v>
      </c>
      <c r="C4491" s="8">
        <v>46175</v>
      </c>
      <c r="D4491" t="s">
        <v>2058</v>
      </c>
      <c r="E4491" t="s">
        <v>2063</v>
      </c>
      <c r="F4491" t="s">
        <v>47</v>
      </c>
      <c r="G4491">
        <v>413.41</v>
      </c>
      <c r="H4491" t="s">
        <v>2060</v>
      </c>
      <c r="I4491" t="str">
        <f>VLOOKUP(B4491,Customers!A:G,7,FALSE)</f>
        <v>Individual</v>
      </c>
      <c r="Q4491" t="str">
        <f>IF(COUNTIF(Customers!$A$2:$A$1001,B4491)&gt;0,"Valid","Invalid")</f>
        <v>Valid</v>
      </c>
      <c r="R4491" t="str">
        <f>IF(COUNTIF(Branches!$A$2:$A$11,F4491)&gt;0,"Valid","Invalid")</f>
        <v>Valid</v>
      </c>
    </row>
    <row r="4492" spans="1:18" x14ac:dyDescent="0.25">
      <c r="A4492" t="s">
        <v>6563</v>
      </c>
      <c r="B4492" t="s">
        <v>443</v>
      </c>
      <c r="C4492" s="8">
        <v>46112</v>
      </c>
      <c r="D4492" t="s">
        <v>2062</v>
      </c>
      <c r="E4492" t="s">
        <v>2068</v>
      </c>
      <c r="F4492" t="s">
        <v>11</v>
      </c>
      <c r="G4492">
        <v>1817.53</v>
      </c>
      <c r="H4492" t="s">
        <v>2060</v>
      </c>
      <c r="I4492" t="str">
        <f>VLOOKUP(B4492,Customers!A:G,7,FALSE)</f>
        <v>Individual</v>
      </c>
      <c r="Q4492" t="str">
        <f>IF(COUNTIF(Customers!$A$2:$A$1001,B4492)&gt;0,"Valid","Invalid")</f>
        <v>Valid</v>
      </c>
      <c r="R4492" t="str">
        <f>IF(COUNTIF(Branches!$A$2:$A$11,F4492)&gt;0,"Valid","Invalid")</f>
        <v>Valid</v>
      </c>
    </row>
    <row r="4493" spans="1:18" x14ac:dyDescent="0.25">
      <c r="A4493" t="s">
        <v>6564</v>
      </c>
      <c r="B4493" t="s">
        <v>437</v>
      </c>
      <c r="C4493" s="8">
        <v>46126</v>
      </c>
      <c r="D4493" t="s">
        <v>2067</v>
      </c>
      <c r="E4493" t="s">
        <v>2073</v>
      </c>
      <c r="F4493" t="s">
        <v>11</v>
      </c>
      <c r="G4493">
        <v>2008.05</v>
      </c>
      <c r="H4493" t="s">
        <v>2060</v>
      </c>
      <c r="I4493" t="str">
        <f>VLOOKUP(B4493,Customers!A:G,7,FALSE)</f>
        <v>Individual</v>
      </c>
      <c r="Q4493" t="str">
        <f>IF(COUNTIF(Customers!$A$2:$A$1001,B4493)&gt;0,"Valid","Invalid")</f>
        <v>Valid</v>
      </c>
      <c r="R4493" t="str">
        <f>IF(COUNTIF(Branches!$A$2:$A$11,F4493)&gt;0,"Valid","Invalid")</f>
        <v>Valid</v>
      </c>
    </row>
    <row r="4494" spans="1:18" x14ac:dyDescent="0.25">
      <c r="A4494" t="s">
        <v>6565</v>
      </c>
      <c r="B4494" t="s">
        <v>553</v>
      </c>
      <c r="C4494" s="8">
        <v>46202</v>
      </c>
      <c r="D4494" t="s">
        <v>2067</v>
      </c>
      <c r="E4494" t="s">
        <v>2063</v>
      </c>
      <c r="F4494" t="s">
        <v>47</v>
      </c>
      <c r="G4494">
        <v>1804.62</v>
      </c>
      <c r="H4494" t="s">
        <v>2060</v>
      </c>
      <c r="I4494" t="str">
        <f>VLOOKUP(B4494,Customers!A:G,7,FALSE)</f>
        <v>SME</v>
      </c>
      <c r="Q4494" t="str">
        <f>IF(COUNTIF(Customers!$A$2:$A$1001,B4494)&gt;0,"Valid","Invalid")</f>
        <v>Valid</v>
      </c>
      <c r="R4494" t="str">
        <f>IF(COUNTIF(Branches!$A$2:$A$11,F4494)&gt;0,"Valid","Invalid")</f>
        <v>Valid</v>
      </c>
    </row>
    <row r="4495" spans="1:18" x14ac:dyDescent="0.25">
      <c r="A4495" t="s">
        <v>6566</v>
      </c>
      <c r="B4495" t="s">
        <v>843</v>
      </c>
      <c r="C4495" s="8">
        <v>46034</v>
      </c>
      <c r="D4495" t="s">
        <v>2067</v>
      </c>
      <c r="E4495" t="s">
        <v>2076</v>
      </c>
      <c r="F4495" t="s">
        <v>47</v>
      </c>
      <c r="G4495">
        <v>530.83000000000004</v>
      </c>
      <c r="H4495" t="s">
        <v>2060</v>
      </c>
      <c r="I4495" t="str">
        <f>VLOOKUP(B4495,Customers!A:G,7,FALSE)</f>
        <v>Individual</v>
      </c>
      <c r="Q4495" t="str">
        <f>IF(COUNTIF(Customers!$A$2:$A$1001,B4495)&gt;0,"Valid","Invalid")</f>
        <v>Valid</v>
      </c>
      <c r="R4495" t="str">
        <f>IF(COUNTIF(Branches!$A$2:$A$11,F4495)&gt;0,"Valid","Invalid")</f>
        <v>Valid</v>
      </c>
    </row>
    <row r="4496" spans="1:18" x14ac:dyDescent="0.25">
      <c r="A4496" t="s">
        <v>6567</v>
      </c>
      <c r="B4496" t="s">
        <v>923</v>
      </c>
      <c r="C4496" s="8">
        <v>46182</v>
      </c>
      <c r="D4496" t="s">
        <v>2065</v>
      </c>
      <c r="E4496" t="s">
        <v>2063</v>
      </c>
      <c r="F4496" t="s">
        <v>21</v>
      </c>
      <c r="G4496">
        <v>1103.06</v>
      </c>
      <c r="H4496" t="s">
        <v>2060</v>
      </c>
      <c r="I4496" t="str">
        <f>VLOOKUP(B4496,Customers!A:G,7,FALSE)</f>
        <v>Individual</v>
      </c>
      <c r="Q4496" t="str">
        <f>IF(COUNTIF(Customers!$A$2:$A$1001,B4496)&gt;0,"Valid","Invalid")</f>
        <v>Valid</v>
      </c>
      <c r="R4496" t="str">
        <f>IF(COUNTIF(Branches!$A$2:$A$11,F4496)&gt;0,"Valid","Invalid")</f>
        <v>Valid</v>
      </c>
    </row>
    <row r="4497" spans="1:18" x14ac:dyDescent="0.25">
      <c r="A4497" t="s">
        <v>6568</v>
      </c>
      <c r="B4497" t="s">
        <v>536</v>
      </c>
      <c r="C4497" s="8">
        <v>46183</v>
      </c>
      <c r="D4497" t="s">
        <v>2067</v>
      </c>
      <c r="E4497" t="s">
        <v>2073</v>
      </c>
      <c r="F4497" t="s">
        <v>11</v>
      </c>
      <c r="G4497">
        <v>907.7</v>
      </c>
      <c r="H4497" t="s">
        <v>2060</v>
      </c>
      <c r="I4497" t="str">
        <f>VLOOKUP(B4497,Customers!A:G,7,FALSE)</f>
        <v>Individual</v>
      </c>
      <c r="Q4497" t="str">
        <f>IF(COUNTIF(Customers!$A$2:$A$1001,B4497)&gt;0,"Valid","Invalid")</f>
        <v>Valid</v>
      </c>
      <c r="R4497" t="str">
        <f>IF(COUNTIF(Branches!$A$2:$A$11,F4497)&gt;0,"Valid","Invalid")</f>
        <v>Valid</v>
      </c>
    </row>
    <row r="4498" spans="1:18" x14ac:dyDescent="0.25">
      <c r="A4498" t="s">
        <v>6569</v>
      </c>
      <c r="B4498" t="s">
        <v>980</v>
      </c>
      <c r="C4498" s="8">
        <v>46224</v>
      </c>
      <c r="D4498" t="s">
        <v>2062</v>
      </c>
      <c r="E4498" t="s">
        <v>2076</v>
      </c>
      <c r="F4498" t="s">
        <v>39</v>
      </c>
      <c r="G4498">
        <v>318.54000000000002</v>
      </c>
      <c r="H4498" t="s">
        <v>2060</v>
      </c>
      <c r="I4498" t="str">
        <f>VLOOKUP(B4498,Customers!A:G,7,FALSE)</f>
        <v>Individual</v>
      </c>
      <c r="Q4498" t="str">
        <f>IF(COUNTIF(Customers!$A$2:$A$1001,B4498)&gt;0,"Valid","Invalid")</f>
        <v>Valid</v>
      </c>
      <c r="R4498" t="str">
        <f>IF(COUNTIF(Branches!$A$2:$A$11,F4498)&gt;0,"Valid","Invalid")</f>
        <v>Valid</v>
      </c>
    </row>
    <row r="4499" spans="1:18" x14ac:dyDescent="0.25">
      <c r="A4499" t="s">
        <v>6570</v>
      </c>
      <c r="B4499" t="s">
        <v>566</v>
      </c>
      <c r="C4499" s="8">
        <v>46218</v>
      </c>
      <c r="D4499" t="s">
        <v>2065</v>
      </c>
      <c r="E4499" t="s">
        <v>2068</v>
      </c>
      <c r="F4499" t="s">
        <v>11</v>
      </c>
      <c r="G4499">
        <v>321.66000000000003</v>
      </c>
      <c r="H4499" t="s">
        <v>2060</v>
      </c>
      <c r="I4499" t="str">
        <f>VLOOKUP(B4499,Customers!A:G,7,FALSE)</f>
        <v>Individual</v>
      </c>
      <c r="Q4499" t="str">
        <f>IF(COUNTIF(Customers!$A$2:$A$1001,B4499)&gt;0,"Valid","Invalid")</f>
        <v>Valid</v>
      </c>
      <c r="R4499" t="str">
        <f>IF(COUNTIF(Branches!$A$2:$A$11,F4499)&gt;0,"Valid","Invalid")</f>
        <v>Valid</v>
      </c>
    </row>
    <row r="4500" spans="1:18" x14ac:dyDescent="0.25">
      <c r="A4500" t="s">
        <v>6571</v>
      </c>
      <c r="B4500" t="s">
        <v>436</v>
      </c>
      <c r="C4500" s="8">
        <v>46165</v>
      </c>
      <c r="D4500" t="s">
        <v>2065</v>
      </c>
      <c r="E4500" t="s">
        <v>2063</v>
      </c>
      <c r="F4500" t="s">
        <v>45</v>
      </c>
      <c r="G4500">
        <v>1226.56</v>
      </c>
      <c r="H4500" t="s">
        <v>2060</v>
      </c>
      <c r="I4500" t="str">
        <f>VLOOKUP(B4500,Customers!A:G,7,FALSE)</f>
        <v>Individual</v>
      </c>
      <c r="Q4500" t="str">
        <f>IF(COUNTIF(Customers!$A$2:$A$1001,B4500)&gt;0,"Valid","Invalid")</f>
        <v>Valid</v>
      </c>
      <c r="R4500" t="str">
        <f>IF(COUNTIF(Branches!$A$2:$A$11,F4500)&gt;0,"Valid","Invalid")</f>
        <v>Valid</v>
      </c>
    </row>
    <row r="4501" spans="1:18" x14ac:dyDescent="0.25">
      <c r="A4501" t="s">
        <v>6572</v>
      </c>
      <c r="B4501" t="s">
        <v>303</v>
      </c>
      <c r="C4501" s="8">
        <v>46073</v>
      </c>
      <c r="D4501" t="s">
        <v>2065</v>
      </c>
      <c r="E4501" t="s">
        <v>2076</v>
      </c>
      <c r="F4501" t="s">
        <v>47</v>
      </c>
      <c r="G4501">
        <v>988.76</v>
      </c>
      <c r="H4501" t="s">
        <v>2060</v>
      </c>
      <c r="I4501" t="str">
        <f>VLOOKUP(B4501,Customers!A:G,7,FALSE)</f>
        <v>SME</v>
      </c>
      <c r="Q4501" t="str">
        <f>IF(COUNTIF(Customers!$A$2:$A$1001,B4501)&gt;0,"Valid","Invalid")</f>
        <v>Valid</v>
      </c>
      <c r="R4501" t="str">
        <f>IF(COUNTIF(Branches!$A$2:$A$11,F4501)&gt;0,"Valid","Invalid")</f>
        <v>Valid</v>
      </c>
    </row>
    <row r="4502" spans="1:18" x14ac:dyDescent="0.25">
      <c r="A4502" t="s">
        <v>6573</v>
      </c>
      <c r="B4502" t="s">
        <v>789</v>
      </c>
      <c r="C4502" s="8">
        <v>46028</v>
      </c>
      <c r="D4502" t="s">
        <v>2067</v>
      </c>
      <c r="E4502" t="s">
        <v>2059</v>
      </c>
      <c r="F4502" t="s">
        <v>29</v>
      </c>
      <c r="G4502">
        <v>1412.83</v>
      </c>
      <c r="H4502" t="s">
        <v>2060</v>
      </c>
      <c r="I4502" t="str">
        <f>VLOOKUP(B4502,Customers!A:G,7,FALSE)</f>
        <v>Corporate</v>
      </c>
      <c r="Q4502" t="str">
        <f>IF(COUNTIF(Customers!$A$2:$A$1001,B4502)&gt;0,"Valid","Invalid")</f>
        <v>Valid</v>
      </c>
      <c r="R4502" t="str">
        <f>IF(COUNTIF(Branches!$A$2:$A$11,F4502)&gt;0,"Valid","Invalid")</f>
        <v>Valid</v>
      </c>
    </row>
    <row r="4503" spans="1:18" x14ac:dyDescent="0.25">
      <c r="A4503" t="s">
        <v>6574</v>
      </c>
      <c r="B4503" t="s">
        <v>301</v>
      </c>
      <c r="C4503" s="8">
        <v>46113</v>
      </c>
      <c r="D4503" t="s">
        <v>2070</v>
      </c>
      <c r="E4503" t="s">
        <v>2063</v>
      </c>
      <c r="F4503" t="s">
        <v>39</v>
      </c>
      <c r="G4503">
        <v>1791.88</v>
      </c>
      <c r="H4503" t="s">
        <v>2060</v>
      </c>
      <c r="I4503" t="str">
        <f>VLOOKUP(B4503,Customers!A:G,7,FALSE)</f>
        <v>Individual</v>
      </c>
      <c r="Q4503" t="str">
        <f>IF(COUNTIF(Customers!$A$2:$A$1001,B4503)&gt;0,"Valid","Invalid")</f>
        <v>Valid</v>
      </c>
      <c r="R4503" t="str">
        <f>IF(COUNTIF(Branches!$A$2:$A$11,F4503)&gt;0,"Valid","Invalid")</f>
        <v>Valid</v>
      </c>
    </row>
    <row r="4504" spans="1:18" x14ac:dyDescent="0.25">
      <c r="A4504" t="s">
        <v>6575</v>
      </c>
      <c r="B4504" t="s">
        <v>436</v>
      </c>
      <c r="C4504" s="8">
        <v>46219</v>
      </c>
      <c r="D4504" t="s">
        <v>2065</v>
      </c>
      <c r="E4504" t="s">
        <v>2063</v>
      </c>
      <c r="F4504" t="s">
        <v>35</v>
      </c>
      <c r="G4504">
        <v>3638.7</v>
      </c>
      <c r="H4504" t="s">
        <v>2060</v>
      </c>
      <c r="I4504" t="str">
        <f>VLOOKUP(B4504,Customers!A:G,7,FALSE)</f>
        <v>Individual</v>
      </c>
      <c r="Q4504" t="str">
        <f>IF(COUNTIF(Customers!$A$2:$A$1001,B4504)&gt;0,"Valid","Invalid")</f>
        <v>Valid</v>
      </c>
      <c r="R4504" t="str">
        <f>IF(COUNTIF(Branches!$A$2:$A$11,F4504)&gt;0,"Valid","Invalid")</f>
        <v>Valid</v>
      </c>
    </row>
    <row r="4505" spans="1:18" x14ac:dyDescent="0.25">
      <c r="A4505" t="s">
        <v>6576</v>
      </c>
      <c r="B4505" t="s">
        <v>684</v>
      </c>
      <c r="C4505" s="8">
        <v>46091</v>
      </c>
      <c r="D4505" t="s">
        <v>2065</v>
      </c>
      <c r="E4505" t="s">
        <v>2059</v>
      </c>
      <c r="F4505" t="s">
        <v>29</v>
      </c>
      <c r="G4505">
        <v>373.94</v>
      </c>
      <c r="H4505" t="s">
        <v>2060</v>
      </c>
      <c r="I4505" t="str">
        <f>VLOOKUP(B4505,Customers!A:G,7,FALSE)</f>
        <v>Student</v>
      </c>
      <c r="Q4505" t="str">
        <f>IF(COUNTIF(Customers!$A$2:$A$1001,B4505)&gt;0,"Valid","Invalid")</f>
        <v>Valid</v>
      </c>
      <c r="R4505" t="str">
        <f>IF(COUNTIF(Branches!$A$2:$A$11,F4505)&gt;0,"Valid","Invalid")</f>
        <v>Valid</v>
      </c>
    </row>
    <row r="4506" spans="1:18" x14ac:dyDescent="0.25">
      <c r="A4506" t="s">
        <v>6577</v>
      </c>
      <c r="B4506" t="s">
        <v>763</v>
      </c>
      <c r="C4506" s="8">
        <v>46232</v>
      </c>
      <c r="D4506" t="s">
        <v>2062</v>
      </c>
      <c r="E4506" t="s">
        <v>2076</v>
      </c>
      <c r="F4506" t="s">
        <v>29</v>
      </c>
      <c r="G4506">
        <v>1525.74</v>
      </c>
      <c r="H4506" t="s">
        <v>2060</v>
      </c>
      <c r="I4506" t="str">
        <f>VLOOKUP(B4506,Customers!A:G,7,FALSE)</f>
        <v>SME</v>
      </c>
      <c r="Q4506" t="str">
        <f>IF(COUNTIF(Customers!$A$2:$A$1001,B4506)&gt;0,"Valid","Invalid")</f>
        <v>Valid</v>
      </c>
      <c r="R4506" t="str">
        <f>IF(COUNTIF(Branches!$A$2:$A$11,F4506)&gt;0,"Valid","Invalid")</f>
        <v>Valid</v>
      </c>
    </row>
    <row r="4507" spans="1:18" x14ac:dyDescent="0.25">
      <c r="A4507" t="s">
        <v>6578</v>
      </c>
      <c r="B4507" t="s">
        <v>565</v>
      </c>
      <c r="C4507" s="8">
        <v>46242</v>
      </c>
      <c r="D4507" t="s">
        <v>2062</v>
      </c>
      <c r="E4507" t="s">
        <v>2063</v>
      </c>
      <c r="F4507" t="s">
        <v>16</v>
      </c>
      <c r="G4507">
        <v>1718.49</v>
      </c>
      <c r="H4507" t="s">
        <v>2115</v>
      </c>
      <c r="I4507" t="str">
        <f>VLOOKUP(B4507,Customers!A:G,7,FALSE)</f>
        <v>SME</v>
      </c>
      <c r="Q4507" t="str">
        <f>IF(COUNTIF(Customers!$A$2:$A$1001,B4507)&gt;0,"Valid","Invalid")</f>
        <v>Valid</v>
      </c>
      <c r="R4507" t="str">
        <f>IF(COUNTIF(Branches!$A$2:$A$11,F4507)&gt;0,"Valid","Invalid")</f>
        <v>Valid</v>
      </c>
    </row>
    <row r="4508" spans="1:18" x14ac:dyDescent="0.25">
      <c r="A4508" t="s">
        <v>6579</v>
      </c>
      <c r="B4508" t="s">
        <v>474</v>
      </c>
      <c r="C4508" s="8">
        <v>46185</v>
      </c>
      <c r="D4508" t="s">
        <v>2065</v>
      </c>
      <c r="E4508" t="s">
        <v>2059</v>
      </c>
      <c r="F4508" t="s">
        <v>29</v>
      </c>
      <c r="G4508">
        <v>594.59</v>
      </c>
      <c r="H4508" t="s">
        <v>2060</v>
      </c>
      <c r="I4508" t="str">
        <f>VLOOKUP(B4508,Customers!A:G,7,FALSE)</f>
        <v>Student</v>
      </c>
      <c r="Q4508" t="str">
        <f>IF(COUNTIF(Customers!$A$2:$A$1001,B4508)&gt;0,"Valid","Invalid")</f>
        <v>Valid</v>
      </c>
      <c r="R4508" t="str">
        <f>IF(COUNTIF(Branches!$A$2:$A$11,F4508)&gt;0,"Valid","Invalid")</f>
        <v>Valid</v>
      </c>
    </row>
    <row r="4509" spans="1:18" x14ac:dyDescent="0.25">
      <c r="A4509" t="s">
        <v>6580</v>
      </c>
      <c r="B4509" t="s">
        <v>878</v>
      </c>
      <c r="C4509" s="8">
        <v>46145</v>
      </c>
      <c r="D4509" t="s">
        <v>2062</v>
      </c>
      <c r="E4509" t="s">
        <v>2063</v>
      </c>
      <c r="F4509" t="s">
        <v>47</v>
      </c>
      <c r="G4509">
        <v>917.69</v>
      </c>
      <c r="H4509" t="s">
        <v>2060</v>
      </c>
      <c r="I4509" t="str">
        <f>VLOOKUP(B4509,Customers!A:G,7,FALSE)</f>
        <v>Individual</v>
      </c>
      <c r="Q4509" t="str">
        <f>IF(COUNTIF(Customers!$A$2:$A$1001,B4509)&gt;0,"Valid","Invalid")</f>
        <v>Valid</v>
      </c>
      <c r="R4509" t="str">
        <f>IF(COUNTIF(Branches!$A$2:$A$11,F4509)&gt;0,"Valid","Invalid")</f>
        <v>Valid</v>
      </c>
    </row>
    <row r="4510" spans="1:18" x14ac:dyDescent="0.25">
      <c r="A4510" t="s">
        <v>6581</v>
      </c>
      <c r="B4510" t="s">
        <v>968</v>
      </c>
      <c r="C4510" s="8">
        <v>46236</v>
      </c>
      <c r="D4510" t="s">
        <v>2058</v>
      </c>
      <c r="E4510" t="s">
        <v>2063</v>
      </c>
      <c r="F4510" t="s">
        <v>35</v>
      </c>
      <c r="G4510">
        <v>609.99</v>
      </c>
      <c r="H4510" t="s">
        <v>2060</v>
      </c>
      <c r="I4510" t="str">
        <f>VLOOKUP(B4510,Customers!A:G,7,FALSE)</f>
        <v>SME</v>
      </c>
      <c r="Q4510" t="str">
        <f>IF(COUNTIF(Customers!$A$2:$A$1001,B4510)&gt;0,"Valid","Invalid")</f>
        <v>Valid</v>
      </c>
      <c r="R4510" t="str">
        <f>IF(COUNTIF(Branches!$A$2:$A$11,F4510)&gt;0,"Valid","Invalid")</f>
        <v>Valid</v>
      </c>
    </row>
    <row r="4511" spans="1:18" x14ac:dyDescent="0.25">
      <c r="A4511" t="s">
        <v>6582</v>
      </c>
      <c r="B4511" t="s">
        <v>398</v>
      </c>
      <c r="C4511" s="8">
        <v>46184</v>
      </c>
      <c r="D4511" t="s">
        <v>2062</v>
      </c>
      <c r="E4511" t="s">
        <v>2076</v>
      </c>
      <c r="F4511" t="s">
        <v>45</v>
      </c>
      <c r="G4511">
        <v>6691.48</v>
      </c>
      <c r="H4511" t="s">
        <v>2060</v>
      </c>
      <c r="I4511" t="str">
        <f>VLOOKUP(B4511,Customers!A:G,7,FALSE)</f>
        <v>Individual</v>
      </c>
      <c r="Q4511" t="str">
        <f>IF(COUNTIF(Customers!$A$2:$A$1001,B4511)&gt;0,"Valid","Invalid")</f>
        <v>Valid</v>
      </c>
      <c r="R4511" t="str">
        <f>IF(COUNTIF(Branches!$A$2:$A$11,F4511)&gt;0,"Valid","Invalid")</f>
        <v>Valid</v>
      </c>
    </row>
    <row r="4512" spans="1:18" x14ac:dyDescent="0.25">
      <c r="A4512" t="s">
        <v>6583</v>
      </c>
      <c r="B4512" t="s">
        <v>165</v>
      </c>
      <c r="C4512" s="8">
        <v>46213</v>
      </c>
      <c r="D4512" t="s">
        <v>2058</v>
      </c>
      <c r="E4512" t="s">
        <v>2063</v>
      </c>
      <c r="F4512" t="s">
        <v>11</v>
      </c>
      <c r="G4512">
        <v>902.21</v>
      </c>
      <c r="H4512" t="s">
        <v>2060</v>
      </c>
      <c r="I4512" t="str">
        <f>VLOOKUP(B4512,Customers!A:G,7,FALSE)</f>
        <v>Student</v>
      </c>
      <c r="Q4512" t="str">
        <f>IF(COUNTIF(Customers!$A$2:$A$1001,B4512)&gt;0,"Valid","Invalid")</f>
        <v>Valid</v>
      </c>
      <c r="R4512" t="str">
        <f>IF(COUNTIF(Branches!$A$2:$A$11,F4512)&gt;0,"Valid","Invalid")</f>
        <v>Valid</v>
      </c>
    </row>
    <row r="4513" spans="1:18" x14ac:dyDescent="0.25">
      <c r="A4513" t="s">
        <v>6584</v>
      </c>
      <c r="B4513" t="s">
        <v>902</v>
      </c>
      <c r="C4513" s="8">
        <v>46218</v>
      </c>
      <c r="D4513" t="s">
        <v>2070</v>
      </c>
      <c r="E4513" t="s">
        <v>2059</v>
      </c>
      <c r="F4513" t="s">
        <v>16</v>
      </c>
      <c r="G4513">
        <v>1276.03</v>
      </c>
      <c r="H4513" t="s">
        <v>2060</v>
      </c>
      <c r="I4513" t="str">
        <f>VLOOKUP(B4513,Customers!A:G,7,FALSE)</f>
        <v>SME</v>
      </c>
      <c r="Q4513" t="str">
        <f>IF(COUNTIF(Customers!$A$2:$A$1001,B4513)&gt;0,"Valid","Invalid")</f>
        <v>Valid</v>
      </c>
      <c r="R4513" t="str">
        <f>IF(COUNTIF(Branches!$A$2:$A$11,F4513)&gt;0,"Valid","Invalid")</f>
        <v>Valid</v>
      </c>
    </row>
    <row r="4514" spans="1:18" x14ac:dyDescent="0.25">
      <c r="A4514" t="s">
        <v>6585</v>
      </c>
      <c r="B4514" t="s">
        <v>672</v>
      </c>
      <c r="C4514" s="8">
        <v>46168</v>
      </c>
      <c r="D4514" t="s">
        <v>2065</v>
      </c>
      <c r="E4514" t="s">
        <v>2059</v>
      </c>
      <c r="F4514" t="s">
        <v>27</v>
      </c>
      <c r="G4514">
        <v>623.91999999999996</v>
      </c>
      <c r="H4514" t="s">
        <v>2060</v>
      </c>
      <c r="I4514" t="str">
        <f>VLOOKUP(B4514,Customers!A:G,7,FALSE)</f>
        <v>Student</v>
      </c>
      <c r="Q4514" t="str">
        <f>IF(COUNTIF(Customers!$A$2:$A$1001,B4514)&gt;0,"Valid","Invalid")</f>
        <v>Valid</v>
      </c>
      <c r="R4514" t="str">
        <f>IF(COUNTIF(Branches!$A$2:$A$11,F4514)&gt;0,"Valid","Invalid")</f>
        <v>Valid</v>
      </c>
    </row>
    <row r="4515" spans="1:18" x14ac:dyDescent="0.25">
      <c r="A4515" t="s">
        <v>6586</v>
      </c>
      <c r="B4515" t="s">
        <v>279</v>
      </c>
      <c r="C4515" s="8">
        <v>46255</v>
      </c>
      <c r="D4515" t="s">
        <v>2065</v>
      </c>
      <c r="E4515" t="s">
        <v>2076</v>
      </c>
      <c r="F4515" t="s">
        <v>29</v>
      </c>
      <c r="G4515">
        <v>502.89</v>
      </c>
      <c r="H4515" t="s">
        <v>2060</v>
      </c>
      <c r="I4515" t="str">
        <f>VLOOKUP(B4515,Customers!A:G,7,FALSE)</f>
        <v>SME</v>
      </c>
      <c r="Q4515" t="str">
        <f>IF(COUNTIF(Customers!$A$2:$A$1001,B4515)&gt;0,"Valid","Invalid")</f>
        <v>Valid</v>
      </c>
      <c r="R4515" t="str">
        <f>IF(COUNTIF(Branches!$A$2:$A$11,F4515)&gt;0,"Valid","Invalid")</f>
        <v>Valid</v>
      </c>
    </row>
    <row r="4516" spans="1:18" x14ac:dyDescent="0.25">
      <c r="A4516" t="s">
        <v>6587</v>
      </c>
      <c r="B4516" t="s">
        <v>665</v>
      </c>
      <c r="C4516" s="8">
        <v>46137</v>
      </c>
      <c r="D4516" t="s">
        <v>2067</v>
      </c>
      <c r="E4516" t="s">
        <v>2059</v>
      </c>
      <c r="F4516" t="s">
        <v>39</v>
      </c>
      <c r="G4516">
        <v>220.96</v>
      </c>
      <c r="H4516" t="s">
        <v>2060</v>
      </c>
      <c r="I4516" t="str">
        <f>VLOOKUP(B4516,Customers!A:G,7,FALSE)</f>
        <v>Individual</v>
      </c>
      <c r="Q4516" t="str">
        <f>IF(COUNTIF(Customers!$A$2:$A$1001,B4516)&gt;0,"Valid","Invalid")</f>
        <v>Valid</v>
      </c>
      <c r="R4516" t="str">
        <f>IF(COUNTIF(Branches!$A$2:$A$11,F4516)&gt;0,"Valid","Invalid")</f>
        <v>Valid</v>
      </c>
    </row>
    <row r="4517" spans="1:18" x14ac:dyDescent="0.25">
      <c r="A4517" t="s">
        <v>6588</v>
      </c>
      <c r="B4517" t="s">
        <v>747</v>
      </c>
      <c r="C4517" s="8">
        <v>46176</v>
      </c>
      <c r="D4517" t="s">
        <v>2067</v>
      </c>
      <c r="E4517" t="s">
        <v>2073</v>
      </c>
      <c r="F4517" t="s">
        <v>27</v>
      </c>
      <c r="G4517">
        <v>2440.2800000000002</v>
      </c>
      <c r="H4517" t="s">
        <v>2107</v>
      </c>
      <c r="I4517" t="str">
        <f>VLOOKUP(B4517,Customers!A:G,7,FALSE)</f>
        <v>SME</v>
      </c>
      <c r="Q4517" t="str">
        <f>IF(COUNTIF(Customers!$A$2:$A$1001,B4517)&gt;0,"Valid","Invalid")</f>
        <v>Valid</v>
      </c>
      <c r="R4517" t="str">
        <f>IF(COUNTIF(Branches!$A$2:$A$11,F4517)&gt;0,"Valid","Invalid")</f>
        <v>Valid</v>
      </c>
    </row>
    <row r="4518" spans="1:18" x14ac:dyDescent="0.25">
      <c r="A4518" t="s">
        <v>6589</v>
      </c>
      <c r="B4518" t="s">
        <v>259</v>
      </c>
      <c r="C4518" s="8">
        <v>46256</v>
      </c>
      <c r="D4518" t="s">
        <v>2070</v>
      </c>
      <c r="E4518" t="s">
        <v>2059</v>
      </c>
      <c r="F4518" t="s">
        <v>27</v>
      </c>
      <c r="G4518">
        <v>1751.87</v>
      </c>
      <c r="H4518" t="s">
        <v>2060</v>
      </c>
      <c r="I4518" t="str">
        <f>VLOOKUP(B4518,Customers!A:G,7,FALSE)</f>
        <v>Individual</v>
      </c>
      <c r="Q4518" t="str">
        <f>IF(COUNTIF(Customers!$A$2:$A$1001,B4518)&gt;0,"Valid","Invalid")</f>
        <v>Valid</v>
      </c>
      <c r="R4518" t="str">
        <f>IF(COUNTIF(Branches!$A$2:$A$11,F4518)&gt;0,"Valid","Invalid")</f>
        <v>Valid</v>
      </c>
    </row>
    <row r="4519" spans="1:18" x14ac:dyDescent="0.25">
      <c r="A4519" t="s">
        <v>6590</v>
      </c>
      <c r="B4519" t="s">
        <v>251</v>
      </c>
      <c r="C4519" s="8">
        <v>46236</v>
      </c>
      <c r="D4519" t="s">
        <v>2058</v>
      </c>
      <c r="E4519" t="s">
        <v>2076</v>
      </c>
      <c r="F4519" t="s">
        <v>16</v>
      </c>
      <c r="G4519">
        <v>601.19000000000005</v>
      </c>
      <c r="H4519" t="s">
        <v>2060</v>
      </c>
      <c r="I4519" t="str">
        <f>VLOOKUP(B4519,Customers!A:G,7,FALSE)</f>
        <v>Individual</v>
      </c>
      <c r="Q4519" t="str">
        <f>IF(COUNTIF(Customers!$A$2:$A$1001,B4519)&gt;0,"Valid","Invalid")</f>
        <v>Valid</v>
      </c>
      <c r="R4519" t="str">
        <f>IF(COUNTIF(Branches!$A$2:$A$11,F4519)&gt;0,"Valid","Invalid")</f>
        <v>Valid</v>
      </c>
    </row>
    <row r="4520" spans="1:18" x14ac:dyDescent="0.25">
      <c r="A4520" t="s">
        <v>6591</v>
      </c>
      <c r="B4520" t="s">
        <v>954</v>
      </c>
      <c r="C4520" s="8">
        <v>46133</v>
      </c>
      <c r="D4520" t="s">
        <v>2065</v>
      </c>
      <c r="E4520" t="s">
        <v>2063</v>
      </c>
      <c r="F4520" t="s">
        <v>29</v>
      </c>
      <c r="G4520">
        <v>330.18</v>
      </c>
      <c r="H4520" t="s">
        <v>2060</v>
      </c>
      <c r="I4520" t="str">
        <f>VLOOKUP(B4520,Customers!A:G,7,FALSE)</f>
        <v>Individual</v>
      </c>
      <c r="Q4520" t="str">
        <f>IF(COUNTIF(Customers!$A$2:$A$1001,B4520)&gt;0,"Valid","Invalid")</f>
        <v>Valid</v>
      </c>
      <c r="R4520" t="str">
        <f>IF(COUNTIF(Branches!$A$2:$A$11,F4520)&gt;0,"Valid","Invalid")</f>
        <v>Valid</v>
      </c>
    </row>
    <row r="4521" spans="1:18" x14ac:dyDescent="0.25">
      <c r="A4521" t="s">
        <v>6592</v>
      </c>
      <c r="B4521" t="s">
        <v>630</v>
      </c>
      <c r="C4521" s="8">
        <v>46247</v>
      </c>
      <c r="D4521" t="s">
        <v>2067</v>
      </c>
      <c r="E4521" t="s">
        <v>2059</v>
      </c>
      <c r="F4521" t="s">
        <v>39</v>
      </c>
      <c r="G4521">
        <v>972.54</v>
      </c>
      <c r="H4521" t="s">
        <v>2107</v>
      </c>
      <c r="I4521" t="str">
        <f>VLOOKUP(B4521,Customers!A:G,7,FALSE)</f>
        <v>Individual</v>
      </c>
      <c r="Q4521" t="str">
        <f>IF(COUNTIF(Customers!$A$2:$A$1001,B4521)&gt;0,"Valid","Invalid")</f>
        <v>Valid</v>
      </c>
      <c r="R4521" t="str">
        <f>IF(COUNTIF(Branches!$A$2:$A$11,F4521)&gt;0,"Valid","Invalid")</f>
        <v>Valid</v>
      </c>
    </row>
    <row r="4522" spans="1:18" x14ac:dyDescent="0.25">
      <c r="A4522" t="s">
        <v>6593</v>
      </c>
      <c r="B4522" t="s">
        <v>813</v>
      </c>
      <c r="C4522" s="8">
        <v>46083</v>
      </c>
      <c r="D4522" t="s">
        <v>2067</v>
      </c>
      <c r="E4522" t="s">
        <v>2059</v>
      </c>
      <c r="F4522" t="s">
        <v>53</v>
      </c>
      <c r="G4522">
        <v>493.89</v>
      </c>
      <c r="H4522" t="s">
        <v>2060</v>
      </c>
      <c r="I4522" t="str">
        <f>VLOOKUP(B4522,Customers!A:G,7,FALSE)</f>
        <v>Individual</v>
      </c>
      <c r="Q4522" t="str">
        <f>IF(COUNTIF(Customers!$A$2:$A$1001,B4522)&gt;0,"Valid","Invalid")</f>
        <v>Valid</v>
      </c>
      <c r="R4522" t="str">
        <f>IF(COUNTIF(Branches!$A$2:$A$11,F4522)&gt;0,"Valid","Invalid")</f>
        <v>Valid</v>
      </c>
    </row>
    <row r="4523" spans="1:18" x14ac:dyDescent="0.25">
      <c r="A4523" t="s">
        <v>6594</v>
      </c>
      <c r="B4523" t="s">
        <v>171</v>
      </c>
      <c r="C4523" s="8">
        <v>46129</v>
      </c>
      <c r="D4523" t="s">
        <v>2070</v>
      </c>
      <c r="E4523" t="s">
        <v>2063</v>
      </c>
      <c r="F4523" t="s">
        <v>47</v>
      </c>
      <c r="G4523">
        <v>650.64</v>
      </c>
      <c r="H4523" t="s">
        <v>2060</v>
      </c>
      <c r="I4523" t="str">
        <f>VLOOKUP(B4523,Customers!A:G,7,FALSE)</f>
        <v>Corporate</v>
      </c>
      <c r="Q4523" t="str">
        <f>IF(COUNTIF(Customers!$A$2:$A$1001,B4523)&gt;0,"Valid","Invalid")</f>
        <v>Valid</v>
      </c>
      <c r="R4523" t="str">
        <f>IF(COUNTIF(Branches!$A$2:$A$11,F4523)&gt;0,"Valid","Invalid")</f>
        <v>Valid</v>
      </c>
    </row>
    <row r="4524" spans="1:18" x14ac:dyDescent="0.25">
      <c r="A4524" t="s">
        <v>6595</v>
      </c>
      <c r="B4524" t="s">
        <v>856</v>
      </c>
      <c r="C4524" s="8">
        <v>46100</v>
      </c>
      <c r="D4524" t="s">
        <v>2058</v>
      </c>
      <c r="E4524" t="s">
        <v>2059</v>
      </c>
      <c r="F4524" t="s">
        <v>39</v>
      </c>
      <c r="G4524">
        <v>229.62</v>
      </c>
      <c r="H4524" t="s">
        <v>2060</v>
      </c>
      <c r="I4524" t="str">
        <f>VLOOKUP(B4524,Customers!A:G,7,FALSE)</f>
        <v>Individual</v>
      </c>
      <c r="Q4524" t="str">
        <f>IF(COUNTIF(Customers!$A$2:$A$1001,B4524)&gt;0,"Valid","Invalid")</f>
        <v>Valid</v>
      </c>
      <c r="R4524" t="str">
        <f>IF(COUNTIF(Branches!$A$2:$A$11,F4524)&gt;0,"Valid","Invalid")</f>
        <v>Valid</v>
      </c>
    </row>
    <row r="4525" spans="1:18" x14ac:dyDescent="0.25">
      <c r="A4525" t="s">
        <v>6596</v>
      </c>
      <c r="B4525" t="s">
        <v>792</v>
      </c>
      <c r="C4525" s="8">
        <v>46117</v>
      </c>
      <c r="D4525" t="s">
        <v>2058</v>
      </c>
      <c r="E4525" t="s">
        <v>2063</v>
      </c>
      <c r="F4525" t="s">
        <v>39</v>
      </c>
      <c r="G4525">
        <v>1009.36</v>
      </c>
      <c r="H4525" t="s">
        <v>2060</v>
      </c>
      <c r="I4525" t="str">
        <f>VLOOKUP(B4525,Customers!A:G,7,FALSE)</f>
        <v>SME</v>
      </c>
      <c r="Q4525" t="str">
        <f>IF(COUNTIF(Customers!$A$2:$A$1001,B4525)&gt;0,"Valid","Invalid")</f>
        <v>Valid</v>
      </c>
      <c r="R4525" t="str">
        <f>IF(COUNTIF(Branches!$A$2:$A$11,F4525)&gt;0,"Valid","Invalid")</f>
        <v>Valid</v>
      </c>
    </row>
    <row r="4526" spans="1:18" x14ac:dyDescent="0.25">
      <c r="A4526" t="s">
        <v>6597</v>
      </c>
      <c r="B4526" t="s">
        <v>424</v>
      </c>
      <c r="C4526" s="8">
        <v>46096</v>
      </c>
      <c r="D4526" t="s">
        <v>2062</v>
      </c>
      <c r="E4526" t="s">
        <v>2063</v>
      </c>
      <c r="F4526" t="s">
        <v>35</v>
      </c>
      <c r="G4526">
        <v>1029.68</v>
      </c>
      <c r="H4526" t="s">
        <v>2060</v>
      </c>
      <c r="I4526" t="str">
        <f>VLOOKUP(B4526,Customers!A:G,7,FALSE)</f>
        <v>Corporate</v>
      </c>
      <c r="Q4526" t="str">
        <f>IF(COUNTIF(Customers!$A$2:$A$1001,B4526)&gt;0,"Valid","Invalid")</f>
        <v>Valid</v>
      </c>
      <c r="R4526" t="str">
        <f>IF(COUNTIF(Branches!$A$2:$A$11,F4526)&gt;0,"Valid","Invalid")</f>
        <v>Valid</v>
      </c>
    </row>
    <row r="4527" spans="1:18" x14ac:dyDescent="0.25">
      <c r="A4527" t="s">
        <v>6598</v>
      </c>
      <c r="B4527" t="s">
        <v>341</v>
      </c>
      <c r="C4527" s="8">
        <v>46265</v>
      </c>
      <c r="D4527" t="s">
        <v>2062</v>
      </c>
      <c r="E4527" t="s">
        <v>2063</v>
      </c>
      <c r="F4527" t="s">
        <v>35</v>
      </c>
      <c r="G4527">
        <v>2427.7600000000002</v>
      </c>
      <c r="H4527" t="s">
        <v>2060</v>
      </c>
      <c r="I4527" t="str">
        <f>VLOOKUP(B4527,Customers!A:G,7,FALSE)</f>
        <v>SME</v>
      </c>
      <c r="Q4527" t="str">
        <f>IF(COUNTIF(Customers!$A$2:$A$1001,B4527)&gt;0,"Valid","Invalid")</f>
        <v>Valid</v>
      </c>
      <c r="R4527" t="str">
        <f>IF(COUNTIF(Branches!$A$2:$A$11,F4527)&gt;0,"Valid","Invalid")</f>
        <v>Valid</v>
      </c>
    </row>
    <row r="4528" spans="1:18" x14ac:dyDescent="0.25">
      <c r="A4528" t="s">
        <v>6599</v>
      </c>
      <c r="B4528" t="s">
        <v>820</v>
      </c>
      <c r="C4528" s="8">
        <v>46238</v>
      </c>
      <c r="D4528" t="s">
        <v>2058</v>
      </c>
      <c r="E4528" t="s">
        <v>2076</v>
      </c>
      <c r="F4528" t="s">
        <v>27</v>
      </c>
      <c r="G4528">
        <v>698.73</v>
      </c>
      <c r="H4528" t="s">
        <v>2060</v>
      </c>
      <c r="I4528" t="str">
        <f>VLOOKUP(B4528,Customers!A:G,7,FALSE)</f>
        <v>Individual</v>
      </c>
      <c r="Q4528" t="str">
        <f>IF(COUNTIF(Customers!$A$2:$A$1001,B4528)&gt;0,"Valid","Invalid")</f>
        <v>Valid</v>
      </c>
      <c r="R4528" t="str">
        <f>IF(COUNTIF(Branches!$A$2:$A$11,F4528)&gt;0,"Valid","Invalid")</f>
        <v>Valid</v>
      </c>
    </row>
    <row r="4529" spans="1:18" x14ac:dyDescent="0.25">
      <c r="A4529" t="s">
        <v>6600</v>
      </c>
      <c r="B4529" t="s">
        <v>325</v>
      </c>
      <c r="C4529" s="8">
        <v>46235</v>
      </c>
      <c r="D4529" t="s">
        <v>2065</v>
      </c>
      <c r="E4529" t="s">
        <v>2068</v>
      </c>
      <c r="F4529" t="s">
        <v>11</v>
      </c>
      <c r="G4529">
        <v>581.98</v>
      </c>
      <c r="H4529" t="s">
        <v>2060</v>
      </c>
      <c r="I4529" t="str">
        <f>VLOOKUP(B4529,Customers!A:G,7,FALSE)</f>
        <v>Corporate</v>
      </c>
      <c r="Q4529" t="str">
        <f>IF(COUNTIF(Customers!$A$2:$A$1001,B4529)&gt;0,"Valid","Invalid")</f>
        <v>Valid</v>
      </c>
      <c r="R4529" t="str">
        <f>IF(COUNTIF(Branches!$A$2:$A$11,F4529)&gt;0,"Valid","Invalid")</f>
        <v>Valid</v>
      </c>
    </row>
    <row r="4530" spans="1:18" x14ac:dyDescent="0.25">
      <c r="A4530" t="s">
        <v>6601</v>
      </c>
      <c r="B4530" t="s">
        <v>600</v>
      </c>
      <c r="C4530" s="8">
        <v>46070</v>
      </c>
      <c r="D4530" t="s">
        <v>2062</v>
      </c>
      <c r="E4530" t="s">
        <v>2063</v>
      </c>
      <c r="F4530" t="s">
        <v>27</v>
      </c>
      <c r="G4530">
        <v>171.27</v>
      </c>
      <c r="H4530" t="s">
        <v>2060</v>
      </c>
      <c r="I4530" t="str">
        <f>VLOOKUP(B4530,Customers!A:G,7,FALSE)</f>
        <v>Individual</v>
      </c>
      <c r="Q4530" t="str">
        <f>IF(COUNTIF(Customers!$A$2:$A$1001,B4530)&gt;0,"Valid","Invalid")</f>
        <v>Valid</v>
      </c>
      <c r="R4530" t="str">
        <f>IF(COUNTIF(Branches!$A$2:$A$11,F4530)&gt;0,"Valid","Invalid")</f>
        <v>Valid</v>
      </c>
    </row>
    <row r="4531" spans="1:18" x14ac:dyDescent="0.25">
      <c r="A4531" t="s">
        <v>6602</v>
      </c>
      <c r="B4531" t="s">
        <v>226</v>
      </c>
      <c r="C4531" s="8">
        <v>46222</v>
      </c>
      <c r="D4531" t="s">
        <v>2062</v>
      </c>
      <c r="E4531" t="s">
        <v>2059</v>
      </c>
      <c r="F4531" t="s">
        <v>11</v>
      </c>
      <c r="G4531">
        <v>2442.9499999999998</v>
      </c>
      <c r="H4531" t="s">
        <v>2060</v>
      </c>
      <c r="I4531" t="str">
        <f>VLOOKUP(B4531,Customers!A:G,7,FALSE)</f>
        <v>Individual</v>
      </c>
      <c r="Q4531" t="str">
        <f>IF(COUNTIF(Customers!$A$2:$A$1001,B4531)&gt;0,"Valid","Invalid")</f>
        <v>Valid</v>
      </c>
      <c r="R4531" t="str">
        <f>IF(COUNTIF(Branches!$A$2:$A$11,F4531)&gt;0,"Valid","Invalid")</f>
        <v>Valid</v>
      </c>
    </row>
    <row r="4532" spans="1:18" x14ac:dyDescent="0.25">
      <c r="A4532" t="s">
        <v>6603</v>
      </c>
      <c r="B4532" t="s">
        <v>335</v>
      </c>
      <c r="C4532" s="8">
        <v>46118</v>
      </c>
      <c r="D4532" t="s">
        <v>2062</v>
      </c>
      <c r="E4532" t="s">
        <v>2063</v>
      </c>
      <c r="F4532" t="s">
        <v>47</v>
      </c>
      <c r="G4532">
        <v>1983.91</v>
      </c>
      <c r="H4532" t="s">
        <v>2060</v>
      </c>
      <c r="I4532" t="str">
        <f>VLOOKUP(B4532,Customers!A:G,7,FALSE)</f>
        <v>Individual</v>
      </c>
      <c r="Q4532" t="str">
        <f>IF(COUNTIF(Customers!$A$2:$A$1001,B4532)&gt;0,"Valid","Invalid")</f>
        <v>Valid</v>
      </c>
      <c r="R4532" t="str">
        <f>IF(COUNTIF(Branches!$A$2:$A$11,F4532)&gt;0,"Valid","Invalid")</f>
        <v>Valid</v>
      </c>
    </row>
    <row r="4533" spans="1:18" x14ac:dyDescent="0.25">
      <c r="A4533" t="s">
        <v>6604</v>
      </c>
      <c r="B4533" t="s">
        <v>564</v>
      </c>
      <c r="C4533" s="8">
        <v>46053</v>
      </c>
      <c r="D4533" t="s">
        <v>2070</v>
      </c>
      <c r="E4533" t="s">
        <v>2063</v>
      </c>
      <c r="F4533" t="s">
        <v>27</v>
      </c>
      <c r="G4533">
        <v>836.09</v>
      </c>
      <c r="H4533" t="s">
        <v>2060</v>
      </c>
      <c r="I4533" t="str">
        <f>VLOOKUP(B4533,Customers!A:G,7,FALSE)</f>
        <v>SME</v>
      </c>
      <c r="Q4533" t="str">
        <f>IF(COUNTIF(Customers!$A$2:$A$1001,B4533)&gt;0,"Valid","Invalid")</f>
        <v>Valid</v>
      </c>
      <c r="R4533" t="str">
        <f>IF(COUNTIF(Branches!$A$2:$A$11,F4533)&gt;0,"Valid","Invalid")</f>
        <v>Valid</v>
      </c>
    </row>
    <row r="4534" spans="1:18" x14ac:dyDescent="0.25">
      <c r="A4534" t="s">
        <v>6605</v>
      </c>
      <c r="B4534" t="s">
        <v>427</v>
      </c>
      <c r="C4534" s="8">
        <v>46056</v>
      </c>
      <c r="D4534" t="s">
        <v>2062</v>
      </c>
      <c r="E4534" t="s">
        <v>2068</v>
      </c>
      <c r="F4534" t="s">
        <v>39</v>
      </c>
      <c r="G4534">
        <v>215.03</v>
      </c>
      <c r="H4534" t="s">
        <v>2115</v>
      </c>
      <c r="I4534" t="str">
        <f>VLOOKUP(B4534,Customers!A:G,7,FALSE)</f>
        <v>Individual</v>
      </c>
      <c r="Q4534" t="str">
        <f>IF(COUNTIF(Customers!$A$2:$A$1001,B4534)&gt;0,"Valid","Invalid")</f>
        <v>Valid</v>
      </c>
      <c r="R4534" t="str">
        <f>IF(COUNTIF(Branches!$A$2:$A$11,F4534)&gt;0,"Valid","Invalid")</f>
        <v>Valid</v>
      </c>
    </row>
    <row r="4535" spans="1:18" x14ac:dyDescent="0.25">
      <c r="A4535" t="s">
        <v>6606</v>
      </c>
      <c r="B4535" t="s">
        <v>497</v>
      </c>
      <c r="C4535" s="8">
        <v>46109</v>
      </c>
      <c r="D4535" t="s">
        <v>2062</v>
      </c>
      <c r="E4535" t="s">
        <v>2076</v>
      </c>
      <c r="F4535" t="s">
        <v>27</v>
      </c>
      <c r="G4535">
        <v>241.16</v>
      </c>
      <c r="H4535" t="s">
        <v>2060</v>
      </c>
      <c r="I4535" t="str">
        <f>VLOOKUP(B4535,Customers!A:G,7,FALSE)</f>
        <v>Individual</v>
      </c>
      <c r="Q4535" t="str">
        <f>IF(COUNTIF(Customers!$A$2:$A$1001,B4535)&gt;0,"Valid","Invalid")</f>
        <v>Valid</v>
      </c>
      <c r="R4535" t="str">
        <f>IF(COUNTIF(Branches!$A$2:$A$11,F4535)&gt;0,"Valid","Invalid")</f>
        <v>Valid</v>
      </c>
    </row>
    <row r="4536" spans="1:18" x14ac:dyDescent="0.25">
      <c r="A4536" t="s">
        <v>6607</v>
      </c>
      <c r="B4536" t="s">
        <v>782</v>
      </c>
      <c r="C4536" s="8">
        <v>46239</v>
      </c>
      <c r="D4536" t="s">
        <v>2070</v>
      </c>
      <c r="E4536" t="s">
        <v>2063</v>
      </c>
      <c r="F4536" t="s">
        <v>16</v>
      </c>
      <c r="G4536">
        <v>470.08</v>
      </c>
      <c r="H4536" t="s">
        <v>2060</v>
      </c>
      <c r="I4536" t="str">
        <f>VLOOKUP(B4536,Customers!A:G,7,FALSE)</f>
        <v>Corporate</v>
      </c>
      <c r="Q4536" t="str">
        <f>IF(COUNTIF(Customers!$A$2:$A$1001,B4536)&gt;0,"Valid","Invalid")</f>
        <v>Valid</v>
      </c>
      <c r="R4536" t="str">
        <f>IF(COUNTIF(Branches!$A$2:$A$11,F4536)&gt;0,"Valid","Invalid")</f>
        <v>Valid</v>
      </c>
    </row>
    <row r="4537" spans="1:18" x14ac:dyDescent="0.25">
      <c r="A4537" t="s">
        <v>6608</v>
      </c>
      <c r="B4537" t="s">
        <v>299</v>
      </c>
      <c r="C4537" s="8">
        <v>46157</v>
      </c>
      <c r="D4537" t="s">
        <v>2065</v>
      </c>
      <c r="E4537" t="s">
        <v>2063</v>
      </c>
      <c r="F4537" t="s">
        <v>11</v>
      </c>
      <c r="G4537">
        <v>2132.87</v>
      </c>
      <c r="H4537" t="s">
        <v>2060</v>
      </c>
      <c r="I4537" t="str">
        <f>VLOOKUP(B4537,Customers!A:G,7,FALSE)</f>
        <v>SME</v>
      </c>
      <c r="Q4537" t="str">
        <f>IF(COUNTIF(Customers!$A$2:$A$1001,B4537)&gt;0,"Valid","Invalid")</f>
        <v>Valid</v>
      </c>
      <c r="R4537" t="str">
        <f>IF(COUNTIF(Branches!$A$2:$A$11,F4537)&gt;0,"Valid","Invalid")</f>
        <v>Valid</v>
      </c>
    </row>
    <row r="4538" spans="1:18" x14ac:dyDescent="0.25">
      <c r="A4538" t="s">
        <v>6609</v>
      </c>
      <c r="B4538" t="s">
        <v>742</v>
      </c>
      <c r="C4538" s="8">
        <v>46105</v>
      </c>
      <c r="D4538" t="s">
        <v>2058</v>
      </c>
      <c r="E4538" t="s">
        <v>2068</v>
      </c>
      <c r="F4538" t="s">
        <v>11</v>
      </c>
      <c r="G4538">
        <v>1086.0899999999999</v>
      </c>
      <c r="H4538" t="s">
        <v>2060</v>
      </c>
      <c r="I4538" t="str">
        <f>VLOOKUP(B4538,Customers!A:G,7,FALSE)</f>
        <v>Student</v>
      </c>
      <c r="Q4538" t="str">
        <f>IF(COUNTIF(Customers!$A$2:$A$1001,B4538)&gt;0,"Valid","Invalid")</f>
        <v>Valid</v>
      </c>
      <c r="R4538" t="str">
        <f>IF(COUNTIF(Branches!$A$2:$A$11,F4538)&gt;0,"Valid","Invalid")</f>
        <v>Valid</v>
      </c>
    </row>
    <row r="4539" spans="1:18" x14ac:dyDescent="0.25">
      <c r="A4539" t="s">
        <v>6610</v>
      </c>
      <c r="B4539" t="s">
        <v>963</v>
      </c>
      <c r="C4539" s="8">
        <v>46157</v>
      </c>
      <c r="D4539" t="s">
        <v>2058</v>
      </c>
      <c r="E4539" t="s">
        <v>2063</v>
      </c>
      <c r="F4539" t="s">
        <v>39</v>
      </c>
      <c r="G4539">
        <v>182.48</v>
      </c>
      <c r="H4539" t="s">
        <v>2060</v>
      </c>
      <c r="I4539" t="str">
        <f>VLOOKUP(B4539,Customers!A:G,7,FALSE)</f>
        <v>Individual</v>
      </c>
      <c r="Q4539" t="str">
        <f>IF(COUNTIF(Customers!$A$2:$A$1001,B4539)&gt;0,"Valid","Invalid")</f>
        <v>Valid</v>
      </c>
      <c r="R4539" t="str">
        <f>IF(COUNTIF(Branches!$A$2:$A$11,F4539)&gt;0,"Valid","Invalid")</f>
        <v>Valid</v>
      </c>
    </row>
    <row r="4540" spans="1:18" x14ac:dyDescent="0.25">
      <c r="A4540" t="s">
        <v>6611</v>
      </c>
      <c r="B4540" t="s">
        <v>753</v>
      </c>
      <c r="C4540" s="8">
        <v>46069</v>
      </c>
      <c r="D4540" t="s">
        <v>2067</v>
      </c>
      <c r="E4540" t="s">
        <v>2063</v>
      </c>
      <c r="F4540" t="s">
        <v>27</v>
      </c>
      <c r="G4540">
        <v>1217.08</v>
      </c>
      <c r="H4540" t="s">
        <v>2060</v>
      </c>
      <c r="I4540" t="str">
        <f>VLOOKUP(B4540,Customers!A:G,7,FALSE)</f>
        <v>Individual</v>
      </c>
      <c r="Q4540" t="str">
        <f>IF(COUNTIF(Customers!$A$2:$A$1001,B4540)&gt;0,"Valid","Invalid")</f>
        <v>Valid</v>
      </c>
      <c r="R4540" t="str">
        <f>IF(COUNTIF(Branches!$A$2:$A$11,F4540)&gt;0,"Valid","Invalid")</f>
        <v>Valid</v>
      </c>
    </row>
    <row r="4541" spans="1:18" x14ac:dyDescent="0.25">
      <c r="A4541" t="s">
        <v>6612</v>
      </c>
      <c r="B4541" t="s">
        <v>811</v>
      </c>
      <c r="C4541" s="8">
        <v>46158</v>
      </c>
      <c r="D4541" t="s">
        <v>2062</v>
      </c>
      <c r="E4541" t="s">
        <v>2076</v>
      </c>
      <c r="F4541" t="s">
        <v>29</v>
      </c>
      <c r="G4541">
        <v>351.02</v>
      </c>
      <c r="H4541" t="s">
        <v>2060</v>
      </c>
      <c r="I4541" t="str">
        <f>VLOOKUP(B4541,Customers!A:G,7,FALSE)</f>
        <v>SME</v>
      </c>
      <c r="Q4541" t="str">
        <f>IF(COUNTIF(Customers!$A$2:$A$1001,B4541)&gt;0,"Valid","Invalid")</f>
        <v>Valid</v>
      </c>
      <c r="R4541" t="str">
        <f>IF(COUNTIF(Branches!$A$2:$A$11,F4541)&gt;0,"Valid","Invalid")</f>
        <v>Valid</v>
      </c>
    </row>
    <row r="4542" spans="1:18" x14ac:dyDescent="0.25">
      <c r="A4542" t="s">
        <v>6613</v>
      </c>
      <c r="B4542" t="s">
        <v>149</v>
      </c>
      <c r="C4542" s="8">
        <v>46228</v>
      </c>
      <c r="D4542" t="s">
        <v>2062</v>
      </c>
      <c r="E4542" t="s">
        <v>2059</v>
      </c>
      <c r="F4542" t="s">
        <v>11</v>
      </c>
      <c r="G4542">
        <v>481.92</v>
      </c>
      <c r="H4542" t="s">
        <v>2060</v>
      </c>
      <c r="I4542" t="str">
        <f>VLOOKUP(B4542,Customers!A:G,7,FALSE)</f>
        <v>Individual</v>
      </c>
      <c r="Q4542" t="str">
        <f>IF(COUNTIF(Customers!$A$2:$A$1001,B4542)&gt;0,"Valid","Invalid")</f>
        <v>Valid</v>
      </c>
      <c r="R4542" t="str">
        <f>IF(COUNTIF(Branches!$A$2:$A$11,F4542)&gt;0,"Valid","Invalid")</f>
        <v>Valid</v>
      </c>
    </row>
    <row r="4543" spans="1:18" x14ac:dyDescent="0.25">
      <c r="A4543" t="s">
        <v>6614</v>
      </c>
      <c r="B4543" t="s">
        <v>924</v>
      </c>
      <c r="C4543" s="8">
        <v>46151</v>
      </c>
      <c r="D4543" t="s">
        <v>2062</v>
      </c>
      <c r="E4543" t="s">
        <v>2059</v>
      </c>
      <c r="F4543" t="s">
        <v>47</v>
      </c>
      <c r="G4543">
        <v>2146.81</v>
      </c>
      <c r="H4543" t="s">
        <v>2060</v>
      </c>
      <c r="I4543" t="str">
        <f>VLOOKUP(B4543,Customers!A:G,7,FALSE)</f>
        <v>Individual</v>
      </c>
      <c r="Q4543" t="str">
        <f>IF(COUNTIF(Customers!$A$2:$A$1001,B4543)&gt;0,"Valid","Invalid")</f>
        <v>Valid</v>
      </c>
      <c r="R4543" t="str">
        <f>IF(COUNTIF(Branches!$A$2:$A$11,F4543)&gt;0,"Valid","Invalid")</f>
        <v>Valid</v>
      </c>
    </row>
    <row r="4544" spans="1:18" x14ac:dyDescent="0.25">
      <c r="A4544" t="s">
        <v>6615</v>
      </c>
      <c r="B4544" t="s">
        <v>902</v>
      </c>
      <c r="C4544" s="8">
        <v>46147</v>
      </c>
      <c r="D4544" t="s">
        <v>2070</v>
      </c>
      <c r="E4544" t="s">
        <v>2068</v>
      </c>
      <c r="F4544" t="s">
        <v>45</v>
      </c>
      <c r="G4544">
        <v>1746.74</v>
      </c>
      <c r="H4544" t="s">
        <v>2060</v>
      </c>
      <c r="I4544" t="str">
        <f>VLOOKUP(B4544,Customers!A:G,7,FALSE)</f>
        <v>SME</v>
      </c>
      <c r="Q4544" t="str">
        <f>IF(COUNTIF(Customers!$A$2:$A$1001,B4544)&gt;0,"Valid","Invalid")</f>
        <v>Valid</v>
      </c>
      <c r="R4544" t="str">
        <f>IF(COUNTIF(Branches!$A$2:$A$11,F4544)&gt;0,"Valid","Invalid")</f>
        <v>Valid</v>
      </c>
    </row>
    <row r="4545" spans="1:18" x14ac:dyDescent="0.25">
      <c r="A4545" t="s">
        <v>6616</v>
      </c>
      <c r="B4545" t="s">
        <v>70</v>
      </c>
      <c r="C4545" s="8">
        <v>46099</v>
      </c>
      <c r="D4545" t="s">
        <v>2065</v>
      </c>
      <c r="E4545" t="s">
        <v>2063</v>
      </c>
      <c r="F4545" t="s">
        <v>35</v>
      </c>
      <c r="G4545">
        <v>2423.8200000000002</v>
      </c>
      <c r="H4545" t="s">
        <v>2060</v>
      </c>
      <c r="I4545" t="str">
        <f>VLOOKUP(B4545,Customers!A:G,7,FALSE)</f>
        <v>Individual</v>
      </c>
      <c r="Q4545" t="str">
        <f>IF(COUNTIF(Customers!$A$2:$A$1001,B4545)&gt;0,"Valid","Invalid")</f>
        <v>Valid</v>
      </c>
      <c r="R4545" t="str">
        <f>IF(COUNTIF(Branches!$A$2:$A$11,F4545)&gt;0,"Valid","Invalid")</f>
        <v>Valid</v>
      </c>
    </row>
    <row r="4546" spans="1:18" x14ac:dyDescent="0.25">
      <c r="A4546" t="s">
        <v>6617</v>
      </c>
      <c r="B4546" t="s">
        <v>115</v>
      </c>
      <c r="C4546" s="8">
        <v>46025</v>
      </c>
      <c r="D4546" t="s">
        <v>2062</v>
      </c>
      <c r="E4546" t="s">
        <v>2076</v>
      </c>
      <c r="F4546" t="s">
        <v>11</v>
      </c>
      <c r="G4546">
        <v>793.83</v>
      </c>
      <c r="H4546" t="s">
        <v>2060</v>
      </c>
      <c r="I4546" t="str">
        <f>VLOOKUP(B4546,Customers!A:G,7,FALSE)</f>
        <v>SME</v>
      </c>
      <c r="Q4546" t="str">
        <f>IF(COUNTIF(Customers!$A$2:$A$1001,B4546)&gt;0,"Valid","Invalid")</f>
        <v>Valid</v>
      </c>
      <c r="R4546" t="str">
        <f>IF(COUNTIF(Branches!$A$2:$A$11,F4546)&gt;0,"Valid","Invalid")</f>
        <v>Valid</v>
      </c>
    </row>
    <row r="4547" spans="1:18" x14ac:dyDescent="0.25">
      <c r="A4547" t="s">
        <v>6618</v>
      </c>
      <c r="B4547" t="s">
        <v>313</v>
      </c>
      <c r="C4547" s="8">
        <v>46203</v>
      </c>
      <c r="D4547" t="s">
        <v>2058</v>
      </c>
      <c r="E4547" t="s">
        <v>2063</v>
      </c>
      <c r="F4547" t="s">
        <v>29</v>
      </c>
      <c r="G4547">
        <v>1964.56</v>
      </c>
      <c r="H4547" t="s">
        <v>2060</v>
      </c>
      <c r="I4547" t="str">
        <f>VLOOKUP(B4547,Customers!A:G,7,FALSE)</f>
        <v>SME</v>
      </c>
      <c r="Q4547" t="str">
        <f>IF(COUNTIF(Customers!$A$2:$A$1001,B4547)&gt;0,"Valid","Invalid")</f>
        <v>Valid</v>
      </c>
      <c r="R4547" t="str">
        <f>IF(COUNTIF(Branches!$A$2:$A$11,F4547)&gt;0,"Valid","Invalid")</f>
        <v>Valid</v>
      </c>
    </row>
    <row r="4548" spans="1:18" x14ac:dyDescent="0.25">
      <c r="A4548" t="s">
        <v>6619</v>
      </c>
      <c r="B4548" t="s">
        <v>998</v>
      </c>
      <c r="C4548" s="8">
        <v>46114</v>
      </c>
      <c r="D4548" t="s">
        <v>2067</v>
      </c>
      <c r="E4548" t="s">
        <v>2076</v>
      </c>
      <c r="F4548" t="s">
        <v>47</v>
      </c>
      <c r="G4548">
        <v>452.08</v>
      </c>
      <c r="H4548" t="s">
        <v>2060</v>
      </c>
      <c r="I4548" t="str">
        <f>VLOOKUP(B4548,Customers!A:G,7,FALSE)</f>
        <v>Individual</v>
      </c>
      <c r="Q4548" t="str">
        <f>IF(COUNTIF(Customers!$A$2:$A$1001,B4548)&gt;0,"Valid","Invalid")</f>
        <v>Valid</v>
      </c>
      <c r="R4548" t="str">
        <f>IF(COUNTIF(Branches!$A$2:$A$11,F4548)&gt;0,"Valid","Invalid")</f>
        <v>Valid</v>
      </c>
    </row>
    <row r="4549" spans="1:18" x14ac:dyDescent="0.25">
      <c r="A4549" t="s">
        <v>6620</v>
      </c>
      <c r="B4549" t="s">
        <v>316</v>
      </c>
      <c r="C4549" s="8">
        <v>46188</v>
      </c>
      <c r="D4549" t="s">
        <v>2065</v>
      </c>
      <c r="E4549" t="s">
        <v>2068</v>
      </c>
      <c r="F4549" t="s">
        <v>47</v>
      </c>
      <c r="G4549">
        <v>627.92999999999995</v>
      </c>
      <c r="H4549" t="s">
        <v>2060</v>
      </c>
      <c r="I4549" t="str">
        <f>VLOOKUP(B4549,Customers!A:G,7,FALSE)</f>
        <v>Individual</v>
      </c>
      <c r="Q4549" t="str">
        <f>IF(COUNTIF(Customers!$A$2:$A$1001,B4549)&gt;0,"Valid","Invalid")</f>
        <v>Valid</v>
      </c>
      <c r="R4549" t="str">
        <f>IF(COUNTIF(Branches!$A$2:$A$11,F4549)&gt;0,"Valid","Invalid")</f>
        <v>Valid</v>
      </c>
    </row>
    <row r="4550" spans="1:18" x14ac:dyDescent="0.25">
      <c r="A4550" t="s">
        <v>6621</v>
      </c>
      <c r="B4550" t="s">
        <v>712</v>
      </c>
      <c r="C4550" s="8">
        <v>46201</v>
      </c>
      <c r="D4550" t="s">
        <v>2062</v>
      </c>
      <c r="E4550" t="s">
        <v>2059</v>
      </c>
      <c r="F4550" t="s">
        <v>47</v>
      </c>
      <c r="G4550">
        <v>586.23</v>
      </c>
      <c r="H4550" t="s">
        <v>2060</v>
      </c>
      <c r="I4550" t="str">
        <f>VLOOKUP(B4550,Customers!A:G,7,FALSE)</f>
        <v>SME</v>
      </c>
      <c r="Q4550" t="str">
        <f>IF(COUNTIF(Customers!$A$2:$A$1001,B4550)&gt;0,"Valid","Invalid")</f>
        <v>Valid</v>
      </c>
      <c r="R4550" t="str">
        <f>IF(COUNTIF(Branches!$A$2:$A$11,F4550)&gt;0,"Valid","Invalid")</f>
        <v>Valid</v>
      </c>
    </row>
    <row r="4551" spans="1:18" x14ac:dyDescent="0.25">
      <c r="A4551" t="s">
        <v>6622</v>
      </c>
      <c r="B4551" t="s">
        <v>350</v>
      </c>
      <c r="C4551" s="8">
        <v>46165</v>
      </c>
      <c r="D4551" t="s">
        <v>2058</v>
      </c>
      <c r="E4551" t="s">
        <v>2076</v>
      </c>
      <c r="F4551" t="s">
        <v>47</v>
      </c>
      <c r="G4551">
        <v>832.03</v>
      </c>
      <c r="H4551" t="s">
        <v>2060</v>
      </c>
      <c r="I4551" t="str">
        <f>VLOOKUP(B4551,Customers!A:G,7,FALSE)</f>
        <v>Corporate</v>
      </c>
      <c r="Q4551" t="str">
        <f>IF(COUNTIF(Customers!$A$2:$A$1001,B4551)&gt;0,"Valid","Invalid")</f>
        <v>Valid</v>
      </c>
      <c r="R4551" t="str">
        <f>IF(COUNTIF(Branches!$A$2:$A$11,F4551)&gt;0,"Valid","Invalid")</f>
        <v>Valid</v>
      </c>
    </row>
    <row r="4552" spans="1:18" x14ac:dyDescent="0.25">
      <c r="A4552" t="s">
        <v>6623</v>
      </c>
      <c r="B4552" t="s">
        <v>567</v>
      </c>
      <c r="C4552" s="8">
        <v>46122</v>
      </c>
      <c r="D4552" t="s">
        <v>2062</v>
      </c>
      <c r="E4552" t="s">
        <v>2068</v>
      </c>
      <c r="F4552" t="s">
        <v>53</v>
      </c>
      <c r="G4552">
        <v>224.42</v>
      </c>
      <c r="H4552" t="s">
        <v>2060</v>
      </c>
      <c r="I4552" t="str">
        <f>VLOOKUP(B4552,Customers!A:G,7,FALSE)</f>
        <v>Student</v>
      </c>
      <c r="Q4552" t="str">
        <f>IF(COUNTIF(Customers!$A$2:$A$1001,B4552)&gt;0,"Valid","Invalid")</f>
        <v>Valid</v>
      </c>
      <c r="R4552" t="str">
        <f>IF(COUNTIF(Branches!$A$2:$A$11,F4552)&gt;0,"Valid","Invalid")</f>
        <v>Valid</v>
      </c>
    </row>
    <row r="4553" spans="1:18" x14ac:dyDescent="0.25">
      <c r="A4553" t="s">
        <v>6624</v>
      </c>
      <c r="B4553" t="s">
        <v>241</v>
      </c>
      <c r="C4553" s="8">
        <v>46149</v>
      </c>
      <c r="D4553" t="s">
        <v>2058</v>
      </c>
      <c r="E4553" t="s">
        <v>2063</v>
      </c>
      <c r="F4553" t="s">
        <v>11</v>
      </c>
      <c r="G4553">
        <v>648.72</v>
      </c>
      <c r="H4553" t="s">
        <v>2060</v>
      </c>
      <c r="I4553" t="str">
        <f>VLOOKUP(B4553,Customers!A:G,7,FALSE)</f>
        <v>Individual</v>
      </c>
      <c r="Q4553" t="str">
        <f>IF(COUNTIF(Customers!$A$2:$A$1001,B4553)&gt;0,"Valid","Invalid")</f>
        <v>Valid</v>
      </c>
      <c r="R4553" t="str">
        <f>IF(COUNTIF(Branches!$A$2:$A$11,F4553)&gt;0,"Valid","Invalid")</f>
        <v>Valid</v>
      </c>
    </row>
    <row r="4554" spans="1:18" x14ac:dyDescent="0.25">
      <c r="A4554" t="s">
        <v>6625</v>
      </c>
      <c r="B4554" t="s">
        <v>1023</v>
      </c>
      <c r="C4554" s="8">
        <v>46217</v>
      </c>
      <c r="D4554" t="s">
        <v>2065</v>
      </c>
      <c r="E4554" t="s">
        <v>2076</v>
      </c>
      <c r="F4554" t="s">
        <v>27</v>
      </c>
      <c r="G4554">
        <v>3469.12</v>
      </c>
      <c r="H4554" t="s">
        <v>2060</v>
      </c>
      <c r="I4554" t="str">
        <f>VLOOKUP(B4554,Customers!A:G,7,FALSE)</f>
        <v>SME</v>
      </c>
      <c r="Q4554" t="str">
        <f>IF(COUNTIF(Customers!$A$2:$A$1001,B4554)&gt;0,"Valid","Invalid")</f>
        <v>Valid</v>
      </c>
      <c r="R4554" t="str">
        <f>IF(COUNTIF(Branches!$A$2:$A$11,F4554)&gt;0,"Valid","Invalid")</f>
        <v>Valid</v>
      </c>
    </row>
    <row r="4555" spans="1:18" x14ac:dyDescent="0.25">
      <c r="A4555" t="s">
        <v>6626</v>
      </c>
      <c r="B4555" t="s">
        <v>990</v>
      </c>
      <c r="C4555" s="8">
        <v>46214</v>
      </c>
      <c r="D4555" t="s">
        <v>2067</v>
      </c>
      <c r="E4555" t="s">
        <v>2073</v>
      </c>
      <c r="F4555" t="s">
        <v>11</v>
      </c>
      <c r="G4555">
        <v>272.45</v>
      </c>
      <c r="H4555" t="s">
        <v>2060</v>
      </c>
      <c r="I4555" t="str">
        <f>VLOOKUP(B4555,Customers!A:G,7,FALSE)</f>
        <v>Individual</v>
      </c>
      <c r="Q4555" t="str">
        <f>IF(COUNTIF(Customers!$A$2:$A$1001,B4555)&gt;0,"Valid","Invalid")</f>
        <v>Valid</v>
      </c>
      <c r="R4555" t="str">
        <f>IF(COUNTIF(Branches!$A$2:$A$11,F4555)&gt;0,"Valid","Invalid")</f>
        <v>Valid</v>
      </c>
    </row>
    <row r="4556" spans="1:18" x14ac:dyDescent="0.25">
      <c r="A4556" t="s">
        <v>6627</v>
      </c>
      <c r="B4556" t="s">
        <v>50</v>
      </c>
      <c r="C4556" s="8">
        <v>46090</v>
      </c>
      <c r="D4556" t="s">
        <v>2067</v>
      </c>
      <c r="E4556" t="s">
        <v>2059</v>
      </c>
      <c r="F4556" t="s">
        <v>45</v>
      </c>
      <c r="G4556">
        <v>215.01</v>
      </c>
      <c r="H4556" t="s">
        <v>2115</v>
      </c>
      <c r="I4556" t="str">
        <f>VLOOKUP(B4556,Customers!A:G,7,FALSE)</f>
        <v>SME</v>
      </c>
      <c r="Q4556" t="str">
        <f>IF(COUNTIF(Customers!$A$2:$A$1001,B4556)&gt;0,"Valid","Invalid")</f>
        <v>Valid</v>
      </c>
      <c r="R4556" t="str">
        <f>IF(COUNTIF(Branches!$A$2:$A$11,F4556)&gt;0,"Valid","Invalid")</f>
        <v>Valid</v>
      </c>
    </row>
    <row r="4557" spans="1:18" x14ac:dyDescent="0.25">
      <c r="A4557" t="s">
        <v>6628</v>
      </c>
      <c r="B4557" t="s">
        <v>752</v>
      </c>
      <c r="C4557" s="8">
        <v>46155</v>
      </c>
      <c r="D4557" t="s">
        <v>2070</v>
      </c>
      <c r="E4557" t="s">
        <v>2063</v>
      </c>
      <c r="F4557" t="s">
        <v>16</v>
      </c>
      <c r="G4557">
        <v>233.06</v>
      </c>
      <c r="H4557" t="s">
        <v>2060</v>
      </c>
      <c r="I4557" t="str">
        <f>VLOOKUP(B4557,Customers!A:G,7,FALSE)</f>
        <v>Individual</v>
      </c>
      <c r="Q4557" t="str">
        <f>IF(COUNTIF(Customers!$A$2:$A$1001,B4557)&gt;0,"Valid","Invalid")</f>
        <v>Valid</v>
      </c>
      <c r="R4557" t="str">
        <f>IF(COUNTIF(Branches!$A$2:$A$11,F4557)&gt;0,"Valid","Invalid")</f>
        <v>Valid</v>
      </c>
    </row>
    <row r="4558" spans="1:18" x14ac:dyDescent="0.25">
      <c r="A4558" t="s">
        <v>6629</v>
      </c>
      <c r="B4558" t="s">
        <v>514</v>
      </c>
      <c r="C4558" s="8">
        <v>46264</v>
      </c>
      <c r="D4558" t="s">
        <v>2065</v>
      </c>
      <c r="E4558" t="s">
        <v>2063</v>
      </c>
      <c r="F4558" t="s">
        <v>11</v>
      </c>
      <c r="G4558">
        <v>11636</v>
      </c>
      <c r="H4558" t="s">
        <v>2060</v>
      </c>
      <c r="I4558" t="str">
        <f>VLOOKUP(B4558,Customers!A:G,7,FALSE)</f>
        <v>Student</v>
      </c>
      <c r="Q4558" t="str">
        <f>IF(COUNTIF(Customers!$A$2:$A$1001,B4558)&gt;0,"Valid","Invalid")</f>
        <v>Valid</v>
      </c>
      <c r="R4558" t="str">
        <f>IF(COUNTIF(Branches!$A$2:$A$11,F4558)&gt;0,"Valid","Invalid")</f>
        <v>Valid</v>
      </c>
    </row>
    <row r="4559" spans="1:18" x14ac:dyDescent="0.25">
      <c r="A4559" t="s">
        <v>6630</v>
      </c>
      <c r="B4559" t="s">
        <v>549</v>
      </c>
      <c r="C4559" s="8">
        <v>46112</v>
      </c>
      <c r="D4559" t="s">
        <v>2070</v>
      </c>
      <c r="E4559" t="s">
        <v>2063</v>
      </c>
      <c r="F4559" t="s">
        <v>29</v>
      </c>
      <c r="G4559">
        <v>1293.17</v>
      </c>
      <c r="H4559" t="s">
        <v>2060</v>
      </c>
      <c r="I4559" t="str">
        <f>VLOOKUP(B4559,Customers!A:G,7,FALSE)</f>
        <v>Individual</v>
      </c>
      <c r="Q4559" t="str">
        <f>IF(COUNTIF(Customers!$A$2:$A$1001,B4559)&gt;0,"Valid","Invalid")</f>
        <v>Valid</v>
      </c>
      <c r="R4559" t="str">
        <f>IF(COUNTIF(Branches!$A$2:$A$11,F4559)&gt;0,"Valid","Invalid")</f>
        <v>Valid</v>
      </c>
    </row>
    <row r="4560" spans="1:18" x14ac:dyDescent="0.25">
      <c r="A4560" t="s">
        <v>6631</v>
      </c>
      <c r="B4560" t="s">
        <v>247</v>
      </c>
      <c r="C4560" s="8">
        <v>46111</v>
      </c>
      <c r="D4560" t="s">
        <v>2070</v>
      </c>
      <c r="E4560" t="s">
        <v>2063</v>
      </c>
      <c r="F4560" t="s">
        <v>47</v>
      </c>
      <c r="G4560">
        <v>620.01</v>
      </c>
      <c r="H4560" t="s">
        <v>2060</v>
      </c>
      <c r="I4560" t="str">
        <f>VLOOKUP(B4560,Customers!A:G,7,FALSE)</f>
        <v>Individual</v>
      </c>
      <c r="Q4560" t="str">
        <f>IF(COUNTIF(Customers!$A$2:$A$1001,B4560)&gt;0,"Valid","Invalid")</f>
        <v>Valid</v>
      </c>
      <c r="R4560" t="str">
        <f>IF(COUNTIF(Branches!$A$2:$A$11,F4560)&gt;0,"Valid","Invalid")</f>
        <v>Valid</v>
      </c>
    </row>
    <row r="4561" spans="1:18" x14ac:dyDescent="0.25">
      <c r="A4561" t="s">
        <v>6632</v>
      </c>
      <c r="B4561" t="s">
        <v>537</v>
      </c>
      <c r="C4561" s="8">
        <v>46032</v>
      </c>
      <c r="D4561" t="s">
        <v>2070</v>
      </c>
      <c r="E4561" t="s">
        <v>2059</v>
      </c>
      <c r="F4561" t="s">
        <v>29</v>
      </c>
      <c r="G4561">
        <v>869.85</v>
      </c>
      <c r="H4561" t="s">
        <v>2060</v>
      </c>
      <c r="I4561" t="str">
        <f>VLOOKUP(B4561,Customers!A:G,7,FALSE)</f>
        <v>Individual</v>
      </c>
      <c r="Q4561" t="str">
        <f>IF(COUNTIF(Customers!$A$2:$A$1001,B4561)&gt;0,"Valid","Invalid")</f>
        <v>Valid</v>
      </c>
      <c r="R4561" t="str">
        <f>IF(COUNTIF(Branches!$A$2:$A$11,F4561)&gt;0,"Valid","Invalid")</f>
        <v>Valid</v>
      </c>
    </row>
    <row r="4562" spans="1:18" x14ac:dyDescent="0.25">
      <c r="A4562" t="s">
        <v>6633</v>
      </c>
      <c r="B4562" t="s">
        <v>440</v>
      </c>
      <c r="C4562" s="8">
        <v>46030</v>
      </c>
      <c r="D4562" t="s">
        <v>2067</v>
      </c>
      <c r="E4562" t="s">
        <v>2063</v>
      </c>
      <c r="F4562" t="s">
        <v>11</v>
      </c>
      <c r="G4562">
        <v>1020.08</v>
      </c>
      <c r="H4562" t="s">
        <v>2060</v>
      </c>
      <c r="I4562" t="str">
        <f>VLOOKUP(B4562,Customers!A:G,7,FALSE)</f>
        <v>Individual</v>
      </c>
      <c r="Q4562" t="str">
        <f>IF(COUNTIF(Customers!$A$2:$A$1001,B4562)&gt;0,"Valid","Invalid")</f>
        <v>Valid</v>
      </c>
      <c r="R4562" t="str">
        <f>IF(COUNTIF(Branches!$A$2:$A$11,F4562)&gt;0,"Valid","Invalid")</f>
        <v>Valid</v>
      </c>
    </row>
    <row r="4563" spans="1:18" x14ac:dyDescent="0.25">
      <c r="A4563" t="s">
        <v>6634</v>
      </c>
      <c r="B4563" t="s">
        <v>467</v>
      </c>
      <c r="C4563" s="8">
        <v>46034</v>
      </c>
      <c r="D4563" t="s">
        <v>2070</v>
      </c>
      <c r="E4563" t="s">
        <v>2063</v>
      </c>
      <c r="F4563" t="s">
        <v>39</v>
      </c>
      <c r="G4563">
        <v>428.18</v>
      </c>
      <c r="H4563" t="s">
        <v>2060</v>
      </c>
      <c r="I4563" t="str">
        <f>VLOOKUP(B4563,Customers!A:G,7,FALSE)</f>
        <v>SME</v>
      </c>
      <c r="Q4563" t="str">
        <f>IF(COUNTIF(Customers!$A$2:$A$1001,B4563)&gt;0,"Valid","Invalid")</f>
        <v>Valid</v>
      </c>
      <c r="R4563" t="str">
        <f>IF(COUNTIF(Branches!$A$2:$A$11,F4563)&gt;0,"Valid","Invalid")</f>
        <v>Valid</v>
      </c>
    </row>
    <row r="4564" spans="1:18" x14ac:dyDescent="0.25">
      <c r="A4564" t="s">
        <v>6635</v>
      </c>
      <c r="B4564" t="s">
        <v>1030</v>
      </c>
      <c r="C4564" s="8">
        <v>46086</v>
      </c>
      <c r="D4564" t="s">
        <v>2067</v>
      </c>
      <c r="E4564" t="s">
        <v>2059</v>
      </c>
      <c r="F4564" t="s">
        <v>27</v>
      </c>
      <c r="G4564">
        <v>484.34</v>
      </c>
      <c r="H4564" t="s">
        <v>2060</v>
      </c>
      <c r="I4564" t="str">
        <f>VLOOKUP(B4564,Customers!A:G,7,FALSE)</f>
        <v>Individual</v>
      </c>
      <c r="Q4564" t="str">
        <f>IF(COUNTIF(Customers!$A$2:$A$1001,B4564)&gt;0,"Valid","Invalid")</f>
        <v>Valid</v>
      </c>
      <c r="R4564" t="str">
        <f>IF(COUNTIF(Branches!$A$2:$A$11,F4564)&gt;0,"Valid","Invalid")</f>
        <v>Valid</v>
      </c>
    </row>
    <row r="4565" spans="1:18" x14ac:dyDescent="0.25">
      <c r="A4565" t="s">
        <v>6636</v>
      </c>
      <c r="B4565" t="s">
        <v>114</v>
      </c>
      <c r="C4565" s="8">
        <v>46140</v>
      </c>
      <c r="D4565" t="s">
        <v>2065</v>
      </c>
      <c r="E4565" t="s">
        <v>2059</v>
      </c>
      <c r="F4565" t="s">
        <v>47</v>
      </c>
      <c r="G4565">
        <v>693.89</v>
      </c>
      <c r="H4565" t="s">
        <v>2060</v>
      </c>
      <c r="I4565" t="str">
        <f>VLOOKUP(B4565,Customers!A:G,7,FALSE)</f>
        <v>Individual</v>
      </c>
      <c r="Q4565" t="str">
        <f>IF(COUNTIF(Customers!$A$2:$A$1001,B4565)&gt;0,"Valid","Invalid")</f>
        <v>Valid</v>
      </c>
      <c r="R4565" t="str">
        <f>IF(COUNTIF(Branches!$A$2:$A$11,F4565)&gt;0,"Valid","Invalid")</f>
        <v>Valid</v>
      </c>
    </row>
    <row r="4566" spans="1:18" x14ac:dyDescent="0.25">
      <c r="A4566" t="s">
        <v>6637</v>
      </c>
      <c r="B4566" t="s">
        <v>606</v>
      </c>
      <c r="C4566" s="8">
        <v>46081</v>
      </c>
      <c r="D4566" t="s">
        <v>2065</v>
      </c>
      <c r="E4566" t="s">
        <v>2059</v>
      </c>
      <c r="F4566" t="s">
        <v>21</v>
      </c>
      <c r="G4566">
        <v>393.56</v>
      </c>
      <c r="H4566" t="s">
        <v>2060</v>
      </c>
      <c r="I4566" t="str">
        <f>VLOOKUP(B4566,Customers!A:G,7,FALSE)</f>
        <v>SME</v>
      </c>
      <c r="Q4566" t="str">
        <f>IF(COUNTIF(Customers!$A$2:$A$1001,B4566)&gt;0,"Valid","Invalid")</f>
        <v>Valid</v>
      </c>
      <c r="R4566" t="str">
        <f>IF(COUNTIF(Branches!$A$2:$A$11,F4566)&gt;0,"Valid","Invalid")</f>
        <v>Valid</v>
      </c>
    </row>
    <row r="4567" spans="1:18" x14ac:dyDescent="0.25">
      <c r="A4567" t="s">
        <v>6638</v>
      </c>
      <c r="B4567" t="s">
        <v>116</v>
      </c>
      <c r="C4567" s="8">
        <v>46217</v>
      </c>
      <c r="D4567" t="s">
        <v>2070</v>
      </c>
      <c r="E4567" t="s">
        <v>2076</v>
      </c>
      <c r="F4567" t="s">
        <v>29</v>
      </c>
      <c r="G4567">
        <v>546.24</v>
      </c>
      <c r="H4567" t="s">
        <v>2060</v>
      </c>
      <c r="I4567" t="str">
        <f>VLOOKUP(B4567,Customers!A:G,7,FALSE)</f>
        <v>Individual</v>
      </c>
      <c r="Q4567" t="str">
        <f>IF(COUNTIF(Customers!$A$2:$A$1001,B4567)&gt;0,"Valid","Invalid")</f>
        <v>Valid</v>
      </c>
      <c r="R4567" t="str">
        <f>IF(COUNTIF(Branches!$A$2:$A$11,F4567)&gt;0,"Valid","Invalid")</f>
        <v>Valid</v>
      </c>
    </row>
    <row r="4568" spans="1:18" x14ac:dyDescent="0.25">
      <c r="A4568" t="s">
        <v>6639</v>
      </c>
      <c r="B4568" t="s">
        <v>344</v>
      </c>
      <c r="C4568" s="8">
        <v>46241</v>
      </c>
      <c r="D4568" t="s">
        <v>2065</v>
      </c>
      <c r="E4568" t="s">
        <v>2063</v>
      </c>
      <c r="F4568" t="s">
        <v>47</v>
      </c>
      <c r="G4568">
        <v>1156.43</v>
      </c>
      <c r="H4568" t="s">
        <v>2060</v>
      </c>
      <c r="I4568" t="str">
        <f>VLOOKUP(B4568,Customers!A:G,7,FALSE)</f>
        <v>SME</v>
      </c>
      <c r="Q4568" t="str">
        <f>IF(COUNTIF(Customers!$A$2:$A$1001,B4568)&gt;0,"Valid","Invalid")</f>
        <v>Valid</v>
      </c>
      <c r="R4568" t="str">
        <f>IF(COUNTIF(Branches!$A$2:$A$11,F4568)&gt;0,"Valid","Invalid")</f>
        <v>Valid</v>
      </c>
    </row>
    <row r="4569" spans="1:18" x14ac:dyDescent="0.25">
      <c r="A4569" t="s">
        <v>6640</v>
      </c>
      <c r="B4569" t="s">
        <v>94</v>
      </c>
      <c r="C4569" s="8">
        <v>46072</v>
      </c>
      <c r="D4569" t="s">
        <v>2058</v>
      </c>
      <c r="E4569" t="s">
        <v>2063</v>
      </c>
      <c r="F4569" t="s">
        <v>39</v>
      </c>
      <c r="G4569">
        <v>299.72000000000003</v>
      </c>
      <c r="H4569" t="s">
        <v>2060</v>
      </c>
      <c r="I4569" t="str">
        <f>VLOOKUP(B4569,Customers!A:G,7,FALSE)</f>
        <v>Individual</v>
      </c>
      <c r="Q4569" t="str">
        <f>IF(COUNTIF(Customers!$A$2:$A$1001,B4569)&gt;0,"Valid","Invalid")</f>
        <v>Valid</v>
      </c>
      <c r="R4569" t="str">
        <f>IF(COUNTIF(Branches!$A$2:$A$11,F4569)&gt;0,"Valid","Invalid")</f>
        <v>Valid</v>
      </c>
    </row>
    <row r="4570" spans="1:18" x14ac:dyDescent="0.25">
      <c r="A4570" t="s">
        <v>6641</v>
      </c>
      <c r="B4570" t="s">
        <v>568</v>
      </c>
      <c r="C4570" s="8">
        <v>46173</v>
      </c>
      <c r="D4570" t="s">
        <v>2065</v>
      </c>
      <c r="E4570" t="s">
        <v>2063</v>
      </c>
      <c r="F4570" t="s">
        <v>47</v>
      </c>
      <c r="G4570">
        <v>11047.39</v>
      </c>
      <c r="H4570" t="s">
        <v>2060</v>
      </c>
      <c r="I4570" t="str">
        <f>VLOOKUP(B4570,Customers!A:G,7,FALSE)</f>
        <v>Individual</v>
      </c>
      <c r="Q4570" t="str">
        <f>IF(COUNTIF(Customers!$A$2:$A$1001,B4570)&gt;0,"Valid","Invalid")</f>
        <v>Valid</v>
      </c>
      <c r="R4570" t="str">
        <f>IF(COUNTIF(Branches!$A$2:$A$11,F4570)&gt;0,"Valid","Invalid")</f>
        <v>Valid</v>
      </c>
    </row>
    <row r="4571" spans="1:18" x14ac:dyDescent="0.25">
      <c r="A4571" t="s">
        <v>6642</v>
      </c>
      <c r="B4571" t="s">
        <v>245</v>
      </c>
      <c r="C4571" s="8">
        <v>46062</v>
      </c>
      <c r="D4571" t="s">
        <v>2067</v>
      </c>
      <c r="E4571" t="s">
        <v>2059</v>
      </c>
      <c r="F4571" t="s">
        <v>39</v>
      </c>
      <c r="G4571">
        <v>1725.3</v>
      </c>
      <c r="H4571" t="s">
        <v>2060</v>
      </c>
      <c r="I4571" t="str">
        <f>VLOOKUP(B4571,Customers!A:G,7,FALSE)</f>
        <v>Individual</v>
      </c>
      <c r="Q4571" t="str">
        <f>IF(COUNTIF(Customers!$A$2:$A$1001,B4571)&gt;0,"Valid","Invalid")</f>
        <v>Valid</v>
      </c>
      <c r="R4571" t="str">
        <f>IF(COUNTIF(Branches!$A$2:$A$11,F4571)&gt;0,"Valid","Invalid")</f>
        <v>Valid</v>
      </c>
    </row>
    <row r="4572" spans="1:18" x14ac:dyDescent="0.25">
      <c r="A4572" t="s">
        <v>6643</v>
      </c>
      <c r="B4572" t="s">
        <v>549</v>
      </c>
      <c r="C4572" s="8">
        <v>46144</v>
      </c>
      <c r="D4572" t="s">
        <v>2065</v>
      </c>
      <c r="E4572" t="s">
        <v>2063</v>
      </c>
      <c r="F4572" t="s">
        <v>16</v>
      </c>
      <c r="G4572">
        <v>228.13</v>
      </c>
      <c r="H4572" t="s">
        <v>2060</v>
      </c>
      <c r="I4572" t="str">
        <f>VLOOKUP(B4572,Customers!A:G,7,FALSE)</f>
        <v>Individual</v>
      </c>
      <c r="Q4572" t="str">
        <f>IF(COUNTIF(Customers!$A$2:$A$1001,B4572)&gt;0,"Valid","Invalid")</f>
        <v>Valid</v>
      </c>
      <c r="R4572" t="str">
        <f>IF(COUNTIF(Branches!$A$2:$A$11,F4572)&gt;0,"Valid","Invalid")</f>
        <v>Valid</v>
      </c>
    </row>
    <row r="4573" spans="1:18" x14ac:dyDescent="0.25">
      <c r="A4573" t="s">
        <v>6644</v>
      </c>
      <c r="B4573" t="s">
        <v>1015</v>
      </c>
      <c r="C4573" s="8">
        <v>46119</v>
      </c>
      <c r="D4573" t="s">
        <v>2062</v>
      </c>
      <c r="E4573" t="s">
        <v>2076</v>
      </c>
      <c r="F4573" t="s">
        <v>45</v>
      </c>
      <c r="G4573">
        <v>68.180000000000007</v>
      </c>
      <c r="H4573" t="s">
        <v>2060</v>
      </c>
      <c r="I4573" t="str">
        <f>VLOOKUP(B4573,Customers!A:G,7,FALSE)</f>
        <v>SME</v>
      </c>
      <c r="Q4573" t="str">
        <f>IF(COUNTIF(Customers!$A$2:$A$1001,B4573)&gt;0,"Valid","Invalid")</f>
        <v>Valid</v>
      </c>
      <c r="R4573" t="str">
        <f>IF(COUNTIF(Branches!$A$2:$A$11,F4573)&gt;0,"Valid","Invalid")</f>
        <v>Valid</v>
      </c>
    </row>
    <row r="4574" spans="1:18" x14ac:dyDescent="0.25">
      <c r="A4574" t="s">
        <v>6645</v>
      </c>
      <c r="B4574" t="s">
        <v>171</v>
      </c>
      <c r="C4574" s="8">
        <v>46228</v>
      </c>
      <c r="D4574" t="s">
        <v>2058</v>
      </c>
      <c r="E4574" t="s">
        <v>2063</v>
      </c>
      <c r="F4574" t="s">
        <v>47</v>
      </c>
      <c r="G4574">
        <v>408.5</v>
      </c>
      <c r="H4574" t="s">
        <v>2060</v>
      </c>
      <c r="I4574" t="str">
        <f>VLOOKUP(B4574,Customers!A:G,7,FALSE)</f>
        <v>Corporate</v>
      </c>
      <c r="Q4574" t="str">
        <f>IF(COUNTIF(Customers!$A$2:$A$1001,B4574)&gt;0,"Valid","Invalid")</f>
        <v>Valid</v>
      </c>
      <c r="R4574" t="str">
        <f>IF(COUNTIF(Branches!$A$2:$A$11,F4574)&gt;0,"Valid","Invalid")</f>
        <v>Valid</v>
      </c>
    </row>
    <row r="4575" spans="1:18" x14ac:dyDescent="0.25">
      <c r="A4575" t="s">
        <v>6646</v>
      </c>
      <c r="B4575" t="s">
        <v>882</v>
      </c>
      <c r="C4575" s="8">
        <v>46149</v>
      </c>
      <c r="D4575" t="s">
        <v>2062</v>
      </c>
      <c r="E4575" t="s">
        <v>2073</v>
      </c>
      <c r="F4575" t="s">
        <v>27</v>
      </c>
      <c r="G4575">
        <v>1610.6</v>
      </c>
      <c r="H4575" t="s">
        <v>2060</v>
      </c>
      <c r="I4575" t="str">
        <f>VLOOKUP(B4575,Customers!A:G,7,FALSE)</f>
        <v>Individual</v>
      </c>
      <c r="Q4575" t="str">
        <f>IF(COUNTIF(Customers!$A$2:$A$1001,B4575)&gt;0,"Valid","Invalid")</f>
        <v>Valid</v>
      </c>
      <c r="R4575" t="str">
        <f>IF(COUNTIF(Branches!$A$2:$A$11,F4575)&gt;0,"Valid","Invalid")</f>
        <v>Valid</v>
      </c>
    </row>
    <row r="4576" spans="1:18" x14ac:dyDescent="0.25">
      <c r="A4576" t="s">
        <v>6647</v>
      </c>
      <c r="B4576" t="s">
        <v>1032</v>
      </c>
      <c r="C4576" s="8">
        <v>46109</v>
      </c>
      <c r="D4576" t="s">
        <v>2058</v>
      </c>
      <c r="E4576" t="s">
        <v>2059</v>
      </c>
      <c r="F4576" t="s">
        <v>53</v>
      </c>
      <c r="G4576">
        <v>1326.73</v>
      </c>
      <c r="H4576" t="s">
        <v>2060</v>
      </c>
      <c r="I4576" t="str">
        <f>VLOOKUP(B4576,Customers!A:G,7,FALSE)</f>
        <v>Individual</v>
      </c>
      <c r="Q4576" t="str">
        <f>IF(COUNTIF(Customers!$A$2:$A$1001,B4576)&gt;0,"Valid","Invalid")</f>
        <v>Valid</v>
      </c>
      <c r="R4576" t="str">
        <f>IF(COUNTIF(Branches!$A$2:$A$11,F4576)&gt;0,"Valid","Invalid")</f>
        <v>Valid</v>
      </c>
    </row>
    <row r="4577" spans="1:18" x14ac:dyDescent="0.25">
      <c r="A4577" t="s">
        <v>6648</v>
      </c>
      <c r="B4577" t="s">
        <v>560</v>
      </c>
      <c r="C4577" s="8">
        <v>46245</v>
      </c>
      <c r="D4577" t="s">
        <v>2070</v>
      </c>
      <c r="E4577" t="s">
        <v>2059</v>
      </c>
      <c r="F4577" t="s">
        <v>16</v>
      </c>
      <c r="G4577">
        <v>727.16</v>
      </c>
      <c r="H4577" t="s">
        <v>2060</v>
      </c>
      <c r="I4577" t="str">
        <f>VLOOKUP(B4577,Customers!A:G,7,FALSE)</f>
        <v>Individual</v>
      </c>
      <c r="Q4577" t="str">
        <f>IF(COUNTIF(Customers!$A$2:$A$1001,B4577)&gt;0,"Valid","Invalid")</f>
        <v>Valid</v>
      </c>
      <c r="R4577" t="str">
        <f>IF(COUNTIF(Branches!$A$2:$A$11,F4577)&gt;0,"Valid","Invalid")</f>
        <v>Valid</v>
      </c>
    </row>
    <row r="4578" spans="1:18" x14ac:dyDescent="0.25">
      <c r="A4578" t="s">
        <v>6649</v>
      </c>
      <c r="B4578" t="s">
        <v>619</v>
      </c>
      <c r="C4578" s="8">
        <v>46099</v>
      </c>
      <c r="D4578" t="s">
        <v>2058</v>
      </c>
      <c r="E4578" t="s">
        <v>2068</v>
      </c>
      <c r="F4578" t="s">
        <v>16</v>
      </c>
      <c r="G4578">
        <v>445.22</v>
      </c>
      <c r="H4578" t="s">
        <v>2060</v>
      </c>
      <c r="I4578" t="str">
        <f>VLOOKUP(B4578,Customers!A:G,7,FALSE)</f>
        <v>Individual</v>
      </c>
      <c r="Q4578" t="str">
        <f>IF(COUNTIF(Customers!$A$2:$A$1001,B4578)&gt;0,"Valid","Invalid")</f>
        <v>Valid</v>
      </c>
      <c r="R4578" t="str">
        <f>IF(COUNTIF(Branches!$A$2:$A$11,F4578)&gt;0,"Valid","Invalid")</f>
        <v>Valid</v>
      </c>
    </row>
    <row r="4579" spans="1:18" x14ac:dyDescent="0.25">
      <c r="A4579" t="s">
        <v>6650</v>
      </c>
      <c r="B4579" t="s">
        <v>891</v>
      </c>
      <c r="C4579" s="8">
        <v>46143</v>
      </c>
      <c r="D4579" t="s">
        <v>2058</v>
      </c>
      <c r="E4579" t="s">
        <v>2076</v>
      </c>
      <c r="F4579" t="s">
        <v>29</v>
      </c>
      <c r="G4579">
        <v>328.94</v>
      </c>
      <c r="H4579" t="s">
        <v>2060</v>
      </c>
      <c r="I4579" t="str">
        <f>VLOOKUP(B4579,Customers!A:G,7,FALSE)</f>
        <v>SME</v>
      </c>
      <c r="Q4579" t="str">
        <f>IF(COUNTIF(Customers!$A$2:$A$1001,B4579)&gt;0,"Valid","Invalid")</f>
        <v>Valid</v>
      </c>
      <c r="R4579" t="str">
        <f>IF(COUNTIF(Branches!$A$2:$A$11,F4579)&gt;0,"Valid","Invalid")</f>
        <v>Valid</v>
      </c>
    </row>
    <row r="4580" spans="1:18" x14ac:dyDescent="0.25">
      <c r="A4580" t="s">
        <v>6651</v>
      </c>
      <c r="B4580" t="s">
        <v>937</v>
      </c>
      <c r="C4580" s="8">
        <v>46226</v>
      </c>
      <c r="D4580" t="s">
        <v>2058</v>
      </c>
      <c r="E4580" t="s">
        <v>2076</v>
      </c>
      <c r="F4580" t="s">
        <v>35</v>
      </c>
      <c r="G4580">
        <v>543.16999999999996</v>
      </c>
      <c r="H4580" t="s">
        <v>2060</v>
      </c>
      <c r="I4580" t="str">
        <f>VLOOKUP(B4580,Customers!A:G,7,FALSE)</f>
        <v>SME</v>
      </c>
      <c r="Q4580" t="str">
        <f>IF(COUNTIF(Customers!$A$2:$A$1001,B4580)&gt;0,"Valid","Invalid")</f>
        <v>Valid</v>
      </c>
      <c r="R4580" t="str">
        <f>IF(COUNTIF(Branches!$A$2:$A$11,F4580)&gt;0,"Valid","Invalid")</f>
        <v>Valid</v>
      </c>
    </row>
    <row r="4581" spans="1:18" x14ac:dyDescent="0.25">
      <c r="A4581" t="s">
        <v>6652</v>
      </c>
      <c r="B4581" t="s">
        <v>119</v>
      </c>
      <c r="C4581" s="8">
        <v>46249</v>
      </c>
      <c r="D4581" t="s">
        <v>2058</v>
      </c>
      <c r="E4581" t="s">
        <v>2073</v>
      </c>
      <c r="F4581" t="s">
        <v>47</v>
      </c>
      <c r="G4581">
        <v>295.19</v>
      </c>
      <c r="H4581" t="s">
        <v>2060</v>
      </c>
      <c r="I4581" t="str">
        <f>VLOOKUP(B4581,Customers!A:G,7,FALSE)</f>
        <v>Corporate</v>
      </c>
      <c r="Q4581" t="str">
        <f>IF(COUNTIF(Customers!$A$2:$A$1001,B4581)&gt;0,"Valid","Invalid")</f>
        <v>Valid</v>
      </c>
      <c r="R4581" t="str">
        <f>IF(COUNTIF(Branches!$A$2:$A$11,F4581)&gt;0,"Valid","Invalid")</f>
        <v>Valid</v>
      </c>
    </row>
    <row r="4582" spans="1:18" x14ac:dyDescent="0.25">
      <c r="A4582" t="s">
        <v>6653</v>
      </c>
      <c r="B4582" t="s">
        <v>659</v>
      </c>
      <c r="C4582" s="8">
        <v>46168</v>
      </c>
      <c r="D4582" t="s">
        <v>2062</v>
      </c>
      <c r="E4582" t="s">
        <v>2059</v>
      </c>
      <c r="F4582" t="s">
        <v>11</v>
      </c>
      <c r="G4582">
        <v>545.17999999999995</v>
      </c>
      <c r="H4582" t="s">
        <v>2060</v>
      </c>
      <c r="I4582" t="str">
        <f>VLOOKUP(B4582,Customers!A:G,7,FALSE)</f>
        <v>SME</v>
      </c>
      <c r="Q4582" t="str">
        <f>IF(COUNTIF(Customers!$A$2:$A$1001,B4582)&gt;0,"Valid","Invalid")</f>
        <v>Valid</v>
      </c>
      <c r="R4582" t="str">
        <f>IF(COUNTIF(Branches!$A$2:$A$11,F4582)&gt;0,"Valid","Invalid")</f>
        <v>Valid</v>
      </c>
    </row>
    <row r="4583" spans="1:18" x14ac:dyDescent="0.25">
      <c r="A4583" t="s">
        <v>6654</v>
      </c>
      <c r="B4583" t="s">
        <v>79</v>
      </c>
      <c r="C4583" s="8">
        <v>46171</v>
      </c>
      <c r="D4583" t="s">
        <v>2058</v>
      </c>
      <c r="E4583" t="s">
        <v>2068</v>
      </c>
      <c r="F4583" t="s">
        <v>11</v>
      </c>
      <c r="G4583">
        <v>3074.66</v>
      </c>
      <c r="H4583" t="s">
        <v>2060</v>
      </c>
      <c r="I4583" t="str">
        <f>VLOOKUP(B4583,Customers!A:G,7,FALSE)</f>
        <v>Individual</v>
      </c>
      <c r="Q4583" t="str">
        <f>IF(COUNTIF(Customers!$A$2:$A$1001,B4583)&gt;0,"Valid","Invalid")</f>
        <v>Valid</v>
      </c>
      <c r="R4583" t="str">
        <f>IF(COUNTIF(Branches!$A$2:$A$11,F4583)&gt;0,"Valid","Invalid")</f>
        <v>Valid</v>
      </c>
    </row>
    <row r="4584" spans="1:18" x14ac:dyDescent="0.25">
      <c r="A4584" t="s">
        <v>6655</v>
      </c>
      <c r="B4584" t="s">
        <v>521</v>
      </c>
      <c r="C4584" s="8">
        <v>46259</v>
      </c>
      <c r="D4584" t="s">
        <v>2062</v>
      </c>
      <c r="E4584" t="s">
        <v>2059</v>
      </c>
      <c r="F4584" t="s">
        <v>11</v>
      </c>
      <c r="G4584">
        <v>375.69</v>
      </c>
      <c r="H4584" t="s">
        <v>2060</v>
      </c>
      <c r="I4584" t="str">
        <f>VLOOKUP(B4584,Customers!A:G,7,FALSE)</f>
        <v>Individual</v>
      </c>
      <c r="Q4584" t="str">
        <f>IF(COUNTIF(Customers!$A$2:$A$1001,B4584)&gt;0,"Valid","Invalid")</f>
        <v>Valid</v>
      </c>
      <c r="R4584" t="str">
        <f>IF(COUNTIF(Branches!$A$2:$A$11,F4584)&gt;0,"Valid","Invalid")</f>
        <v>Valid</v>
      </c>
    </row>
    <row r="4585" spans="1:18" x14ac:dyDescent="0.25">
      <c r="A4585" t="s">
        <v>6656</v>
      </c>
      <c r="B4585" t="s">
        <v>1004</v>
      </c>
      <c r="C4585" s="8">
        <v>46133</v>
      </c>
      <c r="D4585" t="s">
        <v>2062</v>
      </c>
      <c r="E4585" t="s">
        <v>2068</v>
      </c>
      <c r="F4585" t="s">
        <v>35</v>
      </c>
      <c r="G4585">
        <v>1496.5</v>
      </c>
      <c r="H4585" t="s">
        <v>2060</v>
      </c>
      <c r="I4585" t="str">
        <f>VLOOKUP(B4585,Customers!A:G,7,FALSE)</f>
        <v>SME</v>
      </c>
      <c r="Q4585" t="str">
        <f>IF(COUNTIF(Customers!$A$2:$A$1001,B4585)&gt;0,"Valid","Invalid")</f>
        <v>Valid</v>
      </c>
      <c r="R4585" t="str">
        <f>IF(COUNTIF(Branches!$A$2:$A$11,F4585)&gt;0,"Valid","Invalid")</f>
        <v>Valid</v>
      </c>
    </row>
    <row r="4586" spans="1:18" x14ac:dyDescent="0.25">
      <c r="A4586" t="s">
        <v>6657</v>
      </c>
      <c r="B4586" t="s">
        <v>948</v>
      </c>
      <c r="C4586" s="8">
        <v>46256</v>
      </c>
      <c r="D4586" t="s">
        <v>2065</v>
      </c>
      <c r="E4586" t="s">
        <v>2063</v>
      </c>
      <c r="F4586" t="s">
        <v>11</v>
      </c>
      <c r="G4586">
        <v>1743.11</v>
      </c>
      <c r="H4586" t="s">
        <v>2060</v>
      </c>
      <c r="I4586" t="str">
        <f>VLOOKUP(B4586,Customers!A:G,7,FALSE)</f>
        <v>SME</v>
      </c>
      <c r="Q4586" t="str">
        <f>IF(COUNTIF(Customers!$A$2:$A$1001,B4586)&gt;0,"Valid","Invalid")</f>
        <v>Valid</v>
      </c>
      <c r="R4586" t="str">
        <f>IF(COUNTIF(Branches!$A$2:$A$11,F4586)&gt;0,"Valid","Invalid")</f>
        <v>Valid</v>
      </c>
    </row>
    <row r="4587" spans="1:18" x14ac:dyDescent="0.25">
      <c r="A4587" t="s">
        <v>6658</v>
      </c>
      <c r="B4587" t="s">
        <v>682</v>
      </c>
      <c r="C4587" s="8">
        <v>46151</v>
      </c>
      <c r="D4587" t="s">
        <v>2058</v>
      </c>
      <c r="E4587" t="s">
        <v>2063</v>
      </c>
      <c r="F4587" t="s">
        <v>45</v>
      </c>
      <c r="G4587">
        <v>276</v>
      </c>
      <c r="H4587" t="s">
        <v>2060</v>
      </c>
      <c r="I4587" t="str">
        <f>VLOOKUP(B4587,Customers!A:G,7,FALSE)</f>
        <v>Student</v>
      </c>
      <c r="Q4587" t="str">
        <f>IF(COUNTIF(Customers!$A$2:$A$1001,B4587)&gt;0,"Valid","Invalid")</f>
        <v>Valid</v>
      </c>
      <c r="R4587" t="str">
        <f>IF(COUNTIF(Branches!$A$2:$A$11,F4587)&gt;0,"Valid","Invalid")</f>
        <v>Valid</v>
      </c>
    </row>
    <row r="4588" spans="1:18" x14ac:dyDescent="0.25">
      <c r="A4588" t="s">
        <v>6659</v>
      </c>
      <c r="B4588" t="s">
        <v>531</v>
      </c>
      <c r="C4588" s="8">
        <v>46188</v>
      </c>
      <c r="D4588" t="s">
        <v>2065</v>
      </c>
      <c r="E4588" t="s">
        <v>2076</v>
      </c>
      <c r="F4588" t="s">
        <v>16</v>
      </c>
      <c r="G4588">
        <v>349.54</v>
      </c>
      <c r="H4588" t="s">
        <v>2060</v>
      </c>
      <c r="I4588" t="str">
        <f>VLOOKUP(B4588,Customers!A:G,7,FALSE)</f>
        <v>Individual</v>
      </c>
      <c r="Q4588" t="str">
        <f>IF(COUNTIF(Customers!$A$2:$A$1001,B4588)&gt;0,"Valid","Invalid")</f>
        <v>Valid</v>
      </c>
      <c r="R4588" t="str">
        <f>IF(COUNTIF(Branches!$A$2:$A$11,F4588)&gt;0,"Valid","Invalid")</f>
        <v>Valid</v>
      </c>
    </row>
    <row r="4589" spans="1:18" x14ac:dyDescent="0.25">
      <c r="A4589" t="s">
        <v>6660</v>
      </c>
      <c r="B4589" t="s">
        <v>537</v>
      </c>
      <c r="C4589" s="8">
        <v>46063</v>
      </c>
      <c r="D4589" t="s">
        <v>2058</v>
      </c>
      <c r="E4589" t="s">
        <v>2063</v>
      </c>
      <c r="F4589" t="s">
        <v>45</v>
      </c>
      <c r="G4589">
        <v>2365.9699999999998</v>
      </c>
      <c r="H4589" t="s">
        <v>2060</v>
      </c>
      <c r="I4589" t="str">
        <f>VLOOKUP(B4589,Customers!A:G,7,FALSE)</f>
        <v>Individual</v>
      </c>
      <c r="Q4589" t="str">
        <f>IF(COUNTIF(Customers!$A$2:$A$1001,B4589)&gt;0,"Valid","Invalid")</f>
        <v>Valid</v>
      </c>
      <c r="R4589" t="str">
        <f>IF(COUNTIF(Branches!$A$2:$A$11,F4589)&gt;0,"Valid","Invalid")</f>
        <v>Valid</v>
      </c>
    </row>
    <row r="4590" spans="1:18" x14ac:dyDescent="0.25">
      <c r="A4590" t="s">
        <v>6661</v>
      </c>
      <c r="B4590" t="s">
        <v>51</v>
      </c>
      <c r="C4590" s="8">
        <v>46192</v>
      </c>
      <c r="D4590" t="s">
        <v>2058</v>
      </c>
      <c r="E4590" t="s">
        <v>2063</v>
      </c>
      <c r="F4590" t="s">
        <v>11</v>
      </c>
      <c r="G4590">
        <v>321.89999999999998</v>
      </c>
      <c r="H4590" t="s">
        <v>2060</v>
      </c>
      <c r="I4590" t="str">
        <f>VLOOKUP(B4590,Customers!A:G,7,FALSE)</f>
        <v>Individual</v>
      </c>
      <c r="Q4590" t="str">
        <f>IF(COUNTIF(Customers!$A$2:$A$1001,B4590)&gt;0,"Valid","Invalid")</f>
        <v>Valid</v>
      </c>
      <c r="R4590" t="str">
        <f>IF(COUNTIF(Branches!$A$2:$A$11,F4590)&gt;0,"Valid","Invalid")</f>
        <v>Valid</v>
      </c>
    </row>
    <row r="4591" spans="1:18" x14ac:dyDescent="0.25">
      <c r="A4591" t="s">
        <v>6662</v>
      </c>
      <c r="B4591" t="s">
        <v>643</v>
      </c>
      <c r="C4591" s="8">
        <v>46261</v>
      </c>
      <c r="D4591" t="s">
        <v>2070</v>
      </c>
      <c r="E4591" t="s">
        <v>2063</v>
      </c>
      <c r="F4591" t="s">
        <v>21</v>
      </c>
      <c r="G4591">
        <v>767.02</v>
      </c>
      <c r="H4591" t="s">
        <v>2060</v>
      </c>
      <c r="I4591" t="str">
        <f>VLOOKUP(B4591,Customers!A:G,7,FALSE)</f>
        <v>Individual</v>
      </c>
      <c r="Q4591" t="str">
        <f>IF(COUNTIF(Customers!$A$2:$A$1001,B4591)&gt;0,"Valid","Invalid")</f>
        <v>Valid</v>
      </c>
      <c r="R4591" t="str">
        <f>IF(COUNTIF(Branches!$A$2:$A$11,F4591)&gt;0,"Valid","Invalid")</f>
        <v>Valid</v>
      </c>
    </row>
    <row r="4592" spans="1:18" x14ac:dyDescent="0.25">
      <c r="A4592" t="s">
        <v>6663</v>
      </c>
      <c r="B4592" t="s">
        <v>1033</v>
      </c>
      <c r="C4592" s="8">
        <v>46159</v>
      </c>
      <c r="D4592" t="s">
        <v>2065</v>
      </c>
      <c r="E4592" t="s">
        <v>2076</v>
      </c>
      <c r="F4592" t="s">
        <v>27</v>
      </c>
      <c r="G4592">
        <v>6247.79</v>
      </c>
      <c r="H4592" t="s">
        <v>2060</v>
      </c>
      <c r="I4592" t="str">
        <f>VLOOKUP(B4592,Customers!A:G,7,FALSE)</f>
        <v>Individual</v>
      </c>
      <c r="Q4592" t="str">
        <f>IF(COUNTIF(Customers!$A$2:$A$1001,B4592)&gt;0,"Valid","Invalid")</f>
        <v>Valid</v>
      </c>
      <c r="R4592" t="str">
        <f>IF(COUNTIF(Branches!$A$2:$A$11,F4592)&gt;0,"Valid","Invalid")</f>
        <v>Valid</v>
      </c>
    </row>
    <row r="4593" spans="1:18" x14ac:dyDescent="0.25">
      <c r="A4593" t="s">
        <v>6664</v>
      </c>
      <c r="B4593" t="s">
        <v>986</v>
      </c>
      <c r="C4593" s="8">
        <v>46045</v>
      </c>
      <c r="D4593" t="s">
        <v>2065</v>
      </c>
      <c r="E4593" t="s">
        <v>2068</v>
      </c>
      <c r="F4593" t="s">
        <v>45</v>
      </c>
      <c r="G4593">
        <v>2164.2600000000002</v>
      </c>
      <c r="H4593" t="s">
        <v>2115</v>
      </c>
      <c r="I4593" t="str">
        <f>VLOOKUP(B4593,Customers!A:G,7,FALSE)</f>
        <v>Individual</v>
      </c>
      <c r="Q4593" t="str">
        <f>IF(COUNTIF(Customers!$A$2:$A$1001,B4593)&gt;0,"Valid","Invalid")</f>
        <v>Valid</v>
      </c>
      <c r="R4593" t="str">
        <f>IF(COUNTIF(Branches!$A$2:$A$11,F4593)&gt;0,"Valid","Invalid")</f>
        <v>Valid</v>
      </c>
    </row>
    <row r="4594" spans="1:18" x14ac:dyDescent="0.25">
      <c r="A4594" t="s">
        <v>6665</v>
      </c>
      <c r="B4594" t="s">
        <v>332</v>
      </c>
      <c r="C4594" s="8">
        <v>46100</v>
      </c>
      <c r="D4594" t="s">
        <v>2065</v>
      </c>
      <c r="E4594" t="s">
        <v>2076</v>
      </c>
      <c r="F4594" t="s">
        <v>29</v>
      </c>
      <c r="G4594">
        <v>884.68</v>
      </c>
      <c r="H4594" t="s">
        <v>2060</v>
      </c>
      <c r="I4594" t="str">
        <f>VLOOKUP(B4594,Customers!A:G,7,FALSE)</f>
        <v>Student</v>
      </c>
      <c r="Q4594" t="str">
        <f>IF(COUNTIF(Customers!$A$2:$A$1001,B4594)&gt;0,"Valid","Invalid")</f>
        <v>Valid</v>
      </c>
      <c r="R4594" t="str">
        <f>IF(COUNTIF(Branches!$A$2:$A$11,F4594)&gt;0,"Valid","Invalid")</f>
        <v>Valid</v>
      </c>
    </row>
    <row r="4595" spans="1:18" x14ac:dyDescent="0.25">
      <c r="A4595" t="s">
        <v>6666</v>
      </c>
      <c r="B4595" t="s">
        <v>1014</v>
      </c>
      <c r="C4595" s="8">
        <v>46033</v>
      </c>
      <c r="D4595" t="s">
        <v>2067</v>
      </c>
      <c r="E4595" t="s">
        <v>2068</v>
      </c>
      <c r="F4595" t="s">
        <v>39</v>
      </c>
      <c r="G4595">
        <v>1883.21</v>
      </c>
      <c r="H4595" t="s">
        <v>2060</v>
      </c>
      <c r="I4595" t="str">
        <f>VLOOKUP(B4595,Customers!A:G,7,FALSE)</f>
        <v>SME</v>
      </c>
      <c r="Q4595" t="str">
        <f>IF(COUNTIF(Customers!$A$2:$A$1001,B4595)&gt;0,"Valid","Invalid")</f>
        <v>Valid</v>
      </c>
      <c r="R4595" t="str">
        <f>IF(COUNTIF(Branches!$A$2:$A$11,F4595)&gt;0,"Valid","Invalid")</f>
        <v>Valid</v>
      </c>
    </row>
    <row r="4596" spans="1:18" x14ac:dyDescent="0.25">
      <c r="A4596" t="s">
        <v>6667</v>
      </c>
      <c r="B4596" t="s">
        <v>184</v>
      </c>
      <c r="C4596" s="8">
        <v>46093</v>
      </c>
      <c r="D4596" t="s">
        <v>2062</v>
      </c>
      <c r="E4596" t="s">
        <v>2059</v>
      </c>
      <c r="F4596" t="s">
        <v>21</v>
      </c>
      <c r="G4596">
        <v>768.22</v>
      </c>
      <c r="H4596" t="s">
        <v>2060</v>
      </c>
      <c r="I4596" t="str">
        <f>VLOOKUP(B4596,Customers!A:G,7,FALSE)</f>
        <v>Individual</v>
      </c>
      <c r="Q4596" t="str">
        <f>IF(COUNTIF(Customers!$A$2:$A$1001,B4596)&gt;0,"Valid","Invalid")</f>
        <v>Valid</v>
      </c>
      <c r="R4596" t="str">
        <f>IF(COUNTIF(Branches!$A$2:$A$11,F4596)&gt;0,"Valid","Invalid")</f>
        <v>Valid</v>
      </c>
    </row>
    <row r="4597" spans="1:18" x14ac:dyDescent="0.25">
      <c r="A4597" t="s">
        <v>6668</v>
      </c>
      <c r="B4597" t="s">
        <v>510</v>
      </c>
      <c r="C4597" s="8">
        <v>46181</v>
      </c>
      <c r="D4597" t="s">
        <v>2062</v>
      </c>
      <c r="E4597" t="s">
        <v>2063</v>
      </c>
      <c r="F4597" t="s">
        <v>21</v>
      </c>
      <c r="G4597">
        <v>2248.98</v>
      </c>
      <c r="H4597" t="s">
        <v>2060</v>
      </c>
      <c r="I4597" t="str">
        <f>VLOOKUP(B4597,Customers!A:G,7,FALSE)</f>
        <v>Individual</v>
      </c>
      <c r="Q4597" t="str">
        <f>IF(COUNTIF(Customers!$A$2:$A$1001,B4597)&gt;0,"Valid","Invalid")</f>
        <v>Valid</v>
      </c>
      <c r="R4597" t="str">
        <f>IF(COUNTIF(Branches!$A$2:$A$11,F4597)&gt;0,"Valid","Invalid")</f>
        <v>Valid</v>
      </c>
    </row>
    <row r="4598" spans="1:18" x14ac:dyDescent="0.25">
      <c r="A4598" t="s">
        <v>6669</v>
      </c>
      <c r="B4598" t="s">
        <v>1033</v>
      </c>
      <c r="C4598" s="8">
        <v>46238</v>
      </c>
      <c r="D4598" t="s">
        <v>2062</v>
      </c>
      <c r="E4598" t="s">
        <v>2063</v>
      </c>
      <c r="F4598" t="s">
        <v>16</v>
      </c>
      <c r="G4598">
        <v>104.98</v>
      </c>
      <c r="H4598" t="s">
        <v>2060</v>
      </c>
      <c r="I4598" t="str">
        <f>VLOOKUP(B4598,Customers!A:G,7,FALSE)</f>
        <v>Individual</v>
      </c>
      <c r="Q4598" t="str">
        <f>IF(COUNTIF(Customers!$A$2:$A$1001,B4598)&gt;0,"Valid","Invalid")</f>
        <v>Valid</v>
      </c>
      <c r="R4598" t="str">
        <f>IF(COUNTIF(Branches!$A$2:$A$11,F4598)&gt;0,"Valid","Invalid")</f>
        <v>Valid</v>
      </c>
    </row>
    <row r="4599" spans="1:18" x14ac:dyDescent="0.25">
      <c r="A4599" t="s">
        <v>6670</v>
      </c>
      <c r="B4599" t="s">
        <v>208</v>
      </c>
      <c r="C4599" s="8">
        <v>46048</v>
      </c>
      <c r="D4599" t="s">
        <v>2062</v>
      </c>
      <c r="E4599" t="s">
        <v>2059</v>
      </c>
      <c r="F4599" t="s">
        <v>29</v>
      </c>
      <c r="G4599">
        <v>706.79</v>
      </c>
      <c r="H4599" t="s">
        <v>2060</v>
      </c>
      <c r="I4599" t="str">
        <f>VLOOKUP(B4599,Customers!A:G,7,FALSE)</f>
        <v>Individual</v>
      </c>
      <c r="Q4599" t="str">
        <f>IF(COUNTIF(Customers!$A$2:$A$1001,B4599)&gt;0,"Valid","Invalid")</f>
        <v>Valid</v>
      </c>
      <c r="R4599" t="str">
        <f>IF(COUNTIF(Branches!$A$2:$A$11,F4599)&gt;0,"Valid","Invalid")</f>
        <v>Valid</v>
      </c>
    </row>
    <row r="4600" spans="1:18" x14ac:dyDescent="0.25">
      <c r="A4600" t="s">
        <v>6671</v>
      </c>
      <c r="B4600" t="s">
        <v>601</v>
      </c>
      <c r="C4600" s="8">
        <v>46052</v>
      </c>
      <c r="D4600" t="s">
        <v>2067</v>
      </c>
      <c r="E4600" t="s">
        <v>2063</v>
      </c>
      <c r="F4600" t="s">
        <v>11</v>
      </c>
      <c r="G4600">
        <v>100.85</v>
      </c>
      <c r="H4600" t="s">
        <v>2060</v>
      </c>
      <c r="I4600" t="str">
        <f>VLOOKUP(B4600,Customers!A:G,7,FALSE)</f>
        <v>Individual</v>
      </c>
      <c r="Q4600" t="str">
        <f>IF(COUNTIF(Customers!$A$2:$A$1001,B4600)&gt;0,"Valid","Invalid")</f>
        <v>Valid</v>
      </c>
      <c r="R4600" t="str">
        <f>IF(COUNTIF(Branches!$A$2:$A$11,F4600)&gt;0,"Valid","Invalid")</f>
        <v>Valid</v>
      </c>
    </row>
    <row r="4601" spans="1:18" x14ac:dyDescent="0.25">
      <c r="A4601" t="s">
        <v>6672</v>
      </c>
      <c r="B4601" t="s">
        <v>569</v>
      </c>
      <c r="C4601" s="8">
        <v>46184</v>
      </c>
      <c r="D4601" t="s">
        <v>2065</v>
      </c>
      <c r="E4601" t="s">
        <v>2063</v>
      </c>
      <c r="F4601" t="s">
        <v>53</v>
      </c>
      <c r="G4601">
        <v>954.66</v>
      </c>
      <c r="H4601" t="s">
        <v>2060</v>
      </c>
      <c r="I4601" t="str">
        <f>VLOOKUP(B4601,Customers!A:G,7,FALSE)</f>
        <v>Individual</v>
      </c>
      <c r="Q4601" t="str">
        <f>IF(COUNTIF(Customers!$A$2:$A$1001,B4601)&gt;0,"Valid","Invalid")</f>
        <v>Valid</v>
      </c>
      <c r="R4601" t="str">
        <f>IF(COUNTIF(Branches!$A$2:$A$11,F4601)&gt;0,"Valid","Invalid")</f>
        <v>Valid</v>
      </c>
    </row>
    <row r="4602" spans="1:18" x14ac:dyDescent="0.25">
      <c r="A4602" t="s">
        <v>6673</v>
      </c>
      <c r="B4602" t="s">
        <v>156</v>
      </c>
      <c r="C4602" s="8">
        <v>46196</v>
      </c>
      <c r="D4602" t="s">
        <v>2065</v>
      </c>
      <c r="E4602" t="s">
        <v>2059</v>
      </c>
      <c r="F4602" t="s">
        <v>11</v>
      </c>
      <c r="G4602">
        <v>641.51</v>
      </c>
      <c r="H4602" t="s">
        <v>2060</v>
      </c>
      <c r="I4602" t="str">
        <f>VLOOKUP(B4602,Customers!A:G,7,FALSE)</f>
        <v>Individual</v>
      </c>
      <c r="Q4602" t="str">
        <f>IF(COUNTIF(Customers!$A$2:$A$1001,B4602)&gt;0,"Valid","Invalid")</f>
        <v>Valid</v>
      </c>
      <c r="R4602" t="str">
        <f>IF(COUNTIF(Branches!$A$2:$A$11,F4602)&gt;0,"Valid","Invalid")</f>
        <v>Valid</v>
      </c>
    </row>
    <row r="4603" spans="1:18" x14ac:dyDescent="0.25">
      <c r="A4603" t="s">
        <v>6674</v>
      </c>
      <c r="B4603" t="s">
        <v>874</v>
      </c>
      <c r="C4603" s="8">
        <v>46124</v>
      </c>
      <c r="D4603" t="s">
        <v>2062</v>
      </c>
      <c r="E4603" t="s">
        <v>2076</v>
      </c>
      <c r="F4603" t="s">
        <v>11</v>
      </c>
      <c r="G4603">
        <v>3167.6</v>
      </c>
      <c r="H4603" t="s">
        <v>2060</v>
      </c>
      <c r="I4603" t="str">
        <f>VLOOKUP(B4603,Customers!A:G,7,FALSE)</f>
        <v>Student</v>
      </c>
      <c r="Q4603" t="str">
        <f>IF(COUNTIF(Customers!$A$2:$A$1001,B4603)&gt;0,"Valid","Invalid")</f>
        <v>Valid</v>
      </c>
      <c r="R4603" t="str">
        <f>IF(COUNTIF(Branches!$A$2:$A$11,F4603)&gt;0,"Valid","Invalid")</f>
        <v>Valid</v>
      </c>
    </row>
    <row r="4604" spans="1:18" x14ac:dyDescent="0.25">
      <c r="A4604" t="s">
        <v>6675</v>
      </c>
      <c r="B4604" t="s">
        <v>775</v>
      </c>
      <c r="C4604" s="8">
        <v>46091</v>
      </c>
      <c r="D4604" t="s">
        <v>2062</v>
      </c>
      <c r="E4604" t="s">
        <v>2059</v>
      </c>
      <c r="F4604" t="s">
        <v>47</v>
      </c>
      <c r="G4604">
        <v>1655.45</v>
      </c>
      <c r="H4604" t="s">
        <v>2060</v>
      </c>
      <c r="I4604" t="str">
        <f>VLOOKUP(B4604,Customers!A:G,7,FALSE)</f>
        <v>Student</v>
      </c>
      <c r="Q4604" t="str">
        <f>IF(COUNTIF(Customers!$A$2:$A$1001,B4604)&gt;0,"Valid","Invalid")</f>
        <v>Valid</v>
      </c>
      <c r="R4604" t="str">
        <f>IF(COUNTIF(Branches!$A$2:$A$11,F4604)&gt;0,"Valid","Invalid")</f>
        <v>Valid</v>
      </c>
    </row>
    <row r="4605" spans="1:18" x14ac:dyDescent="0.25">
      <c r="A4605" t="s">
        <v>6676</v>
      </c>
      <c r="B4605" t="s">
        <v>102</v>
      </c>
      <c r="C4605" s="8">
        <v>46155</v>
      </c>
      <c r="D4605" t="s">
        <v>2058</v>
      </c>
      <c r="E4605" t="s">
        <v>2068</v>
      </c>
      <c r="F4605" t="s">
        <v>45</v>
      </c>
      <c r="G4605">
        <v>480.06</v>
      </c>
      <c r="H4605" t="s">
        <v>2060</v>
      </c>
      <c r="I4605" t="str">
        <f>VLOOKUP(B4605,Customers!A:G,7,FALSE)</f>
        <v>Corporate</v>
      </c>
      <c r="Q4605" t="str">
        <f>IF(COUNTIF(Customers!$A$2:$A$1001,B4605)&gt;0,"Valid","Invalid")</f>
        <v>Valid</v>
      </c>
      <c r="R4605" t="str">
        <f>IF(COUNTIF(Branches!$A$2:$A$11,F4605)&gt;0,"Valid","Invalid")</f>
        <v>Valid</v>
      </c>
    </row>
    <row r="4606" spans="1:18" x14ac:dyDescent="0.25">
      <c r="A4606" t="s">
        <v>6677</v>
      </c>
      <c r="B4606" t="s">
        <v>177</v>
      </c>
      <c r="C4606" s="8">
        <v>46211</v>
      </c>
      <c r="D4606" t="s">
        <v>2067</v>
      </c>
      <c r="E4606" t="s">
        <v>2076</v>
      </c>
      <c r="F4606" t="s">
        <v>35</v>
      </c>
      <c r="G4606">
        <v>541.20000000000005</v>
      </c>
      <c r="H4606" t="s">
        <v>2060</v>
      </c>
      <c r="I4606" t="str">
        <f>VLOOKUP(B4606,Customers!A:G,7,FALSE)</f>
        <v>Individual</v>
      </c>
      <c r="Q4606" t="str">
        <f>IF(COUNTIF(Customers!$A$2:$A$1001,B4606)&gt;0,"Valid","Invalid")</f>
        <v>Valid</v>
      </c>
      <c r="R4606" t="str">
        <f>IF(COUNTIF(Branches!$A$2:$A$11,F4606)&gt;0,"Valid","Invalid")</f>
        <v>Valid</v>
      </c>
    </row>
    <row r="4607" spans="1:18" x14ac:dyDescent="0.25">
      <c r="A4607" t="s">
        <v>6678</v>
      </c>
      <c r="B4607" t="s">
        <v>484</v>
      </c>
      <c r="C4607" s="8">
        <v>46233</v>
      </c>
      <c r="D4607" t="s">
        <v>2067</v>
      </c>
      <c r="E4607" t="s">
        <v>2076</v>
      </c>
      <c r="F4607" t="s">
        <v>29</v>
      </c>
      <c r="G4607">
        <v>1188.8</v>
      </c>
      <c r="H4607" t="s">
        <v>2115</v>
      </c>
      <c r="I4607" t="str">
        <f>VLOOKUP(B4607,Customers!A:G,7,FALSE)</f>
        <v>Student</v>
      </c>
      <c r="Q4607" t="str">
        <f>IF(COUNTIF(Customers!$A$2:$A$1001,B4607)&gt;0,"Valid","Invalid")</f>
        <v>Valid</v>
      </c>
      <c r="R4607" t="str">
        <f>IF(COUNTIF(Branches!$A$2:$A$11,F4607)&gt;0,"Valid","Invalid")</f>
        <v>Valid</v>
      </c>
    </row>
    <row r="4608" spans="1:18" x14ac:dyDescent="0.25">
      <c r="A4608" t="s">
        <v>6679</v>
      </c>
      <c r="B4608" t="s">
        <v>544</v>
      </c>
      <c r="C4608" s="8">
        <v>46265</v>
      </c>
      <c r="D4608" t="s">
        <v>2070</v>
      </c>
      <c r="E4608" t="s">
        <v>2073</v>
      </c>
      <c r="F4608" t="s">
        <v>29</v>
      </c>
      <c r="G4608">
        <v>458.26</v>
      </c>
      <c r="H4608" t="s">
        <v>2107</v>
      </c>
      <c r="I4608" t="str">
        <f>VLOOKUP(B4608,Customers!A:G,7,FALSE)</f>
        <v>Student</v>
      </c>
      <c r="Q4608" t="str">
        <f>IF(COUNTIF(Customers!$A$2:$A$1001,B4608)&gt;0,"Valid","Invalid")</f>
        <v>Valid</v>
      </c>
      <c r="R4608" t="str">
        <f>IF(COUNTIF(Branches!$A$2:$A$11,F4608)&gt;0,"Valid","Invalid")</f>
        <v>Valid</v>
      </c>
    </row>
    <row r="4609" spans="1:18" x14ac:dyDescent="0.25">
      <c r="A4609" t="s">
        <v>6680</v>
      </c>
      <c r="B4609" t="s">
        <v>226</v>
      </c>
      <c r="C4609" s="8">
        <v>46188</v>
      </c>
      <c r="D4609" t="s">
        <v>2065</v>
      </c>
      <c r="E4609" t="s">
        <v>2063</v>
      </c>
      <c r="F4609" t="s">
        <v>47</v>
      </c>
      <c r="G4609">
        <v>786.53</v>
      </c>
      <c r="H4609" t="s">
        <v>2060</v>
      </c>
      <c r="I4609" t="str">
        <f>VLOOKUP(B4609,Customers!A:G,7,FALSE)</f>
        <v>Individual</v>
      </c>
      <c r="Q4609" t="str">
        <f>IF(COUNTIF(Customers!$A$2:$A$1001,B4609)&gt;0,"Valid","Invalid")</f>
        <v>Valid</v>
      </c>
      <c r="R4609" t="str">
        <f>IF(COUNTIF(Branches!$A$2:$A$11,F4609)&gt;0,"Valid","Invalid")</f>
        <v>Valid</v>
      </c>
    </row>
    <row r="4610" spans="1:18" x14ac:dyDescent="0.25">
      <c r="A4610" t="s">
        <v>6681</v>
      </c>
      <c r="B4610" t="s">
        <v>194</v>
      </c>
      <c r="C4610" s="8">
        <v>46178</v>
      </c>
      <c r="D4610" t="s">
        <v>2062</v>
      </c>
      <c r="E4610" t="s">
        <v>2076</v>
      </c>
      <c r="F4610" t="s">
        <v>27</v>
      </c>
      <c r="G4610">
        <v>3031.15</v>
      </c>
      <c r="H4610" t="s">
        <v>2060</v>
      </c>
      <c r="I4610" t="str">
        <f>VLOOKUP(B4610,Customers!A:G,7,FALSE)</f>
        <v>SME</v>
      </c>
      <c r="Q4610" t="str">
        <f>IF(COUNTIF(Customers!$A$2:$A$1001,B4610)&gt;0,"Valid","Invalid")</f>
        <v>Valid</v>
      </c>
      <c r="R4610" t="str">
        <f>IF(COUNTIF(Branches!$A$2:$A$11,F4610)&gt;0,"Valid","Invalid")</f>
        <v>Valid</v>
      </c>
    </row>
    <row r="4611" spans="1:18" x14ac:dyDescent="0.25">
      <c r="A4611" t="s">
        <v>6682</v>
      </c>
      <c r="B4611" t="s">
        <v>648</v>
      </c>
      <c r="C4611" s="8">
        <v>46176</v>
      </c>
      <c r="D4611" t="s">
        <v>2067</v>
      </c>
      <c r="E4611" t="s">
        <v>2068</v>
      </c>
      <c r="F4611" t="s">
        <v>45</v>
      </c>
      <c r="G4611">
        <v>354.56</v>
      </c>
      <c r="H4611" t="s">
        <v>2060</v>
      </c>
      <c r="I4611" t="str">
        <f>VLOOKUP(B4611,Customers!A:G,7,FALSE)</f>
        <v>Individual</v>
      </c>
      <c r="Q4611" t="str">
        <f>IF(COUNTIF(Customers!$A$2:$A$1001,B4611)&gt;0,"Valid","Invalid")</f>
        <v>Valid</v>
      </c>
      <c r="R4611" t="str">
        <f>IF(COUNTIF(Branches!$A$2:$A$11,F4611)&gt;0,"Valid","Invalid")</f>
        <v>Valid</v>
      </c>
    </row>
    <row r="4612" spans="1:18" x14ac:dyDescent="0.25">
      <c r="A4612" t="s">
        <v>6683</v>
      </c>
      <c r="B4612" t="s">
        <v>708</v>
      </c>
      <c r="C4612" s="8">
        <v>46083</v>
      </c>
      <c r="D4612" t="s">
        <v>2065</v>
      </c>
      <c r="E4612" t="s">
        <v>2059</v>
      </c>
      <c r="F4612" t="s">
        <v>29</v>
      </c>
      <c r="G4612">
        <v>519.22</v>
      </c>
      <c r="H4612" t="s">
        <v>2060</v>
      </c>
      <c r="I4612" t="str">
        <f>VLOOKUP(B4612,Customers!A:G,7,FALSE)</f>
        <v>Student</v>
      </c>
      <c r="Q4612" t="str">
        <f>IF(COUNTIF(Customers!$A$2:$A$1001,B4612)&gt;0,"Valid","Invalid")</f>
        <v>Valid</v>
      </c>
      <c r="R4612" t="str">
        <f>IF(COUNTIF(Branches!$A$2:$A$11,F4612)&gt;0,"Valid","Invalid")</f>
        <v>Valid</v>
      </c>
    </row>
    <row r="4613" spans="1:18" x14ac:dyDescent="0.25">
      <c r="A4613" t="s">
        <v>6684</v>
      </c>
      <c r="B4613" t="s">
        <v>985</v>
      </c>
      <c r="C4613" s="8">
        <v>46128</v>
      </c>
      <c r="D4613" t="s">
        <v>2062</v>
      </c>
      <c r="E4613" t="s">
        <v>2068</v>
      </c>
      <c r="F4613" t="s">
        <v>39</v>
      </c>
      <c r="G4613">
        <v>597.39</v>
      </c>
      <c r="H4613" t="s">
        <v>2060</v>
      </c>
      <c r="I4613" t="str">
        <f>VLOOKUP(B4613,Customers!A:G,7,FALSE)</f>
        <v>Individual</v>
      </c>
      <c r="Q4613" t="str">
        <f>IF(COUNTIF(Customers!$A$2:$A$1001,B4613)&gt;0,"Valid","Invalid")</f>
        <v>Valid</v>
      </c>
      <c r="R4613" t="str">
        <f>IF(COUNTIF(Branches!$A$2:$A$11,F4613)&gt;0,"Valid","Invalid")</f>
        <v>Valid</v>
      </c>
    </row>
    <row r="4614" spans="1:18" x14ac:dyDescent="0.25">
      <c r="A4614" t="s">
        <v>6685</v>
      </c>
      <c r="B4614" t="s">
        <v>284</v>
      </c>
      <c r="C4614" s="8">
        <v>46045</v>
      </c>
      <c r="D4614" t="s">
        <v>2067</v>
      </c>
      <c r="E4614" t="s">
        <v>2059</v>
      </c>
      <c r="F4614" t="s">
        <v>29</v>
      </c>
      <c r="G4614">
        <v>19112.03</v>
      </c>
      <c r="H4614" t="s">
        <v>2060</v>
      </c>
      <c r="I4614" t="str">
        <f>VLOOKUP(B4614,Customers!A:G,7,FALSE)</f>
        <v>Individual</v>
      </c>
      <c r="Q4614" t="str">
        <f>IF(COUNTIF(Customers!$A$2:$A$1001,B4614)&gt;0,"Valid","Invalid")</f>
        <v>Valid</v>
      </c>
      <c r="R4614" t="str">
        <f>IF(COUNTIF(Branches!$A$2:$A$11,F4614)&gt;0,"Valid","Invalid")</f>
        <v>Valid</v>
      </c>
    </row>
    <row r="4615" spans="1:18" x14ac:dyDescent="0.25">
      <c r="A4615" t="s">
        <v>6686</v>
      </c>
      <c r="B4615" t="s">
        <v>894</v>
      </c>
      <c r="C4615" s="8">
        <v>46196</v>
      </c>
      <c r="D4615" t="s">
        <v>2062</v>
      </c>
      <c r="E4615" t="s">
        <v>2076</v>
      </c>
      <c r="F4615" t="s">
        <v>16</v>
      </c>
      <c r="G4615">
        <v>1492.55</v>
      </c>
      <c r="H4615" t="s">
        <v>2060</v>
      </c>
      <c r="I4615" t="str">
        <f>VLOOKUP(B4615,Customers!A:G,7,FALSE)</f>
        <v>Individual</v>
      </c>
      <c r="Q4615" t="str">
        <f>IF(COUNTIF(Customers!$A$2:$A$1001,B4615)&gt;0,"Valid","Invalid")</f>
        <v>Valid</v>
      </c>
      <c r="R4615" t="str">
        <f>IF(COUNTIF(Branches!$A$2:$A$11,F4615)&gt;0,"Valid","Invalid")</f>
        <v>Valid</v>
      </c>
    </row>
    <row r="4616" spans="1:18" x14ac:dyDescent="0.25">
      <c r="A4616" t="s">
        <v>6687</v>
      </c>
      <c r="B4616" t="s">
        <v>982</v>
      </c>
      <c r="C4616" s="8">
        <v>46135</v>
      </c>
      <c r="D4616" t="s">
        <v>2062</v>
      </c>
      <c r="E4616" t="s">
        <v>2063</v>
      </c>
      <c r="F4616" t="s">
        <v>35</v>
      </c>
      <c r="G4616">
        <v>2520.14</v>
      </c>
      <c r="H4616" t="s">
        <v>2060</v>
      </c>
      <c r="I4616" t="str">
        <f>VLOOKUP(B4616,Customers!A:G,7,FALSE)</f>
        <v>Individual</v>
      </c>
      <c r="Q4616" t="str">
        <f>IF(COUNTIF(Customers!$A$2:$A$1001,B4616)&gt;0,"Valid","Invalid")</f>
        <v>Valid</v>
      </c>
      <c r="R4616" t="str">
        <f>IF(COUNTIF(Branches!$A$2:$A$11,F4616)&gt;0,"Valid","Invalid")</f>
        <v>Valid</v>
      </c>
    </row>
    <row r="4617" spans="1:18" x14ac:dyDescent="0.25">
      <c r="A4617" t="s">
        <v>6688</v>
      </c>
      <c r="B4617" t="s">
        <v>786</v>
      </c>
      <c r="C4617" s="8">
        <v>46052</v>
      </c>
      <c r="D4617" t="s">
        <v>2058</v>
      </c>
      <c r="E4617" t="s">
        <v>2073</v>
      </c>
      <c r="F4617" t="s">
        <v>16</v>
      </c>
      <c r="G4617">
        <v>1751.32</v>
      </c>
      <c r="H4617" t="s">
        <v>2060</v>
      </c>
      <c r="I4617" t="str">
        <f>VLOOKUP(B4617,Customers!A:G,7,FALSE)</f>
        <v>Individual</v>
      </c>
      <c r="Q4617" t="str">
        <f>IF(COUNTIF(Customers!$A$2:$A$1001,B4617)&gt;0,"Valid","Invalid")</f>
        <v>Valid</v>
      </c>
      <c r="R4617" t="str">
        <f>IF(COUNTIF(Branches!$A$2:$A$11,F4617)&gt;0,"Valid","Invalid")</f>
        <v>Valid</v>
      </c>
    </row>
    <row r="4618" spans="1:18" x14ac:dyDescent="0.25">
      <c r="A4618" t="s">
        <v>6689</v>
      </c>
      <c r="B4618" t="s">
        <v>67</v>
      </c>
      <c r="C4618" s="8">
        <v>46089</v>
      </c>
      <c r="D4618" t="s">
        <v>2062</v>
      </c>
      <c r="E4618" t="s">
        <v>2068</v>
      </c>
      <c r="F4618" t="s">
        <v>29</v>
      </c>
      <c r="G4618">
        <v>1873.18</v>
      </c>
      <c r="H4618" t="s">
        <v>2060</v>
      </c>
      <c r="I4618" t="str">
        <f>VLOOKUP(B4618,Customers!A:G,7,FALSE)</f>
        <v>Individual</v>
      </c>
      <c r="Q4618" t="str">
        <f>IF(COUNTIF(Customers!$A$2:$A$1001,B4618)&gt;0,"Valid","Invalid")</f>
        <v>Valid</v>
      </c>
      <c r="R4618" t="str">
        <f>IF(COUNTIF(Branches!$A$2:$A$11,F4618)&gt;0,"Valid","Invalid")</f>
        <v>Valid</v>
      </c>
    </row>
    <row r="4619" spans="1:18" x14ac:dyDescent="0.25">
      <c r="A4619" t="s">
        <v>6690</v>
      </c>
      <c r="B4619" t="s">
        <v>399</v>
      </c>
      <c r="C4619" s="8">
        <v>46242</v>
      </c>
      <c r="D4619" t="s">
        <v>2058</v>
      </c>
      <c r="E4619" t="s">
        <v>2068</v>
      </c>
      <c r="F4619" t="s">
        <v>53</v>
      </c>
      <c r="G4619">
        <v>1304.5</v>
      </c>
      <c r="H4619" t="s">
        <v>2060</v>
      </c>
      <c r="I4619" t="str">
        <f>VLOOKUP(B4619,Customers!A:G,7,FALSE)</f>
        <v>Individual</v>
      </c>
      <c r="Q4619" t="str">
        <f>IF(COUNTIF(Customers!$A$2:$A$1001,B4619)&gt;0,"Valid","Invalid")</f>
        <v>Valid</v>
      </c>
      <c r="R4619" t="str">
        <f>IF(COUNTIF(Branches!$A$2:$A$11,F4619)&gt;0,"Valid","Invalid")</f>
        <v>Valid</v>
      </c>
    </row>
    <row r="4620" spans="1:18" x14ac:dyDescent="0.25">
      <c r="A4620" t="s">
        <v>6691</v>
      </c>
      <c r="B4620" t="s">
        <v>791</v>
      </c>
      <c r="C4620" s="8">
        <v>46183</v>
      </c>
      <c r="D4620" t="s">
        <v>2067</v>
      </c>
      <c r="E4620" t="s">
        <v>2076</v>
      </c>
      <c r="F4620" t="s">
        <v>47</v>
      </c>
      <c r="G4620">
        <v>1170.5999999999999</v>
      </c>
      <c r="H4620" t="s">
        <v>2060</v>
      </c>
      <c r="I4620" t="str">
        <f>VLOOKUP(B4620,Customers!A:G,7,FALSE)</f>
        <v>SME</v>
      </c>
      <c r="Q4620" t="str">
        <f>IF(COUNTIF(Customers!$A$2:$A$1001,B4620)&gt;0,"Valid","Invalid")</f>
        <v>Valid</v>
      </c>
      <c r="R4620" t="str">
        <f>IF(COUNTIF(Branches!$A$2:$A$11,F4620)&gt;0,"Valid","Invalid")</f>
        <v>Valid</v>
      </c>
    </row>
    <row r="4621" spans="1:18" x14ac:dyDescent="0.25">
      <c r="A4621" t="s">
        <v>6692</v>
      </c>
      <c r="B4621" t="s">
        <v>368</v>
      </c>
      <c r="C4621" s="8">
        <v>46256</v>
      </c>
      <c r="D4621" t="s">
        <v>2062</v>
      </c>
      <c r="E4621" t="s">
        <v>2063</v>
      </c>
      <c r="F4621" t="s">
        <v>27</v>
      </c>
      <c r="G4621">
        <v>190.42</v>
      </c>
      <c r="H4621" t="s">
        <v>2060</v>
      </c>
      <c r="I4621" t="str">
        <f>VLOOKUP(B4621,Customers!A:G,7,FALSE)</f>
        <v>Individual</v>
      </c>
      <c r="Q4621" t="str">
        <f>IF(COUNTIF(Customers!$A$2:$A$1001,B4621)&gt;0,"Valid","Invalid")</f>
        <v>Valid</v>
      </c>
      <c r="R4621" t="str">
        <f>IF(COUNTIF(Branches!$A$2:$A$11,F4621)&gt;0,"Valid","Invalid")</f>
        <v>Valid</v>
      </c>
    </row>
    <row r="4622" spans="1:18" x14ac:dyDescent="0.25">
      <c r="A4622" t="s">
        <v>6693</v>
      </c>
      <c r="B4622" t="s">
        <v>550</v>
      </c>
      <c r="C4622" s="8">
        <v>46153</v>
      </c>
      <c r="D4622" t="s">
        <v>2058</v>
      </c>
      <c r="E4622" t="s">
        <v>2063</v>
      </c>
      <c r="F4622" t="s">
        <v>47</v>
      </c>
      <c r="G4622">
        <v>1161.96</v>
      </c>
      <c r="H4622" t="s">
        <v>2060</v>
      </c>
      <c r="I4622" t="str">
        <f>VLOOKUP(B4622,Customers!A:G,7,FALSE)</f>
        <v>Individual</v>
      </c>
      <c r="Q4622" t="str">
        <f>IF(COUNTIF(Customers!$A$2:$A$1001,B4622)&gt;0,"Valid","Invalid")</f>
        <v>Valid</v>
      </c>
      <c r="R4622" t="str">
        <f>IF(COUNTIF(Branches!$A$2:$A$11,F4622)&gt;0,"Valid","Invalid")</f>
        <v>Valid</v>
      </c>
    </row>
    <row r="4623" spans="1:18" x14ac:dyDescent="0.25">
      <c r="A4623" t="s">
        <v>6694</v>
      </c>
      <c r="B4623" t="s">
        <v>888</v>
      </c>
      <c r="C4623" s="8">
        <v>46219</v>
      </c>
      <c r="D4623" t="s">
        <v>2065</v>
      </c>
      <c r="E4623" t="s">
        <v>2068</v>
      </c>
      <c r="F4623" t="s">
        <v>21</v>
      </c>
      <c r="G4623">
        <v>728.99</v>
      </c>
      <c r="H4623" t="s">
        <v>2060</v>
      </c>
      <c r="I4623" t="str">
        <f>VLOOKUP(B4623,Customers!A:G,7,FALSE)</f>
        <v>SME</v>
      </c>
      <c r="Q4623" t="str">
        <f>IF(COUNTIF(Customers!$A$2:$A$1001,B4623)&gt;0,"Valid","Invalid")</f>
        <v>Valid</v>
      </c>
      <c r="R4623" t="str">
        <f>IF(COUNTIF(Branches!$A$2:$A$11,F4623)&gt;0,"Valid","Invalid")</f>
        <v>Valid</v>
      </c>
    </row>
    <row r="4624" spans="1:18" x14ac:dyDescent="0.25">
      <c r="A4624" t="s">
        <v>6695</v>
      </c>
      <c r="B4624" t="s">
        <v>825</v>
      </c>
      <c r="C4624" s="8">
        <v>46143</v>
      </c>
      <c r="D4624" t="s">
        <v>2062</v>
      </c>
      <c r="E4624" t="s">
        <v>2059</v>
      </c>
      <c r="F4624" t="s">
        <v>39</v>
      </c>
      <c r="G4624">
        <v>1401.72</v>
      </c>
      <c r="H4624" t="s">
        <v>2060</v>
      </c>
      <c r="I4624" t="str">
        <f>VLOOKUP(B4624,Customers!A:G,7,FALSE)</f>
        <v>SME</v>
      </c>
      <c r="Q4624" t="str">
        <f>IF(COUNTIF(Customers!$A$2:$A$1001,B4624)&gt;0,"Valid","Invalid")</f>
        <v>Valid</v>
      </c>
      <c r="R4624" t="str">
        <f>IF(COUNTIF(Branches!$A$2:$A$11,F4624)&gt;0,"Valid","Invalid")</f>
        <v>Valid</v>
      </c>
    </row>
    <row r="4625" spans="1:18" x14ac:dyDescent="0.25">
      <c r="A4625" t="s">
        <v>6696</v>
      </c>
      <c r="B4625" t="s">
        <v>107</v>
      </c>
      <c r="C4625" s="8">
        <v>46105</v>
      </c>
      <c r="D4625" t="s">
        <v>2058</v>
      </c>
      <c r="E4625" t="s">
        <v>2063</v>
      </c>
      <c r="F4625" t="s">
        <v>27</v>
      </c>
      <c r="G4625">
        <v>756.83</v>
      </c>
      <c r="H4625" t="s">
        <v>2060</v>
      </c>
      <c r="I4625" t="str">
        <f>VLOOKUP(B4625,Customers!A:G,7,FALSE)</f>
        <v>SME</v>
      </c>
      <c r="Q4625" t="str">
        <f>IF(COUNTIF(Customers!$A$2:$A$1001,B4625)&gt;0,"Valid","Invalid")</f>
        <v>Valid</v>
      </c>
      <c r="R4625" t="str">
        <f>IF(COUNTIF(Branches!$A$2:$A$11,F4625)&gt;0,"Valid","Invalid")</f>
        <v>Valid</v>
      </c>
    </row>
    <row r="4626" spans="1:18" x14ac:dyDescent="0.25">
      <c r="A4626" t="s">
        <v>6697</v>
      </c>
      <c r="B4626" t="s">
        <v>351</v>
      </c>
      <c r="C4626" s="8">
        <v>46192</v>
      </c>
      <c r="D4626" t="s">
        <v>2062</v>
      </c>
      <c r="E4626" t="s">
        <v>2059</v>
      </c>
      <c r="F4626" t="s">
        <v>45</v>
      </c>
      <c r="G4626">
        <v>1742.65</v>
      </c>
      <c r="H4626" t="s">
        <v>2060</v>
      </c>
      <c r="I4626" t="str">
        <f>VLOOKUP(B4626,Customers!A:G,7,FALSE)</f>
        <v>SME</v>
      </c>
      <c r="Q4626" t="str">
        <f>IF(COUNTIF(Customers!$A$2:$A$1001,B4626)&gt;0,"Valid","Invalid")</f>
        <v>Valid</v>
      </c>
      <c r="R4626" t="str">
        <f>IF(COUNTIF(Branches!$A$2:$A$11,F4626)&gt;0,"Valid","Invalid")</f>
        <v>Valid</v>
      </c>
    </row>
    <row r="4627" spans="1:18" x14ac:dyDescent="0.25">
      <c r="A4627" t="s">
        <v>6698</v>
      </c>
      <c r="B4627" t="s">
        <v>953</v>
      </c>
      <c r="C4627" s="8">
        <v>46084</v>
      </c>
      <c r="D4627" t="s">
        <v>2062</v>
      </c>
      <c r="E4627" t="s">
        <v>2059</v>
      </c>
      <c r="F4627" t="s">
        <v>27</v>
      </c>
      <c r="G4627">
        <v>2079.6</v>
      </c>
      <c r="H4627" t="s">
        <v>2107</v>
      </c>
      <c r="I4627" t="str">
        <f>VLOOKUP(B4627,Customers!A:G,7,FALSE)</f>
        <v>Individual</v>
      </c>
      <c r="Q4627" t="str">
        <f>IF(COUNTIF(Customers!$A$2:$A$1001,B4627)&gt;0,"Valid","Invalid")</f>
        <v>Valid</v>
      </c>
      <c r="R4627" t="str">
        <f>IF(COUNTIF(Branches!$A$2:$A$11,F4627)&gt;0,"Valid","Invalid")</f>
        <v>Valid</v>
      </c>
    </row>
    <row r="4628" spans="1:18" x14ac:dyDescent="0.25">
      <c r="A4628" t="s">
        <v>6699</v>
      </c>
      <c r="B4628" t="s">
        <v>766</v>
      </c>
      <c r="C4628" s="8">
        <v>46208</v>
      </c>
      <c r="D4628" t="s">
        <v>2067</v>
      </c>
      <c r="E4628" t="s">
        <v>2076</v>
      </c>
      <c r="F4628" t="s">
        <v>47</v>
      </c>
      <c r="G4628">
        <v>44.16</v>
      </c>
      <c r="H4628" t="s">
        <v>2107</v>
      </c>
      <c r="I4628" t="str">
        <f>VLOOKUP(B4628,Customers!A:G,7,FALSE)</f>
        <v>Individual</v>
      </c>
      <c r="Q4628" t="str">
        <f>IF(COUNTIF(Customers!$A$2:$A$1001,B4628)&gt;0,"Valid","Invalid")</f>
        <v>Valid</v>
      </c>
      <c r="R4628" t="str">
        <f>IF(COUNTIF(Branches!$A$2:$A$11,F4628)&gt;0,"Valid","Invalid")</f>
        <v>Valid</v>
      </c>
    </row>
    <row r="4629" spans="1:18" x14ac:dyDescent="0.25">
      <c r="A4629" t="s">
        <v>6700</v>
      </c>
      <c r="B4629" t="s">
        <v>115</v>
      </c>
      <c r="C4629" s="8">
        <v>46079</v>
      </c>
      <c r="D4629" t="s">
        <v>2058</v>
      </c>
      <c r="E4629" t="s">
        <v>2059</v>
      </c>
      <c r="F4629" t="s">
        <v>39</v>
      </c>
      <c r="G4629">
        <v>526.41999999999996</v>
      </c>
      <c r="H4629" t="s">
        <v>2060</v>
      </c>
      <c r="I4629" t="str">
        <f>VLOOKUP(B4629,Customers!A:G,7,FALSE)</f>
        <v>SME</v>
      </c>
      <c r="Q4629" t="str">
        <f>IF(COUNTIF(Customers!$A$2:$A$1001,B4629)&gt;0,"Valid","Invalid")</f>
        <v>Valid</v>
      </c>
      <c r="R4629" t="str">
        <f>IF(COUNTIF(Branches!$A$2:$A$11,F4629)&gt;0,"Valid","Invalid")</f>
        <v>Valid</v>
      </c>
    </row>
    <row r="4630" spans="1:18" x14ac:dyDescent="0.25">
      <c r="A4630" t="s">
        <v>6701</v>
      </c>
      <c r="B4630" t="s">
        <v>205</v>
      </c>
      <c r="C4630" s="8">
        <v>46262</v>
      </c>
      <c r="D4630" t="s">
        <v>2067</v>
      </c>
      <c r="E4630" t="s">
        <v>2076</v>
      </c>
      <c r="F4630" t="s">
        <v>16</v>
      </c>
      <c r="G4630">
        <v>126.8</v>
      </c>
      <c r="H4630" t="s">
        <v>2060</v>
      </c>
      <c r="I4630" t="str">
        <f>VLOOKUP(B4630,Customers!A:G,7,FALSE)</f>
        <v>SME</v>
      </c>
      <c r="Q4630" t="str">
        <f>IF(COUNTIF(Customers!$A$2:$A$1001,B4630)&gt;0,"Valid","Invalid")</f>
        <v>Valid</v>
      </c>
      <c r="R4630" t="str">
        <f>IF(COUNTIF(Branches!$A$2:$A$11,F4630)&gt;0,"Valid","Invalid")</f>
        <v>Valid</v>
      </c>
    </row>
    <row r="4631" spans="1:18" x14ac:dyDescent="0.25">
      <c r="A4631" t="s">
        <v>6702</v>
      </c>
      <c r="B4631" t="s">
        <v>848</v>
      </c>
      <c r="C4631" s="8">
        <v>46023</v>
      </c>
      <c r="D4631" t="s">
        <v>2067</v>
      </c>
      <c r="E4631" t="s">
        <v>2068</v>
      </c>
      <c r="F4631" t="s">
        <v>27</v>
      </c>
      <c r="G4631">
        <v>1031.68</v>
      </c>
      <c r="H4631" t="s">
        <v>2115</v>
      </c>
      <c r="I4631" t="str">
        <f>VLOOKUP(B4631,Customers!A:G,7,FALSE)</f>
        <v>Individual</v>
      </c>
      <c r="Q4631" t="str">
        <f>IF(COUNTIF(Customers!$A$2:$A$1001,B4631)&gt;0,"Valid","Invalid")</f>
        <v>Valid</v>
      </c>
      <c r="R4631" t="str">
        <f>IF(COUNTIF(Branches!$A$2:$A$11,F4631)&gt;0,"Valid","Invalid")</f>
        <v>Valid</v>
      </c>
    </row>
    <row r="4632" spans="1:18" x14ac:dyDescent="0.25">
      <c r="A4632" t="s">
        <v>6703</v>
      </c>
      <c r="B4632" t="s">
        <v>1021</v>
      </c>
      <c r="C4632" s="8">
        <v>46124</v>
      </c>
      <c r="D4632" t="s">
        <v>2062</v>
      </c>
      <c r="E4632" t="s">
        <v>2063</v>
      </c>
      <c r="F4632" t="s">
        <v>39</v>
      </c>
      <c r="G4632">
        <v>601.41999999999996</v>
      </c>
      <c r="H4632" t="s">
        <v>2060</v>
      </c>
      <c r="I4632" t="str">
        <f>VLOOKUP(B4632,Customers!A:G,7,FALSE)</f>
        <v>Student</v>
      </c>
      <c r="Q4632" t="str">
        <f>IF(COUNTIF(Customers!$A$2:$A$1001,B4632)&gt;0,"Valid","Invalid")</f>
        <v>Valid</v>
      </c>
      <c r="R4632" t="str">
        <f>IF(COUNTIF(Branches!$A$2:$A$11,F4632)&gt;0,"Valid","Invalid")</f>
        <v>Valid</v>
      </c>
    </row>
    <row r="4633" spans="1:18" x14ac:dyDescent="0.25">
      <c r="A4633" t="s">
        <v>6704</v>
      </c>
      <c r="B4633" t="s">
        <v>217</v>
      </c>
      <c r="C4633" s="8">
        <v>46223</v>
      </c>
      <c r="D4633" t="s">
        <v>2062</v>
      </c>
      <c r="E4633" t="s">
        <v>2063</v>
      </c>
      <c r="F4633" t="s">
        <v>16</v>
      </c>
      <c r="G4633">
        <v>3152.11</v>
      </c>
      <c r="H4633" t="s">
        <v>2060</v>
      </c>
      <c r="I4633" t="str">
        <f>VLOOKUP(B4633,Customers!A:G,7,FALSE)</f>
        <v>Individual</v>
      </c>
      <c r="Q4633" t="str">
        <f>IF(COUNTIF(Customers!$A$2:$A$1001,B4633)&gt;0,"Valid","Invalid")</f>
        <v>Valid</v>
      </c>
      <c r="R4633" t="str">
        <f>IF(COUNTIF(Branches!$A$2:$A$11,F4633)&gt;0,"Valid","Invalid")</f>
        <v>Valid</v>
      </c>
    </row>
    <row r="4634" spans="1:18" x14ac:dyDescent="0.25">
      <c r="A4634" t="s">
        <v>6705</v>
      </c>
      <c r="B4634" t="s">
        <v>666</v>
      </c>
      <c r="C4634" s="8">
        <v>46210</v>
      </c>
      <c r="D4634" t="s">
        <v>2065</v>
      </c>
      <c r="E4634" t="s">
        <v>2059</v>
      </c>
      <c r="F4634" t="s">
        <v>27</v>
      </c>
      <c r="G4634">
        <v>999.49</v>
      </c>
      <c r="H4634" t="s">
        <v>2060</v>
      </c>
      <c r="I4634" t="str">
        <f>VLOOKUP(B4634,Customers!A:G,7,FALSE)</f>
        <v>SME</v>
      </c>
      <c r="Q4634" t="str">
        <f>IF(COUNTIF(Customers!$A$2:$A$1001,B4634)&gt;0,"Valid","Invalid")</f>
        <v>Valid</v>
      </c>
      <c r="R4634" t="str">
        <f>IF(COUNTIF(Branches!$A$2:$A$11,F4634)&gt;0,"Valid","Invalid")</f>
        <v>Valid</v>
      </c>
    </row>
    <row r="4635" spans="1:18" x14ac:dyDescent="0.25">
      <c r="A4635" t="s">
        <v>6706</v>
      </c>
      <c r="B4635" t="s">
        <v>298</v>
      </c>
      <c r="C4635" s="8">
        <v>46091</v>
      </c>
      <c r="D4635" t="s">
        <v>2058</v>
      </c>
      <c r="E4635" t="s">
        <v>2073</v>
      </c>
      <c r="F4635" t="s">
        <v>16</v>
      </c>
      <c r="G4635">
        <v>499.93</v>
      </c>
      <c r="H4635" t="s">
        <v>2115</v>
      </c>
      <c r="I4635" t="str">
        <f>VLOOKUP(B4635,Customers!A:G,7,FALSE)</f>
        <v>Student</v>
      </c>
      <c r="Q4635" t="str">
        <f>IF(COUNTIF(Customers!$A$2:$A$1001,B4635)&gt;0,"Valid","Invalid")</f>
        <v>Valid</v>
      </c>
      <c r="R4635" t="str">
        <f>IF(COUNTIF(Branches!$A$2:$A$11,F4635)&gt;0,"Valid","Invalid")</f>
        <v>Valid</v>
      </c>
    </row>
    <row r="4636" spans="1:18" x14ac:dyDescent="0.25">
      <c r="A4636" t="s">
        <v>6707</v>
      </c>
      <c r="B4636" t="s">
        <v>524</v>
      </c>
      <c r="C4636" s="8">
        <v>46081</v>
      </c>
      <c r="D4636" t="s">
        <v>2070</v>
      </c>
      <c r="E4636" t="s">
        <v>2059</v>
      </c>
      <c r="F4636" t="s">
        <v>29</v>
      </c>
      <c r="G4636">
        <v>2076.7800000000002</v>
      </c>
      <c r="H4636" t="s">
        <v>2060</v>
      </c>
      <c r="I4636" t="str">
        <f>VLOOKUP(B4636,Customers!A:G,7,FALSE)</f>
        <v>SME</v>
      </c>
      <c r="Q4636" t="str">
        <f>IF(COUNTIF(Customers!$A$2:$A$1001,B4636)&gt;0,"Valid","Invalid")</f>
        <v>Valid</v>
      </c>
      <c r="R4636" t="str">
        <f>IF(COUNTIF(Branches!$A$2:$A$11,F4636)&gt;0,"Valid","Invalid")</f>
        <v>Valid</v>
      </c>
    </row>
    <row r="4637" spans="1:18" x14ac:dyDescent="0.25">
      <c r="A4637" t="s">
        <v>6708</v>
      </c>
      <c r="B4637" t="s">
        <v>810</v>
      </c>
      <c r="C4637" s="8">
        <v>46068</v>
      </c>
      <c r="D4637" t="s">
        <v>2058</v>
      </c>
      <c r="E4637" t="s">
        <v>2059</v>
      </c>
      <c r="F4637" t="s">
        <v>27</v>
      </c>
      <c r="G4637">
        <v>590.99</v>
      </c>
      <c r="H4637" t="s">
        <v>2060</v>
      </c>
      <c r="I4637" t="str">
        <f>VLOOKUP(B4637,Customers!A:G,7,FALSE)</f>
        <v>Student</v>
      </c>
      <c r="Q4637" t="str">
        <f>IF(COUNTIF(Customers!$A$2:$A$1001,B4637)&gt;0,"Valid","Invalid")</f>
        <v>Valid</v>
      </c>
      <c r="R4637" t="str">
        <f>IF(COUNTIF(Branches!$A$2:$A$11,F4637)&gt;0,"Valid","Invalid")</f>
        <v>Valid</v>
      </c>
    </row>
    <row r="4638" spans="1:18" x14ac:dyDescent="0.25">
      <c r="A4638" t="s">
        <v>6709</v>
      </c>
      <c r="B4638" t="s">
        <v>28</v>
      </c>
      <c r="C4638" s="8">
        <v>46128</v>
      </c>
      <c r="D4638" t="s">
        <v>2062</v>
      </c>
      <c r="E4638" t="s">
        <v>2076</v>
      </c>
      <c r="F4638" t="s">
        <v>47</v>
      </c>
      <c r="G4638">
        <v>493.74</v>
      </c>
      <c r="H4638" t="s">
        <v>2060</v>
      </c>
      <c r="I4638" t="str">
        <f>VLOOKUP(B4638,Customers!A:G,7,FALSE)</f>
        <v>SME</v>
      </c>
      <c r="Q4638" t="str">
        <f>IF(COUNTIF(Customers!$A$2:$A$1001,B4638)&gt;0,"Valid","Invalid")</f>
        <v>Valid</v>
      </c>
      <c r="R4638" t="str">
        <f>IF(COUNTIF(Branches!$A$2:$A$11,F4638)&gt;0,"Valid","Invalid")</f>
        <v>Valid</v>
      </c>
    </row>
    <row r="4639" spans="1:18" x14ac:dyDescent="0.25">
      <c r="A4639" t="s">
        <v>6710</v>
      </c>
      <c r="B4639" t="s">
        <v>335</v>
      </c>
      <c r="C4639" s="8">
        <v>46056</v>
      </c>
      <c r="D4639" t="s">
        <v>2062</v>
      </c>
      <c r="E4639" t="s">
        <v>2059</v>
      </c>
      <c r="F4639" t="s">
        <v>53</v>
      </c>
      <c r="G4639">
        <v>1204.27</v>
      </c>
      <c r="H4639" t="s">
        <v>2060</v>
      </c>
      <c r="I4639" t="str">
        <f>VLOOKUP(B4639,Customers!A:G,7,FALSE)</f>
        <v>Individual</v>
      </c>
      <c r="Q4639" t="str">
        <f>IF(COUNTIF(Customers!$A$2:$A$1001,B4639)&gt;0,"Valid","Invalid")</f>
        <v>Valid</v>
      </c>
      <c r="R4639" t="str">
        <f>IF(COUNTIF(Branches!$A$2:$A$11,F4639)&gt;0,"Valid","Invalid")</f>
        <v>Valid</v>
      </c>
    </row>
    <row r="4640" spans="1:18" x14ac:dyDescent="0.25">
      <c r="A4640" t="s">
        <v>6711</v>
      </c>
      <c r="B4640" t="s">
        <v>658</v>
      </c>
      <c r="C4640" s="8">
        <v>46123</v>
      </c>
      <c r="D4640" t="s">
        <v>2067</v>
      </c>
      <c r="E4640" t="s">
        <v>2073</v>
      </c>
      <c r="F4640" t="s">
        <v>47</v>
      </c>
      <c r="G4640">
        <v>4076.41</v>
      </c>
      <c r="H4640" t="s">
        <v>2060</v>
      </c>
      <c r="I4640" t="str">
        <f>VLOOKUP(B4640,Customers!A:G,7,FALSE)</f>
        <v>Student</v>
      </c>
      <c r="Q4640" t="str">
        <f>IF(COUNTIF(Customers!$A$2:$A$1001,B4640)&gt;0,"Valid","Invalid")</f>
        <v>Valid</v>
      </c>
      <c r="R4640" t="str">
        <f>IF(COUNTIF(Branches!$A$2:$A$11,F4640)&gt;0,"Valid","Invalid")</f>
        <v>Valid</v>
      </c>
    </row>
    <row r="4641" spans="1:18" x14ac:dyDescent="0.25">
      <c r="A4641" t="s">
        <v>6712</v>
      </c>
      <c r="B4641" t="s">
        <v>893</v>
      </c>
      <c r="C4641" s="8">
        <v>46119</v>
      </c>
      <c r="D4641" t="s">
        <v>2067</v>
      </c>
      <c r="E4641" t="s">
        <v>2068</v>
      </c>
      <c r="F4641" t="s">
        <v>47</v>
      </c>
      <c r="G4641">
        <v>1907.51</v>
      </c>
      <c r="H4641" t="s">
        <v>2107</v>
      </c>
      <c r="I4641" t="str">
        <f>VLOOKUP(B4641,Customers!A:G,7,FALSE)</f>
        <v>Corporate</v>
      </c>
      <c r="Q4641" t="str">
        <f>IF(COUNTIF(Customers!$A$2:$A$1001,B4641)&gt;0,"Valid","Invalid")</f>
        <v>Valid</v>
      </c>
      <c r="R4641" t="str">
        <f>IF(COUNTIF(Branches!$A$2:$A$11,F4641)&gt;0,"Valid","Invalid")</f>
        <v>Valid</v>
      </c>
    </row>
    <row r="4642" spans="1:18" x14ac:dyDescent="0.25">
      <c r="A4642" t="s">
        <v>6713</v>
      </c>
      <c r="B4642" t="s">
        <v>398</v>
      </c>
      <c r="C4642" s="8">
        <v>46175</v>
      </c>
      <c r="D4642" t="s">
        <v>2062</v>
      </c>
      <c r="E4642" t="s">
        <v>2059</v>
      </c>
      <c r="F4642" t="s">
        <v>47</v>
      </c>
      <c r="G4642">
        <v>1432.15</v>
      </c>
      <c r="H4642" t="s">
        <v>2060</v>
      </c>
      <c r="I4642" t="str">
        <f>VLOOKUP(B4642,Customers!A:G,7,FALSE)</f>
        <v>Individual</v>
      </c>
      <c r="Q4642" t="str">
        <f>IF(COUNTIF(Customers!$A$2:$A$1001,B4642)&gt;0,"Valid","Invalid")</f>
        <v>Valid</v>
      </c>
      <c r="R4642" t="str">
        <f>IF(COUNTIF(Branches!$A$2:$A$11,F4642)&gt;0,"Valid","Invalid")</f>
        <v>Valid</v>
      </c>
    </row>
    <row r="4643" spans="1:18" x14ac:dyDescent="0.25">
      <c r="A4643" t="s">
        <v>6714</v>
      </c>
      <c r="B4643" t="s">
        <v>153</v>
      </c>
      <c r="C4643" s="8">
        <v>46192</v>
      </c>
      <c r="D4643" t="s">
        <v>2058</v>
      </c>
      <c r="E4643" t="s">
        <v>2076</v>
      </c>
      <c r="F4643" t="s">
        <v>11</v>
      </c>
      <c r="G4643">
        <v>12720.23</v>
      </c>
      <c r="H4643" t="s">
        <v>2060</v>
      </c>
      <c r="I4643" t="str">
        <f>VLOOKUP(B4643,Customers!A:G,7,FALSE)</f>
        <v>Individual</v>
      </c>
      <c r="Q4643" t="str">
        <f>IF(COUNTIF(Customers!$A$2:$A$1001,B4643)&gt;0,"Valid","Invalid")</f>
        <v>Valid</v>
      </c>
      <c r="R4643" t="str">
        <f>IF(COUNTIF(Branches!$A$2:$A$11,F4643)&gt;0,"Valid","Invalid")</f>
        <v>Valid</v>
      </c>
    </row>
    <row r="4644" spans="1:18" x14ac:dyDescent="0.25">
      <c r="A4644" t="s">
        <v>6715</v>
      </c>
      <c r="B4644" t="s">
        <v>395</v>
      </c>
      <c r="C4644" s="8">
        <v>46051</v>
      </c>
      <c r="D4644" t="s">
        <v>2058</v>
      </c>
      <c r="E4644" t="s">
        <v>2063</v>
      </c>
      <c r="F4644" t="s">
        <v>29</v>
      </c>
      <c r="G4644">
        <v>390.56</v>
      </c>
      <c r="H4644" t="s">
        <v>2115</v>
      </c>
      <c r="I4644" t="str">
        <f>VLOOKUP(B4644,Customers!A:G,7,FALSE)</f>
        <v>Individual</v>
      </c>
      <c r="Q4644" t="str">
        <f>IF(COUNTIF(Customers!$A$2:$A$1001,B4644)&gt;0,"Valid","Invalid")</f>
        <v>Valid</v>
      </c>
      <c r="R4644" t="str">
        <f>IF(COUNTIF(Branches!$A$2:$A$11,F4644)&gt;0,"Valid","Invalid")</f>
        <v>Valid</v>
      </c>
    </row>
    <row r="4645" spans="1:18" x14ac:dyDescent="0.25">
      <c r="A4645" t="s">
        <v>6716</v>
      </c>
      <c r="B4645" t="s">
        <v>995</v>
      </c>
      <c r="C4645" s="8">
        <v>46175</v>
      </c>
      <c r="D4645" t="s">
        <v>2062</v>
      </c>
      <c r="E4645" t="s">
        <v>2076</v>
      </c>
      <c r="F4645" t="s">
        <v>45</v>
      </c>
      <c r="G4645">
        <v>381.95</v>
      </c>
      <c r="H4645" t="s">
        <v>2060</v>
      </c>
      <c r="I4645" t="str">
        <f>VLOOKUP(B4645,Customers!A:G,7,FALSE)</f>
        <v>SME</v>
      </c>
      <c r="Q4645" t="str">
        <f>IF(COUNTIF(Customers!$A$2:$A$1001,B4645)&gt;0,"Valid","Invalid")</f>
        <v>Valid</v>
      </c>
      <c r="R4645" t="str">
        <f>IF(COUNTIF(Branches!$A$2:$A$11,F4645)&gt;0,"Valid","Invalid")</f>
        <v>Valid</v>
      </c>
    </row>
    <row r="4646" spans="1:18" x14ac:dyDescent="0.25">
      <c r="A4646" t="s">
        <v>6717</v>
      </c>
      <c r="B4646" t="s">
        <v>881</v>
      </c>
      <c r="C4646" s="8">
        <v>46204</v>
      </c>
      <c r="D4646" t="s">
        <v>2062</v>
      </c>
      <c r="E4646" t="s">
        <v>2076</v>
      </c>
      <c r="F4646" t="s">
        <v>47</v>
      </c>
      <c r="G4646">
        <v>939.71</v>
      </c>
      <c r="H4646" t="s">
        <v>2060</v>
      </c>
      <c r="I4646" t="str">
        <f>VLOOKUP(B4646,Customers!A:G,7,FALSE)</f>
        <v>Individual</v>
      </c>
      <c r="Q4646" t="str">
        <f>IF(COUNTIF(Customers!$A$2:$A$1001,B4646)&gt;0,"Valid","Invalid")</f>
        <v>Valid</v>
      </c>
      <c r="R4646" t="str">
        <f>IF(COUNTIF(Branches!$A$2:$A$11,F4646)&gt;0,"Valid","Invalid")</f>
        <v>Valid</v>
      </c>
    </row>
    <row r="4647" spans="1:18" x14ac:dyDescent="0.25">
      <c r="A4647" t="s">
        <v>6718</v>
      </c>
      <c r="B4647" t="s">
        <v>477</v>
      </c>
      <c r="C4647" s="8">
        <v>46145</v>
      </c>
      <c r="D4647" t="s">
        <v>2065</v>
      </c>
      <c r="E4647" t="s">
        <v>2059</v>
      </c>
      <c r="F4647" t="s">
        <v>53</v>
      </c>
      <c r="G4647">
        <v>3696.07</v>
      </c>
      <c r="H4647" t="s">
        <v>2060</v>
      </c>
      <c r="I4647" t="str">
        <f>VLOOKUP(B4647,Customers!A:G,7,FALSE)</f>
        <v>Individual</v>
      </c>
      <c r="Q4647" t="str">
        <f>IF(COUNTIF(Customers!$A$2:$A$1001,B4647)&gt;0,"Valid","Invalid")</f>
        <v>Valid</v>
      </c>
      <c r="R4647" t="str">
        <f>IF(COUNTIF(Branches!$A$2:$A$11,F4647)&gt;0,"Valid","Invalid")</f>
        <v>Valid</v>
      </c>
    </row>
    <row r="4648" spans="1:18" x14ac:dyDescent="0.25">
      <c r="A4648" t="s">
        <v>6719</v>
      </c>
      <c r="B4648" t="s">
        <v>369</v>
      </c>
      <c r="C4648" s="8">
        <v>46095</v>
      </c>
      <c r="D4648" t="s">
        <v>2065</v>
      </c>
      <c r="E4648" t="s">
        <v>2063</v>
      </c>
      <c r="F4648" t="s">
        <v>29</v>
      </c>
      <c r="G4648">
        <v>316.81</v>
      </c>
      <c r="H4648" t="s">
        <v>2060</v>
      </c>
      <c r="I4648" t="str">
        <f>VLOOKUP(B4648,Customers!A:G,7,FALSE)</f>
        <v>SME</v>
      </c>
      <c r="Q4648" t="str">
        <f>IF(COUNTIF(Customers!$A$2:$A$1001,B4648)&gt;0,"Valid","Invalid")</f>
        <v>Valid</v>
      </c>
      <c r="R4648" t="str">
        <f>IF(COUNTIF(Branches!$A$2:$A$11,F4648)&gt;0,"Valid","Invalid")</f>
        <v>Valid</v>
      </c>
    </row>
    <row r="4649" spans="1:18" x14ac:dyDescent="0.25">
      <c r="A4649" t="s">
        <v>6720</v>
      </c>
      <c r="B4649" t="s">
        <v>563</v>
      </c>
      <c r="C4649" s="8">
        <v>46217</v>
      </c>
      <c r="D4649" t="s">
        <v>2067</v>
      </c>
      <c r="E4649" t="s">
        <v>2073</v>
      </c>
      <c r="F4649" t="s">
        <v>29</v>
      </c>
      <c r="G4649">
        <v>4696.5</v>
      </c>
      <c r="H4649" t="s">
        <v>2060</v>
      </c>
      <c r="I4649" t="str">
        <f>VLOOKUP(B4649,Customers!A:G,7,FALSE)</f>
        <v>Individual</v>
      </c>
      <c r="Q4649" t="str">
        <f>IF(COUNTIF(Customers!$A$2:$A$1001,B4649)&gt;0,"Valid","Invalid")</f>
        <v>Valid</v>
      </c>
      <c r="R4649" t="str">
        <f>IF(COUNTIF(Branches!$A$2:$A$11,F4649)&gt;0,"Valid","Invalid")</f>
        <v>Valid</v>
      </c>
    </row>
    <row r="4650" spans="1:18" x14ac:dyDescent="0.25">
      <c r="A4650" t="s">
        <v>6721</v>
      </c>
      <c r="B4650" t="s">
        <v>692</v>
      </c>
      <c r="C4650" s="8">
        <v>46165</v>
      </c>
      <c r="D4650" t="s">
        <v>2058</v>
      </c>
      <c r="E4650" t="s">
        <v>2059</v>
      </c>
      <c r="F4650" t="s">
        <v>35</v>
      </c>
      <c r="G4650">
        <v>192.65</v>
      </c>
      <c r="H4650" t="s">
        <v>2107</v>
      </c>
      <c r="I4650" t="str">
        <f>VLOOKUP(B4650,Customers!A:G,7,FALSE)</f>
        <v>Individual</v>
      </c>
      <c r="Q4650" t="str">
        <f>IF(COUNTIF(Customers!$A$2:$A$1001,B4650)&gt;0,"Valid","Invalid")</f>
        <v>Valid</v>
      </c>
      <c r="R4650" t="str">
        <f>IF(COUNTIF(Branches!$A$2:$A$11,F4650)&gt;0,"Valid","Invalid")</f>
        <v>Valid</v>
      </c>
    </row>
    <row r="4651" spans="1:18" x14ac:dyDescent="0.25">
      <c r="A4651" t="s">
        <v>6722</v>
      </c>
      <c r="B4651" t="s">
        <v>225</v>
      </c>
      <c r="C4651" s="8">
        <v>46026</v>
      </c>
      <c r="D4651" t="s">
        <v>2067</v>
      </c>
      <c r="E4651" t="s">
        <v>2076</v>
      </c>
      <c r="F4651" t="s">
        <v>45</v>
      </c>
      <c r="G4651">
        <v>719.66</v>
      </c>
      <c r="H4651" t="s">
        <v>2060</v>
      </c>
      <c r="I4651" t="str">
        <f>VLOOKUP(B4651,Customers!A:G,7,FALSE)</f>
        <v>Individual</v>
      </c>
      <c r="Q4651" t="str">
        <f>IF(COUNTIF(Customers!$A$2:$A$1001,B4651)&gt;0,"Valid","Invalid")</f>
        <v>Valid</v>
      </c>
      <c r="R4651" t="str">
        <f>IF(COUNTIF(Branches!$A$2:$A$11,F4651)&gt;0,"Valid","Invalid")</f>
        <v>Valid</v>
      </c>
    </row>
    <row r="4652" spans="1:18" x14ac:dyDescent="0.25">
      <c r="A4652" t="s">
        <v>6723</v>
      </c>
      <c r="B4652" t="s">
        <v>1006</v>
      </c>
      <c r="C4652" s="8">
        <v>46259</v>
      </c>
      <c r="D4652" t="s">
        <v>2058</v>
      </c>
      <c r="E4652" t="s">
        <v>2063</v>
      </c>
      <c r="F4652" t="s">
        <v>45</v>
      </c>
      <c r="G4652">
        <v>966.29</v>
      </c>
      <c r="H4652" t="s">
        <v>2060</v>
      </c>
      <c r="I4652" t="str">
        <f>VLOOKUP(B4652,Customers!A:G,7,FALSE)</f>
        <v>Individual</v>
      </c>
      <c r="Q4652" t="str">
        <f>IF(COUNTIF(Customers!$A$2:$A$1001,B4652)&gt;0,"Valid","Invalid")</f>
        <v>Valid</v>
      </c>
      <c r="R4652" t="str">
        <f>IF(COUNTIF(Branches!$A$2:$A$11,F4652)&gt;0,"Valid","Invalid")</f>
        <v>Valid</v>
      </c>
    </row>
    <row r="4653" spans="1:18" x14ac:dyDescent="0.25">
      <c r="A4653" t="s">
        <v>6724</v>
      </c>
      <c r="B4653" t="s">
        <v>319</v>
      </c>
      <c r="C4653" s="8">
        <v>46060</v>
      </c>
      <c r="D4653" t="s">
        <v>2065</v>
      </c>
      <c r="E4653" t="s">
        <v>2059</v>
      </c>
      <c r="F4653" t="s">
        <v>53</v>
      </c>
      <c r="G4653">
        <v>336.09</v>
      </c>
      <c r="H4653" t="s">
        <v>2060</v>
      </c>
      <c r="I4653" t="str">
        <f>VLOOKUP(B4653,Customers!A:G,7,FALSE)</f>
        <v>Student</v>
      </c>
      <c r="Q4653" t="str">
        <f>IF(COUNTIF(Customers!$A$2:$A$1001,B4653)&gt;0,"Valid","Invalid")</f>
        <v>Valid</v>
      </c>
      <c r="R4653" t="str">
        <f>IF(COUNTIF(Branches!$A$2:$A$11,F4653)&gt;0,"Valid","Invalid")</f>
        <v>Valid</v>
      </c>
    </row>
    <row r="4654" spans="1:18" x14ac:dyDescent="0.25">
      <c r="A4654" t="s">
        <v>6725</v>
      </c>
      <c r="B4654" t="s">
        <v>549</v>
      </c>
      <c r="C4654" s="8">
        <v>46042</v>
      </c>
      <c r="D4654" t="s">
        <v>2058</v>
      </c>
      <c r="E4654" t="s">
        <v>2068</v>
      </c>
      <c r="F4654" t="s">
        <v>29</v>
      </c>
      <c r="G4654">
        <v>436.49</v>
      </c>
      <c r="H4654" t="s">
        <v>2060</v>
      </c>
      <c r="I4654" t="str">
        <f>VLOOKUP(B4654,Customers!A:G,7,FALSE)</f>
        <v>Individual</v>
      </c>
      <c r="Q4654" t="str">
        <f>IF(COUNTIF(Customers!$A$2:$A$1001,B4654)&gt;0,"Valid","Invalid")</f>
        <v>Valid</v>
      </c>
      <c r="R4654" t="str">
        <f>IF(COUNTIF(Branches!$A$2:$A$11,F4654)&gt;0,"Valid","Invalid")</f>
        <v>Valid</v>
      </c>
    </row>
    <row r="4655" spans="1:18" x14ac:dyDescent="0.25">
      <c r="A4655" t="s">
        <v>6726</v>
      </c>
      <c r="B4655" t="s">
        <v>504</v>
      </c>
      <c r="C4655" s="8">
        <v>46135</v>
      </c>
      <c r="D4655" t="s">
        <v>2067</v>
      </c>
      <c r="E4655" t="s">
        <v>2059</v>
      </c>
      <c r="F4655" t="s">
        <v>29</v>
      </c>
      <c r="G4655">
        <v>1801.96</v>
      </c>
      <c r="H4655" t="s">
        <v>2060</v>
      </c>
      <c r="I4655" t="str">
        <f>VLOOKUP(B4655,Customers!A:G,7,FALSE)</f>
        <v>Student</v>
      </c>
      <c r="Q4655" t="str">
        <f>IF(COUNTIF(Customers!$A$2:$A$1001,B4655)&gt;0,"Valid","Invalid")</f>
        <v>Valid</v>
      </c>
      <c r="R4655" t="str">
        <f>IF(COUNTIF(Branches!$A$2:$A$11,F4655)&gt;0,"Valid","Invalid")</f>
        <v>Valid</v>
      </c>
    </row>
    <row r="4656" spans="1:18" x14ac:dyDescent="0.25">
      <c r="A4656" t="s">
        <v>6727</v>
      </c>
      <c r="B4656" t="s">
        <v>151</v>
      </c>
      <c r="C4656" s="8">
        <v>46045</v>
      </c>
      <c r="D4656" t="s">
        <v>2058</v>
      </c>
      <c r="E4656" t="s">
        <v>2076</v>
      </c>
      <c r="F4656" t="s">
        <v>27</v>
      </c>
      <c r="G4656">
        <v>3434.26</v>
      </c>
      <c r="H4656" t="s">
        <v>2060</v>
      </c>
      <c r="I4656" t="str">
        <f>VLOOKUP(B4656,Customers!A:G,7,FALSE)</f>
        <v>Individual</v>
      </c>
      <c r="Q4656" t="str">
        <f>IF(COUNTIF(Customers!$A$2:$A$1001,B4656)&gt;0,"Valid","Invalid")</f>
        <v>Valid</v>
      </c>
      <c r="R4656" t="str">
        <f>IF(COUNTIF(Branches!$A$2:$A$11,F4656)&gt;0,"Valid","Invalid")</f>
        <v>Valid</v>
      </c>
    </row>
    <row r="4657" spans="1:18" x14ac:dyDescent="0.25">
      <c r="A4657" t="s">
        <v>6728</v>
      </c>
      <c r="B4657" t="s">
        <v>978</v>
      </c>
      <c r="C4657" s="8">
        <v>46187</v>
      </c>
      <c r="D4657" t="s">
        <v>2067</v>
      </c>
      <c r="E4657" t="s">
        <v>2063</v>
      </c>
      <c r="F4657" t="s">
        <v>45</v>
      </c>
      <c r="G4657">
        <v>98.04</v>
      </c>
      <c r="H4657" t="s">
        <v>2060</v>
      </c>
      <c r="I4657" t="str">
        <f>VLOOKUP(B4657,Customers!A:G,7,FALSE)</f>
        <v>Individual</v>
      </c>
      <c r="Q4657" t="str">
        <f>IF(COUNTIF(Customers!$A$2:$A$1001,B4657)&gt;0,"Valid","Invalid")</f>
        <v>Valid</v>
      </c>
      <c r="R4657" t="str">
        <f>IF(COUNTIF(Branches!$A$2:$A$11,F4657)&gt;0,"Valid","Invalid")</f>
        <v>Valid</v>
      </c>
    </row>
    <row r="4658" spans="1:18" x14ac:dyDescent="0.25">
      <c r="A4658" t="s">
        <v>6729</v>
      </c>
      <c r="B4658" t="s">
        <v>274</v>
      </c>
      <c r="C4658" s="8">
        <v>46212</v>
      </c>
      <c r="D4658" t="s">
        <v>2067</v>
      </c>
      <c r="E4658" t="s">
        <v>2059</v>
      </c>
      <c r="F4658" t="s">
        <v>35</v>
      </c>
      <c r="G4658">
        <v>972.86</v>
      </c>
      <c r="H4658" t="s">
        <v>2060</v>
      </c>
      <c r="I4658" t="str">
        <f>VLOOKUP(B4658,Customers!A:G,7,FALSE)</f>
        <v>Individual</v>
      </c>
      <c r="Q4658" t="str">
        <f>IF(COUNTIF(Customers!$A$2:$A$1001,B4658)&gt;0,"Valid","Invalid")</f>
        <v>Valid</v>
      </c>
      <c r="R4658" t="str">
        <f>IF(COUNTIF(Branches!$A$2:$A$11,F4658)&gt;0,"Valid","Invalid")</f>
        <v>Valid</v>
      </c>
    </row>
    <row r="4659" spans="1:18" x14ac:dyDescent="0.25">
      <c r="A4659" t="s">
        <v>6730</v>
      </c>
      <c r="B4659" t="s">
        <v>376</v>
      </c>
      <c r="C4659" s="8">
        <v>46133</v>
      </c>
      <c r="D4659" t="s">
        <v>2062</v>
      </c>
      <c r="E4659" t="s">
        <v>2073</v>
      </c>
      <c r="F4659" t="s">
        <v>11</v>
      </c>
      <c r="G4659">
        <v>725.38</v>
      </c>
      <c r="H4659" t="s">
        <v>2060</v>
      </c>
      <c r="I4659" t="str">
        <f>VLOOKUP(B4659,Customers!A:G,7,FALSE)</f>
        <v>SME</v>
      </c>
      <c r="Q4659" t="str">
        <f>IF(COUNTIF(Customers!$A$2:$A$1001,B4659)&gt;0,"Valid","Invalid")</f>
        <v>Valid</v>
      </c>
      <c r="R4659" t="str">
        <f>IF(COUNTIF(Branches!$A$2:$A$11,F4659)&gt;0,"Valid","Invalid")</f>
        <v>Valid</v>
      </c>
    </row>
    <row r="4660" spans="1:18" x14ac:dyDescent="0.25">
      <c r="A4660" t="s">
        <v>6731</v>
      </c>
      <c r="B4660" t="s">
        <v>560</v>
      </c>
      <c r="C4660" s="8">
        <v>46158</v>
      </c>
      <c r="D4660" t="s">
        <v>2065</v>
      </c>
      <c r="E4660" t="s">
        <v>2059</v>
      </c>
      <c r="F4660" t="s">
        <v>11</v>
      </c>
      <c r="G4660">
        <v>904.51</v>
      </c>
      <c r="H4660" t="s">
        <v>2060</v>
      </c>
      <c r="I4660" t="str">
        <f>VLOOKUP(B4660,Customers!A:G,7,FALSE)</f>
        <v>Individual</v>
      </c>
      <c r="Q4660" t="str">
        <f>IF(COUNTIF(Customers!$A$2:$A$1001,B4660)&gt;0,"Valid","Invalid")</f>
        <v>Valid</v>
      </c>
      <c r="R4660" t="str">
        <f>IF(COUNTIF(Branches!$A$2:$A$11,F4660)&gt;0,"Valid","Invalid")</f>
        <v>Valid</v>
      </c>
    </row>
    <row r="4661" spans="1:18" x14ac:dyDescent="0.25">
      <c r="A4661" t="s">
        <v>6732</v>
      </c>
      <c r="B4661" t="s">
        <v>236</v>
      </c>
      <c r="C4661" s="8">
        <v>46187</v>
      </c>
      <c r="D4661" t="s">
        <v>2058</v>
      </c>
      <c r="E4661" t="s">
        <v>2073</v>
      </c>
      <c r="F4661" t="s">
        <v>29</v>
      </c>
      <c r="G4661">
        <v>591.84</v>
      </c>
      <c r="H4661" t="s">
        <v>2060</v>
      </c>
      <c r="I4661" t="str">
        <f>VLOOKUP(B4661,Customers!A:G,7,FALSE)</f>
        <v>Individual</v>
      </c>
      <c r="Q4661" t="str">
        <f>IF(COUNTIF(Customers!$A$2:$A$1001,B4661)&gt;0,"Valid","Invalid")</f>
        <v>Valid</v>
      </c>
      <c r="R4661" t="str">
        <f>IF(COUNTIF(Branches!$A$2:$A$11,F4661)&gt;0,"Valid","Invalid")</f>
        <v>Valid</v>
      </c>
    </row>
    <row r="4662" spans="1:18" x14ac:dyDescent="0.25">
      <c r="A4662" t="s">
        <v>6733</v>
      </c>
      <c r="B4662" t="s">
        <v>802</v>
      </c>
      <c r="C4662" s="8">
        <v>46067</v>
      </c>
      <c r="D4662" t="s">
        <v>2070</v>
      </c>
      <c r="E4662" t="s">
        <v>2073</v>
      </c>
      <c r="F4662" t="s">
        <v>21</v>
      </c>
      <c r="G4662">
        <v>223.52</v>
      </c>
      <c r="H4662" t="s">
        <v>2060</v>
      </c>
      <c r="I4662" t="str">
        <f>VLOOKUP(B4662,Customers!A:G,7,FALSE)</f>
        <v>Individual</v>
      </c>
      <c r="Q4662" t="str">
        <f>IF(COUNTIF(Customers!$A$2:$A$1001,B4662)&gt;0,"Valid","Invalid")</f>
        <v>Valid</v>
      </c>
      <c r="R4662" t="str">
        <f>IF(COUNTIF(Branches!$A$2:$A$11,F4662)&gt;0,"Valid","Invalid")</f>
        <v>Valid</v>
      </c>
    </row>
    <row r="4663" spans="1:18" x14ac:dyDescent="0.25">
      <c r="A4663" t="s">
        <v>6734</v>
      </c>
      <c r="B4663" t="s">
        <v>86</v>
      </c>
      <c r="C4663" s="8">
        <v>46119</v>
      </c>
      <c r="D4663" t="s">
        <v>2058</v>
      </c>
      <c r="E4663" t="s">
        <v>2073</v>
      </c>
      <c r="F4663" t="s">
        <v>47</v>
      </c>
      <c r="G4663">
        <v>3798.25</v>
      </c>
      <c r="H4663" t="s">
        <v>2060</v>
      </c>
      <c r="I4663" t="str">
        <f>VLOOKUP(B4663,Customers!A:G,7,FALSE)</f>
        <v>Corporate</v>
      </c>
      <c r="Q4663" t="str">
        <f>IF(COUNTIF(Customers!$A$2:$A$1001,B4663)&gt;0,"Valid","Invalid")</f>
        <v>Valid</v>
      </c>
      <c r="R4663" t="str">
        <f>IF(COUNTIF(Branches!$A$2:$A$11,F4663)&gt;0,"Valid","Invalid")</f>
        <v>Valid</v>
      </c>
    </row>
    <row r="4664" spans="1:18" x14ac:dyDescent="0.25">
      <c r="A4664" t="s">
        <v>6735</v>
      </c>
      <c r="B4664" t="s">
        <v>978</v>
      </c>
      <c r="C4664" s="8">
        <v>46055</v>
      </c>
      <c r="D4664" t="s">
        <v>2062</v>
      </c>
      <c r="E4664" t="s">
        <v>2068</v>
      </c>
      <c r="F4664" t="s">
        <v>53</v>
      </c>
      <c r="G4664">
        <v>2589.7800000000002</v>
      </c>
      <c r="H4664" t="s">
        <v>2060</v>
      </c>
      <c r="I4664" t="str">
        <f>VLOOKUP(B4664,Customers!A:G,7,FALSE)</f>
        <v>Individual</v>
      </c>
      <c r="Q4664" t="str">
        <f>IF(COUNTIF(Customers!$A$2:$A$1001,B4664)&gt;0,"Valid","Invalid")</f>
        <v>Valid</v>
      </c>
      <c r="R4664" t="str">
        <f>IF(COUNTIF(Branches!$A$2:$A$11,F4664)&gt;0,"Valid","Invalid")</f>
        <v>Valid</v>
      </c>
    </row>
    <row r="4665" spans="1:18" x14ac:dyDescent="0.25">
      <c r="A4665" t="s">
        <v>6736</v>
      </c>
      <c r="B4665" t="s">
        <v>178</v>
      </c>
      <c r="C4665" s="8">
        <v>46157</v>
      </c>
      <c r="D4665" t="s">
        <v>2065</v>
      </c>
      <c r="E4665" t="s">
        <v>2063</v>
      </c>
      <c r="F4665" t="s">
        <v>35</v>
      </c>
      <c r="G4665">
        <v>732.17</v>
      </c>
      <c r="H4665" t="s">
        <v>2060</v>
      </c>
      <c r="I4665" t="str">
        <f>VLOOKUP(B4665,Customers!A:G,7,FALSE)</f>
        <v>Individual</v>
      </c>
      <c r="Q4665" t="str">
        <f>IF(COUNTIF(Customers!$A$2:$A$1001,B4665)&gt;0,"Valid","Invalid")</f>
        <v>Valid</v>
      </c>
      <c r="R4665" t="str">
        <f>IF(COUNTIF(Branches!$A$2:$A$11,F4665)&gt;0,"Valid","Invalid")</f>
        <v>Valid</v>
      </c>
    </row>
    <row r="4666" spans="1:18" x14ac:dyDescent="0.25">
      <c r="A4666" t="s">
        <v>6737</v>
      </c>
      <c r="B4666" t="s">
        <v>821</v>
      </c>
      <c r="C4666" s="8">
        <v>46044</v>
      </c>
      <c r="D4666" t="s">
        <v>2058</v>
      </c>
      <c r="E4666" t="s">
        <v>2073</v>
      </c>
      <c r="F4666" t="s">
        <v>21</v>
      </c>
      <c r="G4666">
        <v>498.54</v>
      </c>
      <c r="H4666" t="s">
        <v>2060</v>
      </c>
      <c r="I4666" t="str">
        <f>VLOOKUP(B4666,Customers!A:G,7,FALSE)</f>
        <v>SME</v>
      </c>
      <c r="Q4666" t="str">
        <f>IF(COUNTIF(Customers!$A$2:$A$1001,B4666)&gt;0,"Valid","Invalid")</f>
        <v>Valid</v>
      </c>
      <c r="R4666" t="str">
        <f>IF(COUNTIF(Branches!$A$2:$A$11,F4666)&gt;0,"Valid","Invalid")</f>
        <v>Valid</v>
      </c>
    </row>
    <row r="4667" spans="1:18" x14ac:dyDescent="0.25">
      <c r="A4667" t="s">
        <v>6738</v>
      </c>
      <c r="B4667" t="s">
        <v>566</v>
      </c>
      <c r="C4667" s="8">
        <v>46155</v>
      </c>
      <c r="D4667" t="s">
        <v>2067</v>
      </c>
      <c r="E4667" t="s">
        <v>2063</v>
      </c>
      <c r="F4667" t="s">
        <v>29</v>
      </c>
      <c r="G4667">
        <v>441.67</v>
      </c>
      <c r="H4667" t="s">
        <v>2060</v>
      </c>
      <c r="I4667" t="str">
        <f>VLOOKUP(B4667,Customers!A:G,7,FALSE)</f>
        <v>Individual</v>
      </c>
      <c r="Q4667" t="str">
        <f>IF(COUNTIF(Customers!$A$2:$A$1001,B4667)&gt;0,"Valid","Invalid")</f>
        <v>Valid</v>
      </c>
      <c r="R4667" t="str">
        <f>IF(COUNTIF(Branches!$A$2:$A$11,F4667)&gt;0,"Valid","Invalid")</f>
        <v>Valid</v>
      </c>
    </row>
    <row r="4668" spans="1:18" x14ac:dyDescent="0.25">
      <c r="A4668" t="s">
        <v>6739</v>
      </c>
      <c r="B4668" t="s">
        <v>552</v>
      </c>
      <c r="C4668" s="8">
        <v>46260</v>
      </c>
      <c r="D4668" t="s">
        <v>2065</v>
      </c>
      <c r="E4668" t="s">
        <v>2063</v>
      </c>
      <c r="F4668" t="s">
        <v>29</v>
      </c>
      <c r="G4668">
        <v>61.21</v>
      </c>
      <c r="H4668" t="s">
        <v>2060</v>
      </c>
      <c r="I4668" t="str">
        <f>VLOOKUP(B4668,Customers!A:G,7,FALSE)</f>
        <v>Individual</v>
      </c>
      <c r="Q4668" t="str">
        <f>IF(COUNTIF(Customers!$A$2:$A$1001,B4668)&gt;0,"Valid","Invalid")</f>
        <v>Valid</v>
      </c>
      <c r="R4668" t="str">
        <f>IF(COUNTIF(Branches!$A$2:$A$11,F4668)&gt;0,"Valid","Invalid")</f>
        <v>Valid</v>
      </c>
    </row>
    <row r="4669" spans="1:18" x14ac:dyDescent="0.25">
      <c r="A4669" t="s">
        <v>6740</v>
      </c>
      <c r="B4669" t="s">
        <v>708</v>
      </c>
      <c r="C4669" s="8">
        <v>46037</v>
      </c>
      <c r="D4669" t="s">
        <v>2067</v>
      </c>
      <c r="E4669" t="s">
        <v>2063</v>
      </c>
      <c r="F4669" t="s">
        <v>45</v>
      </c>
      <c r="G4669">
        <v>1157.27</v>
      </c>
      <c r="H4669" t="s">
        <v>2060</v>
      </c>
      <c r="I4669" t="str">
        <f>VLOOKUP(B4669,Customers!A:G,7,FALSE)</f>
        <v>Student</v>
      </c>
      <c r="Q4669" t="str">
        <f>IF(COUNTIF(Customers!$A$2:$A$1001,B4669)&gt;0,"Valid","Invalid")</f>
        <v>Valid</v>
      </c>
      <c r="R4669" t="str">
        <f>IF(COUNTIF(Branches!$A$2:$A$11,F4669)&gt;0,"Valid","Invalid")</f>
        <v>Valid</v>
      </c>
    </row>
    <row r="4670" spans="1:18" x14ac:dyDescent="0.25">
      <c r="A4670" t="s">
        <v>6741</v>
      </c>
      <c r="B4670" t="s">
        <v>64</v>
      </c>
      <c r="C4670" s="8">
        <v>46043</v>
      </c>
      <c r="D4670" t="s">
        <v>2067</v>
      </c>
      <c r="E4670" t="s">
        <v>2059</v>
      </c>
      <c r="F4670" t="s">
        <v>27</v>
      </c>
      <c r="G4670">
        <v>1772.81</v>
      </c>
      <c r="H4670" t="s">
        <v>2060</v>
      </c>
      <c r="I4670" t="str">
        <f>VLOOKUP(B4670,Customers!A:G,7,FALSE)</f>
        <v>SME</v>
      </c>
      <c r="Q4670" t="str">
        <f>IF(COUNTIF(Customers!$A$2:$A$1001,B4670)&gt;0,"Valid","Invalid")</f>
        <v>Valid</v>
      </c>
      <c r="R4670" t="str">
        <f>IF(COUNTIF(Branches!$A$2:$A$11,F4670)&gt;0,"Valid","Invalid")</f>
        <v>Valid</v>
      </c>
    </row>
    <row r="4671" spans="1:18" x14ac:dyDescent="0.25">
      <c r="A4671" t="s">
        <v>6742</v>
      </c>
      <c r="B4671" t="s">
        <v>118</v>
      </c>
      <c r="C4671" s="8">
        <v>46148</v>
      </c>
      <c r="D4671" t="s">
        <v>2058</v>
      </c>
      <c r="E4671" t="s">
        <v>2076</v>
      </c>
      <c r="F4671" t="s">
        <v>21</v>
      </c>
      <c r="G4671">
        <v>932.53</v>
      </c>
      <c r="H4671" t="s">
        <v>2060</v>
      </c>
      <c r="I4671" t="str">
        <f>VLOOKUP(B4671,Customers!A:G,7,FALSE)</f>
        <v>Corporate</v>
      </c>
      <c r="Q4671" t="str">
        <f>IF(COUNTIF(Customers!$A$2:$A$1001,B4671)&gt;0,"Valid","Invalid")</f>
        <v>Valid</v>
      </c>
      <c r="R4671" t="str">
        <f>IF(COUNTIF(Branches!$A$2:$A$11,F4671)&gt;0,"Valid","Invalid")</f>
        <v>Valid</v>
      </c>
    </row>
    <row r="4672" spans="1:18" x14ac:dyDescent="0.25">
      <c r="A4672" t="s">
        <v>6743</v>
      </c>
      <c r="B4672" t="s">
        <v>65</v>
      </c>
      <c r="C4672" s="8">
        <v>46111</v>
      </c>
      <c r="D4672" t="s">
        <v>2070</v>
      </c>
      <c r="E4672" t="s">
        <v>2059</v>
      </c>
      <c r="F4672" t="s">
        <v>29</v>
      </c>
      <c r="G4672">
        <v>745.21</v>
      </c>
      <c r="H4672" t="s">
        <v>2060</v>
      </c>
      <c r="I4672" t="str">
        <f>VLOOKUP(B4672,Customers!A:G,7,FALSE)</f>
        <v>Student</v>
      </c>
      <c r="Q4672" t="str">
        <f>IF(COUNTIF(Customers!$A$2:$A$1001,B4672)&gt;0,"Valid","Invalid")</f>
        <v>Valid</v>
      </c>
      <c r="R4672" t="str">
        <f>IF(COUNTIF(Branches!$A$2:$A$11,F4672)&gt;0,"Valid","Invalid")</f>
        <v>Valid</v>
      </c>
    </row>
    <row r="4673" spans="1:18" x14ac:dyDescent="0.25">
      <c r="A4673" t="s">
        <v>6744</v>
      </c>
      <c r="B4673" t="s">
        <v>786</v>
      </c>
      <c r="C4673" s="8">
        <v>46039</v>
      </c>
      <c r="D4673" t="s">
        <v>2065</v>
      </c>
      <c r="E4673" t="s">
        <v>2063</v>
      </c>
      <c r="F4673" t="s">
        <v>35</v>
      </c>
      <c r="G4673">
        <v>928.33</v>
      </c>
      <c r="H4673" t="s">
        <v>2060</v>
      </c>
      <c r="I4673" t="str">
        <f>VLOOKUP(B4673,Customers!A:G,7,FALSE)</f>
        <v>Individual</v>
      </c>
      <c r="Q4673" t="str">
        <f>IF(COUNTIF(Customers!$A$2:$A$1001,B4673)&gt;0,"Valid","Invalid")</f>
        <v>Valid</v>
      </c>
      <c r="R4673" t="str">
        <f>IF(COUNTIF(Branches!$A$2:$A$11,F4673)&gt;0,"Valid","Invalid")</f>
        <v>Valid</v>
      </c>
    </row>
    <row r="4674" spans="1:18" x14ac:dyDescent="0.25">
      <c r="A4674" t="s">
        <v>6745</v>
      </c>
      <c r="B4674" t="s">
        <v>371</v>
      </c>
      <c r="C4674" s="8">
        <v>46078</v>
      </c>
      <c r="D4674" t="s">
        <v>2067</v>
      </c>
      <c r="E4674" t="s">
        <v>2059</v>
      </c>
      <c r="F4674" t="s">
        <v>21</v>
      </c>
      <c r="G4674">
        <v>346.12</v>
      </c>
      <c r="H4674" t="s">
        <v>2060</v>
      </c>
      <c r="I4674" t="str">
        <f>VLOOKUP(B4674,Customers!A:G,7,FALSE)</f>
        <v>Individual</v>
      </c>
      <c r="Q4674" t="str">
        <f>IF(COUNTIF(Customers!$A$2:$A$1001,B4674)&gt;0,"Valid","Invalid")</f>
        <v>Valid</v>
      </c>
      <c r="R4674" t="str">
        <f>IF(COUNTIF(Branches!$A$2:$A$11,F4674)&gt;0,"Valid","Invalid")</f>
        <v>Valid</v>
      </c>
    </row>
    <row r="4675" spans="1:18" x14ac:dyDescent="0.25">
      <c r="A4675" t="s">
        <v>6746</v>
      </c>
      <c r="B4675" t="s">
        <v>698</v>
      </c>
      <c r="C4675" s="8">
        <v>46072</v>
      </c>
      <c r="D4675" t="s">
        <v>2067</v>
      </c>
      <c r="E4675" t="s">
        <v>2059</v>
      </c>
      <c r="F4675" t="s">
        <v>35</v>
      </c>
      <c r="G4675">
        <v>492.97</v>
      </c>
      <c r="H4675" t="s">
        <v>2060</v>
      </c>
      <c r="I4675" t="str">
        <f>VLOOKUP(B4675,Customers!A:G,7,FALSE)</f>
        <v>Individual</v>
      </c>
      <c r="Q4675" t="str">
        <f>IF(COUNTIF(Customers!$A$2:$A$1001,B4675)&gt;0,"Valid","Invalid")</f>
        <v>Valid</v>
      </c>
      <c r="R4675" t="str">
        <f>IF(COUNTIF(Branches!$A$2:$A$11,F4675)&gt;0,"Valid","Invalid")</f>
        <v>Valid</v>
      </c>
    </row>
    <row r="4676" spans="1:18" x14ac:dyDescent="0.25">
      <c r="A4676" t="s">
        <v>6747</v>
      </c>
      <c r="B4676" t="s">
        <v>213</v>
      </c>
      <c r="C4676" s="8">
        <v>46157</v>
      </c>
      <c r="D4676" t="s">
        <v>2067</v>
      </c>
      <c r="E4676" t="s">
        <v>2068</v>
      </c>
      <c r="F4676" t="s">
        <v>11</v>
      </c>
      <c r="G4676">
        <v>687.92</v>
      </c>
      <c r="H4676" t="s">
        <v>2060</v>
      </c>
      <c r="I4676" t="str">
        <f>VLOOKUP(B4676,Customers!A:G,7,FALSE)</f>
        <v>Individual</v>
      </c>
      <c r="Q4676" t="str">
        <f>IF(COUNTIF(Customers!$A$2:$A$1001,B4676)&gt;0,"Valid","Invalid")</f>
        <v>Valid</v>
      </c>
      <c r="R4676" t="str">
        <f>IF(COUNTIF(Branches!$A$2:$A$11,F4676)&gt;0,"Valid","Invalid")</f>
        <v>Valid</v>
      </c>
    </row>
    <row r="4677" spans="1:18" x14ac:dyDescent="0.25">
      <c r="A4677" t="s">
        <v>6748</v>
      </c>
      <c r="B4677" t="s">
        <v>408</v>
      </c>
      <c r="C4677" s="8">
        <v>46140</v>
      </c>
      <c r="D4677" t="s">
        <v>2062</v>
      </c>
      <c r="E4677" t="s">
        <v>2063</v>
      </c>
      <c r="F4677" t="s">
        <v>47</v>
      </c>
      <c r="G4677">
        <v>1630.56</v>
      </c>
      <c r="H4677" t="s">
        <v>2060</v>
      </c>
      <c r="I4677" t="str">
        <f>VLOOKUP(B4677,Customers!A:G,7,FALSE)</f>
        <v>Individual</v>
      </c>
      <c r="Q4677" t="str">
        <f>IF(COUNTIF(Customers!$A$2:$A$1001,B4677)&gt;0,"Valid","Invalid")</f>
        <v>Valid</v>
      </c>
      <c r="R4677" t="str">
        <f>IF(COUNTIF(Branches!$A$2:$A$11,F4677)&gt;0,"Valid","Invalid")</f>
        <v>Valid</v>
      </c>
    </row>
    <row r="4678" spans="1:18" x14ac:dyDescent="0.25">
      <c r="A4678" t="s">
        <v>6749</v>
      </c>
      <c r="B4678" t="s">
        <v>585</v>
      </c>
      <c r="C4678" s="8">
        <v>46144</v>
      </c>
      <c r="D4678" t="s">
        <v>2067</v>
      </c>
      <c r="E4678" t="s">
        <v>2063</v>
      </c>
      <c r="F4678" t="s">
        <v>29</v>
      </c>
      <c r="G4678">
        <v>3225.55</v>
      </c>
      <c r="H4678" t="s">
        <v>2060</v>
      </c>
      <c r="I4678" t="str">
        <f>VLOOKUP(B4678,Customers!A:G,7,FALSE)</f>
        <v>Student</v>
      </c>
      <c r="Q4678" t="str">
        <f>IF(COUNTIF(Customers!$A$2:$A$1001,B4678)&gt;0,"Valid","Invalid")</f>
        <v>Valid</v>
      </c>
      <c r="R4678" t="str">
        <f>IF(COUNTIF(Branches!$A$2:$A$11,F4678)&gt;0,"Valid","Invalid")</f>
        <v>Valid</v>
      </c>
    </row>
    <row r="4679" spans="1:18" x14ac:dyDescent="0.25">
      <c r="A4679" t="s">
        <v>6750</v>
      </c>
      <c r="B4679" t="s">
        <v>573</v>
      </c>
      <c r="C4679" s="8">
        <v>46072</v>
      </c>
      <c r="D4679" t="s">
        <v>2065</v>
      </c>
      <c r="E4679" t="s">
        <v>2063</v>
      </c>
      <c r="F4679" t="s">
        <v>16</v>
      </c>
      <c r="G4679">
        <v>646.03</v>
      </c>
      <c r="H4679" t="s">
        <v>2060</v>
      </c>
      <c r="I4679" t="str">
        <f>VLOOKUP(B4679,Customers!A:G,7,FALSE)</f>
        <v>Individual</v>
      </c>
      <c r="Q4679" t="str">
        <f>IF(COUNTIF(Customers!$A$2:$A$1001,B4679)&gt;0,"Valid","Invalid")</f>
        <v>Valid</v>
      </c>
      <c r="R4679" t="str">
        <f>IF(COUNTIF(Branches!$A$2:$A$11,F4679)&gt;0,"Valid","Invalid")</f>
        <v>Valid</v>
      </c>
    </row>
    <row r="4680" spans="1:18" x14ac:dyDescent="0.25">
      <c r="A4680" t="s">
        <v>6751</v>
      </c>
      <c r="B4680" t="s">
        <v>142</v>
      </c>
      <c r="C4680" s="8">
        <v>46082</v>
      </c>
      <c r="D4680" t="s">
        <v>2062</v>
      </c>
      <c r="E4680" t="s">
        <v>2063</v>
      </c>
      <c r="F4680" t="s">
        <v>47</v>
      </c>
      <c r="G4680">
        <v>285.77999999999997</v>
      </c>
      <c r="H4680" t="s">
        <v>2060</v>
      </c>
      <c r="I4680" t="str">
        <f>VLOOKUP(B4680,Customers!A:G,7,FALSE)</f>
        <v>SME</v>
      </c>
      <c r="Q4680" t="str">
        <f>IF(COUNTIF(Customers!$A$2:$A$1001,B4680)&gt;0,"Valid","Invalid")</f>
        <v>Valid</v>
      </c>
      <c r="R4680" t="str">
        <f>IF(COUNTIF(Branches!$A$2:$A$11,F4680)&gt;0,"Valid","Invalid")</f>
        <v>Valid</v>
      </c>
    </row>
    <row r="4681" spans="1:18" x14ac:dyDescent="0.25">
      <c r="A4681" t="s">
        <v>6752</v>
      </c>
      <c r="B4681" t="s">
        <v>133</v>
      </c>
      <c r="C4681" s="8">
        <v>46147</v>
      </c>
      <c r="D4681" t="s">
        <v>2062</v>
      </c>
      <c r="E4681" t="s">
        <v>2076</v>
      </c>
      <c r="F4681" t="s">
        <v>29</v>
      </c>
      <c r="G4681">
        <v>841.89</v>
      </c>
      <c r="H4681" t="s">
        <v>2060</v>
      </c>
      <c r="I4681" t="str">
        <f>VLOOKUP(B4681,Customers!A:G,7,FALSE)</f>
        <v>SME</v>
      </c>
      <c r="Q4681" t="str">
        <f>IF(COUNTIF(Customers!$A$2:$A$1001,B4681)&gt;0,"Valid","Invalid")</f>
        <v>Valid</v>
      </c>
      <c r="R4681" t="str">
        <f>IF(COUNTIF(Branches!$A$2:$A$11,F4681)&gt;0,"Valid","Invalid")</f>
        <v>Valid</v>
      </c>
    </row>
    <row r="4682" spans="1:18" x14ac:dyDescent="0.25">
      <c r="A4682" t="s">
        <v>6753</v>
      </c>
      <c r="B4682" t="s">
        <v>267</v>
      </c>
      <c r="C4682" s="8">
        <v>46233</v>
      </c>
      <c r="D4682" t="s">
        <v>2058</v>
      </c>
      <c r="E4682" t="s">
        <v>2059</v>
      </c>
      <c r="F4682" t="s">
        <v>47</v>
      </c>
      <c r="G4682">
        <v>6072.29</v>
      </c>
      <c r="H4682" t="s">
        <v>2060</v>
      </c>
      <c r="I4682" t="str">
        <f>VLOOKUP(B4682,Customers!A:G,7,FALSE)</f>
        <v>SME</v>
      </c>
      <c r="Q4682" t="str">
        <f>IF(COUNTIF(Customers!$A$2:$A$1001,B4682)&gt;0,"Valid","Invalid")</f>
        <v>Valid</v>
      </c>
      <c r="R4682" t="str">
        <f>IF(COUNTIF(Branches!$A$2:$A$11,F4682)&gt;0,"Valid","Invalid")</f>
        <v>Valid</v>
      </c>
    </row>
    <row r="4683" spans="1:18" x14ac:dyDescent="0.25">
      <c r="A4683" t="s">
        <v>6754</v>
      </c>
      <c r="B4683" t="s">
        <v>264</v>
      </c>
      <c r="C4683" s="8">
        <v>46138</v>
      </c>
      <c r="D4683" t="s">
        <v>2058</v>
      </c>
      <c r="E4683" t="s">
        <v>2063</v>
      </c>
      <c r="F4683" t="s">
        <v>21</v>
      </c>
      <c r="G4683">
        <v>311.75</v>
      </c>
      <c r="H4683" t="s">
        <v>2060</v>
      </c>
      <c r="I4683" t="str">
        <f>VLOOKUP(B4683,Customers!A:G,7,FALSE)</f>
        <v>Individual</v>
      </c>
      <c r="Q4683" t="str">
        <f>IF(COUNTIF(Customers!$A$2:$A$1001,B4683)&gt;0,"Valid","Invalid")</f>
        <v>Valid</v>
      </c>
      <c r="R4683" t="str">
        <f>IF(COUNTIF(Branches!$A$2:$A$11,F4683)&gt;0,"Valid","Invalid")</f>
        <v>Valid</v>
      </c>
    </row>
    <row r="4684" spans="1:18" x14ac:dyDescent="0.25">
      <c r="A4684" t="s">
        <v>6755</v>
      </c>
      <c r="B4684" t="s">
        <v>409</v>
      </c>
      <c r="C4684" s="8">
        <v>46157</v>
      </c>
      <c r="D4684" t="s">
        <v>2065</v>
      </c>
      <c r="E4684" t="s">
        <v>2059</v>
      </c>
      <c r="F4684" t="s">
        <v>35</v>
      </c>
      <c r="G4684">
        <v>1970.1</v>
      </c>
      <c r="H4684" t="s">
        <v>2060</v>
      </c>
      <c r="I4684" t="str">
        <f>VLOOKUP(B4684,Customers!A:G,7,FALSE)</f>
        <v>Individual</v>
      </c>
      <c r="Q4684" t="str">
        <f>IF(COUNTIF(Customers!$A$2:$A$1001,B4684)&gt;0,"Valid","Invalid")</f>
        <v>Valid</v>
      </c>
      <c r="R4684" t="str">
        <f>IF(COUNTIF(Branches!$A$2:$A$11,F4684)&gt;0,"Valid","Invalid")</f>
        <v>Valid</v>
      </c>
    </row>
    <row r="4685" spans="1:18" x14ac:dyDescent="0.25">
      <c r="A4685" t="s">
        <v>6756</v>
      </c>
      <c r="B4685" t="s">
        <v>136</v>
      </c>
      <c r="C4685" s="8">
        <v>46190</v>
      </c>
      <c r="D4685" t="s">
        <v>2065</v>
      </c>
      <c r="E4685" t="s">
        <v>2059</v>
      </c>
      <c r="F4685" t="s">
        <v>45</v>
      </c>
      <c r="G4685">
        <v>3090.11</v>
      </c>
      <c r="H4685" t="s">
        <v>2060</v>
      </c>
      <c r="I4685" t="str">
        <f>VLOOKUP(B4685,Customers!A:G,7,FALSE)</f>
        <v>Individual</v>
      </c>
      <c r="Q4685" t="str">
        <f>IF(COUNTIF(Customers!$A$2:$A$1001,B4685)&gt;0,"Valid","Invalid")</f>
        <v>Valid</v>
      </c>
      <c r="R4685" t="str">
        <f>IF(COUNTIF(Branches!$A$2:$A$11,F4685)&gt;0,"Valid","Invalid")</f>
        <v>Valid</v>
      </c>
    </row>
    <row r="4686" spans="1:18" x14ac:dyDescent="0.25">
      <c r="A4686" t="s">
        <v>6757</v>
      </c>
      <c r="B4686" t="s">
        <v>483</v>
      </c>
      <c r="C4686" s="8">
        <v>46195</v>
      </c>
      <c r="D4686" t="s">
        <v>2065</v>
      </c>
      <c r="E4686" t="s">
        <v>2073</v>
      </c>
      <c r="F4686" t="s">
        <v>27</v>
      </c>
      <c r="G4686">
        <v>566.79</v>
      </c>
      <c r="H4686" t="s">
        <v>2060</v>
      </c>
      <c r="I4686" t="str">
        <f>VLOOKUP(B4686,Customers!A:G,7,FALSE)</f>
        <v>Corporate</v>
      </c>
      <c r="Q4686" t="str">
        <f>IF(COUNTIF(Customers!$A$2:$A$1001,B4686)&gt;0,"Valid","Invalid")</f>
        <v>Valid</v>
      </c>
      <c r="R4686" t="str">
        <f>IF(COUNTIF(Branches!$A$2:$A$11,F4686)&gt;0,"Valid","Invalid")</f>
        <v>Valid</v>
      </c>
    </row>
    <row r="4687" spans="1:18" x14ac:dyDescent="0.25">
      <c r="A4687" t="s">
        <v>6758</v>
      </c>
      <c r="B4687" t="s">
        <v>506</v>
      </c>
      <c r="C4687" s="8">
        <v>46209</v>
      </c>
      <c r="D4687" t="s">
        <v>2067</v>
      </c>
      <c r="E4687" t="s">
        <v>2063</v>
      </c>
      <c r="F4687" t="s">
        <v>16</v>
      </c>
      <c r="G4687">
        <v>403.14</v>
      </c>
      <c r="H4687" t="s">
        <v>2060</v>
      </c>
      <c r="I4687" t="str">
        <f>VLOOKUP(B4687,Customers!A:G,7,FALSE)</f>
        <v>Individual</v>
      </c>
      <c r="Q4687" t="str">
        <f>IF(COUNTIF(Customers!$A$2:$A$1001,B4687)&gt;0,"Valid","Invalid")</f>
        <v>Valid</v>
      </c>
      <c r="R4687" t="str">
        <f>IF(COUNTIF(Branches!$A$2:$A$11,F4687)&gt;0,"Valid","Invalid")</f>
        <v>Valid</v>
      </c>
    </row>
    <row r="4688" spans="1:18" x14ac:dyDescent="0.25">
      <c r="A4688" t="s">
        <v>6759</v>
      </c>
      <c r="B4688" t="s">
        <v>91</v>
      </c>
      <c r="C4688" s="8">
        <v>46264</v>
      </c>
      <c r="D4688" t="s">
        <v>2070</v>
      </c>
      <c r="E4688" t="s">
        <v>2068</v>
      </c>
      <c r="F4688" t="s">
        <v>29</v>
      </c>
      <c r="G4688">
        <v>1443.69</v>
      </c>
      <c r="H4688" t="s">
        <v>2060</v>
      </c>
      <c r="I4688" t="str">
        <f>VLOOKUP(B4688,Customers!A:G,7,FALSE)</f>
        <v>Individual</v>
      </c>
      <c r="Q4688" t="str">
        <f>IF(COUNTIF(Customers!$A$2:$A$1001,B4688)&gt;0,"Valid","Invalid")</f>
        <v>Valid</v>
      </c>
      <c r="R4688" t="str">
        <f>IF(COUNTIF(Branches!$A$2:$A$11,F4688)&gt;0,"Valid","Invalid")</f>
        <v>Valid</v>
      </c>
    </row>
    <row r="4689" spans="1:18" x14ac:dyDescent="0.25">
      <c r="A4689" t="s">
        <v>6760</v>
      </c>
      <c r="B4689" t="s">
        <v>232</v>
      </c>
      <c r="C4689" s="8">
        <v>46110</v>
      </c>
      <c r="D4689" t="s">
        <v>2058</v>
      </c>
      <c r="E4689" t="s">
        <v>2076</v>
      </c>
      <c r="F4689" t="s">
        <v>35</v>
      </c>
      <c r="G4689">
        <v>1156.57</v>
      </c>
      <c r="H4689" t="s">
        <v>2060</v>
      </c>
      <c r="I4689" t="str">
        <f>VLOOKUP(B4689,Customers!A:G,7,FALSE)</f>
        <v>SME</v>
      </c>
      <c r="Q4689" t="str">
        <f>IF(COUNTIF(Customers!$A$2:$A$1001,B4689)&gt;0,"Valid","Invalid")</f>
        <v>Valid</v>
      </c>
      <c r="R4689" t="str">
        <f>IF(COUNTIF(Branches!$A$2:$A$11,F4689)&gt;0,"Valid","Invalid")</f>
        <v>Valid</v>
      </c>
    </row>
    <row r="4690" spans="1:18" x14ac:dyDescent="0.25">
      <c r="A4690" t="s">
        <v>6761</v>
      </c>
      <c r="B4690" t="s">
        <v>558</v>
      </c>
      <c r="C4690" s="8">
        <v>46225</v>
      </c>
      <c r="D4690" t="s">
        <v>2065</v>
      </c>
      <c r="E4690" t="s">
        <v>2063</v>
      </c>
      <c r="F4690" t="s">
        <v>53</v>
      </c>
      <c r="G4690">
        <v>1627.46</v>
      </c>
      <c r="H4690" t="s">
        <v>2060</v>
      </c>
      <c r="I4690" t="str">
        <f>VLOOKUP(B4690,Customers!A:G,7,FALSE)</f>
        <v>Individual</v>
      </c>
      <c r="Q4690" t="str">
        <f>IF(COUNTIF(Customers!$A$2:$A$1001,B4690)&gt;0,"Valid","Invalid")</f>
        <v>Valid</v>
      </c>
      <c r="R4690" t="str">
        <f>IF(COUNTIF(Branches!$A$2:$A$11,F4690)&gt;0,"Valid","Invalid")</f>
        <v>Valid</v>
      </c>
    </row>
    <row r="4691" spans="1:18" x14ac:dyDescent="0.25">
      <c r="A4691" t="s">
        <v>6762</v>
      </c>
      <c r="B4691" t="s">
        <v>462</v>
      </c>
      <c r="C4691" s="8">
        <v>46127</v>
      </c>
      <c r="D4691" t="s">
        <v>2065</v>
      </c>
      <c r="E4691" t="s">
        <v>2073</v>
      </c>
      <c r="F4691" t="s">
        <v>53</v>
      </c>
      <c r="G4691">
        <v>6462.1</v>
      </c>
      <c r="H4691" t="s">
        <v>2060</v>
      </c>
      <c r="I4691" t="str">
        <f>VLOOKUP(B4691,Customers!A:G,7,FALSE)</f>
        <v>SME</v>
      </c>
      <c r="Q4691" t="str">
        <f>IF(COUNTIF(Customers!$A$2:$A$1001,B4691)&gt;0,"Valid","Invalid")</f>
        <v>Valid</v>
      </c>
      <c r="R4691" t="str">
        <f>IF(COUNTIF(Branches!$A$2:$A$11,F4691)&gt;0,"Valid","Invalid")</f>
        <v>Valid</v>
      </c>
    </row>
    <row r="4692" spans="1:18" x14ac:dyDescent="0.25">
      <c r="A4692" t="s">
        <v>6763</v>
      </c>
      <c r="B4692" t="s">
        <v>353</v>
      </c>
      <c r="C4692" s="8">
        <v>46077</v>
      </c>
      <c r="D4692" t="s">
        <v>2067</v>
      </c>
      <c r="E4692" t="s">
        <v>2068</v>
      </c>
      <c r="F4692" t="s">
        <v>29</v>
      </c>
      <c r="G4692">
        <v>960.11</v>
      </c>
      <c r="H4692" t="s">
        <v>2060</v>
      </c>
      <c r="I4692" t="str">
        <f>VLOOKUP(B4692,Customers!A:G,7,FALSE)</f>
        <v>SME</v>
      </c>
      <c r="Q4692" t="str">
        <f>IF(COUNTIF(Customers!$A$2:$A$1001,B4692)&gt;0,"Valid","Invalid")</f>
        <v>Valid</v>
      </c>
      <c r="R4692" t="str">
        <f>IF(COUNTIF(Branches!$A$2:$A$11,F4692)&gt;0,"Valid","Invalid")</f>
        <v>Valid</v>
      </c>
    </row>
    <row r="4693" spans="1:18" x14ac:dyDescent="0.25">
      <c r="A4693" t="s">
        <v>6764</v>
      </c>
      <c r="B4693" t="s">
        <v>164</v>
      </c>
      <c r="C4693" s="8">
        <v>46086</v>
      </c>
      <c r="D4693" t="s">
        <v>2058</v>
      </c>
      <c r="E4693" t="s">
        <v>2076</v>
      </c>
      <c r="F4693" t="s">
        <v>29</v>
      </c>
      <c r="G4693">
        <v>246.6</v>
      </c>
      <c r="H4693" t="s">
        <v>2115</v>
      </c>
      <c r="I4693" t="str">
        <f>VLOOKUP(B4693,Customers!A:G,7,FALSE)</f>
        <v>Individual</v>
      </c>
      <c r="Q4693" t="str">
        <f>IF(COUNTIF(Customers!$A$2:$A$1001,B4693)&gt;0,"Valid","Invalid")</f>
        <v>Valid</v>
      </c>
      <c r="R4693" t="str">
        <f>IF(COUNTIF(Branches!$A$2:$A$11,F4693)&gt;0,"Valid","Invalid")</f>
        <v>Valid</v>
      </c>
    </row>
    <row r="4694" spans="1:18" x14ac:dyDescent="0.25">
      <c r="A4694" t="s">
        <v>6765</v>
      </c>
      <c r="B4694" t="s">
        <v>66</v>
      </c>
      <c r="C4694" s="8">
        <v>46215</v>
      </c>
      <c r="D4694" t="s">
        <v>2067</v>
      </c>
      <c r="E4694" t="s">
        <v>2059</v>
      </c>
      <c r="F4694" t="s">
        <v>11</v>
      </c>
      <c r="G4694">
        <v>868.39</v>
      </c>
      <c r="H4694" t="s">
        <v>2060</v>
      </c>
      <c r="I4694" t="str">
        <f>VLOOKUP(B4694,Customers!A:G,7,FALSE)</f>
        <v>Individual</v>
      </c>
      <c r="Q4694" t="str">
        <f>IF(COUNTIF(Customers!$A$2:$A$1001,B4694)&gt;0,"Valid","Invalid")</f>
        <v>Valid</v>
      </c>
      <c r="R4694" t="str">
        <f>IF(COUNTIF(Branches!$A$2:$A$11,F4694)&gt;0,"Valid","Invalid")</f>
        <v>Valid</v>
      </c>
    </row>
    <row r="4695" spans="1:18" x14ac:dyDescent="0.25">
      <c r="A4695" t="s">
        <v>6766</v>
      </c>
      <c r="B4695" t="s">
        <v>129</v>
      </c>
      <c r="C4695" s="8">
        <v>46204</v>
      </c>
      <c r="D4695" t="s">
        <v>2067</v>
      </c>
      <c r="E4695" t="s">
        <v>2059</v>
      </c>
      <c r="F4695" t="s">
        <v>47</v>
      </c>
      <c r="G4695">
        <v>1034.3800000000001</v>
      </c>
      <c r="H4695" t="s">
        <v>2060</v>
      </c>
      <c r="I4695" t="str">
        <f>VLOOKUP(B4695,Customers!A:G,7,FALSE)</f>
        <v>Individual</v>
      </c>
      <c r="Q4695" t="str">
        <f>IF(COUNTIF(Customers!$A$2:$A$1001,B4695)&gt;0,"Valid","Invalid")</f>
        <v>Valid</v>
      </c>
      <c r="R4695" t="str">
        <f>IF(COUNTIF(Branches!$A$2:$A$11,F4695)&gt;0,"Valid","Invalid")</f>
        <v>Valid</v>
      </c>
    </row>
    <row r="4696" spans="1:18" x14ac:dyDescent="0.25">
      <c r="A4696" t="s">
        <v>6767</v>
      </c>
      <c r="B4696" t="s">
        <v>557</v>
      </c>
      <c r="C4696" s="8">
        <v>46118</v>
      </c>
      <c r="D4696" t="s">
        <v>2058</v>
      </c>
      <c r="E4696" t="s">
        <v>2063</v>
      </c>
      <c r="F4696" t="s">
        <v>53</v>
      </c>
      <c r="G4696">
        <v>2884.68</v>
      </c>
      <c r="H4696" t="s">
        <v>2060</v>
      </c>
      <c r="I4696" t="str">
        <f>VLOOKUP(B4696,Customers!A:G,7,FALSE)</f>
        <v>Individual</v>
      </c>
      <c r="Q4696" t="str">
        <f>IF(COUNTIF(Customers!$A$2:$A$1001,B4696)&gt;0,"Valid","Invalid")</f>
        <v>Valid</v>
      </c>
      <c r="R4696" t="str">
        <f>IF(COUNTIF(Branches!$A$2:$A$11,F4696)&gt;0,"Valid","Invalid")</f>
        <v>Valid</v>
      </c>
    </row>
    <row r="4697" spans="1:18" x14ac:dyDescent="0.25">
      <c r="A4697" t="s">
        <v>6768</v>
      </c>
      <c r="B4697" t="s">
        <v>296</v>
      </c>
      <c r="C4697" s="8">
        <v>46190</v>
      </c>
      <c r="D4697" t="s">
        <v>2065</v>
      </c>
      <c r="E4697" t="s">
        <v>2063</v>
      </c>
      <c r="F4697" t="s">
        <v>29</v>
      </c>
      <c r="G4697">
        <v>667.3</v>
      </c>
      <c r="H4697" t="s">
        <v>2060</v>
      </c>
      <c r="I4697" t="str">
        <f>VLOOKUP(B4697,Customers!A:G,7,FALSE)</f>
        <v>Individual</v>
      </c>
      <c r="Q4697" t="str">
        <f>IF(COUNTIF(Customers!$A$2:$A$1001,B4697)&gt;0,"Valid","Invalid")</f>
        <v>Valid</v>
      </c>
      <c r="R4697" t="str">
        <f>IF(COUNTIF(Branches!$A$2:$A$11,F4697)&gt;0,"Valid","Invalid")</f>
        <v>Valid</v>
      </c>
    </row>
    <row r="4698" spans="1:18" x14ac:dyDescent="0.25">
      <c r="A4698" t="s">
        <v>6769</v>
      </c>
      <c r="B4698" t="s">
        <v>891</v>
      </c>
      <c r="C4698" s="8">
        <v>46203</v>
      </c>
      <c r="D4698" t="s">
        <v>2065</v>
      </c>
      <c r="E4698" t="s">
        <v>2068</v>
      </c>
      <c r="F4698" t="s">
        <v>29</v>
      </c>
      <c r="G4698">
        <v>539.66</v>
      </c>
      <c r="H4698" t="s">
        <v>2060</v>
      </c>
      <c r="I4698" t="str">
        <f>VLOOKUP(B4698,Customers!A:G,7,FALSE)</f>
        <v>SME</v>
      </c>
      <c r="Q4698" t="str">
        <f>IF(COUNTIF(Customers!$A$2:$A$1001,B4698)&gt;0,"Valid","Invalid")</f>
        <v>Valid</v>
      </c>
      <c r="R4698" t="str">
        <f>IF(COUNTIF(Branches!$A$2:$A$11,F4698)&gt;0,"Valid","Invalid")</f>
        <v>Valid</v>
      </c>
    </row>
    <row r="4699" spans="1:18" x14ac:dyDescent="0.25">
      <c r="A4699" t="s">
        <v>6770</v>
      </c>
      <c r="B4699" t="s">
        <v>940</v>
      </c>
      <c r="C4699" s="8">
        <v>46066</v>
      </c>
      <c r="D4699" t="s">
        <v>2065</v>
      </c>
      <c r="E4699" t="s">
        <v>2068</v>
      </c>
      <c r="F4699" t="s">
        <v>35</v>
      </c>
      <c r="G4699">
        <v>206.19</v>
      </c>
      <c r="H4699" t="s">
        <v>2060</v>
      </c>
      <c r="I4699" t="str">
        <f>VLOOKUP(B4699,Customers!A:G,7,FALSE)</f>
        <v>Individual</v>
      </c>
      <c r="Q4699" t="str">
        <f>IF(COUNTIF(Customers!$A$2:$A$1001,B4699)&gt;0,"Valid","Invalid")</f>
        <v>Valid</v>
      </c>
      <c r="R4699" t="str">
        <f>IF(COUNTIF(Branches!$A$2:$A$11,F4699)&gt;0,"Valid","Invalid")</f>
        <v>Valid</v>
      </c>
    </row>
    <row r="4700" spans="1:18" x14ac:dyDescent="0.25">
      <c r="A4700" t="s">
        <v>6771</v>
      </c>
      <c r="B4700" t="s">
        <v>257</v>
      </c>
      <c r="C4700" s="8">
        <v>46213</v>
      </c>
      <c r="D4700" t="s">
        <v>2065</v>
      </c>
      <c r="E4700" t="s">
        <v>2063</v>
      </c>
      <c r="F4700" t="s">
        <v>35</v>
      </c>
      <c r="G4700">
        <v>1404.47</v>
      </c>
      <c r="H4700" t="s">
        <v>2060</v>
      </c>
      <c r="I4700" t="str">
        <f>VLOOKUP(B4700,Customers!A:G,7,FALSE)</f>
        <v>Corporate</v>
      </c>
      <c r="Q4700" t="str">
        <f>IF(COUNTIF(Customers!$A$2:$A$1001,B4700)&gt;0,"Valid","Invalid")</f>
        <v>Valid</v>
      </c>
      <c r="R4700" t="str">
        <f>IF(COUNTIF(Branches!$A$2:$A$11,F4700)&gt;0,"Valid","Invalid")</f>
        <v>Valid</v>
      </c>
    </row>
    <row r="4701" spans="1:18" x14ac:dyDescent="0.25">
      <c r="A4701" t="s">
        <v>6772</v>
      </c>
      <c r="B4701" t="s">
        <v>790</v>
      </c>
      <c r="C4701" s="8">
        <v>46152</v>
      </c>
      <c r="D4701" t="s">
        <v>2065</v>
      </c>
      <c r="E4701" t="s">
        <v>2068</v>
      </c>
      <c r="F4701" t="s">
        <v>16</v>
      </c>
      <c r="G4701">
        <v>23114.31</v>
      </c>
      <c r="H4701" t="s">
        <v>2060</v>
      </c>
      <c r="I4701" t="str">
        <f>VLOOKUP(B4701,Customers!A:G,7,FALSE)</f>
        <v>Individual</v>
      </c>
      <c r="Q4701" t="str">
        <f>IF(COUNTIF(Customers!$A$2:$A$1001,B4701)&gt;0,"Valid","Invalid")</f>
        <v>Valid</v>
      </c>
      <c r="R4701" t="str">
        <f>IF(COUNTIF(Branches!$A$2:$A$11,F4701)&gt;0,"Valid","Invalid")</f>
        <v>Valid</v>
      </c>
    </row>
    <row r="4702" spans="1:18" x14ac:dyDescent="0.25">
      <c r="A4702" t="s">
        <v>6773</v>
      </c>
      <c r="B4702" t="s">
        <v>142</v>
      </c>
      <c r="C4702" s="8">
        <v>46229</v>
      </c>
      <c r="D4702" t="s">
        <v>2067</v>
      </c>
      <c r="E4702" t="s">
        <v>2076</v>
      </c>
      <c r="F4702" t="s">
        <v>39</v>
      </c>
      <c r="G4702">
        <v>650.28</v>
      </c>
      <c r="H4702" t="s">
        <v>2060</v>
      </c>
      <c r="I4702" t="str">
        <f>VLOOKUP(B4702,Customers!A:G,7,FALSE)</f>
        <v>SME</v>
      </c>
      <c r="Q4702" t="str">
        <f>IF(COUNTIF(Customers!$A$2:$A$1001,B4702)&gt;0,"Valid","Invalid")</f>
        <v>Valid</v>
      </c>
      <c r="R4702" t="str">
        <f>IF(COUNTIF(Branches!$A$2:$A$11,F4702)&gt;0,"Valid","Invalid")</f>
        <v>Valid</v>
      </c>
    </row>
    <row r="4703" spans="1:18" x14ac:dyDescent="0.25">
      <c r="A4703" t="s">
        <v>6774</v>
      </c>
      <c r="B4703" t="s">
        <v>586</v>
      </c>
      <c r="C4703" s="8">
        <v>46171</v>
      </c>
      <c r="D4703" t="s">
        <v>2062</v>
      </c>
      <c r="E4703" t="s">
        <v>2063</v>
      </c>
      <c r="F4703" t="s">
        <v>21</v>
      </c>
      <c r="G4703">
        <v>1276.5999999999999</v>
      </c>
      <c r="H4703" t="s">
        <v>2060</v>
      </c>
      <c r="I4703" t="str">
        <f>VLOOKUP(B4703,Customers!A:G,7,FALSE)</f>
        <v>Individual</v>
      </c>
      <c r="Q4703" t="str">
        <f>IF(COUNTIF(Customers!$A$2:$A$1001,B4703)&gt;0,"Valid","Invalid")</f>
        <v>Valid</v>
      </c>
      <c r="R4703" t="str">
        <f>IF(COUNTIF(Branches!$A$2:$A$11,F4703)&gt;0,"Valid","Invalid")</f>
        <v>Valid</v>
      </c>
    </row>
    <row r="4704" spans="1:18" x14ac:dyDescent="0.25">
      <c r="A4704" t="s">
        <v>6775</v>
      </c>
      <c r="B4704" t="s">
        <v>454</v>
      </c>
      <c r="C4704" s="8">
        <v>46238</v>
      </c>
      <c r="D4704" t="s">
        <v>2062</v>
      </c>
      <c r="E4704" t="s">
        <v>2059</v>
      </c>
      <c r="F4704" t="s">
        <v>45</v>
      </c>
      <c r="G4704">
        <v>469.73</v>
      </c>
      <c r="H4704" t="s">
        <v>2060</v>
      </c>
      <c r="I4704" t="str">
        <f>VLOOKUP(B4704,Customers!A:G,7,FALSE)</f>
        <v>Corporate</v>
      </c>
      <c r="Q4704" t="str">
        <f>IF(COUNTIF(Customers!$A$2:$A$1001,B4704)&gt;0,"Valid","Invalid")</f>
        <v>Valid</v>
      </c>
      <c r="R4704" t="str">
        <f>IF(COUNTIF(Branches!$A$2:$A$11,F4704)&gt;0,"Valid","Invalid")</f>
        <v>Valid</v>
      </c>
    </row>
    <row r="4705" spans="1:18" x14ac:dyDescent="0.25">
      <c r="A4705" t="s">
        <v>6776</v>
      </c>
      <c r="B4705" t="s">
        <v>595</v>
      </c>
      <c r="C4705" s="8">
        <v>46072</v>
      </c>
      <c r="D4705" t="s">
        <v>2058</v>
      </c>
      <c r="E4705" t="s">
        <v>2059</v>
      </c>
      <c r="F4705" t="s">
        <v>39</v>
      </c>
      <c r="G4705">
        <v>225.59</v>
      </c>
      <c r="H4705" t="s">
        <v>2060</v>
      </c>
      <c r="I4705" t="str">
        <f>VLOOKUP(B4705,Customers!A:G,7,FALSE)</f>
        <v>Individual</v>
      </c>
      <c r="Q4705" t="str">
        <f>IF(COUNTIF(Customers!$A$2:$A$1001,B4705)&gt;0,"Valid","Invalid")</f>
        <v>Valid</v>
      </c>
      <c r="R4705" t="str">
        <f>IF(COUNTIF(Branches!$A$2:$A$11,F4705)&gt;0,"Valid","Invalid")</f>
        <v>Valid</v>
      </c>
    </row>
    <row r="4706" spans="1:18" x14ac:dyDescent="0.25">
      <c r="A4706" t="s">
        <v>6777</v>
      </c>
      <c r="B4706" t="s">
        <v>848</v>
      </c>
      <c r="C4706" s="8">
        <v>46231</v>
      </c>
      <c r="D4706" t="s">
        <v>2062</v>
      </c>
      <c r="E4706" t="s">
        <v>2068</v>
      </c>
      <c r="F4706" t="s">
        <v>11</v>
      </c>
      <c r="G4706">
        <v>1254.18</v>
      </c>
      <c r="H4706" t="s">
        <v>2060</v>
      </c>
      <c r="I4706" t="str">
        <f>VLOOKUP(B4706,Customers!A:G,7,FALSE)</f>
        <v>Individual</v>
      </c>
      <c r="Q4706" t="str">
        <f>IF(COUNTIF(Customers!$A$2:$A$1001,B4706)&gt;0,"Valid","Invalid")</f>
        <v>Valid</v>
      </c>
      <c r="R4706" t="str">
        <f>IF(COUNTIF(Branches!$A$2:$A$11,F4706)&gt;0,"Valid","Invalid")</f>
        <v>Valid</v>
      </c>
    </row>
    <row r="4707" spans="1:18" x14ac:dyDescent="0.25">
      <c r="A4707" t="s">
        <v>6778</v>
      </c>
      <c r="B4707" t="s">
        <v>347</v>
      </c>
      <c r="C4707" s="8">
        <v>46133</v>
      </c>
      <c r="D4707" t="s">
        <v>2067</v>
      </c>
      <c r="E4707" t="s">
        <v>2068</v>
      </c>
      <c r="F4707" t="s">
        <v>29</v>
      </c>
      <c r="G4707">
        <v>835.63</v>
      </c>
      <c r="H4707" t="s">
        <v>2060</v>
      </c>
      <c r="I4707" t="str">
        <f>VLOOKUP(B4707,Customers!A:G,7,FALSE)</f>
        <v>Individual</v>
      </c>
      <c r="Q4707" t="str">
        <f>IF(COUNTIF(Customers!$A$2:$A$1001,B4707)&gt;0,"Valid","Invalid")</f>
        <v>Valid</v>
      </c>
      <c r="R4707" t="str">
        <f>IF(COUNTIF(Branches!$A$2:$A$11,F4707)&gt;0,"Valid","Invalid")</f>
        <v>Valid</v>
      </c>
    </row>
    <row r="4708" spans="1:18" x14ac:dyDescent="0.25">
      <c r="A4708" t="s">
        <v>6779</v>
      </c>
      <c r="B4708" t="s">
        <v>404</v>
      </c>
      <c r="C4708" s="8">
        <v>46202</v>
      </c>
      <c r="D4708" t="s">
        <v>2062</v>
      </c>
      <c r="E4708" t="s">
        <v>2063</v>
      </c>
      <c r="F4708" t="s">
        <v>47</v>
      </c>
      <c r="G4708">
        <v>74.77</v>
      </c>
      <c r="H4708" t="s">
        <v>2115</v>
      </c>
      <c r="I4708" t="str">
        <f>VLOOKUP(B4708,Customers!A:G,7,FALSE)</f>
        <v>Individual</v>
      </c>
      <c r="Q4708" t="str">
        <f>IF(COUNTIF(Customers!$A$2:$A$1001,B4708)&gt;0,"Valid","Invalid")</f>
        <v>Valid</v>
      </c>
      <c r="R4708" t="str">
        <f>IF(COUNTIF(Branches!$A$2:$A$11,F4708)&gt;0,"Valid","Invalid")</f>
        <v>Valid</v>
      </c>
    </row>
    <row r="4709" spans="1:18" x14ac:dyDescent="0.25">
      <c r="A4709" t="s">
        <v>6780</v>
      </c>
      <c r="B4709" t="s">
        <v>559</v>
      </c>
      <c r="C4709" s="8">
        <v>46159</v>
      </c>
      <c r="D4709" t="s">
        <v>2067</v>
      </c>
      <c r="E4709" t="s">
        <v>2059</v>
      </c>
      <c r="F4709" t="s">
        <v>45</v>
      </c>
      <c r="G4709">
        <v>4064.43</v>
      </c>
      <c r="H4709" t="s">
        <v>2060</v>
      </c>
      <c r="I4709" t="str">
        <f>VLOOKUP(B4709,Customers!A:G,7,FALSE)</f>
        <v>Individual</v>
      </c>
      <c r="Q4709" t="str">
        <f>IF(COUNTIF(Customers!$A$2:$A$1001,B4709)&gt;0,"Valid","Invalid")</f>
        <v>Valid</v>
      </c>
      <c r="R4709" t="str">
        <f>IF(COUNTIF(Branches!$A$2:$A$11,F4709)&gt;0,"Valid","Invalid")</f>
        <v>Valid</v>
      </c>
    </row>
    <row r="4710" spans="1:18" x14ac:dyDescent="0.25">
      <c r="A4710" t="s">
        <v>6781</v>
      </c>
      <c r="B4710" t="s">
        <v>497</v>
      </c>
      <c r="C4710" s="8">
        <v>46121</v>
      </c>
      <c r="D4710" t="s">
        <v>2067</v>
      </c>
      <c r="E4710" t="s">
        <v>2068</v>
      </c>
      <c r="F4710" t="s">
        <v>39</v>
      </c>
      <c r="G4710">
        <v>1231.47</v>
      </c>
      <c r="H4710" t="s">
        <v>2060</v>
      </c>
      <c r="I4710" t="str">
        <f>VLOOKUP(B4710,Customers!A:G,7,FALSE)</f>
        <v>Individual</v>
      </c>
      <c r="Q4710" t="str">
        <f>IF(COUNTIF(Customers!$A$2:$A$1001,B4710)&gt;0,"Valid","Invalid")</f>
        <v>Valid</v>
      </c>
      <c r="R4710" t="str">
        <f>IF(COUNTIF(Branches!$A$2:$A$11,F4710)&gt;0,"Valid","Invalid")</f>
        <v>Valid</v>
      </c>
    </row>
    <row r="4711" spans="1:18" x14ac:dyDescent="0.25">
      <c r="A4711" t="s">
        <v>6782</v>
      </c>
      <c r="B4711" t="s">
        <v>637</v>
      </c>
      <c r="C4711" s="8">
        <v>46170</v>
      </c>
      <c r="D4711" t="s">
        <v>2067</v>
      </c>
      <c r="E4711" t="s">
        <v>2068</v>
      </c>
      <c r="F4711" t="s">
        <v>53</v>
      </c>
      <c r="G4711">
        <v>874.71</v>
      </c>
      <c r="H4711" t="s">
        <v>2060</v>
      </c>
      <c r="I4711" t="str">
        <f>VLOOKUP(B4711,Customers!A:G,7,FALSE)</f>
        <v>Individual</v>
      </c>
      <c r="Q4711" t="str">
        <f>IF(COUNTIF(Customers!$A$2:$A$1001,B4711)&gt;0,"Valid","Invalid")</f>
        <v>Valid</v>
      </c>
      <c r="R4711" t="str">
        <f>IF(COUNTIF(Branches!$A$2:$A$11,F4711)&gt;0,"Valid","Invalid")</f>
        <v>Valid</v>
      </c>
    </row>
    <row r="4712" spans="1:18" x14ac:dyDescent="0.25">
      <c r="A4712" t="s">
        <v>6783</v>
      </c>
      <c r="B4712" t="s">
        <v>408</v>
      </c>
      <c r="C4712" s="8">
        <v>46233</v>
      </c>
      <c r="D4712" t="s">
        <v>2065</v>
      </c>
      <c r="E4712" t="s">
        <v>2063</v>
      </c>
      <c r="F4712" t="s">
        <v>29</v>
      </c>
      <c r="G4712">
        <v>532.73</v>
      </c>
      <c r="H4712" t="s">
        <v>2060</v>
      </c>
      <c r="I4712" t="str">
        <f>VLOOKUP(B4712,Customers!A:G,7,FALSE)</f>
        <v>Individual</v>
      </c>
      <c r="Q4712" t="str">
        <f>IF(COUNTIF(Customers!$A$2:$A$1001,B4712)&gt;0,"Valid","Invalid")</f>
        <v>Valid</v>
      </c>
      <c r="R4712" t="str">
        <f>IF(COUNTIF(Branches!$A$2:$A$11,F4712)&gt;0,"Valid","Invalid")</f>
        <v>Valid</v>
      </c>
    </row>
    <row r="4713" spans="1:18" x14ac:dyDescent="0.25">
      <c r="A4713" t="s">
        <v>6784</v>
      </c>
      <c r="B4713" t="s">
        <v>369</v>
      </c>
      <c r="C4713" s="8">
        <v>46168</v>
      </c>
      <c r="D4713" t="s">
        <v>2070</v>
      </c>
      <c r="E4713" t="s">
        <v>2059</v>
      </c>
      <c r="F4713" t="s">
        <v>47</v>
      </c>
      <c r="G4713">
        <v>1218.4000000000001</v>
      </c>
      <c r="H4713" t="s">
        <v>2060</v>
      </c>
      <c r="I4713" t="str">
        <f>VLOOKUP(B4713,Customers!A:G,7,FALSE)</f>
        <v>SME</v>
      </c>
      <c r="Q4713" t="str">
        <f>IF(COUNTIF(Customers!$A$2:$A$1001,B4713)&gt;0,"Valid","Invalid")</f>
        <v>Valid</v>
      </c>
      <c r="R4713" t="str">
        <f>IF(COUNTIF(Branches!$A$2:$A$11,F4713)&gt;0,"Valid","Invalid")</f>
        <v>Valid</v>
      </c>
    </row>
    <row r="4714" spans="1:18" x14ac:dyDescent="0.25">
      <c r="A4714" t="s">
        <v>6785</v>
      </c>
      <c r="B4714" t="s">
        <v>727</v>
      </c>
      <c r="C4714" s="8">
        <v>46106</v>
      </c>
      <c r="D4714" t="s">
        <v>2065</v>
      </c>
      <c r="E4714" t="s">
        <v>2068</v>
      </c>
      <c r="F4714" t="s">
        <v>21</v>
      </c>
      <c r="G4714">
        <v>1275.8900000000001</v>
      </c>
      <c r="H4714" t="s">
        <v>2060</v>
      </c>
      <c r="I4714" t="str">
        <f>VLOOKUP(B4714,Customers!A:G,7,FALSE)</f>
        <v>SME</v>
      </c>
      <c r="Q4714" t="str">
        <f>IF(COUNTIF(Customers!$A$2:$A$1001,B4714)&gt;0,"Valid","Invalid")</f>
        <v>Valid</v>
      </c>
      <c r="R4714" t="str">
        <f>IF(COUNTIF(Branches!$A$2:$A$11,F4714)&gt;0,"Valid","Invalid")</f>
        <v>Valid</v>
      </c>
    </row>
    <row r="4715" spans="1:18" x14ac:dyDescent="0.25">
      <c r="A4715" t="s">
        <v>6786</v>
      </c>
      <c r="B4715" t="s">
        <v>680</v>
      </c>
      <c r="C4715" s="8">
        <v>46052</v>
      </c>
      <c r="D4715" t="s">
        <v>2067</v>
      </c>
      <c r="E4715" t="s">
        <v>2063</v>
      </c>
      <c r="F4715" t="s">
        <v>27</v>
      </c>
      <c r="G4715">
        <v>1213.57</v>
      </c>
      <c r="H4715" t="s">
        <v>2060</v>
      </c>
      <c r="I4715" t="str">
        <f>VLOOKUP(B4715,Customers!A:G,7,FALSE)</f>
        <v>Individual</v>
      </c>
      <c r="Q4715" t="str">
        <f>IF(COUNTIF(Customers!$A$2:$A$1001,B4715)&gt;0,"Valid","Invalid")</f>
        <v>Valid</v>
      </c>
      <c r="R4715" t="str">
        <f>IF(COUNTIF(Branches!$A$2:$A$11,F4715)&gt;0,"Valid","Invalid")</f>
        <v>Valid</v>
      </c>
    </row>
    <row r="4716" spans="1:18" x14ac:dyDescent="0.25">
      <c r="A4716" t="s">
        <v>6787</v>
      </c>
      <c r="B4716" t="s">
        <v>745</v>
      </c>
      <c r="C4716" s="8">
        <v>46254</v>
      </c>
      <c r="D4716" t="s">
        <v>2067</v>
      </c>
      <c r="E4716" t="s">
        <v>2059</v>
      </c>
      <c r="F4716" t="s">
        <v>53</v>
      </c>
      <c r="G4716">
        <v>2363.7199999999998</v>
      </c>
      <c r="H4716" t="s">
        <v>2060</v>
      </c>
      <c r="I4716" t="str">
        <f>VLOOKUP(B4716,Customers!A:G,7,FALSE)</f>
        <v>SME</v>
      </c>
      <c r="Q4716" t="str">
        <f>IF(COUNTIF(Customers!$A$2:$A$1001,B4716)&gt;0,"Valid","Invalid")</f>
        <v>Valid</v>
      </c>
      <c r="R4716" t="str">
        <f>IF(COUNTIF(Branches!$A$2:$A$11,F4716)&gt;0,"Valid","Invalid")</f>
        <v>Valid</v>
      </c>
    </row>
    <row r="4717" spans="1:18" x14ac:dyDescent="0.25">
      <c r="A4717" t="s">
        <v>6788</v>
      </c>
      <c r="B4717" t="s">
        <v>40</v>
      </c>
      <c r="C4717" s="8">
        <v>46087</v>
      </c>
      <c r="D4717" t="s">
        <v>2065</v>
      </c>
      <c r="E4717" t="s">
        <v>2068</v>
      </c>
      <c r="F4717" t="s">
        <v>11</v>
      </c>
      <c r="G4717">
        <v>2966.9</v>
      </c>
      <c r="H4717" t="s">
        <v>2060</v>
      </c>
      <c r="I4717" t="str">
        <f>VLOOKUP(B4717,Customers!A:G,7,FALSE)</f>
        <v>Individual</v>
      </c>
      <c r="Q4717" t="str">
        <f>IF(COUNTIF(Customers!$A$2:$A$1001,B4717)&gt;0,"Valid","Invalid")</f>
        <v>Valid</v>
      </c>
      <c r="R4717" t="str">
        <f>IF(COUNTIF(Branches!$A$2:$A$11,F4717)&gt;0,"Valid","Invalid")</f>
        <v>Valid</v>
      </c>
    </row>
    <row r="4718" spans="1:18" x14ac:dyDescent="0.25">
      <c r="A4718" t="s">
        <v>6789</v>
      </c>
      <c r="B4718" t="s">
        <v>856</v>
      </c>
      <c r="C4718" s="8">
        <v>46046</v>
      </c>
      <c r="D4718" t="s">
        <v>2065</v>
      </c>
      <c r="E4718" t="s">
        <v>2063</v>
      </c>
      <c r="F4718" t="s">
        <v>27</v>
      </c>
      <c r="G4718">
        <v>6036.58</v>
      </c>
      <c r="H4718" t="s">
        <v>2060</v>
      </c>
      <c r="I4718" t="str">
        <f>VLOOKUP(B4718,Customers!A:G,7,FALSE)</f>
        <v>Individual</v>
      </c>
      <c r="Q4718" t="str">
        <f>IF(COUNTIF(Customers!$A$2:$A$1001,B4718)&gt;0,"Valid","Invalid")</f>
        <v>Valid</v>
      </c>
      <c r="R4718" t="str">
        <f>IF(COUNTIF(Branches!$A$2:$A$11,F4718)&gt;0,"Valid","Invalid")</f>
        <v>Valid</v>
      </c>
    </row>
    <row r="4719" spans="1:18" x14ac:dyDescent="0.25">
      <c r="A4719" t="s">
        <v>6790</v>
      </c>
      <c r="B4719" t="s">
        <v>545</v>
      </c>
      <c r="C4719" s="8">
        <v>46238</v>
      </c>
      <c r="D4719" t="s">
        <v>2065</v>
      </c>
      <c r="E4719" t="s">
        <v>2068</v>
      </c>
      <c r="F4719" t="s">
        <v>16</v>
      </c>
      <c r="G4719">
        <v>351.83</v>
      </c>
      <c r="H4719" t="s">
        <v>2060</v>
      </c>
      <c r="I4719" t="str">
        <f>VLOOKUP(B4719,Customers!A:G,7,FALSE)</f>
        <v>SME</v>
      </c>
      <c r="Q4719" t="str">
        <f>IF(COUNTIF(Customers!$A$2:$A$1001,B4719)&gt;0,"Valid","Invalid")</f>
        <v>Valid</v>
      </c>
      <c r="R4719" t="str">
        <f>IF(COUNTIF(Branches!$A$2:$A$11,F4719)&gt;0,"Valid","Invalid")</f>
        <v>Valid</v>
      </c>
    </row>
    <row r="4720" spans="1:18" x14ac:dyDescent="0.25">
      <c r="A4720" t="s">
        <v>6791</v>
      </c>
      <c r="B4720" t="s">
        <v>457</v>
      </c>
      <c r="C4720" s="8">
        <v>46197</v>
      </c>
      <c r="D4720" t="s">
        <v>2067</v>
      </c>
      <c r="E4720" t="s">
        <v>2063</v>
      </c>
      <c r="F4720" t="s">
        <v>35</v>
      </c>
      <c r="G4720">
        <v>457.87</v>
      </c>
      <c r="H4720" t="s">
        <v>2060</v>
      </c>
      <c r="I4720" t="str">
        <f>VLOOKUP(B4720,Customers!A:G,7,FALSE)</f>
        <v>SME</v>
      </c>
      <c r="Q4720" t="str">
        <f>IF(COUNTIF(Customers!$A$2:$A$1001,B4720)&gt;0,"Valid","Invalid")</f>
        <v>Valid</v>
      </c>
      <c r="R4720" t="str">
        <f>IF(COUNTIF(Branches!$A$2:$A$11,F4720)&gt;0,"Valid","Invalid")</f>
        <v>Valid</v>
      </c>
    </row>
    <row r="4721" spans="1:18" x14ac:dyDescent="0.25">
      <c r="A4721" t="s">
        <v>6792</v>
      </c>
      <c r="B4721" t="s">
        <v>158</v>
      </c>
      <c r="C4721" s="8">
        <v>46233</v>
      </c>
      <c r="D4721" t="s">
        <v>2062</v>
      </c>
      <c r="E4721" t="s">
        <v>2063</v>
      </c>
      <c r="F4721" t="s">
        <v>29</v>
      </c>
      <c r="G4721">
        <v>1165.82</v>
      </c>
      <c r="H4721" t="s">
        <v>2115</v>
      </c>
      <c r="I4721" t="str">
        <f>VLOOKUP(B4721,Customers!A:G,7,FALSE)</f>
        <v>Individual</v>
      </c>
      <c r="Q4721" t="str">
        <f>IF(COUNTIF(Customers!$A$2:$A$1001,B4721)&gt;0,"Valid","Invalid")</f>
        <v>Valid</v>
      </c>
      <c r="R4721" t="str">
        <f>IF(COUNTIF(Branches!$A$2:$A$11,F4721)&gt;0,"Valid","Invalid")</f>
        <v>Valid</v>
      </c>
    </row>
    <row r="4722" spans="1:18" x14ac:dyDescent="0.25">
      <c r="A4722" t="s">
        <v>6793</v>
      </c>
      <c r="B4722" t="s">
        <v>949</v>
      </c>
      <c r="C4722" s="8">
        <v>46244</v>
      </c>
      <c r="D4722" t="s">
        <v>2067</v>
      </c>
      <c r="E4722" t="s">
        <v>2063</v>
      </c>
      <c r="F4722" t="s">
        <v>53</v>
      </c>
      <c r="G4722">
        <v>372.75</v>
      </c>
      <c r="H4722" t="s">
        <v>2060</v>
      </c>
      <c r="I4722" t="str">
        <f>VLOOKUP(B4722,Customers!A:G,7,FALSE)</f>
        <v>Student</v>
      </c>
      <c r="Q4722" t="str">
        <f>IF(COUNTIF(Customers!$A$2:$A$1001,B4722)&gt;0,"Valid","Invalid")</f>
        <v>Valid</v>
      </c>
      <c r="R4722" t="str">
        <f>IF(COUNTIF(Branches!$A$2:$A$11,F4722)&gt;0,"Valid","Invalid")</f>
        <v>Valid</v>
      </c>
    </row>
    <row r="4723" spans="1:18" x14ac:dyDescent="0.25">
      <c r="A4723" t="s">
        <v>6794</v>
      </c>
      <c r="B4723" t="s">
        <v>273</v>
      </c>
      <c r="C4723" s="8">
        <v>46112</v>
      </c>
      <c r="D4723" t="s">
        <v>2065</v>
      </c>
      <c r="E4723" t="s">
        <v>2063</v>
      </c>
      <c r="F4723" t="s">
        <v>11</v>
      </c>
      <c r="G4723">
        <v>437.9</v>
      </c>
      <c r="H4723" t="s">
        <v>2115</v>
      </c>
      <c r="I4723" t="str">
        <f>VLOOKUP(B4723,Customers!A:G,7,FALSE)</f>
        <v>Individual</v>
      </c>
      <c r="Q4723" t="str">
        <f>IF(COUNTIF(Customers!$A$2:$A$1001,B4723)&gt;0,"Valid","Invalid")</f>
        <v>Valid</v>
      </c>
      <c r="R4723" t="str">
        <f>IF(COUNTIF(Branches!$A$2:$A$11,F4723)&gt;0,"Valid","Invalid")</f>
        <v>Valid</v>
      </c>
    </row>
    <row r="4724" spans="1:18" x14ac:dyDescent="0.25">
      <c r="A4724" t="s">
        <v>6795</v>
      </c>
      <c r="B4724" t="s">
        <v>369</v>
      </c>
      <c r="C4724" s="8">
        <v>46128</v>
      </c>
      <c r="D4724" t="s">
        <v>2058</v>
      </c>
      <c r="E4724" t="s">
        <v>2063</v>
      </c>
      <c r="F4724" t="s">
        <v>27</v>
      </c>
      <c r="G4724">
        <v>1306.6600000000001</v>
      </c>
      <c r="H4724" t="s">
        <v>2060</v>
      </c>
      <c r="I4724" t="str">
        <f>VLOOKUP(B4724,Customers!A:G,7,FALSE)</f>
        <v>SME</v>
      </c>
      <c r="Q4724" t="str">
        <f>IF(COUNTIF(Customers!$A$2:$A$1001,B4724)&gt;0,"Valid","Invalid")</f>
        <v>Valid</v>
      </c>
      <c r="R4724" t="str">
        <f>IF(COUNTIF(Branches!$A$2:$A$11,F4724)&gt;0,"Valid","Invalid")</f>
        <v>Valid</v>
      </c>
    </row>
    <row r="4725" spans="1:18" x14ac:dyDescent="0.25">
      <c r="A4725" t="s">
        <v>6796</v>
      </c>
      <c r="B4725" t="s">
        <v>581</v>
      </c>
      <c r="C4725" s="8">
        <v>46194</v>
      </c>
      <c r="D4725" t="s">
        <v>2070</v>
      </c>
      <c r="E4725" t="s">
        <v>2076</v>
      </c>
      <c r="F4725" t="s">
        <v>27</v>
      </c>
      <c r="G4725">
        <v>1999.88</v>
      </c>
      <c r="H4725" t="s">
        <v>2060</v>
      </c>
      <c r="I4725" t="str">
        <f>VLOOKUP(B4725,Customers!A:G,7,FALSE)</f>
        <v>Individual</v>
      </c>
      <c r="Q4725" t="str">
        <f>IF(COUNTIF(Customers!$A$2:$A$1001,B4725)&gt;0,"Valid","Invalid")</f>
        <v>Valid</v>
      </c>
      <c r="R4725" t="str">
        <f>IF(COUNTIF(Branches!$A$2:$A$11,F4725)&gt;0,"Valid","Invalid")</f>
        <v>Valid</v>
      </c>
    </row>
    <row r="4726" spans="1:18" x14ac:dyDescent="0.25">
      <c r="A4726" t="s">
        <v>6797</v>
      </c>
      <c r="B4726" t="s">
        <v>386</v>
      </c>
      <c r="C4726" s="8">
        <v>46252</v>
      </c>
      <c r="D4726" t="s">
        <v>2065</v>
      </c>
      <c r="E4726" t="s">
        <v>2063</v>
      </c>
      <c r="F4726" t="s">
        <v>47</v>
      </c>
      <c r="G4726">
        <v>2910.06</v>
      </c>
      <c r="H4726" t="s">
        <v>2060</v>
      </c>
      <c r="I4726" t="str">
        <f>VLOOKUP(B4726,Customers!A:G,7,FALSE)</f>
        <v>SME</v>
      </c>
      <c r="Q4726" t="str">
        <f>IF(COUNTIF(Customers!$A$2:$A$1001,B4726)&gt;0,"Valid","Invalid")</f>
        <v>Valid</v>
      </c>
      <c r="R4726" t="str">
        <f>IF(COUNTIF(Branches!$A$2:$A$11,F4726)&gt;0,"Valid","Invalid")</f>
        <v>Valid</v>
      </c>
    </row>
    <row r="4727" spans="1:18" x14ac:dyDescent="0.25">
      <c r="A4727" t="s">
        <v>6798</v>
      </c>
      <c r="B4727" t="s">
        <v>996</v>
      </c>
      <c r="C4727" s="8">
        <v>46179</v>
      </c>
      <c r="D4727" t="s">
        <v>2065</v>
      </c>
      <c r="E4727" t="s">
        <v>2073</v>
      </c>
      <c r="F4727" t="s">
        <v>45</v>
      </c>
      <c r="G4727">
        <v>670.07</v>
      </c>
      <c r="H4727" t="s">
        <v>2060</v>
      </c>
      <c r="I4727" t="str">
        <f>VLOOKUP(B4727,Customers!A:G,7,FALSE)</f>
        <v>Corporate</v>
      </c>
      <c r="Q4727" t="str">
        <f>IF(COUNTIF(Customers!$A$2:$A$1001,B4727)&gt;0,"Valid","Invalid")</f>
        <v>Valid</v>
      </c>
      <c r="R4727" t="str">
        <f>IF(COUNTIF(Branches!$A$2:$A$11,F4727)&gt;0,"Valid","Invalid")</f>
        <v>Valid</v>
      </c>
    </row>
    <row r="4728" spans="1:18" x14ac:dyDescent="0.25">
      <c r="A4728" t="s">
        <v>6799</v>
      </c>
      <c r="B4728" t="s">
        <v>450</v>
      </c>
      <c r="C4728" s="8">
        <v>46099</v>
      </c>
      <c r="D4728" t="s">
        <v>2070</v>
      </c>
      <c r="E4728" t="s">
        <v>2059</v>
      </c>
      <c r="F4728" t="s">
        <v>53</v>
      </c>
      <c r="G4728">
        <v>1290.97</v>
      </c>
      <c r="H4728" t="s">
        <v>2060</v>
      </c>
      <c r="I4728" t="str">
        <f>VLOOKUP(B4728,Customers!A:G,7,FALSE)</f>
        <v>Individual</v>
      </c>
      <c r="Q4728" t="str">
        <f>IF(COUNTIF(Customers!$A$2:$A$1001,B4728)&gt;0,"Valid","Invalid")</f>
        <v>Valid</v>
      </c>
      <c r="R4728" t="str">
        <f>IF(COUNTIF(Branches!$A$2:$A$11,F4728)&gt;0,"Valid","Invalid")</f>
        <v>Valid</v>
      </c>
    </row>
    <row r="4729" spans="1:18" x14ac:dyDescent="0.25">
      <c r="A4729" t="s">
        <v>6800</v>
      </c>
      <c r="B4729" t="s">
        <v>261</v>
      </c>
      <c r="C4729" s="8">
        <v>46090</v>
      </c>
      <c r="D4729" t="s">
        <v>2065</v>
      </c>
      <c r="E4729" t="s">
        <v>2059</v>
      </c>
      <c r="F4729" t="s">
        <v>16</v>
      </c>
      <c r="G4729">
        <v>1035.6199999999999</v>
      </c>
      <c r="H4729" t="s">
        <v>2060</v>
      </c>
      <c r="I4729" t="str">
        <f>VLOOKUP(B4729,Customers!A:G,7,FALSE)</f>
        <v>Individual</v>
      </c>
      <c r="Q4729" t="str">
        <f>IF(COUNTIF(Customers!$A$2:$A$1001,B4729)&gt;0,"Valid","Invalid")</f>
        <v>Valid</v>
      </c>
      <c r="R4729" t="str">
        <f>IF(COUNTIF(Branches!$A$2:$A$11,F4729)&gt;0,"Valid","Invalid")</f>
        <v>Valid</v>
      </c>
    </row>
    <row r="4730" spans="1:18" x14ac:dyDescent="0.25">
      <c r="A4730" t="s">
        <v>6801</v>
      </c>
      <c r="B4730" t="s">
        <v>189</v>
      </c>
      <c r="C4730" s="8">
        <v>46131</v>
      </c>
      <c r="D4730" t="s">
        <v>2058</v>
      </c>
      <c r="E4730" t="s">
        <v>2059</v>
      </c>
      <c r="F4730" t="s">
        <v>29</v>
      </c>
      <c r="G4730">
        <v>826.88</v>
      </c>
      <c r="H4730" t="s">
        <v>2107</v>
      </c>
      <c r="I4730" t="str">
        <f>VLOOKUP(B4730,Customers!A:G,7,FALSE)</f>
        <v>Individual</v>
      </c>
      <c r="Q4730" t="str">
        <f>IF(COUNTIF(Customers!$A$2:$A$1001,B4730)&gt;0,"Valid","Invalid")</f>
        <v>Valid</v>
      </c>
      <c r="R4730" t="str">
        <f>IF(COUNTIF(Branches!$A$2:$A$11,F4730)&gt;0,"Valid","Invalid")</f>
        <v>Valid</v>
      </c>
    </row>
    <row r="4731" spans="1:18" x14ac:dyDescent="0.25">
      <c r="A4731" t="s">
        <v>6802</v>
      </c>
      <c r="B4731" t="s">
        <v>249</v>
      </c>
      <c r="C4731" s="8">
        <v>46167</v>
      </c>
      <c r="D4731" t="s">
        <v>2065</v>
      </c>
      <c r="E4731" t="s">
        <v>2076</v>
      </c>
      <c r="F4731" t="s">
        <v>47</v>
      </c>
      <c r="G4731">
        <v>359.24</v>
      </c>
      <c r="H4731" t="s">
        <v>2060</v>
      </c>
      <c r="I4731" t="str">
        <f>VLOOKUP(B4731,Customers!A:G,7,FALSE)</f>
        <v>Individual</v>
      </c>
      <c r="Q4731" t="str">
        <f>IF(COUNTIF(Customers!$A$2:$A$1001,B4731)&gt;0,"Valid","Invalid")</f>
        <v>Valid</v>
      </c>
      <c r="R4731" t="str">
        <f>IF(COUNTIF(Branches!$A$2:$A$11,F4731)&gt;0,"Valid","Invalid")</f>
        <v>Valid</v>
      </c>
    </row>
    <row r="4732" spans="1:18" x14ac:dyDescent="0.25">
      <c r="A4732" t="s">
        <v>6803</v>
      </c>
      <c r="B4732" t="s">
        <v>128</v>
      </c>
      <c r="C4732" s="8">
        <v>46119</v>
      </c>
      <c r="D4732" t="s">
        <v>2070</v>
      </c>
      <c r="E4732" t="s">
        <v>2059</v>
      </c>
      <c r="F4732" t="s">
        <v>39</v>
      </c>
      <c r="G4732">
        <v>316.33</v>
      </c>
      <c r="H4732" t="s">
        <v>2060</v>
      </c>
      <c r="I4732" t="str">
        <f>VLOOKUP(B4732,Customers!A:G,7,FALSE)</f>
        <v>Individual</v>
      </c>
      <c r="Q4732" t="str">
        <f>IF(COUNTIF(Customers!$A$2:$A$1001,B4732)&gt;0,"Valid","Invalid")</f>
        <v>Valid</v>
      </c>
      <c r="R4732" t="str">
        <f>IF(COUNTIF(Branches!$A$2:$A$11,F4732)&gt;0,"Valid","Invalid")</f>
        <v>Valid</v>
      </c>
    </row>
    <row r="4733" spans="1:18" x14ac:dyDescent="0.25">
      <c r="A4733" t="s">
        <v>6804</v>
      </c>
      <c r="B4733" t="s">
        <v>959</v>
      </c>
      <c r="C4733" s="8">
        <v>46155</v>
      </c>
      <c r="D4733" t="s">
        <v>2070</v>
      </c>
      <c r="E4733" t="s">
        <v>2063</v>
      </c>
      <c r="F4733" t="s">
        <v>39</v>
      </c>
      <c r="G4733">
        <v>1582.36</v>
      </c>
      <c r="H4733" t="s">
        <v>2060</v>
      </c>
      <c r="I4733" t="str">
        <f>VLOOKUP(B4733,Customers!A:G,7,FALSE)</f>
        <v>SME</v>
      </c>
      <c r="Q4733" t="str">
        <f>IF(COUNTIF(Customers!$A$2:$A$1001,B4733)&gt;0,"Valid","Invalid")</f>
        <v>Valid</v>
      </c>
      <c r="R4733" t="str">
        <f>IF(COUNTIF(Branches!$A$2:$A$11,F4733)&gt;0,"Valid","Invalid")</f>
        <v>Valid</v>
      </c>
    </row>
    <row r="4734" spans="1:18" x14ac:dyDescent="0.25">
      <c r="A4734" t="s">
        <v>6805</v>
      </c>
      <c r="B4734" t="s">
        <v>369</v>
      </c>
      <c r="C4734" s="8">
        <v>46114</v>
      </c>
      <c r="D4734" t="s">
        <v>2062</v>
      </c>
      <c r="E4734" t="s">
        <v>2068</v>
      </c>
      <c r="F4734" t="s">
        <v>27</v>
      </c>
      <c r="G4734">
        <v>353.25</v>
      </c>
      <c r="H4734" t="s">
        <v>2060</v>
      </c>
      <c r="I4734" t="str">
        <f>VLOOKUP(B4734,Customers!A:G,7,FALSE)</f>
        <v>SME</v>
      </c>
      <c r="Q4734" t="str">
        <f>IF(COUNTIF(Customers!$A$2:$A$1001,B4734)&gt;0,"Valid","Invalid")</f>
        <v>Valid</v>
      </c>
      <c r="R4734" t="str">
        <f>IF(COUNTIF(Branches!$A$2:$A$11,F4734)&gt;0,"Valid","Invalid")</f>
        <v>Valid</v>
      </c>
    </row>
    <row r="4735" spans="1:18" x14ac:dyDescent="0.25">
      <c r="A4735" t="s">
        <v>6806</v>
      </c>
      <c r="B4735" t="s">
        <v>505</v>
      </c>
      <c r="C4735" s="8">
        <v>46110</v>
      </c>
      <c r="D4735" t="s">
        <v>2067</v>
      </c>
      <c r="E4735" t="s">
        <v>2059</v>
      </c>
      <c r="F4735" t="s">
        <v>16</v>
      </c>
      <c r="G4735">
        <v>137.43</v>
      </c>
      <c r="H4735" t="s">
        <v>2060</v>
      </c>
      <c r="I4735" t="str">
        <f>VLOOKUP(B4735,Customers!A:G,7,FALSE)</f>
        <v>Individual</v>
      </c>
      <c r="Q4735" t="str">
        <f>IF(COUNTIF(Customers!$A$2:$A$1001,B4735)&gt;0,"Valid","Invalid")</f>
        <v>Valid</v>
      </c>
      <c r="R4735" t="str">
        <f>IF(COUNTIF(Branches!$A$2:$A$11,F4735)&gt;0,"Valid","Invalid")</f>
        <v>Valid</v>
      </c>
    </row>
    <row r="4736" spans="1:18" x14ac:dyDescent="0.25">
      <c r="A4736" t="s">
        <v>6807</v>
      </c>
      <c r="B4736" t="s">
        <v>898</v>
      </c>
      <c r="C4736" s="8">
        <v>46231</v>
      </c>
      <c r="D4736" t="s">
        <v>2067</v>
      </c>
      <c r="E4736" t="s">
        <v>2063</v>
      </c>
      <c r="F4736" t="s">
        <v>53</v>
      </c>
      <c r="G4736">
        <v>787.01</v>
      </c>
      <c r="H4736" t="s">
        <v>2060</v>
      </c>
      <c r="I4736" t="str">
        <f>VLOOKUP(B4736,Customers!A:G,7,FALSE)</f>
        <v>Student</v>
      </c>
      <c r="Q4736" t="str">
        <f>IF(COUNTIF(Customers!$A$2:$A$1001,B4736)&gt;0,"Valid","Invalid")</f>
        <v>Valid</v>
      </c>
      <c r="R4736" t="str">
        <f>IF(COUNTIF(Branches!$A$2:$A$11,F4736)&gt;0,"Valid","Invalid")</f>
        <v>Valid</v>
      </c>
    </row>
    <row r="4737" spans="1:18" x14ac:dyDescent="0.25">
      <c r="A4737" t="s">
        <v>6808</v>
      </c>
      <c r="B4737" t="s">
        <v>679</v>
      </c>
      <c r="C4737" s="8">
        <v>46072</v>
      </c>
      <c r="D4737" t="s">
        <v>2065</v>
      </c>
      <c r="E4737" t="s">
        <v>2059</v>
      </c>
      <c r="F4737" t="s">
        <v>53</v>
      </c>
      <c r="G4737">
        <v>3481.58</v>
      </c>
      <c r="H4737" t="s">
        <v>2060</v>
      </c>
      <c r="I4737" t="str">
        <f>VLOOKUP(B4737,Customers!A:G,7,FALSE)</f>
        <v>Individual</v>
      </c>
      <c r="Q4737" t="str">
        <f>IF(COUNTIF(Customers!$A$2:$A$1001,B4737)&gt;0,"Valid","Invalid")</f>
        <v>Valid</v>
      </c>
      <c r="R4737" t="str">
        <f>IF(COUNTIF(Branches!$A$2:$A$11,F4737)&gt;0,"Valid","Invalid")</f>
        <v>Valid</v>
      </c>
    </row>
    <row r="4738" spans="1:18" x14ac:dyDescent="0.25">
      <c r="A4738" t="s">
        <v>6809</v>
      </c>
      <c r="B4738" t="s">
        <v>993</v>
      </c>
      <c r="C4738" s="8">
        <v>46125</v>
      </c>
      <c r="D4738" t="s">
        <v>2062</v>
      </c>
      <c r="E4738" t="s">
        <v>2076</v>
      </c>
      <c r="F4738" t="s">
        <v>35</v>
      </c>
      <c r="G4738">
        <v>49.66</v>
      </c>
      <c r="H4738" t="s">
        <v>2060</v>
      </c>
      <c r="I4738" t="str">
        <f>VLOOKUP(B4738,Customers!A:G,7,FALSE)</f>
        <v>SME</v>
      </c>
      <c r="Q4738" t="str">
        <f>IF(COUNTIF(Customers!$A$2:$A$1001,B4738)&gt;0,"Valid","Invalid")</f>
        <v>Valid</v>
      </c>
      <c r="R4738" t="str">
        <f>IF(COUNTIF(Branches!$A$2:$A$11,F4738)&gt;0,"Valid","Invalid")</f>
        <v>Valid</v>
      </c>
    </row>
    <row r="4739" spans="1:18" x14ac:dyDescent="0.25">
      <c r="A4739" t="s">
        <v>6810</v>
      </c>
      <c r="B4739" t="s">
        <v>747</v>
      </c>
      <c r="C4739" s="8">
        <v>46134</v>
      </c>
      <c r="D4739" t="s">
        <v>2062</v>
      </c>
      <c r="E4739" t="s">
        <v>2063</v>
      </c>
      <c r="F4739" t="s">
        <v>27</v>
      </c>
      <c r="G4739">
        <v>608.91</v>
      </c>
      <c r="H4739" t="s">
        <v>2060</v>
      </c>
      <c r="I4739" t="str">
        <f>VLOOKUP(B4739,Customers!A:G,7,FALSE)</f>
        <v>SME</v>
      </c>
      <c r="Q4739" t="str">
        <f>IF(COUNTIF(Customers!$A$2:$A$1001,B4739)&gt;0,"Valid","Invalid")</f>
        <v>Valid</v>
      </c>
      <c r="R4739" t="str">
        <f>IF(COUNTIF(Branches!$A$2:$A$11,F4739)&gt;0,"Valid","Invalid")</f>
        <v>Valid</v>
      </c>
    </row>
    <row r="4740" spans="1:18" x14ac:dyDescent="0.25">
      <c r="A4740" t="s">
        <v>6811</v>
      </c>
      <c r="B4740" t="s">
        <v>1008</v>
      </c>
      <c r="C4740" s="8">
        <v>46190</v>
      </c>
      <c r="D4740" t="s">
        <v>2067</v>
      </c>
      <c r="E4740" t="s">
        <v>2068</v>
      </c>
      <c r="F4740" t="s">
        <v>11</v>
      </c>
      <c r="G4740">
        <v>1595.93</v>
      </c>
      <c r="H4740" t="s">
        <v>2060</v>
      </c>
      <c r="I4740" t="str">
        <f>VLOOKUP(B4740,Customers!A:G,7,FALSE)</f>
        <v>Individual</v>
      </c>
      <c r="Q4740" t="str">
        <f>IF(COUNTIF(Customers!$A$2:$A$1001,B4740)&gt;0,"Valid","Invalid")</f>
        <v>Valid</v>
      </c>
      <c r="R4740" t="str">
        <f>IF(COUNTIF(Branches!$A$2:$A$11,F4740)&gt;0,"Valid","Invalid")</f>
        <v>Valid</v>
      </c>
    </row>
    <row r="4741" spans="1:18" x14ac:dyDescent="0.25">
      <c r="A4741" t="s">
        <v>6812</v>
      </c>
      <c r="B4741" t="s">
        <v>592</v>
      </c>
      <c r="C4741" s="8">
        <v>46258</v>
      </c>
      <c r="D4741" t="s">
        <v>2058</v>
      </c>
      <c r="E4741" t="s">
        <v>2076</v>
      </c>
      <c r="F4741" t="s">
        <v>21</v>
      </c>
      <c r="G4741">
        <v>131.16999999999999</v>
      </c>
      <c r="H4741" t="s">
        <v>2060</v>
      </c>
      <c r="I4741" t="str">
        <f>VLOOKUP(B4741,Customers!A:G,7,FALSE)</f>
        <v>SME</v>
      </c>
      <c r="Q4741" t="str">
        <f>IF(COUNTIF(Customers!$A$2:$A$1001,B4741)&gt;0,"Valid","Invalid")</f>
        <v>Valid</v>
      </c>
      <c r="R4741" t="str">
        <f>IF(COUNTIF(Branches!$A$2:$A$11,F4741)&gt;0,"Valid","Invalid")</f>
        <v>Valid</v>
      </c>
    </row>
    <row r="4742" spans="1:18" x14ac:dyDescent="0.25">
      <c r="A4742" t="s">
        <v>6813</v>
      </c>
      <c r="B4742" t="s">
        <v>916</v>
      </c>
      <c r="C4742" s="8">
        <v>46068</v>
      </c>
      <c r="D4742" t="s">
        <v>2065</v>
      </c>
      <c r="E4742" t="s">
        <v>2076</v>
      </c>
      <c r="F4742" t="s">
        <v>39</v>
      </c>
      <c r="G4742">
        <v>656.33</v>
      </c>
      <c r="H4742" t="s">
        <v>2060</v>
      </c>
      <c r="I4742" t="str">
        <f>VLOOKUP(B4742,Customers!A:G,7,FALSE)</f>
        <v>Individual</v>
      </c>
      <c r="Q4742" t="str">
        <f>IF(COUNTIF(Customers!$A$2:$A$1001,B4742)&gt;0,"Valid","Invalid")</f>
        <v>Valid</v>
      </c>
      <c r="R4742" t="str">
        <f>IF(COUNTIF(Branches!$A$2:$A$11,F4742)&gt;0,"Valid","Invalid")</f>
        <v>Valid</v>
      </c>
    </row>
    <row r="4743" spans="1:18" x14ac:dyDescent="0.25">
      <c r="A4743" t="s">
        <v>6814</v>
      </c>
      <c r="B4743" t="s">
        <v>968</v>
      </c>
      <c r="C4743" s="8">
        <v>46201</v>
      </c>
      <c r="D4743" t="s">
        <v>2067</v>
      </c>
      <c r="E4743" t="s">
        <v>2059</v>
      </c>
      <c r="F4743" t="s">
        <v>11</v>
      </c>
      <c r="G4743">
        <v>259.95999999999998</v>
      </c>
      <c r="H4743" t="s">
        <v>2115</v>
      </c>
      <c r="I4743" t="str">
        <f>VLOOKUP(B4743,Customers!A:G,7,FALSE)</f>
        <v>SME</v>
      </c>
      <c r="Q4743" t="str">
        <f>IF(COUNTIF(Customers!$A$2:$A$1001,B4743)&gt;0,"Valid","Invalid")</f>
        <v>Valid</v>
      </c>
      <c r="R4743" t="str">
        <f>IF(COUNTIF(Branches!$A$2:$A$11,F4743)&gt;0,"Valid","Invalid")</f>
        <v>Valid</v>
      </c>
    </row>
    <row r="4744" spans="1:18" x14ac:dyDescent="0.25">
      <c r="A4744" t="s">
        <v>6815</v>
      </c>
      <c r="B4744" t="s">
        <v>265</v>
      </c>
      <c r="C4744" s="8">
        <v>46033</v>
      </c>
      <c r="D4744" t="s">
        <v>2058</v>
      </c>
      <c r="E4744" t="s">
        <v>2073</v>
      </c>
      <c r="F4744" t="s">
        <v>11</v>
      </c>
      <c r="G4744">
        <v>296.73</v>
      </c>
      <c r="H4744" t="s">
        <v>2060</v>
      </c>
      <c r="I4744" t="str">
        <f>VLOOKUP(B4744,Customers!A:G,7,FALSE)</f>
        <v>Individual</v>
      </c>
      <c r="Q4744" t="str">
        <f>IF(COUNTIF(Customers!$A$2:$A$1001,B4744)&gt;0,"Valid","Invalid")</f>
        <v>Valid</v>
      </c>
      <c r="R4744" t="str">
        <f>IF(COUNTIF(Branches!$A$2:$A$11,F4744)&gt;0,"Valid","Invalid")</f>
        <v>Valid</v>
      </c>
    </row>
    <row r="4745" spans="1:18" x14ac:dyDescent="0.25">
      <c r="A4745" t="s">
        <v>6816</v>
      </c>
      <c r="B4745" t="s">
        <v>231</v>
      </c>
      <c r="C4745" s="8">
        <v>46034</v>
      </c>
      <c r="D4745" t="s">
        <v>2067</v>
      </c>
      <c r="E4745" t="s">
        <v>2063</v>
      </c>
      <c r="F4745" t="s">
        <v>11</v>
      </c>
      <c r="G4745">
        <v>543.26</v>
      </c>
      <c r="H4745" t="s">
        <v>2060</v>
      </c>
      <c r="I4745" t="str">
        <f>VLOOKUP(B4745,Customers!A:G,7,FALSE)</f>
        <v>Individual</v>
      </c>
      <c r="Q4745" t="str">
        <f>IF(COUNTIF(Customers!$A$2:$A$1001,B4745)&gt;0,"Valid","Invalid")</f>
        <v>Valid</v>
      </c>
      <c r="R4745" t="str">
        <f>IF(COUNTIF(Branches!$A$2:$A$11,F4745)&gt;0,"Valid","Invalid")</f>
        <v>Valid</v>
      </c>
    </row>
    <row r="4746" spans="1:18" x14ac:dyDescent="0.25">
      <c r="A4746" t="s">
        <v>6817</v>
      </c>
      <c r="B4746" t="s">
        <v>568</v>
      </c>
      <c r="C4746" s="8">
        <v>46163</v>
      </c>
      <c r="D4746" t="s">
        <v>2067</v>
      </c>
      <c r="E4746" t="s">
        <v>2059</v>
      </c>
      <c r="F4746" t="s">
        <v>29</v>
      </c>
      <c r="G4746">
        <v>264.24</v>
      </c>
      <c r="H4746" t="s">
        <v>2115</v>
      </c>
      <c r="I4746" t="str">
        <f>VLOOKUP(B4746,Customers!A:G,7,FALSE)</f>
        <v>Individual</v>
      </c>
      <c r="Q4746" t="str">
        <f>IF(COUNTIF(Customers!$A$2:$A$1001,B4746)&gt;0,"Valid","Invalid")</f>
        <v>Valid</v>
      </c>
      <c r="R4746" t="str">
        <f>IF(COUNTIF(Branches!$A$2:$A$11,F4746)&gt;0,"Valid","Invalid")</f>
        <v>Valid</v>
      </c>
    </row>
    <row r="4747" spans="1:18" x14ac:dyDescent="0.25">
      <c r="A4747" t="s">
        <v>6818</v>
      </c>
      <c r="B4747" t="s">
        <v>883</v>
      </c>
      <c r="C4747" s="8">
        <v>46086</v>
      </c>
      <c r="D4747" t="s">
        <v>2065</v>
      </c>
      <c r="E4747" t="s">
        <v>2063</v>
      </c>
      <c r="F4747" t="s">
        <v>16</v>
      </c>
      <c r="G4747">
        <v>243.16</v>
      </c>
      <c r="H4747" t="s">
        <v>2060</v>
      </c>
      <c r="I4747" t="str">
        <f>VLOOKUP(B4747,Customers!A:G,7,FALSE)</f>
        <v>SME</v>
      </c>
      <c r="Q4747" t="str">
        <f>IF(COUNTIF(Customers!$A$2:$A$1001,B4747)&gt;0,"Valid","Invalid")</f>
        <v>Valid</v>
      </c>
      <c r="R4747" t="str">
        <f>IF(COUNTIF(Branches!$A$2:$A$11,F4747)&gt;0,"Valid","Invalid")</f>
        <v>Valid</v>
      </c>
    </row>
    <row r="4748" spans="1:18" x14ac:dyDescent="0.25">
      <c r="A4748" t="s">
        <v>6819</v>
      </c>
      <c r="B4748" t="s">
        <v>281</v>
      </c>
      <c r="C4748" s="8">
        <v>46030</v>
      </c>
      <c r="D4748" t="s">
        <v>2062</v>
      </c>
      <c r="E4748" t="s">
        <v>2076</v>
      </c>
      <c r="F4748" t="s">
        <v>47</v>
      </c>
      <c r="G4748">
        <v>765.68</v>
      </c>
      <c r="H4748" t="s">
        <v>2060</v>
      </c>
      <c r="I4748" t="str">
        <f>VLOOKUP(B4748,Customers!A:G,7,FALSE)</f>
        <v>Individual</v>
      </c>
      <c r="Q4748" t="str">
        <f>IF(COUNTIF(Customers!$A$2:$A$1001,B4748)&gt;0,"Valid","Invalid")</f>
        <v>Valid</v>
      </c>
      <c r="R4748" t="str">
        <f>IF(COUNTIF(Branches!$A$2:$A$11,F4748)&gt;0,"Valid","Invalid")</f>
        <v>Valid</v>
      </c>
    </row>
    <row r="4749" spans="1:18" x14ac:dyDescent="0.25">
      <c r="A4749" t="s">
        <v>6820</v>
      </c>
      <c r="B4749" t="s">
        <v>427</v>
      </c>
      <c r="C4749" s="8">
        <v>46215</v>
      </c>
      <c r="D4749" t="s">
        <v>2062</v>
      </c>
      <c r="E4749" t="s">
        <v>2063</v>
      </c>
      <c r="F4749" t="s">
        <v>47</v>
      </c>
      <c r="G4749">
        <v>7533.68</v>
      </c>
      <c r="H4749" t="s">
        <v>2060</v>
      </c>
      <c r="I4749" t="str">
        <f>VLOOKUP(B4749,Customers!A:G,7,FALSE)</f>
        <v>Individual</v>
      </c>
      <c r="Q4749" t="str">
        <f>IF(COUNTIF(Customers!$A$2:$A$1001,B4749)&gt;0,"Valid","Invalid")</f>
        <v>Valid</v>
      </c>
      <c r="R4749" t="str">
        <f>IF(COUNTIF(Branches!$A$2:$A$11,F4749)&gt;0,"Valid","Invalid")</f>
        <v>Valid</v>
      </c>
    </row>
    <row r="4750" spans="1:18" x14ac:dyDescent="0.25">
      <c r="A4750" t="s">
        <v>6821</v>
      </c>
      <c r="B4750" t="s">
        <v>314</v>
      </c>
      <c r="C4750" s="8">
        <v>46031</v>
      </c>
      <c r="D4750" t="s">
        <v>2070</v>
      </c>
      <c r="E4750" t="s">
        <v>2063</v>
      </c>
      <c r="F4750" t="s">
        <v>39</v>
      </c>
      <c r="G4750">
        <v>1733.23</v>
      </c>
      <c r="H4750" t="s">
        <v>2060</v>
      </c>
      <c r="I4750" t="str">
        <f>VLOOKUP(B4750,Customers!A:G,7,FALSE)</f>
        <v>Corporate</v>
      </c>
      <c r="Q4750" t="str">
        <f>IF(COUNTIF(Customers!$A$2:$A$1001,B4750)&gt;0,"Valid","Invalid")</f>
        <v>Valid</v>
      </c>
      <c r="R4750" t="str">
        <f>IF(COUNTIF(Branches!$A$2:$A$11,F4750)&gt;0,"Valid","Invalid")</f>
        <v>Valid</v>
      </c>
    </row>
    <row r="4751" spans="1:18" x14ac:dyDescent="0.25">
      <c r="A4751" t="s">
        <v>6822</v>
      </c>
      <c r="B4751" t="s">
        <v>488</v>
      </c>
      <c r="C4751" s="8">
        <v>46242</v>
      </c>
      <c r="D4751" t="s">
        <v>2062</v>
      </c>
      <c r="E4751" t="s">
        <v>2068</v>
      </c>
      <c r="F4751" t="s">
        <v>21</v>
      </c>
      <c r="G4751">
        <v>2231.73</v>
      </c>
      <c r="H4751" t="s">
        <v>2060</v>
      </c>
      <c r="I4751" t="str">
        <f>VLOOKUP(B4751,Customers!A:G,7,FALSE)</f>
        <v>SME</v>
      </c>
      <c r="Q4751" t="str">
        <f>IF(COUNTIF(Customers!$A$2:$A$1001,B4751)&gt;0,"Valid","Invalid")</f>
        <v>Valid</v>
      </c>
      <c r="R4751" t="str">
        <f>IF(COUNTIF(Branches!$A$2:$A$11,F4751)&gt;0,"Valid","Invalid")</f>
        <v>Valid</v>
      </c>
    </row>
    <row r="4752" spans="1:18" x14ac:dyDescent="0.25">
      <c r="A4752" t="s">
        <v>6823</v>
      </c>
      <c r="B4752" t="s">
        <v>677</v>
      </c>
      <c r="C4752" s="8">
        <v>46152</v>
      </c>
      <c r="D4752" t="s">
        <v>2058</v>
      </c>
      <c r="E4752" t="s">
        <v>2059</v>
      </c>
      <c r="F4752" t="s">
        <v>21</v>
      </c>
      <c r="G4752">
        <v>1803.1</v>
      </c>
      <c r="H4752" t="s">
        <v>2060</v>
      </c>
      <c r="I4752" t="str">
        <f>VLOOKUP(B4752,Customers!A:G,7,FALSE)</f>
        <v>Student</v>
      </c>
      <c r="Q4752" t="str">
        <f>IF(COUNTIF(Customers!$A$2:$A$1001,B4752)&gt;0,"Valid","Invalid")</f>
        <v>Valid</v>
      </c>
      <c r="R4752" t="str">
        <f>IF(COUNTIF(Branches!$A$2:$A$11,F4752)&gt;0,"Valid","Invalid")</f>
        <v>Valid</v>
      </c>
    </row>
    <row r="4753" spans="1:18" x14ac:dyDescent="0.25">
      <c r="A4753" t="s">
        <v>6824</v>
      </c>
      <c r="B4753" t="s">
        <v>625</v>
      </c>
      <c r="C4753" s="8">
        <v>46100</v>
      </c>
      <c r="D4753" t="s">
        <v>2065</v>
      </c>
      <c r="E4753" t="s">
        <v>2059</v>
      </c>
      <c r="F4753" t="s">
        <v>11</v>
      </c>
      <c r="G4753">
        <v>404.43</v>
      </c>
      <c r="H4753" t="s">
        <v>2060</v>
      </c>
      <c r="I4753" t="str">
        <f>VLOOKUP(B4753,Customers!A:G,7,FALSE)</f>
        <v>Individual</v>
      </c>
      <c r="Q4753" t="str">
        <f>IF(COUNTIF(Customers!$A$2:$A$1001,B4753)&gt;0,"Valid","Invalid")</f>
        <v>Valid</v>
      </c>
      <c r="R4753" t="str">
        <f>IF(COUNTIF(Branches!$A$2:$A$11,F4753)&gt;0,"Valid","Invalid")</f>
        <v>Valid</v>
      </c>
    </row>
    <row r="4754" spans="1:18" x14ac:dyDescent="0.25">
      <c r="A4754" t="s">
        <v>6825</v>
      </c>
      <c r="B4754" t="s">
        <v>612</v>
      </c>
      <c r="C4754" s="8">
        <v>46163</v>
      </c>
      <c r="D4754" t="s">
        <v>2070</v>
      </c>
      <c r="E4754" t="s">
        <v>2076</v>
      </c>
      <c r="F4754" t="s">
        <v>35</v>
      </c>
      <c r="G4754">
        <v>1108.58</v>
      </c>
      <c r="H4754" t="s">
        <v>2060</v>
      </c>
      <c r="I4754" t="str">
        <f>VLOOKUP(B4754,Customers!A:G,7,FALSE)</f>
        <v>SME</v>
      </c>
      <c r="Q4754" t="str">
        <f>IF(COUNTIF(Customers!$A$2:$A$1001,B4754)&gt;0,"Valid","Invalid")</f>
        <v>Valid</v>
      </c>
      <c r="R4754" t="str">
        <f>IF(COUNTIF(Branches!$A$2:$A$11,F4754)&gt;0,"Valid","Invalid")</f>
        <v>Valid</v>
      </c>
    </row>
    <row r="4755" spans="1:18" x14ac:dyDescent="0.25">
      <c r="A4755" t="s">
        <v>6826</v>
      </c>
      <c r="B4755" t="s">
        <v>516</v>
      </c>
      <c r="C4755" s="8">
        <v>46262</v>
      </c>
      <c r="D4755" t="s">
        <v>2058</v>
      </c>
      <c r="E4755" t="s">
        <v>2076</v>
      </c>
      <c r="F4755" t="s">
        <v>27</v>
      </c>
      <c r="G4755">
        <v>2434.98</v>
      </c>
      <c r="H4755" t="s">
        <v>2060</v>
      </c>
      <c r="I4755" t="str">
        <f>VLOOKUP(B4755,Customers!A:G,7,FALSE)</f>
        <v>SME</v>
      </c>
      <c r="Q4755" t="str">
        <f>IF(COUNTIF(Customers!$A$2:$A$1001,B4755)&gt;0,"Valid","Invalid")</f>
        <v>Valid</v>
      </c>
      <c r="R4755" t="str">
        <f>IF(COUNTIF(Branches!$A$2:$A$11,F4755)&gt;0,"Valid","Invalid")</f>
        <v>Valid</v>
      </c>
    </row>
    <row r="4756" spans="1:18" x14ac:dyDescent="0.25">
      <c r="A4756" t="s">
        <v>6827</v>
      </c>
      <c r="B4756" t="s">
        <v>518</v>
      </c>
      <c r="C4756" s="8">
        <v>46024</v>
      </c>
      <c r="D4756" t="s">
        <v>2058</v>
      </c>
      <c r="E4756" t="s">
        <v>2063</v>
      </c>
      <c r="F4756" t="s">
        <v>53</v>
      </c>
      <c r="G4756">
        <v>1860.01</v>
      </c>
      <c r="H4756" t="s">
        <v>2060</v>
      </c>
      <c r="I4756" t="str">
        <f>VLOOKUP(B4756,Customers!A:G,7,FALSE)</f>
        <v>SME</v>
      </c>
      <c r="Q4756" t="str">
        <f>IF(COUNTIF(Customers!$A$2:$A$1001,B4756)&gt;0,"Valid","Invalid")</f>
        <v>Valid</v>
      </c>
      <c r="R4756" t="str">
        <f>IF(COUNTIF(Branches!$A$2:$A$11,F4756)&gt;0,"Valid","Invalid")</f>
        <v>Valid</v>
      </c>
    </row>
    <row r="4757" spans="1:18" x14ac:dyDescent="0.25">
      <c r="A4757" t="s">
        <v>6828</v>
      </c>
      <c r="B4757" t="s">
        <v>326</v>
      </c>
      <c r="C4757" s="8">
        <v>46218</v>
      </c>
      <c r="D4757" t="s">
        <v>2058</v>
      </c>
      <c r="E4757" t="s">
        <v>2063</v>
      </c>
      <c r="F4757" t="s">
        <v>45</v>
      </c>
      <c r="G4757">
        <v>986.88</v>
      </c>
      <c r="H4757" t="s">
        <v>2060</v>
      </c>
      <c r="I4757" t="str">
        <f>VLOOKUP(B4757,Customers!A:G,7,FALSE)</f>
        <v>Student</v>
      </c>
      <c r="Q4757" t="str">
        <f>IF(COUNTIF(Customers!$A$2:$A$1001,B4757)&gt;0,"Valid","Invalid")</f>
        <v>Valid</v>
      </c>
      <c r="R4757" t="str">
        <f>IF(COUNTIF(Branches!$A$2:$A$11,F4757)&gt;0,"Valid","Invalid")</f>
        <v>Valid</v>
      </c>
    </row>
    <row r="4758" spans="1:18" x14ac:dyDescent="0.25">
      <c r="A4758" t="s">
        <v>6829</v>
      </c>
      <c r="B4758" t="s">
        <v>736</v>
      </c>
      <c r="C4758" s="8">
        <v>46226</v>
      </c>
      <c r="D4758" t="s">
        <v>2062</v>
      </c>
      <c r="E4758" t="s">
        <v>2073</v>
      </c>
      <c r="F4758" t="s">
        <v>47</v>
      </c>
      <c r="G4758">
        <v>1366.55</v>
      </c>
      <c r="H4758" t="s">
        <v>2060</v>
      </c>
      <c r="I4758" t="str">
        <f>VLOOKUP(B4758,Customers!A:G,7,FALSE)</f>
        <v>Individual</v>
      </c>
      <c r="Q4758" t="str">
        <f>IF(COUNTIF(Customers!$A$2:$A$1001,B4758)&gt;0,"Valid","Invalid")</f>
        <v>Valid</v>
      </c>
      <c r="R4758" t="str">
        <f>IF(COUNTIF(Branches!$A$2:$A$11,F4758)&gt;0,"Valid","Invalid")</f>
        <v>Valid</v>
      </c>
    </row>
    <row r="4759" spans="1:18" x14ac:dyDescent="0.25">
      <c r="A4759" t="s">
        <v>6830</v>
      </c>
      <c r="B4759" t="s">
        <v>728</v>
      </c>
      <c r="C4759" s="8">
        <v>46198</v>
      </c>
      <c r="D4759" t="s">
        <v>2065</v>
      </c>
      <c r="E4759" t="s">
        <v>2059</v>
      </c>
      <c r="F4759" t="s">
        <v>35</v>
      </c>
      <c r="G4759">
        <v>9536.43</v>
      </c>
      <c r="H4759" t="s">
        <v>2060</v>
      </c>
      <c r="I4759" t="str">
        <f>VLOOKUP(B4759,Customers!A:G,7,FALSE)</f>
        <v>Individual</v>
      </c>
      <c r="Q4759" t="str">
        <f>IF(COUNTIF(Customers!$A$2:$A$1001,B4759)&gt;0,"Valid","Invalid")</f>
        <v>Valid</v>
      </c>
      <c r="R4759" t="str">
        <f>IF(COUNTIF(Branches!$A$2:$A$11,F4759)&gt;0,"Valid","Invalid")</f>
        <v>Valid</v>
      </c>
    </row>
    <row r="4760" spans="1:18" x14ac:dyDescent="0.25">
      <c r="A4760" t="s">
        <v>6831</v>
      </c>
      <c r="B4760" t="s">
        <v>716</v>
      </c>
      <c r="C4760" s="8">
        <v>46096</v>
      </c>
      <c r="D4760" t="s">
        <v>2065</v>
      </c>
      <c r="E4760" t="s">
        <v>2059</v>
      </c>
      <c r="F4760" t="s">
        <v>27</v>
      </c>
      <c r="G4760">
        <v>1880.78</v>
      </c>
      <c r="H4760" t="s">
        <v>2060</v>
      </c>
      <c r="I4760" t="str">
        <f>VLOOKUP(B4760,Customers!A:G,7,FALSE)</f>
        <v>Individual</v>
      </c>
      <c r="Q4760" t="str">
        <f>IF(COUNTIF(Customers!$A$2:$A$1001,B4760)&gt;0,"Valid","Invalid")</f>
        <v>Valid</v>
      </c>
      <c r="R4760" t="str">
        <f>IF(COUNTIF(Branches!$A$2:$A$11,F4760)&gt;0,"Valid","Invalid")</f>
        <v>Valid</v>
      </c>
    </row>
    <row r="4761" spans="1:18" x14ac:dyDescent="0.25">
      <c r="A4761" t="s">
        <v>6832</v>
      </c>
      <c r="B4761" t="s">
        <v>733</v>
      </c>
      <c r="C4761" s="8">
        <v>46153</v>
      </c>
      <c r="D4761" t="s">
        <v>2058</v>
      </c>
      <c r="E4761" t="s">
        <v>2068</v>
      </c>
      <c r="F4761" t="s">
        <v>35</v>
      </c>
      <c r="G4761">
        <v>592.79</v>
      </c>
      <c r="H4761" t="s">
        <v>2060</v>
      </c>
      <c r="I4761" t="str">
        <f>VLOOKUP(B4761,Customers!A:G,7,FALSE)</f>
        <v>Individual</v>
      </c>
      <c r="Q4761" t="str">
        <f>IF(COUNTIF(Customers!$A$2:$A$1001,B4761)&gt;0,"Valid","Invalid")</f>
        <v>Valid</v>
      </c>
      <c r="R4761" t="str">
        <f>IF(COUNTIF(Branches!$A$2:$A$11,F4761)&gt;0,"Valid","Invalid")</f>
        <v>Valid</v>
      </c>
    </row>
    <row r="4762" spans="1:18" x14ac:dyDescent="0.25">
      <c r="A4762" t="s">
        <v>6833</v>
      </c>
      <c r="B4762" t="s">
        <v>578</v>
      </c>
      <c r="C4762" s="8">
        <v>46218</v>
      </c>
      <c r="D4762" t="s">
        <v>2062</v>
      </c>
      <c r="E4762" t="s">
        <v>2059</v>
      </c>
      <c r="F4762" t="s">
        <v>47</v>
      </c>
      <c r="G4762">
        <v>754.43</v>
      </c>
      <c r="H4762" t="s">
        <v>2060</v>
      </c>
      <c r="I4762" t="str">
        <f>VLOOKUP(B4762,Customers!A:G,7,FALSE)</f>
        <v>SME</v>
      </c>
      <c r="Q4762" t="str">
        <f>IF(COUNTIF(Customers!$A$2:$A$1001,B4762)&gt;0,"Valid","Invalid")</f>
        <v>Valid</v>
      </c>
      <c r="R4762" t="str">
        <f>IF(COUNTIF(Branches!$A$2:$A$11,F4762)&gt;0,"Valid","Invalid")</f>
        <v>Valid</v>
      </c>
    </row>
    <row r="4763" spans="1:18" x14ac:dyDescent="0.25">
      <c r="A4763" t="s">
        <v>6834</v>
      </c>
      <c r="B4763" t="s">
        <v>368</v>
      </c>
      <c r="C4763" s="8">
        <v>46156</v>
      </c>
      <c r="D4763" t="s">
        <v>2058</v>
      </c>
      <c r="E4763" t="s">
        <v>2063</v>
      </c>
      <c r="F4763" t="s">
        <v>16</v>
      </c>
      <c r="G4763">
        <v>283.11</v>
      </c>
      <c r="H4763" t="s">
        <v>2060</v>
      </c>
      <c r="I4763" t="str">
        <f>VLOOKUP(B4763,Customers!A:G,7,FALSE)</f>
        <v>Individual</v>
      </c>
      <c r="Q4763" t="str">
        <f>IF(COUNTIF(Customers!$A$2:$A$1001,B4763)&gt;0,"Valid","Invalid")</f>
        <v>Valid</v>
      </c>
      <c r="R4763" t="str">
        <f>IF(COUNTIF(Branches!$A$2:$A$11,F4763)&gt;0,"Valid","Invalid")</f>
        <v>Valid</v>
      </c>
    </row>
    <row r="4764" spans="1:18" x14ac:dyDescent="0.25">
      <c r="A4764" t="s">
        <v>6835</v>
      </c>
      <c r="B4764" t="s">
        <v>508</v>
      </c>
      <c r="C4764" s="8">
        <v>46109</v>
      </c>
      <c r="D4764" t="s">
        <v>2067</v>
      </c>
      <c r="E4764" t="s">
        <v>2063</v>
      </c>
      <c r="F4764" t="s">
        <v>39</v>
      </c>
      <c r="G4764">
        <v>8493.33</v>
      </c>
      <c r="H4764" t="s">
        <v>2060</v>
      </c>
      <c r="I4764" t="str">
        <f>VLOOKUP(B4764,Customers!A:G,7,FALSE)</f>
        <v>Individual</v>
      </c>
      <c r="Q4764" t="str">
        <f>IF(COUNTIF(Customers!$A$2:$A$1001,B4764)&gt;0,"Valid","Invalid")</f>
        <v>Valid</v>
      </c>
      <c r="R4764" t="str">
        <f>IF(COUNTIF(Branches!$A$2:$A$11,F4764)&gt;0,"Valid","Invalid")</f>
        <v>Valid</v>
      </c>
    </row>
    <row r="4765" spans="1:18" x14ac:dyDescent="0.25">
      <c r="A4765" t="s">
        <v>6836</v>
      </c>
      <c r="B4765" t="s">
        <v>797</v>
      </c>
      <c r="C4765" s="8">
        <v>46027</v>
      </c>
      <c r="D4765" t="s">
        <v>2067</v>
      </c>
      <c r="E4765" t="s">
        <v>2059</v>
      </c>
      <c r="F4765" t="s">
        <v>39</v>
      </c>
      <c r="G4765">
        <v>4039.47</v>
      </c>
      <c r="H4765" t="s">
        <v>2060</v>
      </c>
      <c r="I4765" t="str">
        <f>VLOOKUP(B4765,Customers!A:G,7,FALSE)</f>
        <v>Individual</v>
      </c>
      <c r="Q4765" t="str">
        <f>IF(COUNTIF(Customers!$A$2:$A$1001,B4765)&gt;0,"Valid","Invalid")</f>
        <v>Valid</v>
      </c>
      <c r="R4765" t="str">
        <f>IF(COUNTIF(Branches!$A$2:$A$11,F4765)&gt;0,"Valid","Invalid")</f>
        <v>Valid</v>
      </c>
    </row>
    <row r="4766" spans="1:18" x14ac:dyDescent="0.25">
      <c r="A4766" t="s">
        <v>6837</v>
      </c>
      <c r="B4766" t="s">
        <v>887</v>
      </c>
      <c r="C4766" s="8">
        <v>46264</v>
      </c>
      <c r="D4766" t="s">
        <v>2062</v>
      </c>
      <c r="E4766" t="s">
        <v>2068</v>
      </c>
      <c r="F4766" t="s">
        <v>53</v>
      </c>
      <c r="G4766">
        <v>882.9</v>
      </c>
      <c r="H4766" t="s">
        <v>2060</v>
      </c>
      <c r="I4766" t="str">
        <f>VLOOKUP(B4766,Customers!A:G,7,FALSE)</f>
        <v>Individual</v>
      </c>
      <c r="Q4766" t="str">
        <f>IF(COUNTIF(Customers!$A$2:$A$1001,B4766)&gt;0,"Valid","Invalid")</f>
        <v>Valid</v>
      </c>
      <c r="R4766" t="str">
        <f>IF(COUNTIF(Branches!$A$2:$A$11,F4766)&gt;0,"Valid","Invalid")</f>
        <v>Valid</v>
      </c>
    </row>
    <row r="4767" spans="1:18" x14ac:dyDescent="0.25">
      <c r="A4767" t="s">
        <v>6838</v>
      </c>
      <c r="B4767" t="s">
        <v>572</v>
      </c>
      <c r="C4767" s="8">
        <v>46153</v>
      </c>
      <c r="D4767" t="s">
        <v>2062</v>
      </c>
      <c r="E4767" t="s">
        <v>2063</v>
      </c>
      <c r="F4767" t="s">
        <v>16</v>
      </c>
      <c r="G4767">
        <v>7192.69</v>
      </c>
      <c r="H4767" t="s">
        <v>2060</v>
      </c>
      <c r="I4767" t="str">
        <f>VLOOKUP(B4767,Customers!A:G,7,FALSE)</f>
        <v>Individual</v>
      </c>
      <c r="Q4767" t="str">
        <f>IF(COUNTIF(Customers!$A$2:$A$1001,B4767)&gt;0,"Valid","Invalid")</f>
        <v>Valid</v>
      </c>
      <c r="R4767" t="str">
        <f>IF(COUNTIF(Branches!$A$2:$A$11,F4767)&gt;0,"Valid","Invalid")</f>
        <v>Valid</v>
      </c>
    </row>
    <row r="4768" spans="1:18" x14ac:dyDescent="0.25">
      <c r="A4768" t="s">
        <v>6839</v>
      </c>
      <c r="B4768" t="s">
        <v>977</v>
      </c>
      <c r="C4768" s="8">
        <v>46160</v>
      </c>
      <c r="D4768" t="s">
        <v>2058</v>
      </c>
      <c r="E4768" t="s">
        <v>2063</v>
      </c>
      <c r="F4768" t="s">
        <v>53</v>
      </c>
      <c r="G4768">
        <v>1529.05</v>
      </c>
      <c r="H4768" t="s">
        <v>2060</v>
      </c>
      <c r="I4768" t="str">
        <f>VLOOKUP(B4768,Customers!A:G,7,FALSE)</f>
        <v>Corporate</v>
      </c>
      <c r="Q4768" t="str">
        <f>IF(COUNTIF(Customers!$A$2:$A$1001,B4768)&gt;0,"Valid","Invalid")</f>
        <v>Valid</v>
      </c>
      <c r="R4768" t="str">
        <f>IF(COUNTIF(Branches!$A$2:$A$11,F4768)&gt;0,"Valid","Invalid")</f>
        <v>Valid</v>
      </c>
    </row>
    <row r="4769" spans="1:18" x14ac:dyDescent="0.25">
      <c r="A4769" t="s">
        <v>6840</v>
      </c>
      <c r="B4769" t="s">
        <v>505</v>
      </c>
      <c r="C4769" s="8">
        <v>46193</v>
      </c>
      <c r="D4769" t="s">
        <v>2067</v>
      </c>
      <c r="E4769" t="s">
        <v>2068</v>
      </c>
      <c r="F4769" t="s">
        <v>53</v>
      </c>
      <c r="G4769">
        <v>528.03</v>
      </c>
      <c r="H4769" t="s">
        <v>2060</v>
      </c>
      <c r="I4769" t="str">
        <f>VLOOKUP(B4769,Customers!A:G,7,FALSE)</f>
        <v>Individual</v>
      </c>
      <c r="Q4769" t="str">
        <f>IF(COUNTIF(Customers!$A$2:$A$1001,B4769)&gt;0,"Valid","Invalid")</f>
        <v>Valid</v>
      </c>
      <c r="R4769" t="str">
        <f>IF(COUNTIF(Branches!$A$2:$A$11,F4769)&gt;0,"Valid","Invalid")</f>
        <v>Valid</v>
      </c>
    </row>
    <row r="4770" spans="1:18" x14ac:dyDescent="0.25">
      <c r="A4770" t="s">
        <v>6841</v>
      </c>
      <c r="B4770" t="s">
        <v>1015</v>
      </c>
      <c r="C4770" s="8">
        <v>46169</v>
      </c>
      <c r="D4770" t="s">
        <v>2070</v>
      </c>
      <c r="E4770" t="s">
        <v>2063</v>
      </c>
      <c r="F4770" t="s">
        <v>45</v>
      </c>
      <c r="G4770">
        <v>2011.13</v>
      </c>
      <c r="H4770" t="s">
        <v>2060</v>
      </c>
      <c r="I4770" t="str">
        <f>VLOOKUP(B4770,Customers!A:G,7,FALSE)</f>
        <v>SME</v>
      </c>
      <c r="Q4770" t="str">
        <f>IF(COUNTIF(Customers!$A$2:$A$1001,B4770)&gt;0,"Valid","Invalid")</f>
        <v>Valid</v>
      </c>
      <c r="R4770" t="str">
        <f>IF(COUNTIF(Branches!$A$2:$A$11,F4770)&gt;0,"Valid","Invalid")</f>
        <v>Valid</v>
      </c>
    </row>
    <row r="4771" spans="1:18" x14ac:dyDescent="0.25">
      <c r="A4771" t="s">
        <v>6842</v>
      </c>
      <c r="B4771" t="s">
        <v>1022</v>
      </c>
      <c r="C4771" s="8">
        <v>46036</v>
      </c>
      <c r="D4771" t="s">
        <v>2058</v>
      </c>
      <c r="E4771" t="s">
        <v>2076</v>
      </c>
      <c r="F4771" t="s">
        <v>11</v>
      </c>
      <c r="G4771">
        <v>1210.32</v>
      </c>
      <c r="H4771" t="s">
        <v>2060</v>
      </c>
      <c r="I4771" t="str">
        <f>VLOOKUP(B4771,Customers!A:G,7,FALSE)</f>
        <v>Individual</v>
      </c>
      <c r="Q4771" t="str">
        <f>IF(COUNTIF(Customers!$A$2:$A$1001,B4771)&gt;0,"Valid","Invalid")</f>
        <v>Valid</v>
      </c>
      <c r="R4771" t="str">
        <f>IF(COUNTIF(Branches!$A$2:$A$11,F4771)&gt;0,"Valid","Invalid")</f>
        <v>Valid</v>
      </c>
    </row>
    <row r="4772" spans="1:18" x14ac:dyDescent="0.25">
      <c r="A4772" t="s">
        <v>6843</v>
      </c>
      <c r="B4772" t="s">
        <v>458</v>
      </c>
      <c r="C4772" s="8">
        <v>46171</v>
      </c>
      <c r="D4772" t="s">
        <v>2062</v>
      </c>
      <c r="E4772" t="s">
        <v>2063</v>
      </c>
      <c r="F4772" t="s">
        <v>11</v>
      </c>
      <c r="G4772">
        <v>1877.8</v>
      </c>
      <c r="H4772" t="s">
        <v>2060</v>
      </c>
      <c r="I4772" t="str">
        <f>VLOOKUP(B4772,Customers!A:G,7,FALSE)</f>
        <v>Individual</v>
      </c>
      <c r="Q4772" t="str">
        <f>IF(COUNTIF(Customers!$A$2:$A$1001,B4772)&gt;0,"Valid","Invalid")</f>
        <v>Valid</v>
      </c>
      <c r="R4772" t="str">
        <f>IF(COUNTIF(Branches!$A$2:$A$11,F4772)&gt;0,"Valid","Invalid")</f>
        <v>Valid</v>
      </c>
    </row>
    <row r="4773" spans="1:18" x14ac:dyDescent="0.25">
      <c r="A4773" t="s">
        <v>6844</v>
      </c>
      <c r="B4773" t="s">
        <v>646</v>
      </c>
      <c r="C4773" s="8">
        <v>46146</v>
      </c>
      <c r="D4773" t="s">
        <v>2065</v>
      </c>
      <c r="E4773" t="s">
        <v>2076</v>
      </c>
      <c r="F4773" t="s">
        <v>21</v>
      </c>
      <c r="G4773">
        <v>206.63</v>
      </c>
      <c r="H4773" t="s">
        <v>2060</v>
      </c>
      <c r="I4773" t="str">
        <f>VLOOKUP(B4773,Customers!A:G,7,FALSE)</f>
        <v>SME</v>
      </c>
      <c r="Q4773" t="str">
        <f>IF(COUNTIF(Customers!$A$2:$A$1001,B4773)&gt;0,"Valid","Invalid")</f>
        <v>Valid</v>
      </c>
      <c r="R4773" t="str">
        <f>IF(COUNTIF(Branches!$A$2:$A$11,F4773)&gt;0,"Valid","Invalid")</f>
        <v>Valid</v>
      </c>
    </row>
    <row r="4774" spans="1:18" x14ac:dyDescent="0.25">
      <c r="A4774" t="s">
        <v>6845</v>
      </c>
      <c r="B4774" t="s">
        <v>158</v>
      </c>
      <c r="C4774" s="8">
        <v>46065</v>
      </c>
      <c r="D4774" t="s">
        <v>2067</v>
      </c>
      <c r="E4774" t="s">
        <v>2059</v>
      </c>
      <c r="F4774" t="s">
        <v>29</v>
      </c>
      <c r="G4774">
        <v>361.29</v>
      </c>
      <c r="H4774" t="s">
        <v>2060</v>
      </c>
      <c r="I4774" t="str">
        <f>VLOOKUP(B4774,Customers!A:G,7,FALSE)</f>
        <v>Individual</v>
      </c>
      <c r="Q4774" t="str">
        <f>IF(COUNTIF(Customers!$A$2:$A$1001,B4774)&gt;0,"Valid","Invalid")</f>
        <v>Valid</v>
      </c>
      <c r="R4774" t="str">
        <f>IF(COUNTIF(Branches!$A$2:$A$11,F4774)&gt;0,"Valid","Invalid")</f>
        <v>Valid</v>
      </c>
    </row>
    <row r="4775" spans="1:18" x14ac:dyDescent="0.25">
      <c r="A4775" t="s">
        <v>6846</v>
      </c>
      <c r="B4775" t="s">
        <v>800</v>
      </c>
      <c r="C4775" s="8">
        <v>46050</v>
      </c>
      <c r="D4775" t="s">
        <v>2062</v>
      </c>
      <c r="E4775" t="s">
        <v>2063</v>
      </c>
      <c r="F4775" t="s">
        <v>45</v>
      </c>
      <c r="G4775">
        <v>3599.21</v>
      </c>
      <c r="H4775" t="s">
        <v>2115</v>
      </c>
      <c r="I4775" t="str">
        <f>VLOOKUP(B4775,Customers!A:G,7,FALSE)</f>
        <v>Individual</v>
      </c>
      <c r="Q4775" t="str">
        <f>IF(COUNTIF(Customers!$A$2:$A$1001,B4775)&gt;0,"Valid","Invalid")</f>
        <v>Valid</v>
      </c>
      <c r="R4775" t="str">
        <f>IF(COUNTIF(Branches!$A$2:$A$11,F4775)&gt;0,"Valid","Invalid")</f>
        <v>Valid</v>
      </c>
    </row>
    <row r="4776" spans="1:18" x14ac:dyDescent="0.25">
      <c r="A4776" t="s">
        <v>6847</v>
      </c>
      <c r="B4776" t="s">
        <v>929</v>
      </c>
      <c r="C4776" s="8">
        <v>46171</v>
      </c>
      <c r="D4776" t="s">
        <v>2065</v>
      </c>
      <c r="E4776" t="s">
        <v>2059</v>
      </c>
      <c r="F4776" t="s">
        <v>39</v>
      </c>
      <c r="G4776">
        <v>4416.6499999999996</v>
      </c>
      <c r="H4776" t="s">
        <v>2060</v>
      </c>
      <c r="I4776" t="str">
        <f>VLOOKUP(B4776,Customers!A:G,7,FALSE)</f>
        <v>Individual</v>
      </c>
      <c r="Q4776" t="str">
        <f>IF(COUNTIF(Customers!$A$2:$A$1001,B4776)&gt;0,"Valid","Invalid")</f>
        <v>Valid</v>
      </c>
      <c r="R4776" t="str">
        <f>IF(COUNTIF(Branches!$A$2:$A$11,F4776)&gt;0,"Valid","Invalid")</f>
        <v>Valid</v>
      </c>
    </row>
    <row r="4777" spans="1:18" x14ac:dyDescent="0.25">
      <c r="A4777" t="s">
        <v>6848</v>
      </c>
      <c r="B4777" t="s">
        <v>346</v>
      </c>
      <c r="C4777" s="8">
        <v>46186</v>
      </c>
      <c r="D4777" t="s">
        <v>2058</v>
      </c>
      <c r="E4777" t="s">
        <v>2076</v>
      </c>
      <c r="F4777" t="s">
        <v>27</v>
      </c>
      <c r="G4777">
        <v>3344.63</v>
      </c>
      <c r="H4777" t="s">
        <v>2060</v>
      </c>
      <c r="I4777" t="str">
        <f>VLOOKUP(B4777,Customers!A:G,7,FALSE)</f>
        <v>SME</v>
      </c>
      <c r="Q4777" t="str">
        <f>IF(COUNTIF(Customers!$A$2:$A$1001,B4777)&gt;0,"Valid","Invalid")</f>
        <v>Valid</v>
      </c>
      <c r="R4777" t="str">
        <f>IF(COUNTIF(Branches!$A$2:$A$11,F4777)&gt;0,"Valid","Invalid")</f>
        <v>Valid</v>
      </c>
    </row>
    <row r="4778" spans="1:18" x14ac:dyDescent="0.25">
      <c r="A4778" t="s">
        <v>6849</v>
      </c>
      <c r="B4778" t="s">
        <v>970</v>
      </c>
      <c r="C4778" s="8">
        <v>46046</v>
      </c>
      <c r="D4778" t="s">
        <v>2058</v>
      </c>
      <c r="E4778" t="s">
        <v>2076</v>
      </c>
      <c r="F4778" t="s">
        <v>47</v>
      </c>
      <c r="G4778">
        <v>7469.97</v>
      </c>
      <c r="H4778" t="s">
        <v>2060</v>
      </c>
      <c r="I4778" t="str">
        <f>VLOOKUP(B4778,Customers!A:G,7,FALSE)</f>
        <v>SME</v>
      </c>
      <c r="Q4778" t="str">
        <f>IF(COUNTIF(Customers!$A$2:$A$1001,B4778)&gt;0,"Valid","Invalid")</f>
        <v>Valid</v>
      </c>
      <c r="R4778" t="str">
        <f>IF(COUNTIF(Branches!$A$2:$A$11,F4778)&gt;0,"Valid","Invalid")</f>
        <v>Valid</v>
      </c>
    </row>
    <row r="4779" spans="1:18" x14ac:dyDescent="0.25">
      <c r="A4779" t="s">
        <v>6850</v>
      </c>
      <c r="B4779" t="s">
        <v>962</v>
      </c>
      <c r="C4779" s="8">
        <v>46204</v>
      </c>
      <c r="D4779" t="s">
        <v>2062</v>
      </c>
      <c r="E4779" t="s">
        <v>2076</v>
      </c>
      <c r="F4779" t="s">
        <v>45</v>
      </c>
      <c r="G4779">
        <v>1447.17</v>
      </c>
      <c r="H4779" t="s">
        <v>2060</v>
      </c>
      <c r="I4779" t="str">
        <f>VLOOKUP(B4779,Customers!A:G,7,FALSE)</f>
        <v>Individual</v>
      </c>
      <c r="Q4779" t="str">
        <f>IF(COUNTIF(Customers!$A$2:$A$1001,B4779)&gt;0,"Valid","Invalid")</f>
        <v>Valid</v>
      </c>
      <c r="R4779" t="str">
        <f>IF(COUNTIF(Branches!$A$2:$A$11,F4779)&gt;0,"Valid","Invalid")</f>
        <v>Valid</v>
      </c>
    </row>
    <row r="4780" spans="1:18" x14ac:dyDescent="0.25">
      <c r="A4780" t="s">
        <v>6851</v>
      </c>
      <c r="B4780" t="s">
        <v>372</v>
      </c>
      <c r="C4780" s="8">
        <v>46188</v>
      </c>
      <c r="D4780" t="s">
        <v>2067</v>
      </c>
      <c r="E4780" t="s">
        <v>2059</v>
      </c>
      <c r="F4780" t="s">
        <v>45</v>
      </c>
      <c r="G4780">
        <v>1348.95</v>
      </c>
      <c r="H4780" t="s">
        <v>2060</v>
      </c>
      <c r="I4780" t="str">
        <f>VLOOKUP(B4780,Customers!A:G,7,FALSE)</f>
        <v>Corporate</v>
      </c>
      <c r="Q4780" t="str">
        <f>IF(COUNTIF(Customers!$A$2:$A$1001,B4780)&gt;0,"Valid","Invalid")</f>
        <v>Valid</v>
      </c>
      <c r="R4780" t="str">
        <f>IF(COUNTIF(Branches!$A$2:$A$11,F4780)&gt;0,"Valid","Invalid")</f>
        <v>Valid</v>
      </c>
    </row>
    <row r="4781" spans="1:18" x14ac:dyDescent="0.25">
      <c r="A4781" t="s">
        <v>6852</v>
      </c>
      <c r="B4781" t="s">
        <v>992</v>
      </c>
      <c r="C4781" s="8">
        <v>46039</v>
      </c>
      <c r="D4781" t="s">
        <v>2065</v>
      </c>
      <c r="E4781" t="s">
        <v>2059</v>
      </c>
      <c r="F4781" t="s">
        <v>53</v>
      </c>
      <c r="G4781">
        <v>325.97000000000003</v>
      </c>
      <c r="H4781" t="s">
        <v>2060</v>
      </c>
      <c r="I4781" t="str">
        <f>VLOOKUP(B4781,Customers!A:G,7,FALSE)</f>
        <v>Individual</v>
      </c>
      <c r="Q4781" t="str">
        <f>IF(COUNTIF(Customers!$A$2:$A$1001,B4781)&gt;0,"Valid","Invalid")</f>
        <v>Valid</v>
      </c>
      <c r="R4781" t="str">
        <f>IF(COUNTIF(Branches!$A$2:$A$11,F4781)&gt;0,"Valid","Invalid")</f>
        <v>Valid</v>
      </c>
    </row>
    <row r="4782" spans="1:18" x14ac:dyDescent="0.25">
      <c r="A4782" t="s">
        <v>6853</v>
      </c>
      <c r="B4782" t="s">
        <v>458</v>
      </c>
      <c r="C4782" s="8">
        <v>46172</v>
      </c>
      <c r="D4782" t="s">
        <v>2070</v>
      </c>
      <c r="E4782" t="s">
        <v>2076</v>
      </c>
      <c r="F4782" t="s">
        <v>11</v>
      </c>
      <c r="H4782" t="s">
        <v>2060</v>
      </c>
      <c r="I4782" t="str">
        <f>VLOOKUP(B4782,Customers!A:G,7,FALSE)</f>
        <v>Individual</v>
      </c>
      <c r="Q4782" t="str">
        <f>IF(COUNTIF(Customers!$A$2:$A$1001,B4782)&gt;0,"Valid","Invalid")</f>
        <v>Valid</v>
      </c>
      <c r="R4782" t="str">
        <f>IF(COUNTIF(Branches!$A$2:$A$11,F4782)&gt;0,"Valid","Invalid")</f>
        <v>Valid</v>
      </c>
    </row>
    <row r="4783" spans="1:18" x14ac:dyDescent="0.25">
      <c r="A4783" t="s">
        <v>6854</v>
      </c>
      <c r="B4783" t="s">
        <v>364</v>
      </c>
      <c r="C4783" s="8">
        <v>46105</v>
      </c>
      <c r="D4783" t="s">
        <v>2058</v>
      </c>
      <c r="E4783" t="s">
        <v>2076</v>
      </c>
      <c r="F4783" t="s">
        <v>47</v>
      </c>
      <c r="G4783">
        <v>111.25</v>
      </c>
      <c r="H4783" t="s">
        <v>2060</v>
      </c>
      <c r="I4783" t="str">
        <f>VLOOKUP(B4783,Customers!A:G,7,FALSE)</f>
        <v>Student</v>
      </c>
      <c r="Q4783" t="str">
        <f>IF(COUNTIF(Customers!$A$2:$A$1001,B4783)&gt;0,"Valid","Invalid")</f>
        <v>Valid</v>
      </c>
      <c r="R4783" t="str">
        <f>IF(COUNTIF(Branches!$A$2:$A$11,F4783)&gt;0,"Valid","Invalid")</f>
        <v>Valid</v>
      </c>
    </row>
    <row r="4784" spans="1:18" x14ac:dyDescent="0.25">
      <c r="A4784" t="s">
        <v>6855</v>
      </c>
      <c r="B4784" t="s">
        <v>687</v>
      </c>
      <c r="C4784" s="8">
        <v>46067</v>
      </c>
      <c r="D4784" t="s">
        <v>2065</v>
      </c>
      <c r="E4784" t="s">
        <v>2076</v>
      </c>
      <c r="F4784" t="s">
        <v>21</v>
      </c>
      <c r="G4784">
        <v>589.04999999999995</v>
      </c>
      <c r="H4784" t="s">
        <v>2060</v>
      </c>
      <c r="I4784" t="str">
        <f>VLOOKUP(B4784,Customers!A:G,7,FALSE)</f>
        <v>Individual</v>
      </c>
      <c r="Q4784" t="str">
        <f>IF(COUNTIF(Customers!$A$2:$A$1001,B4784)&gt;0,"Valid","Invalid")</f>
        <v>Valid</v>
      </c>
      <c r="R4784" t="str">
        <f>IF(COUNTIF(Branches!$A$2:$A$11,F4784)&gt;0,"Valid","Invalid")</f>
        <v>Valid</v>
      </c>
    </row>
    <row r="4785" spans="1:18" x14ac:dyDescent="0.25">
      <c r="A4785" t="s">
        <v>6856</v>
      </c>
      <c r="B4785" t="s">
        <v>827</v>
      </c>
      <c r="C4785" s="8">
        <v>46096</v>
      </c>
      <c r="D4785" t="s">
        <v>2065</v>
      </c>
      <c r="E4785" t="s">
        <v>2059</v>
      </c>
      <c r="F4785" t="s">
        <v>39</v>
      </c>
      <c r="G4785">
        <v>103.7</v>
      </c>
      <c r="H4785" t="s">
        <v>2107</v>
      </c>
      <c r="I4785" t="str">
        <f>VLOOKUP(B4785,Customers!A:G,7,FALSE)</f>
        <v>Individual</v>
      </c>
      <c r="Q4785" t="str">
        <f>IF(COUNTIF(Customers!$A$2:$A$1001,B4785)&gt;0,"Valid","Invalid")</f>
        <v>Valid</v>
      </c>
      <c r="R4785" t="str">
        <f>IF(COUNTIF(Branches!$A$2:$A$11,F4785)&gt;0,"Valid","Invalid")</f>
        <v>Valid</v>
      </c>
    </row>
    <row r="4786" spans="1:18" x14ac:dyDescent="0.25">
      <c r="A4786" t="s">
        <v>6857</v>
      </c>
      <c r="B4786" t="s">
        <v>870</v>
      </c>
      <c r="C4786" s="8">
        <v>46211</v>
      </c>
      <c r="D4786" t="s">
        <v>2070</v>
      </c>
      <c r="E4786" t="s">
        <v>2063</v>
      </c>
      <c r="F4786" t="s">
        <v>47</v>
      </c>
      <c r="G4786">
        <v>2394.59</v>
      </c>
      <c r="H4786" t="s">
        <v>2060</v>
      </c>
      <c r="I4786" t="str">
        <f>VLOOKUP(B4786,Customers!A:G,7,FALSE)</f>
        <v>SME</v>
      </c>
      <c r="Q4786" t="str">
        <f>IF(COUNTIF(Customers!$A$2:$A$1001,B4786)&gt;0,"Valid","Invalid")</f>
        <v>Valid</v>
      </c>
      <c r="R4786" t="str">
        <f>IF(COUNTIF(Branches!$A$2:$A$11,F4786)&gt;0,"Valid","Invalid")</f>
        <v>Valid</v>
      </c>
    </row>
    <row r="4787" spans="1:18" x14ac:dyDescent="0.25">
      <c r="A4787" t="s">
        <v>6858</v>
      </c>
      <c r="B4787" t="s">
        <v>882</v>
      </c>
      <c r="C4787" s="8">
        <v>46161</v>
      </c>
      <c r="D4787" t="s">
        <v>2065</v>
      </c>
      <c r="E4787" t="s">
        <v>2063</v>
      </c>
      <c r="F4787" t="s">
        <v>45</v>
      </c>
      <c r="G4787">
        <v>1197.99</v>
      </c>
      <c r="H4787" t="s">
        <v>2060</v>
      </c>
      <c r="I4787" t="str">
        <f>VLOOKUP(B4787,Customers!A:G,7,FALSE)</f>
        <v>Individual</v>
      </c>
      <c r="Q4787" t="str">
        <f>IF(COUNTIF(Customers!$A$2:$A$1001,B4787)&gt;0,"Valid","Invalid")</f>
        <v>Valid</v>
      </c>
      <c r="R4787" t="str">
        <f>IF(COUNTIF(Branches!$A$2:$A$11,F4787)&gt;0,"Valid","Invalid")</f>
        <v>Valid</v>
      </c>
    </row>
    <row r="4788" spans="1:18" x14ac:dyDescent="0.25">
      <c r="A4788" t="s">
        <v>6859</v>
      </c>
      <c r="B4788" t="s">
        <v>611</v>
      </c>
      <c r="C4788" s="8">
        <v>46083</v>
      </c>
      <c r="D4788" t="s">
        <v>2058</v>
      </c>
      <c r="E4788" t="s">
        <v>2063</v>
      </c>
      <c r="F4788" t="s">
        <v>35</v>
      </c>
      <c r="G4788">
        <v>107.11</v>
      </c>
      <c r="H4788" t="s">
        <v>2060</v>
      </c>
      <c r="I4788" t="str">
        <f>VLOOKUP(B4788,Customers!A:G,7,FALSE)</f>
        <v>Individual</v>
      </c>
      <c r="Q4788" t="str">
        <f>IF(COUNTIF(Customers!$A$2:$A$1001,B4788)&gt;0,"Valid","Invalid")</f>
        <v>Valid</v>
      </c>
      <c r="R4788" t="str">
        <f>IF(COUNTIF(Branches!$A$2:$A$11,F4788)&gt;0,"Valid","Invalid")</f>
        <v>Valid</v>
      </c>
    </row>
    <row r="4789" spans="1:18" x14ac:dyDescent="0.25">
      <c r="A4789" t="s">
        <v>6860</v>
      </c>
      <c r="B4789" t="s">
        <v>288</v>
      </c>
      <c r="C4789" s="8">
        <v>46060</v>
      </c>
      <c r="D4789" t="s">
        <v>2067</v>
      </c>
      <c r="E4789" t="s">
        <v>2073</v>
      </c>
      <c r="F4789" t="s">
        <v>29</v>
      </c>
      <c r="G4789">
        <v>671.92</v>
      </c>
      <c r="H4789" t="s">
        <v>2060</v>
      </c>
      <c r="I4789" t="str">
        <f>VLOOKUP(B4789,Customers!A:G,7,FALSE)</f>
        <v>SME</v>
      </c>
      <c r="Q4789" t="str">
        <f>IF(COUNTIF(Customers!$A$2:$A$1001,B4789)&gt;0,"Valid","Invalid")</f>
        <v>Valid</v>
      </c>
      <c r="R4789" t="str">
        <f>IF(COUNTIF(Branches!$A$2:$A$11,F4789)&gt;0,"Valid","Invalid")</f>
        <v>Valid</v>
      </c>
    </row>
    <row r="4790" spans="1:18" x14ac:dyDescent="0.25">
      <c r="A4790" t="s">
        <v>6861</v>
      </c>
      <c r="B4790" t="s">
        <v>1028</v>
      </c>
      <c r="C4790" s="8">
        <v>46088</v>
      </c>
      <c r="D4790" t="s">
        <v>2062</v>
      </c>
      <c r="E4790" t="s">
        <v>2068</v>
      </c>
      <c r="F4790" t="s">
        <v>21</v>
      </c>
      <c r="G4790">
        <v>5811.86</v>
      </c>
      <c r="H4790" t="s">
        <v>2060</v>
      </c>
      <c r="I4790" t="str">
        <f>VLOOKUP(B4790,Customers!A:G,7,FALSE)</f>
        <v>SME</v>
      </c>
      <c r="Q4790" t="str">
        <f>IF(COUNTIF(Customers!$A$2:$A$1001,B4790)&gt;0,"Valid","Invalid")</f>
        <v>Valid</v>
      </c>
      <c r="R4790" t="str">
        <f>IF(COUNTIF(Branches!$A$2:$A$11,F4790)&gt;0,"Valid","Invalid")</f>
        <v>Valid</v>
      </c>
    </row>
    <row r="4791" spans="1:18" x14ac:dyDescent="0.25">
      <c r="A4791" t="s">
        <v>6862</v>
      </c>
      <c r="B4791" t="s">
        <v>131</v>
      </c>
      <c r="C4791" s="8">
        <v>46055</v>
      </c>
      <c r="D4791" t="s">
        <v>2062</v>
      </c>
      <c r="E4791" t="s">
        <v>2059</v>
      </c>
      <c r="F4791" t="s">
        <v>35</v>
      </c>
      <c r="G4791">
        <v>716.47</v>
      </c>
      <c r="H4791" t="s">
        <v>2060</v>
      </c>
      <c r="I4791" t="str">
        <f>VLOOKUP(B4791,Customers!A:G,7,FALSE)</f>
        <v>Individual</v>
      </c>
      <c r="Q4791" t="str">
        <f>IF(COUNTIF(Customers!$A$2:$A$1001,B4791)&gt;0,"Valid","Invalid")</f>
        <v>Valid</v>
      </c>
      <c r="R4791" t="str">
        <f>IF(COUNTIF(Branches!$A$2:$A$11,F4791)&gt;0,"Valid","Invalid")</f>
        <v>Valid</v>
      </c>
    </row>
    <row r="4792" spans="1:18" x14ac:dyDescent="0.25">
      <c r="A4792" t="s">
        <v>6863</v>
      </c>
      <c r="B4792" t="s">
        <v>334</v>
      </c>
      <c r="C4792" s="8">
        <v>46065</v>
      </c>
      <c r="D4792" t="s">
        <v>2058</v>
      </c>
      <c r="E4792" t="s">
        <v>2063</v>
      </c>
      <c r="F4792" t="s">
        <v>16</v>
      </c>
      <c r="G4792">
        <v>299.35000000000002</v>
      </c>
      <c r="H4792" t="s">
        <v>2060</v>
      </c>
      <c r="I4792" t="str">
        <f>VLOOKUP(B4792,Customers!A:G,7,FALSE)</f>
        <v>Individual</v>
      </c>
      <c r="Q4792" t="str">
        <f>IF(COUNTIF(Customers!$A$2:$A$1001,B4792)&gt;0,"Valid","Invalid")</f>
        <v>Valid</v>
      </c>
      <c r="R4792" t="str">
        <f>IF(COUNTIF(Branches!$A$2:$A$11,F4792)&gt;0,"Valid","Invalid")</f>
        <v>Valid</v>
      </c>
    </row>
    <row r="4793" spans="1:18" x14ac:dyDescent="0.25">
      <c r="A4793" t="s">
        <v>6864</v>
      </c>
      <c r="B4793" t="s">
        <v>221</v>
      </c>
      <c r="C4793" s="8">
        <v>46181</v>
      </c>
      <c r="D4793" t="s">
        <v>2065</v>
      </c>
      <c r="E4793" t="s">
        <v>2063</v>
      </c>
      <c r="F4793" t="s">
        <v>47</v>
      </c>
      <c r="G4793">
        <v>136.25</v>
      </c>
      <c r="H4793" t="s">
        <v>2060</v>
      </c>
      <c r="I4793" t="str">
        <f>VLOOKUP(B4793,Customers!A:G,7,FALSE)</f>
        <v>SME</v>
      </c>
      <c r="Q4793" t="str">
        <f>IF(COUNTIF(Customers!$A$2:$A$1001,B4793)&gt;0,"Valid","Invalid")</f>
        <v>Valid</v>
      </c>
      <c r="R4793" t="str">
        <f>IF(COUNTIF(Branches!$A$2:$A$11,F4793)&gt;0,"Valid","Invalid")</f>
        <v>Valid</v>
      </c>
    </row>
    <row r="4794" spans="1:18" x14ac:dyDescent="0.25">
      <c r="A4794" t="s">
        <v>6865</v>
      </c>
      <c r="B4794" t="s">
        <v>298</v>
      </c>
      <c r="C4794" s="8">
        <v>46134</v>
      </c>
      <c r="D4794" t="s">
        <v>2062</v>
      </c>
      <c r="E4794" t="s">
        <v>2068</v>
      </c>
      <c r="F4794" t="s">
        <v>11</v>
      </c>
      <c r="G4794">
        <v>140.38</v>
      </c>
      <c r="H4794" t="s">
        <v>2060</v>
      </c>
      <c r="I4794" t="str">
        <f>VLOOKUP(B4794,Customers!A:G,7,FALSE)</f>
        <v>Student</v>
      </c>
      <c r="Q4794" t="str">
        <f>IF(COUNTIF(Customers!$A$2:$A$1001,B4794)&gt;0,"Valid","Invalid")</f>
        <v>Valid</v>
      </c>
      <c r="R4794" t="str">
        <f>IF(COUNTIF(Branches!$A$2:$A$11,F4794)&gt;0,"Valid","Invalid")</f>
        <v>Valid</v>
      </c>
    </row>
    <row r="4795" spans="1:18" x14ac:dyDescent="0.25">
      <c r="A4795" t="s">
        <v>6866</v>
      </c>
      <c r="B4795" t="s">
        <v>837</v>
      </c>
      <c r="C4795" s="8">
        <v>46057</v>
      </c>
      <c r="D4795" t="s">
        <v>2067</v>
      </c>
      <c r="E4795" t="s">
        <v>2068</v>
      </c>
      <c r="F4795" t="s">
        <v>16</v>
      </c>
      <c r="G4795">
        <v>1387.95</v>
      </c>
      <c r="H4795" t="s">
        <v>2060</v>
      </c>
      <c r="I4795" t="str">
        <f>VLOOKUP(B4795,Customers!A:G,7,FALSE)</f>
        <v>Individual</v>
      </c>
      <c r="Q4795" t="str">
        <f>IF(COUNTIF(Customers!$A$2:$A$1001,B4795)&gt;0,"Valid","Invalid")</f>
        <v>Valid</v>
      </c>
      <c r="R4795" t="str">
        <f>IF(COUNTIF(Branches!$A$2:$A$11,F4795)&gt;0,"Valid","Invalid")</f>
        <v>Valid</v>
      </c>
    </row>
    <row r="4796" spans="1:18" x14ac:dyDescent="0.25">
      <c r="A4796" t="s">
        <v>6867</v>
      </c>
      <c r="B4796" t="s">
        <v>705</v>
      </c>
      <c r="C4796" s="8">
        <v>46059</v>
      </c>
      <c r="D4796" t="s">
        <v>2070</v>
      </c>
      <c r="E4796" t="s">
        <v>2063</v>
      </c>
      <c r="F4796" t="s">
        <v>29</v>
      </c>
      <c r="G4796">
        <v>526.42999999999995</v>
      </c>
      <c r="H4796" t="s">
        <v>2060</v>
      </c>
      <c r="I4796" t="str">
        <f>VLOOKUP(B4796,Customers!A:G,7,FALSE)</f>
        <v>SME</v>
      </c>
      <c r="Q4796" t="str">
        <f>IF(COUNTIF(Customers!$A$2:$A$1001,B4796)&gt;0,"Valid","Invalid")</f>
        <v>Valid</v>
      </c>
      <c r="R4796" t="str">
        <f>IF(COUNTIF(Branches!$A$2:$A$11,F4796)&gt;0,"Valid","Invalid")</f>
        <v>Valid</v>
      </c>
    </row>
    <row r="4797" spans="1:18" x14ac:dyDescent="0.25">
      <c r="A4797" t="s">
        <v>6868</v>
      </c>
      <c r="B4797" t="s">
        <v>223</v>
      </c>
      <c r="C4797" s="8">
        <v>46197</v>
      </c>
      <c r="D4797" t="s">
        <v>2058</v>
      </c>
      <c r="E4797" t="s">
        <v>2068</v>
      </c>
      <c r="F4797" t="s">
        <v>27</v>
      </c>
      <c r="G4797">
        <v>571.91999999999996</v>
      </c>
      <c r="H4797" t="s">
        <v>2060</v>
      </c>
      <c r="I4797" t="str">
        <f>VLOOKUP(B4797,Customers!A:G,7,FALSE)</f>
        <v>Student</v>
      </c>
      <c r="Q4797" t="str">
        <f>IF(COUNTIF(Customers!$A$2:$A$1001,B4797)&gt;0,"Valid","Invalid")</f>
        <v>Valid</v>
      </c>
      <c r="R4797" t="str">
        <f>IF(COUNTIF(Branches!$A$2:$A$11,F4797)&gt;0,"Valid","Invalid")</f>
        <v>Valid</v>
      </c>
    </row>
    <row r="4798" spans="1:18" x14ac:dyDescent="0.25">
      <c r="A4798" t="s">
        <v>6869</v>
      </c>
      <c r="B4798" t="s">
        <v>447</v>
      </c>
      <c r="C4798" s="8">
        <v>46261</v>
      </c>
      <c r="D4798" t="s">
        <v>2058</v>
      </c>
      <c r="E4798" t="s">
        <v>2059</v>
      </c>
      <c r="F4798" t="s">
        <v>27</v>
      </c>
      <c r="G4798">
        <v>528.61</v>
      </c>
      <c r="H4798" t="s">
        <v>2060</v>
      </c>
      <c r="I4798" t="str">
        <f>VLOOKUP(B4798,Customers!A:G,7,FALSE)</f>
        <v>Individual</v>
      </c>
      <c r="Q4798" t="str">
        <f>IF(COUNTIF(Customers!$A$2:$A$1001,B4798)&gt;0,"Valid","Invalid")</f>
        <v>Valid</v>
      </c>
      <c r="R4798" t="str">
        <f>IF(COUNTIF(Branches!$A$2:$A$11,F4798)&gt;0,"Valid","Invalid")</f>
        <v>Valid</v>
      </c>
    </row>
    <row r="4799" spans="1:18" x14ac:dyDescent="0.25">
      <c r="A4799" t="s">
        <v>6870</v>
      </c>
      <c r="B4799" t="s">
        <v>105</v>
      </c>
      <c r="C4799" s="8">
        <v>46122</v>
      </c>
      <c r="D4799" t="s">
        <v>2065</v>
      </c>
      <c r="E4799" t="s">
        <v>2063</v>
      </c>
      <c r="F4799" t="s">
        <v>27</v>
      </c>
      <c r="G4799">
        <v>706.1</v>
      </c>
      <c r="H4799" t="s">
        <v>2060</v>
      </c>
      <c r="I4799" t="str">
        <f>VLOOKUP(B4799,Customers!A:G,7,FALSE)</f>
        <v>SME</v>
      </c>
      <c r="Q4799" t="str">
        <f>IF(COUNTIF(Customers!$A$2:$A$1001,B4799)&gt;0,"Valid","Invalid")</f>
        <v>Valid</v>
      </c>
      <c r="R4799" t="str">
        <f>IF(COUNTIF(Branches!$A$2:$A$11,F4799)&gt;0,"Valid","Invalid")</f>
        <v>Valid</v>
      </c>
    </row>
    <row r="4800" spans="1:18" x14ac:dyDescent="0.25">
      <c r="A4800" t="s">
        <v>6871</v>
      </c>
      <c r="B4800" t="s">
        <v>876</v>
      </c>
      <c r="C4800" s="8">
        <v>46045</v>
      </c>
      <c r="D4800" t="s">
        <v>2062</v>
      </c>
      <c r="E4800" t="s">
        <v>2076</v>
      </c>
      <c r="F4800" t="s">
        <v>11</v>
      </c>
      <c r="G4800">
        <v>238.13</v>
      </c>
      <c r="H4800" t="s">
        <v>2060</v>
      </c>
      <c r="I4800" t="str">
        <f>VLOOKUP(B4800,Customers!A:G,7,FALSE)</f>
        <v>Individual</v>
      </c>
      <c r="Q4800" t="str">
        <f>IF(COUNTIF(Customers!$A$2:$A$1001,B4800)&gt;0,"Valid","Invalid")</f>
        <v>Valid</v>
      </c>
      <c r="R4800" t="str">
        <f>IF(COUNTIF(Branches!$A$2:$A$11,F4800)&gt;0,"Valid","Invalid")</f>
        <v>Valid</v>
      </c>
    </row>
    <row r="4801" spans="1:18" x14ac:dyDescent="0.25">
      <c r="A4801" t="s">
        <v>6872</v>
      </c>
      <c r="B4801" t="s">
        <v>811</v>
      </c>
      <c r="C4801" s="8">
        <v>46186</v>
      </c>
      <c r="D4801" t="s">
        <v>2067</v>
      </c>
      <c r="E4801" t="s">
        <v>2076</v>
      </c>
      <c r="F4801" t="s">
        <v>35</v>
      </c>
      <c r="G4801">
        <v>1114.44</v>
      </c>
      <c r="H4801" t="s">
        <v>2060</v>
      </c>
      <c r="I4801" t="str">
        <f>VLOOKUP(B4801,Customers!A:G,7,FALSE)</f>
        <v>SME</v>
      </c>
      <c r="Q4801" t="str">
        <f>IF(COUNTIF(Customers!$A$2:$A$1001,B4801)&gt;0,"Valid","Invalid")</f>
        <v>Valid</v>
      </c>
      <c r="R4801" t="str">
        <f>IF(COUNTIF(Branches!$A$2:$A$11,F4801)&gt;0,"Valid","Invalid")</f>
        <v>Valid</v>
      </c>
    </row>
    <row r="4802" spans="1:18" x14ac:dyDescent="0.25">
      <c r="A4802" t="s">
        <v>6873</v>
      </c>
      <c r="B4802" t="s">
        <v>665</v>
      </c>
      <c r="C4802" s="8">
        <v>46190</v>
      </c>
      <c r="D4802" t="s">
        <v>2067</v>
      </c>
      <c r="E4802" t="s">
        <v>2068</v>
      </c>
      <c r="F4802" t="s">
        <v>47</v>
      </c>
      <c r="G4802">
        <v>195.84</v>
      </c>
      <c r="H4802" t="s">
        <v>2060</v>
      </c>
      <c r="I4802" t="str">
        <f>VLOOKUP(B4802,Customers!A:G,7,FALSE)</f>
        <v>Individual</v>
      </c>
      <c r="Q4802" t="str">
        <f>IF(COUNTIF(Customers!$A$2:$A$1001,B4802)&gt;0,"Valid","Invalid")</f>
        <v>Valid</v>
      </c>
      <c r="R4802" t="str">
        <f>IF(COUNTIF(Branches!$A$2:$A$11,F4802)&gt;0,"Valid","Invalid")</f>
        <v>Valid</v>
      </c>
    </row>
    <row r="4803" spans="1:18" x14ac:dyDescent="0.25">
      <c r="A4803" t="s">
        <v>6874</v>
      </c>
      <c r="B4803" t="s">
        <v>897</v>
      </c>
      <c r="C4803" s="8">
        <v>46253</v>
      </c>
      <c r="D4803" t="s">
        <v>2065</v>
      </c>
      <c r="E4803" t="s">
        <v>2063</v>
      </c>
      <c r="F4803" t="s">
        <v>39</v>
      </c>
      <c r="G4803">
        <v>381.52</v>
      </c>
      <c r="H4803" t="s">
        <v>2060</v>
      </c>
      <c r="I4803" t="str">
        <f>VLOOKUP(B4803,Customers!A:G,7,FALSE)</f>
        <v>Individual</v>
      </c>
      <c r="Q4803" t="str">
        <f>IF(COUNTIF(Customers!$A$2:$A$1001,B4803)&gt;0,"Valid","Invalid")</f>
        <v>Valid</v>
      </c>
      <c r="R4803" t="str">
        <f>IF(COUNTIF(Branches!$A$2:$A$11,F4803)&gt;0,"Valid","Invalid")</f>
        <v>Valid</v>
      </c>
    </row>
    <row r="4804" spans="1:18" x14ac:dyDescent="0.25">
      <c r="A4804" t="s">
        <v>6875</v>
      </c>
      <c r="B4804" t="s">
        <v>32</v>
      </c>
      <c r="C4804" s="8">
        <v>46240</v>
      </c>
      <c r="D4804" t="s">
        <v>2065</v>
      </c>
      <c r="E4804" t="s">
        <v>2063</v>
      </c>
      <c r="F4804" t="s">
        <v>53</v>
      </c>
      <c r="G4804">
        <v>2232.39</v>
      </c>
      <c r="H4804" t="s">
        <v>2060</v>
      </c>
      <c r="I4804" t="str">
        <f>VLOOKUP(B4804,Customers!A:G,7,FALSE)</f>
        <v>Individual</v>
      </c>
      <c r="Q4804" t="str">
        <f>IF(COUNTIF(Customers!$A$2:$A$1001,B4804)&gt;0,"Valid","Invalid")</f>
        <v>Valid</v>
      </c>
      <c r="R4804" t="str">
        <f>IF(COUNTIF(Branches!$A$2:$A$11,F4804)&gt;0,"Valid","Invalid")</f>
        <v>Valid</v>
      </c>
    </row>
    <row r="4805" spans="1:18" x14ac:dyDescent="0.25">
      <c r="A4805" t="s">
        <v>6876</v>
      </c>
      <c r="B4805" t="s">
        <v>303</v>
      </c>
      <c r="C4805" s="8">
        <v>46111</v>
      </c>
      <c r="D4805" t="s">
        <v>2065</v>
      </c>
      <c r="E4805" t="s">
        <v>2063</v>
      </c>
      <c r="F4805" t="s">
        <v>47</v>
      </c>
      <c r="G4805">
        <v>1183.47</v>
      </c>
      <c r="H4805" t="s">
        <v>2060</v>
      </c>
      <c r="I4805" t="str">
        <f>VLOOKUP(B4805,Customers!A:G,7,FALSE)</f>
        <v>SME</v>
      </c>
      <c r="Q4805" t="str">
        <f>IF(COUNTIF(Customers!$A$2:$A$1001,B4805)&gt;0,"Valid","Invalid")</f>
        <v>Valid</v>
      </c>
      <c r="R4805" t="str">
        <f>IF(COUNTIF(Branches!$A$2:$A$11,F4805)&gt;0,"Valid","Invalid")</f>
        <v>Valid</v>
      </c>
    </row>
    <row r="4806" spans="1:18" x14ac:dyDescent="0.25">
      <c r="A4806" t="s">
        <v>6877</v>
      </c>
      <c r="B4806" t="s">
        <v>821</v>
      </c>
      <c r="C4806" s="8">
        <v>46231</v>
      </c>
      <c r="D4806" t="s">
        <v>2067</v>
      </c>
      <c r="E4806" t="s">
        <v>2063</v>
      </c>
      <c r="F4806" t="s">
        <v>47</v>
      </c>
      <c r="G4806">
        <v>1612.73</v>
      </c>
      <c r="H4806" t="s">
        <v>2060</v>
      </c>
      <c r="I4806" t="str">
        <f>VLOOKUP(B4806,Customers!A:G,7,FALSE)</f>
        <v>SME</v>
      </c>
      <c r="Q4806" t="str">
        <f>IF(COUNTIF(Customers!$A$2:$A$1001,B4806)&gt;0,"Valid","Invalid")</f>
        <v>Valid</v>
      </c>
      <c r="R4806" t="str">
        <f>IF(COUNTIF(Branches!$A$2:$A$11,F4806)&gt;0,"Valid","Invalid")</f>
        <v>Valid</v>
      </c>
    </row>
    <row r="4807" spans="1:18" x14ac:dyDescent="0.25">
      <c r="A4807" t="s">
        <v>6878</v>
      </c>
      <c r="B4807" t="s">
        <v>522</v>
      </c>
      <c r="C4807" s="8">
        <v>46037</v>
      </c>
      <c r="D4807" t="s">
        <v>2062</v>
      </c>
      <c r="E4807" t="s">
        <v>2059</v>
      </c>
      <c r="F4807" t="s">
        <v>16</v>
      </c>
      <c r="G4807">
        <v>6977.1</v>
      </c>
      <c r="H4807" t="s">
        <v>2060</v>
      </c>
      <c r="I4807" t="str">
        <f>VLOOKUP(B4807,Customers!A:G,7,FALSE)</f>
        <v>Individual</v>
      </c>
      <c r="Q4807" t="str">
        <f>IF(COUNTIF(Customers!$A$2:$A$1001,B4807)&gt;0,"Valid","Invalid")</f>
        <v>Valid</v>
      </c>
      <c r="R4807" t="str">
        <f>IF(COUNTIF(Branches!$A$2:$A$11,F4807)&gt;0,"Valid","Invalid")</f>
        <v>Valid</v>
      </c>
    </row>
    <row r="4808" spans="1:18" x14ac:dyDescent="0.25">
      <c r="A4808" t="s">
        <v>6879</v>
      </c>
      <c r="B4808" t="s">
        <v>799</v>
      </c>
      <c r="C4808" s="8">
        <v>46187</v>
      </c>
      <c r="D4808" t="s">
        <v>2067</v>
      </c>
      <c r="E4808" t="s">
        <v>2063</v>
      </c>
      <c r="F4808" t="s">
        <v>27</v>
      </c>
      <c r="G4808">
        <v>765.36</v>
      </c>
      <c r="H4808" t="s">
        <v>2060</v>
      </c>
      <c r="I4808" t="str">
        <f>VLOOKUP(B4808,Customers!A:G,7,FALSE)</f>
        <v>Student</v>
      </c>
      <c r="Q4808" t="str">
        <f>IF(COUNTIF(Customers!$A$2:$A$1001,B4808)&gt;0,"Valid","Invalid")</f>
        <v>Valid</v>
      </c>
      <c r="R4808" t="str">
        <f>IF(COUNTIF(Branches!$A$2:$A$11,F4808)&gt;0,"Valid","Invalid")</f>
        <v>Valid</v>
      </c>
    </row>
    <row r="4809" spans="1:18" x14ac:dyDescent="0.25">
      <c r="A4809" t="s">
        <v>6880</v>
      </c>
      <c r="B4809" t="s">
        <v>655</v>
      </c>
      <c r="C4809" s="8">
        <v>46259</v>
      </c>
      <c r="D4809" t="s">
        <v>2062</v>
      </c>
      <c r="E4809" t="s">
        <v>2059</v>
      </c>
      <c r="F4809" t="s">
        <v>27</v>
      </c>
      <c r="G4809">
        <v>830.03</v>
      </c>
      <c r="H4809" t="s">
        <v>2060</v>
      </c>
      <c r="I4809" t="str">
        <f>VLOOKUP(B4809,Customers!A:G,7,FALSE)</f>
        <v>Individual</v>
      </c>
      <c r="Q4809" t="str">
        <f>IF(COUNTIF(Customers!$A$2:$A$1001,B4809)&gt;0,"Valid","Invalid")</f>
        <v>Valid</v>
      </c>
      <c r="R4809" t="str">
        <f>IF(COUNTIF(Branches!$A$2:$A$11,F4809)&gt;0,"Valid","Invalid")</f>
        <v>Valid</v>
      </c>
    </row>
    <row r="4810" spans="1:18" x14ac:dyDescent="0.25">
      <c r="A4810" t="s">
        <v>6881</v>
      </c>
      <c r="B4810" t="s">
        <v>813</v>
      </c>
      <c r="C4810" s="8">
        <v>46154</v>
      </c>
      <c r="D4810" t="s">
        <v>2065</v>
      </c>
      <c r="E4810" t="s">
        <v>2059</v>
      </c>
      <c r="F4810" t="s">
        <v>45</v>
      </c>
      <c r="G4810">
        <v>623.71</v>
      </c>
      <c r="H4810" t="s">
        <v>2115</v>
      </c>
      <c r="I4810" t="str">
        <f>VLOOKUP(B4810,Customers!A:G,7,FALSE)</f>
        <v>Individual</v>
      </c>
      <c r="Q4810" t="str">
        <f>IF(COUNTIF(Customers!$A$2:$A$1001,B4810)&gt;0,"Valid","Invalid")</f>
        <v>Valid</v>
      </c>
      <c r="R4810" t="str">
        <f>IF(COUNTIF(Branches!$A$2:$A$11,F4810)&gt;0,"Valid","Invalid")</f>
        <v>Valid</v>
      </c>
    </row>
    <row r="4811" spans="1:18" x14ac:dyDescent="0.25">
      <c r="A4811" t="s">
        <v>6882</v>
      </c>
      <c r="B4811" t="s">
        <v>774</v>
      </c>
      <c r="C4811" s="8">
        <v>46172</v>
      </c>
      <c r="D4811" t="s">
        <v>2058</v>
      </c>
      <c r="E4811" t="s">
        <v>2076</v>
      </c>
      <c r="F4811" t="s">
        <v>29</v>
      </c>
      <c r="G4811">
        <v>521.44000000000005</v>
      </c>
      <c r="H4811" t="s">
        <v>2060</v>
      </c>
      <c r="I4811" t="str">
        <f>VLOOKUP(B4811,Customers!A:G,7,FALSE)</f>
        <v>Individual</v>
      </c>
      <c r="Q4811" t="str">
        <f>IF(COUNTIF(Customers!$A$2:$A$1001,B4811)&gt;0,"Valid","Invalid")</f>
        <v>Valid</v>
      </c>
      <c r="R4811" t="str">
        <f>IF(COUNTIF(Branches!$A$2:$A$11,F4811)&gt;0,"Valid","Invalid")</f>
        <v>Valid</v>
      </c>
    </row>
    <row r="4812" spans="1:18" x14ac:dyDescent="0.25">
      <c r="A4812" t="s">
        <v>6883</v>
      </c>
      <c r="B4812" t="s">
        <v>878</v>
      </c>
      <c r="C4812" s="8">
        <v>46231</v>
      </c>
      <c r="D4812" t="s">
        <v>2058</v>
      </c>
      <c r="E4812" t="s">
        <v>2076</v>
      </c>
      <c r="F4812" t="s">
        <v>21</v>
      </c>
      <c r="G4812">
        <v>295.72000000000003</v>
      </c>
      <c r="H4812" t="s">
        <v>2060</v>
      </c>
      <c r="I4812" t="str">
        <f>VLOOKUP(B4812,Customers!A:G,7,FALSE)</f>
        <v>Individual</v>
      </c>
      <c r="Q4812" t="str">
        <f>IF(COUNTIF(Customers!$A$2:$A$1001,B4812)&gt;0,"Valid","Invalid")</f>
        <v>Valid</v>
      </c>
      <c r="R4812" t="str">
        <f>IF(COUNTIF(Branches!$A$2:$A$11,F4812)&gt;0,"Valid","Invalid")</f>
        <v>Valid</v>
      </c>
    </row>
    <row r="4813" spans="1:18" x14ac:dyDescent="0.25">
      <c r="A4813" t="s">
        <v>6884</v>
      </c>
      <c r="B4813" t="s">
        <v>409</v>
      </c>
      <c r="C4813" s="8">
        <v>46044</v>
      </c>
      <c r="D4813" t="s">
        <v>2070</v>
      </c>
      <c r="E4813" t="s">
        <v>2076</v>
      </c>
      <c r="F4813" t="s">
        <v>47</v>
      </c>
      <c r="G4813">
        <v>883.65</v>
      </c>
      <c r="H4813" t="s">
        <v>2060</v>
      </c>
      <c r="I4813" t="str">
        <f>VLOOKUP(B4813,Customers!A:G,7,FALSE)</f>
        <v>Individual</v>
      </c>
      <c r="Q4813" t="str">
        <f>IF(COUNTIF(Customers!$A$2:$A$1001,B4813)&gt;0,"Valid","Invalid")</f>
        <v>Valid</v>
      </c>
      <c r="R4813" t="str">
        <f>IF(COUNTIF(Branches!$A$2:$A$11,F4813)&gt;0,"Valid","Invalid")</f>
        <v>Valid</v>
      </c>
    </row>
    <row r="4814" spans="1:18" x14ac:dyDescent="0.25">
      <c r="A4814" t="s">
        <v>6885</v>
      </c>
      <c r="B4814" t="s">
        <v>821</v>
      </c>
      <c r="C4814" s="8">
        <v>46231</v>
      </c>
      <c r="D4814" t="s">
        <v>2062</v>
      </c>
      <c r="E4814" t="s">
        <v>2063</v>
      </c>
      <c r="F4814" t="s">
        <v>21</v>
      </c>
      <c r="G4814">
        <v>1158.69</v>
      </c>
      <c r="H4814" t="s">
        <v>2115</v>
      </c>
      <c r="I4814" t="str">
        <f>VLOOKUP(B4814,Customers!A:G,7,FALSE)</f>
        <v>SME</v>
      </c>
      <c r="Q4814" t="str">
        <f>IF(COUNTIF(Customers!$A$2:$A$1001,B4814)&gt;0,"Valid","Invalid")</f>
        <v>Valid</v>
      </c>
      <c r="R4814" t="str">
        <f>IF(COUNTIF(Branches!$A$2:$A$11,F4814)&gt;0,"Valid","Invalid")</f>
        <v>Valid</v>
      </c>
    </row>
    <row r="4815" spans="1:18" x14ac:dyDescent="0.25">
      <c r="A4815" t="s">
        <v>6886</v>
      </c>
      <c r="B4815" t="s">
        <v>715</v>
      </c>
      <c r="C4815" s="8">
        <v>46228</v>
      </c>
      <c r="D4815" t="s">
        <v>2067</v>
      </c>
      <c r="E4815" t="s">
        <v>2063</v>
      </c>
      <c r="F4815" t="s">
        <v>29</v>
      </c>
      <c r="G4815">
        <v>1225.0899999999999</v>
      </c>
      <c r="H4815" t="s">
        <v>2060</v>
      </c>
      <c r="I4815" t="str">
        <f>VLOOKUP(B4815,Customers!A:G,7,FALSE)</f>
        <v>Individual</v>
      </c>
      <c r="Q4815" t="str">
        <f>IF(COUNTIF(Customers!$A$2:$A$1001,B4815)&gt;0,"Valid","Invalid")</f>
        <v>Valid</v>
      </c>
      <c r="R4815" t="str">
        <f>IF(COUNTIF(Branches!$A$2:$A$11,F4815)&gt;0,"Valid","Invalid")</f>
        <v>Valid</v>
      </c>
    </row>
    <row r="4816" spans="1:18" x14ac:dyDescent="0.25">
      <c r="A4816" t="s">
        <v>6887</v>
      </c>
      <c r="B4816" t="s">
        <v>119</v>
      </c>
      <c r="C4816" s="8">
        <v>46100</v>
      </c>
      <c r="D4816" t="s">
        <v>2062</v>
      </c>
      <c r="E4816" t="s">
        <v>2063</v>
      </c>
      <c r="F4816" t="s">
        <v>45</v>
      </c>
      <c r="G4816">
        <v>866.41</v>
      </c>
      <c r="H4816" t="s">
        <v>2115</v>
      </c>
      <c r="I4816" t="str">
        <f>VLOOKUP(B4816,Customers!A:G,7,FALSE)</f>
        <v>Corporate</v>
      </c>
      <c r="Q4816" t="str">
        <f>IF(COUNTIF(Customers!$A$2:$A$1001,B4816)&gt;0,"Valid","Invalid")</f>
        <v>Valid</v>
      </c>
      <c r="R4816" t="str">
        <f>IF(COUNTIF(Branches!$A$2:$A$11,F4816)&gt;0,"Valid","Invalid")</f>
        <v>Valid</v>
      </c>
    </row>
    <row r="4817" spans="1:18" x14ac:dyDescent="0.25">
      <c r="A4817" t="s">
        <v>6888</v>
      </c>
      <c r="B4817" t="s">
        <v>845</v>
      </c>
      <c r="C4817" s="8">
        <v>46167</v>
      </c>
      <c r="D4817" t="s">
        <v>2065</v>
      </c>
      <c r="E4817" t="s">
        <v>2063</v>
      </c>
      <c r="F4817" t="s">
        <v>39</v>
      </c>
      <c r="G4817">
        <v>2051.1799999999998</v>
      </c>
      <c r="H4817" t="s">
        <v>2060</v>
      </c>
      <c r="I4817" t="str">
        <f>VLOOKUP(B4817,Customers!A:G,7,FALSE)</f>
        <v>Individual</v>
      </c>
      <c r="Q4817" t="str">
        <f>IF(COUNTIF(Customers!$A$2:$A$1001,B4817)&gt;0,"Valid","Invalid")</f>
        <v>Valid</v>
      </c>
      <c r="R4817" t="str">
        <f>IF(COUNTIF(Branches!$A$2:$A$11,F4817)&gt;0,"Valid","Invalid")</f>
        <v>Valid</v>
      </c>
    </row>
    <row r="4818" spans="1:18" x14ac:dyDescent="0.25">
      <c r="A4818" t="s">
        <v>6889</v>
      </c>
      <c r="B4818" t="s">
        <v>684</v>
      </c>
      <c r="C4818" s="8">
        <v>46094</v>
      </c>
      <c r="D4818" t="s">
        <v>2058</v>
      </c>
      <c r="E4818" t="s">
        <v>2063</v>
      </c>
      <c r="F4818" t="s">
        <v>11</v>
      </c>
      <c r="G4818">
        <v>836.68</v>
      </c>
      <c r="H4818" t="s">
        <v>2115</v>
      </c>
      <c r="I4818" t="str">
        <f>VLOOKUP(B4818,Customers!A:G,7,FALSE)</f>
        <v>Student</v>
      </c>
      <c r="Q4818" t="str">
        <f>IF(COUNTIF(Customers!$A$2:$A$1001,B4818)&gt;0,"Valid","Invalid")</f>
        <v>Valid</v>
      </c>
      <c r="R4818" t="str">
        <f>IF(COUNTIF(Branches!$A$2:$A$11,F4818)&gt;0,"Valid","Invalid")</f>
        <v>Valid</v>
      </c>
    </row>
    <row r="4819" spans="1:18" x14ac:dyDescent="0.25">
      <c r="A4819" t="s">
        <v>6890</v>
      </c>
      <c r="B4819" t="s">
        <v>248</v>
      </c>
      <c r="C4819" s="8">
        <v>46120</v>
      </c>
      <c r="D4819" t="s">
        <v>2065</v>
      </c>
      <c r="E4819" t="s">
        <v>2063</v>
      </c>
      <c r="F4819" t="s">
        <v>11</v>
      </c>
      <c r="G4819">
        <v>539.53</v>
      </c>
      <c r="H4819" t="s">
        <v>2060</v>
      </c>
      <c r="I4819" t="str">
        <f>VLOOKUP(B4819,Customers!A:G,7,FALSE)</f>
        <v>Corporate</v>
      </c>
      <c r="Q4819" t="str">
        <f>IF(COUNTIF(Customers!$A$2:$A$1001,B4819)&gt;0,"Valid","Invalid")</f>
        <v>Valid</v>
      </c>
      <c r="R4819" t="str">
        <f>IF(COUNTIF(Branches!$A$2:$A$11,F4819)&gt;0,"Valid","Invalid")</f>
        <v>Valid</v>
      </c>
    </row>
    <row r="4820" spans="1:18" x14ac:dyDescent="0.25">
      <c r="A4820" t="s">
        <v>6891</v>
      </c>
      <c r="B4820" t="s">
        <v>351</v>
      </c>
      <c r="C4820" s="8">
        <v>46112</v>
      </c>
      <c r="D4820" t="s">
        <v>2067</v>
      </c>
      <c r="E4820" t="s">
        <v>2076</v>
      </c>
      <c r="F4820" t="s">
        <v>29</v>
      </c>
      <c r="G4820">
        <v>321.5</v>
      </c>
      <c r="H4820" t="s">
        <v>2060</v>
      </c>
      <c r="I4820" t="str">
        <f>VLOOKUP(B4820,Customers!A:G,7,FALSE)</f>
        <v>SME</v>
      </c>
      <c r="Q4820" t="str">
        <f>IF(COUNTIF(Customers!$A$2:$A$1001,B4820)&gt;0,"Valid","Invalid")</f>
        <v>Valid</v>
      </c>
      <c r="R4820" t="str">
        <f>IF(COUNTIF(Branches!$A$2:$A$11,F4820)&gt;0,"Valid","Invalid")</f>
        <v>Valid</v>
      </c>
    </row>
    <row r="4821" spans="1:18" x14ac:dyDescent="0.25">
      <c r="A4821" t="s">
        <v>6892</v>
      </c>
      <c r="B4821" t="s">
        <v>642</v>
      </c>
      <c r="C4821" s="8">
        <v>46131</v>
      </c>
      <c r="D4821" t="s">
        <v>2065</v>
      </c>
      <c r="E4821" t="s">
        <v>2073</v>
      </c>
      <c r="F4821" t="s">
        <v>35</v>
      </c>
      <c r="G4821">
        <v>172.61</v>
      </c>
      <c r="H4821" t="s">
        <v>2060</v>
      </c>
      <c r="I4821" t="str">
        <f>VLOOKUP(B4821,Customers!A:G,7,FALSE)</f>
        <v>Individual</v>
      </c>
      <c r="Q4821" t="str">
        <f>IF(COUNTIF(Customers!$A$2:$A$1001,B4821)&gt;0,"Valid","Invalid")</f>
        <v>Valid</v>
      </c>
      <c r="R4821" t="str">
        <f>IF(COUNTIF(Branches!$A$2:$A$11,F4821)&gt;0,"Valid","Invalid")</f>
        <v>Valid</v>
      </c>
    </row>
    <row r="4822" spans="1:18" x14ac:dyDescent="0.25">
      <c r="A4822" t="s">
        <v>6893</v>
      </c>
      <c r="B4822" t="s">
        <v>375</v>
      </c>
      <c r="C4822" s="8">
        <v>46116</v>
      </c>
      <c r="D4822" t="s">
        <v>2062</v>
      </c>
      <c r="E4822" t="s">
        <v>2063</v>
      </c>
      <c r="F4822" t="s">
        <v>29</v>
      </c>
      <c r="G4822">
        <v>3499.64</v>
      </c>
      <c r="H4822" t="s">
        <v>2060</v>
      </c>
      <c r="I4822" t="str">
        <f>VLOOKUP(B4822,Customers!A:G,7,FALSE)</f>
        <v>SME</v>
      </c>
      <c r="Q4822" t="str">
        <f>IF(COUNTIF(Customers!$A$2:$A$1001,B4822)&gt;0,"Valid","Invalid")</f>
        <v>Valid</v>
      </c>
      <c r="R4822" t="str">
        <f>IF(COUNTIF(Branches!$A$2:$A$11,F4822)&gt;0,"Valid","Invalid")</f>
        <v>Valid</v>
      </c>
    </row>
    <row r="4823" spans="1:18" x14ac:dyDescent="0.25">
      <c r="A4823" t="s">
        <v>6894</v>
      </c>
      <c r="B4823" t="s">
        <v>528</v>
      </c>
      <c r="C4823" s="8">
        <v>46236</v>
      </c>
      <c r="D4823" t="s">
        <v>2058</v>
      </c>
      <c r="E4823" t="s">
        <v>2068</v>
      </c>
      <c r="F4823" t="s">
        <v>53</v>
      </c>
      <c r="G4823">
        <v>403.81</v>
      </c>
      <c r="H4823" t="s">
        <v>2060</v>
      </c>
      <c r="I4823" t="str">
        <f>VLOOKUP(B4823,Customers!A:G,7,FALSE)</f>
        <v>SME</v>
      </c>
      <c r="Q4823" t="str">
        <f>IF(COUNTIF(Customers!$A$2:$A$1001,B4823)&gt;0,"Valid","Invalid")</f>
        <v>Valid</v>
      </c>
      <c r="R4823" t="str">
        <f>IF(COUNTIF(Branches!$A$2:$A$11,F4823)&gt;0,"Valid","Invalid")</f>
        <v>Valid</v>
      </c>
    </row>
    <row r="4824" spans="1:18" x14ac:dyDescent="0.25">
      <c r="A4824" t="s">
        <v>6895</v>
      </c>
      <c r="B4824" t="s">
        <v>441</v>
      </c>
      <c r="C4824" s="8">
        <v>46102</v>
      </c>
      <c r="D4824" t="s">
        <v>2062</v>
      </c>
      <c r="E4824" t="s">
        <v>2063</v>
      </c>
      <c r="F4824" t="s">
        <v>47</v>
      </c>
      <c r="G4824">
        <v>321.93</v>
      </c>
      <c r="H4824" t="s">
        <v>2060</v>
      </c>
      <c r="I4824" t="str">
        <f>VLOOKUP(B4824,Customers!A:G,7,FALSE)</f>
        <v>Individual</v>
      </c>
      <c r="Q4824" t="str">
        <f>IF(COUNTIF(Customers!$A$2:$A$1001,B4824)&gt;0,"Valid","Invalid")</f>
        <v>Valid</v>
      </c>
      <c r="R4824" t="str">
        <f>IF(COUNTIF(Branches!$A$2:$A$11,F4824)&gt;0,"Valid","Invalid")</f>
        <v>Valid</v>
      </c>
    </row>
    <row r="4825" spans="1:18" x14ac:dyDescent="0.25">
      <c r="A4825" t="s">
        <v>6896</v>
      </c>
      <c r="B4825" t="s">
        <v>677</v>
      </c>
      <c r="C4825" s="8">
        <v>46116</v>
      </c>
      <c r="D4825" t="s">
        <v>2058</v>
      </c>
      <c r="E4825" t="s">
        <v>2076</v>
      </c>
      <c r="F4825" t="s">
        <v>16</v>
      </c>
      <c r="G4825">
        <v>535.1</v>
      </c>
      <c r="H4825" t="s">
        <v>2060</v>
      </c>
      <c r="I4825" t="str">
        <f>VLOOKUP(B4825,Customers!A:G,7,FALSE)</f>
        <v>Student</v>
      </c>
      <c r="Q4825" t="str">
        <f>IF(COUNTIF(Customers!$A$2:$A$1001,B4825)&gt;0,"Valid","Invalid")</f>
        <v>Valid</v>
      </c>
      <c r="R4825" t="str">
        <f>IF(COUNTIF(Branches!$A$2:$A$11,F4825)&gt;0,"Valid","Invalid")</f>
        <v>Valid</v>
      </c>
    </row>
    <row r="4826" spans="1:18" x14ac:dyDescent="0.25">
      <c r="A4826" t="s">
        <v>6897</v>
      </c>
      <c r="B4826" t="s">
        <v>228</v>
      </c>
      <c r="C4826" s="8">
        <v>46102</v>
      </c>
      <c r="D4826" t="s">
        <v>2065</v>
      </c>
      <c r="E4826" t="s">
        <v>2076</v>
      </c>
      <c r="F4826" t="s">
        <v>27</v>
      </c>
      <c r="G4826">
        <v>614.99</v>
      </c>
      <c r="H4826" t="s">
        <v>2115</v>
      </c>
      <c r="I4826" t="str">
        <f>VLOOKUP(B4826,Customers!A:G,7,FALSE)</f>
        <v>SME</v>
      </c>
      <c r="Q4826" t="str">
        <f>IF(COUNTIF(Customers!$A$2:$A$1001,B4826)&gt;0,"Valid","Invalid")</f>
        <v>Valid</v>
      </c>
      <c r="R4826" t="str">
        <f>IF(COUNTIF(Branches!$A$2:$A$11,F4826)&gt;0,"Valid","Invalid")</f>
        <v>Valid</v>
      </c>
    </row>
    <row r="4827" spans="1:18" x14ac:dyDescent="0.25">
      <c r="A4827" t="s">
        <v>6898</v>
      </c>
      <c r="B4827" t="s">
        <v>709</v>
      </c>
      <c r="C4827" s="8">
        <v>46060</v>
      </c>
      <c r="D4827" t="s">
        <v>2062</v>
      </c>
      <c r="E4827" t="s">
        <v>2073</v>
      </c>
      <c r="F4827" t="s">
        <v>29</v>
      </c>
      <c r="G4827">
        <v>4181.8599999999997</v>
      </c>
      <c r="H4827" t="s">
        <v>2060</v>
      </c>
      <c r="I4827" t="str">
        <f>VLOOKUP(B4827,Customers!A:G,7,FALSE)</f>
        <v>SME</v>
      </c>
      <c r="Q4827" t="str">
        <f>IF(COUNTIF(Customers!$A$2:$A$1001,B4827)&gt;0,"Valid","Invalid")</f>
        <v>Valid</v>
      </c>
      <c r="R4827" t="str">
        <f>IF(COUNTIF(Branches!$A$2:$A$11,F4827)&gt;0,"Valid","Invalid")</f>
        <v>Valid</v>
      </c>
    </row>
    <row r="4828" spans="1:18" x14ac:dyDescent="0.25">
      <c r="A4828" t="s">
        <v>6899</v>
      </c>
      <c r="B4828" t="s">
        <v>881</v>
      </c>
      <c r="C4828" s="8">
        <v>46174</v>
      </c>
      <c r="D4828" t="s">
        <v>2062</v>
      </c>
      <c r="E4828" t="s">
        <v>2063</v>
      </c>
      <c r="F4828" t="s">
        <v>39</v>
      </c>
      <c r="G4828">
        <v>585.14</v>
      </c>
      <c r="H4828" t="s">
        <v>2060</v>
      </c>
      <c r="I4828" t="str">
        <f>VLOOKUP(B4828,Customers!A:G,7,FALSE)</f>
        <v>Individual</v>
      </c>
      <c r="Q4828" t="str">
        <f>IF(COUNTIF(Customers!$A$2:$A$1001,B4828)&gt;0,"Valid","Invalid")</f>
        <v>Valid</v>
      </c>
      <c r="R4828" t="str">
        <f>IF(COUNTIF(Branches!$A$2:$A$11,F4828)&gt;0,"Valid","Invalid")</f>
        <v>Valid</v>
      </c>
    </row>
    <row r="4829" spans="1:18" x14ac:dyDescent="0.25">
      <c r="A4829" t="s">
        <v>6900</v>
      </c>
      <c r="B4829" t="s">
        <v>373</v>
      </c>
      <c r="C4829" s="8">
        <v>46250</v>
      </c>
      <c r="D4829" t="s">
        <v>2062</v>
      </c>
      <c r="E4829" t="s">
        <v>2063</v>
      </c>
      <c r="F4829" t="s">
        <v>16</v>
      </c>
      <c r="G4829">
        <v>11309.33</v>
      </c>
      <c r="H4829" t="s">
        <v>2060</v>
      </c>
      <c r="I4829" t="str">
        <f>VLOOKUP(B4829,Customers!A:G,7,FALSE)</f>
        <v>Student</v>
      </c>
      <c r="Q4829" t="str">
        <f>IF(COUNTIF(Customers!$A$2:$A$1001,B4829)&gt;0,"Valid","Invalid")</f>
        <v>Valid</v>
      </c>
      <c r="R4829" t="str">
        <f>IF(COUNTIF(Branches!$A$2:$A$11,F4829)&gt;0,"Valid","Invalid")</f>
        <v>Valid</v>
      </c>
    </row>
    <row r="4830" spans="1:18" x14ac:dyDescent="0.25">
      <c r="A4830" t="s">
        <v>6901</v>
      </c>
      <c r="B4830" t="s">
        <v>560</v>
      </c>
      <c r="C4830" s="8">
        <v>46249</v>
      </c>
      <c r="D4830" t="s">
        <v>2058</v>
      </c>
      <c r="E4830" t="s">
        <v>2063</v>
      </c>
      <c r="F4830" t="s">
        <v>27</v>
      </c>
      <c r="G4830">
        <v>865.84</v>
      </c>
      <c r="H4830" t="s">
        <v>2060</v>
      </c>
      <c r="I4830" t="str">
        <f>VLOOKUP(B4830,Customers!A:G,7,FALSE)</f>
        <v>Individual</v>
      </c>
      <c r="Q4830" t="str">
        <f>IF(COUNTIF(Customers!$A$2:$A$1001,B4830)&gt;0,"Valid","Invalid")</f>
        <v>Valid</v>
      </c>
      <c r="R4830" t="str">
        <f>IF(COUNTIF(Branches!$A$2:$A$11,F4830)&gt;0,"Valid","Invalid")</f>
        <v>Valid</v>
      </c>
    </row>
    <row r="4831" spans="1:18" x14ac:dyDescent="0.25">
      <c r="A4831" t="s">
        <v>6902</v>
      </c>
      <c r="B4831" t="s">
        <v>657</v>
      </c>
      <c r="C4831" s="8">
        <v>46156</v>
      </c>
      <c r="D4831" t="s">
        <v>2062</v>
      </c>
      <c r="E4831" t="s">
        <v>2059</v>
      </c>
      <c r="F4831" t="s">
        <v>53</v>
      </c>
      <c r="G4831">
        <v>6355.2</v>
      </c>
      <c r="H4831" t="s">
        <v>2060</v>
      </c>
      <c r="I4831" t="str">
        <f>VLOOKUP(B4831,Customers!A:G,7,FALSE)</f>
        <v>Individual</v>
      </c>
      <c r="Q4831" t="str">
        <f>IF(COUNTIF(Customers!$A$2:$A$1001,B4831)&gt;0,"Valid","Invalid")</f>
        <v>Valid</v>
      </c>
      <c r="R4831" t="str">
        <f>IF(COUNTIF(Branches!$A$2:$A$11,F4831)&gt;0,"Valid","Invalid")</f>
        <v>Valid</v>
      </c>
    </row>
    <row r="4832" spans="1:18" x14ac:dyDescent="0.25">
      <c r="A4832" t="s">
        <v>6903</v>
      </c>
      <c r="B4832" t="s">
        <v>123</v>
      </c>
      <c r="C4832" s="8">
        <v>46218</v>
      </c>
      <c r="D4832" t="s">
        <v>2062</v>
      </c>
      <c r="E4832" t="s">
        <v>2073</v>
      </c>
      <c r="F4832" t="s">
        <v>11</v>
      </c>
      <c r="G4832">
        <v>1986.1</v>
      </c>
      <c r="H4832" t="s">
        <v>2060</v>
      </c>
      <c r="I4832" t="str">
        <f>VLOOKUP(B4832,Customers!A:G,7,FALSE)</f>
        <v>Corporate</v>
      </c>
      <c r="Q4832" t="str">
        <f>IF(COUNTIF(Customers!$A$2:$A$1001,B4832)&gt;0,"Valid","Invalid")</f>
        <v>Valid</v>
      </c>
      <c r="R4832" t="str">
        <f>IF(COUNTIF(Branches!$A$2:$A$11,F4832)&gt;0,"Valid","Invalid")</f>
        <v>Valid</v>
      </c>
    </row>
    <row r="4833" spans="1:18" x14ac:dyDescent="0.25">
      <c r="A4833" t="s">
        <v>6904</v>
      </c>
      <c r="B4833" t="s">
        <v>617</v>
      </c>
      <c r="C4833" s="8">
        <v>46232</v>
      </c>
      <c r="D4833" t="s">
        <v>2065</v>
      </c>
      <c r="E4833" t="s">
        <v>2068</v>
      </c>
      <c r="F4833" t="s">
        <v>29</v>
      </c>
      <c r="G4833">
        <v>1165.6500000000001</v>
      </c>
      <c r="H4833" t="s">
        <v>2060</v>
      </c>
      <c r="I4833" t="str">
        <f>VLOOKUP(B4833,Customers!A:G,7,FALSE)</f>
        <v>Individual</v>
      </c>
      <c r="Q4833" t="str">
        <f>IF(COUNTIF(Customers!$A$2:$A$1001,B4833)&gt;0,"Valid","Invalid")</f>
        <v>Valid</v>
      </c>
      <c r="R4833" t="str">
        <f>IF(COUNTIF(Branches!$A$2:$A$11,F4833)&gt;0,"Valid","Invalid")</f>
        <v>Valid</v>
      </c>
    </row>
    <row r="4834" spans="1:18" x14ac:dyDescent="0.25">
      <c r="A4834" t="s">
        <v>6905</v>
      </c>
      <c r="B4834" t="s">
        <v>98</v>
      </c>
      <c r="C4834" s="8">
        <v>46156</v>
      </c>
      <c r="D4834" t="s">
        <v>2065</v>
      </c>
      <c r="E4834" t="s">
        <v>2076</v>
      </c>
      <c r="F4834" t="s">
        <v>47</v>
      </c>
      <c r="G4834">
        <v>3935.72</v>
      </c>
      <c r="H4834" t="s">
        <v>2060</v>
      </c>
      <c r="I4834" t="str">
        <f>VLOOKUP(B4834,Customers!A:G,7,FALSE)</f>
        <v>Individual</v>
      </c>
      <c r="Q4834" t="str">
        <f>IF(COUNTIF(Customers!$A$2:$A$1001,B4834)&gt;0,"Valid","Invalid")</f>
        <v>Valid</v>
      </c>
      <c r="R4834" t="str">
        <f>IF(COUNTIF(Branches!$A$2:$A$11,F4834)&gt;0,"Valid","Invalid")</f>
        <v>Valid</v>
      </c>
    </row>
    <row r="4835" spans="1:18" x14ac:dyDescent="0.25">
      <c r="A4835" t="s">
        <v>6906</v>
      </c>
      <c r="B4835" t="s">
        <v>425</v>
      </c>
      <c r="C4835" s="8">
        <v>46048</v>
      </c>
      <c r="D4835" t="s">
        <v>2065</v>
      </c>
      <c r="E4835" t="s">
        <v>2059</v>
      </c>
      <c r="F4835" t="s">
        <v>27</v>
      </c>
      <c r="G4835">
        <v>2495.46</v>
      </c>
      <c r="H4835" t="s">
        <v>2115</v>
      </c>
      <c r="I4835" t="str">
        <f>VLOOKUP(B4835,Customers!A:G,7,FALSE)</f>
        <v>Student</v>
      </c>
      <c r="Q4835" t="str">
        <f>IF(COUNTIF(Customers!$A$2:$A$1001,B4835)&gt;0,"Valid","Invalid")</f>
        <v>Valid</v>
      </c>
      <c r="R4835" t="str">
        <f>IF(COUNTIF(Branches!$A$2:$A$11,F4835)&gt;0,"Valid","Invalid")</f>
        <v>Valid</v>
      </c>
    </row>
    <row r="4836" spans="1:18" x14ac:dyDescent="0.25">
      <c r="A4836" t="s">
        <v>6907</v>
      </c>
      <c r="B4836" t="s">
        <v>182</v>
      </c>
      <c r="C4836" s="8">
        <v>46123</v>
      </c>
      <c r="D4836" t="s">
        <v>2067</v>
      </c>
      <c r="E4836" t="s">
        <v>2068</v>
      </c>
      <c r="F4836" t="s">
        <v>21</v>
      </c>
      <c r="G4836">
        <v>1532.54</v>
      </c>
      <c r="H4836" t="s">
        <v>2060</v>
      </c>
      <c r="I4836" t="str">
        <f>VLOOKUP(B4836,Customers!A:G,7,FALSE)</f>
        <v>Individual</v>
      </c>
      <c r="Q4836" t="str">
        <f>IF(COUNTIF(Customers!$A$2:$A$1001,B4836)&gt;0,"Valid","Invalid")</f>
        <v>Valid</v>
      </c>
      <c r="R4836" t="str">
        <f>IF(COUNTIF(Branches!$A$2:$A$11,F4836)&gt;0,"Valid","Invalid")</f>
        <v>Valid</v>
      </c>
    </row>
    <row r="4837" spans="1:18" x14ac:dyDescent="0.25">
      <c r="A4837" t="s">
        <v>6908</v>
      </c>
      <c r="B4837" t="s">
        <v>189</v>
      </c>
      <c r="C4837" s="8">
        <v>46241</v>
      </c>
      <c r="D4837" t="s">
        <v>2067</v>
      </c>
      <c r="E4837" t="s">
        <v>2059</v>
      </c>
      <c r="F4837" t="s">
        <v>35</v>
      </c>
      <c r="G4837">
        <v>8246.91</v>
      </c>
      <c r="H4837" t="s">
        <v>2060</v>
      </c>
      <c r="I4837" t="str">
        <f>VLOOKUP(B4837,Customers!A:G,7,FALSE)</f>
        <v>Individual</v>
      </c>
      <c r="Q4837" t="str">
        <f>IF(COUNTIF(Customers!$A$2:$A$1001,B4837)&gt;0,"Valid","Invalid")</f>
        <v>Valid</v>
      </c>
      <c r="R4837" t="str">
        <f>IF(COUNTIF(Branches!$A$2:$A$11,F4837)&gt;0,"Valid","Invalid")</f>
        <v>Valid</v>
      </c>
    </row>
    <row r="4838" spans="1:18" x14ac:dyDescent="0.25">
      <c r="A4838" t="s">
        <v>6909</v>
      </c>
      <c r="B4838" t="s">
        <v>657</v>
      </c>
      <c r="C4838" s="8">
        <v>46191</v>
      </c>
      <c r="D4838" t="s">
        <v>2070</v>
      </c>
      <c r="E4838" t="s">
        <v>2063</v>
      </c>
      <c r="F4838" t="s">
        <v>45</v>
      </c>
      <c r="G4838">
        <v>493.54</v>
      </c>
      <c r="H4838" t="s">
        <v>2060</v>
      </c>
      <c r="I4838" t="str">
        <f>VLOOKUP(B4838,Customers!A:G,7,FALSE)</f>
        <v>Individual</v>
      </c>
      <c r="Q4838" t="str">
        <f>IF(COUNTIF(Customers!$A$2:$A$1001,B4838)&gt;0,"Valid","Invalid")</f>
        <v>Valid</v>
      </c>
      <c r="R4838" t="str">
        <f>IF(COUNTIF(Branches!$A$2:$A$11,F4838)&gt;0,"Valid","Invalid")</f>
        <v>Valid</v>
      </c>
    </row>
    <row r="4839" spans="1:18" x14ac:dyDescent="0.25">
      <c r="A4839" t="s">
        <v>6910</v>
      </c>
      <c r="B4839" t="s">
        <v>698</v>
      </c>
      <c r="C4839" s="8">
        <v>46097</v>
      </c>
      <c r="D4839" t="s">
        <v>2067</v>
      </c>
      <c r="E4839" t="s">
        <v>2068</v>
      </c>
      <c r="F4839" t="s">
        <v>29</v>
      </c>
      <c r="G4839">
        <v>300.39</v>
      </c>
      <c r="H4839" t="s">
        <v>2060</v>
      </c>
      <c r="I4839" t="str">
        <f>VLOOKUP(B4839,Customers!A:G,7,FALSE)</f>
        <v>Individual</v>
      </c>
      <c r="Q4839" t="str">
        <f>IF(COUNTIF(Customers!$A$2:$A$1001,B4839)&gt;0,"Valid","Invalid")</f>
        <v>Valid</v>
      </c>
      <c r="R4839" t="str">
        <f>IF(COUNTIF(Branches!$A$2:$A$11,F4839)&gt;0,"Valid","Invalid")</f>
        <v>Valid</v>
      </c>
    </row>
    <row r="4840" spans="1:18" x14ac:dyDescent="0.25">
      <c r="A4840" t="s">
        <v>6911</v>
      </c>
      <c r="B4840" t="s">
        <v>736</v>
      </c>
      <c r="C4840" s="8">
        <v>46060</v>
      </c>
      <c r="D4840" t="s">
        <v>2062</v>
      </c>
      <c r="E4840" t="s">
        <v>2063</v>
      </c>
      <c r="F4840" t="s">
        <v>21</v>
      </c>
      <c r="G4840">
        <v>413.13</v>
      </c>
      <c r="H4840" t="s">
        <v>2060</v>
      </c>
      <c r="I4840" t="str">
        <f>VLOOKUP(B4840,Customers!A:G,7,FALSE)</f>
        <v>Individual</v>
      </c>
      <c r="Q4840" t="str">
        <f>IF(COUNTIF(Customers!$A$2:$A$1001,B4840)&gt;0,"Valid","Invalid")</f>
        <v>Valid</v>
      </c>
      <c r="R4840" t="str">
        <f>IF(COUNTIF(Branches!$A$2:$A$11,F4840)&gt;0,"Valid","Invalid")</f>
        <v>Valid</v>
      </c>
    </row>
    <row r="4841" spans="1:18" x14ac:dyDescent="0.25">
      <c r="A4841" t="s">
        <v>6912</v>
      </c>
      <c r="B4841" t="s">
        <v>387</v>
      </c>
      <c r="C4841" s="8">
        <v>46230</v>
      </c>
      <c r="D4841" t="s">
        <v>2058</v>
      </c>
      <c r="E4841" t="s">
        <v>2063</v>
      </c>
      <c r="F4841" t="s">
        <v>27</v>
      </c>
      <c r="G4841">
        <v>4685.71</v>
      </c>
      <c r="H4841" t="s">
        <v>2060</v>
      </c>
      <c r="I4841" t="str">
        <f>VLOOKUP(B4841,Customers!A:G,7,FALSE)</f>
        <v>Individual</v>
      </c>
      <c r="Q4841" t="str">
        <f>IF(COUNTIF(Customers!$A$2:$A$1001,B4841)&gt;0,"Valid","Invalid")</f>
        <v>Valid</v>
      </c>
      <c r="R4841" t="str">
        <f>IF(COUNTIF(Branches!$A$2:$A$11,F4841)&gt;0,"Valid","Invalid")</f>
        <v>Valid</v>
      </c>
    </row>
    <row r="4842" spans="1:18" x14ac:dyDescent="0.25">
      <c r="A4842" t="s">
        <v>6913</v>
      </c>
      <c r="B4842" t="s">
        <v>892</v>
      </c>
      <c r="C4842" s="8">
        <v>46105</v>
      </c>
      <c r="D4842" t="s">
        <v>2065</v>
      </c>
      <c r="E4842" t="s">
        <v>2063</v>
      </c>
      <c r="F4842" t="s">
        <v>53</v>
      </c>
      <c r="G4842">
        <v>3466.01</v>
      </c>
      <c r="H4842" t="s">
        <v>2060</v>
      </c>
      <c r="I4842" t="str">
        <f>VLOOKUP(B4842,Customers!A:G,7,FALSE)</f>
        <v>Individual</v>
      </c>
      <c r="Q4842" t="str">
        <f>IF(COUNTIF(Customers!$A$2:$A$1001,B4842)&gt;0,"Valid","Invalid")</f>
        <v>Valid</v>
      </c>
      <c r="R4842" t="str">
        <f>IF(COUNTIF(Branches!$A$2:$A$11,F4842)&gt;0,"Valid","Invalid")</f>
        <v>Valid</v>
      </c>
    </row>
    <row r="4843" spans="1:18" x14ac:dyDescent="0.25">
      <c r="A4843" t="s">
        <v>6914</v>
      </c>
      <c r="B4843" t="s">
        <v>214</v>
      </c>
      <c r="C4843" s="8">
        <v>46193</v>
      </c>
      <c r="D4843" t="s">
        <v>2065</v>
      </c>
      <c r="E4843" t="s">
        <v>2076</v>
      </c>
      <c r="F4843" t="s">
        <v>27</v>
      </c>
      <c r="G4843">
        <v>480.46</v>
      </c>
      <c r="H4843" t="s">
        <v>2060</v>
      </c>
      <c r="I4843" t="str">
        <f>VLOOKUP(B4843,Customers!A:G,7,FALSE)</f>
        <v>Student</v>
      </c>
      <c r="Q4843" t="str">
        <f>IF(COUNTIF(Customers!$A$2:$A$1001,B4843)&gt;0,"Valid","Invalid")</f>
        <v>Valid</v>
      </c>
      <c r="R4843" t="str">
        <f>IF(COUNTIF(Branches!$A$2:$A$11,F4843)&gt;0,"Valid","Invalid")</f>
        <v>Valid</v>
      </c>
    </row>
    <row r="4844" spans="1:18" x14ac:dyDescent="0.25">
      <c r="A4844" t="s">
        <v>6915</v>
      </c>
      <c r="B4844" t="s">
        <v>927</v>
      </c>
      <c r="C4844" s="8">
        <v>46203</v>
      </c>
      <c r="D4844" t="s">
        <v>2058</v>
      </c>
      <c r="E4844" t="s">
        <v>2076</v>
      </c>
      <c r="F4844" t="s">
        <v>29</v>
      </c>
      <c r="G4844">
        <v>77.12</v>
      </c>
      <c r="H4844" t="s">
        <v>2060</v>
      </c>
      <c r="I4844" t="str">
        <f>VLOOKUP(B4844,Customers!A:G,7,FALSE)</f>
        <v>Individual</v>
      </c>
      <c r="Q4844" t="str">
        <f>IF(COUNTIF(Customers!$A$2:$A$1001,B4844)&gt;0,"Valid","Invalid")</f>
        <v>Valid</v>
      </c>
      <c r="R4844" t="str">
        <f>IF(COUNTIF(Branches!$A$2:$A$11,F4844)&gt;0,"Valid","Invalid")</f>
        <v>Valid</v>
      </c>
    </row>
    <row r="4845" spans="1:18" x14ac:dyDescent="0.25">
      <c r="A4845" t="s">
        <v>6916</v>
      </c>
      <c r="B4845" t="s">
        <v>885</v>
      </c>
      <c r="C4845" s="8">
        <v>46165</v>
      </c>
      <c r="D4845" t="s">
        <v>2062</v>
      </c>
      <c r="E4845" t="s">
        <v>2063</v>
      </c>
      <c r="F4845" t="s">
        <v>29</v>
      </c>
      <c r="G4845">
        <v>661.27</v>
      </c>
      <c r="H4845" t="s">
        <v>2060</v>
      </c>
      <c r="I4845" t="str">
        <f>VLOOKUP(B4845,Customers!A:G,7,FALSE)</f>
        <v>Individual</v>
      </c>
      <c r="Q4845" t="str">
        <f>IF(COUNTIF(Customers!$A$2:$A$1001,B4845)&gt;0,"Valid","Invalid")</f>
        <v>Valid</v>
      </c>
      <c r="R4845" t="str">
        <f>IF(COUNTIF(Branches!$A$2:$A$11,F4845)&gt;0,"Valid","Invalid")</f>
        <v>Valid</v>
      </c>
    </row>
    <row r="4846" spans="1:18" x14ac:dyDescent="0.25">
      <c r="A4846" t="s">
        <v>6917</v>
      </c>
      <c r="B4846" t="s">
        <v>525</v>
      </c>
      <c r="C4846" s="8">
        <v>46240</v>
      </c>
      <c r="D4846" t="s">
        <v>2070</v>
      </c>
      <c r="E4846" t="s">
        <v>2076</v>
      </c>
      <c r="F4846" t="s">
        <v>27</v>
      </c>
      <c r="G4846">
        <v>294.93</v>
      </c>
      <c r="H4846" t="s">
        <v>2060</v>
      </c>
      <c r="I4846" t="str">
        <f>VLOOKUP(B4846,Customers!A:G,7,FALSE)</f>
        <v>Individual</v>
      </c>
      <c r="Q4846" t="str">
        <f>IF(COUNTIF(Customers!$A$2:$A$1001,B4846)&gt;0,"Valid","Invalid")</f>
        <v>Valid</v>
      </c>
      <c r="R4846" t="str">
        <f>IF(COUNTIF(Branches!$A$2:$A$11,F4846)&gt;0,"Valid","Invalid")</f>
        <v>Valid</v>
      </c>
    </row>
    <row r="4847" spans="1:18" x14ac:dyDescent="0.25">
      <c r="A4847" t="s">
        <v>6918</v>
      </c>
      <c r="B4847" t="s">
        <v>816</v>
      </c>
      <c r="C4847" s="8">
        <v>46078</v>
      </c>
      <c r="D4847" t="s">
        <v>2067</v>
      </c>
      <c r="E4847" t="s">
        <v>2068</v>
      </c>
      <c r="F4847" t="s">
        <v>47</v>
      </c>
      <c r="G4847">
        <v>495.75</v>
      </c>
      <c r="H4847" t="s">
        <v>2060</v>
      </c>
      <c r="I4847" t="str">
        <f>VLOOKUP(B4847,Customers!A:G,7,FALSE)</f>
        <v>Individual</v>
      </c>
      <c r="Q4847" t="str">
        <f>IF(COUNTIF(Customers!$A$2:$A$1001,B4847)&gt;0,"Valid","Invalid")</f>
        <v>Valid</v>
      </c>
      <c r="R4847" t="str">
        <f>IF(COUNTIF(Branches!$A$2:$A$11,F4847)&gt;0,"Valid","Invalid")</f>
        <v>Valid</v>
      </c>
    </row>
    <row r="4848" spans="1:18" x14ac:dyDescent="0.25">
      <c r="A4848" t="s">
        <v>6919</v>
      </c>
      <c r="B4848" t="s">
        <v>699</v>
      </c>
      <c r="C4848" s="8">
        <v>46127</v>
      </c>
      <c r="D4848" t="s">
        <v>2062</v>
      </c>
      <c r="E4848" t="s">
        <v>2073</v>
      </c>
      <c r="F4848" t="s">
        <v>27</v>
      </c>
      <c r="G4848">
        <v>283.04000000000002</v>
      </c>
      <c r="H4848" t="s">
        <v>2060</v>
      </c>
      <c r="I4848" t="str">
        <f>VLOOKUP(B4848,Customers!A:G,7,FALSE)</f>
        <v>SME</v>
      </c>
      <c r="Q4848" t="str">
        <f>IF(COUNTIF(Customers!$A$2:$A$1001,B4848)&gt;0,"Valid","Invalid")</f>
        <v>Valid</v>
      </c>
      <c r="R4848" t="str">
        <f>IF(COUNTIF(Branches!$A$2:$A$11,F4848)&gt;0,"Valid","Invalid")</f>
        <v>Valid</v>
      </c>
    </row>
    <row r="4849" spans="1:18" x14ac:dyDescent="0.25">
      <c r="A4849" t="s">
        <v>6920</v>
      </c>
      <c r="B4849" t="s">
        <v>285</v>
      </c>
      <c r="C4849" s="8">
        <v>46206</v>
      </c>
      <c r="D4849" t="s">
        <v>2067</v>
      </c>
      <c r="E4849" t="s">
        <v>2059</v>
      </c>
      <c r="F4849" t="s">
        <v>11</v>
      </c>
      <c r="G4849">
        <v>162.46</v>
      </c>
      <c r="H4849" t="s">
        <v>2060</v>
      </c>
      <c r="I4849" t="str">
        <f>VLOOKUP(B4849,Customers!A:G,7,FALSE)</f>
        <v>Individual</v>
      </c>
      <c r="Q4849" t="str">
        <f>IF(COUNTIF(Customers!$A$2:$A$1001,B4849)&gt;0,"Valid","Invalid")</f>
        <v>Valid</v>
      </c>
      <c r="R4849" t="str">
        <f>IF(COUNTIF(Branches!$A$2:$A$11,F4849)&gt;0,"Valid","Invalid")</f>
        <v>Valid</v>
      </c>
    </row>
    <row r="4850" spans="1:18" x14ac:dyDescent="0.25">
      <c r="A4850" t="s">
        <v>6921</v>
      </c>
      <c r="B4850" t="s">
        <v>292</v>
      </c>
      <c r="C4850" s="8">
        <v>46053</v>
      </c>
      <c r="D4850" t="s">
        <v>2058</v>
      </c>
      <c r="E4850" t="s">
        <v>2068</v>
      </c>
      <c r="F4850" t="s">
        <v>35</v>
      </c>
      <c r="G4850">
        <v>5341.19</v>
      </c>
      <c r="H4850" t="s">
        <v>2060</v>
      </c>
      <c r="I4850" t="str">
        <f>VLOOKUP(B4850,Customers!A:G,7,FALSE)</f>
        <v>Student</v>
      </c>
      <c r="Q4850" t="str">
        <f>IF(COUNTIF(Customers!$A$2:$A$1001,B4850)&gt;0,"Valid","Invalid")</f>
        <v>Valid</v>
      </c>
      <c r="R4850" t="str">
        <f>IF(COUNTIF(Branches!$A$2:$A$11,F4850)&gt;0,"Valid","Invalid")</f>
        <v>Valid</v>
      </c>
    </row>
    <row r="4851" spans="1:18" x14ac:dyDescent="0.25">
      <c r="A4851" t="s">
        <v>6922</v>
      </c>
      <c r="B4851" t="s">
        <v>538</v>
      </c>
      <c r="C4851" s="8">
        <v>46233</v>
      </c>
      <c r="D4851" t="s">
        <v>2058</v>
      </c>
      <c r="E4851" t="s">
        <v>2068</v>
      </c>
      <c r="F4851" t="s">
        <v>16</v>
      </c>
      <c r="G4851">
        <v>410.07</v>
      </c>
      <c r="H4851" t="s">
        <v>2060</v>
      </c>
      <c r="I4851" t="str">
        <f>VLOOKUP(B4851,Customers!A:G,7,FALSE)</f>
        <v>Individual</v>
      </c>
      <c r="Q4851" t="str">
        <f>IF(COUNTIF(Customers!$A$2:$A$1001,B4851)&gt;0,"Valid","Invalid")</f>
        <v>Valid</v>
      </c>
      <c r="R4851" t="str">
        <f>IF(COUNTIF(Branches!$A$2:$A$11,F4851)&gt;0,"Valid","Invalid")</f>
        <v>Valid</v>
      </c>
    </row>
    <row r="4852" spans="1:18" x14ac:dyDescent="0.25">
      <c r="A4852" t="s">
        <v>6923</v>
      </c>
      <c r="B4852" t="s">
        <v>579</v>
      </c>
      <c r="C4852" s="8">
        <v>46207</v>
      </c>
      <c r="D4852" t="s">
        <v>2065</v>
      </c>
      <c r="E4852" t="s">
        <v>2063</v>
      </c>
      <c r="F4852" t="s">
        <v>16</v>
      </c>
      <c r="G4852">
        <v>3336.47</v>
      </c>
      <c r="H4852" t="s">
        <v>2060</v>
      </c>
      <c r="I4852" t="str">
        <f>VLOOKUP(B4852,Customers!A:G,7,FALSE)</f>
        <v>Corporate</v>
      </c>
      <c r="Q4852" t="str">
        <f>IF(COUNTIF(Customers!$A$2:$A$1001,B4852)&gt;0,"Valid","Invalid")</f>
        <v>Valid</v>
      </c>
      <c r="R4852" t="str">
        <f>IF(COUNTIF(Branches!$A$2:$A$11,F4852)&gt;0,"Valid","Invalid")</f>
        <v>Valid</v>
      </c>
    </row>
    <row r="4853" spans="1:18" x14ac:dyDescent="0.25">
      <c r="A4853" t="s">
        <v>6924</v>
      </c>
      <c r="B4853" t="s">
        <v>390</v>
      </c>
      <c r="C4853" s="8">
        <v>46201</v>
      </c>
      <c r="D4853" t="s">
        <v>2065</v>
      </c>
      <c r="E4853" t="s">
        <v>2063</v>
      </c>
      <c r="F4853" t="s">
        <v>35</v>
      </c>
      <c r="G4853">
        <v>651.08000000000004</v>
      </c>
      <c r="H4853" t="s">
        <v>2060</v>
      </c>
      <c r="I4853" t="str">
        <f>VLOOKUP(B4853,Customers!A:G,7,FALSE)</f>
        <v>Individual</v>
      </c>
      <c r="Q4853" t="str">
        <f>IF(COUNTIF(Customers!$A$2:$A$1001,B4853)&gt;0,"Valid","Invalid")</f>
        <v>Valid</v>
      </c>
      <c r="R4853" t="str">
        <f>IF(COUNTIF(Branches!$A$2:$A$11,F4853)&gt;0,"Valid","Invalid")</f>
        <v>Valid</v>
      </c>
    </row>
    <row r="4854" spans="1:18" x14ac:dyDescent="0.25">
      <c r="A4854" t="s">
        <v>6925</v>
      </c>
      <c r="B4854" t="s">
        <v>550</v>
      </c>
      <c r="C4854" s="8">
        <v>46174</v>
      </c>
      <c r="D4854" t="s">
        <v>2065</v>
      </c>
      <c r="E4854" t="s">
        <v>2059</v>
      </c>
      <c r="F4854" t="s">
        <v>16</v>
      </c>
      <c r="G4854">
        <v>262.22000000000003</v>
      </c>
      <c r="H4854" t="s">
        <v>2060</v>
      </c>
      <c r="I4854" t="str">
        <f>VLOOKUP(B4854,Customers!A:G,7,FALSE)</f>
        <v>Individual</v>
      </c>
      <c r="Q4854" t="str">
        <f>IF(COUNTIF(Customers!$A$2:$A$1001,B4854)&gt;0,"Valid","Invalid")</f>
        <v>Valid</v>
      </c>
      <c r="R4854" t="str">
        <f>IF(COUNTIF(Branches!$A$2:$A$11,F4854)&gt;0,"Valid","Invalid")</f>
        <v>Valid</v>
      </c>
    </row>
    <row r="4855" spans="1:18" x14ac:dyDescent="0.25">
      <c r="A4855" t="s">
        <v>6926</v>
      </c>
      <c r="B4855" t="s">
        <v>816</v>
      </c>
      <c r="C4855" s="8">
        <v>46080</v>
      </c>
      <c r="D4855" t="s">
        <v>2067</v>
      </c>
      <c r="E4855" t="s">
        <v>2063</v>
      </c>
      <c r="F4855" t="s">
        <v>39</v>
      </c>
      <c r="G4855">
        <v>1351.63</v>
      </c>
      <c r="H4855" t="s">
        <v>2060</v>
      </c>
      <c r="I4855" t="str">
        <f>VLOOKUP(B4855,Customers!A:G,7,FALSE)</f>
        <v>Individual</v>
      </c>
      <c r="Q4855" t="str">
        <f>IF(COUNTIF(Customers!$A$2:$A$1001,B4855)&gt;0,"Valid","Invalid")</f>
        <v>Valid</v>
      </c>
      <c r="R4855" t="str">
        <f>IF(COUNTIF(Branches!$A$2:$A$11,F4855)&gt;0,"Valid","Invalid")</f>
        <v>Valid</v>
      </c>
    </row>
    <row r="4856" spans="1:18" x14ac:dyDescent="0.25">
      <c r="A4856" t="s">
        <v>6927</v>
      </c>
      <c r="B4856" t="s">
        <v>42</v>
      </c>
      <c r="C4856" s="8">
        <v>46095</v>
      </c>
      <c r="D4856" t="s">
        <v>2062</v>
      </c>
      <c r="E4856" t="s">
        <v>2063</v>
      </c>
      <c r="F4856" t="s">
        <v>16</v>
      </c>
      <c r="G4856">
        <v>549.46</v>
      </c>
      <c r="H4856" t="s">
        <v>2060</v>
      </c>
      <c r="I4856" t="str">
        <f>VLOOKUP(B4856,Customers!A:G,7,FALSE)</f>
        <v>Individual</v>
      </c>
      <c r="Q4856" t="str">
        <f>IF(COUNTIF(Customers!$A$2:$A$1001,B4856)&gt;0,"Valid","Invalid")</f>
        <v>Valid</v>
      </c>
      <c r="R4856" t="str">
        <f>IF(COUNTIF(Branches!$A$2:$A$11,F4856)&gt;0,"Valid","Invalid")</f>
        <v>Valid</v>
      </c>
    </row>
    <row r="4857" spans="1:18" x14ac:dyDescent="0.25">
      <c r="A4857" t="s">
        <v>6928</v>
      </c>
      <c r="B4857" t="s">
        <v>597</v>
      </c>
      <c r="C4857" s="8">
        <v>46237</v>
      </c>
      <c r="D4857" t="s">
        <v>2065</v>
      </c>
      <c r="E4857" t="s">
        <v>2059</v>
      </c>
      <c r="F4857" t="s">
        <v>39</v>
      </c>
      <c r="G4857">
        <v>660.44</v>
      </c>
      <c r="H4857" t="s">
        <v>2060</v>
      </c>
      <c r="I4857" t="str">
        <f>VLOOKUP(B4857,Customers!A:G,7,FALSE)</f>
        <v>Individual</v>
      </c>
      <c r="Q4857" t="str">
        <f>IF(COUNTIF(Customers!$A$2:$A$1001,B4857)&gt;0,"Valid","Invalid")</f>
        <v>Valid</v>
      </c>
      <c r="R4857" t="str">
        <f>IF(COUNTIF(Branches!$A$2:$A$11,F4857)&gt;0,"Valid","Invalid")</f>
        <v>Valid</v>
      </c>
    </row>
    <row r="4858" spans="1:18" x14ac:dyDescent="0.25">
      <c r="A4858" t="s">
        <v>6929</v>
      </c>
      <c r="B4858" t="s">
        <v>187</v>
      </c>
      <c r="C4858" s="8">
        <v>46154</v>
      </c>
      <c r="D4858" t="s">
        <v>2058</v>
      </c>
      <c r="E4858" t="s">
        <v>2063</v>
      </c>
      <c r="F4858" t="s">
        <v>45</v>
      </c>
      <c r="G4858">
        <v>939.08</v>
      </c>
      <c r="H4858" t="s">
        <v>2060</v>
      </c>
      <c r="I4858" t="str">
        <f>VLOOKUP(B4858,Customers!A:G,7,FALSE)</f>
        <v>Corporate</v>
      </c>
      <c r="Q4858" t="str">
        <f>IF(COUNTIF(Customers!$A$2:$A$1001,B4858)&gt;0,"Valid","Invalid")</f>
        <v>Valid</v>
      </c>
      <c r="R4858" t="str">
        <f>IF(COUNTIF(Branches!$A$2:$A$11,F4858)&gt;0,"Valid","Invalid")</f>
        <v>Valid</v>
      </c>
    </row>
    <row r="4859" spans="1:18" x14ac:dyDescent="0.25">
      <c r="A4859" t="s">
        <v>6930</v>
      </c>
      <c r="B4859" t="s">
        <v>86</v>
      </c>
      <c r="C4859" s="8">
        <v>46032</v>
      </c>
      <c r="D4859" t="s">
        <v>2067</v>
      </c>
      <c r="E4859" t="s">
        <v>2063</v>
      </c>
      <c r="F4859" t="s">
        <v>29</v>
      </c>
      <c r="G4859">
        <v>360.61</v>
      </c>
      <c r="H4859" t="s">
        <v>2060</v>
      </c>
      <c r="I4859" t="str">
        <f>VLOOKUP(B4859,Customers!A:G,7,FALSE)</f>
        <v>Corporate</v>
      </c>
      <c r="Q4859" t="str">
        <f>IF(COUNTIF(Customers!$A$2:$A$1001,B4859)&gt;0,"Valid","Invalid")</f>
        <v>Valid</v>
      </c>
      <c r="R4859" t="str">
        <f>IF(COUNTIF(Branches!$A$2:$A$11,F4859)&gt;0,"Valid","Invalid")</f>
        <v>Valid</v>
      </c>
    </row>
    <row r="4860" spans="1:18" x14ac:dyDescent="0.25">
      <c r="A4860" t="s">
        <v>6931</v>
      </c>
      <c r="B4860" t="s">
        <v>252</v>
      </c>
      <c r="C4860" s="8">
        <v>46213</v>
      </c>
      <c r="D4860" t="s">
        <v>2062</v>
      </c>
      <c r="E4860" t="s">
        <v>2059</v>
      </c>
      <c r="F4860" t="s">
        <v>39</v>
      </c>
      <c r="G4860">
        <v>160.59</v>
      </c>
      <c r="H4860" t="s">
        <v>2060</v>
      </c>
      <c r="I4860" t="str">
        <f>VLOOKUP(B4860,Customers!A:G,7,FALSE)</f>
        <v>Individual</v>
      </c>
      <c r="Q4860" t="str">
        <f>IF(COUNTIF(Customers!$A$2:$A$1001,B4860)&gt;0,"Valid","Invalid")</f>
        <v>Valid</v>
      </c>
      <c r="R4860" t="str">
        <f>IF(COUNTIF(Branches!$A$2:$A$11,F4860)&gt;0,"Valid","Invalid")</f>
        <v>Valid</v>
      </c>
    </row>
    <row r="4861" spans="1:18" x14ac:dyDescent="0.25">
      <c r="A4861" t="s">
        <v>6932</v>
      </c>
      <c r="B4861" t="s">
        <v>1029</v>
      </c>
      <c r="C4861" s="8">
        <v>46095</v>
      </c>
      <c r="D4861" t="s">
        <v>2062</v>
      </c>
      <c r="E4861" t="s">
        <v>2076</v>
      </c>
      <c r="F4861" t="s">
        <v>16</v>
      </c>
      <c r="G4861">
        <v>771.8</v>
      </c>
      <c r="H4861" t="s">
        <v>2060</v>
      </c>
      <c r="I4861" t="str">
        <f>VLOOKUP(B4861,Customers!A:G,7,FALSE)</f>
        <v>Individual</v>
      </c>
      <c r="Q4861" t="str">
        <f>IF(COUNTIF(Customers!$A$2:$A$1001,B4861)&gt;0,"Valid","Invalid")</f>
        <v>Valid</v>
      </c>
      <c r="R4861" t="str">
        <f>IF(COUNTIF(Branches!$A$2:$A$11,F4861)&gt;0,"Valid","Invalid")</f>
        <v>Valid</v>
      </c>
    </row>
    <row r="4862" spans="1:18" x14ac:dyDescent="0.25">
      <c r="A4862" t="s">
        <v>6933</v>
      </c>
      <c r="B4862" t="s">
        <v>682</v>
      </c>
      <c r="C4862" s="8">
        <v>46233</v>
      </c>
      <c r="D4862" t="s">
        <v>2062</v>
      </c>
      <c r="E4862" t="s">
        <v>2068</v>
      </c>
      <c r="F4862" t="s">
        <v>27</v>
      </c>
      <c r="G4862">
        <v>2130.09</v>
      </c>
      <c r="H4862" t="s">
        <v>2060</v>
      </c>
      <c r="I4862" t="str">
        <f>VLOOKUP(B4862,Customers!A:G,7,FALSE)</f>
        <v>Student</v>
      </c>
      <c r="Q4862" t="str">
        <f>IF(COUNTIF(Customers!$A$2:$A$1001,B4862)&gt;0,"Valid","Invalid")</f>
        <v>Valid</v>
      </c>
      <c r="R4862" t="str">
        <f>IF(COUNTIF(Branches!$A$2:$A$11,F4862)&gt;0,"Valid","Invalid")</f>
        <v>Valid</v>
      </c>
    </row>
    <row r="4863" spans="1:18" x14ac:dyDescent="0.25">
      <c r="A4863" t="s">
        <v>6934</v>
      </c>
      <c r="B4863" t="s">
        <v>410</v>
      </c>
      <c r="C4863" s="8">
        <v>46037</v>
      </c>
      <c r="D4863" t="s">
        <v>2058</v>
      </c>
      <c r="E4863" t="s">
        <v>2059</v>
      </c>
      <c r="F4863" t="s">
        <v>47</v>
      </c>
      <c r="G4863">
        <v>329.77</v>
      </c>
      <c r="H4863" t="s">
        <v>2107</v>
      </c>
      <c r="I4863" t="str">
        <f>VLOOKUP(B4863,Customers!A:G,7,FALSE)</f>
        <v>Individual</v>
      </c>
      <c r="Q4863" t="str">
        <f>IF(COUNTIF(Customers!$A$2:$A$1001,B4863)&gt;0,"Valid","Invalid")</f>
        <v>Valid</v>
      </c>
      <c r="R4863" t="str">
        <f>IF(COUNTIF(Branches!$A$2:$A$11,F4863)&gt;0,"Valid","Invalid")</f>
        <v>Valid</v>
      </c>
    </row>
    <row r="4864" spans="1:18" x14ac:dyDescent="0.25">
      <c r="A4864" t="s">
        <v>6935</v>
      </c>
      <c r="B4864" t="s">
        <v>149</v>
      </c>
      <c r="C4864" s="8">
        <v>46265</v>
      </c>
      <c r="D4864" t="s">
        <v>2067</v>
      </c>
      <c r="E4864" t="s">
        <v>2059</v>
      </c>
      <c r="F4864" t="s">
        <v>27</v>
      </c>
      <c r="G4864">
        <v>947.63</v>
      </c>
      <c r="H4864" t="s">
        <v>2060</v>
      </c>
      <c r="I4864" t="str">
        <f>VLOOKUP(B4864,Customers!A:G,7,FALSE)</f>
        <v>Individual</v>
      </c>
      <c r="Q4864" t="str">
        <f>IF(COUNTIF(Customers!$A$2:$A$1001,B4864)&gt;0,"Valid","Invalid")</f>
        <v>Valid</v>
      </c>
      <c r="R4864" t="str">
        <f>IF(COUNTIF(Branches!$A$2:$A$11,F4864)&gt;0,"Valid","Invalid")</f>
        <v>Valid</v>
      </c>
    </row>
    <row r="4865" spans="1:18" x14ac:dyDescent="0.25">
      <c r="A4865" t="s">
        <v>6936</v>
      </c>
      <c r="B4865" t="s">
        <v>290</v>
      </c>
      <c r="C4865" s="8">
        <v>46120</v>
      </c>
      <c r="D4865" t="s">
        <v>2062</v>
      </c>
      <c r="E4865" t="s">
        <v>2059</v>
      </c>
      <c r="F4865" t="s">
        <v>39</v>
      </c>
      <c r="G4865">
        <v>3661.06</v>
      </c>
      <c r="H4865" t="s">
        <v>2060</v>
      </c>
      <c r="I4865" t="str">
        <f>VLOOKUP(B4865,Customers!A:G,7,FALSE)</f>
        <v>Individual</v>
      </c>
      <c r="Q4865" t="str">
        <f>IF(COUNTIF(Customers!$A$2:$A$1001,B4865)&gt;0,"Valid","Invalid")</f>
        <v>Valid</v>
      </c>
      <c r="R4865" t="str">
        <f>IF(COUNTIF(Branches!$A$2:$A$11,F4865)&gt;0,"Valid","Invalid")</f>
        <v>Valid</v>
      </c>
    </row>
    <row r="4866" spans="1:18" x14ac:dyDescent="0.25">
      <c r="A4866" t="s">
        <v>6937</v>
      </c>
      <c r="B4866" t="s">
        <v>1001</v>
      </c>
      <c r="C4866" s="8">
        <v>46256</v>
      </c>
      <c r="D4866" t="s">
        <v>2065</v>
      </c>
      <c r="E4866" t="s">
        <v>2063</v>
      </c>
      <c r="F4866" t="s">
        <v>21</v>
      </c>
      <c r="G4866">
        <v>742.66</v>
      </c>
      <c r="H4866" t="s">
        <v>2060</v>
      </c>
      <c r="I4866" t="str">
        <f>VLOOKUP(B4866,Customers!A:G,7,FALSE)</f>
        <v>Individual</v>
      </c>
      <c r="Q4866" t="str">
        <f>IF(COUNTIF(Customers!$A$2:$A$1001,B4866)&gt;0,"Valid","Invalid")</f>
        <v>Valid</v>
      </c>
      <c r="R4866" t="str">
        <f>IF(COUNTIF(Branches!$A$2:$A$11,F4866)&gt;0,"Valid","Invalid")</f>
        <v>Valid</v>
      </c>
    </row>
    <row r="4867" spans="1:18" x14ac:dyDescent="0.25">
      <c r="A4867" t="s">
        <v>6938</v>
      </c>
      <c r="B4867" t="s">
        <v>379</v>
      </c>
      <c r="C4867" s="8">
        <v>46085</v>
      </c>
      <c r="D4867" t="s">
        <v>2067</v>
      </c>
      <c r="E4867" t="s">
        <v>2063</v>
      </c>
      <c r="F4867" t="s">
        <v>27</v>
      </c>
      <c r="G4867">
        <v>885.45</v>
      </c>
      <c r="H4867" t="s">
        <v>2060</v>
      </c>
      <c r="I4867" t="str">
        <f>VLOOKUP(B4867,Customers!A:G,7,FALSE)</f>
        <v>Individual</v>
      </c>
      <c r="Q4867" t="str">
        <f>IF(COUNTIF(Customers!$A$2:$A$1001,B4867)&gt;0,"Valid","Invalid")</f>
        <v>Valid</v>
      </c>
      <c r="R4867" t="str">
        <f>IF(COUNTIF(Branches!$A$2:$A$11,F4867)&gt;0,"Valid","Invalid")</f>
        <v>Valid</v>
      </c>
    </row>
    <row r="4868" spans="1:18" x14ac:dyDescent="0.25">
      <c r="A4868" t="s">
        <v>6939</v>
      </c>
      <c r="B4868" t="s">
        <v>89</v>
      </c>
      <c r="C4868" s="8">
        <v>46041</v>
      </c>
      <c r="D4868" t="s">
        <v>2065</v>
      </c>
      <c r="E4868" t="s">
        <v>2068</v>
      </c>
      <c r="F4868" t="s">
        <v>47</v>
      </c>
      <c r="G4868">
        <v>858.52</v>
      </c>
      <c r="H4868" t="s">
        <v>2060</v>
      </c>
      <c r="I4868" t="str">
        <f>VLOOKUP(B4868,Customers!A:G,7,FALSE)</f>
        <v>SME</v>
      </c>
      <c r="Q4868" t="str">
        <f>IF(COUNTIF(Customers!$A$2:$A$1001,B4868)&gt;0,"Valid","Invalid")</f>
        <v>Valid</v>
      </c>
      <c r="R4868" t="str">
        <f>IF(COUNTIF(Branches!$A$2:$A$11,F4868)&gt;0,"Valid","Invalid")</f>
        <v>Valid</v>
      </c>
    </row>
    <row r="4869" spans="1:18" x14ac:dyDescent="0.25">
      <c r="A4869" t="s">
        <v>6940</v>
      </c>
      <c r="B4869" t="s">
        <v>166</v>
      </c>
      <c r="C4869" s="8">
        <v>46135</v>
      </c>
      <c r="D4869" t="s">
        <v>2058</v>
      </c>
      <c r="E4869" t="s">
        <v>2059</v>
      </c>
      <c r="F4869" t="s">
        <v>35</v>
      </c>
      <c r="G4869">
        <v>410.61</v>
      </c>
      <c r="H4869" t="s">
        <v>2060</v>
      </c>
      <c r="I4869" t="str">
        <f>VLOOKUP(B4869,Customers!A:G,7,FALSE)</f>
        <v>SME</v>
      </c>
      <c r="Q4869" t="str">
        <f>IF(COUNTIF(Customers!$A$2:$A$1001,B4869)&gt;0,"Valid","Invalid")</f>
        <v>Valid</v>
      </c>
      <c r="R4869" t="str">
        <f>IF(COUNTIF(Branches!$A$2:$A$11,F4869)&gt;0,"Valid","Invalid")</f>
        <v>Valid</v>
      </c>
    </row>
    <row r="4870" spans="1:18" x14ac:dyDescent="0.25">
      <c r="A4870" t="s">
        <v>6941</v>
      </c>
      <c r="B4870" t="s">
        <v>874</v>
      </c>
      <c r="C4870" s="8">
        <v>46085</v>
      </c>
      <c r="D4870" t="s">
        <v>2058</v>
      </c>
      <c r="E4870" t="s">
        <v>2068</v>
      </c>
      <c r="F4870" t="s">
        <v>21</v>
      </c>
      <c r="G4870">
        <v>300.86</v>
      </c>
      <c r="H4870" t="s">
        <v>2060</v>
      </c>
      <c r="I4870" t="str">
        <f>VLOOKUP(B4870,Customers!A:G,7,FALSE)</f>
        <v>Student</v>
      </c>
      <c r="Q4870" t="str">
        <f>IF(COUNTIF(Customers!$A$2:$A$1001,B4870)&gt;0,"Valid","Invalid")</f>
        <v>Valid</v>
      </c>
      <c r="R4870" t="str">
        <f>IF(COUNTIF(Branches!$A$2:$A$11,F4870)&gt;0,"Valid","Invalid")</f>
        <v>Valid</v>
      </c>
    </row>
    <row r="4871" spans="1:18" x14ac:dyDescent="0.25">
      <c r="A4871" t="s">
        <v>6942</v>
      </c>
      <c r="B4871" t="s">
        <v>230</v>
      </c>
      <c r="C4871" s="8">
        <v>46138</v>
      </c>
      <c r="D4871" t="s">
        <v>2058</v>
      </c>
      <c r="E4871" t="s">
        <v>2076</v>
      </c>
      <c r="F4871" t="s">
        <v>47</v>
      </c>
      <c r="G4871">
        <v>302.08999999999997</v>
      </c>
      <c r="H4871" t="s">
        <v>2060</v>
      </c>
      <c r="I4871" t="str">
        <f>VLOOKUP(B4871,Customers!A:G,7,FALSE)</f>
        <v>Individual</v>
      </c>
      <c r="Q4871" t="str">
        <f>IF(COUNTIF(Customers!$A$2:$A$1001,B4871)&gt;0,"Valid","Invalid")</f>
        <v>Valid</v>
      </c>
      <c r="R4871" t="str">
        <f>IF(COUNTIF(Branches!$A$2:$A$11,F4871)&gt;0,"Valid","Invalid")</f>
        <v>Valid</v>
      </c>
    </row>
    <row r="4872" spans="1:18" x14ac:dyDescent="0.25">
      <c r="A4872" t="s">
        <v>6943</v>
      </c>
      <c r="B4872" t="s">
        <v>629</v>
      </c>
      <c r="C4872" s="8">
        <v>46206</v>
      </c>
      <c r="D4872" t="s">
        <v>2067</v>
      </c>
      <c r="E4872" t="s">
        <v>2063</v>
      </c>
      <c r="F4872" t="s">
        <v>45</v>
      </c>
      <c r="G4872">
        <v>1174.01</v>
      </c>
      <c r="H4872" t="s">
        <v>2060</v>
      </c>
      <c r="I4872" t="str">
        <f>VLOOKUP(B4872,Customers!A:G,7,FALSE)</f>
        <v>Individual</v>
      </c>
      <c r="Q4872" t="str">
        <f>IF(COUNTIF(Customers!$A$2:$A$1001,B4872)&gt;0,"Valid","Invalid")</f>
        <v>Valid</v>
      </c>
      <c r="R4872" t="str">
        <f>IF(COUNTIF(Branches!$A$2:$A$11,F4872)&gt;0,"Valid","Invalid")</f>
        <v>Valid</v>
      </c>
    </row>
    <row r="4873" spans="1:18" x14ac:dyDescent="0.25">
      <c r="A4873" t="s">
        <v>6944</v>
      </c>
      <c r="B4873" t="s">
        <v>93</v>
      </c>
      <c r="C4873" s="8">
        <v>46043</v>
      </c>
      <c r="D4873" t="s">
        <v>2065</v>
      </c>
      <c r="E4873" t="s">
        <v>2059</v>
      </c>
      <c r="F4873" t="s">
        <v>11</v>
      </c>
      <c r="G4873">
        <v>1733.46</v>
      </c>
      <c r="H4873" t="s">
        <v>2060</v>
      </c>
      <c r="I4873" t="str">
        <f>VLOOKUP(B4873,Customers!A:G,7,FALSE)</f>
        <v>Student</v>
      </c>
      <c r="Q4873" t="str">
        <f>IF(COUNTIF(Customers!$A$2:$A$1001,B4873)&gt;0,"Valid","Invalid")</f>
        <v>Valid</v>
      </c>
      <c r="R4873" t="str">
        <f>IF(COUNTIF(Branches!$A$2:$A$11,F4873)&gt;0,"Valid","Invalid")</f>
        <v>Valid</v>
      </c>
    </row>
    <row r="4874" spans="1:18" x14ac:dyDescent="0.25">
      <c r="A4874" t="s">
        <v>6945</v>
      </c>
      <c r="B4874" t="s">
        <v>133</v>
      </c>
      <c r="C4874" s="8">
        <v>46184</v>
      </c>
      <c r="D4874" t="s">
        <v>2062</v>
      </c>
      <c r="E4874" t="s">
        <v>2059</v>
      </c>
      <c r="F4874" t="s">
        <v>11</v>
      </c>
      <c r="G4874">
        <v>1817.25</v>
      </c>
      <c r="H4874" t="s">
        <v>2060</v>
      </c>
      <c r="I4874" t="str">
        <f>VLOOKUP(B4874,Customers!A:G,7,FALSE)</f>
        <v>SME</v>
      </c>
      <c r="Q4874" t="str">
        <f>IF(COUNTIF(Customers!$A$2:$A$1001,B4874)&gt;0,"Valid","Invalid")</f>
        <v>Valid</v>
      </c>
      <c r="R4874" t="str">
        <f>IF(COUNTIF(Branches!$A$2:$A$11,F4874)&gt;0,"Valid","Invalid")</f>
        <v>Valid</v>
      </c>
    </row>
    <row r="4875" spans="1:18" x14ac:dyDescent="0.25">
      <c r="A4875" t="s">
        <v>6946</v>
      </c>
      <c r="B4875" t="s">
        <v>235</v>
      </c>
      <c r="C4875" s="8">
        <v>46265</v>
      </c>
      <c r="D4875" t="s">
        <v>2058</v>
      </c>
      <c r="E4875" t="s">
        <v>2059</v>
      </c>
      <c r="F4875" t="s">
        <v>35</v>
      </c>
      <c r="G4875">
        <v>556.38</v>
      </c>
      <c r="H4875" t="s">
        <v>2060</v>
      </c>
      <c r="I4875" t="str">
        <f>VLOOKUP(B4875,Customers!A:G,7,FALSE)</f>
        <v>Individual</v>
      </c>
      <c r="Q4875" t="str">
        <f>IF(COUNTIF(Customers!$A$2:$A$1001,B4875)&gt;0,"Valid","Invalid")</f>
        <v>Valid</v>
      </c>
      <c r="R4875" t="str">
        <f>IF(COUNTIF(Branches!$A$2:$A$11,F4875)&gt;0,"Valid","Invalid")</f>
        <v>Valid</v>
      </c>
    </row>
    <row r="4876" spans="1:18" x14ac:dyDescent="0.25">
      <c r="A4876" t="s">
        <v>6947</v>
      </c>
      <c r="B4876" t="s">
        <v>685</v>
      </c>
      <c r="C4876" s="8">
        <v>46167</v>
      </c>
      <c r="D4876" t="s">
        <v>2067</v>
      </c>
      <c r="E4876" t="s">
        <v>2059</v>
      </c>
      <c r="F4876" t="s">
        <v>35</v>
      </c>
      <c r="G4876">
        <v>2424.33</v>
      </c>
      <c r="H4876" t="s">
        <v>2115</v>
      </c>
      <c r="I4876" t="str">
        <f>VLOOKUP(B4876,Customers!A:G,7,FALSE)</f>
        <v>Individual</v>
      </c>
      <c r="Q4876" t="str">
        <f>IF(COUNTIF(Customers!$A$2:$A$1001,B4876)&gt;0,"Valid","Invalid")</f>
        <v>Valid</v>
      </c>
      <c r="R4876" t="str">
        <f>IF(COUNTIF(Branches!$A$2:$A$11,F4876)&gt;0,"Valid","Invalid")</f>
        <v>Valid</v>
      </c>
    </row>
    <row r="4877" spans="1:18" x14ac:dyDescent="0.25">
      <c r="A4877" t="s">
        <v>6948</v>
      </c>
      <c r="B4877" t="s">
        <v>183</v>
      </c>
      <c r="C4877" s="8">
        <v>46168</v>
      </c>
      <c r="D4877" t="s">
        <v>2058</v>
      </c>
      <c r="E4877" t="s">
        <v>2073</v>
      </c>
      <c r="F4877" t="s">
        <v>11</v>
      </c>
      <c r="G4877">
        <v>1104.74</v>
      </c>
      <c r="H4877" t="s">
        <v>2107</v>
      </c>
      <c r="I4877" t="str">
        <f>VLOOKUP(B4877,Customers!A:G,7,FALSE)</f>
        <v>Corporate</v>
      </c>
      <c r="Q4877" t="str">
        <f>IF(COUNTIF(Customers!$A$2:$A$1001,B4877)&gt;0,"Valid","Invalid")</f>
        <v>Valid</v>
      </c>
      <c r="R4877" t="str">
        <f>IF(COUNTIF(Branches!$A$2:$A$11,F4877)&gt;0,"Valid","Invalid")</f>
        <v>Valid</v>
      </c>
    </row>
    <row r="4878" spans="1:18" x14ac:dyDescent="0.25">
      <c r="A4878" t="s">
        <v>6949</v>
      </c>
      <c r="B4878" t="s">
        <v>722</v>
      </c>
      <c r="C4878" s="8">
        <v>46103</v>
      </c>
      <c r="D4878" t="s">
        <v>2065</v>
      </c>
      <c r="E4878" t="s">
        <v>2068</v>
      </c>
      <c r="F4878" t="s">
        <v>29</v>
      </c>
      <c r="G4878">
        <v>871.96</v>
      </c>
      <c r="H4878" t="s">
        <v>2060</v>
      </c>
      <c r="I4878" t="str">
        <f>VLOOKUP(B4878,Customers!A:G,7,FALSE)</f>
        <v>SME</v>
      </c>
      <c r="Q4878" t="str">
        <f>IF(COUNTIF(Customers!$A$2:$A$1001,B4878)&gt;0,"Valid","Invalid")</f>
        <v>Valid</v>
      </c>
      <c r="R4878" t="str">
        <f>IF(COUNTIF(Branches!$A$2:$A$11,F4878)&gt;0,"Valid","Invalid")</f>
        <v>Valid</v>
      </c>
    </row>
    <row r="4879" spans="1:18" x14ac:dyDescent="0.25">
      <c r="A4879" t="s">
        <v>6950</v>
      </c>
      <c r="B4879" t="s">
        <v>613</v>
      </c>
      <c r="C4879" s="8">
        <v>46088</v>
      </c>
      <c r="D4879" t="s">
        <v>2065</v>
      </c>
      <c r="E4879" t="s">
        <v>2073</v>
      </c>
      <c r="F4879" t="s">
        <v>47</v>
      </c>
      <c r="G4879">
        <v>28.81</v>
      </c>
      <c r="H4879" t="s">
        <v>2060</v>
      </c>
      <c r="I4879" t="str">
        <f>VLOOKUP(B4879,Customers!A:G,7,FALSE)</f>
        <v>Individual</v>
      </c>
      <c r="Q4879" t="str">
        <f>IF(COUNTIF(Customers!$A$2:$A$1001,B4879)&gt;0,"Valid","Invalid")</f>
        <v>Valid</v>
      </c>
      <c r="R4879" t="str">
        <f>IF(COUNTIF(Branches!$A$2:$A$11,F4879)&gt;0,"Valid","Invalid")</f>
        <v>Valid</v>
      </c>
    </row>
    <row r="4880" spans="1:18" x14ac:dyDescent="0.25">
      <c r="A4880" t="s">
        <v>6951</v>
      </c>
      <c r="B4880" t="s">
        <v>615</v>
      </c>
      <c r="C4880" s="8">
        <v>46201</v>
      </c>
      <c r="D4880" t="s">
        <v>2067</v>
      </c>
      <c r="E4880" t="s">
        <v>2063</v>
      </c>
      <c r="F4880" t="s">
        <v>35</v>
      </c>
      <c r="G4880">
        <v>358.74</v>
      </c>
      <c r="H4880" t="s">
        <v>2060</v>
      </c>
      <c r="I4880" t="str">
        <f>VLOOKUP(B4880,Customers!A:G,7,FALSE)</f>
        <v>Student</v>
      </c>
      <c r="Q4880" t="str">
        <f>IF(COUNTIF(Customers!$A$2:$A$1001,B4880)&gt;0,"Valid","Invalid")</f>
        <v>Valid</v>
      </c>
      <c r="R4880" t="str">
        <f>IF(COUNTIF(Branches!$A$2:$A$11,F4880)&gt;0,"Valid","Invalid")</f>
        <v>Valid</v>
      </c>
    </row>
    <row r="4881" spans="1:18" x14ac:dyDescent="0.25">
      <c r="A4881" t="s">
        <v>6952</v>
      </c>
      <c r="B4881" t="s">
        <v>333</v>
      </c>
      <c r="C4881" s="8">
        <v>46087</v>
      </c>
      <c r="D4881" t="s">
        <v>2065</v>
      </c>
      <c r="E4881" t="s">
        <v>2063</v>
      </c>
      <c r="F4881" t="s">
        <v>35</v>
      </c>
      <c r="G4881">
        <v>177.49</v>
      </c>
      <c r="H4881" t="s">
        <v>2060</v>
      </c>
      <c r="I4881" t="str">
        <f>VLOOKUP(B4881,Customers!A:G,7,FALSE)</f>
        <v>Individual</v>
      </c>
      <c r="Q4881" t="str">
        <f>IF(COUNTIF(Customers!$A$2:$A$1001,B4881)&gt;0,"Valid","Invalid")</f>
        <v>Valid</v>
      </c>
      <c r="R4881" t="str">
        <f>IF(COUNTIF(Branches!$A$2:$A$11,F4881)&gt;0,"Valid","Invalid")</f>
        <v>Valid</v>
      </c>
    </row>
    <row r="4882" spans="1:18" x14ac:dyDescent="0.25">
      <c r="A4882" t="s">
        <v>6953</v>
      </c>
      <c r="B4882" t="s">
        <v>761</v>
      </c>
      <c r="C4882" s="8">
        <v>46065</v>
      </c>
      <c r="D4882" t="s">
        <v>2065</v>
      </c>
      <c r="E4882" t="s">
        <v>2063</v>
      </c>
      <c r="F4882" t="s">
        <v>53</v>
      </c>
      <c r="G4882">
        <v>1520.92</v>
      </c>
      <c r="H4882" t="s">
        <v>2060</v>
      </c>
      <c r="I4882" t="str">
        <f>VLOOKUP(B4882,Customers!A:G,7,FALSE)</f>
        <v>SME</v>
      </c>
      <c r="Q4882" t="str">
        <f>IF(COUNTIF(Customers!$A$2:$A$1001,B4882)&gt;0,"Valid","Invalid")</f>
        <v>Valid</v>
      </c>
      <c r="R4882" t="str">
        <f>IF(COUNTIF(Branches!$A$2:$A$11,F4882)&gt;0,"Valid","Invalid")</f>
        <v>Valid</v>
      </c>
    </row>
    <row r="4883" spans="1:18" x14ac:dyDescent="0.25">
      <c r="A4883" t="s">
        <v>6954</v>
      </c>
      <c r="B4883" t="s">
        <v>659</v>
      </c>
      <c r="C4883" s="8">
        <v>46079</v>
      </c>
      <c r="D4883" t="s">
        <v>2062</v>
      </c>
      <c r="E4883" t="s">
        <v>2063</v>
      </c>
      <c r="F4883" t="s">
        <v>11</v>
      </c>
      <c r="G4883">
        <v>893.4</v>
      </c>
      <c r="H4883" t="s">
        <v>2060</v>
      </c>
      <c r="I4883" t="str">
        <f>VLOOKUP(B4883,Customers!A:G,7,FALSE)</f>
        <v>SME</v>
      </c>
      <c r="Q4883" t="str">
        <f>IF(COUNTIF(Customers!$A$2:$A$1001,B4883)&gt;0,"Valid","Invalid")</f>
        <v>Valid</v>
      </c>
      <c r="R4883" t="str">
        <f>IF(COUNTIF(Branches!$A$2:$A$11,F4883)&gt;0,"Valid","Invalid")</f>
        <v>Valid</v>
      </c>
    </row>
    <row r="4884" spans="1:18" x14ac:dyDescent="0.25">
      <c r="A4884" t="s">
        <v>6955</v>
      </c>
      <c r="B4884" t="s">
        <v>832</v>
      </c>
      <c r="C4884" s="8">
        <v>46160</v>
      </c>
      <c r="D4884" t="s">
        <v>2058</v>
      </c>
      <c r="E4884" t="s">
        <v>2059</v>
      </c>
      <c r="F4884" t="s">
        <v>11</v>
      </c>
      <c r="G4884">
        <v>278.11</v>
      </c>
      <c r="H4884" t="s">
        <v>2060</v>
      </c>
      <c r="I4884" t="str">
        <f>VLOOKUP(B4884,Customers!A:G,7,FALSE)</f>
        <v>Individual</v>
      </c>
      <c r="Q4884" t="str">
        <f>IF(COUNTIF(Customers!$A$2:$A$1001,B4884)&gt;0,"Valid","Invalid")</f>
        <v>Valid</v>
      </c>
      <c r="R4884" t="str">
        <f>IF(COUNTIF(Branches!$A$2:$A$11,F4884)&gt;0,"Valid","Invalid")</f>
        <v>Valid</v>
      </c>
    </row>
    <row r="4885" spans="1:18" x14ac:dyDescent="0.25">
      <c r="A4885" t="s">
        <v>6956</v>
      </c>
      <c r="B4885" t="s">
        <v>722</v>
      </c>
      <c r="C4885" s="8">
        <v>46059</v>
      </c>
      <c r="D4885" t="s">
        <v>2058</v>
      </c>
      <c r="E4885" t="s">
        <v>2076</v>
      </c>
      <c r="F4885" t="s">
        <v>35</v>
      </c>
      <c r="G4885">
        <v>1101.43</v>
      </c>
      <c r="H4885" t="s">
        <v>2060</v>
      </c>
      <c r="I4885" t="str">
        <f>VLOOKUP(B4885,Customers!A:G,7,FALSE)</f>
        <v>SME</v>
      </c>
      <c r="Q4885" t="str">
        <f>IF(COUNTIF(Customers!$A$2:$A$1001,B4885)&gt;0,"Valid","Invalid")</f>
        <v>Valid</v>
      </c>
      <c r="R4885" t="str">
        <f>IF(COUNTIF(Branches!$A$2:$A$11,F4885)&gt;0,"Valid","Invalid")</f>
        <v>Valid</v>
      </c>
    </row>
    <row r="4886" spans="1:18" x14ac:dyDescent="0.25">
      <c r="A4886" t="s">
        <v>6957</v>
      </c>
      <c r="B4886" t="s">
        <v>41</v>
      </c>
      <c r="C4886" s="8">
        <v>46198</v>
      </c>
      <c r="D4886" t="s">
        <v>2058</v>
      </c>
      <c r="E4886" t="s">
        <v>2059</v>
      </c>
      <c r="F4886" t="s">
        <v>11</v>
      </c>
      <c r="G4886">
        <v>195.69</v>
      </c>
      <c r="H4886" t="s">
        <v>2060</v>
      </c>
      <c r="I4886" t="str">
        <f>VLOOKUP(B4886,Customers!A:G,7,FALSE)</f>
        <v>Individual</v>
      </c>
      <c r="Q4886" t="str">
        <f>IF(COUNTIF(Customers!$A$2:$A$1001,B4886)&gt;0,"Valid","Invalid")</f>
        <v>Valid</v>
      </c>
      <c r="R4886" t="str">
        <f>IF(COUNTIF(Branches!$A$2:$A$11,F4886)&gt;0,"Valid","Invalid")</f>
        <v>Valid</v>
      </c>
    </row>
    <row r="4887" spans="1:18" x14ac:dyDescent="0.25">
      <c r="A4887" t="s">
        <v>6958</v>
      </c>
      <c r="B4887" t="s">
        <v>956</v>
      </c>
      <c r="C4887" s="8">
        <v>46142</v>
      </c>
      <c r="D4887" t="s">
        <v>2070</v>
      </c>
      <c r="E4887" t="s">
        <v>2073</v>
      </c>
      <c r="F4887" t="s">
        <v>27</v>
      </c>
      <c r="G4887">
        <v>286.07</v>
      </c>
      <c r="H4887" t="s">
        <v>2060</v>
      </c>
      <c r="I4887" t="str">
        <f>VLOOKUP(B4887,Customers!A:G,7,FALSE)</f>
        <v>SME</v>
      </c>
      <c r="Q4887" t="str">
        <f>IF(COUNTIF(Customers!$A$2:$A$1001,B4887)&gt;0,"Valid","Invalid")</f>
        <v>Valid</v>
      </c>
      <c r="R4887" t="str">
        <f>IF(COUNTIF(Branches!$A$2:$A$11,F4887)&gt;0,"Valid","Invalid")</f>
        <v>Valid</v>
      </c>
    </row>
    <row r="4888" spans="1:18" x14ac:dyDescent="0.25">
      <c r="A4888" t="s">
        <v>6959</v>
      </c>
      <c r="B4888" t="s">
        <v>371</v>
      </c>
      <c r="C4888" s="8">
        <v>46091</v>
      </c>
      <c r="D4888" t="s">
        <v>2065</v>
      </c>
      <c r="E4888" t="s">
        <v>2073</v>
      </c>
      <c r="F4888" t="s">
        <v>21</v>
      </c>
      <c r="G4888">
        <v>399.33</v>
      </c>
      <c r="H4888" t="s">
        <v>2060</v>
      </c>
      <c r="I4888" t="str">
        <f>VLOOKUP(B4888,Customers!A:G,7,FALSE)</f>
        <v>Individual</v>
      </c>
      <c r="Q4888" t="str">
        <f>IF(COUNTIF(Customers!$A$2:$A$1001,B4888)&gt;0,"Valid","Invalid")</f>
        <v>Valid</v>
      </c>
      <c r="R4888" t="str">
        <f>IF(COUNTIF(Branches!$A$2:$A$11,F4888)&gt;0,"Valid","Invalid")</f>
        <v>Valid</v>
      </c>
    </row>
    <row r="4889" spans="1:18" x14ac:dyDescent="0.25">
      <c r="A4889" t="s">
        <v>6960</v>
      </c>
      <c r="B4889" t="s">
        <v>257</v>
      </c>
      <c r="C4889" s="8">
        <v>46078</v>
      </c>
      <c r="D4889" t="s">
        <v>2062</v>
      </c>
      <c r="E4889" t="s">
        <v>2063</v>
      </c>
      <c r="F4889" t="s">
        <v>47</v>
      </c>
      <c r="G4889">
        <v>1394.28</v>
      </c>
      <c r="H4889" t="s">
        <v>2060</v>
      </c>
      <c r="I4889" t="str">
        <f>VLOOKUP(B4889,Customers!A:G,7,FALSE)</f>
        <v>Corporate</v>
      </c>
      <c r="Q4889" t="str">
        <f>IF(COUNTIF(Customers!$A$2:$A$1001,B4889)&gt;0,"Valid","Invalid")</f>
        <v>Valid</v>
      </c>
      <c r="R4889" t="str">
        <f>IF(COUNTIF(Branches!$A$2:$A$11,F4889)&gt;0,"Valid","Invalid")</f>
        <v>Valid</v>
      </c>
    </row>
    <row r="4890" spans="1:18" x14ac:dyDescent="0.25">
      <c r="A4890" t="s">
        <v>6961</v>
      </c>
      <c r="B4890" t="s">
        <v>436</v>
      </c>
      <c r="C4890" s="8">
        <v>46141</v>
      </c>
      <c r="D4890" t="s">
        <v>2058</v>
      </c>
      <c r="E4890" t="s">
        <v>2068</v>
      </c>
      <c r="F4890" t="s">
        <v>47</v>
      </c>
      <c r="G4890">
        <v>3292.63</v>
      </c>
      <c r="H4890" t="s">
        <v>2060</v>
      </c>
      <c r="I4890" t="str">
        <f>VLOOKUP(B4890,Customers!A:G,7,FALSE)</f>
        <v>Individual</v>
      </c>
      <c r="Q4890" t="str">
        <f>IF(COUNTIF(Customers!$A$2:$A$1001,B4890)&gt;0,"Valid","Invalid")</f>
        <v>Valid</v>
      </c>
      <c r="R4890" t="str">
        <f>IF(COUNTIF(Branches!$A$2:$A$11,F4890)&gt;0,"Valid","Invalid")</f>
        <v>Valid</v>
      </c>
    </row>
    <row r="4891" spans="1:18" x14ac:dyDescent="0.25">
      <c r="A4891" t="s">
        <v>6962</v>
      </c>
      <c r="B4891" t="s">
        <v>380</v>
      </c>
      <c r="C4891" s="8">
        <v>46226</v>
      </c>
      <c r="D4891" t="s">
        <v>2065</v>
      </c>
      <c r="E4891" t="s">
        <v>2059</v>
      </c>
      <c r="F4891" t="s">
        <v>11</v>
      </c>
      <c r="G4891">
        <v>452.14</v>
      </c>
      <c r="H4891" t="s">
        <v>2060</v>
      </c>
      <c r="I4891" t="str">
        <f>VLOOKUP(B4891,Customers!A:G,7,FALSE)</f>
        <v>Individual</v>
      </c>
      <c r="Q4891" t="str">
        <f>IF(COUNTIF(Customers!$A$2:$A$1001,B4891)&gt;0,"Valid","Invalid")</f>
        <v>Valid</v>
      </c>
      <c r="R4891" t="str">
        <f>IF(COUNTIF(Branches!$A$2:$A$11,F4891)&gt;0,"Valid","Invalid")</f>
        <v>Valid</v>
      </c>
    </row>
    <row r="4892" spans="1:18" x14ac:dyDescent="0.25">
      <c r="A4892" t="s">
        <v>6963</v>
      </c>
      <c r="B4892" t="s">
        <v>836</v>
      </c>
      <c r="C4892" s="8">
        <v>46186</v>
      </c>
      <c r="D4892" t="s">
        <v>2067</v>
      </c>
      <c r="E4892" t="s">
        <v>2059</v>
      </c>
      <c r="F4892" t="s">
        <v>39</v>
      </c>
      <c r="G4892">
        <v>3048.66</v>
      </c>
      <c r="H4892" t="s">
        <v>2060</v>
      </c>
      <c r="I4892" t="str">
        <f>VLOOKUP(B4892,Customers!A:G,7,FALSE)</f>
        <v>Student</v>
      </c>
      <c r="Q4892" t="str">
        <f>IF(COUNTIF(Customers!$A$2:$A$1001,B4892)&gt;0,"Valid","Invalid")</f>
        <v>Valid</v>
      </c>
      <c r="R4892" t="str">
        <f>IF(COUNTIF(Branches!$A$2:$A$11,F4892)&gt;0,"Valid","Invalid")</f>
        <v>Valid</v>
      </c>
    </row>
    <row r="4893" spans="1:18" x14ac:dyDescent="0.25">
      <c r="A4893" t="s">
        <v>6964</v>
      </c>
      <c r="B4893" t="s">
        <v>550</v>
      </c>
      <c r="C4893" s="8">
        <v>46181</v>
      </c>
      <c r="D4893" t="s">
        <v>2058</v>
      </c>
      <c r="E4893" t="s">
        <v>2068</v>
      </c>
      <c r="F4893" t="s">
        <v>45</v>
      </c>
      <c r="G4893">
        <v>851.84</v>
      </c>
      <c r="H4893" t="s">
        <v>2060</v>
      </c>
      <c r="I4893" t="str">
        <f>VLOOKUP(B4893,Customers!A:G,7,FALSE)</f>
        <v>Individual</v>
      </c>
      <c r="Q4893" t="str">
        <f>IF(COUNTIF(Customers!$A$2:$A$1001,B4893)&gt;0,"Valid","Invalid")</f>
        <v>Valid</v>
      </c>
      <c r="R4893" t="str">
        <f>IF(COUNTIF(Branches!$A$2:$A$11,F4893)&gt;0,"Valid","Invalid")</f>
        <v>Valid</v>
      </c>
    </row>
    <row r="4894" spans="1:18" x14ac:dyDescent="0.25">
      <c r="A4894" t="s">
        <v>6965</v>
      </c>
      <c r="B4894" t="s">
        <v>208</v>
      </c>
      <c r="C4894" s="8">
        <v>46077</v>
      </c>
      <c r="D4894" t="s">
        <v>2058</v>
      </c>
      <c r="E4894" t="s">
        <v>2063</v>
      </c>
      <c r="F4894" t="s">
        <v>27</v>
      </c>
      <c r="G4894">
        <v>1028.79</v>
      </c>
      <c r="H4894" t="s">
        <v>2060</v>
      </c>
      <c r="I4894" t="str">
        <f>VLOOKUP(B4894,Customers!A:G,7,FALSE)</f>
        <v>Individual</v>
      </c>
      <c r="Q4894" t="str">
        <f>IF(COUNTIF(Customers!$A$2:$A$1001,B4894)&gt;0,"Valid","Invalid")</f>
        <v>Valid</v>
      </c>
      <c r="R4894" t="str">
        <f>IF(COUNTIF(Branches!$A$2:$A$11,F4894)&gt;0,"Valid","Invalid")</f>
        <v>Valid</v>
      </c>
    </row>
    <row r="4895" spans="1:18" x14ac:dyDescent="0.25">
      <c r="A4895" t="s">
        <v>6966</v>
      </c>
      <c r="B4895" t="s">
        <v>506</v>
      </c>
      <c r="C4895" s="8">
        <v>46060</v>
      </c>
      <c r="D4895" t="s">
        <v>2065</v>
      </c>
      <c r="E4895" t="s">
        <v>2068</v>
      </c>
      <c r="F4895" t="s">
        <v>29</v>
      </c>
      <c r="G4895">
        <v>762.19</v>
      </c>
      <c r="H4895" t="s">
        <v>2060</v>
      </c>
      <c r="I4895" t="str">
        <f>VLOOKUP(B4895,Customers!A:G,7,FALSE)</f>
        <v>Individual</v>
      </c>
      <c r="Q4895" t="str">
        <f>IF(COUNTIF(Customers!$A$2:$A$1001,B4895)&gt;0,"Valid","Invalid")</f>
        <v>Valid</v>
      </c>
      <c r="R4895" t="str">
        <f>IF(COUNTIF(Branches!$A$2:$A$11,F4895)&gt;0,"Valid","Invalid")</f>
        <v>Valid</v>
      </c>
    </row>
    <row r="4896" spans="1:18" x14ac:dyDescent="0.25">
      <c r="A4896" t="s">
        <v>6967</v>
      </c>
      <c r="B4896" t="s">
        <v>786</v>
      </c>
      <c r="C4896" s="8">
        <v>46265</v>
      </c>
      <c r="D4896" t="s">
        <v>2058</v>
      </c>
      <c r="E4896" t="s">
        <v>2076</v>
      </c>
      <c r="F4896" t="s">
        <v>53</v>
      </c>
      <c r="G4896">
        <v>666.93</v>
      </c>
      <c r="H4896" t="s">
        <v>2060</v>
      </c>
      <c r="I4896" t="str">
        <f>VLOOKUP(B4896,Customers!A:G,7,FALSE)</f>
        <v>Individual</v>
      </c>
      <c r="Q4896" t="str">
        <f>IF(COUNTIF(Customers!$A$2:$A$1001,B4896)&gt;0,"Valid","Invalid")</f>
        <v>Valid</v>
      </c>
      <c r="R4896" t="str">
        <f>IF(COUNTIF(Branches!$A$2:$A$11,F4896)&gt;0,"Valid","Invalid")</f>
        <v>Valid</v>
      </c>
    </row>
    <row r="4897" spans="1:18" x14ac:dyDescent="0.25">
      <c r="A4897" t="s">
        <v>6968</v>
      </c>
      <c r="B4897" t="s">
        <v>1025</v>
      </c>
      <c r="C4897" s="8">
        <v>46223</v>
      </c>
      <c r="D4897" t="s">
        <v>2058</v>
      </c>
      <c r="E4897" t="s">
        <v>2068</v>
      </c>
      <c r="F4897" t="s">
        <v>29</v>
      </c>
      <c r="G4897">
        <v>1260.55</v>
      </c>
      <c r="H4897" t="s">
        <v>2060</v>
      </c>
      <c r="I4897" t="str">
        <f>VLOOKUP(B4897,Customers!A:G,7,FALSE)</f>
        <v>Individual</v>
      </c>
      <c r="Q4897" t="str">
        <f>IF(COUNTIF(Customers!$A$2:$A$1001,B4897)&gt;0,"Valid","Invalid")</f>
        <v>Valid</v>
      </c>
      <c r="R4897" t="str">
        <f>IF(COUNTIF(Branches!$A$2:$A$11,F4897)&gt;0,"Valid","Invalid")</f>
        <v>Valid</v>
      </c>
    </row>
    <row r="4898" spans="1:18" x14ac:dyDescent="0.25">
      <c r="A4898" t="s">
        <v>6969</v>
      </c>
      <c r="B4898" t="s">
        <v>202</v>
      </c>
      <c r="C4898" s="8">
        <v>46258</v>
      </c>
      <c r="D4898" t="s">
        <v>2067</v>
      </c>
      <c r="E4898" t="s">
        <v>2073</v>
      </c>
      <c r="F4898" t="s">
        <v>29</v>
      </c>
      <c r="G4898">
        <v>1703.3</v>
      </c>
      <c r="H4898" t="s">
        <v>2060</v>
      </c>
      <c r="I4898" t="str">
        <f>VLOOKUP(B4898,Customers!A:G,7,FALSE)</f>
        <v>Student</v>
      </c>
      <c r="Q4898" t="str">
        <f>IF(COUNTIF(Customers!$A$2:$A$1001,B4898)&gt;0,"Valid","Invalid")</f>
        <v>Valid</v>
      </c>
      <c r="R4898" t="str">
        <f>IF(COUNTIF(Branches!$A$2:$A$11,F4898)&gt;0,"Valid","Invalid")</f>
        <v>Valid</v>
      </c>
    </row>
    <row r="4899" spans="1:18" x14ac:dyDescent="0.25">
      <c r="A4899" t="s">
        <v>6970</v>
      </c>
      <c r="B4899" t="s">
        <v>737</v>
      </c>
      <c r="C4899" s="8">
        <v>46240</v>
      </c>
      <c r="D4899" t="s">
        <v>2062</v>
      </c>
      <c r="E4899" t="s">
        <v>2059</v>
      </c>
      <c r="F4899" t="s">
        <v>27</v>
      </c>
      <c r="G4899">
        <v>335.42</v>
      </c>
      <c r="H4899" t="s">
        <v>2060</v>
      </c>
      <c r="I4899" t="str">
        <f>VLOOKUP(B4899,Customers!A:G,7,FALSE)</f>
        <v>Individual</v>
      </c>
      <c r="Q4899" t="str">
        <f>IF(COUNTIF(Customers!$A$2:$A$1001,B4899)&gt;0,"Valid","Invalid")</f>
        <v>Valid</v>
      </c>
      <c r="R4899" t="str">
        <f>IF(COUNTIF(Branches!$A$2:$A$11,F4899)&gt;0,"Valid","Invalid")</f>
        <v>Valid</v>
      </c>
    </row>
    <row r="4900" spans="1:18" x14ac:dyDescent="0.25">
      <c r="A4900" t="s">
        <v>6971</v>
      </c>
      <c r="B4900" t="s">
        <v>206</v>
      </c>
      <c r="C4900" s="8">
        <v>46037</v>
      </c>
      <c r="D4900" t="s">
        <v>2062</v>
      </c>
      <c r="E4900" t="s">
        <v>2063</v>
      </c>
      <c r="F4900" t="s">
        <v>16</v>
      </c>
      <c r="G4900">
        <v>672.3</v>
      </c>
      <c r="H4900" t="s">
        <v>2060</v>
      </c>
      <c r="I4900" t="str">
        <f>VLOOKUP(B4900,Customers!A:G,7,FALSE)</f>
        <v>Individual</v>
      </c>
      <c r="Q4900" t="str">
        <f>IF(COUNTIF(Customers!$A$2:$A$1001,B4900)&gt;0,"Valid","Invalid")</f>
        <v>Valid</v>
      </c>
      <c r="R4900" t="str">
        <f>IF(COUNTIF(Branches!$A$2:$A$11,F4900)&gt;0,"Valid","Invalid")</f>
        <v>Valid</v>
      </c>
    </row>
    <row r="4901" spans="1:18" x14ac:dyDescent="0.25">
      <c r="A4901" t="s">
        <v>6972</v>
      </c>
      <c r="B4901" t="s">
        <v>602</v>
      </c>
      <c r="C4901" s="8">
        <v>46166</v>
      </c>
      <c r="D4901" t="s">
        <v>2067</v>
      </c>
      <c r="E4901" t="s">
        <v>2063</v>
      </c>
      <c r="F4901" t="s">
        <v>45</v>
      </c>
      <c r="G4901">
        <v>4312.51</v>
      </c>
      <c r="H4901" t="s">
        <v>2060</v>
      </c>
      <c r="I4901" t="str">
        <f>VLOOKUP(B4901,Customers!A:G,7,FALSE)</f>
        <v>Student</v>
      </c>
      <c r="Q4901" t="str">
        <f>IF(COUNTIF(Customers!$A$2:$A$1001,B4901)&gt;0,"Valid","Invalid")</f>
        <v>Valid</v>
      </c>
      <c r="R4901" t="str">
        <f>IF(COUNTIF(Branches!$A$2:$A$11,F4901)&gt;0,"Valid","Invalid")</f>
        <v>Valid</v>
      </c>
    </row>
    <row r="4902" spans="1:18" x14ac:dyDescent="0.25">
      <c r="A4902" t="s">
        <v>6973</v>
      </c>
      <c r="B4902" t="s">
        <v>550</v>
      </c>
      <c r="C4902" s="8">
        <v>46099</v>
      </c>
      <c r="D4902" t="s">
        <v>2070</v>
      </c>
      <c r="E4902" t="s">
        <v>2063</v>
      </c>
      <c r="F4902" t="s">
        <v>21</v>
      </c>
      <c r="G4902">
        <v>969.9</v>
      </c>
      <c r="H4902" t="s">
        <v>2060</v>
      </c>
      <c r="I4902" t="str">
        <f>VLOOKUP(B4902,Customers!A:G,7,FALSE)</f>
        <v>Individual</v>
      </c>
      <c r="Q4902" t="str">
        <f>IF(COUNTIF(Customers!$A$2:$A$1001,B4902)&gt;0,"Valid","Invalid")</f>
        <v>Valid</v>
      </c>
      <c r="R4902" t="str">
        <f>IF(COUNTIF(Branches!$A$2:$A$11,F4902)&gt;0,"Valid","Invalid")</f>
        <v>Valid</v>
      </c>
    </row>
    <row r="4903" spans="1:18" x14ac:dyDescent="0.25">
      <c r="A4903" t="s">
        <v>6974</v>
      </c>
      <c r="B4903" t="s">
        <v>869</v>
      </c>
      <c r="C4903" s="8">
        <v>46239</v>
      </c>
      <c r="D4903" t="s">
        <v>2065</v>
      </c>
      <c r="E4903" t="s">
        <v>2063</v>
      </c>
      <c r="F4903" t="s">
        <v>21</v>
      </c>
      <c r="G4903">
        <v>1082.1400000000001</v>
      </c>
      <c r="H4903" t="s">
        <v>2060</v>
      </c>
      <c r="I4903" t="str">
        <f>VLOOKUP(B4903,Customers!A:G,7,FALSE)</f>
        <v>Individual</v>
      </c>
      <c r="Q4903" t="str">
        <f>IF(COUNTIF(Customers!$A$2:$A$1001,B4903)&gt;0,"Valid","Invalid")</f>
        <v>Valid</v>
      </c>
      <c r="R4903" t="str">
        <f>IF(COUNTIF(Branches!$A$2:$A$11,F4903)&gt;0,"Valid","Invalid")</f>
        <v>Valid</v>
      </c>
    </row>
    <row r="4904" spans="1:18" x14ac:dyDescent="0.25">
      <c r="A4904" t="s">
        <v>6975</v>
      </c>
      <c r="B4904" t="s">
        <v>226</v>
      </c>
      <c r="C4904" s="8">
        <v>46244</v>
      </c>
      <c r="D4904" t="s">
        <v>2065</v>
      </c>
      <c r="E4904" t="s">
        <v>2068</v>
      </c>
      <c r="F4904" t="s">
        <v>35</v>
      </c>
      <c r="G4904">
        <v>2610.4299999999998</v>
      </c>
      <c r="H4904" t="s">
        <v>2060</v>
      </c>
      <c r="I4904" t="str">
        <f>VLOOKUP(B4904,Customers!A:G,7,FALSE)</f>
        <v>Individual</v>
      </c>
      <c r="Q4904" t="str">
        <f>IF(COUNTIF(Customers!$A$2:$A$1001,B4904)&gt;0,"Valid","Invalid")</f>
        <v>Valid</v>
      </c>
      <c r="R4904" t="str">
        <f>IF(COUNTIF(Branches!$A$2:$A$11,F4904)&gt;0,"Valid","Invalid")</f>
        <v>Valid</v>
      </c>
    </row>
    <row r="4905" spans="1:18" x14ac:dyDescent="0.25">
      <c r="A4905" t="s">
        <v>6976</v>
      </c>
      <c r="B4905" t="s">
        <v>156</v>
      </c>
      <c r="C4905" s="8">
        <v>46075</v>
      </c>
      <c r="D4905" t="s">
        <v>2067</v>
      </c>
      <c r="E4905" t="s">
        <v>2063</v>
      </c>
      <c r="F4905" t="s">
        <v>21</v>
      </c>
      <c r="G4905">
        <v>492.14</v>
      </c>
      <c r="H4905" t="s">
        <v>2060</v>
      </c>
      <c r="I4905" t="str">
        <f>VLOOKUP(B4905,Customers!A:G,7,FALSE)</f>
        <v>Individual</v>
      </c>
      <c r="Q4905" t="str">
        <f>IF(COUNTIF(Customers!$A$2:$A$1001,B4905)&gt;0,"Valid","Invalid")</f>
        <v>Valid</v>
      </c>
      <c r="R4905" t="str">
        <f>IF(COUNTIF(Branches!$A$2:$A$11,F4905)&gt;0,"Valid","Invalid")</f>
        <v>Valid</v>
      </c>
    </row>
    <row r="4906" spans="1:18" x14ac:dyDescent="0.25">
      <c r="A4906" t="s">
        <v>6977</v>
      </c>
      <c r="B4906" t="s">
        <v>141</v>
      </c>
      <c r="C4906" s="8">
        <v>46206</v>
      </c>
      <c r="D4906" t="s">
        <v>2058</v>
      </c>
      <c r="E4906" t="s">
        <v>2073</v>
      </c>
      <c r="F4906" t="s">
        <v>39</v>
      </c>
      <c r="G4906">
        <v>785.28</v>
      </c>
      <c r="H4906" t="s">
        <v>2060</v>
      </c>
      <c r="I4906" t="str">
        <f>VLOOKUP(B4906,Customers!A:G,7,FALSE)</f>
        <v>Individual</v>
      </c>
      <c r="Q4906" t="str">
        <f>IF(COUNTIF(Customers!$A$2:$A$1001,B4906)&gt;0,"Valid","Invalid")</f>
        <v>Valid</v>
      </c>
      <c r="R4906" t="str">
        <f>IF(COUNTIF(Branches!$A$2:$A$11,F4906)&gt;0,"Valid","Invalid")</f>
        <v>Valid</v>
      </c>
    </row>
    <row r="4907" spans="1:18" x14ac:dyDescent="0.25">
      <c r="A4907" t="s">
        <v>6978</v>
      </c>
      <c r="B4907" t="s">
        <v>712</v>
      </c>
      <c r="C4907" s="8">
        <v>46029</v>
      </c>
      <c r="D4907" t="s">
        <v>2058</v>
      </c>
      <c r="E4907" t="s">
        <v>2076</v>
      </c>
      <c r="F4907" t="s">
        <v>11</v>
      </c>
      <c r="G4907">
        <v>1838.76</v>
      </c>
      <c r="H4907" t="s">
        <v>2060</v>
      </c>
      <c r="I4907" t="str">
        <f>VLOOKUP(B4907,Customers!A:G,7,FALSE)</f>
        <v>SME</v>
      </c>
      <c r="Q4907" t="str">
        <f>IF(COUNTIF(Customers!$A$2:$A$1001,B4907)&gt;0,"Valid","Invalid")</f>
        <v>Valid</v>
      </c>
      <c r="R4907" t="str">
        <f>IF(COUNTIF(Branches!$A$2:$A$11,F4907)&gt;0,"Valid","Invalid")</f>
        <v>Valid</v>
      </c>
    </row>
    <row r="4908" spans="1:18" x14ac:dyDescent="0.25">
      <c r="A4908" t="s">
        <v>6979</v>
      </c>
      <c r="B4908" t="s">
        <v>845</v>
      </c>
      <c r="C4908" s="8">
        <v>46207</v>
      </c>
      <c r="D4908" t="s">
        <v>2067</v>
      </c>
      <c r="E4908" t="s">
        <v>2063</v>
      </c>
      <c r="F4908" t="s">
        <v>29</v>
      </c>
      <c r="G4908">
        <v>2804.28</v>
      </c>
      <c r="H4908" t="s">
        <v>2060</v>
      </c>
      <c r="I4908" t="str">
        <f>VLOOKUP(B4908,Customers!A:G,7,FALSE)</f>
        <v>Individual</v>
      </c>
      <c r="Q4908" t="str">
        <f>IF(COUNTIF(Customers!$A$2:$A$1001,B4908)&gt;0,"Valid","Invalid")</f>
        <v>Valid</v>
      </c>
      <c r="R4908" t="str">
        <f>IF(COUNTIF(Branches!$A$2:$A$11,F4908)&gt;0,"Valid","Invalid")</f>
        <v>Valid</v>
      </c>
    </row>
    <row r="4909" spans="1:18" x14ac:dyDescent="0.25">
      <c r="A4909" t="s">
        <v>6980</v>
      </c>
      <c r="B4909" t="s">
        <v>75</v>
      </c>
      <c r="C4909" s="8">
        <v>46077</v>
      </c>
      <c r="D4909" t="s">
        <v>2065</v>
      </c>
      <c r="E4909" t="s">
        <v>2059</v>
      </c>
      <c r="F4909" t="s">
        <v>53</v>
      </c>
      <c r="G4909">
        <v>76.31</v>
      </c>
      <c r="H4909" t="s">
        <v>2115</v>
      </c>
      <c r="I4909" t="str">
        <f>VLOOKUP(B4909,Customers!A:G,7,FALSE)</f>
        <v>Student</v>
      </c>
      <c r="Q4909" t="str">
        <f>IF(COUNTIF(Customers!$A$2:$A$1001,B4909)&gt;0,"Valid","Invalid")</f>
        <v>Valid</v>
      </c>
      <c r="R4909" t="str">
        <f>IF(COUNTIF(Branches!$A$2:$A$11,F4909)&gt;0,"Valid","Invalid")</f>
        <v>Valid</v>
      </c>
    </row>
    <row r="4910" spans="1:18" x14ac:dyDescent="0.25">
      <c r="A4910" t="s">
        <v>6981</v>
      </c>
      <c r="B4910" t="s">
        <v>927</v>
      </c>
      <c r="C4910" s="8">
        <v>46074</v>
      </c>
      <c r="D4910" t="s">
        <v>2065</v>
      </c>
      <c r="E4910" t="s">
        <v>2059</v>
      </c>
      <c r="F4910" t="s">
        <v>35</v>
      </c>
      <c r="G4910">
        <v>388.9</v>
      </c>
      <c r="H4910" t="s">
        <v>2060</v>
      </c>
      <c r="I4910" t="str">
        <f>VLOOKUP(B4910,Customers!A:G,7,FALSE)</f>
        <v>Individual</v>
      </c>
      <c r="Q4910" t="str">
        <f>IF(COUNTIF(Customers!$A$2:$A$1001,B4910)&gt;0,"Valid","Invalid")</f>
        <v>Valid</v>
      </c>
      <c r="R4910" t="str">
        <f>IF(COUNTIF(Branches!$A$2:$A$11,F4910)&gt;0,"Valid","Invalid")</f>
        <v>Valid</v>
      </c>
    </row>
    <row r="4911" spans="1:18" x14ac:dyDescent="0.25">
      <c r="A4911" t="s">
        <v>6982</v>
      </c>
      <c r="B4911" t="s">
        <v>914</v>
      </c>
      <c r="C4911" s="8">
        <v>46026</v>
      </c>
      <c r="D4911" t="s">
        <v>2062</v>
      </c>
      <c r="E4911" t="s">
        <v>2059</v>
      </c>
      <c r="F4911" t="s">
        <v>27</v>
      </c>
      <c r="G4911">
        <v>299.36</v>
      </c>
      <c r="H4911" t="s">
        <v>2107</v>
      </c>
      <c r="I4911" t="str">
        <f>VLOOKUP(B4911,Customers!A:G,7,FALSE)</f>
        <v>SME</v>
      </c>
      <c r="Q4911" t="str">
        <f>IF(COUNTIF(Customers!$A$2:$A$1001,B4911)&gt;0,"Valid","Invalid")</f>
        <v>Valid</v>
      </c>
      <c r="R4911" t="str">
        <f>IF(COUNTIF(Branches!$A$2:$A$11,F4911)&gt;0,"Valid","Invalid")</f>
        <v>Valid</v>
      </c>
    </row>
    <row r="4912" spans="1:18" x14ac:dyDescent="0.25">
      <c r="A4912" t="s">
        <v>6983</v>
      </c>
      <c r="B4912" t="s">
        <v>715</v>
      </c>
      <c r="C4912" s="8">
        <v>46065</v>
      </c>
      <c r="D4912" t="s">
        <v>2062</v>
      </c>
      <c r="E4912" t="s">
        <v>2059</v>
      </c>
      <c r="F4912" t="s">
        <v>47</v>
      </c>
      <c r="G4912">
        <v>717.79</v>
      </c>
      <c r="H4912" t="s">
        <v>2060</v>
      </c>
      <c r="I4912" t="str">
        <f>VLOOKUP(B4912,Customers!A:G,7,FALSE)</f>
        <v>Individual</v>
      </c>
      <c r="Q4912" t="str">
        <f>IF(COUNTIF(Customers!$A$2:$A$1001,B4912)&gt;0,"Valid","Invalid")</f>
        <v>Valid</v>
      </c>
      <c r="R4912" t="str">
        <f>IF(COUNTIF(Branches!$A$2:$A$11,F4912)&gt;0,"Valid","Invalid")</f>
        <v>Valid</v>
      </c>
    </row>
    <row r="4913" spans="1:18" x14ac:dyDescent="0.25">
      <c r="A4913" t="s">
        <v>6984</v>
      </c>
      <c r="B4913" t="s">
        <v>359</v>
      </c>
      <c r="C4913" s="8">
        <v>46062</v>
      </c>
      <c r="D4913" t="s">
        <v>2058</v>
      </c>
      <c r="E4913" t="s">
        <v>2063</v>
      </c>
      <c r="F4913" t="s">
        <v>39</v>
      </c>
      <c r="G4913">
        <v>322.89999999999998</v>
      </c>
      <c r="H4913" t="s">
        <v>2060</v>
      </c>
      <c r="I4913" t="str">
        <f>VLOOKUP(B4913,Customers!A:G,7,FALSE)</f>
        <v>SME</v>
      </c>
      <c r="Q4913" t="str">
        <f>IF(COUNTIF(Customers!$A$2:$A$1001,B4913)&gt;0,"Valid","Invalid")</f>
        <v>Valid</v>
      </c>
      <c r="R4913" t="str">
        <f>IF(COUNTIF(Branches!$A$2:$A$11,F4913)&gt;0,"Valid","Invalid")</f>
        <v>Valid</v>
      </c>
    </row>
    <row r="4914" spans="1:18" x14ac:dyDescent="0.25">
      <c r="A4914" t="s">
        <v>6985</v>
      </c>
      <c r="B4914" t="s">
        <v>924</v>
      </c>
      <c r="C4914" s="8">
        <v>46252</v>
      </c>
      <c r="D4914" t="s">
        <v>2058</v>
      </c>
      <c r="E4914" t="s">
        <v>2076</v>
      </c>
      <c r="F4914" t="s">
        <v>53</v>
      </c>
      <c r="G4914">
        <v>1578.3</v>
      </c>
      <c r="H4914" t="s">
        <v>2060</v>
      </c>
      <c r="I4914" t="str">
        <f>VLOOKUP(B4914,Customers!A:G,7,FALSE)</f>
        <v>Individual</v>
      </c>
      <c r="Q4914" t="str">
        <f>IF(COUNTIF(Customers!$A$2:$A$1001,B4914)&gt;0,"Valid","Invalid")</f>
        <v>Valid</v>
      </c>
      <c r="R4914" t="str">
        <f>IF(COUNTIF(Branches!$A$2:$A$11,F4914)&gt;0,"Valid","Invalid")</f>
        <v>Valid</v>
      </c>
    </row>
    <row r="4915" spans="1:18" x14ac:dyDescent="0.25">
      <c r="A4915" t="s">
        <v>6986</v>
      </c>
      <c r="B4915" t="s">
        <v>373</v>
      </c>
      <c r="C4915" s="8">
        <v>46143</v>
      </c>
      <c r="D4915" t="s">
        <v>2058</v>
      </c>
      <c r="E4915" t="s">
        <v>2059</v>
      </c>
      <c r="F4915" t="s">
        <v>16</v>
      </c>
      <c r="G4915">
        <v>965.27</v>
      </c>
      <c r="H4915" t="s">
        <v>2060</v>
      </c>
      <c r="I4915" t="str">
        <f>VLOOKUP(B4915,Customers!A:G,7,FALSE)</f>
        <v>Student</v>
      </c>
      <c r="Q4915" t="str">
        <f>IF(COUNTIF(Customers!$A$2:$A$1001,B4915)&gt;0,"Valid","Invalid")</f>
        <v>Valid</v>
      </c>
      <c r="R4915" t="str">
        <f>IF(COUNTIF(Branches!$A$2:$A$11,F4915)&gt;0,"Valid","Invalid")</f>
        <v>Valid</v>
      </c>
    </row>
    <row r="4916" spans="1:18" x14ac:dyDescent="0.25">
      <c r="A4916" t="s">
        <v>6987</v>
      </c>
      <c r="B4916" t="s">
        <v>196</v>
      </c>
      <c r="C4916" s="8">
        <v>46052</v>
      </c>
      <c r="D4916" t="s">
        <v>2065</v>
      </c>
      <c r="E4916" t="s">
        <v>2068</v>
      </c>
      <c r="F4916" t="s">
        <v>47</v>
      </c>
      <c r="G4916">
        <v>1976.71</v>
      </c>
      <c r="H4916" t="s">
        <v>2115</v>
      </c>
      <c r="I4916" t="str">
        <f>VLOOKUP(B4916,Customers!A:G,7,FALSE)</f>
        <v>Individual</v>
      </c>
      <c r="Q4916" t="str">
        <f>IF(COUNTIF(Customers!$A$2:$A$1001,B4916)&gt;0,"Valid","Invalid")</f>
        <v>Valid</v>
      </c>
      <c r="R4916" t="str">
        <f>IF(COUNTIF(Branches!$A$2:$A$11,F4916)&gt;0,"Valid","Invalid")</f>
        <v>Valid</v>
      </c>
    </row>
    <row r="4917" spans="1:18" x14ac:dyDescent="0.25">
      <c r="A4917" t="s">
        <v>6988</v>
      </c>
      <c r="B4917" t="s">
        <v>302</v>
      </c>
      <c r="C4917" s="8">
        <v>46160</v>
      </c>
      <c r="D4917" t="s">
        <v>2067</v>
      </c>
      <c r="E4917" t="s">
        <v>2068</v>
      </c>
      <c r="F4917" t="s">
        <v>21</v>
      </c>
      <c r="G4917">
        <v>2106.9699999999998</v>
      </c>
      <c r="H4917" t="s">
        <v>2115</v>
      </c>
      <c r="I4917" t="str">
        <f>VLOOKUP(B4917,Customers!A:G,7,FALSE)</f>
        <v>Individual</v>
      </c>
      <c r="Q4917" t="str">
        <f>IF(COUNTIF(Customers!$A$2:$A$1001,B4917)&gt;0,"Valid","Invalid")</f>
        <v>Valid</v>
      </c>
      <c r="R4917" t="str">
        <f>IF(COUNTIF(Branches!$A$2:$A$11,F4917)&gt;0,"Valid","Invalid")</f>
        <v>Valid</v>
      </c>
    </row>
    <row r="4918" spans="1:18" x14ac:dyDescent="0.25">
      <c r="A4918" t="s">
        <v>6989</v>
      </c>
      <c r="B4918" t="s">
        <v>903</v>
      </c>
      <c r="C4918" s="8">
        <v>46244</v>
      </c>
      <c r="D4918" t="s">
        <v>2058</v>
      </c>
      <c r="E4918" t="s">
        <v>2063</v>
      </c>
      <c r="F4918" t="s">
        <v>39</v>
      </c>
      <c r="G4918">
        <v>1602.12</v>
      </c>
      <c r="H4918" t="s">
        <v>2060</v>
      </c>
      <c r="I4918" t="str">
        <f>VLOOKUP(B4918,Customers!A:G,7,FALSE)</f>
        <v>Student</v>
      </c>
      <c r="Q4918" t="str">
        <f>IF(COUNTIF(Customers!$A$2:$A$1001,B4918)&gt;0,"Valid","Invalid")</f>
        <v>Valid</v>
      </c>
      <c r="R4918" t="str">
        <f>IF(COUNTIF(Branches!$A$2:$A$11,F4918)&gt;0,"Valid","Invalid")</f>
        <v>Valid</v>
      </c>
    </row>
    <row r="4919" spans="1:18" x14ac:dyDescent="0.25">
      <c r="A4919" t="s">
        <v>6990</v>
      </c>
      <c r="B4919" t="s">
        <v>568</v>
      </c>
      <c r="C4919" s="8">
        <v>46125</v>
      </c>
      <c r="D4919" t="s">
        <v>2058</v>
      </c>
      <c r="E4919" t="s">
        <v>2063</v>
      </c>
      <c r="F4919" t="s">
        <v>16</v>
      </c>
      <c r="G4919">
        <v>580.69000000000005</v>
      </c>
      <c r="H4919" t="s">
        <v>2115</v>
      </c>
      <c r="I4919" t="str">
        <f>VLOOKUP(B4919,Customers!A:G,7,FALSE)</f>
        <v>Individual</v>
      </c>
      <c r="Q4919" t="str">
        <f>IF(COUNTIF(Customers!$A$2:$A$1001,B4919)&gt;0,"Valid","Invalid")</f>
        <v>Valid</v>
      </c>
      <c r="R4919" t="str">
        <f>IF(COUNTIF(Branches!$A$2:$A$11,F4919)&gt;0,"Valid","Invalid")</f>
        <v>Valid</v>
      </c>
    </row>
    <row r="4920" spans="1:18" x14ac:dyDescent="0.25">
      <c r="A4920" t="s">
        <v>6991</v>
      </c>
      <c r="B4920" t="s">
        <v>723</v>
      </c>
      <c r="C4920" s="8">
        <v>46029</v>
      </c>
      <c r="D4920" t="s">
        <v>2065</v>
      </c>
      <c r="E4920" t="s">
        <v>2076</v>
      </c>
      <c r="F4920" t="s">
        <v>27</v>
      </c>
      <c r="G4920">
        <v>901.7</v>
      </c>
      <c r="H4920" t="s">
        <v>2060</v>
      </c>
      <c r="I4920" t="str">
        <f>VLOOKUP(B4920,Customers!A:G,7,FALSE)</f>
        <v>SME</v>
      </c>
      <c r="Q4920" t="str">
        <f>IF(COUNTIF(Customers!$A$2:$A$1001,B4920)&gt;0,"Valid","Invalid")</f>
        <v>Valid</v>
      </c>
      <c r="R4920" t="str">
        <f>IF(COUNTIF(Branches!$A$2:$A$11,F4920)&gt;0,"Valid","Invalid")</f>
        <v>Valid</v>
      </c>
    </row>
    <row r="4921" spans="1:18" x14ac:dyDescent="0.25">
      <c r="A4921" t="s">
        <v>6992</v>
      </c>
      <c r="B4921" t="s">
        <v>515</v>
      </c>
      <c r="C4921" s="8">
        <v>46186</v>
      </c>
      <c r="D4921" t="s">
        <v>2070</v>
      </c>
      <c r="E4921" t="s">
        <v>2073</v>
      </c>
      <c r="F4921" t="s">
        <v>35</v>
      </c>
      <c r="G4921">
        <v>512.41</v>
      </c>
      <c r="H4921" t="s">
        <v>2060</v>
      </c>
      <c r="I4921" t="str">
        <f>VLOOKUP(B4921,Customers!A:G,7,FALSE)</f>
        <v>Corporate</v>
      </c>
      <c r="Q4921" t="str">
        <f>IF(COUNTIF(Customers!$A$2:$A$1001,B4921)&gt;0,"Valid","Invalid")</f>
        <v>Valid</v>
      </c>
      <c r="R4921" t="str">
        <f>IF(COUNTIF(Branches!$A$2:$A$11,F4921)&gt;0,"Valid","Invalid")</f>
        <v>Valid</v>
      </c>
    </row>
    <row r="4922" spans="1:18" x14ac:dyDescent="0.25">
      <c r="A4922" t="s">
        <v>6993</v>
      </c>
      <c r="B4922" t="s">
        <v>390</v>
      </c>
      <c r="C4922" s="8">
        <v>46185</v>
      </c>
      <c r="D4922" t="s">
        <v>2062</v>
      </c>
      <c r="E4922" t="s">
        <v>2059</v>
      </c>
      <c r="F4922" t="s">
        <v>29</v>
      </c>
      <c r="G4922">
        <v>207.53</v>
      </c>
      <c r="H4922" t="s">
        <v>2060</v>
      </c>
      <c r="I4922" t="str">
        <f>VLOOKUP(B4922,Customers!A:G,7,FALSE)</f>
        <v>Individual</v>
      </c>
      <c r="Q4922" t="str">
        <f>IF(COUNTIF(Customers!$A$2:$A$1001,B4922)&gt;0,"Valid","Invalid")</f>
        <v>Valid</v>
      </c>
      <c r="R4922" t="str">
        <f>IF(COUNTIF(Branches!$A$2:$A$11,F4922)&gt;0,"Valid","Invalid")</f>
        <v>Valid</v>
      </c>
    </row>
    <row r="4923" spans="1:18" x14ac:dyDescent="0.25">
      <c r="A4923" t="s">
        <v>6994</v>
      </c>
      <c r="B4923" t="s">
        <v>583</v>
      </c>
      <c r="C4923" s="8">
        <v>46238</v>
      </c>
      <c r="D4923" t="s">
        <v>2065</v>
      </c>
      <c r="E4923" t="s">
        <v>2063</v>
      </c>
      <c r="F4923" t="s">
        <v>29</v>
      </c>
      <c r="G4923">
        <v>2108.62</v>
      </c>
      <c r="H4923" t="s">
        <v>2060</v>
      </c>
      <c r="I4923" t="str">
        <f>VLOOKUP(B4923,Customers!A:G,7,FALSE)</f>
        <v>Corporate</v>
      </c>
      <c r="Q4923" t="str">
        <f>IF(COUNTIF(Customers!$A$2:$A$1001,B4923)&gt;0,"Valid","Invalid")</f>
        <v>Valid</v>
      </c>
      <c r="R4923" t="str">
        <f>IF(COUNTIF(Branches!$A$2:$A$11,F4923)&gt;0,"Valid","Invalid")</f>
        <v>Valid</v>
      </c>
    </row>
    <row r="4924" spans="1:18" x14ac:dyDescent="0.25">
      <c r="A4924" t="s">
        <v>6995</v>
      </c>
      <c r="B4924" t="s">
        <v>811</v>
      </c>
      <c r="C4924" s="8">
        <v>46189</v>
      </c>
      <c r="D4924" t="s">
        <v>2058</v>
      </c>
      <c r="E4924" t="s">
        <v>2063</v>
      </c>
      <c r="F4924" t="s">
        <v>11</v>
      </c>
      <c r="G4924">
        <v>746.9</v>
      </c>
      <c r="H4924" t="s">
        <v>2060</v>
      </c>
      <c r="I4924" t="str">
        <f>VLOOKUP(B4924,Customers!A:G,7,FALSE)</f>
        <v>SME</v>
      </c>
      <c r="Q4924" t="str">
        <f>IF(COUNTIF(Customers!$A$2:$A$1001,B4924)&gt;0,"Valid","Invalid")</f>
        <v>Valid</v>
      </c>
      <c r="R4924" t="str">
        <f>IF(COUNTIF(Branches!$A$2:$A$11,F4924)&gt;0,"Valid","Invalid")</f>
        <v>Valid</v>
      </c>
    </row>
    <row r="4925" spans="1:18" x14ac:dyDescent="0.25">
      <c r="A4925" t="s">
        <v>6996</v>
      </c>
      <c r="B4925" t="s">
        <v>247</v>
      </c>
      <c r="C4925" s="8">
        <v>46186</v>
      </c>
      <c r="D4925" t="s">
        <v>2070</v>
      </c>
      <c r="E4925" t="s">
        <v>2063</v>
      </c>
      <c r="F4925" t="s">
        <v>39</v>
      </c>
      <c r="G4925">
        <v>180.8</v>
      </c>
      <c r="H4925" t="s">
        <v>2060</v>
      </c>
      <c r="I4925" t="str">
        <f>VLOOKUP(B4925,Customers!A:G,7,FALSE)</f>
        <v>Individual</v>
      </c>
      <c r="Q4925" t="str">
        <f>IF(COUNTIF(Customers!$A$2:$A$1001,B4925)&gt;0,"Valid","Invalid")</f>
        <v>Valid</v>
      </c>
      <c r="R4925" t="str">
        <f>IF(COUNTIF(Branches!$A$2:$A$11,F4925)&gt;0,"Valid","Invalid")</f>
        <v>Valid</v>
      </c>
    </row>
    <row r="4926" spans="1:18" x14ac:dyDescent="0.25">
      <c r="A4926" t="s">
        <v>6997</v>
      </c>
      <c r="B4926" t="s">
        <v>534</v>
      </c>
      <c r="C4926" s="8">
        <v>46131</v>
      </c>
      <c r="D4926" t="s">
        <v>2065</v>
      </c>
      <c r="E4926" t="s">
        <v>2063</v>
      </c>
      <c r="F4926" t="s">
        <v>53</v>
      </c>
      <c r="G4926">
        <v>1389.85</v>
      </c>
      <c r="H4926" t="s">
        <v>2060</v>
      </c>
      <c r="I4926" t="str">
        <f>VLOOKUP(B4926,Customers!A:G,7,FALSE)</f>
        <v>Individual</v>
      </c>
      <c r="Q4926" t="str">
        <f>IF(COUNTIF(Customers!$A$2:$A$1001,B4926)&gt;0,"Valid","Invalid")</f>
        <v>Valid</v>
      </c>
      <c r="R4926" t="str">
        <f>IF(COUNTIF(Branches!$A$2:$A$11,F4926)&gt;0,"Valid","Invalid")</f>
        <v>Valid</v>
      </c>
    </row>
    <row r="4927" spans="1:18" x14ac:dyDescent="0.25">
      <c r="A4927" t="s">
        <v>6998</v>
      </c>
      <c r="B4927" t="s">
        <v>933</v>
      </c>
      <c r="C4927" s="8">
        <v>46042</v>
      </c>
      <c r="D4927" t="s">
        <v>2058</v>
      </c>
      <c r="E4927" t="s">
        <v>2059</v>
      </c>
      <c r="F4927" t="s">
        <v>47</v>
      </c>
      <c r="G4927">
        <v>649.4</v>
      </c>
      <c r="H4927" t="s">
        <v>2060</v>
      </c>
      <c r="I4927" t="str">
        <f>VLOOKUP(B4927,Customers!A:G,7,FALSE)</f>
        <v>Student</v>
      </c>
      <c r="Q4927" t="str">
        <f>IF(COUNTIF(Customers!$A$2:$A$1001,B4927)&gt;0,"Valid","Invalid")</f>
        <v>Valid</v>
      </c>
      <c r="R4927" t="str">
        <f>IF(COUNTIF(Branches!$A$2:$A$11,F4927)&gt;0,"Valid","Invalid")</f>
        <v>Valid</v>
      </c>
    </row>
    <row r="4928" spans="1:18" x14ac:dyDescent="0.25">
      <c r="A4928" t="s">
        <v>6999</v>
      </c>
      <c r="B4928" t="s">
        <v>880</v>
      </c>
      <c r="C4928" s="8">
        <v>46071</v>
      </c>
      <c r="D4928" t="s">
        <v>2067</v>
      </c>
      <c r="E4928" t="s">
        <v>2076</v>
      </c>
      <c r="F4928" t="s">
        <v>27</v>
      </c>
      <c r="G4928">
        <v>103.56</v>
      </c>
      <c r="H4928" t="s">
        <v>2060</v>
      </c>
      <c r="I4928" t="str">
        <f>VLOOKUP(B4928,Customers!A:G,7,FALSE)</f>
        <v>SME</v>
      </c>
      <c r="Q4928" t="str">
        <f>IF(COUNTIF(Customers!$A$2:$A$1001,B4928)&gt;0,"Valid","Invalid")</f>
        <v>Valid</v>
      </c>
      <c r="R4928" t="str">
        <f>IF(COUNTIF(Branches!$A$2:$A$11,F4928)&gt;0,"Valid","Invalid")</f>
        <v>Valid</v>
      </c>
    </row>
    <row r="4929" spans="1:18" x14ac:dyDescent="0.25">
      <c r="A4929" t="s">
        <v>7000</v>
      </c>
      <c r="B4929" t="s">
        <v>420</v>
      </c>
      <c r="C4929" s="8">
        <v>46118</v>
      </c>
      <c r="D4929" t="s">
        <v>2067</v>
      </c>
      <c r="E4929" t="s">
        <v>2063</v>
      </c>
      <c r="F4929" t="s">
        <v>27</v>
      </c>
      <c r="G4929">
        <v>205.67</v>
      </c>
      <c r="H4929" t="s">
        <v>2060</v>
      </c>
      <c r="I4929" t="str">
        <f>VLOOKUP(B4929,Customers!A:G,7,FALSE)</f>
        <v>Student</v>
      </c>
      <c r="Q4929" t="str">
        <f>IF(COUNTIF(Customers!$A$2:$A$1001,B4929)&gt;0,"Valid","Invalid")</f>
        <v>Valid</v>
      </c>
      <c r="R4929" t="str">
        <f>IF(COUNTIF(Branches!$A$2:$A$11,F4929)&gt;0,"Valid","Invalid")</f>
        <v>Valid</v>
      </c>
    </row>
    <row r="4930" spans="1:18" x14ac:dyDescent="0.25">
      <c r="A4930" t="s">
        <v>7001</v>
      </c>
      <c r="B4930" t="s">
        <v>714</v>
      </c>
      <c r="C4930" s="8">
        <v>46081</v>
      </c>
      <c r="D4930" t="s">
        <v>2062</v>
      </c>
      <c r="E4930" t="s">
        <v>2063</v>
      </c>
      <c r="F4930" t="s">
        <v>27</v>
      </c>
      <c r="G4930">
        <v>403.18</v>
      </c>
      <c r="H4930" t="s">
        <v>2060</v>
      </c>
      <c r="I4930" t="str">
        <f>VLOOKUP(B4930,Customers!A:G,7,FALSE)</f>
        <v>Individual</v>
      </c>
      <c r="Q4930" t="str">
        <f>IF(COUNTIF(Customers!$A$2:$A$1001,B4930)&gt;0,"Valid","Invalid")</f>
        <v>Valid</v>
      </c>
      <c r="R4930" t="str">
        <f>IF(COUNTIF(Branches!$A$2:$A$11,F4930)&gt;0,"Valid","Invalid")</f>
        <v>Valid</v>
      </c>
    </row>
    <row r="4931" spans="1:18" x14ac:dyDescent="0.25">
      <c r="A4931" t="s">
        <v>7002</v>
      </c>
      <c r="B4931" t="s">
        <v>519</v>
      </c>
      <c r="C4931" s="8">
        <v>46253</v>
      </c>
      <c r="D4931" t="s">
        <v>2067</v>
      </c>
      <c r="E4931" t="s">
        <v>2059</v>
      </c>
      <c r="F4931" t="s">
        <v>29</v>
      </c>
      <c r="G4931">
        <v>1002.76</v>
      </c>
      <c r="H4931" t="s">
        <v>2060</v>
      </c>
      <c r="I4931" t="str">
        <f>VLOOKUP(B4931,Customers!A:G,7,FALSE)</f>
        <v>SME</v>
      </c>
      <c r="Q4931" t="str">
        <f>IF(COUNTIF(Customers!$A$2:$A$1001,B4931)&gt;0,"Valid","Invalid")</f>
        <v>Valid</v>
      </c>
      <c r="R4931" t="str">
        <f>IF(COUNTIF(Branches!$A$2:$A$11,F4931)&gt;0,"Valid","Invalid")</f>
        <v>Valid</v>
      </c>
    </row>
    <row r="4932" spans="1:18" x14ac:dyDescent="0.25">
      <c r="A4932" t="s">
        <v>7003</v>
      </c>
      <c r="B4932" t="s">
        <v>957</v>
      </c>
      <c r="C4932" s="8">
        <v>46199</v>
      </c>
      <c r="D4932" t="s">
        <v>2065</v>
      </c>
      <c r="E4932" t="s">
        <v>2068</v>
      </c>
      <c r="F4932" t="s">
        <v>35</v>
      </c>
      <c r="G4932">
        <v>1786.51</v>
      </c>
      <c r="H4932" t="s">
        <v>2060</v>
      </c>
      <c r="I4932" t="str">
        <f>VLOOKUP(B4932,Customers!A:G,7,FALSE)</f>
        <v>Individual</v>
      </c>
      <c r="Q4932" t="str">
        <f>IF(COUNTIF(Customers!$A$2:$A$1001,B4932)&gt;0,"Valid","Invalid")</f>
        <v>Valid</v>
      </c>
      <c r="R4932" t="str">
        <f>IF(COUNTIF(Branches!$A$2:$A$11,F4932)&gt;0,"Valid","Invalid")</f>
        <v>Valid</v>
      </c>
    </row>
    <row r="4933" spans="1:18" x14ac:dyDescent="0.25">
      <c r="A4933" t="s">
        <v>7004</v>
      </c>
      <c r="B4933" t="s">
        <v>974</v>
      </c>
      <c r="C4933" s="8">
        <v>46112</v>
      </c>
      <c r="D4933" t="s">
        <v>2065</v>
      </c>
      <c r="E4933" t="s">
        <v>2059</v>
      </c>
      <c r="F4933" t="s">
        <v>27</v>
      </c>
      <c r="G4933">
        <v>1726.36</v>
      </c>
      <c r="H4933" t="s">
        <v>2060</v>
      </c>
      <c r="I4933" t="str">
        <f>VLOOKUP(B4933,Customers!A:G,7,FALSE)</f>
        <v>SME</v>
      </c>
      <c r="Q4933" t="str">
        <f>IF(COUNTIF(Customers!$A$2:$A$1001,B4933)&gt;0,"Valid","Invalid")</f>
        <v>Valid</v>
      </c>
      <c r="R4933" t="str">
        <f>IF(COUNTIF(Branches!$A$2:$A$11,F4933)&gt;0,"Valid","Invalid")</f>
        <v>Valid</v>
      </c>
    </row>
    <row r="4934" spans="1:18" x14ac:dyDescent="0.25">
      <c r="A4934" t="s">
        <v>7005</v>
      </c>
      <c r="B4934" t="s">
        <v>28</v>
      </c>
      <c r="C4934" s="8">
        <v>46048</v>
      </c>
      <c r="D4934" t="s">
        <v>2065</v>
      </c>
      <c r="E4934" t="s">
        <v>2073</v>
      </c>
      <c r="F4934" t="s">
        <v>47</v>
      </c>
      <c r="G4934">
        <v>1484.54</v>
      </c>
      <c r="H4934" t="s">
        <v>2060</v>
      </c>
      <c r="I4934" t="str">
        <f>VLOOKUP(B4934,Customers!A:G,7,FALSE)</f>
        <v>SME</v>
      </c>
      <c r="Q4934" t="str">
        <f>IF(COUNTIF(Customers!$A$2:$A$1001,B4934)&gt;0,"Valid","Invalid")</f>
        <v>Valid</v>
      </c>
      <c r="R4934" t="str">
        <f>IF(COUNTIF(Branches!$A$2:$A$11,F4934)&gt;0,"Valid","Invalid")</f>
        <v>Valid</v>
      </c>
    </row>
    <row r="4935" spans="1:18" x14ac:dyDescent="0.25">
      <c r="A4935" t="s">
        <v>7006</v>
      </c>
      <c r="B4935" t="s">
        <v>68</v>
      </c>
      <c r="C4935" s="8">
        <v>46058</v>
      </c>
      <c r="D4935" t="s">
        <v>2067</v>
      </c>
      <c r="E4935" t="s">
        <v>2059</v>
      </c>
      <c r="F4935" t="s">
        <v>39</v>
      </c>
      <c r="G4935">
        <v>784.96</v>
      </c>
      <c r="H4935" t="s">
        <v>2060</v>
      </c>
      <c r="I4935" t="str">
        <f>VLOOKUP(B4935,Customers!A:G,7,FALSE)</f>
        <v>Student</v>
      </c>
      <c r="Q4935" t="str">
        <f>IF(COUNTIF(Customers!$A$2:$A$1001,B4935)&gt;0,"Valid","Invalid")</f>
        <v>Valid</v>
      </c>
      <c r="R4935" t="str">
        <f>IF(COUNTIF(Branches!$A$2:$A$11,F4935)&gt;0,"Valid","Invalid")</f>
        <v>Valid</v>
      </c>
    </row>
    <row r="4936" spans="1:18" x14ac:dyDescent="0.25">
      <c r="A4936" t="s">
        <v>7007</v>
      </c>
      <c r="B4936" t="s">
        <v>830</v>
      </c>
      <c r="C4936" s="8">
        <v>46193</v>
      </c>
      <c r="D4936" t="s">
        <v>2062</v>
      </c>
      <c r="E4936" t="s">
        <v>2063</v>
      </c>
      <c r="F4936" t="s">
        <v>11</v>
      </c>
      <c r="G4936">
        <v>4547.04</v>
      </c>
      <c r="H4936" t="s">
        <v>2060</v>
      </c>
      <c r="I4936" t="str">
        <f>VLOOKUP(B4936,Customers!A:G,7,FALSE)</f>
        <v>Corporate</v>
      </c>
      <c r="Q4936" t="str">
        <f>IF(COUNTIF(Customers!$A$2:$A$1001,B4936)&gt;0,"Valid","Invalid")</f>
        <v>Valid</v>
      </c>
      <c r="R4936" t="str">
        <f>IF(COUNTIF(Branches!$A$2:$A$11,F4936)&gt;0,"Valid","Invalid")</f>
        <v>Valid</v>
      </c>
    </row>
    <row r="4937" spans="1:18" x14ac:dyDescent="0.25">
      <c r="A4937" t="s">
        <v>7008</v>
      </c>
      <c r="B4937" t="s">
        <v>181</v>
      </c>
      <c r="C4937" s="8">
        <v>46148</v>
      </c>
      <c r="D4937" t="s">
        <v>2065</v>
      </c>
      <c r="E4937" t="s">
        <v>2063</v>
      </c>
      <c r="F4937" t="s">
        <v>27</v>
      </c>
      <c r="G4937">
        <v>1635.77</v>
      </c>
      <c r="H4937" t="s">
        <v>2060</v>
      </c>
      <c r="I4937" t="str">
        <f>VLOOKUP(B4937,Customers!A:G,7,FALSE)</f>
        <v>Student</v>
      </c>
      <c r="Q4937" t="str">
        <f>IF(COUNTIF(Customers!$A$2:$A$1001,B4937)&gt;0,"Valid","Invalid")</f>
        <v>Valid</v>
      </c>
      <c r="R4937" t="str">
        <f>IF(COUNTIF(Branches!$A$2:$A$11,F4937)&gt;0,"Valid","Invalid")</f>
        <v>Valid</v>
      </c>
    </row>
    <row r="4938" spans="1:18" x14ac:dyDescent="0.25">
      <c r="A4938" t="s">
        <v>7009</v>
      </c>
      <c r="B4938" t="s">
        <v>389</v>
      </c>
      <c r="C4938" s="8">
        <v>46249</v>
      </c>
      <c r="D4938" t="s">
        <v>2058</v>
      </c>
      <c r="E4938" t="s">
        <v>2076</v>
      </c>
      <c r="F4938" t="s">
        <v>11</v>
      </c>
      <c r="G4938">
        <v>1014.45</v>
      </c>
      <c r="H4938" t="s">
        <v>2060</v>
      </c>
      <c r="I4938" t="str">
        <f>VLOOKUP(B4938,Customers!A:G,7,FALSE)</f>
        <v>Individual</v>
      </c>
      <c r="Q4938" t="str">
        <f>IF(COUNTIF(Customers!$A$2:$A$1001,B4938)&gt;0,"Valid","Invalid")</f>
        <v>Valid</v>
      </c>
      <c r="R4938" t="str">
        <f>IF(COUNTIF(Branches!$A$2:$A$11,F4938)&gt;0,"Valid","Invalid")</f>
        <v>Valid</v>
      </c>
    </row>
    <row r="4939" spans="1:18" x14ac:dyDescent="0.25">
      <c r="A4939" t="s">
        <v>7010</v>
      </c>
      <c r="B4939" t="s">
        <v>621</v>
      </c>
      <c r="C4939" s="8">
        <v>46065</v>
      </c>
      <c r="D4939" t="s">
        <v>2058</v>
      </c>
      <c r="E4939" t="s">
        <v>2059</v>
      </c>
      <c r="F4939" t="s">
        <v>35</v>
      </c>
      <c r="G4939">
        <v>1431.66</v>
      </c>
      <c r="H4939" t="s">
        <v>2060</v>
      </c>
      <c r="I4939" t="str">
        <f>VLOOKUP(B4939,Customers!A:G,7,FALSE)</f>
        <v>Individual</v>
      </c>
      <c r="Q4939" t="str">
        <f>IF(COUNTIF(Customers!$A$2:$A$1001,B4939)&gt;0,"Valid","Invalid")</f>
        <v>Valid</v>
      </c>
      <c r="R4939" t="str">
        <f>IF(COUNTIF(Branches!$A$2:$A$11,F4939)&gt;0,"Valid","Invalid")</f>
        <v>Valid</v>
      </c>
    </row>
    <row r="4940" spans="1:18" x14ac:dyDescent="0.25">
      <c r="A4940" t="s">
        <v>7011</v>
      </c>
      <c r="B4940" t="s">
        <v>503</v>
      </c>
      <c r="C4940" s="8">
        <v>46121</v>
      </c>
      <c r="D4940" t="s">
        <v>2065</v>
      </c>
      <c r="E4940" t="s">
        <v>2076</v>
      </c>
      <c r="F4940" t="s">
        <v>16</v>
      </c>
      <c r="G4940">
        <v>545.1</v>
      </c>
      <c r="H4940" t="s">
        <v>2060</v>
      </c>
      <c r="I4940" t="str">
        <f>VLOOKUP(B4940,Customers!A:G,7,FALSE)</f>
        <v>SME</v>
      </c>
      <c r="Q4940" t="str">
        <f>IF(COUNTIF(Customers!$A$2:$A$1001,B4940)&gt;0,"Valid","Invalid")</f>
        <v>Valid</v>
      </c>
      <c r="R4940" t="str">
        <f>IF(COUNTIF(Branches!$A$2:$A$11,F4940)&gt;0,"Valid","Invalid")</f>
        <v>Valid</v>
      </c>
    </row>
    <row r="4941" spans="1:18" x14ac:dyDescent="0.25">
      <c r="A4941" t="s">
        <v>7012</v>
      </c>
      <c r="B4941" t="s">
        <v>386</v>
      </c>
      <c r="C4941" s="8">
        <v>46226</v>
      </c>
      <c r="D4941" t="s">
        <v>2058</v>
      </c>
      <c r="E4941" t="s">
        <v>2068</v>
      </c>
      <c r="F4941" t="s">
        <v>47</v>
      </c>
      <c r="G4941">
        <v>767.21</v>
      </c>
      <c r="H4941" t="s">
        <v>2060</v>
      </c>
      <c r="I4941" t="str">
        <f>VLOOKUP(B4941,Customers!A:G,7,FALSE)</f>
        <v>SME</v>
      </c>
      <c r="Q4941" t="str">
        <f>IF(COUNTIF(Customers!$A$2:$A$1001,B4941)&gt;0,"Valid","Invalid")</f>
        <v>Valid</v>
      </c>
      <c r="R4941" t="str">
        <f>IF(COUNTIF(Branches!$A$2:$A$11,F4941)&gt;0,"Valid","Invalid")</f>
        <v>Valid</v>
      </c>
    </row>
    <row r="4942" spans="1:18" x14ac:dyDescent="0.25">
      <c r="A4942" t="s">
        <v>7013</v>
      </c>
      <c r="B4942" t="s">
        <v>780</v>
      </c>
      <c r="C4942" s="8">
        <v>46055</v>
      </c>
      <c r="D4942" t="s">
        <v>2058</v>
      </c>
      <c r="E4942" t="s">
        <v>2076</v>
      </c>
      <c r="F4942" t="s">
        <v>29</v>
      </c>
      <c r="G4942">
        <v>101.3</v>
      </c>
      <c r="H4942" t="s">
        <v>2060</v>
      </c>
      <c r="I4942" t="str">
        <f>VLOOKUP(B4942,Customers!A:G,7,FALSE)</f>
        <v>Individual</v>
      </c>
      <c r="Q4942" t="str">
        <f>IF(COUNTIF(Customers!$A$2:$A$1001,B4942)&gt;0,"Valid","Invalid")</f>
        <v>Valid</v>
      </c>
      <c r="R4942" t="str">
        <f>IF(COUNTIF(Branches!$A$2:$A$11,F4942)&gt;0,"Valid","Invalid")</f>
        <v>Valid</v>
      </c>
    </row>
    <row r="4943" spans="1:18" x14ac:dyDescent="0.25">
      <c r="A4943" t="s">
        <v>7014</v>
      </c>
      <c r="B4943" t="s">
        <v>161</v>
      </c>
      <c r="C4943" s="8">
        <v>46122</v>
      </c>
      <c r="D4943" t="s">
        <v>2067</v>
      </c>
      <c r="E4943" t="s">
        <v>2063</v>
      </c>
      <c r="F4943" t="s">
        <v>47</v>
      </c>
      <c r="G4943">
        <v>551.84</v>
      </c>
      <c r="H4943" t="s">
        <v>2060</v>
      </c>
      <c r="I4943" t="str">
        <f>VLOOKUP(B4943,Customers!A:G,7,FALSE)</f>
        <v>Student</v>
      </c>
      <c r="Q4943" t="str">
        <f>IF(COUNTIF(Customers!$A$2:$A$1001,B4943)&gt;0,"Valid","Invalid")</f>
        <v>Valid</v>
      </c>
      <c r="R4943" t="str">
        <f>IF(COUNTIF(Branches!$A$2:$A$11,F4943)&gt;0,"Valid","Invalid")</f>
        <v>Valid</v>
      </c>
    </row>
    <row r="4944" spans="1:18" x14ac:dyDescent="0.25">
      <c r="A4944" t="s">
        <v>7015</v>
      </c>
      <c r="B4944" t="s">
        <v>828</v>
      </c>
      <c r="C4944" s="8">
        <v>46228</v>
      </c>
      <c r="D4944" t="s">
        <v>2067</v>
      </c>
      <c r="E4944" t="s">
        <v>2068</v>
      </c>
      <c r="F4944" t="s">
        <v>27</v>
      </c>
      <c r="G4944">
        <v>4721.53</v>
      </c>
      <c r="H4944" t="s">
        <v>2060</v>
      </c>
      <c r="I4944" t="str">
        <f>VLOOKUP(B4944,Customers!A:G,7,FALSE)</f>
        <v>Individual</v>
      </c>
      <c r="Q4944" t="str">
        <f>IF(COUNTIF(Customers!$A$2:$A$1001,B4944)&gt;0,"Valid","Invalid")</f>
        <v>Valid</v>
      </c>
      <c r="R4944" t="str">
        <f>IF(COUNTIF(Branches!$A$2:$A$11,F4944)&gt;0,"Valid","Invalid")</f>
        <v>Valid</v>
      </c>
    </row>
    <row r="4945" spans="1:18" x14ac:dyDescent="0.25">
      <c r="A4945" t="s">
        <v>7016</v>
      </c>
      <c r="B4945" t="s">
        <v>309</v>
      </c>
      <c r="C4945" s="8">
        <v>46119</v>
      </c>
      <c r="D4945" t="s">
        <v>2058</v>
      </c>
      <c r="E4945" t="s">
        <v>2059</v>
      </c>
      <c r="F4945" t="s">
        <v>47</v>
      </c>
      <c r="G4945">
        <v>942.35</v>
      </c>
      <c r="H4945" t="s">
        <v>2060</v>
      </c>
      <c r="I4945" t="str">
        <f>VLOOKUP(B4945,Customers!A:G,7,FALSE)</f>
        <v>SME</v>
      </c>
      <c r="Q4945" t="str">
        <f>IF(COUNTIF(Customers!$A$2:$A$1001,B4945)&gt;0,"Valid","Invalid")</f>
        <v>Valid</v>
      </c>
      <c r="R4945" t="str">
        <f>IF(COUNTIF(Branches!$A$2:$A$11,F4945)&gt;0,"Valid","Invalid")</f>
        <v>Valid</v>
      </c>
    </row>
    <row r="4946" spans="1:18" x14ac:dyDescent="0.25">
      <c r="A4946" t="s">
        <v>7017</v>
      </c>
      <c r="B4946" t="s">
        <v>395</v>
      </c>
      <c r="C4946" s="8">
        <v>46260</v>
      </c>
      <c r="D4946" t="s">
        <v>2070</v>
      </c>
      <c r="E4946" t="s">
        <v>2059</v>
      </c>
      <c r="F4946" t="s">
        <v>45</v>
      </c>
      <c r="G4946">
        <v>903.92</v>
      </c>
      <c r="H4946" t="s">
        <v>2060</v>
      </c>
      <c r="I4946" t="str">
        <f>VLOOKUP(B4946,Customers!A:G,7,FALSE)</f>
        <v>Individual</v>
      </c>
      <c r="Q4946" t="str">
        <f>IF(COUNTIF(Customers!$A$2:$A$1001,B4946)&gt;0,"Valid","Invalid")</f>
        <v>Valid</v>
      </c>
      <c r="R4946" t="str">
        <f>IF(COUNTIF(Branches!$A$2:$A$11,F4946)&gt;0,"Valid","Invalid")</f>
        <v>Valid</v>
      </c>
    </row>
    <row r="4947" spans="1:18" x14ac:dyDescent="0.25">
      <c r="A4947" t="s">
        <v>7018</v>
      </c>
      <c r="B4947" t="s">
        <v>565</v>
      </c>
      <c r="C4947" s="8">
        <v>46195</v>
      </c>
      <c r="D4947" t="s">
        <v>2067</v>
      </c>
      <c r="E4947" t="s">
        <v>2059</v>
      </c>
      <c r="F4947" t="s">
        <v>11</v>
      </c>
      <c r="G4947">
        <v>2205.27</v>
      </c>
      <c r="H4947" t="s">
        <v>2107</v>
      </c>
      <c r="I4947" t="str">
        <f>VLOOKUP(B4947,Customers!A:G,7,FALSE)</f>
        <v>SME</v>
      </c>
      <c r="Q4947" t="str">
        <f>IF(COUNTIF(Customers!$A$2:$A$1001,B4947)&gt;0,"Valid","Invalid")</f>
        <v>Valid</v>
      </c>
      <c r="R4947" t="str">
        <f>IF(COUNTIF(Branches!$A$2:$A$11,F4947)&gt;0,"Valid","Invalid")</f>
        <v>Valid</v>
      </c>
    </row>
    <row r="4948" spans="1:18" x14ac:dyDescent="0.25">
      <c r="A4948" t="s">
        <v>7019</v>
      </c>
      <c r="B4948" t="s">
        <v>792</v>
      </c>
      <c r="C4948" s="8">
        <v>46067</v>
      </c>
      <c r="D4948" t="s">
        <v>2067</v>
      </c>
      <c r="E4948" t="s">
        <v>2076</v>
      </c>
      <c r="F4948" t="s">
        <v>39</v>
      </c>
      <c r="G4948">
        <v>1161.92</v>
      </c>
      <c r="H4948" t="s">
        <v>2060</v>
      </c>
      <c r="I4948" t="str">
        <f>VLOOKUP(B4948,Customers!A:G,7,FALSE)</f>
        <v>SME</v>
      </c>
      <c r="Q4948" t="str">
        <f>IF(COUNTIF(Customers!$A$2:$A$1001,B4948)&gt;0,"Valid","Invalid")</f>
        <v>Valid</v>
      </c>
      <c r="R4948" t="str">
        <f>IF(COUNTIF(Branches!$A$2:$A$11,F4948)&gt;0,"Valid","Invalid")</f>
        <v>Valid</v>
      </c>
    </row>
    <row r="4949" spans="1:18" x14ac:dyDescent="0.25">
      <c r="A4949" t="s">
        <v>7020</v>
      </c>
      <c r="B4949" t="s">
        <v>536</v>
      </c>
      <c r="C4949" s="8">
        <v>46110</v>
      </c>
      <c r="D4949" t="s">
        <v>2067</v>
      </c>
      <c r="E4949" t="s">
        <v>2063</v>
      </c>
      <c r="F4949" t="s">
        <v>53</v>
      </c>
      <c r="G4949">
        <v>370</v>
      </c>
      <c r="H4949" t="s">
        <v>2060</v>
      </c>
      <c r="I4949" t="str">
        <f>VLOOKUP(B4949,Customers!A:G,7,FALSE)</f>
        <v>Individual</v>
      </c>
      <c r="Q4949" t="str">
        <f>IF(COUNTIF(Customers!$A$2:$A$1001,B4949)&gt;0,"Valid","Invalid")</f>
        <v>Valid</v>
      </c>
      <c r="R4949" t="str">
        <f>IF(COUNTIF(Branches!$A$2:$A$11,F4949)&gt;0,"Valid","Invalid")</f>
        <v>Valid</v>
      </c>
    </row>
    <row r="4950" spans="1:18" x14ac:dyDescent="0.25">
      <c r="A4950" t="s">
        <v>7021</v>
      </c>
      <c r="B4950" t="s">
        <v>189</v>
      </c>
      <c r="C4950" s="8">
        <v>46165</v>
      </c>
      <c r="D4950" t="s">
        <v>2065</v>
      </c>
      <c r="E4950" t="s">
        <v>2059</v>
      </c>
      <c r="F4950" t="s">
        <v>35</v>
      </c>
      <c r="G4950">
        <v>831.85</v>
      </c>
      <c r="H4950" t="s">
        <v>2060</v>
      </c>
      <c r="I4950" t="str">
        <f>VLOOKUP(B4950,Customers!A:G,7,FALSE)</f>
        <v>Individual</v>
      </c>
      <c r="Q4950" t="str">
        <f>IF(COUNTIF(Customers!$A$2:$A$1001,B4950)&gt;0,"Valid","Invalid")</f>
        <v>Valid</v>
      </c>
      <c r="R4950" t="str">
        <f>IF(COUNTIF(Branches!$A$2:$A$11,F4950)&gt;0,"Valid","Invalid")</f>
        <v>Valid</v>
      </c>
    </row>
    <row r="4951" spans="1:18" x14ac:dyDescent="0.25">
      <c r="A4951" t="s">
        <v>7022</v>
      </c>
      <c r="B4951" t="s">
        <v>89</v>
      </c>
      <c r="C4951" s="8">
        <v>46117</v>
      </c>
      <c r="D4951" t="s">
        <v>2058</v>
      </c>
      <c r="E4951" t="s">
        <v>2063</v>
      </c>
      <c r="F4951" t="s">
        <v>29</v>
      </c>
      <c r="G4951">
        <v>261.07</v>
      </c>
      <c r="H4951" t="s">
        <v>2060</v>
      </c>
      <c r="I4951" t="str">
        <f>VLOOKUP(B4951,Customers!A:G,7,FALSE)</f>
        <v>SME</v>
      </c>
      <c r="Q4951" t="str">
        <f>IF(COUNTIF(Customers!$A$2:$A$1001,B4951)&gt;0,"Valid","Invalid")</f>
        <v>Valid</v>
      </c>
      <c r="R4951" t="str">
        <f>IF(COUNTIF(Branches!$A$2:$A$11,F4951)&gt;0,"Valid","Invalid")</f>
        <v>Valid</v>
      </c>
    </row>
    <row r="4952" spans="1:18" x14ac:dyDescent="0.25">
      <c r="A4952" t="s">
        <v>7023</v>
      </c>
      <c r="B4952" t="s">
        <v>185</v>
      </c>
      <c r="C4952" s="8">
        <v>46039</v>
      </c>
      <c r="D4952" t="s">
        <v>2067</v>
      </c>
      <c r="E4952" t="s">
        <v>2059</v>
      </c>
      <c r="F4952" t="s">
        <v>21</v>
      </c>
      <c r="G4952">
        <v>976.15</v>
      </c>
      <c r="H4952" t="s">
        <v>2060</v>
      </c>
      <c r="I4952" t="str">
        <f>VLOOKUP(B4952,Customers!A:G,7,FALSE)</f>
        <v>SME</v>
      </c>
      <c r="Q4952" t="str">
        <f>IF(COUNTIF(Customers!$A$2:$A$1001,B4952)&gt;0,"Valid","Invalid")</f>
        <v>Valid</v>
      </c>
      <c r="R4952" t="str">
        <f>IF(COUNTIF(Branches!$A$2:$A$11,F4952)&gt;0,"Valid","Invalid")</f>
        <v>Valid</v>
      </c>
    </row>
    <row r="4953" spans="1:18" x14ac:dyDescent="0.25">
      <c r="A4953" t="s">
        <v>7024</v>
      </c>
      <c r="B4953" t="s">
        <v>541</v>
      </c>
      <c r="C4953" s="8">
        <v>46162</v>
      </c>
      <c r="D4953" t="s">
        <v>2065</v>
      </c>
      <c r="E4953" t="s">
        <v>2063</v>
      </c>
      <c r="F4953" t="s">
        <v>39</v>
      </c>
      <c r="G4953">
        <v>351.51</v>
      </c>
      <c r="H4953" t="s">
        <v>2060</v>
      </c>
      <c r="I4953" t="str">
        <f>VLOOKUP(B4953,Customers!A:G,7,FALSE)</f>
        <v>Individual</v>
      </c>
      <c r="Q4953" t="str">
        <f>IF(COUNTIF(Customers!$A$2:$A$1001,B4953)&gt;0,"Valid","Invalid")</f>
        <v>Valid</v>
      </c>
      <c r="R4953" t="str">
        <f>IF(COUNTIF(Branches!$A$2:$A$11,F4953)&gt;0,"Valid","Invalid")</f>
        <v>Valid</v>
      </c>
    </row>
    <row r="4954" spans="1:18" x14ac:dyDescent="0.25">
      <c r="A4954" t="s">
        <v>7025</v>
      </c>
      <c r="B4954" t="s">
        <v>908</v>
      </c>
      <c r="C4954" s="8">
        <v>46044</v>
      </c>
      <c r="D4954" t="s">
        <v>2067</v>
      </c>
      <c r="E4954" t="s">
        <v>2063</v>
      </c>
      <c r="F4954" t="s">
        <v>39</v>
      </c>
      <c r="G4954">
        <v>2055.54</v>
      </c>
      <c r="H4954" t="s">
        <v>2060</v>
      </c>
      <c r="I4954" t="str">
        <f>VLOOKUP(B4954,Customers!A:G,7,FALSE)</f>
        <v>Individual</v>
      </c>
      <c r="Q4954" t="str">
        <f>IF(COUNTIF(Customers!$A$2:$A$1001,B4954)&gt;0,"Valid","Invalid")</f>
        <v>Valid</v>
      </c>
      <c r="R4954" t="str">
        <f>IF(COUNTIF(Branches!$A$2:$A$11,F4954)&gt;0,"Valid","Invalid")</f>
        <v>Valid</v>
      </c>
    </row>
    <row r="4955" spans="1:18" x14ac:dyDescent="0.25">
      <c r="A4955" t="s">
        <v>7026</v>
      </c>
      <c r="B4955" t="s">
        <v>488</v>
      </c>
      <c r="C4955" s="8">
        <v>46173</v>
      </c>
      <c r="D4955" t="s">
        <v>2065</v>
      </c>
      <c r="E4955" t="s">
        <v>2063</v>
      </c>
      <c r="F4955" t="s">
        <v>53</v>
      </c>
      <c r="G4955">
        <v>487.73</v>
      </c>
      <c r="H4955" t="s">
        <v>2060</v>
      </c>
      <c r="I4955" t="str">
        <f>VLOOKUP(B4955,Customers!A:G,7,FALSE)</f>
        <v>SME</v>
      </c>
      <c r="Q4955" t="str">
        <f>IF(COUNTIF(Customers!$A$2:$A$1001,B4955)&gt;0,"Valid","Invalid")</f>
        <v>Valid</v>
      </c>
      <c r="R4955" t="str">
        <f>IF(COUNTIF(Branches!$A$2:$A$11,F4955)&gt;0,"Valid","Invalid")</f>
        <v>Valid</v>
      </c>
    </row>
    <row r="4956" spans="1:18" x14ac:dyDescent="0.25">
      <c r="A4956" t="s">
        <v>7027</v>
      </c>
      <c r="B4956" t="s">
        <v>256</v>
      </c>
      <c r="C4956" s="8">
        <v>46112</v>
      </c>
      <c r="D4956" t="s">
        <v>2067</v>
      </c>
      <c r="E4956" t="s">
        <v>2059</v>
      </c>
      <c r="F4956" t="s">
        <v>29</v>
      </c>
      <c r="G4956">
        <v>356.13</v>
      </c>
      <c r="H4956" t="s">
        <v>2060</v>
      </c>
      <c r="I4956" t="str">
        <f>VLOOKUP(B4956,Customers!A:G,7,FALSE)</f>
        <v>SME</v>
      </c>
      <c r="Q4956" t="str">
        <f>IF(COUNTIF(Customers!$A$2:$A$1001,B4956)&gt;0,"Valid","Invalid")</f>
        <v>Valid</v>
      </c>
      <c r="R4956" t="str">
        <f>IF(COUNTIF(Branches!$A$2:$A$11,F4956)&gt;0,"Valid","Invalid")</f>
        <v>Valid</v>
      </c>
    </row>
    <row r="4957" spans="1:18" x14ac:dyDescent="0.25">
      <c r="A4957" t="s">
        <v>7028</v>
      </c>
      <c r="B4957" t="s">
        <v>663</v>
      </c>
      <c r="C4957" s="8">
        <v>46100</v>
      </c>
      <c r="D4957" t="s">
        <v>2065</v>
      </c>
      <c r="E4957" t="s">
        <v>2068</v>
      </c>
      <c r="F4957" t="s">
        <v>39</v>
      </c>
      <c r="G4957">
        <v>725.72</v>
      </c>
      <c r="H4957" t="s">
        <v>2060</v>
      </c>
      <c r="I4957" t="str">
        <f>VLOOKUP(B4957,Customers!A:G,7,FALSE)</f>
        <v>SME</v>
      </c>
      <c r="Q4957" t="str">
        <f>IF(COUNTIF(Customers!$A$2:$A$1001,B4957)&gt;0,"Valid","Invalid")</f>
        <v>Valid</v>
      </c>
      <c r="R4957" t="str">
        <f>IF(COUNTIF(Branches!$A$2:$A$11,F4957)&gt;0,"Valid","Invalid")</f>
        <v>Valid</v>
      </c>
    </row>
    <row r="4958" spans="1:18" x14ac:dyDescent="0.25">
      <c r="A4958" t="s">
        <v>7029</v>
      </c>
      <c r="B4958" t="s">
        <v>838</v>
      </c>
      <c r="C4958" s="8">
        <v>46162</v>
      </c>
      <c r="D4958" t="s">
        <v>2065</v>
      </c>
      <c r="E4958" t="s">
        <v>2063</v>
      </c>
      <c r="F4958" t="s">
        <v>45</v>
      </c>
      <c r="G4958">
        <v>1170.74</v>
      </c>
      <c r="H4958" t="s">
        <v>2060</v>
      </c>
      <c r="I4958" t="str">
        <f>VLOOKUP(B4958,Customers!A:G,7,FALSE)</f>
        <v>Individual</v>
      </c>
      <c r="Q4958" t="str">
        <f>IF(COUNTIF(Customers!$A$2:$A$1001,B4958)&gt;0,"Valid","Invalid")</f>
        <v>Valid</v>
      </c>
      <c r="R4958" t="str">
        <f>IF(COUNTIF(Branches!$A$2:$A$11,F4958)&gt;0,"Valid","Invalid")</f>
        <v>Valid</v>
      </c>
    </row>
    <row r="4959" spans="1:18" x14ac:dyDescent="0.25">
      <c r="A4959" t="s">
        <v>7030</v>
      </c>
      <c r="B4959" t="s">
        <v>315</v>
      </c>
      <c r="C4959" s="8">
        <v>46136</v>
      </c>
      <c r="D4959" t="s">
        <v>2062</v>
      </c>
      <c r="E4959" t="s">
        <v>2059</v>
      </c>
      <c r="F4959" t="s">
        <v>29</v>
      </c>
      <c r="G4959">
        <v>242.9</v>
      </c>
      <c r="H4959" t="s">
        <v>2060</v>
      </c>
      <c r="I4959" t="str">
        <f>VLOOKUP(B4959,Customers!A:G,7,FALSE)</f>
        <v>SME</v>
      </c>
      <c r="Q4959" t="str">
        <f>IF(COUNTIF(Customers!$A$2:$A$1001,B4959)&gt;0,"Valid","Invalid")</f>
        <v>Valid</v>
      </c>
      <c r="R4959" t="str">
        <f>IF(COUNTIF(Branches!$A$2:$A$11,F4959)&gt;0,"Valid","Invalid")</f>
        <v>Valid</v>
      </c>
    </row>
    <row r="4960" spans="1:18" x14ac:dyDescent="0.25">
      <c r="A4960" t="s">
        <v>7031</v>
      </c>
      <c r="B4960" t="s">
        <v>490</v>
      </c>
      <c r="C4960" s="8">
        <v>46090</v>
      </c>
      <c r="D4960" t="s">
        <v>2062</v>
      </c>
      <c r="E4960" t="s">
        <v>2063</v>
      </c>
      <c r="F4960" t="s">
        <v>53</v>
      </c>
      <c r="G4960">
        <v>482.38</v>
      </c>
      <c r="H4960" t="s">
        <v>2060</v>
      </c>
      <c r="I4960" t="str">
        <f>VLOOKUP(B4960,Customers!A:G,7,FALSE)</f>
        <v>Individual</v>
      </c>
      <c r="Q4960" t="str">
        <f>IF(COUNTIF(Customers!$A$2:$A$1001,B4960)&gt;0,"Valid","Invalid")</f>
        <v>Valid</v>
      </c>
      <c r="R4960" t="str">
        <f>IF(COUNTIF(Branches!$A$2:$A$11,F4960)&gt;0,"Valid","Invalid")</f>
        <v>Valid</v>
      </c>
    </row>
    <row r="4961" spans="1:18" x14ac:dyDescent="0.25">
      <c r="A4961" t="s">
        <v>7032</v>
      </c>
      <c r="B4961" t="s">
        <v>466</v>
      </c>
      <c r="C4961" s="8">
        <v>46132</v>
      </c>
      <c r="D4961" t="s">
        <v>2065</v>
      </c>
      <c r="E4961" t="s">
        <v>2068</v>
      </c>
      <c r="F4961" t="s">
        <v>47</v>
      </c>
      <c r="G4961">
        <v>902.49</v>
      </c>
      <c r="H4961" t="s">
        <v>2060</v>
      </c>
      <c r="I4961" t="str">
        <f>VLOOKUP(B4961,Customers!A:G,7,FALSE)</f>
        <v>Corporate</v>
      </c>
      <c r="Q4961" t="str">
        <f>IF(COUNTIF(Customers!$A$2:$A$1001,B4961)&gt;0,"Valid","Invalid")</f>
        <v>Valid</v>
      </c>
      <c r="R4961" t="str">
        <f>IF(COUNTIF(Branches!$A$2:$A$11,F4961)&gt;0,"Valid","Invalid")</f>
        <v>Valid</v>
      </c>
    </row>
    <row r="4962" spans="1:18" x14ac:dyDescent="0.25">
      <c r="A4962" t="s">
        <v>7033</v>
      </c>
      <c r="B4962" t="s">
        <v>119</v>
      </c>
      <c r="C4962" s="8">
        <v>46201</v>
      </c>
      <c r="D4962" t="s">
        <v>2058</v>
      </c>
      <c r="E4962" t="s">
        <v>2063</v>
      </c>
      <c r="F4962" t="s">
        <v>39</v>
      </c>
      <c r="G4962">
        <v>3097.56</v>
      </c>
      <c r="H4962" t="s">
        <v>2060</v>
      </c>
      <c r="I4962" t="str">
        <f>VLOOKUP(B4962,Customers!A:G,7,FALSE)</f>
        <v>Corporate</v>
      </c>
      <c r="Q4962" t="str">
        <f>IF(COUNTIF(Customers!$A$2:$A$1001,B4962)&gt;0,"Valid","Invalid")</f>
        <v>Valid</v>
      </c>
      <c r="R4962" t="str">
        <f>IF(COUNTIF(Branches!$A$2:$A$11,F4962)&gt;0,"Valid","Invalid")</f>
        <v>Valid</v>
      </c>
    </row>
    <row r="4963" spans="1:18" x14ac:dyDescent="0.25">
      <c r="A4963" t="s">
        <v>7034</v>
      </c>
      <c r="B4963" t="s">
        <v>1000</v>
      </c>
      <c r="C4963" s="8">
        <v>46147</v>
      </c>
      <c r="D4963" t="s">
        <v>2065</v>
      </c>
      <c r="E4963" t="s">
        <v>2063</v>
      </c>
      <c r="F4963" t="s">
        <v>45</v>
      </c>
      <c r="G4963">
        <v>64.8</v>
      </c>
      <c r="H4963" t="s">
        <v>2060</v>
      </c>
      <c r="I4963" t="str">
        <f>VLOOKUP(B4963,Customers!A:G,7,FALSE)</f>
        <v>SME</v>
      </c>
      <c r="Q4963" t="str">
        <f>IF(COUNTIF(Customers!$A$2:$A$1001,B4963)&gt;0,"Valid","Invalid")</f>
        <v>Valid</v>
      </c>
      <c r="R4963" t="str">
        <f>IF(COUNTIF(Branches!$A$2:$A$11,F4963)&gt;0,"Valid","Invalid")</f>
        <v>Valid</v>
      </c>
    </row>
    <row r="4964" spans="1:18" x14ac:dyDescent="0.25">
      <c r="A4964" t="s">
        <v>7035</v>
      </c>
      <c r="B4964" t="s">
        <v>255</v>
      </c>
      <c r="C4964" s="8">
        <v>46163</v>
      </c>
      <c r="D4964" t="s">
        <v>2058</v>
      </c>
      <c r="E4964" t="s">
        <v>2063</v>
      </c>
      <c r="F4964" t="s">
        <v>39</v>
      </c>
      <c r="G4964">
        <v>1502.92</v>
      </c>
      <c r="H4964" t="s">
        <v>2060</v>
      </c>
      <c r="I4964" t="str">
        <f>VLOOKUP(B4964,Customers!A:G,7,FALSE)</f>
        <v>Individual</v>
      </c>
      <c r="Q4964" t="str">
        <f>IF(COUNTIF(Customers!$A$2:$A$1001,B4964)&gt;0,"Valid","Invalid")</f>
        <v>Valid</v>
      </c>
      <c r="R4964" t="str">
        <f>IF(COUNTIF(Branches!$A$2:$A$11,F4964)&gt;0,"Valid","Invalid")</f>
        <v>Valid</v>
      </c>
    </row>
    <row r="4965" spans="1:18" x14ac:dyDescent="0.25">
      <c r="A4965" t="s">
        <v>7036</v>
      </c>
      <c r="B4965" t="s">
        <v>776</v>
      </c>
      <c r="C4965" s="8">
        <v>46079</v>
      </c>
      <c r="D4965" t="s">
        <v>2067</v>
      </c>
      <c r="E4965" t="s">
        <v>2073</v>
      </c>
      <c r="F4965" t="s">
        <v>11</v>
      </c>
      <c r="G4965">
        <v>553.6</v>
      </c>
      <c r="H4965" t="s">
        <v>2060</v>
      </c>
      <c r="I4965" t="str">
        <f>VLOOKUP(B4965,Customers!A:G,7,FALSE)</f>
        <v>Individual</v>
      </c>
      <c r="Q4965" t="str">
        <f>IF(COUNTIF(Customers!$A$2:$A$1001,B4965)&gt;0,"Valid","Invalid")</f>
        <v>Valid</v>
      </c>
      <c r="R4965" t="str">
        <f>IF(COUNTIF(Branches!$A$2:$A$11,F4965)&gt;0,"Valid","Invalid")</f>
        <v>Valid</v>
      </c>
    </row>
    <row r="4966" spans="1:18" x14ac:dyDescent="0.25">
      <c r="A4966" t="s">
        <v>7037</v>
      </c>
      <c r="B4966" t="s">
        <v>820</v>
      </c>
      <c r="C4966" s="8">
        <v>46077</v>
      </c>
      <c r="D4966" t="s">
        <v>2065</v>
      </c>
      <c r="E4966" t="s">
        <v>2059</v>
      </c>
      <c r="F4966" t="s">
        <v>29</v>
      </c>
      <c r="G4966">
        <v>495.41</v>
      </c>
      <c r="H4966" t="s">
        <v>2060</v>
      </c>
      <c r="I4966" t="str">
        <f>VLOOKUP(B4966,Customers!A:G,7,FALSE)</f>
        <v>Individual</v>
      </c>
      <c r="Q4966" t="str">
        <f>IF(COUNTIF(Customers!$A$2:$A$1001,B4966)&gt;0,"Valid","Invalid")</f>
        <v>Valid</v>
      </c>
      <c r="R4966" t="str">
        <f>IF(COUNTIF(Branches!$A$2:$A$11,F4966)&gt;0,"Valid","Invalid")</f>
        <v>Valid</v>
      </c>
    </row>
    <row r="4967" spans="1:18" x14ac:dyDescent="0.25">
      <c r="A4967" t="s">
        <v>7038</v>
      </c>
      <c r="B4967" t="s">
        <v>565</v>
      </c>
      <c r="C4967" s="8">
        <v>46104</v>
      </c>
      <c r="D4967" t="s">
        <v>2062</v>
      </c>
      <c r="E4967" t="s">
        <v>2063</v>
      </c>
      <c r="F4967" t="s">
        <v>45</v>
      </c>
      <c r="G4967">
        <v>411.12</v>
      </c>
      <c r="H4967" t="s">
        <v>2060</v>
      </c>
      <c r="I4967" t="str">
        <f>VLOOKUP(B4967,Customers!A:G,7,FALSE)</f>
        <v>SME</v>
      </c>
      <c r="Q4967" t="str">
        <f>IF(COUNTIF(Customers!$A$2:$A$1001,B4967)&gt;0,"Valid","Invalid")</f>
        <v>Valid</v>
      </c>
      <c r="R4967" t="str">
        <f>IF(COUNTIF(Branches!$A$2:$A$11,F4967)&gt;0,"Valid","Invalid")</f>
        <v>Valid</v>
      </c>
    </row>
    <row r="4968" spans="1:18" x14ac:dyDescent="0.25">
      <c r="A4968" t="s">
        <v>7039</v>
      </c>
      <c r="B4968" t="s">
        <v>442</v>
      </c>
      <c r="C4968" s="8">
        <v>46129</v>
      </c>
      <c r="D4968" t="s">
        <v>2065</v>
      </c>
      <c r="E4968" t="s">
        <v>2063</v>
      </c>
      <c r="F4968" t="s">
        <v>11</v>
      </c>
      <c r="G4968">
        <v>564.59</v>
      </c>
      <c r="H4968" t="s">
        <v>2060</v>
      </c>
      <c r="I4968" t="str">
        <f>VLOOKUP(B4968,Customers!A:G,7,FALSE)</f>
        <v>Corporate</v>
      </c>
      <c r="Q4968" t="str">
        <f>IF(COUNTIF(Customers!$A$2:$A$1001,B4968)&gt;0,"Valid","Invalid")</f>
        <v>Valid</v>
      </c>
      <c r="R4968" t="str">
        <f>IF(COUNTIF(Branches!$A$2:$A$11,F4968)&gt;0,"Valid","Invalid")</f>
        <v>Valid</v>
      </c>
    </row>
    <row r="4969" spans="1:18" x14ac:dyDescent="0.25">
      <c r="A4969" t="s">
        <v>7040</v>
      </c>
      <c r="B4969" t="s">
        <v>328</v>
      </c>
      <c r="C4969" s="8">
        <v>46178</v>
      </c>
      <c r="D4969" t="s">
        <v>2065</v>
      </c>
      <c r="E4969" t="s">
        <v>2063</v>
      </c>
      <c r="F4969" t="s">
        <v>29</v>
      </c>
      <c r="G4969">
        <v>1511.44</v>
      </c>
      <c r="H4969" t="s">
        <v>2060</v>
      </c>
      <c r="I4969" t="str">
        <f>VLOOKUP(B4969,Customers!A:G,7,FALSE)</f>
        <v>Individual</v>
      </c>
      <c r="Q4969" t="str">
        <f>IF(COUNTIF(Customers!$A$2:$A$1001,B4969)&gt;0,"Valid","Invalid")</f>
        <v>Valid</v>
      </c>
      <c r="R4969" t="str">
        <f>IF(COUNTIF(Branches!$A$2:$A$11,F4969)&gt;0,"Valid","Invalid")</f>
        <v>Valid</v>
      </c>
    </row>
    <row r="4970" spans="1:18" x14ac:dyDescent="0.25">
      <c r="A4970" t="s">
        <v>7041</v>
      </c>
      <c r="B4970" t="s">
        <v>458</v>
      </c>
      <c r="C4970" s="8">
        <v>46124</v>
      </c>
      <c r="D4970" t="s">
        <v>2062</v>
      </c>
      <c r="E4970" t="s">
        <v>2063</v>
      </c>
      <c r="F4970" t="s">
        <v>27</v>
      </c>
      <c r="G4970">
        <v>474.95</v>
      </c>
      <c r="H4970" t="s">
        <v>2107</v>
      </c>
      <c r="I4970" t="str">
        <f>VLOOKUP(B4970,Customers!A:G,7,FALSE)</f>
        <v>Individual</v>
      </c>
      <c r="Q4970" t="str">
        <f>IF(COUNTIF(Customers!$A$2:$A$1001,B4970)&gt;0,"Valid","Invalid")</f>
        <v>Valid</v>
      </c>
      <c r="R4970" t="str">
        <f>IF(COUNTIF(Branches!$A$2:$A$11,F4970)&gt;0,"Valid","Invalid")</f>
        <v>Valid</v>
      </c>
    </row>
    <row r="4971" spans="1:18" x14ac:dyDescent="0.25">
      <c r="A4971" t="s">
        <v>7042</v>
      </c>
      <c r="B4971" t="s">
        <v>377</v>
      </c>
      <c r="C4971" s="8">
        <v>46255</v>
      </c>
      <c r="D4971" t="s">
        <v>2058</v>
      </c>
      <c r="E4971" t="s">
        <v>2068</v>
      </c>
      <c r="F4971" t="s">
        <v>47</v>
      </c>
      <c r="G4971">
        <v>4266.68</v>
      </c>
      <c r="H4971" t="s">
        <v>2060</v>
      </c>
      <c r="I4971" t="str">
        <f>VLOOKUP(B4971,Customers!A:G,7,FALSE)</f>
        <v>Individual</v>
      </c>
      <c r="Q4971" t="str">
        <f>IF(COUNTIF(Customers!$A$2:$A$1001,B4971)&gt;0,"Valid","Invalid")</f>
        <v>Valid</v>
      </c>
      <c r="R4971" t="str">
        <f>IF(COUNTIF(Branches!$A$2:$A$11,F4971)&gt;0,"Valid","Invalid")</f>
        <v>Valid</v>
      </c>
    </row>
    <row r="4972" spans="1:18" x14ac:dyDescent="0.25">
      <c r="A4972" t="s">
        <v>7043</v>
      </c>
      <c r="B4972" t="s">
        <v>815</v>
      </c>
      <c r="C4972" s="8">
        <v>46194</v>
      </c>
      <c r="D4972" t="s">
        <v>2058</v>
      </c>
      <c r="E4972" t="s">
        <v>2059</v>
      </c>
      <c r="F4972" t="s">
        <v>45</v>
      </c>
      <c r="G4972">
        <v>1516.05</v>
      </c>
      <c r="H4972" t="s">
        <v>2060</v>
      </c>
      <c r="I4972" t="str">
        <f>VLOOKUP(B4972,Customers!A:G,7,FALSE)</f>
        <v>SME</v>
      </c>
      <c r="Q4972" t="str">
        <f>IF(COUNTIF(Customers!$A$2:$A$1001,B4972)&gt;0,"Valid","Invalid")</f>
        <v>Valid</v>
      </c>
      <c r="R4972" t="str">
        <f>IF(COUNTIF(Branches!$A$2:$A$11,F4972)&gt;0,"Valid","Invalid")</f>
        <v>Valid</v>
      </c>
    </row>
    <row r="4973" spans="1:18" x14ac:dyDescent="0.25">
      <c r="A4973" t="s">
        <v>7044</v>
      </c>
      <c r="B4973" t="s">
        <v>749</v>
      </c>
      <c r="C4973" s="8">
        <v>46169</v>
      </c>
      <c r="D4973" t="s">
        <v>2067</v>
      </c>
      <c r="E4973" t="s">
        <v>2076</v>
      </c>
      <c r="F4973" t="s">
        <v>29</v>
      </c>
      <c r="G4973">
        <v>990.26</v>
      </c>
      <c r="H4973" t="s">
        <v>2060</v>
      </c>
      <c r="I4973" t="str">
        <f>VLOOKUP(B4973,Customers!A:G,7,FALSE)</f>
        <v>Individual</v>
      </c>
      <c r="Q4973" t="str">
        <f>IF(COUNTIF(Customers!$A$2:$A$1001,B4973)&gt;0,"Valid","Invalid")</f>
        <v>Valid</v>
      </c>
      <c r="R4973" t="str">
        <f>IF(COUNTIF(Branches!$A$2:$A$11,F4973)&gt;0,"Valid","Invalid")</f>
        <v>Valid</v>
      </c>
    </row>
    <row r="4974" spans="1:18" x14ac:dyDescent="0.25">
      <c r="A4974" t="s">
        <v>7045</v>
      </c>
      <c r="B4974" t="s">
        <v>708</v>
      </c>
      <c r="C4974" s="8">
        <v>46196</v>
      </c>
      <c r="D4974" t="s">
        <v>2058</v>
      </c>
      <c r="E4974" t="s">
        <v>2063</v>
      </c>
      <c r="F4974" t="s">
        <v>53</v>
      </c>
      <c r="G4974">
        <v>688.11</v>
      </c>
      <c r="H4974" t="s">
        <v>2060</v>
      </c>
      <c r="I4974" t="str">
        <f>VLOOKUP(B4974,Customers!A:G,7,FALSE)</f>
        <v>Student</v>
      </c>
      <c r="Q4974" t="str">
        <f>IF(COUNTIF(Customers!$A$2:$A$1001,B4974)&gt;0,"Valid","Invalid")</f>
        <v>Valid</v>
      </c>
      <c r="R4974" t="str">
        <f>IF(COUNTIF(Branches!$A$2:$A$11,F4974)&gt;0,"Valid","Invalid")</f>
        <v>Valid</v>
      </c>
    </row>
    <row r="4975" spans="1:18" x14ac:dyDescent="0.25">
      <c r="A4975" t="s">
        <v>7046</v>
      </c>
      <c r="B4975" t="s">
        <v>883</v>
      </c>
      <c r="C4975" s="8">
        <v>46133</v>
      </c>
      <c r="D4975" t="s">
        <v>2067</v>
      </c>
      <c r="E4975" t="s">
        <v>2059</v>
      </c>
      <c r="F4975" t="s">
        <v>47</v>
      </c>
      <c r="G4975">
        <v>2670.05</v>
      </c>
      <c r="H4975" t="s">
        <v>2115</v>
      </c>
      <c r="I4975" t="str">
        <f>VLOOKUP(B4975,Customers!A:G,7,FALSE)</f>
        <v>SME</v>
      </c>
      <c r="Q4975" t="str">
        <f>IF(COUNTIF(Customers!$A$2:$A$1001,B4975)&gt;0,"Valid","Invalid")</f>
        <v>Valid</v>
      </c>
      <c r="R4975" t="str">
        <f>IF(COUNTIF(Branches!$A$2:$A$11,F4975)&gt;0,"Valid","Invalid")</f>
        <v>Valid</v>
      </c>
    </row>
    <row r="4976" spans="1:18" x14ac:dyDescent="0.25">
      <c r="A4976" t="s">
        <v>7047</v>
      </c>
      <c r="B4976" t="s">
        <v>1025</v>
      </c>
      <c r="C4976" s="8">
        <v>46129</v>
      </c>
      <c r="D4976" t="s">
        <v>2067</v>
      </c>
      <c r="E4976" t="s">
        <v>2063</v>
      </c>
      <c r="F4976" t="s">
        <v>39</v>
      </c>
      <c r="G4976">
        <v>3090.29</v>
      </c>
      <c r="H4976" t="s">
        <v>2060</v>
      </c>
      <c r="I4976" t="str">
        <f>VLOOKUP(B4976,Customers!A:G,7,FALSE)</f>
        <v>Individual</v>
      </c>
      <c r="Q4976" t="str">
        <f>IF(COUNTIF(Customers!$A$2:$A$1001,B4976)&gt;0,"Valid","Invalid")</f>
        <v>Valid</v>
      </c>
      <c r="R4976" t="str">
        <f>IF(COUNTIF(Branches!$A$2:$A$11,F4976)&gt;0,"Valid","Invalid")</f>
        <v>Valid</v>
      </c>
    </row>
    <row r="4977" spans="1:18" x14ac:dyDescent="0.25">
      <c r="A4977" t="s">
        <v>7048</v>
      </c>
      <c r="B4977" t="s">
        <v>997</v>
      </c>
      <c r="C4977" s="8">
        <v>46124</v>
      </c>
      <c r="D4977" t="s">
        <v>2058</v>
      </c>
      <c r="E4977" t="s">
        <v>2063</v>
      </c>
      <c r="F4977" t="s">
        <v>27</v>
      </c>
      <c r="G4977">
        <v>254.33</v>
      </c>
      <c r="H4977" t="s">
        <v>2060</v>
      </c>
      <c r="I4977" t="str">
        <f>VLOOKUP(B4977,Customers!A:G,7,FALSE)</f>
        <v>Individual</v>
      </c>
      <c r="Q4977" t="str">
        <f>IF(COUNTIF(Customers!$A$2:$A$1001,B4977)&gt;0,"Valid","Invalid")</f>
        <v>Valid</v>
      </c>
      <c r="R4977" t="str">
        <f>IF(COUNTIF(Branches!$A$2:$A$11,F4977)&gt;0,"Valid","Invalid")</f>
        <v>Valid</v>
      </c>
    </row>
    <row r="4978" spans="1:18" x14ac:dyDescent="0.25">
      <c r="A4978" t="s">
        <v>7049</v>
      </c>
      <c r="B4978" t="s">
        <v>457</v>
      </c>
      <c r="C4978" s="8">
        <v>46260</v>
      </c>
      <c r="D4978" t="s">
        <v>2058</v>
      </c>
      <c r="E4978" t="s">
        <v>2076</v>
      </c>
      <c r="F4978" t="s">
        <v>45</v>
      </c>
      <c r="G4978">
        <v>402.66</v>
      </c>
      <c r="H4978" t="s">
        <v>2115</v>
      </c>
      <c r="I4978" t="str">
        <f>VLOOKUP(B4978,Customers!A:G,7,FALSE)</f>
        <v>SME</v>
      </c>
      <c r="Q4978" t="str">
        <f>IF(COUNTIF(Customers!$A$2:$A$1001,B4978)&gt;0,"Valid","Invalid")</f>
        <v>Valid</v>
      </c>
      <c r="R4978" t="str">
        <f>IF(COUNTIF(Branches!$A$2:$A$11,F4978)&gt;0,"Valid","Invalid")</f>
        <v>Valid</v>
      </c>
    </row>
    <row r="4979" spans="1:18" x14ac:dyDescent="0.25">
      <c r="A4979" t="s">
        <v>7050</v>
      </c>
      <c r="B4979" t="s">
        <v>947</v>
      </c>
      <c r="C4979" s="8">
        <v>46025</v>
      </c>
      <c r="D4979" t="s">
        <v>2058</v>
      </c>
      <c r="E4979" t="s">
        <v>2063</v>
      </c>
      <c r="F4979" t="s">
        <v>53</v>
      </c>
      <c r="G4979">
        <v>1532.46</v>
      </c>
      <c r="H4979" t="s">
        <v>2060</v>
      </c>
      <c r="I4979" t="str">
        <f>VLOOKUP(B4979,Customers!A:G,7,FALSE)</f>
        <v>Individual</v>
      </c>
      <c r="Q4979" t="str">
        <f>IF(COUNTIF(Customers!$A$2:$A$1001,B4979)&gt;0,"Valid","Invalid")</f>
        <v>Valid</v>
      </c>
      <c r="R4979" t="str">
        <f>IF(COUNTIF(Branches!$A$2:$A$11,F4979)&gt;0,"Valid","Invalid")</f>
        <v>Valid</v>
      </c>
    </row>
    <row r="4980" spans="1:18" x14ac:dyDescent="0.25">
      <c r="A4980" t="s">
        <v>7051</v>
      </c>
      <c r="B4980" t="s">
        <v>244</v>
      </c>
      <c r="C4980" s="8">
        <v>46233</v>
      </c>
      <c r="D4980" t="s">
        <v>2062</v>
      </c>
      <c r="E4980" t="s">
        <v>2076</v>
      </c>
      <c r="F4980" t="s">
        <v>29</v>
      </c>
      <c r="G4980">
        <v>2072.85</v>
      </c>
      <c r="H4980" t="s">
        <v>2060</v>
      </c>
      <c r="I4980" t="str">
        <f>VLOOKUP(B4980,Customers!A:G,7,FALSE)</f>
        <v>Student</v>
      </c>
      <c r="Q4980" t="str">
        <f>IF(COUNTIF(Customers!$A$2:$A$1001,B4980)&gt;0,"Valid","Invalid")</f>
        <v>Valid</v>
      </c>
      <c r="R4980" t="str">
        <f>IF(COUNTIF(Branches!$A$2:$A$11,F4980)&gt;0,"Valid","Invalid")</f>
        <v>Valid</v>
      </c>
    </row>
    <row r="4981" spans="1:18" x14ac:dyDescent="0.25">
      <c r="A4981" t="s">
        <v>7052</v>
      </c>
      <c r="B4981" t="s">
        <v>724</v>
      </c>
      <c r="C4981" s="8">
        <v>46170</v>
      </c>
      <c r="D4981" t="s">
        <v>2067</v>
      </c>
      <c r="E4981" t="s">
        <v>2068</v>
      </c>
      <c r="F4981" t="s">
        <v>47</v>
      </c>
      <c r="G4981">
        <v>601.64</v>
      </c>
      <c r="H4981" t="s">
        <v>2060</v>
      </c>
      <c r="I4981" t="str">
        <f>VLOOKUP(B4981,Customers!A:G,7,FALSE)</f>
        <v>SME</v>
      </c>
      <c r="Q4981" t="str">
        <f>IF(COUNTIF(Customers!$A$2:$A$1001,B4981)&gt;0,"Valid","Invalid")</f>
        <v>Valid</v>
      </c>
      <c r="R4981" t="str">
        <f>IF(COUNTIF(Branches!$A$2:$A$11,F4981)&gt;0,"Valid","Invalid")</f>
        <v>Valid</v>
      </c>
    </row>
    <row r="4982" spans="1:18" x14ac:dyDescent="0.25">
      <c r="A4982" t="s">
        <v>7053</v>
      </c>
      <c r="B4982" t="s">
        <v>734</v>
      </c>
      <c r="C4982" s="8">
        <v>46047</v>
      </c>
      <c r="D4982" t="s">
        <v>2067</v>
      </c>
      <c r="E4982" t="s">
        <v>2063</v>
      </c>
      <c r="F4982" t="s">
        <v>16</v>
      </c>
      <c r="G4982">
        <v>386.66</v>
      </c>
      <c r="H4982" t="s">
        <v>2060</v>
      </c>
      <c r="I4982" t="str">
        <f>VLOOKUP(B4982,Customers!A:G,7,FALSE)</f>
        <v>Individual</v>
      </c>
      <c r="Q4982" t="str">
        <f>IF(COUNTIF(Customers!$A$2:$A$1001,B4982)&gt;0,"Valid","Invalid")</f>
        <v>Valid</v>
      </c>
      <c r="R4982" t="str">
        <f>IF(COUNTIF(Branches!$A$2:$A$11,F4982)&gt;0,"Valid","Invalid")</f>
        <v>Valid</v>
      </c>
    </row>
    <row r="4983" spans="1:18" x14ac:dyDescent="0.25">
      <c r="A4983" t="s">
        <v>7054</v>
      </c>
      <c r="B4983" t="s">
        <v>303</v>
      </c>
      <c r="C4983" s="8">
        <v>46097</v>
      </c>
      <c r="D4983" t="s">
        <v>2067</v>
      </c>
      <c r="E4983" t="s">
        <v>2068</v>
      </c>
      <c r="F4983" t="s">
        <v>11</v>
      </c>
      <c r="G4983">
        <v>878.85</v>
      </c>
      <c r="H4983" t="s">
        <v>2060</v>
      </c>
      <c r="I4983" t="str">
        <f>VLOOKUP(B4983,Customers!A:G,7,FALSE)</f>
        <v>SME</v>
      </c>
      <c r="Q4983" t="str">
        <f>IF(COUNTIF(Customers!$A$2:$A$1001,B4983)&gt;0,"Valid","Invalid")</f>
        <v>Valid</v>
      </c>
      <c r="R4983" t="str">
        <f>IF(COUNTIF(Branches!$A$2:$A$11,F4983)&gt;0,"Valid","Invalid")</f>
        <v>Valid</v>
      </c>
    </row>
    <row r="4984" spans="1:18" x14ac:dyDescent="0.25">
      <c r="A4984" t="s">
        <v>7055</v>
      </c>
      <c r="B4984" t="s">
        <v>1021</v>
      </c>
      <c r="C4984" s="8">
        <v>46206</v>
      </c>
      <c r="D4984" t="s">
        <v>2058</v>
      </c>
      <c r="E4984" t="s">
        <v>2063</v>
      </c>
      <c r="F4984" t="s">
        <v>39</v>
      </c>
      <c r="G4984">
        <v>3557.07</v>
      </c>
      <c r="H4984" t="s">
        <v>2060</v>
      </c>
      <c r="I4984" t="str">
        <f>VLOOKUP(B4984,Customers!A:G,7,FALSE)</f>
        <v>Student</v>
      </c>
      <c r="Q4984" t="str">
        <f>IF(COUNTIF(Customers!$A$2:$A$1001,B4984)&gt;0,"Valid","Invalid")</f>
        <v>Valid</v>
      </c>
      <c r="R4984" t="str">
        <f>IF(COUNTIF(Branches!$A$2:$A$11,F4984)&gt;0,"Valid","Invalid")</f>
        <v>Valid</v>
      </c>
    </row>
    <row r="4985" spans="1:18" x14ac:dyDescent="0.25">
      <c r="A4985" t="s">
        <v>7056</v>
      </c>
      <c r="B4985" t="s">
        <v>796</v>
      </c>
      <c r="C4985" s="8">
        <v>46231</v>
      </c>
      <c r="D4985" t="s">
        <v>2067</v>
      </c>
      <c r="E4985" t="s">
        <v>2059</v>
      </c>
      <c r="F4985" t="s">
        <v>35</v>
      </c>
      <c r="G4985">
        <v>846.44</v>
      </c>
      <c r="H4985" t="s">
        <v>2060</v>
      </c>
      <c r="I4985" t="str">
        <f>VLOOKUP(B4985,Customers!A:G,7,FALSE)</f>
        <v>Student</v>
      </c>
      <c r="Q4985" t="str">
        <f>IF(COUNTIF(Customers!$A$2:$A$1001,B4985)&gt;0,"Valid","Invalid")</f>
        <v>Valid</v>
      </c>
      <c r="R4985" t="str">
        <f>IF(COUNTIF(Branches!$A$2:$A$11,F4985)&gt;0,"Valid","Invalid")</f>
        <v>Valid</v>
      </c>
    </row>
    <row r="4986" spans="1:18" x14ac:dyDescent="0.25">
      <c r="A4986" t="s">
        <v>7057</v>
      </c>
      <c r="B4986" t="s">
        <v>70</v>
      </c>
      <c r="C4986" s="8">
        <v>46083</v>
      </c>
      <c r="D4986" t="s">
        <v>2062</v>
      </c>
      <c r="E4986" t="s">
        <v>2076</v>
      </c>
      <c r="F4986" t="s">
        <v>29</v>
      </c>
      <c r="G4986">
        <v>229.54</v>
      </c>
      <c r="H4986" t="s">
        <v>2060</v>
      </c>
      <c r="I4986" t="str">
        <f>VLOOKUP(B4986,Customers!A:G,7,FALSE)</f>
        <v>Individual</v>
      </c>
      <c r="Q4986" t="str">
        <f>IF(COUNTIF(Customers!$A$2:$A$1001,B4986)&gt;0,"Valid","Invalid")</f>
        <v>Valid</v>
      </c>
      <c r="R4986" t="str">
        <f>IF(COUNTIF(Branches!$A$2:$A$11,F4986)&gt;0,"Valid","Invalid")</f>
        <v>Valid</v>
      </c>
    </row>
    <row r="4987" spans="1:18" x14ac:dyDescent="0.25">
      <c r="A4987" t="s">
        <v>7058</v>
      </c>
      <c r="B4987" t="s">
        <v>411</v>
      </c>
      <c r="C4987" s="8">
        <v>46145</v>
      </c>
      <c r="D4987" t="s">
        <v>2058</v>
      </c>
      <c r="E4987" t="s">
        <v>2059</v>
      </c>
      <c r="F4987" t="s">
        <v>39</v>
      </c>
      <c r="G4987">
        <v>906.49</v>
      </c>
      <c r="H4987" t="s">
        <v>2060</v>
      </c>
      <c r="I4987" t="str">
        <f>VLOOKUP(B4987,Customers!A:G,7,FALSE)</f>
        <v>Student</v>
      </c>
      <c r="Q4987" t="str">
        <f>IF(COUNTIF(Customers!$A$2:$A$1001,B4987)&gt;0,"Valid","Invalid")</f>
        <v>Valid</v>
      </c>
      <c r="R4987" t="str">
        <f>IF(COUNTIF(Branches!$A$2:$A$11,F4987)&gt;0,"Valid","Invalid")</f>
        <v>Valid</v>
      </c>
    </row>
    <row r="4988" spans="1:18" x14ac:dyDescent="0.25">
      <c r="A4988" t="s">
        <v>7059</v>
      </c>
      <c r="B4988" t="s">
        <v>526</v>
      </c>
      <c r="C4988" s="8">
        <v>46263</v>
      </c>
      <c r="D4988" t="s">
        <v>2062</v>
      </c>
      <c r="E4988" t="s">
        <v>2063</v>
      </c>
      <c r="F4988" t="s">
        <v>11</v>
      </c>
      <c r="G4988">
        <v>1777.12</v>
      </c>
      <c r="H4988" t="s">
        <v>2060</v>
      </c>
      <c r="I4988" t="str">
        <f>VLOOKUP(B4988,Customers!A:G,7,FALSE)</f>
        <v>Student</v>
      </c>
      <c r="Q4988" t="str">
        <f>IF(COUNTIF(Customers!$A$2:$A$1001,B4988)&gt;0,"Valid","Invalid")</f>
        <v>Valid</v>
      </c>
      <c r="R4988" t="str">
        <f>IF(COUNTIF(Branches!$A$2:$A$11,F4988)&gt;0,"Valid","Invalid")</f>
        <v>Valid</v>
      </c>
    </row>
    <row r="4989" spans="1:18" x14ac:dyDescent="0.25">
      <c r="A4989" t="s">
        <v>7060</v>
      </c>
      <c r="B4989" t="s">
        <v>297</v>
      </c>
      <c r="C4989" s="8">
        <v>46077</v>
      </c>
      <c r="D4989" t="s">
        <v>2062</v>
      </c>
      <c r="E4989" t="s">
        <v>2068</v>
      </c>
      <c r="F4989" t="s">
        <v>47</v>
      </c>
      <c r="G4989">
        <v>734.08</v>
      </c>
      <c r="H4989" t="s">
        <v>2060</v>
      </c>
      <c r="I4989" t="str">
        <f>VLOOKUP(B4989,Customers!A:G,7,FALSE)</f>
        <v>Individual</v>
      </c>
      <c r="Q4989" t="str">
        <f>IF(COUNTIF(Customers!$A$2:$A$1001,B4989)&gt;0,"Valid","Invalid")</f>
        <v>Valid</v>
      </c>
      <c r="R4989" t="str">
        <f>IF(COUNTIF(Branches!$A$2:$A$11,F4989)&gt;0,"Valid","Invalid")</f>
        <v>Valid</v>
      </c>
    </row>
    <row r="4990" spans="1:18" x14ac:dyDescent="0.25">
      <c r="A4990" t="s">
        <v>7061</v>
      </c>
      <c r="B4990" t="s">
        <v>1032</v>
      </c>
      <c r="C4990" s="8">
        <v>46185</v>
      </c>
      <c r="D4990" t="s">
        <v>2070</v>
      </c>
      <c r="E4990" t="s">
        <v>2073</v>
      </c>
      <c r="F4990" t="s">
        <v>47</v>
      </c>
      <c r="G4990">
        <v>2858.83</v>
      </c>
      <c r="H4990" t="s">
        <v>2060</v>
      </c>
      <c r="I4990" t="str">
        <f>VLOOKUP(B4990,Customers!A:G,7,FALSE)</f>
        <v>Individual</v>
      </c>
      <c r="Q4990" t="str">
        <f>IF(COUNTIF(Customers!$A$2:$A$1001,B4990)&gt;0,"Valid","Invalid")</f>
        <v>Valid</v>
      </c>
      <c r="R4990" t="str">
        <f>IF(COUNTIF(Branches!$A$2:$A$11,F4990)&gt;0,"Valid","Invalid")</f>
        <v>Valid</v>
      </c>
    </row>
    <row r="4991" spans="1:18" x14ac:dyDescent="0.25">
      <c r="A4991" t="s">
        <v>7062</v>
      </c>
      <c r="B4991" t="s">
        <v>569</v>
      </c>
      <c r="C4991" s="8">
        <v>46228</v>
      </c>
      <c r="D4991" t="s">
        <v>2058</v>
      </c>
      <c r="E4991" t="s">
        <v>2063</v>
      </c>
      <c r="F4991" t="s">
        <v>45</v>
      </c>
      <c r="G4991">
        <v>1931.11</v>
      </c>
      <c r="H4991" t="s">
        <v>2115</v>
      </c>
      <c r="I4991" t="str">
        <f>VLOOKUP(B4991,Customers!A:G,7,FALSE)</f>
        <v>Individual</v>
      </c>
      <c r="Q4991" t="str">
        <f>IF(COUNTIF(Customers!$A$2:$A$1001,B4991)&gt;0,"Valid","Invalid")</f>
        <v>Valid</v>
      </c>
      <c r="R4991" t="str">
        <f>IF(COUNTIF(Branches!$A$2:$A$11,F4991)&gt;0,"Valid","Invalid")</f>
        <v>Valid</v>
      </c>
    </row>
    <row r="4992" spans="1:18" x14ac:dyDescent="0.25">
      <c r="A4992" t="s">
        <v>7063</v>
      </c>
      <c r="B4992" t="s">
        <v>962</v>
      </c>
      <c r="C4992" s="8">
        <v>46209</v>
      </c>
      <c r="D4992" t="s">
        <v>2070</v>
      </c>
      <c r="E4992" t="s">
        <v>2068</v>
      </c>
      <c r="F4992" t="s">
        <v>11</v>
      </c>
      <c r="G4992">
        <v>763.75</v>
      </c>
      <c r="H4992" t="s">
        <v>2060</v>
      </c>
      <c r="I4992" t="str">
        <f>VLOOKUP(B4992,Customers!A:G,7,FALSE)</f>
        <v>Individual</v>
      </c>
      <c r="Q4992" t="str">
        <f>IF(COUNTIF(Customers!$A$2:$A$1001,B4992)&gt;0,"Valid","Invalid")</f>
        <v>Valid</v>
      </c>
      <c r="R4992" t="str">
        <f>IF(COUNTIF(Branches!$A$2:$A$11,F4992)&gt;0,"Valid","Invalid")</f>
        <v>Valid</v>
      </c>
    </row>
    <row r="4993" spans="1:18" x14ac:dyDescent="0.25">
      <c r="A4993" t="s">
        <v>7064</v>
      </c>
      <c r="B4993" t="s">
        <v>57</v>
      </c>
      <c r="C4993" s="8">
        <v>46061</v>
      </c>
      <c r="D4993" t="s">
        <v>2065</v>
      </c>
      <c r="E4993" t="s">
        <v>2059</v>
      </c>
      <c r="F4993" t="s">
        <v>29</v>
      </c>
      <c r="G4993">
        <v>848.22</v>
      </c>
      <c r="H4993" t="s">
        <v>2060</v>
      </c>
      <c r="I4993" t="str">
        <f>VLOOKUP(B4993,Customers!A:G,7,FALSE)</f>
        <v>SME</v>
      </c>
      <c r="Q4993" t="str">
        <f>IF(COUNTIF(Customers!$A$2:$A$1001,B4993)&gt;0,"Valid","Invalid")</f>
        <v>Valid</v>
      </c>
      <c r="R4993" t="str">
        <f>IF(COUNTIF(Branches!$A$2:$A$11,F4993)&gt;0,"Valid","Invalid")</f>
        <v>Valid</v>
      </c>
    </row>
    <row r="4994" spans="1:18" x14ac:dyDescent="0.25">
      <c r="A4994" t="s">
        <v>7065</v>
      </c>
      <c r="B4994" t="s">
        <v>140</v>
      </c>
      <c r="C4994" s="8">
        <v>46207</v>
      </c>
      <c r="D4994" t="s">
        <v>2065</v>
      </c>
      <c r="E4994" t="s">
        <v>2073</v>
      </c>
      <c r="F4994" t="s">
        <v>29</v>
      </c>
      <c r="G4994">
        <v>128.80000000000001</v>
      </c>
      <c r="H4994" t="s">
        <v>2060</v>
      </c>
      <c r="I4994" t="str">
        <f>VLOOKUP(B4994,Customers!A:G,7,FALSE)</f>
        <v>Individual</v>
      </c>
      <c r="Q4994" t="str">
        <f>IF(COUNTIF(Customers!$A$2:$A$1001,B4994)&gt;0,"Valid","Invalid")</f>
        <v>Valid</v>
      </c>
      <c r="R4994" t="str">
        <f>IF(COUNTIF(Branches!$A$2:$A$11,F4994)&gt;0,"Valid","Invalid")</f>
        <v>Valid</v>
      </c>
    </row>
    <row r="4995" spans="1:18" x14ac:dyDescent="0.25">
      <c r="A4995" t="s">
        <v>7066</v>
      </c>
      <c r="B4995" t="s">
        <v>279</v>
      </c>
      <c r="C4995" s="8">
        <v>46105</v>
      </c>
      <c r="D4995" t="s">
        <v>2058</v>
      </c>
      <c r="E4995" t="s">
        <v>2063</v>
      </c>
      <c r="F4995" t="s">
        <v>29</v>
      </c>
      <c r="G4995">
        <v>2725.01</v>
      </c>
      <c r="H4995" t="s">
        <v>2060</v>
      </c>
      <c r="I4995" t="str">
        <f>VLOOKUP(B4995,Customers!A:G,7,FALSE)</f>
        <v>SME</v>
      </c>
      <c r="Q4995" t="str">
        <f>IF(COUNTIF(Customers!$A$2:$A$1001,B4995)&gt;0,"Valid","Invalid")</f>
        <v>Valid</v>
      </c>
      <c r="R4995" t="str">
        <f>IF(COUNTIF(Branches!$A$2:$A$11,F4995)&gt;0,"Valid","Invalid")</f>
        <v>Valid</v>
      </c>
    </row>
    <row r="4996" spans="1:18" x14ac:dyDescent="0.25">
      <c r="A4996" t="s">
        <v>7067</v>
      </c>
      <c r="B4996" t="s">
        <v>941</v>
      </c>
      <c r="C4996" s="8">
        <v>46217</v>
      </c>
      <c r="D4996" t="s">
        <v>2070</v>
      </c>
      <c r="E4996" t="s">
        <v>2068</v>
      </c>
      <c r="F4996" t="s">
        <v>35</v>
      </c>
      <c r="G4996">
        <v>584.34</v>
      </c>
      <c r="H4996" t="s">
        <v>2060</v>
      </c>
      <c r="I4996" t="str">
        <f>VLOOKUP(B4996,Customers!A:G,7,FALSE)</f>
        <v>Individual</v>
      </c>
      <c r="Q4996" t="str">
        <f>IF(COUNTIF(Customers!$A$2:$A$1001,B4996)&gt;0,"Valid","Invalid")</f>
        <v>Valid</v>
      </c>
      <c r="R4996" t="str">
        <f>IF(COUNTIF(Branches!$A$2:$A$11,F4996)&gt;0,"Valid","Invalid")</f>
        <v>Valid</v>
      </c>
    </row>
    <row r="4997" spans="1:18" x14ac:dyDescent="0.25">
      <c r="A4997" t="s">
        <v>7068</v>
      </c>
      <c r="B4997" t="s">
        <v>911</v>
      </c>
      <c r="C4997" s="8">
        <v>46056</v>
      </c>
      <c r="D4997" t="s">
        <v>2067</v>
      </c>
      <c r="E4997" t="s">
        <v>2063</v>
      </c>
      <c r="F4997" t="s">
        <v>53</v>
      </c>
      <c r="G4997">
        <v>544.6</v>
      </c>
      <c r="H4997" t="s">
        <v>2060</v>
      </c>
      <c r="I4997" t="str">
        <f>VLOOKUP(B4997,Customers!A:G,7,FALSE)</f>
        <v>Individual</v>
      </c>
      <c r="Q4997" t="str">
        <f>IF(COUNTIF(Customers!$A$2:$A$1001,B4997)&gt;0,"Valid","Invalid")</f>
        <v>Valid</v>
      </c>
      <c r="R4997" t="str">
        <f>IF(COUNTIF(Branches!$A$2:$A$11,F4997)&gt;0,"Valid","Invalid")</f>
        <v>Valid</v>
      </c>
    </row>
    <row r="4998" spans="1:18" x14ac:dyDescent="0.25">
      <c r="A4998" t="s">
        <v>7069</v>
      </c>
      <c r="B4998" t="s">
        <v>754</v>
      </c>
      <c r="C4998" s="8">
        <v>46135</v>
      </c>
      <c r="D4998" t="s">
        <v>2065</v>
      </c>
      <c r="E4998" t="s">
        <v>2068</v>
      </c>
      <c r="F4998" t="s">
        <v>35</v>
      </c>
      <c r="G4998">
        <v>468.79</v>
      </c>
      <c r="H4998" t="s">
        <v>2060</v>
      </c>
      <c r="I4998" t="str">
        <f>VLOOKUP(B4998,Customers!A:G,7,FALSE)</f>
        <v>Individual</v>
      </c>
      <c r="Q4998" t="str">
        <f>IF(COUNTIF(Customers!$A$2:$A$1001,B4998)&gt;0,"Valid","Invalid")</f>
        <v>Valid</v>
      </c>
      <c r="R4998" t="str">
        <f>IF(COUNTIF(Branches!$A$2:$A$11,F4998)&gt;0,"Valid","Invalid")</f>
        <v>Valid</v>
      </c>
    </row>
    <row r="4999" spans="1:18" x14ac:dyDescent="0.25">
      <c r="A4999" t="s">
        <v>7070</v>
      </c>
      <c r="B4999" t="s">
        <v>291</v>
      </c>
      <c r="C4999" s="8">
        <v>46191</v>
      </c>
      <c r="D4999" t="s">
        <v>2058</v>
      </c>
      <c r="E4999" t="s">
        <v>2076</v>
      </c>
      <c r="F4999" t="s">
        <v>45</v>
      </c>
      <c r="G4999">
        <v>1282.67</v>
      </c>
      <c r="H4999" t="s">
        <v>2060</v>
      </c>
      <c r="I4999" t="str">
        <f>VLOOKUP(B4999,Customers!A:G,7,FALSE)</f>
        <v>Individual</v>
      </c>
      <c r="Q4999" t="str">
        <f>IF(COUNTIF(Customers!$A$2:$A$1001,B4999)&gt;0,"Valid","Invalid")</f>
        <v>Valid</v>
      </c>
      <c r="R4999" t="str">
        <f>IF(COUNTIF(Branches!$A$2:$A$11,F4999)&gt;0,"Valid","Invalid")</f>
        <v>Valid</v>
      </c>
    </row>
    <row r="5000" spans="1:18" x14ac:dyDescent="0.25">
      <c r="A5000" t="s">
        <v>7071</v>
      </c>
      <c r="B5000" t="s">
        <v>178</v>
      </c>
      <c r="C5000" s="8">
        <v>46172</v>
      </c>
      <c r="D5000" t="s">
        <v>2058</v>
      </c>
      <c r="E5000" t="s">
        <v>2059</v>
      </c>
      <c r="F5000" t="s">
        <v>45</v>
      </c>
      <c r="G5000">
        <v>262.77999999999997</v>
      </c>
      <c r="H5000" t="s">
        <v>2060</v>
      </c>
      <c r="I5000" t="str">
        <f>VLOOKUP(B5000,Customers!A:G,7,FALSE)</f>
        <v>Individual</v>
      </c>
      <c r="Q5000" t="str">
        <f>IF(COUNTIF(Customers!$A$2:$A$1001,B5000)&gt;0,"Valid","Invalid")</f>
        <v>Valid</v>
      </c>
      <c r="R5000" t="str">
        <f>IF(COUNTIF(Branches!$A$2:$A$11,F5000)&gt;0,"Valid","Invalid")</f>
        <v>Valid</v>
      </c>
    </row>
    <row r="5001" spans="1:18" x14ac:dyDescent="0.25">
      <c r="A5001" t="s">
        <v>7072</v>
      </c>
      <c r="B5001" t="s">
        <v>852</v>
      </c>
      <c r="C5001" s="8">
        <v>46252</v>
      </c>
      <c r="D5001" t="s">
        <v>2067</v>
      </c>
      <c r="E5001" t="s">
        <v>2063</v>
      </c>
      <c r="F5001" t="s">
        <v>11</v>
      </c>
      <c r="G5001">
        <v>303.64</v>
      </c>
      <c r="H5001" t="s">
        <v>2060</v>
      </c>
      <c r="I5001" t="str">
        <f>VLOOKUP(B5001,Customers!A:G,7,FALSE)</f>
        <v>SME</v>
      </c>
      <c r="Q5001" t="str">
        <f>IF(COUNTIF(Customers!$A$2:$A$1001,B5001)&gt;0,"Valid","Invalid")</f>
        <v>Valid</v>
      </c>
      <c r="R5001" t="str">
        <f>IF(COUNTIF(Branches!$A$2:$A$11,F5001)&gt;0,"Valid","Invalid")</f>
        <v>Valid</v>
      </c>
    </row>
    <row r="5002" spans="1:18" x14ac:dyDescent="0.25">
      <c r="A5002" t="s">
        <v>7073</v>
      </c>
      <c r="B5002" t="s">
        <v>693</v>
      </c>
      <c r="C5002" s="8">
        <v>46049</v>
      </c>
      <c r="D5002" t="s">
        <v>2062</v>
      </c>
      <c r="E5002" t="s">
        <v>2068</v>
      </c>
      <c r="F5002" t="s">
        <v>47</v>
      </c>
      <c r="G5002">
        <v>770.84</v>
      </c>
      <c r="H5002" t="s">
        <v>2060</v>
      </c>
      <c r="I5002" t="str">
        <f>VLOOKUP(B5002,Customers!A:G,7,FALSE)</f>
        <v>Individual</v>
      </c>
      <c r="Q5002" t="str">
        <f>IF(COUNTIF(Customers!$A$2:$A$1001,B5002)&gt;0,"Valid","Invalid")</f>
        <v>Valid</v>
      </c>
      <c r="R5002" t="str">
        <f>IF(COUNTIF(Branches!$A$2:$A$11,F5002)&gt;0,"Valid","Invalid")</f>
        <v>Valid</v>
      </c>
    </row>
    <row r="5003" spans="1:18" x14ac:dyDescent="0.25">
      <c r="A5003" t="s">
        <v>7074</v>
      </c>
      <c r="B5003" t="s">
        <v>489</v>
      </c>
      <c r="C5003" s="8">
        <v>46171</v>
      </c>
      <c r="D5003" t="s">
        <v>2070</v>
      </c>
      <c r="E5003" t="s">
        <v>2076</v>
      </c>
      <c r="F5003" t="s">
        <v>27</v>
      </c>
      <c r="G5003">
        <v>434.19</v>
      </c>
      <c r="H5003" t="s">
        <v>2115</v>
      </c>
      <c r="I5003" t="str">
        <f>VLOOKUP(B5003,Customers!A:G,7,FALSE)</f>
        <v>SME</v>
      </c>
      <c r="Q5003" t="str">
        <f>IF(COUNTIF(Customers!$A$2:$A$1001,B5003)&gt;0,"Valid","Invalid")</f>
        <v>Valid</v>
      </c>
      <c r="R5003" t="str">
        <f>IF(COUNTIF(Branches!$A$2:$A$11,F5003)&gt;0,"Valid","Invalid")</f>
        <v>Valid</v>
      </c>
    </row>
    <row r="5004" spans="1:18" x14ac:dyDescent="0.25">
      <c r="A5004" t="s">
        <v>7075</v>
      </c>
      <c r="B5004" t="s">
        <v>821</v>
      </c>
      <c r="C5004" s="8">
        <v>46191</v>
      </c>
      <c r="D5004" t="s">
        <v>2062</v>
      </c>
      <c r="E5004" t="s">
        <v>2059</v>
      </c>
      <c r="F5004" t="s">
        <v>53</v>
      </c>
      <c r="G5004">
        <v>1135.96</v>
      </c>
      <c r="H5004" t="s">
        <v>2060</v>
      </c>
      <c r="I5004" t="str">
        <f>VLOOKUP(B5004,Customers!A:G,7,FALSE)</f>
        <v>SME</v>
      </c>
      <c r="Q5004" t="str">
        <f>IF(COUNTIF(Customers!$A$2:$A$1001,B5004)&gt;0,"Valid","Invalid")</f>
        <v>Valid</v>
      </c>
      <c r="R5004" t="str">
        <f>IF(COUNTIF(Branches!$A$2:$A$11,F5004)&gt;0,"Valid","Invalid")</f>
        <v>Valid</v>
      </c>
    </row>
    <row r="5005" spans="1:18" x14ac:dyDescent="0.25">
      <c r="A5005" t="s">
        <v>7076</v>
      </c>
      <c r="B5005" t="s">
        <v>345</v>
      </c>
      <c r="C5005" s="8">
        <v>46053</v>
      </c>
      <c r="D5005" t="s">
        <v>2067</v>
      </c>
      <c r="E5005" t="s">
        <v>2059</v>
      </c>
      <c r="F5005" t="s">
        <v>27</v>
      </c>
      <c r="G5005">
        <v>450.39</v>
      </c>
      <c r="H5005" t="s">
        <v>2060</v>
      </c>
      <c r="I5005" t="str">
        <f>VLOOKUP(B5005,Customers!A:G,7,FALSE)</f>
        <v>Individual</v>
      </c>
      <c r="Q5005" t="str">
        <f>IF(COUNTIF(Customers!$A$2:$A$1001,B5005)&gt;0,"Valid","Invalid")</f>
        <v>Valid</v>
      </c>
      <c r="R5005" t="str">
        <f>IF(COUNTIF(Branches!$A$2:$A$11,F5005)&gt;0,"Valid","Invalid")</f>
        <v>Valid</v>
      </c>
    </row>
    <row r="5006" spans="1:18" x14ac:dyDescent="0.25">
      <c r="A5006" t="s">
        <v>7077</v>
      </c>
      <c r="B5006" t="s">
        <v>1022</v>
      </c>
      <c r="C5006" s="8">
        <v>46177</v>
      </c>
      <c r="D5006" t="s">
        <v>2067</v>
      </c>
      <c r="E5006" t="s">
        <v>2068</v>
      </c>
      <c r="F5006" t="s">
        <v>29</v>
      </c>
      <c r="G5006">
        <v>4003.95</v>
      </c>
      <c r="H5006" t="s">
        <v>2060</v>
      </c>
      <c r="I5006" t="str">
        <f>VLOOKUP(B5006,Customers!A:G,7,FALSE)</f>
        <v>Individual</v>
      </c>
      <c r="Q5006" t="str">
        <f>IF(COUNTIF(Customers!$A$2:$A$1001,B5006)&gt;0,"Valid","Invalid")</f>
        <v>Valid</v>
      </c>
      <c r="R5006" t="str">
        <f>IF(COUNTIF(Branches!$A$2:$A$11,F5006)&gt;0,"Valid","Invalid")</f>
        <v>Valid</v>
      </c>
    </row>
    <row r="5007" spans="1:18" x14ac:dyDescent="0.25">
      <c r="A5007" t="s">
        <v>7078</v>
      </c>
      <c r="B5007" t="s">
        <v>538</v>
      </c>
      <c r="C5007" s="8">
        <v>46187</v>
      </c>
      <c r="D5007" t="s">
        <v>2067</v>
      </c>
      <c r="E5007" t="s">
        <v>2063</v>
      </c>
      <c r="F5007" t="s">
        <v>16</v>
      </c>
      <c r="G5007">
        <v>1625.32</v>
      </c>
      <c r="H5007" t="s">
        <v>2060</v>
      </c>
      <c r="I5007" t="str">
        <f>VLOOKUP(B5007,Customers!A:G,7,FALSE)</f>
        <v>Individual</v>
      </c>
      <c r="Q5007" t="str">
        <f>IF(COUNTIF(Customers!$A$2:$A$1001,B5007)&gt;0,"Valid","Invalid")</f>
        <v>Valid</v>
      </c>
      <c r="R5007" t="str">
        <f>IF(COUNTIF(Branches!$A$2:$A$11,F5007)&gt;0,"Valid","Invalid")</f>
        <v>Valid</v>
      </c>
    </row>
    <row r="5008" spans="1:18" x14ac:dyDescent="0.25">
      <c r="A5008" t="s">
        <v>7079</v>
      </c>
      <c r="B5008" t="s">
        <v>660</v>
      </c>
      <c r="C5008" s="8">
        <v>46216</v>
      </c>
      <c r="D5008" t="s">
        <v>2067</v>
      </c>
      <c r="E5008" t="s">
        <v>2063</v>
      </c>
      <c r="F5008" t="s">
        <v>29</v>
      </c>
      <c r="G5008">
        <v>1605.01</v>
      </c>
      <c r="H5008" t="s">
        <v>2060</v>
      </c>
      <c r="I5008" t="str">
        <f>VLOOKUP(B5008,Customers!A:G,7,FALSE)</f>
        <v>Individual</v>
      </c>
      <c r="Q5008" t="str">
        <f>IF(COUNTIF(Customers!$A$2:$A$1001,B5008)&gt;0,"Valid","Invalid")</f>
        <v>Valid</v>
      </c>
      <c r="R5008" t="str">
        <f>IF(COUNTIF(Branches!$A$2:$A$11,F5008)&gt;0,"Valid","Invalid")</f>
        <v>Valid</v>
      </c>
    </row>
    <row r="5009" spans="1:18" x14ac:dyDescent="0.25">
      <c r="A5009" t="s">
        <v>7080</v>
      </c>
      <c r="B5009" t="s">
        <v>32</v>
      </c>
      <c r="C5009" s="8">
        <v>46204</v>
      </c>
      <c r="D5009" t="s">
        <v>2065</v>
      </c>
      <c r="E5009" t="s">
        <v>2073</v>
      </c>
      <c r="F5009" t="s">
        <v>47</v>
      </c>
      <c r="G5009">
        <v>443.65</v>
      </c>
      <c r="H5009" t="s">
        <v>2060</v>
      </c>
      <c r="I5009" t="str">
        <f>VLOOKUP(B5009,Customers!A:G,7,FALSE)</f>
        <v>Individual</v>
      </c>
      <c r="Q5009" t="str">
        <f>IF(COUNTIF(Customers!$A$2:$A$1001,B5009)&gt;0,"Valid","Invalid")</f>
        <v>Valid</v>
      </c>
      <c r="R5009" t="str">
        <f>IF(COUNTIF(Branches!$A$2:$A$11,F5009)&gt;0,"Valid","Invalid")</f>
        <v>Valid</v>
      </c>
    </row>
    <row r="5010" spans="1:18" x14ac:dyDescent="0.25">
      <c r="A5010" t="s">
        <v>7081</v>
      </c>
      <c r="B5010" t="s">
        <v>105</v>
      </c>
      <c r="C5010" s="8">
        <v>46261</v>
      </c>
      <c r="D5010" t="s">
        <v>2062</v>
      </c>
      <c r="E5010" t="s">
        <v>2059</v>
      </c>
      <c r="F5010" t="s">
        <v>39</v>
      </c>
      <c r="G5010">
        <v>9006.2999999999993</v>
      </c>
      <c r="H5010" t="s">
        <v>2060</v>
      </c>
      <c r="I5010" t="str">
        <f>VLOOKUP(B5010,Customers!A:G,7,FALSE)</f>
        <v>SME</v>
      </c>
      <c r="Q5010" t="str">
        <f>IF(COUNTIF(Customers!$A$2:$A$1001,B5010)&gt;0,"Valid","Invalid")</f>
        <v>Valid</v>
      </c>
      <c r="R5010" t="str">
        <f>IF(COUNTIF(Branches!$A$2:$A$11,F5010)&gt;0,"Valid","Invalid")</f>
        <v>Valid</v>
      </c>
    </row>
    <row r="5011" spans="1:18" x14ac:dyDescent="0.25">
      <c r="A5011" t="s">
        <v>7082</v>
      </c>
      <c r="B5011" t="s">
        <v>740</v>
      </c>
      <c r="C5011" s="8">
        <v>46159</v>
      </c>
      <c r="D5011" t="s">
        <v>2067</v>
      </c>
      <c r="E5011" t="s">
        <v>2059</v>
      </c>
      <c r="F5011" t="s">
        <v>29</v>
      </c>
      <c r="G5011">
        <v>523.74</v>
      </c>
      <c r="H5011" t="s">
        <v>2060</v>
      </c>
      <c r="I5011" t="str">
        <f>VLOOKUP(B5011,Customers!A:G,7,FALSE)</f>
        <v>Individual</v>
      </c>
      <c r="Q5011" t="str">
        <f>IF(COUNTIF(Customers!$A$2:$A$1001,B5011)&gt;0,"Valid","Invalid")</f>
        <v>Valid</v>
      </c>
      <c r="R5011" t="str">
        <f>IF(COUNTIF(Branches!$A$2:$A$11,F5011)&gt;0,"Valid","Invalid")</f>
        <v>Valid</v>
      </c>
    </row>
    <row r="5012" spans="1:18" x14ac:dyDescent="0.25">
      <c r="A5012" t="s">
        <v>7083</v>
      </c>
      <c r="B5012" t="s">
        <v>729</v>
      </c>
      <c r="C5012" s="8">
        <v>46105</v>
      </c>
      <c r="D5012" t="s">
        <v>2062</v>
      </c>
      <c r="E5012" t="s">
        <v>2063</v>
      </c>
      <c r="F5012" t="s">
        <v>29</v>
      </c>
      <c r="G5012">
        <v>397.9</v>
      </c>
      <c r="H5012" t="s">
        <v>2060</v>
      </c>
      <c r="I5012" t="str">
        <f>VLOOKUP(B5012,Customers!A:G,7,FALSE)</f>
        <v>Individual</v>
      </c>
      <c r="Q5012" t="str">
        <f>IF(COUNTIF(Customers!$A$2:$A$1001,B5012)&gt;0,"Valid","Invalid")</f>
        <v>Valid</v>
      </c>
      <c r="R5012" t="str">
        <f>IF(COUNTIF(Branches!$A$2:$A$11,F5012)&gt;0,"Valid","Invalid")</f>
        <v>Valid</v>
      </c>
    </row>
    <row r="5013" spans="1:18" x14ac:dyDescent="0.25">
      <c r="A5013" t="s">
        <v>7084</v>
      </c>
      <c r="B5013" t="s">
        <v>613</v>
      </c>
      <c r="C5013" s="8">
        <v>46192</v>
      </c>
      <c r="D5013" t="s">
        <v>2070</v>
      </c>
      <c r="E5013" t="s">
        <v>2068</v>
      </c>
      <c r="F5013" t="s">
        <v>29</v>
      </c>
      <c r="G5013">
        <v>1647.05</v>
      </c>
      <c r="H5013" t="s">
        <v>2060</v>
      </c>
      <c r="I5013" t="str">
        <f>VLOOKUP(B5013,Customers!A:G,7,FALSE)</f>
        <v>Individual</v>
      </c>
      <c r="Q5013" t="str">
        <f>IF(COUNTIF(Customers!$A$2:$A$1001,B5013)&gt;0,"Valid","Invalid")</f>
        <v>Valid</v>
      </c>
      <c r="R5013" t="str">
        <f>IF(COUNTIF(Branches!$A$2:$A$11,F5013)&gt;0,"Valid","Invalid")</f>
        <v>Valid</v>
      </c>
    </row>
    <row r="5014" spans="1:18" x14ac:dyDescent="0.25">
      <c r="A5014" t="s">
        <v>7085</v>
      </c>
      <c r="B5014" t="s">
        <v>104</v>
      </c>
      <c r="C5014" s="8">
        <v>46186</v>
      </c>
      <c r="D5014" t="s">
        <v>2065</v>
      </c>
      <c r="E5014" t="s">
        <v>2063</v>
      </c>
      <c r="F5014" t="s">
        <v>29</v>
      </c>
      <c r="G5014">
        <v>987.55</v>
      </c>
      <c r="H5014" t="s">
        <v>2060</v>
      </c>
      <c r="I5014" t="str">
        <f>VLOOKUP(B5014,Customers!A:G,7,FALSE)</f>
        <v>Student</v>
      </c>
      <c r="Q5014" t="str">
        <f>IF(COUNTIF(Customers!$A$2:$A$1001,B5014)&gt;0,"Valid","Invalid")</f>
        <v>Valid</v>
      </c>
      <c r="R5014" t="str">
        <f>IF(COUNTIF(Branches!$A$2:$A$11,F5014)&gt;0,"Valid","Invalid")</f>
        <v>Valid</v>
      </c>
    </row>
    <row r="5015" spans="1:18" x14ac:dyDescent="0.25">
      <c r="A5015" t="s">
        <v>7086</v>
      </c>
      <c r="B5015" t="s">
        <v>756</v>
      </c>
      <c r="C5015" s="8">
        <v>46032</v>
      </c>
      <c r="D5015" t="s">
        <v>2070</v>
      </c>
      <c r="E5015" t="s">
        <v>2076</v>
      </c>
      <c r="F5015" t="s">
        <v>47</v>
      </c>
      <c r="G5015">
        <v>358.39</v>
      </c>
      <c r="H5015" t="s">
        <v>2060</v>
      </c>
      <c r="I5015" t="str">
        <f>VLOOKUP(B5015,Customers!A:G,7,FALSE)</f>
        <v>Individual</v>
      </c>
      <c r="Q5015" t="str">
        <f>IF(COUNTIF(Customers!$A$2:$A$1001,B5015)&gt;0,"Valid","Invalid")</f>
        <v>Valid</v>
      </c>
      <c r="R5015" t="str">
        <f>IF(COUNTIF(Branches!$A$2:$A$11,F5015)&gt;0,"Valid","Invalid")</f>
        <v>Valid</v>
      </c>
    </row>
    <row r="5016" spans="1:18" x14ac:dyDescent="0.25">
      <c r="A5016" t="s">
        <v>7087</v>
      </c>
      <c r="B5016" t="s">
        <v>950</v>
      </c>
      <c r="C5016" s="8">
        <v>46209</v>
      </c>
      <c r="D5016" t="s">
        <v>2062</v>
      </c>
      <c r="E5016" t="s">
        <v>2068</v>
      </c>
      <c r="F5016" t="s">
        <v>47</v>
      </c>
      <c r="G5016">
        <v>7301.59</v>
      </c>
      <c r="H5016" t="s">
        <v>2115</v>
      </c>
      <c r="I5016" t="str">
        <f>VLOOKUP(B5016,Customers!A:G,7,FALSE)</f>
        <v>Individual</v>
      </c>
      <c r="Q5016" t="str">
        <f>IF(COUNTIF(Customers!$A$2:$A$1001,B5016)&gt;0,"Valid","Invalid")</f>
        <v>Valid</v>
      </c>
      <c r="R5016" t="str">
        <f>IF(COUNTIF(Branches!$A$2:$A$11,F5016)&gt;0,"Valid","Invalid")</f>
        <v>Valid</v>
      </c>
    </row>
    <row r="5017" spans="1:18" x14ac:dyDescent="0.25">
      <c r="A5017" t="s">
        <v>7088</v>
      </c>
      <c r="B5017" t="s">
        <v>1018</v>
      </c>
      <c r="C5017" s="8">
        <v>46062</v>
      </c>
      <c r="D5017" t="s">
        <v>2058</v>
      </c>
      <c r="E5017" t="s">
        <v>2063</v>
      </c>
      <c r="F5017" t="s">
        <v>53</v>
      </c>
      <c r="G5017">
        <v>2155.12</v>
      </c>
      <c r="H5017" t="s">
        <v>2060</v>
      </c>
      <c r="I5017" t="str">
        <f>VLOOKUP(B5017,Customers!A:G,7,FALSE)</f>
        <v>Individual</v>
      </c>
      <c r="Q5017" t="str">
        <f>IF(COUNTIF(Customers!$A$2:$A$1001,B5017)&gt;0,"Valid","Invalid")</f>
        <v>Valid</v>
      </c>
      <c r="R5017" t="str">
        <f>IF(COUNTIF(Branches!$A$2:$A$11,F5017)&gt;0,"Valid","Invalid")</f>
        <v>Valid</v>
      </c>
    </row>
    <row r="5018" spans="1:18" x14ac:dyDescent="0.25">
      <c r="A5018" t="s">
        <v>7089</v>
      </c>
      <c r="B5018" t="s">
        <v>446</v>
      </c>
      <c r="C5018" s="8">
        <v>46076</v>
      </c>
      <c r="D5018" t="s">
        <v>2067</v>
      </c>
      <c r="E5018" t="s">
        <v>2068</v>
      </c>
      <c r="F5018" t="s">
        <v>53</v>
      </c>
      <c r="G5018">
        <v>815.67</v>
      </c>
      <c r="H5018" t="s">
        <v>2060</v>
      </c>
      <c r="I5018" t="str">
        <f>VLOOKUP(B5018,Customers!A:G,7,FALSE)</f>
        <v>Corporate</v>
      </c>
      <c r="Q5018" t="str">
        <f>IF(COUNTIF(Customers!$A$2:$A$1001,B5018)&gt;0,"Valid","Invalid")</f>
        <v>Valid</v>
      </c>
      <c r="R5018" t="str">
        <f>IF(COUNTIF(Branches!$A$2:$A$11,F5018)&gt;0,"Valid","Invalid")</f>
        <v>Valid</v>
      </c>
    </row>
    <row r="5019" spans="1:18" x14ac:dyDescent="0.25">
      <c r="A5019" t="s">
        <v>7090</v>
      </c>
      <c r="B5019" t="s">
        <v>556</v>
      </c>
      <c r="C5019" s="8">
        <v>46259</v>
      </c>
      <c r="D5019" t="s">
        <v>2058</v>
      </c>
      <c r="E5019" t="s">
        <v>2059</v>
      </c>
      <c r="F5019" t="s">
        <v>53</v>
      </c>
      <c r="G5019">
        <v>8965.24</v>
      </c>
      <c r="H5019" t="s">
        <v>2060</v>
      </c>
      <c r="I5019" t="str">
        <f>VLOOKUP(B5019,Customers!A:G,7,FALSE)</f>
        <v>Individual</v>
      </c>
      <c r="Q5019" t="str">
        <f>IF(COUNTIF(Customers!$A$2:$A$1001,B5019)&gt;0,"Valid","Invalid")</f>
        <v>Valid</v>
      </c>
      <c r="R5019" t="str">
        <f>IF(COUNTIF(Branches!$A$2:$A$11,F5019)&gt;0,"Valid","Invalid")</f>
        <v>Valid</v>
      </c>
    </row>
    <row r="5020" spans="1:18" x14ac:dyDescent="0.25">
      <c r="A5020" t="s">
        <v>7091</v>
      </c>
      <c r="B5020" t="s">
        <v>155</v>
      </c>
      <c r="C5020" s="8">
        <v>46189</v>
      </c>
      <c r="D5020" t="s">
        <v>2067</v>
      </c>
      <c r="E5020" t="s">
        <v>2076</v>
      </c>
      <c r="F5020" t="s">
        <v>39</v>
      </c>
      <c r="G5020">
        <v>1827.64</v>
      </c>
      <c r="H5020" t="s">
        <v>2060</v>
      </c>
      <c r="I5020" t="str">
        <f>VLOOKUP(B5020,Customers!A:G,7,FALSE)</f>
        <v>Student</v>
      </c>
      <c r="Q5020" t="str">
        <f>IF(COUNTIF(Customers!$A$2:$A$1001,B5020)&gt;0,"Valid","Invalid")</f>
        <v>Valid</v>
      </c>
      <c r="R5020" t="str">
        <f>IF(COUNTIF(Branches!$A$2:$A$11,F5020)&gt;0,"Valid","Invalid")</f>
        <v>Valid</v>
      </c>
    </row>
    <row r="5021" spans="1:18" x14ac:dyDescent="0.25">
      <c r="A5021" t="s">
        <v>7092</v>
      </c>
      <c r="B5021" t="s">
        <v>863</v>
      </c>
      <c r="C5021" s="8">
        <v>46157</v>
      </c>
      <c r="D5021" t="s">
        <v>2058</v>
      </c>
      <c r="E5021" t="s">
        <v>2059</v>
      </c>
      <c r="F5021" t="s">
        <v>47</v>
      </c>
      <c r="G5021">
        <v>802.79</v>
      </c>
      <c r="H5021" t="s">
        <v>2060</v>
      </c>
      <c r="I5021" t="str">
        <f>VLOOKUP(B5021,Customers!A:G,7,FALSE)</f>
        <v>Corporate</v>
      </c>
      <c r="Q5021" t="str">
        <f>IF(COUNTIF(Customers!$A$2:$A$1001,B5021)&gt;0,"Valid","Invalid")</f>
        <v>Valid</v>
      </c>
      <c r="R5021" t="str">
        <f>IF(COUNTIF(Branches!$A$2:$A$11,F5021)&gt;0,"Valid","Invalid")</f>
        <v>Valid</v>
      </c>
    </row>
    <row r="5022" spans="1:18" x14ac:dyDescent="0.25">
      <c r="A5022" t="s">
        <v>7093</v>
      </c>
      <c r="B5022" t="s">
        <v>65</v>
      </c>
      <c r="C5022" s="8">
        <v>46026</v>
      </c>
      <c r="D5022" t="s">
        <v>2065</v>
      </c>
      <c r="E5022" t="s">
        <v>2076</v>
      </c>
      <c r="F5022" t="s">
        <v>29</v>
      </c>
      <c r="G5022">
        <v>7954.06</v>
      </c>
      <c r="H5022" t="s">
        <v>2060</v>
      </c>
      <c r="I5022" t="str">
        <f>VLOOKUP(B5022,Customers!A:G,7,FALSE)</f>
        <v>Student</v>
      </c>
      <c r="Q5022" t="str">
        <f>IF(COUNTIF(Customers!$A$2:$A$1001,B5022)&gt;0,"Valid","Invalid")</f>
        <v>Valid</v>
      </c>
      <c r="R5022" t="str">
        <f>IF(COUNTIF(Branches!$A$2:$A$11,F5022)&gt;0,"Valid","Invalid")</f>
        <v>Valid</v>
      </c>
    </row>
    <row r="5023" spans="1:18" x14ac:dyDescent="0.25">
      <c r="A5023" t="s">
        <v>7094</v>
      </c>
      <c r="B5023" t="s">
        <v>556</v>
      </c>
      <c r="C5023" s="8">
        <v>46165</v>
      </c>
      <c r="D5023" t="s">
        <v>2058</v>
      </c>
      <c r="E5023" t="s">
        <v>2063</v>
      </c>
      <c r="F5023" t="s">
        <v>35</v>
      </c>
      <c r="G5023">
        <v>1570.24</v>
      </c>
      <c r="H5023" t="s">
        <v>2060</v>
      </c>
      <c r="I5023" t="str">
        <f>VLOOKUP(B5023,Customers!A:G,7,FALSE)</f>
        <v>Individual</v>
      </c>
      <c r="Q5023" t="str">
        <f>IF(COUNTIF(Customers!$A$2:$A$1001,B5023)&gt;0,"Valid","Invalid")</f>
        <v>Valid</v>
      </c>
      <c r="R5023" t="str">
        <f>IF(COUNTIF(Branches!$A$2:$A$11,F5023)&gt;0,"Valid","Invalid")</f>
        <v>Valid</v>
      </c>
    </row>
    <row r="5024" spans="1:18" x14ac:dyDescent="0.25">
      <c r="A5024" t="s">
        <v>7095</v>
      </c>
      <c r="B5024" t="s">
        <v>521</v>
      </c>
      <c r="C5024" s="8">
        <v>46226</v>
      </c>
      <c r="D5024" t="s">
        <v>2065</v>
      </c>
      <c r="E5024" t="s">
        <v>2063</v>
      </c>
      <c r="F5024" t="s">
        <v>39</v>
      </c>
      <c r="G5024">
        <v>1503.04</v>
      </c>
      <c r="H5024" t="s">
        <v>2060</v>
      </c>
      <c r="I5024" t="str">
        <f>VLOOKUP(B5024,Customers!A:G,7,FALSE)</f>
        <v>Individual</v>
      </c>
      <c r="Q5024" t="str">
        <f>IF(COUNTIF(Customers!$A$2:$A$1001,B5024)&gt;0,"Valid","Invalid")</f>
        <v>Valid</v>
      </c>
      <c r="R5024" t="str">
        <f>IF(COUNTIF(Branches!$A$2:$A$11,F5024)&gt;0,"Valid","Invalid")</f>
        <v>Valid</v>
      </c>
    </row>
    <row r="5025" spans="1:18" x14ac:dyDescent="0.25">
      <c r="A5025" t="s">
        <v>7096</v>
      </c>
      <c r="B5025" t="s">
        <v>244</v>
      </c>
      <c r="C5025" s="8">
        <v>46198</v>
      </c>
      <c r="D5025" t="s">
        <v>2065</v>
      </c>
      <c r="E5025" t="s">
        <v>2073</v>
      </c>
      <c r="F5025" t="s">
        <v>29</v>
      </c>
      <c r="G5025">
        <v>552.05999999999995</v>
      </c>
      <c r="H5025" t="s">
        <v>2060</v>
      </c>
      <c r="I5025" t="str">
        <f>VLOOKUP(B5025,Customers!A:G,7,FALSE)</f>
        <v>Student</v>
      </c>
      <c r="Q5025" t="str">
        <f>IF(COUNTIF(Customers!$A$2:$A$1001,B5025)&gt;0,"Valid","Invalid")</f>
        <v>Valid</v>
      </c>
      <c r="R5025" t="str">
        <f>IF(COUNTIF(Branches!$A$2:$A$11,F5025)&gt;0,"Valid","Invalid")</f>
        <v>Valid</v>
      </c>
    </row>
    <row r="5026" spans="1:18" x14ac:dyDescent="0.25">
      <c r="A5026" t="s">
        <v>7097</v>
      </c>
      <c r="B5026" t="s">
        <v>707</v>
      </c>
      <c r="C5026" s="8">
        <v>46028</v>
      </c>
      <c r="D5026" t="s">
        <v>2058</v>
      </c>
      <c r="E5026" t="s">
        <v>2063</v>
      </c>
      <c r="F5026" t="s">
        <v>16</v>
      </c>
      <c r="G5026">
        <v>853.56</v>
      </c>
      <c r="H5026" t="s">
        <v>2060</v>
      </c>
      <c r="I5026" t="str">
        <f>VLOOKUP(B5026,Customers!A:G,7,FALSE)</f>
        <v>Individual</v>
      </c>
      <c r="Q5026" t="str">
        <f>IF(COUNTIF(Customers!$A$2:$A$1001,B5026)&gt;0,"Valid","Invalid")</f>
        <v>Valid</v>
      </c>
      <c r="R5026" t="str">
        <f>IF(COUNTIF(Branches!$A$2:$A$11,F5026)&gt;0,"Valid","Invalid")</f>
        <v>Valid</v>
      </c>
    </row>
    <row r="5027" spans="1:18" x14ac:dyDescent="0.25">
      <c r="A5027" t="s">
        <v>7098</v>
      </c>
      <c r="B5027" t="s">
        <v>617</v>
      </c>
      <c r="C5027" s="8">
        <v>46095</v>
      </c>
      <c r="D5027" t="s">
        <v>2058</v>
      </c>
      <c r="E5027" t="s">
        <v>2068</v>
      </c>
      <c r="F5027" t="s">
        <v>39</v>
      </c>
      <c r="G5027">
        <v>538.78</v>
      </c>
      <c r="H5027" t="s">
        <v>2115</v>
      </c>
      <c r="I5027" t="str">
        <f>VLOOKUP(B5027,Customers!A:G,7,FALSE)</f>
        <v>Individual</v>
      </c>
      <c r="Q5027" t="str">
        <f>IF(COUNTIF(Customers!$A$2:$A$1001,B5027)&gt;0,"Valid","Invalid")</f>
        <v>Valid</v>
      </c>
      <c r="R5027" t="str">
        <f>IF(COUNTIF(Branches!$A$2:$A$11,F5027)&gt;0,"Valid","Invalid")</f>
        <v>Valid</v>
      </c>
    </row>
    <row r="5028" spans="1:18" x14ac:dyDescent="0.25">
      <c r="A5028" t="s">
        <v>7099</v>
      </c>
      <c r="B5028" t="s">
        <v>1009</v>
      </c>
      <c r="C5028" s="8">
        <v>46185</v>
      </c>
      <c r="D5028" t="s">
        <v>2067</v>
      </c>
      <c r="E5028" t="s">
        <v>2063</v>
      </c>
      <c r="F5028" t="s">
        <v>29</v>
      </c>
      <c r="G5028">
        <v>3428.01</v>
      </c>
      <c r="H5028" t="s">
        <v>2060</v>
      </c>
      <c r="I5028" t="str">
        <f>VLOOKUP(B5028,Customers!A:G,7,FALSE)</f>
        <v>Individual</v>
      </c>
      <c r="Q5028" t="str">
        <f>IF(COUNTIF(Customers!$A$2:$A$1001,B5028)&gt;0,"Valid","Invalid")</f>
        <v>Valid</v>
      </c>
      <c r="R5028" t="str">
        <f>IF(COUNTIF(Branches!$A$2:$A$11,F5028)&gt;0,"Valid","Invalid")</f>
        <v>Valid</v>
      </c>
    </row>
    <row r="5029" spans="1:18" x14ac:dyDescent="0.25">
      <c r="A5029" t="s">
        <v>7100</v>
      </c>
      <c r="B5029" t="s">
        <v>425</v>
      </c>
      <c r="C5029" s="8">
        <v>46222</v>
      </c>
      <c r="D5029" t="s">
        <v>2065</v>
      </c>
      <c r="E5029" t="s">
        <v>2059</v>
      </c>
      <c r="F5029" t="s">
        <v>16</v>
      </c>
      <c r="G5029">
        <v>162.49</v>
      </c>
      <c r="H5029" t="s">
        <v>2060</v>
      </c>
      <c r="I5029" t="str">
        <f>VLOOKUP(B5029,Customers!A:G,7,FALSE)</f>
        <v>Student</v>
      </c>
      <c r="Q5029" t="str">
        <f>IF(COUNTIF(Customers!$A$2:$A$1001,B5029)&gt;0,"Valid","Invalid")</f>
        <v>Valid</v>
      </c>
      <c r="R5029" t="str">
        <f>IF(COUNTIF(Branches!$A$2:$A$11,F5029)&gt;0,"Valid","Invalid")</f>
        <v>Valid</v>
      </c>
    </row>
    <row r="5030" spans="1:18" x14ac:dyDescent="0.25">
      <c r="A5030" t="s">
        <v>7101</v>
      </c>
      <c r="B5030" t="s">
        <v>450</v>
      </c>
      <c r="C5030" s="8">
        <v>46221</v>
      </c>
      <c r="D5030" t="s">
        <v>2062</v>
      </c>
      <c r="E5030" t="s">
        <v>2068</v>
      </c>
      <c r="F5030" t="s">
        <v>11</v>
      </c>
      <c r="G5030">
        <v>3183.93</v>
      </c>
      <c r="H5030" t="s">
        <v>2107</v>
      </c>
      <c r="I5030" t="str">
        <f>VLOOKUP(B5030,Customers!A:G,7,FALSE)</f>
        <v>Individual</v>
      </c>
      <c r="Q5030" t="str">
        <f>IF(COUNTIF(Customers!$A$2:$A$1001,B5030)&gt;0,"Valid","Invalid")</f>
        <v>Valid</v>
      </c>
      <c r="R5030" t="str">
        <f>IF(COUNTIF(Branches!$A$2:$A$11,F5030)&gt;0,"Valid","Invalid")</f>
        <v>Valid</v>
      </c>
    </row>
    <row r="5031" spans="1:18" x14ac:dyDescent="0.25">
      <c r="A5031" t="s">
        <v>7102</v>
      </c>
      <c r="B5031" t="s">
        <v>880</v>
      </c>
      <c r="C5031" s="8">
        <v>46218</v>
      </c>
      <c r="D5031" t="s">
        <v>2058</v>
      </c>
      <c r="E5031" t="s">
        <v>2063</v>
      </c>
      <c r="F5031" t="s">
        <v>16</v>
      </c>
      <c r="G5031">
        <v>337.87</v>
      </c>
      <c r="H5031" t="s">
        <v>2060</v>
      </c>
      <c r="I5031" t="str">
        <f>VLOOKUP(B5031,Customers!A:G,7,FALSE)</f>
        <v>SME</v>
      </c>
      <c r="Q5031" t="str">
        <f>IF(COUNTIF(Customers!$A$2:$A$1001,B5031)&gt;0,"Valid","Invalid")</f>
        <v>Valid</v>
      </c>
      <c r="R5031" t="str">
        <f>IF(COUNTIF(Branches!$A$2:$A$11,F5031)&gt;0,"Valid","Invalid")</f>
        <v>Valid</v>
      </c>
    </row>
    <row r="5032" spans="1:18" x14ac:dyDescent="0.25">
      <c r="A5032" t="s">
        <v>7103</v>
      </c>
      <c r="B5032" t="s">
        <v>408</v>
      </c>
      <c r="C5032" s="8">
        <v>46080</v>
      </c>
      <c r="D5032" t="s">
        <v>2065</v>
      </c>
      <c r="E5032" t="s">
        <v>2068</v>
      </c>
      <c r="F5032" t="s">
        <v>29</v>
      </c>
      <c r="G5032">
        <v>766.69</v>
      </c>
      <c r="H5032" t="s">
        <v>2060</v>
      </c>
      <c r="I5032" t="str">
        <f>VLOOKUP(B5032,Customers!A:G,7,FALSE)</f>
        <v>Individual</v>
      </c>
      <c r="Q5032" t="str">
        <f>IF(COUNTIF(Customers!$A$2:$A$1001,B5032)&gt;0,"Valid","Invalid")</f>
        <v>Valid</v>
      </c>
      <c r="R5032" t="str">
        <f>IF(COUNTIF(Branches!$A$2:$A$11,F5032)&gt;0,"Valid","Invalid")</f>
        <v>Valid</v>
      </c>
    </row>
    <row r="5033" spans="1:18" x14ac:dyDescent="0.25">
      <c r="A5033" t="s">
        <v>7104</v>
      </c>
      <c r="B5033" t="s">
        <v>391</v>
      </c>
      <c r="C5033" s="8">
        <v>46099</v>
      </c>
      <c r="D5033" t="s">
        <v>2058</v>
      </c>
      <c r="E5033" t="s">
        <v>2059</v>
      </c>
      <c r="F5033" t="s">
        <v>29</v>
      </c>
      <c r="G5033">
        <v>604.73</v>
      </c>
      <c r="H5033" t="s">
        <v>2060</v>
      </c>
      <c r="I5033" t="str">
        <f>VLOOKUP(B5033,Customers!A:G,7,FALSE)</f>
        <v>Individual</v>
      </c>
      <c r="Q5033" t="str">
        <f>IF(COUNTIF(Customers!$A$2:$A$1001,B5033)&gt;0,"Valid","Invalid")</f>
        <v>Valid</v>
      </c>
      <c r="R5033" t="str">
        <f>IF(COUNTIF(Branches!$A$2:$A$11,F5033)&gt;0,"Valid","Invalid")</f>
        <v>Valid</v>
      </c>
    </row>
    <row r="5034" spans="1:18" x14ac:dyDescent="0.25">
      <c r="A5034" t="s">
        <v>7105</v>
      </c>
      <c r="B5034" t="s">
        <v>982</v>
      </c>
      <c r="C5034" s="8">
        <v>46041</v>
      </c>
      <c r="D5034" t="s">
        <v>2058</v>
      </c>
      <c r="E5034" t="s">
        <v>2059</v>
      </c>
      <c r="F5034" t="s">
        <v>39</v>
      </c>
      <c r="G5034">
        <v>482.92</v>
      </c>
      <c r="H5034" t="s">
        <v>2060</v>
      </c>
      <c r="I5034" t="str">
        <f>VLOOKUP(B5034,Customers!A:G,7,FALSE)</f>
        <v>Individual</v>
      </c>
      <c r="Q5034" t="str">
        <f>IF(COUNTIF(Customers!$A$2:$A$1001,B5034)&gt;0,"Valid","Invalid")</f>
        <v>Valid</v>
      </c>
      <c r="R5034" t="str">
        <f>IF(COUNTIF(Branches!$A$2:$A$11,F5034)&gt;0,"Valid","Invalid")</f>
        <v>Valid</v>
      </c>
    </row>
    <row r="5035" spans="1:18" x14ac:dyDescent="0.25">
      <c r="A5035" t="s">
        <v>7106</v>
      </c>
      <c r="B5035" t="s">
        <v>374</v>
      </c>
      <c r="C5035" s="8">
        <v>46084</v>
      </c>
      <c r="D5035" t="s">
        <v>2065</v>
      </c>
      <c r="E5035" t="s">
        <v>2076</v>
      </c>
      <c r="F5035" t="s">
        <v>29</v>
      </c>
      <c r="G5035">
        <v>1619.36</v>
      </c>
      <c r="H5035" t="s">
        <v>2060</v>
      </c>
      <c r="I5035" t="str">
        <f>VLOOKUP(B5035,Customers!A:G,7,FALSE)</f>
        <v>Individual</v>
      </c>
      <c r="Q5035" t="str">
        <f>IF(COUNTIF(Customers!$A$2:$A$1001,B5035)&gt;0,"Valid","Invalid")</f>
        <v>Valid</v>
      </c>
      <c r="R5035" t="str">
        <f>IF(COUNTIF(Branches!$A$2:$A$11,F5035)&gt;0,"Valid","Invalid")</f>
        <v>Valid</v>
      </c>
    </row>
    <row r="5036" spans="1:18" x14ac:dyDescent="0.25">
      <c r="A5036" t="s">
        <v>7107</v>
      </c>
      <c r="B5036" t="s">
        <v>929</v>
      </c>
      <c r="C5036" s="8">
        <v>46093</v>
      </c>
      <c r="D5036" t="s">
        <v>2058</v>
      </c>
      <c r="E5036" t="s">
        <v>2059</v>
      </c>
      <c r="F5036" t="s">
        <v>29</v>
      </c>
      <c r="G5036">
        <v>808.2</v>
      </c>
      <c r="H5036" t="s">
        <v>2060</v>
      </c>
      <c r="I5036" t="str">
        <f>VLOOKUP(B5036,Customers!A:G,7,FALSE)</f>
        <v>Individual</v>
      </c>
      <c r="Q5036" t="str">
        <f>IF(COUNTIF(Customers!$A$2:$A$1001,B5036)&gt;0,"Valid","Invalid")</f>
        <v>Valid</v>
      </c>
      <c r="R5036" t="str">
        <f>IF(COUNTIF(Branches!$A$2:$A$11,F5036)&gt;0,"Valid","Invalid")</f>
        <v>Valid</v>
      </c>
    </row>
    <row r="5037" spans="1:18" x14ac:dyDescent="0.25">
      <c r="A5037" t="s">
        <v>7108</v>
      </c>
      <c r="B5037" t="s">
        <v>944</v>
      </c>
      <c r="C5037" s="8">
        <v>46160</v>
      </c>
      <c r="D5037" t="s">
        <v>2062</v>
      </c>
      <c r="E5037" t="s">
        <v>2059</v>
      </c>
      <c r="F5037" t="s">
        <v>45</v>
      </c>
      <c r="G5037">
        <v>416.67</v>
      </c>
      <c r="H5037" t="s">
        <v>2060</v>
      </c>
      <c r="I5037" t="str">
        <f>VLOOKUP(B5037,Customers!A:G,7,FALSE)</f>
        <v>Individual</v>
      </c>
      <c r="Q5037" t="str">
        <f>IF(COUNTIF(Customers!$A$2:$A$1001,B5037)&gt;0,"Valid","Invalid")</f>
        <v>Valid</v>
      </c>
      <c r="R5037" t="str">
        <f>IF(COUNTIF(Branches!$A$2:$A$11,F5037)&gt;0,"Valid","Invalid")</f>
        <v>Valid</v>
      </c>
    </row>
    <row r="5038" spans="1:18" x14ac:dyDescent="0.25">
      <c r="A5038" t="s">
        <v>7109</v>
      </c>
      <c r="B5038" t="s">
        <v>327</v>
      </c>
      <c r="C5038" s="8">
        <v>46047</v>
      </c>
      <c r="D5038" t="s">
        <v>2062</v>
      </c>
      <c r="E5038" t="s">
        <v>2076</v>
      </c>
      <c r="F5038" t="s">
        <v>47</v>
      </c>
      <c r="G5038">
        <v>947.66</v>
      </c>
      <c r="H5038" t="s">
        <v>2060</v>
      </c>
      <c r="I5038" t="str">
        <f>VLOOKUP(B5038,Customers!A:G,7,FALSE)</f>
        <v>Individual</v>
      </c>
      <c r="Q5038" t="str">
        <f>IF(COUNTIF(Customers!$A$2:$A$1001,B5038)&gt;0,"Valid","Invalid")</f>
        <v>Valid</v>
      </c>
      <c r="R5038" t="str">
        <f>IF(COUNTIF(Branches!$A$2:$A$11,F5038)&gt;0,"Valid","Invalid")</f>
        <v>Valid</v>
      </c>
    </row>
    <row r="5039" spans="1:18" x14ac:dyDescent="0.25">
      <c r="A5039" t="s">
        <v>7110</v>
      </c>
      <c r="B5039" t="s">
        <v>1034</v>
      </c>
      <c r="C5039" s="8">
        <v>46194</v>
      </c>
      <c r="D5039" t="s">
        <v>2065</v>
      </c>
      <c r="E5039" t="s">
        <v>2063</v>
      </c>
      <c r="F5039" t="s">
        <v>35</v>
      </c>
      <c r="G5039">
        <v>405.01</v>
      </c>
      <c r="H5039" t="s">
        <v>2060</v>
      </c>
      <c r="I5039" t="str">
        <f>VLOOKUP(B5039,Customers!A:G,7,FALSE)</f>
        <v>Individual</v>
      </c>
      <c r="Q5039" t="str">
        <f>IF(COUNTIF(Customers!$A$2:$A$1001,B5039)&gt;0,"Valid","Invalid")</f>
        <v>Valid</v>
      </c>
      <c r="R5039" t="str">
        <f>IF(COUNTIF(Branches!$A$2:$A$11,F5039)&gt;0,"Valid","Invalid")</f>
        <v>Valid</v>
      </c>
    </row>
    <row r="5040" spans="1:18" x14ac:dyDescent="0.25">
      <c r="A5040" t="s">
        <v>7111</v>
      </c>
      <c r="B5040" t="s">
        <v>1001</v>
      </c>
      <c r="C5040" s="8">
        <v>46249</v>
      </c>
      <c r="D5040" t="s">
        <v>2062</v>
      </c>
      <c r="E5040" t="s">
        <v>2063</v>
      </c>
      <c r="F5040" t="s">
        <v>53</v>
      </c>
      <c r="G5040">
        <v>474.48</v>
      </c>
      <c r="H5040" t="s">
        <v>2060</v>
      </c>
      <c r="I5040" t="str">
        <f>VLOOKUP(B5040,Customers!A:G,7,FALSE)</f>
        <v>Individual</v>
      </c>
      <c r="Q5040" t="str">
        <f>IF(COUNTIF(Customers!$A$2:$A$1001,B5040)&gt;0,"Valid","Invalid")</f>
        <v>Valid</v>
      </c>
      <c r="R5040" t="str">
        <f>IF(COUNTIF(Branches!$A$2:$A$11,F5040)&gt;0,"Valid","Invalid")</f>
        <v>Valid</v>
      </c>
    </row>
    <row r="5041" spans="1:18" x14ac:dyDescent="0.25">
      <c r="A5041" t="s">
        <v>7112</v>
      </c>
      <c r="B5041" t="s">
        <v>1003</v>
      </c>
      <c r="C5041" s="8">
        <v>46149</v>
      </c>
      <c r="D5041" t="s">
        <v>2067</v>
      </c>
      <c r="E5041" t="s">
        <v>2068</v>
      </c>
      <c r="F5041" t="s">
        <v>35</v>
      </c>
      <c r="G5041">
        <v>181.77</v>
      </c>
      <c r="H5041" t="s">
        <v>2060</v>
      </c>
      <c r="I5041" t="str">
        <f>VLOOKUP(B5041,Customers!A:G,7,FALSE)</f>
        <v>Individual</v>
      </c>
      <c r="Q5041" t="str">
        <f>IF(COUNTIF(Customers!$A$2:$A$1001,B5041)&gt;0,"Valid","Invalid")</f>
        <v>Valid</v>
      </c>
      <c r="R5041" t="str">
        <f>IF(COUNTIF(Branches!$A$2:$A$11,F5041)&gt;0,"Valid","Invalid")</f>
        <v>Valid</v>
      </c>
    </row>
    <row r="5042" spans="1:18" x14ac:dyDescent="0.25">
      <c r="A5042" t="s">
        <v>7113</v>
      </c>
      <c r="B5042" t="s">
        <v>176</v>
      </c>
      <c r="C5042" s="8">
        <v>46080</v>
      </c>
      <c r="D5042" t="s">
        <v>2070</v>
      </c>
      <c r="E5042" t="s">
        <v>2068</v>
      </c>
      <c r="F5042" t="s">
        <v>53</v>
      </c>
      <c r="G5042">
        <v>517.85</v>
      </c>
      <c r="H5042" t="s">
        <v>2060</v>
      </c>
      <c r="I5042" t="str">
        <f>VLOOKUP(B5042,Customers!A:G,7,FALSE)</f>
        <v>Corporate</v>
      </c>
      <c r="Q5042" t="str">
        <f>IF(COUNTIF(Customers!$A$2:$A$1001,B5042)&gt;0,"Valid","Invalid")</f>
        <v>Valid</v>
      </c>
      <c r="R5042" t="str">
        <f>IF(COUNTIF(Branches!$A$2:$A$11,F5042)&gt;0,"Valid","Invalid")</f>
        <v>Valid</v>
      </c>
    </row>
    <row r="5043" spans="1:18" x14ac:dyDescent="0.25">
      <c r="A5043" t="s">
        <v>7114</v>
      </c>
      <c r="B5043" t="s">
        <v>991</v>
      </c>
      <c r="C5043" s="8">
        <v>46175</v>
      </c>
      <c r="D5043" t="s">
        <v>2065</v>
      </c>
      <c r="E5043" t="s">
        <v>2059</v>
      </c>
      <c r="F5043" t="s">
        <v>27</v>
      </c>
      <c r="G5043">
        <v>1331.69</v>
      </c>
      <c r="H5043" t="s">
        <v>2060</v>
      </c>
      <c r="I5043" t="str">
        <f>VLOOKUP(B5043,Customers!A:G,7,FALSE)</f>
        <v>Individual</v>
      </c>
      <c r="Q5043" t="str">
        <f>IF(COUNTIF(Customers!$A$2:$A$1001,B5043)&gt;0,"Valid","Invalid")</f>
        <v>Valid</v>
      </c>
      <c r="R5043" t="str">
        <f>IF(COUNTIF(Branches!$A$2:$A$11,F5043)&gt;0,"Valid","Invalid")</f>
        <v>Valid</v>
      </c>
    </row>
    <row r="5044" spans="1:18" x14ac:dyDescent="0.25">
      <c r="A5044" t="s">
        <v>7115</v>
      </c>
      <c r="B5044" t="s">
        <v>338</v>
      </c>
      <c r="C5044" s="8">
        <v>46243</v>
      </c>
      <c r="D5044" t="s">
        <v>2058</v>
      </c>
      <c r="E5044" t="s">
        <v>2059</v>
      </c>
      <c r="F5044" t="s">
        <v>11</v>
      </c>
      <c r="G5044">
        <v>843.13</v>
      </c>
      <c r="H5044" t="s">
        <v>2060</v>
      </c>
      <c r="I5044" t="str">
        <f>VLOOKUP(B5044,Customers!A:G,7,FALSE)</f>
        <v>Individual</v>
      </c>
      <c r="Q5044" t="str">
        <f>IF(COUNTIF(Customers!$A$2:$A$1001,B5044)&gt;0,"Valid","Invalid")</f>
        <v>Valid</v>
      </c>
      <c r="R5044" t="str">
        <f>IF(COUNTIF(Branches!$A$2:$A$11,F5044)&gt;0,"Valid","Invalid")</f>
        <v>Valid</v>
      </c>
    </row>
    <row r="5045" spans="1:18" x14ac:dyDescent="0.25">
      <c r="A5045" t="s">
        <v>7116</v>
      </c>
      <c r="B5045" t="s">
        <v>42</v>
      </c>
      <c r="C5045" s="8">
        <v>46142</v>
      </c>
      <c r="D5045" t="s">
        <v>2058</v>
      </c>
      <c r="E5045" t="s">
        <v>2076</v>
      </c>
      <c r="F5045" t="s">
        <v>39</v>
      </c>
      <c r="G5045">
        <v>4989.3599999999997</v>
      </c>
      <c r="H5045" t="s">
        <v>2060</v>
      </c>
      <c r="I5045" t="str">
        <f>VLOOKUP(B5045,Customers!A:G,7,FALSE)</f>
        <v>Individual</v>
      </c>
      <c r="Q5045" t="str">
        <f>IF(COUNTIF(Customers!$A$2:$A$1001,B5045)&gt;0,"Valid","Invalid")</f>
        <v>Valid</v>
      </c>
      <c r="R5045" t="str">
        <f>IF(COUNTIF(Branches!$A$2:$A$11,F5045)&gt;0,"Valid","Invalid")</f>
        <v>Valid</v>
      </c>
    </row>
    <row r="5046" spans="1:18" x14ac:dyDescent="0.25">
      <c r="A5046" t="s">
        <v>7117</v>
      </c>
      <c r="B5046" t="s">
        <v>702</v>
      </c>
      <c r="C5046" s="8">
        <v>46226</v>
      </c>
      <c r="D5046" t="s">
        <v>2065</v>
      </c>
      <c r="E5046" t="s">
        <v>2059</v>
      </c>
      <c r="F5046" t="s">
        <v>11</v>
      </c>
      <c r="G5046">
        <v>11079.12</v>
      </c>
      <c r="H5046" t="s">
        <v>2060</v>
      </c>
      <c r="I5046" t="str">
        <f>VLOOKUP(B5046,Customers!A:G,7,FALSE)</f>
        <v>Individual</v>
      </c>
      <c r="Q5046" t="str">
        <f>IF(COUNTIF(Customers!$A$2:$A$1001,B5046)&gt;0,"Valid","Invalid")</f>
        <v>Valid</v>
      </c>
      <c r="R5046" t="str">
        <f>IF(COUNTIF(Branches!$A$2:$A$11,F5046)&gt;0,"Valid","Invalid")</f>
        <v>Valid</v>
      </c>
    </row>
    <row r="5047" spans="1:18" x14ac:dyDescent="0.25">
      <c r="A5047" t="s">
        <v>7118</v>
      </c>
      <c r="B5047" t="s">
        <v>466</v>
      </c>
      <c r="C5047" s="8">
        <v>46265</v>
      </c>
      <c r="D5047" t="s">
        <v>2062</v>
      </c>
      <c r="E5047" t="s">
        <v>2059</v>
      </c>
      <c r="F5047" t="s">
        <v>47</v>
      </c>
      <c r="G5047">
        <v>510.7</v>
      </c>
      <c r="H5047" t="s">
        <v>2060</v>
      </c>
      <c r="I5047" t="str">
        <f>VLOOKUP(B5047,Customers!A:G,7,FALSE)</f>
        <v>Corporate</v>
      </c>
      <c r="Q5047" t="str">
        <f>IF(COUNTIF(Customers!$A$2:$A$1001,B5047)&gt;0,"Valid","Invalid")</f>
        <v>Valid</v>
      </c>
      <c r="R5047" t="str">
        <f>IF(COUNTIF(Branches!$A$2:$A$11,F5047)&gt;0,"Valid","Invalid")</f>
        <v>Valid</v>
      </c>
    </row>
    <row r="5048" spans="1:18" x14ac:dyDescent="0.25">
      <c r="A5048" t="s">
        <v>7119</v>
      </c>
      <c r="B5048" t="s">
        <v>863</v>
      </c>
      <c r="C5048" s="8">
        <v>46133</v>
      </c>
      <c r="D5048" t="s">
        <v>2058</v>
      </c>
      <c r="E5048" t="s">
        <v>2073</v>
      </c>
      <c r="F5048" t="s">
        <v>29</v>
      </c>
      <c r="G5048">
        <v>353.08</v>
      </c>
      <c r="H5048" t="s">
        <v>2060</v>
      </c>
      <c r="I5048" t="str">
        <f>VLOOKUP(B5048,Customers!A:G,7,FALSE)</f>
        <v>Corporate</v>
      </c>
      <c r="Q5048" t="str">
        <f>IF(COUNTIF(Customers!$A$2:$A$1001,B5048)&gt;0,"Valid","Invalid")</f>
        <v>Valid</v>
      </c>
      <c r="R5048" t="str">
        <f>IF(COUNTIF(Branches!$A$2:$A$11,F5048)&gt;0,"Valid","Invalid")</f>
        <v>Valid</v>
      </c>
    </row>
    <row r="5049" spans="1:18" x14ac:dyDescent="0.25">
      <c r="A5049" t="s">
        <v>7120</v>
      </c>
      <c r="B5049" t="s">
        <v>902</v>
      </c>
      <c r="C5049" s="8">
        <v>46190</v>
      </c>
      <c r="D5049" t="s">
        <v>2065</v>
      </c>
      <c r="E5049" t="s">
        <v>2063</v>
      </c>
      <c r="F5049" t="s">
        <v>29</v>
      </c>
      <c r="G5049">
        <v>2514.4699999999998</v>
      </c>
      <c r="H5049" t="s">
        <v>2060</v>
      </c>
      <c r="I5049" t="str">
        <f>VLOOKUP(B5049,Customers!A:G,7,FALSE)</f>
        <v>SME</v>
      </c>
      <c r="Q5049" t="str">
        <f>IF(COUNTIF(Customers!$A$2:$A$1001,B5049)&gt;0,"Valid","Invalid")</f>
        <v>Valid</v>
      </c>
      <c r="R5049" t="str">
        <f>IF(COUNTIF(Branches!$A$2:$A$11,F5049)&gt;0,"Valid","Invalid")</f>
        <v>Valid</v>
      </c>
    </row>
    <row r="5050" spans="1:18" x14ac:dyDescent="0.25">
      <c r="A5050" t="s">
        <v>7121</v>
      </c>
      <c r="B5050" t="s">
        <v>438</v>
      </c>
      <c r="C5050" s="8">
        <v>46098</v>
      </c>
      <c r="D5050" t="s">
        <v>2058</v>
      </c>
      <c r="E5050" t="s">
        <v>2076</v>
      </c>
      <c r="F5050" t="s">
        <v>11</v>
      </c>
      <c r="G5050">
        <v>1135.93</v>
      </c>
      <c r="H5050" t="s">
        <v>2060</v>
      </c>
      <c r="I5050" t="str">
        <f>VLOOKUP(B5050,Customers!A:G,7,FALSE)</f>
        <v>Individual</v>
      </c>
      <c r="Q5050" t="str">
        <f>IF(COUNTIF(Customers!$A$2:$A$1001,B5050)&gt;0,"Valid","Invalid")</f>
        <v>Valid</v>
      </c>
      <c r="R5050" t="str">
        <f>IF(COUNTIF(Branches!$A$2:$A$11,F5050)&gt;0,"Valid","Invalid")</f>
        <v>Valid</v>
      </c>
    </row>
    <row r="5051" spans="1:18" x14ac:dyDescent="0.25">
      <c r="A5051" t="s">
        <v>7122</v>
      </c>
      <c r="B5051" t="s">
        <v>1030</v>
      </c>
      <c r="C5051" s="8">
        <v>46092</v>
      </c>
      <c r="D5051" t="s">
        <v>2058</v>
      </c>
      <c r="E5051" t="s">
        <v>2068</v>
      </c>
      <c r="F5051" t="s">
        <v>21</v>
      </c>
      <c r="G5051">
        <v>2529.75</v>
      </c>
      <c r="H5051" t="s">
        <v>2060</v>
      </c>
      <c r="I5051" t="str">
        <f>VLOOKUP(B5051,Customers!A:G,7,FALSE)</f>
        <v>Individual</v>
      </c>
      <c r="Q5051" t="str">
        <f>IF(COUNTIF(Customers!$A$2:$A$1001,B5051)&gt;0,"Valid","Invalid")</f>
        <v>Valid</v>
      </c>
      <c r="R5051" t="str">
        <f>IF(COUNTIF(Branches!$A$2:$A$11,F5051)&gt;0,"Valid","Invalid")</f>
        <v>Valid</v>
      </c>
    </row>
    <row r="5052" spans="1:18" x14ac:dyDescent="0.25">
      <c r="A5052" t="s">
        <v>7123</v>
      </c>
      <c r="B5052" t="s">
        <v>145</v>
      </c>
      <c r="C5052" s="8">
        <v>46160</v>
      </c>
      <c r="D5052" t="s">
        <v>2065</v>
      </c>
      <c r="E5052" t="s">
        <v>2076</v>
      </c>
      <c r="F5052" t="s">
        <v>47</v>
      </c>
      <c r="G5052">
        <v>1210.55</v>
      </c>
      <c r="H5052" t="s">
        <v>2060</v>
      </c>
      <c r="I5052" t="str">
        <f>VLOOKUP(B5052,Customers!A:G,7,FALSE)</f>
        <v>Individual</v>
      </c>
      <c r="Q5052" t="str">
        <f>IF(COUNTIF(Customers!$A$2:$A$1001,B5052)&gt;0,"Valid","Invalid")</f>
        <v>Valid</v>
      </c>
      <c r="R5052" t="str">
        <f>IF(COUNTIF(Branches!$A$2:$A$11,F5052)&gt;0,"Valid","Invalid")</f>
        <v>Valid</v>
      </c>
    </row>
    <row r="5053" spans="1:18" x14ac:dyDescent="0.25">
      <c r="A5053" t="s">
        <v>7124</v>
      </c>
      <c r="B5053" t="s">
        <v>523</v>
      </c>
      <c r="C5053" s="8">
        <v>46088</v>
      </c>
      <c r="D5053" t="s">
        <v>2070</v>
      </c>
      <c r="E5053" t="s">
        <v>2068</v>
      </c>
      <c r="F5053" t="s">
        <v>11</v>
      </c>
      <c r="G5053">
        <v>668.91</v>
      </c>
      <c r="H5053" t="s">
        <v>2060</v>
      </c>
      <c r="I5053" t="str">
        <f>VLOOKUP(B5053,Customers!A:G,7,FALSE)</f>
        <v>SME</v>
      </c>
      <c r="Q5053" t="str">
        <f>IF(COUNTIF(Customers!$A$2:$A$1001,B5053)&gt;0,"Valid","Invalid")</f>
        <v>Valid</v>
      </c>
      <c r="R5053" t="str">
        <f>IF(COUNTIF(Branches!$A$2:$A$11,F5053)&gt;0,"Valid","Invalid")</f>
        <v>Valid</v>
      </c>
    </row>
    <row r="5054" spans="1:18" x14ac:dyDescent="0.25">
      <c r="A5054" t="s">
        <v>7125</v>
      </c>
      <c r="B5054" t="s">
        <v>926</v>
      </c>
      <c r="C5054" s="8">
        <v>46142</v>
      </c>
      <c r="D5054" t="s">
        <v>2062</v>
      </c>
      <c r="E5054" t="s">
        <v>2063</v>
      </c>
      <c r="F5054" t="s">
        <v>35</v>
      </c>
      <c r="G5054">
        <v>672.71</v>
      </c>
      <c r="H5054" t="s">
        <v>2060</v>
      </c>
      <c r="I5054" t="str">
        <f>VLOOKUP(B5054,Customers!A:G,7,FALSE)</f>
        <v>Student</v>
      </c>
      <c r="Q5054" t="str">
        <f>IF(COUNTIF(Customers!$A$2:$A$1001,B5054)&gt;0,"Valid","Invalid")</f>
        <v>Valid</v>
      </c>
      <c r="R5054" t="str">
        <f>IF(COUNTIF(Branches!$A$2:$A$11,F5054)&gt;0,"Valid","Invalid")</f>
        <v>Valid</v>
      </c>
    </row>
    <row r="5055" spans="1:18" x14ac:dyDescent="0.25">
      <c r="A5055" t="s">
        <v>7126</v>
      </c>
      <c r="B5055" t="s">
        <v>394</v>
      </c>
      <c r="C5055" s="8">
        <v>46259</v>
      </c>
      <c r="D5055" t="s">
        <v>2067</v>
      </c>
      <c r="E5055" t="s">
        <v>2063</v>
      </c>
      <c r="F5055" t="s">
        <v>39</v>
      </c>
      <c r="G5055">
        <v>1252.3499999999999</v>
      </c>
      <c r="H5055" t="s">
        <v>2060</v>
      </c>
      <c r="I5055" t="str">
        <f>VLOOKUP(B5055,Customers!A:G,7,FALSE)</f>
        <v>Student</v>
      </c>
      <c r="Q5055" t="str">
        <f>IF(COUNTIF(Customers!$A$2:$A$1001,B5055)&gt;0,"Valid","Invalid")</f>
        <v>Valid</v>
      </c>
      <c r="R5055" t="str">
        <f>IF(COUNTIF(Branches!$A$2:$A$11,F5055)&gt;0,"Valid","Invalid")</f>
        <v>Valid</v>
      </c>
    </row>
    <row r="5056" spans="1:18" x14ac:dyDescent="0.25">
      <c r="A5056" t="s">
        <v>7127</v>
      </c>
      <c r="B5056" t="s">
        <v>185</v>
      </c>
      <c r="C5056" s="8">
        <v>46175</v>
      </c>
      <c r="D5056" t="s">
        <v>2058</v>
      </c>
      <c r="E5056" t="s">
        <v>2068</v>
      </c>
      <c r="F5056" t="s">
        <v>35</v>
      </c>
      <c r="G5056">
        <v>657.79</v>
      </c>
      <c r="H5056" t="s">
        <v>2060</v>
      </c>
      <c r="I5056" t="str">
        <f>VLOOKUP(B5056,Customers!A:G,7,FALSE)</f>
        <v>SME</v>
      </c>
      <c r="Q5056" t="str">
        <f>IF(COUNTIF(Customers!$A$2:$A$1001,B5056)&gt;0,"Valid","Invalid")</f>
        <v>Valid</v>
      </c>
      <c r="R5056" t="str">
        <f>IF(COUNTIF(Branches!$A$2:$A$11,F5056)&gt;0,"Valid","Invalid")</f>
        <v>Valid</v>
      </c>
    </row>
    <row r="5057" spans="1:18" x14ac:dyDescent="0.25">
      <c r="A5057" t="s">
        <v>7128</v>
      </c>
      <c r="B5057" t="s">
        <v>917</v>
      </c>
      <c r="C5057" s="8">
        <v>46221</v>
      </c>
      <c r="D5057" t="s">
        <v>2067</v>
      </c>
      <c r="E5057" t="s">
        <v>2059</v>
      </c>
      <c r="F5057" t="s">
        <v>35</v>
      </c>
      <c r="G5057">
        <v>2750.4</v>
      </c>
      <c r="H5057" t="s">
        <v>2060</v>
      </c>
      <c r="I5057" t="str">
        <f>VLOOKUP(B5057,Customers!A:G,7,FALSE)</f>
        <v>Individual</v>
      </c>
      <c r="Q5057" t="str">
        <f>IF(COUNTIF(Customers!$A$2:$A$1001,B5057)&gt;0,"Valid","Invalid")</f>
        <v>Valid</v>
      </c>
      <c r="R5057" t="str">
        <f>IF(COUNTIF(Branches!$A$2:$A$11,F5057)&gt;0,"Valid","Invalid")</f>
        <v>Valid</v>
      </c>
    </row>
    <row r="5058" spans="1:18" x14ac:dyDescent="0.25">
      <c r="A5058" t="s">
        <v>7129</v>
      </c>
      <c r="B5058" t="s">
        <v>754</v>
      </c>
      <c r="C5058" s="8">
        <v>46254</v>
      </c>
      <c r="D5058" t="s">
        <v>2062</v>
      </c>
      <c r="E5058" t="s">
        <v>2076</v>
      </c>
      <c r="F5058" t="s">
        <v>29</v>
      </c>
      <c r="G5058">
        <v>220.89</v>
      </c>
      <c r="H5058" t="s">
        <v>2060</v>
      </c>
      <c r="I5058" t="str">
        <f>VLOOKUP(B5058,Customers!A:G,7,FALSE)</f>
        <v>Individual</v>
      </c>
      <c r="Q5058" t="str">
        <f>IF(COUNTIF(Customers!$A$2:$A$1001,B5058)&gt;0,"Valid","Invalid")</f>
        <v>Valid</v>
      </c>
      <c r="R5058" t="str">
        <f>IF(COUNTIF(Branches!$A$2:$A$11,F5058)&gt;0,"Valid","Invalid")</f>
        <v>Valid</v>
      </c>
    </row>
    <row r="5059" spans="1:18" x14ac:dyDescent="0.25">
      <c r="A5059" t="s">
        <v>7130</v>
      </c>
      <c r="B5059" t="s">
        <v>345</v>
      </c>
      <c r="C5059" s="8">
        <v>46109</v>
      </c>
      <c r="D5059" t="s">
        <v>2070</v>
      </c>
      <c r="E5059" t="s">
        <v>2063</v>
      </c>
      <c r="F5059" t="s">
        <v>16</v>
      </c>
      <c r="G5059">
        <v>2735.7</v>
      </c>
      <c r="H5059" t="s">
        <v>2115</v>
      </c>
      <c r="I5059" t="str">
        <f>VLOOKUP(B5059,Customers!A:G,7,FALSE)</f>
        <v>Individual</v>
      </c>
      <c r="Q5059" t="str">
        <f>IF(COUNTIF(Customers!$A$2:$A$1001,B5059)&gt;0,"Valid","Invalid")</f>
        <v>Valid</v>
      </c>
      <c r="R5059" t="str">
        <f>IF(COUNTIF(Branches!$A$2:$A$11,F5059)&gt;0,"Valid","Invalid")</f>
        <v>Valid</v>
      </c>
    </row>
    <row r="5060" spans="1:18" x14ac:dyDescent="0.25">
      <c r="A5060" t="s">
        <v>7131</v>
      </c>
      <c r="B5060" t="s">
        <v>571</v>
      </c>
      <c r="C5060" s="8">
        <v>46262</v>
      </c>
      <c r="D5060" t="s">
        <v>2067</v>
      </c>
      <c r="E5060" t="s">
        <v>2068</v>
      </c>
      <c r="F5060" t="s">
        <v>29</v>
      </c>
      <c r="G5060">
        <v>124.79</v>
      </c>
      <c r="H5060" t="s">
        <v>2060</v>
      </c>
      <c r="I5060" t="str">
        <f>VLOOKUP(B5060,Customers!A:G,7,FALSE)</f>
        <v>Individual</v>
      </c>
      <c r="Q5060" t="str">
        <f>IF(COUNTIF(Customers!$A$2:$A$1001,B5060)&gt;0,"Valid","Invalid")</f>
        <v>Valid</v>
      </c>
      <c r="R5060" t="str">
        <f>IF(COUNTIF(Branches!$A$2:$A$11,F5060)&gt;0,"Valid","Invalid")</f>
        <v>Valid</v>
      </c>
    </row>
    <row r="5061" spans="1:18" x14ac:dyDescent="0.25">
      <c r="A5061" t="s">
        <v>7132</v>
      </c>
      <c r="B5061" t="s">
        <v>96</v>
      </c>
      <c r="C5061" s="8">
        <v>46161</v>
      </c>
      <c r="D5061" t="s">
        <v>2062</v>
      </c>
      <c r="E5061" t="s">
        <v>2059</v>
      </c>
      <c r="F5061" t="s">
        <v>35</v>
      </c>
      <c r="G5061">
        <v>939.27</v>
      </c>
      <c r="H5061" t="s">
        <v>2060</v>
      </c>
      <c r="I5061" t="str">
        <f>VLOOKUP(B5061,Customers!A:G,7,FALSE)</f>
        <v>Individual</v>
      </c>
      <c r="Q5061" t="str">
        <f>IF(COUNTIF(Customers!$A$2:$A$1001,B5061)&gt;0,"Valid","Invalid")</f>
        <v>Valid</v>
      </c>
      <c r="R5061" t="str">
        <f>IF(COUNTIF(Branches!$A$2:$A$11,F5061)&gt;0,"Valid","Invalid")</f>
        <v>Valid</v>
      </c>
    </row>
    <row r="5062" spans="1:18" x14ac:dyDescent="0.25">
      <c r="A5062" t="s">
        <v>7133</v>
      </c>
      <c r="B5062" t="s">
        <v>473</v>
      </c>
      <c r="C5062" s="8">
        <v>46144</v>
      </c>
      <c r="D5062" t="s">
        <v>2058</v>
      </c>
      <c r="E5062" t="s">
        <v>2063</v>
      </c>
      <c r="F5062" t="s">
        <v>27</v>
      </c>
      <c r="G5062">
        <v>583.45000000000005</v>
      </c>
      <c r="H5062" t="s">
        <v>2060</v>
      </c>
      <c r="I5062" t="str">
        <f>VLOOKUP(B5062,Customers!A:G,7,FALSE)</f>
        <v>Individual</v>
      </c>
      <c r="Q5062" t="str">
        <f>IF(COUNTIF(Customers!$A$2:$A$1001,B5062)&gt;0,"Valid","Invalid")</f>
        <v>Valid</v>
      </c>
      <c r="R5062" t="str">
        <f>IF(COUNTIF(Branches!$A$2:$A$11,F5062)&gt;0,"Valid","Invalid")</f>
        <v>Valid</v>
      </c>
    </row>
    <row r="5063" spans="1:18" x14ac:dyDescent="0.25">
      <c r="A5063" t="s">
        <v>7134</v>
      </c>
      <c r="B5063" t="s">
        <v>55</v>
      </c>
      <c r="C5063" s="8">
        <v>46186</v>
      </c>
      <c r="D5063" t="s">
        <v>2067</v>
      </c>
      <c r="E5063" t="s">
        <v>2059</v>
      </c>
      <c r="F5063" t="s">
        <v>27</v>
      </c>
      <c r="G5063">
        <v>178.33</v>
      </c>
      <c r="H5063" t="s">
        <v>2060</v>
      </c>
      <c r="I5063" t="str">
        <f>VLOOKUP(B5063,Customers!A:G,7,FALSE)</f>
        <v>SME</v>
      </c>
      <c r="Q5063" t="str">
        <f>IF(COUNTIF(Customers!$A$2:$A$1001,B5063)&gt;0,"Valid","Invalid")</f>
        <v>Valid</v>
      </c>
      <c r="R5063" t="str">
        <f>IF(COUNTIF(Branches!$A$2:$A$11,F5063)&gt;0,"Valid","Invalid")</f>
        <v>Valid</v>
      </c>
    </row>
    <row r="5064" spans="1:18" x14ac:dyDescent="0.25">
      <c r="A5064" t="s">
        <v>7135</v>
      </c>
      <c r="B5064" t="s">
        <v>913</v>
      </c>
      <c r="C5064" s="8">
        <v>46071</v>
      </c>
      <c r="D5064" t="s">
        <v>2070</v>
      </c>
      <c r="E5064" t="s">
        <v>2076</v>
      </c>
      <c r="F5064" t="s">
        <v>21</v>
      </c>
      <c r="G5064">
        <v>103.54</v>
      </c>
      <c r="H5064" t="s">
        <v>2060</v>
      </c>
      <c r="I5064" t="str">
        <f>VLOOKUP(B5064,Customers!A:G,7,FALSE)</f>
        <v>Corporate</v>
      </c>
      <c r="Q5064" t="str">
        <f>IF(COUNTIF(Customers!$A$2:$A$1001,B5064)&gt;0,"Valid","Invalid")</f>
        <v>Valid</v>
      </c>
      <c r="R5064" t="str">
        <f>IF(COUNTIF(Branches!$A$2:$A$11,F5064)&gt;0,"Valid","Invalid")</f>
        <v>Valid</v>
      </c>
    </row>
    <row r="5065" spans="1:18" x14ac:dyDescent="0.25">
      <c r="A5065" t="s">
        <v>7136</v>
      </c>
      <c r="B5065" t="s">
        <v>420</v>
      </c>
      <c r="C5065" s="8">
        <v>46070</v>
      </c>
      <c r="D5065" t="s">
        <v>2058</v>
      </c>
      <c r="E5065" t="s">
        <v>2063</v>
      </c>
      <c r="F5065" t="s">
        <v>35</v>
      </c>
      <c r="G5065">
        <v>271.10000000000002</v>
      </c>
      <c r="H5065" t="s">
        <v>2060</v>
      </c>
      <c r="I5065" t="str">
        <f>VLOOKUP(B5065,Customers!A:G,7,FALSE)</f>
        <v>Student</v>
      </c>
      <c r="Q5065" t="str">
        <f>IF(COUNTIF(Customers!$A$2:$A$1001,B5065)&gt;0,"Valid","Invalid")</f>
        <v>Valid</v>
      </c>
      <c r="R5065" t="str">
        <f>IF(COUNTIF(Branches!$A$2:$A$11,F5065)&gt;0,"Valid","Invalid")</f>
        <v>Valid</v>
      </c>
    </row>
    <row r="5066" spans="1:18" x14ac:dyDescent="0.25">
      <c r="A5066" t="s">
        <v>7137</v>
      </c>
      <c r="B5066" t="s">
        <v>283</v>
      </c>
      <c r="C5066" s="8">
        <v>46137</v>
      </c>
      <c r="D5066" t="s">
        <v>2067</v>
      </c>
      <c r="E5066" t="s">
        <v>2076</v>
      </c>
      <c r="F5066" t="s">
        <v>39</v>
      </c>
      <c r="G5066">
        <v>850.38</v>
      </c>
      <c r="H5066" t="s">
        <v>2060</v>
      </c>
      <c r="I5066" t="str">
        <f>VLOOKUP(B5066,Customers!A:G,7,FALSE)</f>
        <v>Individual</v>
      </c>
      <c r="Q5066" t="str">
        <f>IF(COUNTIF(Customers!$A$2:$A$1001,B5066)&gt;0,"Valid","Invalid")</f>
        <v>Valid</v>
      </c>
      <c r="R5066" t="str">
        <f>IF(COUNTIF(Branches!$A$2:$A$11,F5066)&gt;0,"Valid","Invalid")</f>
        <v>Valid</v>
      </c>
    </row>
    <row r="5067" spans="1:18" x14ac:dyDescent="0.25">
      <c r="A5067" t="s">
        <v>7138</v>
      </c>
      <c r="B5067" t="s">
        <v>940</v>
      </c>
      <c r="C5067" s="8">
        <v>46109</v>
      </c>
      <c r="D5067" t="s">
        <v>2058</v>
      </c>
      <c r="E5067" t="s">
        <v>2059</v>
      </c>
      <c r="F5067" t="s">
        <v>53</v>
      </c>
      <c r="G5067">
        <v>444.89</v>
      </c>
      <c r="H5067" t="s">
        <v>2060</v>
      </c>
      <c r="I5067" t="str">
        <f>VLOOKUP(B5067,Customers!A:G,7,FALSE)</f>
        <v>Individual</v>
      </c>
      <c r="Q5067" t="str">
        <f>IF(COUNTIF(Customers!$A$2:$A$1001,B5067)&gt;0,"Valid","Invalid")</f>
        <v>Valid</v>
      </c>
      <c r="R5067" t="str">
        <f>IF(COUNTIF(Branches!$A$2:$A$11,F5067)&gt;0,"Valid","Invalid")</f>
        <v>Valid</v>
      </c>
    </row>
    <row r="5068" spans="1:18" x14ac:dyDescent="0.25">
      <c r="A5068" t="s">
        <v>7139</v>
      </c>
      <c r="B5068" t="s">
        <v>109</v>
      </c>
      <c r="C5068" s="8">
        <v>46257</v>
      </c>
      <c r="D5068" t="s">
        <v>2065</v>
      </c>
      <c r="E5068" t="s">
        <v>2063</v>
      </c>
      <c r="F5068" t="s">
        <v>29</v>
      </c>
      <c r="G5068">
        <v>286.88</v>
      </c>
      <c r="H5068" t="s">
        <v>2060</v>
      </c>
      <c r="I5068" t="str">
        <f>VLOOKUP(B5068,Customers!A:G,7,FALSE)</f>
        <v>Individual</v>
      </c>
      <c r="Q5068" t="str">
        <f>IF(COUNTIF(Customers!$A$2:$A$1001,B5068)&gt;0,"Valid","Invalid")</f>
        <v>Valid</v>
      </c>
      <c r="R5068" t="str">
        <f>IF(COUNTIF(Branches!$A$2:$A$11,F5068)&gt;0,"Valid","Invalid")</f>
        <v>Valid</v>
      </c>
    </row>
    <row r="5069" spans="1:18" x14ac:dyDescent="0.25">
      <c r="A5069" t="s">
        <v>7140</v>
      </c>
      <c r="B5069" t="s">
        <v>487</v>
      </c>
      <c r="C5069" s="8">
        <v>46029</v>
      </c>
      <c r="D5069" t="s">
        <v>2067</v>
      </c>
      <c r="E5069" t="s">
        <v>2068</v>
      </c>
      <c r="F5069" t="s">
        <v>45</v>
      </c>
      <c r="G5069">
        <v>3140.95</v>
      </c>
      <c r="H5069" t="s">
        <v>2060</v>
      </c>
      <c r="I5069" t="str">
        <f>VLOOKUP(B5069,Customers!A:G,7,FALSE)</f>
        <v>Student</v>
      </c>
      <c r="Q5069" t="str">
        <f>IF(COUNTIF(Customers!$A$2:$A$1001,B5069)&gt;0,"Valid","Invalid")</f>
        <v>Valid</v>
      </c>
      <c r="R5069" t="str">
        <f>IF(COUNTIF(Branches!$A$2:$A$11,F5069)&gt;0,"Valid","Invalid")</f>
        <v>Valid</v>
      </c>
    </row>
    <row r="5070" spans="1:18" x14ac:dyDescent="0.25">
      <c r="A5070" t="s">
        <v>7141</v>
      </c>
      <c r="B5070" t="s">
        <v>112</v>
      </c>
      <c r="C5070" s="8">
        <v>46241</v>
      </c>
      <c r="D5070" t="s">
        <v>2070</v>
      </c>
      <c r="E5070" t="s">
        <v>2063</v>
      </c>
      <c r="F5070" t="s">
        <v>29</v>
      </c>
      <c r="G5070">
        <v>236.94</v>
      </c>
      <c r="H5070" t="s">
        <v>2060</v>
      </c>
      <c r="I5070" t="str">
        <f>VLOOKUP(B5070,Customers!A:G,7,FALSE)</f>
        <v>Individual</v>
      </c>
      <c r="Q5070" t="str">
        <f>IF(COUNTIF(Customers!$A$2:$A$1001,B5070)&gt;0,"Valid","Invalid")</f>
        <v>Valid</v>
      </c>
      <c r="R5070" t="str">
        <f>IF(COUNTIF(Branches!$A$2:$A$11,F5070)&gt;0,"Valid","Invalid")</f>
        <v>Valid</v>
      </c>
    </row>
    <row r="5071" spans="1:18" x14ac:dyDescent="0.25">
      <c r="A5071" t="s">
        <v>7142</v>
      </c>
      <c r="B5071" t="s">
        <v>736</v>
      </c>
      <c r="C5071" s="8">
        <v>46099</v>
      </c>
      <c r="D5071" t="s">
        <v>2058</v>
      </c>
      <c r="E5071" t="s">
        <v>2063</v>
      </c>
      <c r="F5071" t="s">
        <v>21</v>
      </c>
      <c r="G5071">
        <v>1602.17</v>
      </c>
      <c r="H5071" t="s">
        <v>2060</v>
      </c>
      <c r="I5071" t="str">
        <f>VLOOKUP(B5071,Customers!A:G,7,FALSE)</f>
        <v>Individual</v>
      </c>
      <c r="Q5071" t="str">
        <f>IF(COUNTIF(Customers!$A$2:$A$1001,B5071)&gt;0,"Valid","Invalid")</f>
        <v>Valid</v>
      </c>
      <c r="R5071" t="str">
        <f>IF(COUNTIF(Branches!$A$2:$A$11,F5071)&gt;0,"Valid","Invalid")</f>
        <v>Valid</v>
      </c>
    </row>
    <row r="5072" spans="1:18" x14ac:dyDescent="0.25">
      <c r="A5072" t="s">
        <v>7143</v>
      </c>
      <c r="B5072" t="s">
        <v>628</v>
      </c>
      <c r="C5072" s="8">
        <v>46201</v>
      </c>
      <c r="D5072" t="s">
        <v>2062</v>
      </c>
      <c r="E5072" t="s">
        <v>2059</v>
      </c>
      <c r="F5072" t="s">
        <v>27</v>
      </c>
      <c r="G5072">
        <v>333.95</v>
      </c>
      <c r="H5072" t="s">
        <v>2060</v>
      </c>
      <c r="I5072" t="str">
        <f>VLOOKUP(B5072,Customers!A:G,7,FALSE)</f>
        <v>Individual</v>
      </c>
      <c r="Q5072" t="str">
        <f>IF(COUNTIF(Customers!$A$2:$A$1001,B5072)&gt;0,"Valid","Invalid")</f>
        <v>Valid</v>
      </c>
      <c r="R5072" t="str">
        <f>IF(COUNTIF(Branches!$A$2:$A$11,F5072)&gt;0,"Valid","Invalid")</f>
        <v>Valid</v>
      </c>
    </row>
    <row r="5073" spans="1:18" x14ac:dyDescent="0.25">
      <c r="A5073" t="s">
        <v>7144</v>
      </c>
      <c r="B5073" t="s">
        <v>428</v>
      </c>
      <c r="C5073" s="8">
        <v>46167</v>
      </c>
      <c r="D5073" t="s">
        <v>2065</v>
      </c>
      <c r="E5073" t="s">
        <v>2076</v>
      </c>
      <c r="F5073" t="s">
        <v>11</v>
      </c>
      <c r="G5073">
        <v>264.33</v>
      </c>
      <c r="H5073" t="s">
        <v>2060</v>
      </c>
      <c r="I5073" t="str">
        <f>VLOOKUP(B5073,Customers!A:G,7,FALSE)</f>
        <v>Corporate</v>
      </c>
      <c r="Q5073" t="str">
        <f>IF(COUNTIF(Customers!$A$2:$A$1001,B5073)&gt;0,"Valid","Invalid")</f>
        <v>Valid</v>
      </c>
      <c r="R5073" t="str">
        <f>IF(COUNTIF(Branches!$A$2:$A$11,F5073)&gt;0,"Valid","Invalid")</f>
        <v>Valid</v>
      </c>
    </row>
    <row r="5074" spans="1:18" x14ac:dyDescent="0.25">
      <c r="A5074" t="s">
        <v>7145</v>
      </c>
      <c r="B5074" t="s">
        <v>615</v>
      </c>
      <c r="C5074" s="8">
        <v>46182</v>
      </c>
      <c r="D5074" t="s">
        <v>2058</v>
      </c>
      <c r="E5074" t="s">
        <v>2073</v>
      </c>
      <c r="F5074" t="s">
        <v>39</v>
      </c>
      <c r="G5074">
        <v>444.15</v>
      </c>
      <c r="H5074" t="s">
        <v>2060</v>
      </c>
      <c r="I5074" t="str">
        <f>VLOOKUP(B5074,Customers!A:G,7,FALSE)</f>
        <v>Student</v>
      </c>
      <c r="Q5074" t="str">
        <f>IF(COUNTIF(Customers!$A$2:$A$1001,B5074)&gt;0,"Valid","Invalid")</f>
        <v>Valid</v>
      </c>
      <c r="R5074" t="str">
        <f>IF(COUNTIF(Branches!$A$2:$A$11,F5074)&gt;0,"Valid","Invalid")</f>
        <v>Valid</v>
      </c>
    </row>
    <row r="5075" spans="1:18" x14ac:dyDescent="0.25">
      <c r="A5075" t="s">
        <v>7146</v>
      </c>
      <c r="B5075" t="s">
        <v>380</v>
      </c>
      <c r="C5075" s="8">
        <v>46176</v>
      </c>
      <c r="D5075" t="s">
        <v>2070</v>
      </c>
      <c r="E5075" t="s">
        <v>2063</v>
      </c>
      <c r="F5075" t="s">
        <v>21</v>
      </c>
      <c r="G5075">
        <v>1510.08</v>
      </c>
      <c r="H5075" t="s">
        <v>2060</v>
      </c>
      <c r="I5075" t="str">
        <f>VLOOKUP(B5075,Customers!A:G,7,FALSE)</f>
        <v>Individual</v>
      </c>
      <c r="Q5075" t="str">
        <f>IF(COUNTIF(Customers!$A$2:$A$1001,B5075)&gt;0,"Valid","Invalid")</f>
        <v>Valid</v>
      </c>
      <c r="R5075" t="str">
        <f>IF(COUNTIF(Branches!$A$2:$A$11,F5075)&gt;0,"Valid","Invalid")</f>
        <v>Valid</v>
      </c>
    </row>
    <row r="5076" spans="1:18" x14ac:dyDescent="0.25">
      <c r="A5076" t="s">
        <v>7147</v>
      </c>
      <c r="B5076" t="s">
        <v>328</v>
      </c>
      <c r="C5076" s="8">
        <v>46143</v>
      </c>
      <c r="D5076" t="s">
        <v>2067</v>
      </c>
      <c r="E5076" t="s">
        <v>2059</v>
      </c>
      <c r="F5076" t="s">
        <v>16</v>
      </c>
      <c r="G5076">
        <v>206.14</v>
      </c>
      <c r="H5076" t="s">
        <v>2060</v>
      </c>
      <c r="I5076" t="str">
        <f>VLOOKUP(B5076,Customers!A:G,7,FALSE)</f>
        <v>Individual</v>
      </c>
      <c r="Q5076" t="str">
        <f>IF(COUNTIF(Customers!$A$2:$A$1001,B5076)&gt;0,"Valid","Invalid")</f>
        <v>Valid</v>
      </c>
      <c r="R5076" t="str">
        <f>IF(COUNTIF(Branches!$A$2:$A$11,F5076)&gt;0,"Valid","Invalid")</f>
        <v>Valid</v>
      </c>
    </row>
    <row r="5077" spans="1:18" x14ac:dyDescent="0.25">
      <c r="A5077" t="s">
        <v>7148</v>
      </c>
      <c r="B5077" t="s">
        <v>606</v>
      </c>
      <c r="C5077" s="8">
        <v>46146</v>
      </c>
      <c r="D5077" t="s">
        <v>2065</v>
      </c>
      <c r="E5077" t="s">
        <v>2063</v>
      </c>
      <c r="F5077" t="s">
        <v>47</v>
      </c>
      <c r="G5077">
        <v>1082.96</v>
      </c>
      <c r="H5077" t="s">
        <v>2060</v>
      </c>
      <c r="I5077" t="str">
        <f>VLOOKUP(B5077,Customers!A:G,7,FALSE)</f>
        <v>SME</v>
      </c>
      <c r="Q5077" t="str">
        <f>IF(COUNTIF(Customers!$A$2:$A$1001,B5077)&gt;0,"Valid","Invalid")</f>
        <v>Valid</v>
      </c>
      <c r="R5077" t="str">
        <f>IF(COUNTIF(Branches!$A$2:$A$11,F5077)&gt;0,"Valid","Invalid")</f>
        <v>Valid</v>
      </c>
    </row>
    <row r="5078" spans="1:18" x14ac:dyDescent="0.25">
      <c r="A5078" t="s">
        <v>7149</v>
      </c>
      <c r="B5078" t="s">
        <v>369</v>
      </c>
      <c r="C5078" s="8">
        <v>46172</v>
      </c>
      <c r="D5078" t="s">
        <v>2058</v>
      </c>
      <c r="E5078" t="s">
        <v>2068</v>
      </c>
      <c r="F5078" t="s">
        <v>16</v>
      </c>
      <c r="G5078">
        <v>310.83</v>
      </c>
      <c r="H5078" t="s">
        <v>2060</v>
      </c>
      <c r="I5078" t="str">
        <f>VLOOKUP(B5078,Customers!A:G,7,FALSE)</f>
        <v>SME</v>
      </c>
      <c r="Q5078" t="str">
        <f>IF(COUNTIF(Customers!$A$2:$A$1001,B5078)&gt;0,"Valid","Invalid")</f>
        <v>Valid</v>
      </c>
      <c r="R5078" t="str">
        <f>IF(COUNTIF(Branches!$A$2:$A$11,F5078)&gt;0,"Valid","Invalid")</f>
        <v>Valid</v>
      </c>
    </row>
    <row r="5079" spans="1:18" x14ac:dyDescent="0.25">
      <c r="A5079" t="s">
        <v>7150</v>
      </c>
      <c r="B5079" t="s">
        <v>297</v>
      </c>
      <c r="C5079" s="8">
        <v>46163</v>
      </c>
      <c r="D5079" t="s">
        <v>2067</v>
      </c>
      <c r="E5079" t="s">
        <v>2059</v>
      </c>
      <c r="F5079" t="s">
        <v>16</v>
      </c>
      <c r="G5079">
        <v>372.13</v>
      </c>
      <c r="H5079" t="s">
        <v>2060</v>
      </c>
      <c r="I5079" t="str">
        <f>VLOOKUP(B5079,Customers!A:G,7,FALSE)</f>
        <v>Individual</v>
      </c>
      <c r="Q5079" t="str">
        <f>IF(COUNTIF(Customers!$A$2:$A$1001,B5079)&gt;0,"Valid","Invalid")</f>
        <v>Valid</v>
      </c>
      <c r="R5079" t="str">
        <f>IF(COUNTIF(Branches!$A$2:$A$11,F5079)&gt;0,"Valid","Invalid")</f>
        <v>Valid</v>
      </c>
    </row>
    <row r="5080" spans="1:18" x14ac:dyDescent="0.25">
      <c r="A5080" t="s">
        <v>7151</v>
      </c>
      <c r="B5080" t="s">
        <v>464</v>
      </c>
      <c r="C5080" s="8">
        <v>46147</v>
      </c>
      <c r="D5080" t="s">
        <v>2065</v>
      </c>
      <c r="E5080" t="s">
        <v>2076</v>
      </c>
      <c r="F5080" t="s">
        <v>45</v>
      </c>
      <c r="G5080">
        <v>1212.74</v>
      </c>
      <c r="H5080" t="s">
        <v>2060</v>
      </c>
      <c r="I5080" t="str">
        <f>VLOOKUP(B5080,Customers!A:G,7,FALSE)</f>
        <v>Student</v>
      </c>
      <c r="Q5080" t="str">
        <f>IF(COUNTIF(Customers!$A$2:$A$1001,B5080)&gt;0,"Valid","Invalid")</f>
        <v>Valid</v>
      </c>
      <c r="R5080" t="str">
        <f>IF(COUNTIF(Branches!$A$2:$A$11,F5080)&gt;0,"Valid","Invalid")</f>
        <v>Valid</v>
      </c>
    </row>
    <row r="5081" spans="1:18" x14ac:dyDescent="0.25">
      <c r="A5081" t="s">
        <v>7152</v>
      </c>
      <c r="B5081" t="s">
        <v>740</v>
      </c>
      <c r="C5081" s="8">
        <v>46034</v>
      </c>
      <c r="D5081" t="s">
        <v>2062</v>
      </c>
      <c r="E5081" t="s">
        <v>2063</v>
      </c>
      <c r="F5081" t="s">
        <v>35</v>
      </c>
      <c r="G5081">
        <v>7140.11</v>
      </c>
      <c r="H5081" t="s">
        <v>2060</v>
      </c>
      <c r="I5081" t="str">
        <f>VLOOKUP(B5081,Customers!A:G,7,FALSE)</f>
        <v>Individual</v>
      </c>
      <c r="Q5081" t="str">
        <f>IF(COUNTIF(Customers!$A$2:$A$1001,B5081)&gt;0,"Valid","Invalid")</f>
        <v>Valid</v>
      </c>
      <c r="R5081" t="str">
        <f>IF(COUNTIF(Branches!$A$2:$A$11,F5081)&gt;0,"Valid","Invalid")</f>
        <v>Valid</v>
      </c>
    </row>
    <row r="5082" spans="1:18" x14ac:dyDescent="0.25">
      <c r="A5082" t="s">
        <v>7153</v>
      </c>
      <c r="B5082" t="s">
        <v>30</v>
      </c>
      <c r="C5082" s="8">
        <v>46093</v>
      </c>
      <c r="D5082" t="s">
        <v>2070</v>
      </c>
      <c r="E5082" t="s">
        <v>2068</v>
      </c>
      <c r="F5082" t="s">
        <v>39</v>
      </c>
      <c r="G5082">
        <v>326.68</v>
      </c>
      <c r="H5082" t="s">
        <v>2060</v>
      </c>
      <c r="I5082" t="str">
        <f>VLOOKUP(B5082,Customers!A:G,7,FALSE)</f>
        <v>SME</v>
      </c>
      <c r="Q5082" t="str">
        <f>IF(COUNTIF(Customers!$A$2:$A$1001,B5082)&gt;0,"Valid","Invalid")</f>
        <v>Valid</v>
      </c>
      <c r="R5082" t="str">
        <f>IF(COUNTIF(Branches!$A$2:$A$11,F5082)&gt;0,"Valid","Invalid")</f>
        <v>Valid</v>
      </c>
    </row>
    <row r="5083" spans="1:18" x14ac:dyDescent="0.25">
      <c r="A5083" t="s">
        <v>7154</v>
      </c>
      <c r="B5083" t="s">
        <v>30</v>
      </c>
      <c r="C5083" s="8">
        <v>46023</v>
      </c>
      <c r="D5083" t="s">
        <v>2058</v>
      </c>
      <c r="E5083" t="s">
        <v>2059</v>
      </c>
      <c r="F5083" t="s">
        <v>29</v>
      </c>
      <c r="G5083">
        <v>1668.83</v>
      </c>
      <c r="H5083" t="s">
        <v>2060</v>
      </c>
      <c r="I5083" t="str">
        <f>VLOOKUP(B5083,Customers!A:G,7,FALSE)</f>
        <v>SME</v>
      </c>
      <c r="Q5083" t="str">
        <f>IF(COUNTIF(Customers!$A$2:$A$1001,B5083)&gt;0,"Valid","Invalid")</f>
        <v>Valid</v>
      </c>
      <c r="R5083" t="str">
        <f>IF(COUNTIF(Branches!$A$2:$A$11,F5083)&gt;0,"Valid","Invalid")</f>
        <v>Valid</v>
      </c>
    </row>
    <row r="5084" spans="1:18" x14ac:dyDescent="0.25">
      <c r="A5084" t="s">
        <v>7155</v>
      </c>
      <c r="B5084" t="s">
        <v>228</v>
      </c>
      <c r="C5084" s="8">
        <v>46183</v>
      </c>
      <c r="D5084" t="s">
        <v>2062</v>
      </c>
      <c r="E5084" t="s">
        <v>2073</v>
      </c>
      <c r="F5084" t="s">
        <v>27</v>
      </c>
      <c r="G5084">
        <v>594.24</v>
      </c>
      <c r="H5084" t="s">
        <v>2060</v>
      </c>
      <c r="I5084" t="str">
        <f>VLOOKUP(B5084,Customers!A:G,7,FALSE)</f>
        <v>SME</v>
      </c>
      <c r="Q5084" t="str">
        <f>IF(COUNTIF(Customers!$A$2:$A$1001,B5084)&gt;0,"Valid","Invalid")</f>
        <v>Valid</v>
      </c>
      <c r="R5084" t="str">
        <f>IF(COUNTIF(Branches!$A$2:$A$11,F5084)&gt;0,"Valid","Invalid")</f>
        <v>Valid</v>
      </c>
    </row>
    <row r="5085" spans="1:18" x14ac:dyDescent="0.25">
      <c r="A5085" t="s">
        <v>7156</v>
      </c>
      <c r="B5085" t="s">
        <v>184</v>
      </c>
      <c r="C5085" s="8">
        <v>46141</v>
      </c>
      <c r="D5085" t="s">
        <v>2062</v>
      </c>
      <c r="E5085" t="s">
        <v>2063</v>
      </c>
      <c r="F5085" t="s">
        <v>21</v>
      </c>
      <c r="G5085">
        <v>505.35</v>
      </c>
      <c r="H5085" t="s">
        <v>2060</v>
      </c>
      <c r="I5085" t="str">
        <f>VLOOKUP(B5085,Customers!A:G,7,FALSE)</f>
        <v>Individual</v>
      </c>
      <c r="Q5085" t="str">
        <f>IF(COUNTIF(Customers!$A$2:$A$1001,B5085)&gt;0,"Valid","Invalid")</f>
        <v>Valid</v>
      </c>
      <c r="R5085" t="str">
        <f>IF(COUNTIF(Branches!$A$2:$A$11,F5085)&gt;0,"Valid","Invalid")</f>
        <v>Valid</v>
      </c>
    </row>
    <row r="5086" spans="1:18" x14ac:dyDescent="0.25">
      <c r="A5086" t="s">
        <v>7157</v>
      </c>
      <c r="B5086" t="s">
        <v>443</v>
      </c>
      <c r="C5086" s="8">
        <v>46164</v>
      </c>
      <c r="D5086" t="s">
        <v>2062</v>
      </c>
      <c r="E5086" t="s">
        <v>2059</v>
      </c>
      <c r="F5086" t="s">
        <v>16</v>
      </c>
      <c r="G5086">
        <v>2371.73</v>
      </c>
      <c r="H5086" t="s">
        <v>2060</v>
      </c>
      <c r="I5086" t="str">
        <f>VLOOKUP(B5086,Customers!A:G,7,FALSE)</f>
        <v>Individual</v>
      </c>
      <c r="Q5086" t="str">
        <f>IF(COUNTIF(Customers!$A$2:$A$1001,B5086)&gt;0,"Valid","Invalid")</f>
        <v>Valid</v>
      </c>
      <c r="R5086" t="str">
        <f>IF(COUNTIF(Branches!$A$2:$A$11,F5086)&gt;0,"Valid","Invalid")</f>
        <v>Valid</v>
      </c>
    </row>
    <row r="5087" spans="1:18" x14ac:dyDescent="0.25">
      <c r="A5087" t="s">
        <v>7158</v>
      </c>
      <c r="B5087" t="s">
        <v>296</v>
      </c>
      <c r="C5087" s="8">
        <v>46133</v>
      </c>
      <c r="D5087" t="s">
        <v>2065</v>
      </c>
      <c r="E5087" t="s">
        <v>2068</v>
      </c>
      <c r="F5087" t="s">
        <v>27</v>
      </c>
      <c r="G5087">
        <v>349.49</v>
      </c>
      <c r="H5087" t="s">
        <v>2060</v>
      </c>
      <c r="I5087" t="str">
        <f>VLOOKUP(B5087,Customers!A:G,7,FALSE)</f>
        <v>Individual</v>
      </c>
      <c r="Q5087" t="str">
        <f>IF(COUNTIF(Customers!$A$2:$A$1001,B5087)&gt;0,"Valid","Invalid")</f>
        <v>Valid</v>
      </c>
      <c r="R5087" t="str">
        <f>IF(COUNTIF(Branches!$A$2:$A$11,F5087)&gt;0,"Valid","Invalid")</f>
        <v>Valid</v>
      </c>
    </row>
    <row r="5088" spans="1:18" x14ac:dyDescent="0.25">
      <c r="A5088" t="s">
        <v>7159</v>
      </c>
      <c r="B5088" t="s">
        <v>768</v>
      </c>
      <c r="C5088" s="8">
        <v>46086</v>
      </c>
      <c r="D5088" t="s">
        <v>2065</v>
      </c>
      <c r="E5088" t="s">
        <v>2076</v>
      </c>
      <c r="F5088" t="s">
        <v>45</v>
      </c>
      <c r="G5088">
        <v>256.18</v>
      </c>
      <c r="H5088" t="s">
        <v>2060</v>
      </c>
      <c r="I5088" t="str">
        <f>VLOOKUP(B5088,Customers!A:G,7,FALSE)</f>
        <v>Individual</v>
      </c>
      <c r="Q5088" t="str">
        <f>IF(COUNTIF(Customers!$A$2:$A$1001,B5088)&gt;0,"Valid","Invalid")</f>
        <v>Valid</v>
      </c>
      <c r="R5088" t="str">
        <f>IF(COUNTIF(Branches!$A$2:$A$11,F5088)&gt;0,"Valid","Invalid")</f>
        <v>Valid</v>
      </c>
    </row>
    <row r="5089" spans="1:18" x14ac:dyDescent="0.25">
      <c r="A5089" t="s">
        <v>7160</v>
      </c>
      <c r="B5089" t="s">
        <v>517</v>
      </c>
      <c r="C5089" s="8">
        <v>46065</v>
      </c>
      <c r="D5089" t="s">
        <v>2065</v>
      </c>
      <c r="E5089" t="s">
        <v>2063</v>
      </c>
      <c r="F5089" t="s">
        <v>39</v>
      </c>
      <c r="G5089">
        <v>1287.1400000000001</v>
      </c>
      <c r="H5089" t="s">
        <v>2060</v>
      </c>
      <c r="I5089" t="str">
        <f>VLOOKUP(B5089,Customers!A:G,7,FALSE)</f>
        <v>SME</v>
      </c>
      <c r="Q5089" t="str">
        <f>IF(COUNTIF(Customers!$A$2:$A$1001,B5089)&gt;0,"Valid","Invalid")</f>
        <v>Valid</v>
      </c>
      <c r="R5089" t="str">
        <f>IF(COUNTIF(Branches!$A$2:$A$11,F5089)&gt;0,"Valid","Invalid")</f>
        <v>Valid</v>
      </c>
    </row>
    <row r="5090" spans="1:18" x14ac:dyDescent="0.25">
      <c r="A5090" t="s">
        <v>7161</v>
      </c>
      <c r="B5090" t="s">
        <v>126</v>
      </c>
      <c r="C5090" s="8">
        <v>46208</v>
      </c>
      <c r="D5090" t="s">
        <v>2065</v>
      </c>
      <c r="E5090" t="s">
        <v>2073</v>
      </c>
      <c r="F5090" t="s">
        <v>11</v>
      </c>
      <c r="G5090">
        <v>4002.94</v>
      </c>
      <c r="H5090" t="s">
        <v>2060</v>
      </c>
      <c r="I5090" t="str">
        <f>VLOOKUP(B5090,Customers!A:G,7,FALSE)</f>
        <v>Individual</v>
      </c>
      <c r="Q5090" t="str">
        <f>IF(COUNTIF(Customers!$A$2:$A$1001,B5090)&gt;0,"Valid","Invalid")</f>
        <v>Valid</v>
      </c>
      <c r="R5090" t="str">
        <f>IF(COUNTIF(Branches!$A$2:$A$11,F5090)&gt;0,"Valid","Invalid")</f>
        <v>Valid</v>
      </c>
    </row>
    <row r="5091" spans="1:18" x14ac:dyDescent="0.25">
      <c r="A5091" t="s">
        <v>7162</v>
      </c>
      <c r="B5091" t="s">
        <v>862</v>
      </c>
      <c r="C5091" s="8">
        <v>46063</v>
      </c>
      <c r="D5091" t="s">
        <v>2067</v>
      </c>
      <c r="E5091" t="s">
        <v>2063</v>
      </c>
      <c r="F5091" t="s">
        <v>29</v>
      </c>
      <c r="G5091">
        <v>1719.85</v>
      </c>
      <c r="H5091" t="s">
        <v>2060</v>
      </c>
      <c r="I5091" t="str">
        <f>VLOOKUP(B5091,Customers!A:G,7,FALSE)</f>
        <v>SME</v>
      </c>
      <c r="Q5091" t="str">
        <f>IF(COUNTIF(Customers!$A$2:$A$1001,B5091)&gt;0,"Valid","Invalid")</f>
        <v>Valid</v>
      </c>
      <c r="R5091" t="str">
        <f>IF(COUNTIF(Branches!$A$2:$A$11,F5091)&gt;0,"Valid","Invalid")</f>
        <v>Valid</v>
      </c>
    </row>
    <row r="5092" spans="1:18" x14ac:dyDescent="0.25">
      <c r="A5092" t="s">
        <v>7163</v>
      </c>
      <c r="B5092" t="s">
        <v>902</v>
      </c>
      <c r="C5092" s="8">
        <v>46231</v>
      </c>
      <c r="D5092" t="s">
        <v>2067</v>
      </c>
      <c r="E5092" t="s">
        <v>2063</v>
      </c>
      <c r="F5092" t="s">
        <v>21</v>
      </c>
      <c r="G5092">
        <v>198.94</v>
      </c>
      <c r="H5092" t="s">
        <v>2060</v>
      </c>
      <c r="I5092" t="str">
        <f>VLOOKUP(B5092,Customers!A:G,7,FALSE)</f>
        <v>SME</v>
      </c>
      <c r="Q5092" t="str">
        <f>IF(COUNTIF(Customers!$A$2:$A$1001,B5092)&gt;0,"Valid","Invalid")</f>
        <v>Valid</v>
      </c>
      <c r="R5092" t="str">
        <f>IF(COUNTIF(Branches!$A$2:$A$11,F5092)&gt;0,"Valid","Invalid")</f>
        <v>Valid</v>
      </c>
    </row>
    <row r="5093" spans="1:18" x14ac:dyDescent="0.25">
      <c r="A5093" t="s">
        <v>7164</v>
      </c>
      <c r="B5093" t="s">
        <v>37</v>
      </c>
      <c r="C5093" s="8">
        <v>46218</v>
      </c>
      <c r="D5093" t="s">
        <v>2065</v>
      </c>
      <c r="E5093" t="s">
        <v>2059</v>
      </c>
      <c r="F5093" t="s">
        <v>47</v>
      </c>
      <c r="G5093">
        <v>439.07</v>
      </c>
      <c r="H5093" t="s">
        <v>2115</v>
      </c>
      <c r="I5093" t="str">
        <f>VLOOKUP(B5093,Customers!A:G,7,FALSE)</f>
        <v>SME</v>
      </c>
      <c r="Q5093" t="str">
        <f>IF(COUNTIF(Customers!$A$2:$A$1001,B5093)&gt;0,"Valid","Invalid")</f>
        <v>Valid</v>
      </c>
      <c r="R5093" t="str">
        <f>IF(COUNTIF(Branches!$A$2:$A$11,F5093)&gt;0,"Valid","Invalid")</f>
        <v>Valid</v>
      </c>
    </row>
    <row r="5094" spans="1:18" x14ac:dyDescent="0.25">
      <c r="A5094" t="s">
        <v>7165</v>
      </c>
      <c r="B5094" t="s">
        <v>123</v>
      </c>
      <c r="C5094" s="8">
        <v>46137</v>
      </c>
      <c r="D5094" t="s">
        <v>2065</v>
      </c>
      <c r="E5094" t="s">
        <v>2059</v>
      </c>
      <c r="F5094" t="s">
        <v>47</v>
      </c>
      <c r="G5094">
        <v>2163.75</v>
      </c>
      <c r="H5094" t="s">
        <v>2060</v>
      </c>
      <c r="I5094" t="str">
        <f>VLOOKUP(B5094,Customers!A:G,7,FALSE)</f>
        <v>Corporate</v>
      </c>
      <c r="Q5094" t="str">
        <f>IF(COUNTIF(Customers!$A$2:$A$1001,B5094)&gt;0,"Valid","Invalid")</f>
        <v>Valid</v>
      </c>
      <c r="R5094" t="str">
        <f>IF(COUNTIF(Branches!$A$2:$A$11,F5094)&gt;0,"Valid","Invalid")</f>
        <v>Valid</v>
      </c>
    </row>
    <row r="5095" spans="1:18" x14ac:dyDescent="0.25">
      <c r="A5095" t="s">
        <v>7166</v>
      </c>
      <c r="B5095" t="s">
        <v>800</v>
      </c>
      <c r="C5095" s="8">
        <v>46061</v>
      </c>
      <c r="D5095" t="s">
        <v>2058</v>
      </c>
      <c r="E5095" t="s">
        <v>2068</v>
      </c>
      <c r="F5095" t="s">
        <v>39</v>
      </c>
      <c r="G5095">
        <v>3948.58</v>
      </c>
      <c r="H5095" t="s">
        <v>2060</v>
      </c>
      <c r="I5095" t="str">
        <f>VLOOKUP(B5095,Customers!A:G,7,FALSE)</f>
        <v>Individual</v>
      </c>
      <c r="Q5095" t="str">
        <f>IF(COUNTIF(Customers!$A$2:$A$1001,B5095)&gt;0,"Valid","Invalid")</f>
        <v>Valid</v>
      </c>
      <c r="R5095" t="str">
        <f>IF(COUNTIF(Branches!$A$2:$A$11,F5095)&gt;0,"Valid","Invalid")</f>
        <v>Valid</v>
      </c>
    </row>
    <row r="5096" spans="1:18" x14ac:dyDescent="0.25">
      <c r="A5096" t="s">
        <v>7167</v>
      </c>
      <c r="B5096" t="s">
        <v>876</v>
      </c>
      <c r="C5096" s="8">
        <v>46023</v>
      </c>
      <c r="D5096" t="s">
        <v>2065</v>
      </c>
      <c r="E5096" t="s">
        <v>2059</v>
      </c>
      <c r="F5096" t="s">
        <v>45</v>
      </c>
      <c r="G5096">
        <v>1021.18</v>
      </c>
      <c r="H5096" t="s">
        <v>2060</v>
      </c>
      <c r="I5096" t="str">
        <f>VLOOKUP(B5096,Customers!A:G,7,FALSE)</f>
        <v>Individual</v>
      </c>
      <c r="Q5096" t="str">
        <f>IF(COUNTIF(Customers!$A$2:$A$1001,B5096)&gt;0,"Valid","Invalid")</f>
        <v>Valid</v>
      </c>
      <c r="R5096" t="str">
        <f>IF(COUNTIF(Branches!$A$2:$A$11,F5096)&gt;0,"Valid","Invalid")</f>
        <v>Valid</v>
      </c>
    </row>
    <row r="5097" spans="1:18" x14ac:dyDescent="0.25">
      <c r="A5097" t="s">
        <v>7168</v>
      </c>
      <c r="B5097" t="s">
        <v>187</v>
      </c>
      <c r="C5097" s="8">
        <v>46063</v>
      </c>
      <c r="D5097" t="s">
        <v>2062</v>
      </c>
      <c r="E5097" t="s">
        <v>2059</v>
      </c>
      <c r="F5097" t="s">
        <v>27</v>
      </c>
      <c r="G5097">
        <v>455.24</v>
      </c>
      <c r="H5097" t="s">
        <v>2060</v>
      </c>
      <c r="I5097" t="str">
        <f>VLOOKUP(B5097,Customers!A:G,7,FALSE)</f>
        <v>Corporate</v>
      </c>
      <c r="Q5097" t="str">
        <f>IF(COUNTIF(Customers!$A$2:$A$1001,B5097)&gt;0,"Valid","Invalid")</f>
        <v>Valid</v>
      </c>
      <c r="R5097" t="str">
        <f>IF(COUNTIF(Branches!$A$2:$A$11,F5097)&gt;0,"Valid","Invalid")</f>
        <v>Valid</v>
      </c>
    </row>
    <row r="5098" spans="1:18" x14ac:dyDescent="0.25">
      <c r="A5098" t="s">
        <v>7169</v>
      </c>
      <c r="B5098" t="s">
        <v>1026</v>
      </c>
      <c r="C5098" s="8">
        <v>46195</v>
      </c>
      <c r="D5098" t="s">
        <v>2065</v>
      </c>
      <c r="E5098" t="s">
        <v>2059</v>
      </c>
      <c r="F5098" t="s">
        <v>35</v>
      </c>
      <c r="G5098">
        <v>4213.37</v>
      </c>
      <c r="H5098" t="s">
        <v>2060</v>
      </c>
      <c r="I5098" t="str">
        <f>VLOOKUP(B5098,Customers!A:G,7,FALSE)</f>
        <v>Individual</v>
      </c>
      <c r="Q5098" t="str">
        <f>IF(COUNTIF(Customers!$A$2:$A$1001,B5098)&gt;0,"Valid","Invalid")</f>
        <v>Valid</v>
      </c>
      <c r="R5098" t="str">
        <f>IF(COUNTIF(Branches!$A$2:$A$11,F5098)&gt;0,"Valid","Invalid")</f>
        <v>Valid</v>
      </c>
    </row>
    <row r="5099" spans="1:18" x14ac:dyDescent="0.25">
      <c r="A5099" t="s">
        <v>7170</v>
      </c>
      <c r="B5099" t="s">
        <v>663</v>
      </c>
      <c r="C5099" s="8">
        <v>46110</v>
      </c>
      <c r="D5099" t="s">
        <v>2062</v>
      </c>
      <c r="E5099" t="s">
        <v>2059</v>
      </c>
      <c r="F5099" t="s">
        <v>47</v>
      </c>
      <c r="G5099">
        <v>754.01</v>
      </c>
      <c r="H5099" t="s">
        <v>2060</v>
      </c>
      <c r="I5099" t="str">
        <f>VLOOKUP(B5099,Customers!A:G,7,FALSE)</f>
        <v>SME</v>
      </c>
      <c r="Q5099" t="str">
        <f>IF(COUNTIF(Customers!$A$2:$A$1001,B5099)&gt;0,"Valid","Invalid")</f>
        <v>Valid</v>
      </c>
      <c r="R5099" t="str">
        <f>IF(COUNTIF(Branches!$A$2:$A$11,F5099)&gt;0,"Valid","Invalid")</f>
        <v>Valid</v>
      </c>
    </row>
    <row r="5100" spans="1:18" x14ac:dyDescent="0.25">
      <c r="A5100" t="s">
        <v>7171</v>
      </c>
      <c r="B5100" t="s">
        <v>64</v>
      </c>
      <c r="C5100" s="8">
        <v>46248</v>
      </c>
      <c r="D5100" t="s">
        <v>2070</v>
      </c>
      <c r="E5100" t="s">
        <v>2073</v>
      </c>
      <c r="F5100" t="s">
        <v>47</v>
      </c>
      <c r="G5100">
        <v>443.28</v>
      </c>
      <c r="H5100" t="s">
        <v>2060</v>
      </c>
      <c r="I5100" t="str">
        <f>VLOOKUP(B5100,Customers!A:G,7,FALSE)</f>
        <v>SME</v>
      </c>
      <c r="Q5100" t="str">
        <f>IF(COUNTIF(Customers!$A$2:$A$1001,B5100)&gt;0,"Valid","Invalid")</f>
        <v>Valid</v>
      </c>
      <c r="R5100" t="str">
        <f>IF(COUNTIF(Branches!$A$2:$A$11,F5100)&gt;0,"Valid","Invalid")</f>
        <v>Valid</v>
      </c>
    </row>
    <row r="5101" spans="1:18" x14ac:dyDescent="0.25">
      <c r="A5101" t="s">
        <v>7172</v>
      </c>
      <c r="B5101" t="s">
        <v>164</v>
      </c>
      <c r="C5101" s="8">
        <v>46120</v>
      </c>
      <c r="D5101" t="s">
        <v>2062</v>
      </c>
      <c r="E5101" t="s">
        <v>2068</v>
      </c>
      <c r="F5101" t="s">
        <v>39</v>
      </c>
      <c r="G5101">
        <v>374.3</v>
      </c>
      <c r="H5101" t="s">
        <v>2060</v>
      </c>
      <c r="I5101" t="str">
        <f>VLOOKUP(B5101,Customers!A:G,7,FALSE)</f>
        <v>Individual</v>
      </c>
      <c r="Q5101" t="str">
        <f>IF(COUNTIF(Customers!$A$2:$A$1001,B5101)&gt;0,"Valid","Invalid")</f>
        <v>Valid</v>
      </c>
      <c r="R5101" t="str">
        <f>IF(COUNTIF(Branches!$A$2:$A$11,F5101)&gt;0,"Valid","Invalid")</f>
        <v>Valid</v>
      </c>
    </row>
    <row r="5102" spans="1:18" x14ac:dyDescent="0.25">
      <c r="A5102" t="s">
        <v>7173</v>
      </c>
      <c r="B5102" t="s">
        <v>114</v>
      </c>
      <c r="C5102" s="8">
        <v>46110</v>
      </c>
      <c r="D5102" t="s">
        <v>2062</v>
      </c>
      <c r="E5102" t="s">
        <v>2059</v>
      </c>
      <c r="F5102" t="s">
        <v>45</v>
      </c>
      <c r="G5102">
        <v>245.91</v>
      </c>
      <c r="H5102" t="s">
        <v>2060</v>
      </c>
      <c r="I5102" t="str">
        <f>VLOOKUP(B5102,Customers!A:G,7,FALSE)</f>
        <v>Individual</v>
      </c>
      <c r="Q5102" t="str">
        <f>IF(COUNTIF(Customers!$A$2:$A$1001,B5102)&gt;0,"Valid","Invalid")</f>
        <v>Valid</v>
      </c>
      <c r="R5102" t="str">
        <f>IF(COUNTIF(Branches!$A$2:$A$11,F5102)&gt;0,"Valid","Invalid")</f>
        <v>Valid</v>
      </c>
    </row>
    <row r="5103" spans="1:18" x14ac:dyDescent="0.25">
      <c r="A5103" t="s">
        <v>7174</v>
      </c>
      <c r="B5103" t="s">
        <v>459</v>
      </c>
      <c r="C5103" s="8">
        <v>46101</v>
      </c>
      <c r="D5103" t="s">
        <v>2070</v>
      </c>
      <c r="E5103" t="s">
        <v>2063</v>
      </c>
      <c r="F5103" t="s">
        <v>27</v>
      </c>
      <c r="G5103">
        <v>13815.97</v>
      </c>
      <c r="H5103" t="s">
        <v>2060</v>
      </c>
      <c r="I5103" t="str">
        <f>VLOOKUP(B5103,Customers!A:G,7,FALSE)</f>
        <v>Individual</v>
      </c>
      <c r="Q5103" t="str">
        <f>IF(COUNTIF(Customers!$A$2:$A$1001,B5103)&gt;0,"Valid","Invalid")</f>
        <v>Valid</v>
      </c>
      <c r="R5103" t="str">
        <f>IF(COUNTIF(Branches!$A$2:$A$11,F5103)&gt;0,"Valid","Invalid")</f>
        <v>Valid</v>
      </c>
    </row>
    <row r="5104" spans="1:18" x14ac:dyDescent="0.25">
      <c r="A5104" t="s">
        <v>7175</v>
      </c>
      <c r="B5104" t="s">
        <v>91</v>
      </c>
      <c r="C5104" s="8">
        <v>46231</v>
      </c>
      <c r="D5104" t="s">
        <v>2065</v>
      </c>
      <c r="E5104" t="s">
        <v>2073</v>
      </c>
      <c r="F5104" t="s">
        <v>29</v>
      </c>
      <c r="G5104">
        <v>3364.24</v>
      </c>
      <c r="H5104" t="s">
        <v>2060</v>
      </c>
      <c r="I5104" t="str">
        <f>VLOOKUP(B5104,Customers!A:G,7,FALSE)</f>
        <v>Individual</v>
      </c>
      <c r="Q5104" t="str">
        <f>IF(COUNTIF(Customers!$A$2:$A$1001,B5104)&gt;0,"Valid","Invalid")</f>
        <v>Valid</v>
      </c>
      <c r="R5104" t="str">
        <f>IF(COUNTIF(Branches!$A$2:$A$11,F5104)&gt;0,"Valid","Invalid")</f>
        <v>Valid</v>
      </c>
    </row>
    <row r="5105" spans="1:18" x14ac:dyDescent="0.25">
      <c r="A5105" t="s">
        <v>7176</v>
      </c>
      <c r="B5105" t="s">
        <v>518</v>
      </c>
      <c r="C5105" s="8">
        <v>46163</v>
      </c>
      <c r="D5105" t="s">
        <v>2070</v>
      </c>
      <c r="E5105" t="s">
        <v>2063</v>
      </c>
      <c r="F5105" t="s">
        <v>39</v>
      </c>
      <c r="G5105">
        <v>421.45</v>
      </c>
      <c r="H5105" t="s">
        <v>2060</v>
      </c>
      <c r="I5105" t="str">
        <f>VLOOKUP(B5105,Customers!A:G,7,FALSE)</f>
        <v>SME</v>
      </c>
      <c r="Q5105" t="str">
        <f>IF(COUNTIF(Customers!$A$2:$A$1001,B5105)&gt;0,"Valid","Invalid")</f>
        <v>Valid</v>
      </c>
      <c r="R5105" t="str">
        <f>IF(COUNTIF(Branches!$A$2:$A$11,F5105)&gt;0,"Valid","Invalid")</f>
        <v>Valid</v>
      </c>
    </row>
    <row r="5106" spans="1:18" x14ac:dyDescent="0.25">
      <c r="A5106" t="s">
        <v>7177</v>
      </c>
      <c r="B5106" t="s">
        <v>343</v>
      </c>
      <c r="C5106" s="8">
        <v>46093</v>
      </c>
      <c r="D5106" t="s">
        <v>2062</v>
      </c>
      <c r="E5106" t="s">
        <v>2063</v>
      </c>
      <c r="F5106" t="s">
        <v>45</v>
      </c>
      <c r="G5106">
        <v>4590.88</v>
      </c>
      <c r="H5106" t="s">
        <v>2060</v>
      </c>
      <c r="I5106" t="str">
        <f>VLOOKUP(B5106,Customers!A:G,7,FALSE)</f>
        <v>SME</v>
      </c>
      <c r="Q5106" t="str">
        <f>IF(COUNTIF(Customers!$A$2:$A$1001,B5106)&gt;0,"Valid","Invalid")</f>
        <v>Valid</v>
      </c>
      <c r="R5106" t="str">
        <f>IF(COUNTIF(Branches!$A$2:$A$11,F5106)&gt;0,"Valid","Invalid")</f>
        <v>Valid</v>
      </c>
    </row>
    <row r="5107" spans="1:18" x14ac:dyDescent="0.25">
      <c r="A5107" t="s">
        <v>7178</v>
      </c>
      <c r="B5107" t="s">
        <v>584</v>
      </c>
      <c r="C5107" s="8">
        <v>46159</v>
      </c>
      <c r="D5107" t="s">
        <v>2062</v>
      </c>
      <c r="E5107" t="s">
        <v>2063</v>
      </c>
      <c r="F5107" t="s">
        <v>47</v>
      </c>
      <c r="G5107">
        <v>1384.79</v>
      </c>
      <c r="H5107" t="s">
        <v>2060</v>
      </c>
      <c r="I5107" t="str">
        <f>VLOOKUP(B5107,Customers!A:G,7,FALSE)</f>
        <v>SME</v>
      </c>
      <c r="Q5107" t="str">
        <f>IF(COUNTIF(Customers!$A$2:$A$1001,B5107)&gt;0,"Valid","Invalid")</f>
        <v>Valid</v>
      </c>
      <c r="R5107" t="str">
        <f>IF(COUNTIF(Branches!$A$2:$A$11,F5107)&gt;0,"Valid","Invalid")</f>
        <v>Valid</v>
      </c>
    </row>
    <row r="5108" spans="1:18" x14ac:dyDescent="0.25">
      <c r="A5108" t="s">
        <v>7179</v>
      </c>
      <c r="B5108" t="s">
        <v>141</v>
      </c>
      <c r="C5108" s="8">
        <v>46258</v>
      </c>
      <c r="D5108" t="s">
        <v>2067</v>
      </c>
      <c r="E5108" t="s">
        <v>2063</v>
      </c>
      <c r="F5108" t="s">
        <v>29</v>
      </c>
      <c r="G5108">
        <v>1305.2</v>
      </c>
      <c r="H5108" t="s">
        <v>2060</v>
      </c>
      <c r="I5108" t="str">
        <f>VLOOKUP(B5108,Customers!A:G,7,FALSE)</f>
        <v>Individual</v>
      </c>
      <c r="Q5108" t="str">
        <f>IF(COUNTIF(Customers!$A$2:$A$1001,B5108)&gt;0,"Valid","Invalid")</f>
        <v>Valid</v>
      </c>
      <c r="R5108" t="str">
        <f>IF(COUNTIF(Branches!$A$2:$A$11,F5108)&gt;0,"Valid","Invalid")</f>
        <v>Valid</v>
      </c>
    </row>
    <row r="5109" spans="1:18" x14ac:dyDescent="0.25">
      <c r="A5109" t="s">
        <v>7180</v>
      </c>
      <c r="B5109" t="s">
        <v>208</v>
      </c>
      <c r="C5109" s="8">
        <v>46213</v>
      </c>
      <c r="D5109" t="s">
        <v>2058</v>
      </c>
      <c r="E5109" t="s">
        <v>2068</v>
      </c>
      <c r="F5109" t="s">
        <v>27</v>
      </c>
      <c r="G5109">
        <v>396.26</v>
      </c>
      <c r="H5109" t="s">
        <v>2060</v>
      </c>
      <c r="I5109" t="str">
        <f>VLOOKUP(B5109,Customers!A:G,7,FALSE)</f>
        <v>Individual</v>
      </c>
      <c r="Q5109" t="str">
        <f>IF(COUNTIF(Customers!$A$2:$A$1001,B5109)&gt;0,"Valid","Invalid")</f>
        <v>Valid</v>
      </c>
      <c r="R5109" t="str">
        <f>IF(COUNTIF(Branches!$A$2:$A$11,F5109)&gt;0,"Valid","Invalid")</f>
        <v>Valid</v>
      </c>
    </row>
    <row r="5110" spans="1:18" x14ac:dyDescent="0.25">
      <c r="A5110" t="s">
        <v>7181</v>
      </c>
      <c r="B5110" t="s">
        <v>537</v>
      </c>
      <c r="C5110" s="8">
        <v>46121</v>
      </c>
      <c r="D5110" t="s">
        <v>2058</v>
      </c>
      <c r="E5110" t="s">
        <v>2059</v>
      </c>
      <c r="F5110" t="s">
        <v>29</v>
      </c>
      <c r="G5110">
        <v>485.84</v>
      </c>
      <c r="H5110" t="s">
        <v>2060</v>
      </c>
      <c r="I5110" t="str">
        <f>VLOOKUP(B5110,Customers!A:G,7,FALSE)</f>
        <v>Individual</v>
      </c>
      <c r="Q5110" t="str">
        <f>IF(COUNTIF(Customers!$A$2:$A$1001,B5110)&gt;0,"Valid","Invalid")</f>
        <v>Valid</v>
      </c>
      <c r="R5110" t="str">
        <f>IF(COUNTIF(Branches!$A$2:$A$11,F5110)&gt;0,"Valid","Invalid")</f>
        <v>Valid</v>
      </c>
    </row>
    <row r="5111" spans="1:18" x14ac:dyDescent="0.25">
      <c r="A5111" t="s">
        <v>7182</v>
      </c>
      <c r="B5111" t="s">
        <v>56</v>
      </c>
      <c r="C5111" s="8">
        <v>46173</v>
      </c>
      <c r="D5111" t="s">
        <v>2058</v>
      </c>
      <c r="E5111" t="s">
        <v>2073</v>
      </c>
      <c r="F5111" t="s">
        <v>53</v>
      </c>
      <c r="G5111">
        <v>778.66</v>
      </c>
      <c r="H5111" t="s">
        <v>2060</v>
      </c>
      <c r="I5111" t="str">
        <f>VLOOKUP(B5111,Customers!A:G,7,FALSE)</f>
        <v>Individual</v>
      </c>
      <c r="Q5111" t="str">
        <f>IF(COUNTIF(Customers!$A$2:$A$1001,B5111)&gt;0,"Valid","Invalid")</f>
        <v>Valid</v>
      </c>
      <c r="R5111" t="str">
        <f>IF(COUNTIF(Branches!$A$2:$A$11,F5111)&gt;0,"Valid","Invalid")</f>
        <v>Valid</v>
      </c>
    </row>
    <row r="5112" spans="1:18" x14ac:dyDescent="0.25">
      <c r="A5112" t="s">
        <v>7183</v>
      </c>
      <c r="B5112" t="s">
        <v>325</v>
      </c>
      <c r="C5112" s="8">
        <v>46204</v>
      </c>
      <c r="D5112" t="s">
        <v>2062</v>
      </c>
      <c r="E5112" t="s">
        <v>2063</v>
      </c>
      <c r="F5112" t="s">
        <v>29</v>
      </c>
      <c r="G5112">
        <v>113.8</v>
      </c>
      <c r="H5112" t="s">
        <v>2060</v>
      </c>
      <c r="I5112" t="str">
        <f>VLOOKUP(B5112,Customers!A:G,7,FALSE)</f>
        <v>Corporate</v>
      </c>
      <c r="Q5112" t="str">
        <f>IF(COUNTIF(Customers!$A$2:$A$1001,B5112)&gt;0,"Valid","Invalid")</f>
        <v>Valid</v>
      </c>
      <c r="R5112" t="str">
        <f>IF(COUNTIF(Branches!$A$2:$A$11,F5112)&gt;0,"Valid","Invalid")</f>
        <v>Valid</v>
      </c>
    </row>
    <row r="5113" spans="1:18" x14ac:dyDescent="0.25">
      <c r="A5113" t="s">
        <v>7184</v>
      </c>
      <c r="B5113" t="s">
        <v>429</v>
      </c>
      <c r="C5113" s="8">
        <v>46197</v>
      </c>
      <c r="D5113" t="s">
        <v>2065</v>
      </c>
      <c r="E5113" t="s">
        <v>2059</v>
      </c>
      <c r="F5113" t="s">
        <v>47</v>
      </c>
      <c r="G5113">
        <v>499.29</v>
      </c>
      <c r="H5113" t="s">
        <v>2060</v>
      </c>
      <c r="I5113" t="str">
        <f>VLOOKUP(B5113,Customers!A:G,7,FALSE)</f>
        <v>Student</v>
      </c>
      <c r="Q5113" t="str">
        <f>IF(COUNTIF(Customers!$A$2:$A$1001,B5113)&gt;0,"Valid","Invalid")</f>
        <v>Valid</v>
      </c>
      <c r="R5113" t="str">
        <f>IF(COUNTIF(Branches!$A$2:$A$11,F5113)&gt;0,"Valid","Invalid")</f>
        <v>Valid</v>
      </c>
    </row>
    <row r="5114" spans="1:18" x14ac:dyDescent="0.25">
      <c r="A5114" t="s">
        <v>7185</v>
      </c>
      <c r="B5114" t="s">
        <v>655</v>
      </c>
      <c r="C5114" s="8">
        <v>46189</v>
      </c>
      <c r="D5114" t="s">
        <v>2067</v>
      </c>
      <c r="E5114" t="s">
        <v>2073</v>
      </c>
      <c r="F5114" t="s">
        <v>11</v>
      </c>
      <c r="G5114">
        <v>816.06</v>
      </c>
      <c r="H5114" t="s">
        <v>2060</v>
      </c>
      <c r="I5114" t="str">
        <f>VLOOKUP(B5114,Customers!A:G,7,FALSE)</f>
        <v>Individual</v>
      </c>
      <c r="Q5114" t="str">
        <f>IF(COUNTIF(Customers!$A$2:$A$1001,B5114)&gt;0,"Valid","Invalid")</f>
        <v>Valid</v>
      </c>
      <c r="R5114" t="str">
        <f>IF(COUNTIF(Branches!$A$2:$A$11,F5114)&gt;0,"Valid","Invalid")</f>
        <v>Valid</v>
      </c>
    </row>
    <row r="5115" spans="1:18" x14ac:dyDescent="0.25">
      <c r="A5115" t="s">
        <v>7186</v>
      </c>
      <c r="B5115" t="s">
        <v>185</v>
      </c>
      <c r="C5115" s="8">
        <v>46109</v>
      </c>
      <c r="D5115" t="s">
        <v>2067</v>
      </c>
      <c r="E5115" t="s">
        <v>2068</v>
      </c>
      <c r="F5115" t="s">
        <v>29</v>
      </c>
      <c r="G5115">
        <v>3009.47</v>
      </c>
      <c r="H5115" t="s">
        <v>2060</v>
      </c>
      <c r="I5115" t="str">
        <f>VLOOKUP(B5115,Customers!A:G,7,FALSE)</f>
        <v>SME</v>
      </c>
      <c r="Q5115" t="str">
        <f>IF(COUNTIF(Customers!$A$2:$A$1001,B5115)&gt;0,"Valid","Invalid")</f>
        <v>Valid</v>
      </c>
      <c r="R5115" t="str">
        <f>IF(COUNTIF(Branches!$A$2:$A$11,F5115)&gt;0,"Valid","Invalid")</f>
        <v>Valid</v>
      </c>
    </row>
    <row r="5116" spans="1:18" x14ac:dyDescent="0.25">
      <c r="A5116" t="s">
        <v>7187</v>
      </c>
      <c r="B5116" t="s">
        <v>310</v>
      </c>
      <c r="C5116" s="8">
        <v>46176</v>
      </c>
      <c r="D5116" t="s">
        <v>2065</v>
      </c>
      <c r="E5116" t="s">
        <v>2076</v>
      </c>
      <c r="F5116" t="s">
        <v>29</v>
      </c>
      <c r="G5116">
        <v>438.54</v>
      </c>
      <c r="H5116" t="s">
        <v>2060</v>
      </c>
      <c r="I5116" t="str">
        <f>VLOOKUP(B5116,Customers!A:G,7,FALSE)</f>
        <v>Individual</v>
      </c>
      <c r="Q5116" t="str">
        <f>IF(COUNTIF(Customers!$A$2:$A$1001,B5116)&gt;0,"Valid","Invalid")</f>
        <v>Valid</v>
      </c>
      <c r="R5116" t="str">
        <f>IF(COUNTIF(Branches!$A$2:$A$11,F5116)&gt;0,"Valid","Invalid")</f>
        <v>Valid</v>
      </c>
    </row>
    <row r="5117" spans="1:18" x14ac:dyDescent="0.25">
      <c r="A5117" t="s">
        <v>7188</v>
      </c>
      <c r="B5117" t="s">
        <v>826</v>
      </c>
      <c r="C5117" s="8">
        <v>46023</v>
      </c>
      <c r="D5117" t="s">
        <v>2065</v>
      </c>
      <c r="E5117" t="s">
        <v>2063</v>
      </c>
      <c r="F5117" t="s">
        <v>45</v>
      </c>
      <c r="G5117">
        <v>1830.12</v>
      </c>
      <c r="H5117" t="s">
        <v>2060</v>
      </c>
      <c r="I5117" t="str">
        <f>VLOOKUP(B5117,Customers!A:G,7,FALSE)</f>
        <v>SME</v>
      </c>
      <c r="Q5117" t="str">
        <f>IF(COUNTIF(Customers!$A$2:$A$1001,B5117)&gt;0,"Valid","Invalid")</f>
        <v>Valid</v>
      </c>
      <c r="R5117" t="str">
        <f>IF(COUNTIF(Branches!$A$2:$A$11,F5117)&gt;0,"Valid","Invalid")</f>
        <v>Valid</v>
      </c>
    </row>
    <row r="5118" spans="1:18" x14ac:dyDescent="0.25">
      <c r="A5118" t="s">
        <v>7189</v>
      </c>
      <c r="B5118" t="s">
        <v>337</v>
      </c>
      <c r="C5118" s="8">
        <v>46164</v>
      </c>
      <c r="D5118" t="s">
        <v>2065</v>
      </c>
      <c r="E5118" t="s">
        <v>2068</v>
      </c>
      <c r="F5118" t="s">
        <v>29</v>
      </c>
      <c r="G5118">
        <v>103.49</v>
      </c>
      <c r="H5118" t="s">
        <v>2060</v>
      </c>
      <c r="I5118" t="str">
        <f>VLOOKUP(B5118,Customers!A:G,7,FALSE)</f>
        <v>SME</v>
      </c>
      <c r="Q5118" t="str">
        <f>IF(COUNTIF(Customers!$A$2:$A$1001,B5118)&gt;0,"Valid","Invalid")</f>
        <v>Valid</v>
      </c>
      <c r="R5118" t="str">
        <f>IF(COUNTIF(Branches!$A$2:$A$11,F5118)&gt;0,"Valid","Invalid")</f>
        <v>Valid</v>
      </c>
    </row>
    <row r="5119" spans="1:18" x14ac:dyDescent="0.25">
      <c r="A5119" t="s">
        <v>7190</v>
      </c>
      <c r="B5119" t="s">
        <v>208</v>
      </c>
      <c r="C5119" s="8">
        <v>46246</v>
      </c>
      <c r="D5119" t="s">
        <v>2067</v>
      </c>
      <c r="E5119" t="s">
        <v>2059</v>
      </c>
      <c r="F5119" t="s">
        <v>39</v>
      </c>
      <c r="G5119">
        <v>2609.8000000000002</v>
      </c>
      <c r="H5119" t="s">
        <v>2060</v>
      </c>
      <c r="I5119" t="str">
        <f>VLOOKUP(B5119,Customers!A:G,7,FALSE)</f>
        <v>Individual</v>
      </c>
      <c r="Q5119" t="str">
        <f>IF(COUNTIF(Customers!$A$2:$A$1001,B5119)&gt;0,"Valid","Invalid")</f>
        <v>Valid</v>
      </c>
      <c r="R5119" t="str">
        <f>IF(COUNTIF(Branches!$A$2:$A$11,F5119)&gt;0,"Valid","Invalid")</f>
        <v>Valid</v>
      </c>
    </row>
    <row r="5120" spans="1:18" x14ac:dyDescent="0.25">
      <c r="A5120" t="s">
        <v>7191</v>
      </c>
      <c r="B5120" t="s">
        <v>83</v>
      </c>
      <c r="C5120" s="8">
        <v>46265</v>
      </c>
      <c r="D5120" t="s">
        <v>2058</v>
      </c>
      <c r="E5120" t="s">
        <v>2059</v>
      </c>
      <c r="F5120" t="s">
        <v>45</v>
      </c>
      <c r="G5120">
        <v>330.18</v>
      </c>
      <c r="H5120" t="s">
        <v>2060</v>
      </c>
      <c r="I5120" t="str">
        <f>VLOOKUP(B5120,Customers!A:G,7,FALSE)</f>
        <v>SME</v>
      </c>
      <c r="Q5120" t="str">
        <f>IF(COUNTIF(Customers!$A$2:$A$1001,B5120)&gt;0,"Valid","Invalid")</f>
        <v>Valid</v>
      </c>
      <c r="R5120" t="str">
        <f>IF(COUNTIF(Branches!$A$2:$A$11,F5120)&gt;0,"Valid","Invalid")</f>
        <v>Valid</v>
      </c>
    </row>
    <row r="5121" spans="1:18" x14ac:dyDescent="0.25">
      <c r="A5121" t="s">
        <v>7192</v>
      </c>
      <c r="B5121" t="s">
        <v>664</v>
      </c>
      <c r="C5121" s="8">
        <v>46134</v>
      </c>
      <c r="D5121" t="s">
        <v>2065</v>
      </c>
      <c r="E5121" t="s">
        <v>2076</v>
      </c>
      <c r="F5121" t="s">
        <v>29</v>
      </c>
      <c r="G5121">
        <v>925.44</v>
      </c>
      <c r="H5121" t="s">
        <v>2060</v>
      </c>
      <c r="I5121" t="str">
        <f>VLOOKUP(B5121,Customers!A:G,7,FALSE)</f>
        <v>Individual</v>
      </c>
      <c r="Q5121" t="str">
        <f>IF(COUNTIF(Customers!$A$2:$A$1001,B5121)&gt;0,"Valid","Invalid")</f>
        <v>Valid</v>
      </c>
      <c r="R5121" t="str">
        <f>IF(COUNTIF(Branches!$A$2:$A$11,F5121)&gt;0,"Valid","Invalid")</f>
        <v>Valid</v>
      </c>
    </row>
    <row r="5122" spans="1:18" x14ac:dyDescent="0.25">
      <c r="A5122" t="s">
        <v>7193</v>
      </c>
      <c r="B5122" t="s">
        <v>825</v>
      </c>
      <c r="C5122" s="8">
        <v>46096</v>
      </c>
      <c r="D5122" t="s">
        <v>2070</v>
      </c>
      <c r="E5122" t="s">
        <v>2076</v>
      </c>
      <c r="F5122" t="s">
        <v>47</v>
      </c>
      <c r="G5122">
        <v>1219.68</v>
      </c>
      <c r="H5122" t="s">
        <v>2060</v>
      </c>
      <c r="I5122" t="str">
        <f>VLOOKUP(B5122,Customers!A:G,7,FALSE)</f>
        <v>SME</v>
      </c>
      <c r="Q5122" t="str">
        <f>IF(COUNTIF(Customers!$A$2:$A$1001,B5122)&gt;0,"Valid","Invalid")</f>
        <v>Valid</v>
      </c>
      <c r="R5122" t="str">
        <f>IF(COUNTIF(Branches!$A$2:$A$11,F5122)&gt;0,"Valid","Invalid")</f>
        <v>Valid</v>
      </c>
    </row>
    <row r="5123" spans="1:18" x14ac:dyDescent="0.25">
      <c r="A5123" t="s">
        <v>7194</v>
      </c>
      <c r="B5123" t="s">
        <v>854</v>
      </c>
      <c r="C5123" s="8">
        <v>46087</v>
      </c>
      <c r="D5123" t="s">
        <v>2062</v>
      </c>
      <c r="E5123" t="s">
        <v>2076</v>
      </c>
      <c r="F5123" t="s">
        <v>39</v>
      </c>
      <c r="G5123">
        <v>1002.43</v>
      </c>
      <c r="H5123" t="s">
        <v>2060</v>
      </c>
      <c r="I5123" t="str">
        <f>VLOOKUP(B5123,Customers!A:G,7,FALSE)</f>
        <v>Individual</v>
      </c>
      <c r="Q5123" t="str">
        <f>IF(COUNTIF(Customers!$A$2:$A$1001,B5123)&gt;0,"Valid","Invalid")</f>
        <v>Valid</v>
      </c>
      <c r="R5123" t="str">
        <f>IF(COUNTIF(Branches!$A$2:$A$11,F5123)&gt;0,"Valid","Invalid")</f>
        <v>Valid</v>
      </c>
    </row>
    <row r="5124" spans="1:18" x14ac:dyDescent="0.25">
      <c r="A5124" t="s">
        <v>7195</v>
      </c>
      <c r="B5124" t="s">
        <v>1030</v>
      </c>
      <c r="C5124" s="8">
        <v>46091</v>
      </c>
      <c r="D5124" t="s">
        <v>2062</v>
      </c>
      <c r="E5124" t="s">
        <v>2076</v>
      </c>
      <c r="F5124" t="s">
        <v>11</v>
      </c>
      <c r="G5124">
        <v>730.13</v>
      </c>
      <c r="H5124" t="s">
        <v>2060</v>
      </c>
      <c r="I5124" t="str">
        <f>VLOOKUP(B5124,Customers!A:G,7,FALSE)</f>
        <v>Individual</v>
      </c>
      <c r="Q5124" t="str">
        <f>IF(COUNTIF(Customers!$A$2:$A$1001,B5124)&gt;0,"Valid","Invalid")</f>
        <v>Valid</v>
      </c>
      <c r="R5124" t="str">
        <f>IF(COUNTIF(Branches!$A$2:$A$11,F5124)&gt;0,"Valid","Invalid")</f>
        <v>Valid</v>
      </c>
    </row>
    <row r="5125" spans="1:18" x14ac:dyDescent="0.25">
      <c r="A5125" t="s">
        <v>7196</v>
      </c>
      <c r="B5125" t="s">
        <v>244</v>
      </c>
      <c r="C5125" s="8">
        <v>46089</v>
      </c>
      <c r="D5125" t="s">
        <v>2065</v>
      </c>
      <c r="E5125" t="s">
        <v>2063</v>
      </c>
      <c r="F5125" t="s">
        <v>53</v>
      </c>
      <c r="G5125">
        <v>234.74</v>
      </c>
      <c r="H5125" t="s">
        <v>2115</v>
      </c>
      <c r="I5125" t="str">
        <f>VLOOKUP(B5125,Customers!A:G,7,FALSE)</f>
        <v>Student</v>
      </c>
      <c r="Q5125" t="str">
        <f>IF(COUNTIF(Customers!$A$2:$A$1001,B5125)&gt;0,"Valid","Invalid")</f>
        <v>Valid</v>
      </c>
      <c r="R5125" t="str">
        <f>IF(COUNTIF(Branches!$A$2:$A$11,F5125)&gt;0,"Valid","Invalid")</f>
        <v>Valid</v>
      </c>
    </row>
    <row r="5126" spans="1:18" x14ac:dyDescent="0.25">
      <c r="A5126" t="s">
        <v>7197</v>
      </c>
      <c r="B5126" t="s">
        <v>491</v>
      </c>
      <c r="C5126" s="8">
        <v>46199</v>
      </c>
      <c r="D5126" t="s">
        <v>2058</v>
      </c>
      <c r="E5126" t="s">
        <v>2059</v>
      </c>
      <c r="F5126" t="s">
        <v>45</v>
      </c>
      <c r="G5126">
        <v>333.77</v>
      </c>
      <c r="H5126" t="s">
        <v>2060</v>
      </c>
      <c r="I5126" t="str">
        <f>VLOOKUP(B5126,Customers!A:G,7,FALSE)</f>
        <v>Individual</v>
      </c>
      <c r="Q5126" t="str">
        <f>IF(COUNTIF(Customers!$A$2:$A$1001,B5126)&gt;0,"Valid","Invalid")</f>
        <v>Valid</v>
      </c>
      <c r="R5126" t="str">
        <f>IF(COUNTIF(Branches!$A$2:$A$11,F5126)&gt;0,"Valid","Invalid")</f>
        <v>Valid</v>
      </c>
    </row>
    <row r="5127" spans="1:18" x14ac:dyDescent="0.25">
      <c r="A5127" t="s">
        <v>7198</v>
      </c>
      <c r="B5127" t="s">
        <v>433</v>
      </c>
      <c r="C5127" s="8">
        <v>46072</v>
      </c>
      <c r="D5127" t="s">
        <v>2058</v>
      </c>
      <c r="E5127" t="s">
        <v>2076</v>
      </c>
      <c r="F5127" t="s">
        <v>29</v>
      </c>
      <c r="G5127">
        <v>2200.48</v>
      </c>
      <c r="H5127" t="s">
        <v>2060</v>
      </c>
      <c r="I5127" t="str">
        <f>VLOOKUP(B5127,Customers!A:G,7,FALSE)</f>
        <v>Individual</v>
      </c>
      <c r="Q5127" t="str">
        <f>IF(COUNTIF(Customers!$A$2:$A$1001,B5127)&gt;0,"Valid","Invalid")</f>
        <v>Valid</v>
      </c>
      <c r="R5127" t="str">
        <f>IF(COUNTIF(Branches!$A$2:$A$11,F5127)&gt;0,"Valid","Invalid")</f>
        <v>Valid</v>
      </c>
    </row>
    <row r="5128" spans="1:18" x14ac:dyDescent="0.25">
      <c r="A5128" t="s">
        <v>7199</v>
      </c>
      <c r="B5128" t="s">
        <v>1013</v>
      </c>
      <c r="C5128" s="8">
        <v>46080</v>
      </c>
      <c r="D5128" t="s">
        <v>2070</v>
      </c>
      <c r="E5128" t="s">
        <v>2063</v>
      </c>
      <c r="F5128" t="s">
        <v>39</v>
      </c>
      <c r="G5128">
        <v>447.03</v>
      </c>
      <c r="H5128" t="s">
        <v>2060</v>
      </c>
      <c r="I5128" t="str">
        <f>VLOOKUP(B5128,Customers!A:G,7,FALSE)</f>
        <v>Student</v>
      </c>
      <c r="Q5128" t="str">
        <f>IF(COUNTIF(Customers!$A$2:$A$1001,B5128)&gt;0,"Valid","Invalid")</f>
        <v>Valid</v>
      </c>
      <c r="R5128" t="str">
        <f>IF(COUNTIF(Branches!$A$2:$A$11,F5128)&gt;0,"Valid","Invalid")</f>
        <v>Valid</v>
      </c>
    </row>
    <row r="5129" spans="1:18" x14ac:dyDescent="0.25">
      <c r="A5129" t="s">
        <v>7200</v>
      </c>
      <c r="B5129" t="s">
        <v>963</v>
      </c>
      <c r="C5129" s="8">
        <v>46075</v>
      </c>
      <c r="D5129" t="s">
        <v>2062</v>
      </c>
      <c r="E5129" t="s">
        <v>2063</v>
      </c>
      <c r="F5129" t="s">
        <v>16</v>
      </c>
      <c r="G5129">
        <v>732.68</v>
      </c>
      <c r="H5129" t="s">
        <v>2060</v>
      </c>
      <c r="I5129" t="str">
        <f>VLOOKUP(B5129,Customers!A:G,7,FALSE)</f>
        <v>Individual</v>
      </c>
      <c r="Q5129" t="str">
        <f>IF(COUNTIF(Customers!$A$2:$A$1001,B5129)&gt;0,"Valid","Invalid")</f>
        <v>Valid</v>
      </c>
      <c r="R5129" t="str">
        <f>IF(COUNTIF(Branches!$A$2:$A$11,F5129)&gt;0,"Valid","Invalid")</f>
        <v>Valid</v>
      </c>
    </row>
    <row r="5130" spans="1:18" x14ac:dyDescent="0.25">
      <c r="A5130" t="s">
        <v>7201</v>
      </c>
      <c r="B5130" t="s">
        <v>792</v>
      </c>
      <c r="C5130" s="8">
        <v>46113</v>
      </c>
      <c r="D5130" t="s">
        <v>2058</v>
      </c>
      <c r="E5130" t="s">
        <v>2063</v>
      </c>
      <c r="F5130" t="s">
        <v>29</v>
      </c>
      <c r="G5130">
        <v>182.71</v>
      </c>
      <c r="H5130" t="s">
        <v>2060</v>
      </c>
      <c r="I5130" t="str">
        <f>VLOOKUP(B5130,Customers!A:G,7,FALSE)</f>
        <v>SME</v>
      </c>
      <c r="Q5130" t="str">
        <f>IF(COUNTIF(Customers!$A$2:$A$1001,B5130)&gt;0,"Valid","Invalid")</f>
        <v>Valid</v>
      </c>
      <c r="R5130" t="str">
        <f>IF(COUNTIF(Branches!$A$2:$A$11,F5130)&gt;0,"Valid","Invalid")</f>
        <v>Valid</v>
      </c>
    </row>
    <row r="5131" spans="1:18" x14ac:dyDescent="0.25">
      <c r="A5131" t="s">
        <v>7202</v>
      </c>
      <c r="B5131" t="s">
        <v>339</v>
      </c>
      <c r="C5131" s="8">
        <v>46137</v>
      </c>
      <c r="D5131" t="s">
        <v>2062</v>
      </c>
      <c r="E5131" t="s">
        <v>2059</v>
      </c>
      <c r="F5131" t="s">
        <v>29</v>
      </c>
      <c r="G5131">
        <v>1917.11</v>
      </c>
      <c r="H5131" t="s">
        <v>2060</v>
      </c>
      <c r="I5131" t="str">
        <f>VLOOKUP(B5131,Customers!A:G,7,FALSE)</f>
        <v>SME</v>
      </c>
      <c r="Q5131" t="str">
        <f>IF(COUNTIF(Customers!$A$2:$A$1001,B5131)&gt;0,"Valid","Invalid")</f>
        <v>Valid</v>
      </c>
      <c r="R5131" t="str">
        <f>IF(COUNTIF(Branches!$A$2:$A$11,F5131)&gt;0,"Valid","Invalid")</f>
        <v>Valid</v>
      </c>
    </row>
    <row r="5132" spans="1:18" x14ac:dyDescent="0.25">
      <c r="A5132" t="s">
        <v>7203</v>
      </c>
      <c r="B5132" t="s">
        <v>746</v>
      </c>
      <c r="C5132" s="8">
        <v>46140</v>
      </c>
      <c r="D5132" t="s">
        <v>2065</v>
      </c>
      <c r="E5132" t="s">
        <v>2073</v>
      </c>
      <c r="F5132" t="s">
        <v>27</v>
      </c>
      <c r="G5132">
        <v>217.13</v>
      </c>
      <c r="H5132" t="s">
        <v>2060</v>
      </c>
      <c r="I5132" t="str">
        <f>VLOOKUP(B5132,Customers!A:G,7,FALSE)</f>
        <v>Individual</v>
      </c>
      <c r="Q5132" t="str">
        <f>IF(COUNTIF(Customers!$A$2:$A$1001,B5132)&gt;0,"Valid","Invalid")</f>
        <v>Valid</v>
      </c>
      <c r="R5132" t="str">
        <f>IF(COUNTIF(Branches!$A$2:$A$11,F5132)&gt;0,"Valid","Invalid")</f>
        <v>Valid</v>
      </c>
    </row>
    <row r="5133" spans="1:18" x14ac:dyDescent="0.25">
      <c r="A5133" t="s">
        <v>7204</v>
      </c>
      <c r="B5133" t="s">
        <v>714</v>
      </c>
      <c r="C5133" s="8">
        <v>46079</v>
      </c>
      <c r="D5133" t="s">
        <v>2065</v>
      </c>
      <c r="E5133" t="s">
        <v>2063</v>
      </c>
      <c r="F5133" t="s">
        <v>16</v>
      </c>
      <c r="G5133">
        <v>2030.35</v>
      </c>
      <c r="H5133" t="s">
        <v>2060</v>
      </c>
      <c r="I5133" t="str">
        <f>VLOOKUP(B5133,Customers!A:G,7,FALSE)</f>
        <v>Individual</v>
      </c>
      <c r="Q5133" t="str">
        <f>IF(COUNTIF(Customers!$A$2:$A$1001,B5133)&gt;0,"Valid","Invalid")</f>
        <v>Valid</v>
      </c>
      <c r="R5133" t="str">
        <f>IF(COUNTIF(Branches!$A$2:$A$11,F5133)&gt;0,"Valid","Invalid")</f>
        <v>Valid</v>
      </c>
    </row>
    <row r="5134" spans="1:18" x14ac:dyDescent="0.25">
      <c r="A5134" t="s">
        <v>7205</v>
      </c>
      <c r="B5134" t="s">
        <v>212</v>
      </c>
      <c r="C5134" s="8">
        <v>46108</v>
      </c>
      <c r="D5134" t="s">
        <v>2058</v>
      </c>
      <c r="E5134" t="s">
        <v>2059</v>
      </c>
      <c r="F5134" t="s">
        <v>47</v>
      </c>
      <c r="G5134">
        <v>280.7</v>
      </c>
      <c r="H5134" t="s">
        <v>2060</v>
      </c>
      <c r="I5134" t="str">
        <f>VLOOKUP(B5134,Customers!A:G,7,FALSE)</f>
        <v>Student</v>
      </c>
      <c r="Q5134" t="str">
        <f>IF(COUNTIF(Customers!$A$2:$A$1001,B5134)&gt;0,"Valid","Invalid")</f>
        <v>Valid</v>
      </c>
      <c r="R5134" t="str">
        <f>IF(COUNTIF(Branches!$A$2:$A$11,F5134)&gt;0,"Valid","Invalid")</f>
        <v>Valid</v>
      </c>
    </row>
    <row r="5135" spans="1:18" x14ac:dyDescent="0.25">
      <c r="A5135" t="s">
        <v>7206</v>
      </c>
      <c r="B5135" t="s">
        <v>893</v>
      </c>
      <c r="C5135" s="8">
        <v>46040</v>
      </c>
      <c r="D5135" t="s">
        <v>2065</v>
      </c>
      <c r="E5135" t="s">
        <v>2076</v>
      </c>
      <c r="F5135" t="s">
        <v>11</v>
      </c>
      <c r="G5135">
        <v>2240.62</v>
      </c>
      <c r="H5135" t="s">
        <v>2115</v>
      </c>
      <c r="I5135" t="str">
        <f>VLOOKUP(B5135,Customers!A:G,7,FALSE)</f>
        <v>Corporate</v>
      </c>
      <c r="Q5135" t="str">
        <f>IF(COUNTIF(Customers!$A$2:$A$1001,B5135)&gt;0,"Valid","Invalid")</f>
        <v>Valid</v>
      </c>
      <c r="R5135" t="str">
        <f>IF(COUNTIF(Branches!$A$2:$A$11,F5135)&gt;0,"Valid","Invalid")</f>
        <v>Valid</v>
      </c>
    </row>
    <row r="5136" spans="1:18" x14ac:dyDescent="0.25">
      <c r="A5136" t="s">
        <v>7207</v>
      </c>
      <c r="B5136" t="s">
        <v>821</v>
      </c>
      <c r="C5136" s="8">
        <v>46038</v>
      </c>
      <c r="D5136" t="s">
        <v>2065</v>
      </c>
      <c r="E5136" t="s">
        <v>2063</v>
      </c>
      <c r="F5136" t="s">
        <v>29</v>
      </c>
      <c r="G5136">
        <v>820.73</v>
      </c>
      <c r="H5136" t="s">
        <v>2060</v>
      </c>
      <c r="I5136" t="str">
        <f>VLOOKUP(B5136,Customers!A:G,7,FALSE)</f>
        <v>SME</v>
      </c>
      <c r="Q5136" t="str">
        <f>IF(COUNTIF(Customers!$A$2:$A$1001,B5136)&gt;0,"Valid","Invalid")</f>
        <v>Valid</v>
      </c>
      <c r="R5136" t="str">
        <f>IF(COUNTIF(Branches!$A$2:$A$11,F5136)&gt;0,"Valid","Invalid")</f>
        <v>Valid</v>
      </c>
    </row>
    <row r="5137" spans="1:18" x14ac:dyDescent="0.25">
      <c r="A5137" t="s">
        <v>7208</v>
      </c>
      <c r="B5137" t="s">
        <v>146</v>
      </c>
      <c r="C5137" s="8">
        <v>46152</v>
      </c>
      <c r="D5137" t="s">
        <v>2062</v>
      </c>
      <c r="E5137" t="s">
        <v>2073</v>
      </c>
      <c r="F5137" t="s">
        <v>11</v>
      </c>
      <c r="G5137">
        <v>464.63</v>
      </c>
      <c r="H5137" t="s">
        <v>2060</v>
      </c>
      <c r="I5137" t="str">
        <f>VLOOKUP(B5137,Customers!A:G,7,FALSE)</f>
        <v>Student</v>
      </c>
      <c r="Q5137" t="str">
        <f>IF(COUNTIF(Customers!$A$2:$A$1001,B5137)&gt;0,"Valid","Invalid")</f>
        <v>Valid</v>
      </c>
      <c r="R5137" t="str">
        <f>IF(COUNTIF(Branches!$A$2:$A$11,F5137)&gt;0,"Valid","Invalid")</f>
        <v>Valid</v>
      </c>
    </row>
    <row r="5138" spans="1:18" x14ac:dyDescent="0.25">
      <c r="A5138" t="s">
        <v>7209</v>
      </c>
      <c r="B5138" t="s">
        <v>722</v>
      </c>
      <c r="C5138" s="8">
        <v>46261</v>
      </c>
      <c r="D5138" t="s">
        <v>2065</v>
      </c>
      <c r="E5138" t="s">
        <v>2059</v>
      </c>
      <c r="F5138" t="s">
        <v>29</v>
      </c>
      <c r="G5138">
        <v>4025.49</v>
      </c>
      <c r="H5138" t="s">
        <v>2060</v>
      </c>
      <c r="I5138" t="str">
        <f>VLOOKUP(B5138,Customers!A:G,7,FALSE)</f>
        <v>SME</v>
      </c>
      <c r="Q5138" t="str">
        <f>IF(COUNTIF(Customers!$A$2:$A$1001,B5138)&gt;0,"Valid","Invalid")</f>
        <v>Valid</v>
      </c>
      <c r="R5138" t="str">
        <f>IF(COUNTIF(Branches!$A$2:$A$11,F5138)&gt;0,"Valid","Invalid")</f>
        <v>Valid</v>
      </c>
    </row>
    <row r="5139" spans="1:18" x14ac:dyDescent="0.25">
      <c r="A5139" t="s">
        <v>7210</v>
      </c>
      <c r="B5139" t="s">
        <v>1001</v>
      </c>
      <c r="C5139" s="8">
        <v>46035</v>
      </c>
      <c r="D5139" t="s">
        <v>2058</v>
      </c>
      <c r="E5139" t="s">
        <v>2068</v>
      </c>
      <c r="F5139" t="s">
        <v>11</v>
      </c>
      <c r="G5139">
        <v>758.35</v>
      </c>
      <c r="H5139" t="s">
        <v>2060</v>
      </c>
      <c r="I5139" t="str">
        <f>VLOOKUP(B5139,Customers!A:G,7,FALSE)</f>
        <v>Individual</v>
      </c>
      <c r="Q5139" t="str">
        <f>IF(COUNTIF(Customers!$A$2:$A$1001,B5139)&gt;0,"Valid","Invalid")</f>
        <v>Valid</v>
      </c>
      <c r="R5139" t="str">
        <f>IF(COUNTIF(Branches!$A$2:$A$11,F5139)&gt;0,"Valid","Invalid")</f>
        <v>Valid</v>
      </c>
    </row>
    <row r="5140" spans="1:18" x14ac:dyDescent="0.25">
      <c r="A5140" t="s">
        <v>7211</v>
      </c>
      <c r="B5140" t="s">
        <v>902</v>
      </c>
      <c r="C5140" s="8">
        <v>46195</v>
      </c>
      <c r="D5140" t="s">
        <v>2062</v>
      </c>
      <c r="E5140" t="s">
        <v>2063</v>
      </c>
      <c r="F5140" t="s">
        <v>27</v>
      </c>
      <c r="G5140">
        <v>565.77</v>
      </c>
      <c r="H5140" t="s">
        <v>2060</v>
      </c>
      <c r="I5140" t="str">
        <f>VLOOKUP(B5140,Customers!A:G,7,FALSE)</f>
        <v>SME</v>
      </c>
      <c r="Q5140" t="str">
        <f>IF(COUNTIF(Customers!$A$2:$A$1001,B5140)&gt;0,"Valid","Invalid")</f>
        <v>Valid</v>
      </c>
      <c r="R5140" t="str">
        <f>IF(COUNTIF(Branches!$A$2:$A$11,F5140)&gt;0,"Valid","Invalid")</f>
        <v>Valid</v>
      </c>
    </row>
    <row r="5141" spans="1:18" x14ac:dyDescent="0.25">
      <c r="A5141" t="s">
        <v>7212</v>
      </c>
      <c r="B5141" t="s">
        <v>239</v>
      </c>
      <c r="C5141" s="8">
        <v>46102</v>
      </c>
      <c r="D5141" t="s">
        <v>2067</v>
      </c>
      <c r="E5141" t="s">
        <v>2063</v>
      </c>
      <c r="F5141" t="s">
        <v>16</v>
      </c>
      <c r="G5141">
        <v>2016.5</v>
      </c>
      <c r="H5141" t="s">
        <v>2060</v>
      </c>
      <c r="I5141" t="str">
        <f>VLOOKUP(B5141,Customers!A:G,7,FALSE)</f>
        <v>SME</v>
      </c>
      <c r="Q5141" t="str">
        <f>IF(COUNTIF(Customers!$A$2:$A$1001,B5141)&gt;0,"Valid","Invalid")</f>
        <v>Valid</v>
      </c>
      <c r="R5141" t="str">
        <f>IF(COUNTIF(Branches!$A$2:$A$11,F5141)&gt;0,"Valid","Invalid")</f>
        <v>Valid</v>
      </c>
    </row>
    <row r="5142" spans="1:18" x14ac:dyDescent="0.25">
      <c r="A5142" t="s">
        <v>7213</v>
      </c>
      <c r="B5142" t="s">
        <v>204</v>
      </c>
      <c r="C5142" s="8">
        <v>46222</v>
      </c>
      <c r="D5142" t="s">
        <v>2065</v>
      </c>
      <c r="E5142" t="s">
        <v>2063</v>
      </c>
      <c r="F5142" t="s">
        <v>45</v>
      </c>
      <c r="G5142">
        <v>184.85</v>
      </c>
      <c r="H5142" t="s">
        <v>2060</v>
      </c>
      <c r="I5142" t="str">
        <f>VLOOKUP(B5142,Customers!A:G,7,FALSE)</f>
        <v>Individual</v>
      </c>
      <c r="Q5142" t="str">
        <f>IF(COUNTIF(Customers!$A$2:$A$1001,B5142)&gt;0,"Valid","Invalid")</f>
        <v>Valid</v>
      </c>
      <c r="R5142" t="str">
        <f>IF(COUNTIF(Branches!$A$2:$A$11,F5142)&gt;0,"Valid","Invalid")</f>
        <v>Valid</v>
      </c>
    </row>
    <row r="5143" spans="1:18" x14ac:dyDescent="0.25">
      <c r="A5143" t="s">
        <v>7214</v>
      </c>
      <c r="B5143" t="s">
        <v>652</v>
      </c>
      <c r="C5143" s="8">
        <v>46065</v>
      </c>
      <c r="D5143" t="s">
        <v>2065</v>
      </c>
      <c r="E5143" t="s">
        <v>2059</v>
      </c>
      <c r="F5143" t="s">
        <v>45</v>
      </c>
      <c r="G5143">
        <v>64.900000000000006</v>
      </c>
      <c r="H5143" t="s">
        <v>2060</v>
      </c>
      <c r="I5143" t="str">
        <f>VLOOKUP(B5143,Customers!A:G,7,FALSE)</f>
        <v>Student</v>
      </c>
      <c r="Q5143" t="str">
        <f>IF(COUNTIF(Customers!$A$2:$A$1001,B5143)&gt;0,"Valid","Invalid")</f>
        <v>Valid</v>
      </c>
      <c r="R5143" t="str">
        <f>IF(COUNTIF(Branches!$A$2:$A$11,F5143)&gt;0,"Valid","Invalid")</f>
        <v>Valid</v>
      </c>
    </row>
    <row r="5144" spans="1:18" x14ac:dyDescent="0.25">
      <c r="A5144" t="s">
        <v>7215</v>
      </c>
      <c r="B5144" t="s">
        <v>122</v>
      </c>
      <c r="C5144" s="8">
        <v>46222</v>
      </c>
      <c r="D5144" t="s">
        <v>2065</v>
      </c>
      <c r="E5144" t="s">
        <v>2068</v>
      </c>
      <c r="F5144" t="s">
        <v>47</v>
      </c>
      <c r="G5144">
        <v>2586.29</v>
      </c>
      <c r="H5144" t="s">
        <v>2060</v>
      </c>
      <c r="I5144" t="str">
        <f>VLOOKUP(B5144,Customers!A:G,7,FALSE)</f>
        <v>Individual</v>
      </c>
      <c r="Q5144" t="str">
        <f>IF(COUNTIF(Customers!$A$2:$A$1001,B5144)&gt;0,"Valid","Invalid")</f>
        <v>Valid</v>
      </c>
      <c r="R5144" t="str">
        <f>IF(COUNTIF(Branches!$A$2:$A$11,F5144)&gt;0,"Valid","Invalid")</f>
        <v>Valid</v>
      </c>
    </row>
    <row r="5145" spans="1:18" x14ac:dyDescent="0.25">
      <c r="A5145" t="s">
        <v>7216</v>
      </c>
      <c r="B5145" t="s">
        <v>692</v>
      </c>
      <c r="C5145" s="8">
        <v>46076</v>
      </c>
      <c r="D5145" t="s">
        <v>2065</v>
      </c>
      <c r="E5145" t="s">
        <v>2063</v>
      </c>
      <c r="F5145" t="s">
        <v>29</v>
      </c>
      <c r="G5145">
        <v>352.02</v>
      </c>
      <c r="H5145" t="s">
        <v>2060</v>
      </c>
      <c r="I5145" t="str">
        <f>VLOOKUP(B5145,Customers!A:G,7,FALSE)</f>
        <v>Individual</v>
      </c>
      <c r="Q5145" t="str">
        <f>IF(COUNTIF(Customers!$A$2:$A$1001,B5145)&gt;0,"Valid","Invalid")</f>
        <v>Valid</v>
      </c>
      <c r="R5145" t="str">
        <f>IF(COUNTIF(Branches!$A$2:$A$11,F5145)&gt;0,"Valid","Invalid")</f>
        <v>Valid</v>
      </c>
    </row>
    <row r="5146" spans="1:18" x14ac:dyDescent="0.25">
      <c r="A5146" t="s">
        <v>7217</v>
      </c>
      <c r="B5146" t="s">
        <v>997</v>
      </c>
      <c r="C5146" s="8">
        <v>46224</v>
      </c>
      <c r="D5146" t="s">
        <v>2065</v>
      </c>
      <c r="E5146" t="s">
        <v>2076</v>
      </c>
      <c r="F5146" t="s">
        <v>27</v>
      </c>
      <c r="G5146">
        <v>1928.74</v>
      </c>
      <c r="H5146" t="s">
        <v>2060</v>
      </c>
      <c r="I5146" t="str">
        <f>VLOOKUP(B5146,Customers!A:G,7,FALSE)</f>
        <v>Individual</v>
      </c>
      <c r="Q5146" t="str">
        <f>IF(COUNTIF(Customers!$A$2:$A$1001,B5146)&gt;0,"Valid","Invalid")</f>
        <v>Valid</v>
      </c>
      <c r="R5146" t="str">
        <f>IF(COUNTIF(Branches!$A$2:$A$11,F5146)&gt;0,"Valid","Invalid")</f>
        <v>Valid</v>
      </c>
    </row>
    <row r="5147" spans="1:18" x14ac:dyDescent="0.25">
      <c r="A5147" t="s">
        <v>7218</v>
      </c>
      <c r="B5147" t="s">
        <v>887</v>
      </c>
      <c r="C5147" s="8">
        <v>46247</v>
      </c>
      <c r="D5147" t="s">
        <v>2067</v>
      </c>
      <c r="E5147" t="s">
        <v>2063</v>
      </c>
      <c r="F5147" t="s">
        <v>27</v>
      </c>
      <c r="G5147">
        <v>850.79</v>
      </c>
      <c r="H5147" t="s">
        <v>2060</v>
      </c>
      <c r="I5147" t="str">
        <f>VLOOKUP(B5147,Customers!A:G,7,FALSE)</f>
        <v>Individual</v>
      </c>
      <c r="Q5147" t="str">
        <f>IF(COUNTIF(Customers!$A$2:$A$1001,B5147)&gt;0,"Valid","Invalid")</f>
        <v>Valid</v>
      </c>
      <c r="R5147" t="str">
        <f>IF(COUNTIF(Branches!$A$2:$A$11,F5147)&gt;0,"Valid","Invalid")</f>
        <v>Valid</v>
      </c>
    </row>
    <row r="5148" spans="1:18" x14ac:dyDescent="0.25">
      <c r="A5148" t="s">
        <v>7219</v>
      </c>
      <c r="B5148" t="s">
        <v>763</v>
      </c>
      <c r="C5148" s="8">
        <v>46181</v>
      </c>
      <c r="D5148" t="s">
        <v>2067</v>
      </c>
      <c r="E5148" t="s">
        <v>2068</v>
      </c>
      <c r="F5148" t="s">
        <v>27</v>
      </c>
      <c r="G5148">
        <v>253.66</v>
      </c>
      <c r="H5148" t="s">
        <v>2115</v>
      </c>
      <c r="I5148" t="str">
        <f>VLOOKUP(B5148,Customers!A:G,7,FALSE)</f>
        <v>SME</v>
      </c>
      <c r="Q5148" t="str">
        <f>IF(COUNTIF(Customers!$A$2:$A$1001,B5148)&gt;0,"Valid","Invalid")</f>
        <v>Valid</v>
      </c>
      <c r="R5148" t="str">
        <f>IF(COUNTIF(Branches!$A$2:$A$11,F5148)&gt;0,"Valid","Invalid")</f>
        <v>Valid</v>
      </c>
    </row>
    <row r="5149" spans="1:18" x14ac:dyDescent="0.25">
      <c r="A5149" t="s">
        <v>7220</v>
      </c>
      <c r="B5149" t="s">
        <v>87</v>
      </c>
      <c r="C5149" s="8">
        <v>46226</v>
      </c>
      <c r="D5149" t="s">
        <v>2062</v>
      </c>
      <c r="E5149" t="s">
        <v>2068</v>
      </c>
      <c r="F5149" t="s">
        <v>29</v>
      </c>
      <c r="G5149">
        <v>1491.12</v>
      </c>
      <c r="H5149" t="s">
        <v>2060</v>
      </c>
      <c r="I5149" t="str">
        <f>VLOOKUP(B5149,Customers!A:G,7,FALSE)</f>
        <v>Individual</v>
      </c>
      <c r="Q5149" t="str">
        <f>IF(COUNTIF(Customers!$A$2:$A$1001,B5149)&gt;0,"Valid","Invalid")</f>
        <v>Valid</v>
      </c>
      <c r="R5149" t="str">
        <f>IF(COUNTIF(Branches!$A$2:$A$11,F5149)&gt;0,"Valid","Invalid")</f>
        <v>Valid</v>
      </c>
    </row>
    <row r="5150" spans="1:18" x14ac:dyDescent="0.25">
      <c r="A5150" t="s">
        <v>7221</v>
      </c>
      <c r="B5150" t="s">
        <v>148</v>
      </c>
      <c r="C5150" s="8">
        <v>46159</v>
      </c>
      <c r="D5150" t="s">
        <v>2062</v>
      </c>
      <c r="E5150" t="s">
        <v>2059</v>
      </c>
      <c r="F5150" t="s">
        <v>53</v>
      </c>
      <c r="G5150">
        <v>539.05999999999995</v>
      </c>
      <c r="H5150" t="s">
        <v>2060</v>
      </c>
      <c r="I5150" t="str">
        <f>VLOOKUP(B5150,Customers!A:G,7,FALSE)</f>
        <v>Individual</v>
      </c>
      <c r="Q5150" t="str">
        <f>IF(COUNTIF(Customers!$A$2:$A$1001,B5150)&gt;0,"Valid","Invalid")</f>
        <v>Valid</v>
      </c>
      <c r="R5150" t="str">
        <f>IF(COUNTIF(Branches!$A$2:$A$11,F5150)&gt;0,"Valid","Invalid")</f>
        <v>Valid</v>
      </c>
    </row>
    <row r="5151" spans="1:18" x14ac:dyDescent="0.25">
      <c r="A5151" t="s">
        <v>7222</v>
      </c>
      <c r="B5151" t="s">
        <v>501</v>
      </c>
      <c r="C5151" s="8">
        <v>46251</v>
      </c>
      <c r="D5151" t="s">
        <v>2062</v>
      </c>
      <c r="E5151" t="s">
        <v>2063</v>
      </c>
      <c r="F5151" t="s">
        <v>29</v>
      </c>
      <c r="G5151">
        <v>276.62</v>
      </c>
      <c r="H5151" t="s">
        <v>2060</v>
      </c>
      <c r="I5151" t="str">
        <f>VLOOKUP(B5151,Customers!A:G,7,FALSE)</f>
        <v>Individual</v>
      </c>
      <c r="Q5151" t="str">
        <f>IF(COUNTIF(Customers!$A$2:$A$1001,B5151)&gt;0,"Valid","Invalid")</f>
        <v>Valid</v>
      </c>
      <c r="R5151" t="str">
        <f>IF(COUNTIF(Branches!$A$2:$A$11,F5151)&gt;0,"Valid","Invalid")</f>
        <v>Valid</v>
      </c>
    </row>
    <row r="5152" spans="1:18" x14ac:dyDescent="0.25">
      <c r="A5152" t="s">
        <v>7223</v>
      </c>
      <c r="B5152" t="s">
        <v>480</v>
      </c>
      <c r="C5152" s="8">
        <v>46095</v>
      </c>
      <c r="D5152" t="s">
        <v>2058</v>
      </c>
      <c r="E5152" t="s">
        <v>2076</v>
      </c>
      <c r="F5152" t="s">
        <v>53</v>
      </c>
      <c r="G5152">
        <v>283.92</v>
      </c>
      <c r="H5152" t="s">
        <v>2060</v>
      </c>
      <c r="I5152" t="str">
        <f>VLOOKUP(B5152,Customers!A:G,7,FALSE)</f>
        <v>SME</v>
      </c>
      <c r="Q5152" t="str">
        <f>IF(COUNTIF(Customers!$A$2:$A$1001,B5152)&gt;0,"Valid","Invalid")</f>
        <v>Valid</v>
      </c>
      <c r="R5152" t="str">
        <f>IF(COUNTIF(Branches!$A$2:$A$11,F5152)&gt;0,"Valid","Invalid")</f>
        <v>Valid</v>
      </c>
    </row>
    <row r="5153" spans="1:18" x14ac:dyDescent="0.25">
      <c r="A5153" t="s">
        <v>7224</v>
      </c>
      <c r="B5153" t="s">
        <v>309</v>
      </c>
      <c r="C5153" s="8">
        <v>46070</v>
      </c>
      <c r="D5153" t="s">
        <v>2065</v>
      </c>
      <c r="E5153" t="s">
        <v>2063</v>
      </c>
      <c r="F5153" t="s">
        <v>29</v>
      </c>
      <c r="G5153">
        <v>143.62</v>
      </c>
      <c r="H5153" t="s">
        <v>2060</v>
      </c>
      <c r="I5153" t="str">
        <f>VLOOKUP(B5153,Customers!A:G,7,FALSE)</f>
        <v>SME</v>
      </c>
      <c r="Q5153" t="str">
        <f>IF(COUNTIF(Customers!$A$2:$A$1001,B5153)&gt;0,"Valid","Invalid")</f>
        <v>Valid</v>
      </c>
      <c r="R5153" t="str">
        <f>IF(COUNTIF(Branches!$A$2:$A$11,F5153)&gt;0,"Valid","Invalid")</f>
        <v>Valid</v>
      </c>
    </row>
    <row r="5154" spans="1:18" x14ac:dyDescent="0.25">
      <c r="A5154" t="s">
        <v>7225</v>
      </c>
      <c r="B5154" t="s">
        <v>615</v>
      </c>
      <c r="C5154" s="8">
        <v>46040</v>
      </c>
      <c r="D5154" t="s">
        <v>2062</v>
      </c>
      <c r="E5154" t="s">
        <v>2063</v>
      </c>
      <c r="F5154" t="s">
        <v>35</v>
      </c>
      <c r="G5154">
        <v>1215.6400000000001</v>
      </c>
      <c r="H5154" t="s">
        <v>2060</v>
      </c>
      <c r="I5154" t="str">
        <f>VLOOKUP(B5154,Customers!A:G,7,FALSE)</f>
        <v>Student</v>
      </c>
      <c r="Q5154" t="str">
        <f>IF(COUNTIF(Customers!$A$2:$A$1001,B5154)&gt;0,"Valid","Invalid")</f>
        <v>Valid</v>
      </c>
      <c r="R5154" t="str">
        <f>IF(COUNTIF(Branches!$A$2:$A$11,F5154)&gt;0,"Valid","Invalid")</f>
        <v>Valid</v>
      </c>
    </row>
    <row r="5155" spans="1:18" x14ac:dyDescent="0.25">
      <c r="A5155" t="s">
        <v>7226</v>
      </c>
      <c r="B5155" t="s">
        <v>382</v>
      </c>
      <c r="C5155" s="8">
        <v>46244</v>
      </c>
      <c r="D5155" t="s">
        <v>2067</v>
      </c>
      <c r="E5155" t="s">
        <v>2076</v>
      </c>
      <c r="F5155" t="s">
        <v>29</v>
      </c>
      <c r="G5155">
        <v>318.81</v>
      </c>
      <c r="H5155" t="s">
        <v>2060</v>
      </c>
      <c r="I5155" t="str">
        <f>VLOOKUP(B5155,Customers!A:G,7,FALSE)</f>
        <v>SME</v>
      </c>
      <c r="Q5155" t="str">
        <f>IF(COUNTIF(Customers!$A$2:$A$1001,B5155)&gt;0,"Valid","Invalid")</f>
        <v>Valid</v>
      </c>
      <c r="R5155" t="str">
        <f>IF(COUNTIF(Branches!$A$2:$A$11,F5155)&gt;0,"Valid","Invalid")</f>
        <v>Valid</v>
      </c>
    </row>
    <row r="5156" spans="1:18" x14ac:dyDescent="0.25">
      <c r="A5156" t="s">
        <v>7227</v>
      </c>
      <c r="B5156" t="s">
        <v>220</v>
      </c>
      <c r="C5156" s="8">
        <v>46246</v>
      </c>
      <c r="D5156" t="s">
        <v>2065</v>
      </c>
      <c r="E5156" t="s">
        <v>2073</v>
      </c>
      <c r="F5156" t="s">
        <v>16</v>
      </c>
      <c r="G5156">
        <v>784.68</v>
      </c>
      <c r="H5156" t="s">
        <v>2060</v>
      </c>
      <c r="I5156" t="str">
        <f>VLOOKUP(B5156,Customers!A:G,7,FALSE)</f>
        <v>Individual</v>
      </c>
      <c r="Q5156" t="str">
        <f>IF(COUNTIF(Customers!$A$2:$A$1001,B5156)&gt;0,"Valid","Invalid")</f>
        <v>Valid</v>
      </c>
      <c r="R5156" t="str">
        <f>IF(COUNTIF(Branches!$A$2:$A$11,F5156)&gt;0,"Valid","Invalid")</f>
        <v>Valid</v>
      </c>
    </row>
    <row r="5157" spans="1:18" x14ac:dyDescent="0.25">
      <c r="A5157" t="s">
        <v>7228</v>
      </c>
      <c r="B5157" t="s">
        <v>541</v>
      </c>
      <c r="C5157" s="8">
        <v>46254</v>
      </c>
      <c r="D5157" t="s">
        <v>2062</v>
      </c>
      <c r="E5157" t="s">
        <v>2068</v>
      </c>
      <c r="F5157" t="s">
        <v>35</v>
      </c>
      <c r="G5157">
        <v>677.41</v>
      </c>
      <c r="H5157" t="s">
        <v>2060</v>
      </c>
      <c r="I5157" t="str">
        <f>VLOOKUP(B5157,Customers!A:G,7,FALSE)</f>
        <v>Individual</v>
      </c>
      <c r="Q5157" t="str">
        <f>IF(COUNTIF(Customers!$A$2:$A$1001,B5157)&gt;0,"Valid","Invalid")</f>
        <v>Valid</v>
      </c>
      <c r="R5157" t="str">
        <f>IF(COUNTIF(Branches!$A$2:$A$11,F5157)&gt;0,"Valid","Invalid")</f>
        <v>Valid</v>
      </c>
    </row>
    <row r="5158" spans="1:18" x14ac:dyDescent="0.25">
      <c r="A5158" t="s">
        <v>7229</v>
      </c>
      <c r="B5158" t="s">
        <v>882</v>
      </c>
      <c r="C5158" s="8">
        <v>46237</v>
      </c>
      <c r="D5158" t="s">
        <v>2067</v>
      </c>
      <c r="E5158" t="s">
        <v>2076</v>
      </c>
      <c r="F5158" t="s">
        <v>21</v>
      </c>
      <c r="G5158">
        <v>316.85000000000002</v>
      </c>
      <c r="H5158" t="s">
        <v>2060</v>
      </c>
      <c r="I5158" t="str">
        <f>VLOOKUP(B5158,Customers!A:G,7,FALSE)</f>
        <v>Individual</v>
      </c>
      <c r="Q5158" t="str">
        <f>IF(COUNTIF(Customers!$A$2:$A$1001,B5158)&gt;0,"Valid","Invalid")</f>
        <v>Valid</v>
      </c>
      <c r="R5158" t="str">
        <f>IF(COUNTIF(Branches!$A$2:$A$11,F5158)&gt;0,"Valid","Invalid")</f>
        <v>Valid</v>
      </c>
    </row>
    <row r="5159" spans="1:18" x14ac:dyDescent="0.25">
      <c r="A5159" t="s">
        <v>7230</v>
      </c>
      <c r="B5159" t="s">
        <v>37</v>
      </c>
      <c r="C5159" s="8">
        <v>46033</v>
      </c>
      <c r="D5159" t="s">
        <v>2065</v>
      </c>
      <c r="E5159" t="s">
        <v>2059</v>
      </c>
      <c r="F5159" t="s">
        <v>16</v>
      </c>
      <c r="G5159">
        <v>177.17</v>
      </c>
      <c r="H5159" t="s">
        <v>2060</v>
      </c>
      <c r="I5159" t="str">
        <f>VLOOKUP(B5159,Customers!A:G,7,FALSE)</f>
        <v>SME</v>
      </c>
      <c r="Q5159" t="str">
        <f>IF(COUNTIF(Customers!$A$2:$A$1001,B5159)&gt;0,"Valid","Invalid")</f>
        <v>Valid</v>
      </c>
      <c r="R5159" t="str">
        <f>IF(COUNTIF(Branches!$A$2:$A$11,F5159)&gt;0,"Valid","Invalid")</f>
        <v>Valid</v>
      </c>
    </row>
    <row r="5160" spans="1:18" x14ac:dyDescent="0.25">
      <c r="A5160" t="s">
        <v>7231</v>
      </c>
      <c r="B5160" t="s">
        <v>532</v>
      </c>
      <c r="C5160" s="8">
        <v>46212</v>
      </c>
      <c r="D5160" t="s">
        <v>2062</v>
      </c>
      <c r="E5160" t="s">
        <v>2073</v>
      </c>
      <c r="F5160" t="s">
        <v>29</v>
      </c>
      <c r="G5160">
        <v>10236.459999999999</v>
      </c>
      <c r="H5160" t="s">
        <v>2060</v>
      </c>
      <c r="I5160" t="str">
        <f>VLOOKUP(B5160,Customers!A:G,7,FALSE)</f>
        <v>Individual</v>
      </c>
      <c r="Q5160" t="str">
        <f>IF(COUNTIF(Customers!$A$2:$A$1001,B5160)&gt;0,"Valid","Invalid")</f>
        <v>Valid</v>
      </c>
      <c r="R5160" t="str">
        <f>IF(COUNTIF(Branches!$A$2:$A$11,F5160)&gt;0,"Valid","Invalid")</f>
        <v>Valid</v>
      </c>
    </row>
    <row r="5161" spans="1:18" x14ac:dyDescent="0.25">
      <c r="A5161" t="s">
        <v>7232</v>
      </c>
      <c r="B5161" t="s">
        <v>272</v>
      </c>
      <c r="C5161" s="8">
        <v>46106</v>
      </c>
      <c r="D5161" t="s">
        <v>2062</v>
      </c>
      <c r="E5161" t="s">
        <v>2059</v>
      </c>
      <c r="F5161" t="s">
        <v>39</v>
      </c>
      <c r="G5161">
        <v>773.92</v>
      </c>
      <c r="H5161" t="s">
        <v>2115</v>
      </c>
      <c r="I5161" t="str">
        <f>VLOOKUP(B5161,Customers!A:G,7,FALSE)</f>
        <v>Corporate</v>
      </c>
      <c r="Q5161" t="str">
        <f>IF(COUNTIF(Customers!$A$2:$A$1001,B5161)&gt;0,"Valid","Invalid")</f>
        <v>Valid</v>
      </c>
      <c r="R5161" t="str">
        <f>IF(COUNTIF(Branches!$A$2:$A$11,F5161)&gt;0,"Valid","Invalid")</f>
        <v>Valid</v>
      </c>
    </row>
    <row r="5162" spans="1:18" x14ac:dyDescent="0.25">
      <c r="A5162" t="s">
        <v>7233</v>
      </c>
      <c r="B5162" t="s">
        <v>336</v>
      </c>
      <c r="C5162" s="8">
        <v>46041</v>
      </c>
      <c r="D5162" t="s">
        <v>2067</v>
      </c>
      <c r="E5162" t="s">
        <v>2059</v>
      </c>
      <c r="F5162" t="s">
        <v>45</v>
      </c>
      <c r="G5162">
        <v>5031.04</v>
      </c>
      <c r="H5162" t="s">
        <v>2060</v>
      </c>
      <c r="I5162" t="str">
        <f>VLOOKUP(B5162,Customers!A:G,7,FALSE)</f>
        <v>SME</v>
      </c>
      <c r="Q5162" t="str">
        <f>IF(COUNTIF(Customers!$A$2:$A$1001,B5162)&gt;0,"Valid","Invalid")</f>
        <v>Valid</v>
      </c>
      <c r="R5162" t="str">
        <f>IF(COUNTIF(Branches!$A$2:$A$11,F5162)&gt;0,"Valid","Invalid")</f>
        <v>Valid</v>
      </c>
    </row>
    <row r="5163" spans="1:18" x14ac:dyDescent="0.25">
      <c r="A5163" t="s">
        <v>7234</v>
      </c>
      <c r="B5163" t="s">
        <v>282</v>
      </c>
      <c r="C5163" s="8">
        <v>46122</v>
      </c>
      <c r="D5163" t="s">
        <v>2067</v>
      </c>
      <c r="E5163" t="s">
        <v>2073</v>
      </c>
      <c r="F5163" t="s">
        <v>29</v>
      </c>
      <c r="G5163">
        <v>2604.35</v>
      </c>
      <c r="H5163" t="s">
        <v>2060</v>
      </c>
      <c r="I5163" t="str">
        <f>VLOOKUP(B5163,Customers!A:G,7,FALSE)</f>
        <v>SME</v>
      </c>
      <c r="Q5163" t="str">
        <f>IF(COUNTIF(Customers!$A$2:$A$1001,B5163)&gt;0,"Valid","Invalid")</f>
        <v>Valid</v>
      </c>
      <c r="R5163" t="str">
        <f>IF(COUNTIF(Branches!$A$2:$A$11,F5163)&gt;0,"Valid","Invalid")</f>
        <v>Valid</v>
      </c>
    </row>
    <row r="5164" spans="1:18" x14ac:dyDescent="0.25">
      <c r="A5164" t="s">
        <v>7235</v>
      </c>
      <c r="B5164" t="s">
        <v>547</v>
      </c>
      <c r="C5164" s="8">
        <v>46138</v>
      </c>
      <c r="D5164" t="s">
        <v>2058</v>
      </c>
      <c r="E5164" t="s">
        <v>2063</v>
      </c>
      <c r="F5164" t="s">
        <v>27</v>
      </c>
      <c r="G5164">
        <v>589.24</v>
      </c>
      <c r="H5164" t="s">
        <v>2060</v>
      </c>
      <c r="I5164" t="str">
        <f>VLOOKUP(B5164,Customers!A:G,7,FALSE)</f>
        <v>Individual</v>
      </c>
      <c r="Q5164" t="str">
        <f>IF(COUNTIF(Customers!$A$2:$A$1001,B5164)&gt;0,"Valid","Invalid")</f>
        <v>Valid</v>
      </c>
      <c r="R5164" t="str">
        <f>IF(COUNTIF(Branches!$A$2:$A$11,F5164)&gt;0,"Valid","Invalid")</f>
        <v>Valid</v>
      </c>
    </row>
    <row r="5165" spans="1:18" x14ac:dyDescent="0.25">
      <c r="A5165" t="s">
        <v>7236</v>
      </c>
      <c r="B5165" t="s">
        <v>389</v>
      </c>
      <c r="C5165" s="8">
        <v>46112</v>
      </c>
      <c r="D5165" t="s">
        <v>2062</v>
      </c>
      <c r="E5165" t="s">
        <v>2063</v>
      </c>
      <c r="F5165" t="s">
        <v>11</v>
      </c>
      <c r="G5165">
        <v>973.57</v>
      </c>
      <c r="H5165" t="s">
        <v>2060</v>
      </c>
      <c r="I5165" t="str">
        <f>VLOOKUP(B5165,Customers!A:G,7,FALSE)</f>
        <v>Individual</v>
      </c>
      <c r="Q5165" t="str">
        <f>IF(COUNTIF(Customers!$A$2:$A$1001,B5165)&gt;0,"Valid","Invalid")</f>
        <v>Valid</v>
      </c>
      <c r="R5165" t="str">
        <f>IF(COUNTIF(Branches!$A$2:$A$11,F5165)&gt;0,"Valid","Invalid")</f>
        <v>Valid</v>
      </c>
    </row>
    <row r="5166" spans="1:18" x14ac:dyDescent="0.25">
      <c r="A5166" t="s">
        <v>7237</v>
      </c>
      <c r="B5166" t="s">
        <v>305</v>
      </c>
      <c r="C5166" s="8">
        <v>46096</v>
      </c>
      <c r="D5166" t="s">
        <v>2065</v>
      </c>
      <c r="E5166" t="s">
        <v>2076</v>
      </c>
      <c r="F5166" t="s">
        <v>53</v>
      </c>
      <c r="G5166">
        <v>945.69</v>
      </c>
      <c r="H5166" t="s">
        <v>2060</v>
      </c>
      <c r="I5166" t="str">
        <f>VLOOKUP(B5166,Customers!A:G,7,FALSE)</f>
        <v>Individual</v>
      </c>
      <c r="Q5166" t="str">
        <f>IF(COUNTIF(Customers!$A$2:$A$1001,B5166)&gt;0,"Valid","Invalid")</f>
        <v>Valid</v>
      </c>
      <c r="R5166" t="str">
        <f>IF(COUNTIF(Branches!$A$2:$A$11,F5166)&gt;0,"Valid","Invalid")</f>
        <v>Valid</v>
      </c>
    </row>
    <row r="5167" spans="1:18" x14ac:dyDescent="0.25">
      <c r="A5167" t="s">
        <v>7238</v>
      </c>
      <c r="B5167" t="s">
        <v>668</v>
      </c>
      <c r="C5167" s="8">
        <v>46046</v>
      </c>
      <c r="D5167" t="s">
        <v>2058</v>
      </c>
      <c r="E5167" t="s">
        <v>2063</v>
      </c>
      <c r="F5167" t="s">
        <v>35</v>
      </c>
      <c r="G5167">
        <v>5136.88</v>
      </c>
      <c r="H5167" t="s">
        <v>2060</v>
      </c>
      <c r="I5167" t="str">
        <f>VLOOKUP(B5167,Customers!A:G,7,FALSE)</f>
        <v>Individual</v>
      </c>
      <c r="Q5167" t="str">
        <f>IF(COUNTIF(Customers!$A$2:$A$1001,B5167)&gt;0,"Valid","Invalid")</f>
        <v>Valid</v>
      </c>
      <c r="R5167" t="str">
        <f>IF(COUNTIF(Branches!$A$2:$A$11,F5167)&gt;0,"Valid","Invalid")</f>
        <v>Valid</v>
      </c>
    </row>
    <row r="5168" spans="1:18" x14ac:dyDescent="0.25">
      <c r="A5168" t="s">
        <v>7239</v>
      </c>
      <c r="B5168" t="s">
        <v>694</v>
      </c>
      <c r="C5168" s="8">
        <v>46035</v>
      </c>
      <c r="D5168" t="s">
        <v>2070</v>
      </c>
      <c r="E5168" t="s">
        <v>2059</v>
      </c>
      <c r="F5168" t="s">
        <v>27</v>
      </c>
      <c r="G5168">
        <v>1862.8</v>
      </c>
      <c r="H5168" t="s">
        <v>2060</v>
      </c>
      <c r="I5168" t="str">
        <f>VLOOKUP(B5168,Customers!A:G,7,FALSE)</f>
        <v>Student</v>
      </c>
      <c r="Q5168" t="str">
        <f>IF(COUNTIF(Customers!$A$2:$A$1001,B5168)&gt;0,"Valid","Invalid")</f>
        <v>Valid</v>
      </c>
      <c r="R5168" t="str">
        <f>IF(COUNTIF(Branches!$A$2:$A$11,F5168)&gt;0,"Valid","Invalid")</f>
        <v>Valid</v>
      </c>
    </row>
    <row r="5169" spans="1:18" x14ac:dyDescent="0.25">
      <c r="A5169" t="s">
        <v>7240</v>
      </c>
      <c r="B5169" t="s">
        <v>931</v>
      </c>
      <c r="C5169" s="8">
        <v>46147</v>
      </c>
      <c r="D5169" t="s">
        <v>2065</v>
      </c>
      <c r="E5169" t="s">
        <v>2059</v>
      </c>
      <c r="F5169" t="s">
        <v>29</v>
      </c>
      <c r="G5169">
        <v>362.39</v>
      </c>
      <c r="H5169" t="s">
        <v>2115</v>
      </c>
      <c r="I5169" t="str">
        <f>VLOOKUP(B5169,Customers!A:G,7,FALSE)</f>
        <v>SME</v>
      </c>
      <c r="Q5169" t="str">
        <f>IF(COUNTIF(Customers!$A$2:$A$1001,B5169)&gt;0,"Valid","Invalid")</f>
        <v>Valid</v>
      </c>
      <c r="R5169" t="str">
        <f>IF(COUNTIF(Branches!$A$2:$A$11,F5169)&gt;0,"Valid","Invalid")</f>
        <v>Valid</v>
      </c>
    </row>
    <row r="5170" spans="1:18" x14ac:dyDescent="0.25">
      <c r="A5170" t="s">
        <v>7241</v>
      </c>
      <c r="B5170" t="s">
        <v>238</v>
      </c>
      <c r="C5170" s="8">
        <v>46138</v>
      </c>
      <c r="D5170" t="s">
        <v>2062</v>
      </c>
      <c r="E5170" t="s">
        <v>2059</v>
      </c>
      <c r="F5170" t="s">
        <v>16</v>
      </c>
      <c r="G5170">
        <v>1154.73</v>
      </c>
      <c r="H5170" t="s">
        <v>2060</v>
      </c>
      <c r="I5170" t="str">
        <f>VLOOKUP(B5170,Customers!A:G,7,FALSE)</f>
        <v>Individual</v>
      </c>
      <c r="Q5170" t="str">
        <f>IF(COUNTIF(Customers!$A$2:$A$1001,B5170)&gt;0,"Valid","Invalid")</f>
        <v>Valid</v>
      </c>
      <c r="R5170" t="str">
        <f>IF(COUNTIF(Branches!$A$2:$A$11,F5170)&gt;0,"Valid","Invalid")</f>
        <v>Valid</v>
      </c>
    </row>
    <row r="5171" spans="1:18" x14ac:dyDescent="0.25">
      <c r="A5171" t="s">
        <v>7242</v>
      </c>
      <c r="B5171" t="s">
        <v>277</v>
      </c>
      <c r="C5171" s="8">
        <v>46196</v>
      </c>
      <c r="D5171" t="s">
        <v>2070</v>
      </c>
      <c r="E5171" t="s">
        <v>2073</v>
      </c>
      <c r="F5171" t="s">
        <v>47</v>
      </c>
      <c r="G5171">
        <v>1815.86</v>
      </c>
      <c r="H5171" t="s">
        <v>2060</v>
      </c>
      <c r="I5171" t="str">
        <f>VLOOKUP(B5171,Customers!A:G,7,FALSE)</f>
        <v>Individual</v>
      </c>
      <c r="Q5171" t="str">
        <f>IF(COUNTIF(Customers!$A$2:$A$1001,B5171)&gt;0,"Valid","Invalid")</f>
        <v>Valid</v>
      </c>
      <c r="R5171" t="str">
        <f>IF(COUNTIF(Branches!$A$2:$A$11,F5171)&gt;0,"Valid","Invalid")</f>
        <v>Valid</v>
      </c>
    </row>
    <row r="5172" spans="1:18" x14ac:dyDescent="0.25">
      <c r="A5172" t="s">
        <v>7243</v>
      </c>
      <c r="B5172" t="s">
        <v>372</v>
      </c>
      <c r="C5172" s="8">
        <v>46203</v>
      </c>
      <c r="D5172" t="s">
        <v>2065</v>
      </c>
      <c r="E5172" t="s">
        <v>2063</v>
      </c>
      <c r="F5172" t="s">
        <v>35</v>
      </c>
      <c r="G5172">
        <v>250.81</v>
      </c>
      <c r="H5172" t="s">
        <v>2060</v>
      </c>
      <c r="I5172" t="str">
        <f>VLOOKUP(B5172,Customers!A:G,7,FALSE)</f>
        <v>Corporate</v>
      </c>
      <c r="Q5172" t="str">
        <f>IF(COUNTIF(Customers!$A$2:$A$1001,B5172)&gt;0,"Valid","Invalid")</f>
        <v>Valid</v>
      </c>
      <c r="R5172" t="str">
        <f>IF(COUNTIF(Branches!$A$2:$A$11,F5172)&gt;0,"Valid","Invalid")</f>
        <v>Valid</v>
      </c>
    </row>
    <row r="5173" spans="1:18" x14ac:dyDescent="0.25">
      <c r="A5173" t="s">
        <v>7244</v>
      </c>
      <c r="B5173" t="s">
        <v>953</v>
      </c>
      <c r="C5173" s="8">
        <v>46248</v>
      </c>
      <c r="D5173" t="s">
        <v>2062</v>
      </c>
      <c r="E5173" t="s">
        <v>2059</v>
      </c>
      <c r="F5173" t="s">
        <v>16</v>
      </c>
      <c r="G5173">
        <v>1331.62</v>
      </c>
      <c r="H5173" t="s">
        <v>2060</v>
      </c>
      <c r="I5173" t="str">
        <f>VLOOKUP(B5173,Customers!A:G,7,FALSE)</f>
        <v>Individual</v>
      </c>
      <c r="Q5173" t="str">
        <f>IF(COUNTIF(Customers!$A$2:$A$1001,B5173)&gt;0,"Valid","Invalid")</f>
        <v>Valid</v>
      </c>
      <c r="R5173" t="str">
        <f>IF(COUNTIF(Branches!$A$2:$A$11,F5173)&gt;0,"Valid","Invalid")</f>
        <v>Valid</v>
      </c>
    </row>
    <row r="5174" spans="1:18" x14ac:dyDescent="0.25">
      <c r="A5174" t="s">
        <v>7245</v>
      </c>
      <c r="B5174" t="s">
        <v>453</v>
      </c>
      <c r="C5174" s="8">
        <v>46179</v>
      </c>
      <c r="D5174" t="s">
        <v>2065</v>
      </c>
      <c r="E5174" t="s">
        <v>2063</v>
      </c>
      <c r="F5174" t="s">
        <v>35</v>
      </c>
      <c r="G5174">
        <v>3119.69</v>
      </c>
      <c r="H5174" t="s">
        <v>2060</v>
      </c>
      <c r="I5174" t="str">
        <f>VLOOKUP(B5174,Customers!A:G,7,FALSE)</f>
        <v>Student</v>
      </c>
      <c r="Q5174" t="str">
        <f>IF(COUNTIF(Customers!$A$2:$A$1001,B5174)&gt;0,"Valid","Invalid")</f>
        <v>Valid</v>
      </c>
      <c r="R5174" t="str">
        <f>IF(COUNTIF(Branches!$A$2:$A$11,F5174)&gt;0,"Valid","Invalid")</f>
        <v>Valid</v>
      </c>
    </row>
    <row r="5175" spans="1:18" x14ac:dyDescent="0.25">
      <c r="A5175" t="s">
        <v>7246</v>
      </c>
      <c r="B5175" t="s">
        <v>1007</v>
      </c>
      <c r="C5175" s="8">
        <v>46186</v>
      </c>
      <c r="D5175" t="s">
        <v>2062</v>
      </c>
      <c r="E5175" t="s">
        <v>2076</v>
      </c>
      <c r="F5175" t="s">
        <v>39</v>
      </c>
      <c r="G5175">
        <v>344.65</v>
      </c>
      <c r="H5175" t="s">
        <v>2060</v>
      </c>
      <c r="I5175" t="str">
        <f>VLOOKUP(B5175,Customers!A:G,7,FALSE)</f>
        <v>Individual</v>
      </c>
      <c r="Q5175" t="str">
        <f>IF(COUNTIF(Customers!$A$2:$A$1001,B5175)&gt;0,"Valid","Invalid")</f>
        <v>Valid</v>
      </c>
      <c r="R5175" t="str">
        <f>IF(COUNTIF(Branches!$A$2:$A$11,F5175)&gt;0,"Valid","Invalid")</f>
        <v>Valid</v>
      </c>
    </row>
    <row r="5176" spans="1:18" x14ac:dyDescent="0.25">
      <c r="A5176" t="s">
        <v>7247</v>
      </c>
      <c r="B5176" t="s">
        <v>522</v>
      </c>
      <c r="C5176" s="8">
        <v>46093</v>
      </c>
      <c r="D5176" t="s">
        <v>2062</v>
      </c>
      <c r="E5176" t="s">
        <v>2076</v>
      </c>
      <c r="F5176" t="s">
        <v>21</v>
      </c>
      <c r="G5176">
        <v>395.71</v>
      </c>
      <c r="H5176" t="s">
        <v>2115</v>
      </c>
      <c r="I5176" t="str">
        <f>VLOOKUP(B5176,Customers!A:G,7,FALSE)</f>
        <v>Individual</v>
      </c>
      <c r="Q5176" t="str">
        <f>IF(COUNTIF(Customers!$A$2:$A$1001,B5176)&gt;0,"Valid","Invalid")</f>
        <v>Valid</v>
      </c>
      <c r="R5176" t="str">
        <f>IF(COUNTIF(Branches!$A$2:$A$11,F5176)&gt;0,"Valid","Invalid")</f>
        <v>Valid</v>
      </c>
    </row>
    <row r="5177" spans="1:18" x14ac:dyDescent="0.25">
      <c r="A5177" t="s">
        <v>7248</v>
      </c>
      <c r="B5177" t="s">
        <v>475</v>
      </c>
      <c r="C5177" s="8">
        <v>46265</v>
      </c>
      <c r="D5177" t="s">
        <v>2065</v>
      </c>
      <c r="E5177" t="s">
        <v>2059</v>
      </c>
      <c r="F5177" t="s">
        <v>39</v>
      </c>
      <c r="G5177">
        <v>2592.75</v>
      </c>
      <c r="H5177" t="s">
        <v>2060</v>
      </c>
      <c r="I5177" t="str">
        <f>VLOOKUP(B5177,Customers!A:G,7,FALSE)</f>
        <v>Individual</v>
      </c>
      <c r="Q5177" t="str">
        <f>IF(COUNTIF(Customers!$A$2:$A$1001,B5177)&gt;0,"Valid","Invalid")</f>
        <v>Valid</v>
      </c>
      <c r="R5177" t="str">
        <f>IF(COUNTIF(Branches!$A$2:$A$11,F5177)&gt;0,"Valid","Invalid")</f>
        <v>Valid</v>
      </c>
    </row>
    <row r="5178" spans="1:18" x14ac:dyDescent="0.25">
      <c r="A5178" t="s">
        <v>7249</v>
      </c>
      <c r="B5178" t="s">
        <v>1037</v>
      </c>
      <c r="C5178" s="8">
        <v>46244</v>
      </c>
      <c r="D5178" t="s">
        <v>2062</v>
      </c>
      <c r="E5178" t="s">
        <v>2063</v>
      </c>
      <c r="F5178" t="s">
        <v>53</v>
      </c>
      <c r="G5178">
        <v>570.07000000000005</v>
      </c>
      <c r="H5178" t="s">
        <v>2060</v>
      </c>
      <c r="I5178" t="str">
        <f>VLOOKUP(B5178,Customers!A:G,7,FALSE)</f>
        <v>SME</v>
      </c>
      <c r="Q5178" t="str">
        <f>IF(COUNTIF(Customers!$A$2:$A$1001,B5178)&gt;0,"Valid","Invalid")</f>
        <v>Valid</v>
      </c>
      <c r="R5178" t="str">
        <f>IF(COUNTIF(Branches!$A$2:$A$11,F5178)&gt;0,"Valid","Invalid")</f>
        <v>Valid</v>
      </c>
    </row>
    <row r="5179" spans="1:18" x14ac:dyDescent="0.25">
      <c r="A5179" t="s">
        <v>7250</v>
      </c>
      <c r="B5179" t="s">
        <v>284</v>
      </c>
      <c r="C5179" s="8">
        <v>46148</v>
      </c>
      <c r="D5179" t="s">
        <v>2062</v>
      </c>
      <c r="E5179" t="s">
        <v>2076</v>
      </c>
      <c r="F5179" t="s">
        <v>47</v>
      </c>
      <c r="G5179">
        <v>304.29000000000002</v>
      </c>
      <c r="H5179" t="s">
        <v>2060</v>
      </c>
      <c r="I5179" t="str">
        <f>VLOOKUP(B5179,Customers!A:G,7,FALSE)</f>
        <v>Individual</v>
      </c>
      <c r="Q5179" t="str">
        <f>IF(COUNTIF(Customers!$A$2:$A$1001,B5179)&gt;0,"Valid","Invalid")</f>
        <v>Valid</v>
      </c>
      <c r="R5179" t="str">
        <f>IF(COUNTIF(Branches!$A$2:$A$11,F5179)&gt;0,"Valid","Invalid")</f>
        <v>Valid</v>
      </c>
    </row>
    <row r="5180" spans="1:18" x14ac:dyDescent="0.25">
      <c r="A5180" t="s">
        <v>7251</v>
      </c>
      <c r="B5180" t="s">
        <v>896</v>
      </c>
      <c r="C5180" s="8">
        <v>46167</v>
      </c>
      <c r="D5180" t="s">
        <v>2067</v>
      </c>
      <c r="E5180" t="s">
        <v>2059</v>
      </c>
      <c r="F5180" t="s">
        <v>11</v>
      </c>
      <c r="G5180">
        <v>1963.09</v>
      </c>
      <c r="H5180" t="s">
        <v>2060</v>
      </c>
      <c r="I5180" t="str">
        <f>VLOOKUP(B5180,Customers!A:G,7,FALSE)</f>
        <v>Student</v>
      </c>
      <c r="Q5180" t="str">
        <f>IF(COUNTIF(Customers!$A$2:$A$1001,B5180)&gt;0,"Valid","Invalid")</f>
        <v>Valid</v>
      </c>
      <c r="R5180" t="str">
        <f>IF(COUNTIF(Branches!$A$2:$A$11,F5180)&gt;0,"Valid","Invalid")</f>
        <v>Valid</v>
      </c>
    </row>
    <row r="5181" spans="1:18" x14ac:dyDescent="0.25">
      <c r="A5181" t="s">
        <v>7252</v>
      </c>
      <c r="B5181" t="s">
        <v>32</v>
      </c>
      <c r="C5181" s="8">
        <v>46198</v>
      </c>
      <c r="D5181" t="s">
        <v>2065</v>
      </c>
      <c r="E5181" t="s">
        <v>2063</v>
      </c>
      <c r="F5181" t="s">
        <v>21</v>
      </c>
      <c r="G5181">
        <v>1446.43</v>
      </c>
      <c r="H5181" t="s">
        <v>2060</v>
      </c>
      <c r="I5181" t="str">
        <f>VLOOKUP(B5181,Customers!A:G,7,FALSE)</f>
        <v>Individual</v>
      </c>
      <c r="Q5181" t="str">
        <f>IF(COUNTIF(Customers!$A$2:$A$1001,B5181)&gt;0,"Valid","Invalid")</f>
        <v>Valid</v>
      </c>
      <c r="R5181" t="str">
        <f>IF(COUNTIF(Branches!$A$2:$A$11,F5181)&gt;0,"Valid","Invalid")</f>
        <v>Valid</v>
      </c>
    </row>
    <row r="5182" spans="1:18" x14ac:dyDescent="0.25">
      <c r="A5182" t="s">
        <v>7253</v>
      </c>
      <c r="B5182" t="s">
        <v>188</v>
      </c>
      <c r="C5182" s="8">
        <v>46227</v>
      </c>
      <c r="D5182" t="s">
        <v>2065</v>
      </c>
      <c r="E5182" t="s">
        <v>2059</v>
      </c>
      <c r="F5182" t="s">
        <v>39</v>
      </c>
      <c r="G5182">
        <v>892.83</v>
      </c>
      <c r="H5182" t="s">
        <v>2060</v>
      </c>
      <c r="I5182" t="str">
        <f>VLOOKUP(B5182,Customers!A:G,7,FALSE)</f>
        <v>Corporate</v>
      </c>
      <c r="Q5182" t="str">
        <f>IF(COUNTIF(Customers!$A$2:$A$1001,B5182)&gt;0,"Valid","Invalid")</f>
        <v>Valid</v>
      </c>
      <c r="R5182" t="str">
        <f>IF(COUNTIF(Branches!$A$2:$A$11,F5182)&gt;0,"Valid","Invalid")</f>
        <v>Valid</v>
      </c>
    </row>
    <row r="5183" spans="1:18" x14ac:dyDescent="0.25">
      <c r="A5183" t="s">
        <v>7254</v>
      </c>
      <c r="B5183" t="s">
        <v>430</v>
      </c>
      <c r="C5183" s="8">
        <v>46174</v>
      </c>
      <c r="D5183" t="s">
        <v>2058</v>
      </c>
      <c r="E5183" t="s">
        <v>2059</v>
      </c>
      <c r="F5183" t="s">
        <v>27</v>
      </c>
      <c r="G5183">
        <v>2501.34</v>
      </c>
      <c r="H5183" t="s">
        <v>2107</v>
      </c>
      <c r="I5183" t="str">
        <f>VLOOKUP(B5183,Customers!A:G,7,FALSE)</f>
        <v>Individual</v>
      </c>
      <c r="Q5183" t="str">
        <f>IF(COUNTIF(Customers!$A$2:$A$1001,B5183)&gt;0,"Valid","Invalid")</f>
        <v>Valid</v>
      </c>
      <c r="R5183" t="str">
        <f>IF(COUNTIF(Branches!$A$2:$A$11,F5183)&gt;0,"Valid","Invalid")</f>
        <v>Valid</v>
      </c>
    </row>
    <row r="5184" spans="1:18" x14ac:dyDescent="0.25">
      <c r="A5184" t="s">
        <v>7255</v>
      </c>
      <c r="B5184" t="s">
        <v>248</v>
      </c>
      <c r="C5184" s="8">
        <v>46204</v>
      </c>
      <c r="D5184" t="s">
        <v>2070</v>
      </c>
      <c r="E5184" t="s">
        <v>2073</v>
      </c>
      <c r="F5184" t="s">
        <v>39</v>
      </c>
      <c r="G5184">
        <v>2685.54</v>
      </c>
      <c r="H5184" t="s">
        <v>2060</v>
      </c>
      <c r="I5184" t="str">
        <f>VLOOKUP(B5184,Customers!A:G,7,FALSE)</f>
        <v>Corporate</v>
      </c>
      <c r="Q5184" t="str">
        <f>IF(COUNTIF(Customers!$A$2:$A$1001,B5184)&gt;0,"Valid","Invalid")</f>
        <v>Valid</v>
      </c>
      <c r="R5184" t="str">
        <f>IF(COUNTIF(Branches!$A$2:$A$11,F5184)&gt;0,"Valid","Invalid")</f>
        <v>Valid</v>
      </c>
    </row>
    <row r="5185" spans="1:18" x14ac:dyDescent="0.25">
      <c r="A5185" t="s">
        <v>7256</v>
      </c>
      <c r="B5185" t="s">
        <v>405</v>
      </c>
      <c r="C5185" s="8">
        <v>46141</v>
      </c>
      <c r="D5185" t="s">
        <v>2062</v>
      </c>
      <c r="E5185" t="s">
        <v>2068</v>
      </c>
      <c r="F5185" t="s">
        <v>21</v>
      </c>
      <c r="G5185">
        <v>747.83</v>
      </c>
      <c r="H5185" t="s">
        <v>2060</v>
      </c>
      <c r="I5185" t="str">
        <f>VLOOKUP(B5185,Customers!A:G,7,FALSE)</f>
        <v>Student</v>
      </c>
      <c r="Q5185" t="str">
        <f>IF(COUNTIF(Customers!$A$2:$A$1001,B5185)&gt;0,"Valid","Invalid")</f>
        <v>Valid</v>
      </c>
      <c r="R5185" t="str">
        <f>IF(COUNTIF(Branches!$A$2:$A$11,F5185)&gt;0,"Valid","Invalid")</f>
        <v>Valid</v>
      </c>
    </row>
    <row r="5186" spans="1:18" x14ac:dyDescent="0.25">
      <c r="A5186" t="s">
        <v>7257</v>
      </c>
      <c r="B5186" t="s">
        <v>982</v>
      </c>
      <c r="C5186" s="8">
        <v>46245</v>
      </c>
      <c r="D5186" t="s">
        <v>2067</v>
      </c>
      <c r="E5186" t="s">
        <v>2076</v>
      </c>
      <c r="F5186" t="s">
        <v>21</v>
      </c>
      <c r="G5186">
        <v>5850.76</v>
      </c>
      <c r="H5186" t="s">
        <v>2060</v>
      </c>
      <c r="I5186" t="str">
        <f>VLOOKUP(B5186,Customers!A:G,7,FALSE)</f>
        <v>Individual</v>
      </c>
      <c r="Q5186" t="str">
        <f>IF(COUNTIF(Customers!$A$2:$A$1001,B5186)&gt;0,"Valid","Invalid")</f>
        <v>Valid</v>
      </c>
      <c r="R5186" t="str">
        <f>IF(COUNTIF(Branches!$A$2:$A$11,F5186)&gt;0,"Valid","Invalid")</f>
        <v>Valid</v>
      </c>
    </row>
    <row r="5187" spans="1:18" x14ac:dyDescent="0.25">
      <c r="A5187" t="s">
        <v>7258</v>
      </c>
      <c r="B5187" t="s">
        <v>708</v>
      </c>
      <c r="C5187" s="8">
        <v>46113</v>
      </c>
      <c r="D5187" t="s">
        <v>2058</v>
      </c>
      <c r="E5187" t="s">
        <v>2068</v>
      </c>
      <c r="F5187" t="s">
        <v>29</v>
      </c>
      <c r="G5187">
        <v>3957.59</v>
      </c>
      <c r="H5187" t="s">
        <v>2060</v>
      </c>
      <c r="I5187" t="str">
        <f>VLOOKUP(B5187,Customers!A:G,7,FALSE)</f>
        <v>Student</v>
      </c>
      <c r="Q5187" t="str">
        <f>IF(COUNTIF(Customers!$A$2:$A$1001,B5187)&gt;0,"Valid","Invalid")</f>
        <v>Valid</v>
      </c>
      <c r="R5187" t="str">
        <f>IF(COUNTIF(Branches!$A$2:$A$11,F5187)&gt;0,"Valid","Invalid")</f>
        <v>Valid</v>
      </c>
    </row>
    <row r="5188" spans="1:18" x14ac:dyDescent="0.25">
      <c r="A5188" t="s">
        <v>7259</v>
      </c>
      <c r="B5188" t="s">
        <v>608</v>
      </c>
      <c r="C5188" s="8">
        <v>46264</v>
      </c>
      <c r="D5188" t="s">
        <v>2065</v>
      </c>
      <c r="E5188" t="s">
        <v>2076</v>
      </c>
      <c r="F5188" t="s">
        <v>11</v>
      </c>
      <c r="G5188">
        <v>111.69</v>
      </c>
      <c r="H5188" t="s">
        <v>2060</v>
      </c>
      <c r="I5188" t="str">
        <f>VLOOKUP(B5188,Customers!A:G,7,FALSE)</f>
        <v>Individual</v>
      </c>
      <c r="Q5188" t="str">
        <f>IF(COUNTIF(Customers!$A$2:$A$1001,B5188)&gt;0,"Valid","Invalid")</f>
        <v>Valid</v>
      </c>
      <c r="R5188" t="str">
        <f>IF(COUNTIF(Branches!$A$2:$A$11,F5188)&gt;0,"Valid","Invalid")</f>
        <v>Valid</v>
      </c>
    </row>
    <row r="5189" spans="1:18" x14ac:dyDescent="0.25">
      <c r="A5189" t="s">
        <v>7260</v>
      </c>
      <c r="B5189" t="s">
        <v>122</v>
      </c>
      <c r="C5189" s="8">
        <v>46107</v>
      </c>
      <c r="D5189" t="s">
        <v>2065</v>
      </c>
      <c r="E5189" t="s">
        <v>2073</v>
      </c>
      <c r="F5189" t="s">
        <v>47</v>
      </c>
      <c r="G5189">
        <v>290</v>
      </c>
      <c r="H5189" t="s">
        <v>2060</v>
      </c>
      <c r="I5189" t="str">
        <f>VLOOKUP(B5189,Customers!A:G,7,FALSE)</f>
        <v>Individual</v>
      </c>
      <c r="Q5189" t="str">
        <f>IF(COUNTIF(Customers!$A$2:$A$1001,B5189)&gt;0,"Valid","Invalid")</f>
        <v>Valid</v>
      </c>
      <c r="R5189" t="str">
        <f>IF(COUNTIF(Branches!$A$2:$A$11,F5189)&gt;0,"Valid","Invalid")</f>
        <v>Valid</v>
      </c>
    </row>
    <row r="5190" spans="1:18" x14ac:dyDescent="0.25">
      <c r="A5190" t="s">
        <v>7261</v>
      </c>
      <c r="B5190" t="s">
        <v>91</v>
      </c>
      <c r="C5190" s="8">
        <v>46130</v>
      </c>
      <c r="D5190" t="s">
        <v>2058</v>
      </c>
      <c r="E5190" t="s">
        <v>2063</v>
      </c>
      <c r="F5190" t="s">
        <v>27</v>
      </c>
      <c r="G5190">
        <v>85.18</v>
      </c>
      <c r="H5190" t="s">
        <v>2060</v>
      </c>
      <c r="I5190" t="str">
        <f>VLOOKUP(B5190,Customers!A:G,7,FALSE)</f>
        <v>Individual</v>
      </c>
      <c r="Q5190" t="str">
        <f>IF(COUNTIF(Customers!$A$2:$A$1001,B5190)&gt;0,"Valid","Invalid")</f>
        <v>Valid</v>
      </c>
      <c r="R5190" t="str">
        <f>IF(COUNTIF(Branches!$A$2:$A$11,F5190)&gt;0,"Valid","Invalid")</f>
        <v>Valid</v>
      </c>
    </row>
    <row r="5191" spans="1:18" x14ac:dyDescent="0.25">
      <c r="A5191" t="s">
        <v>7262</v>
      </c>
      <c r="B5191" t="s">
        <v>751</v>
      </c>
      <c r="C5191" s="8">
        <v>46149</v>
      </c>
      <c r="D5191" t="s">
        <v>2067</v>
      </c>
      <c r="E5191" t="s">
        <v>2059</v>
      </c>
      <c r="F5191" t="s">
        <v>29</v>
      </c>
      <c r="G5191">
        <v>587.15</v>
      </c>
      <c r="H5191" t="s">
        <v>2060</v>
      </c>
      <c r="I5191" t="str">
        <f>VLOOKUP(B5191,Customers!A:G,7,FALSE)</f>
        <v>SME</v>
      </c>
      <c r="Q5191" t="str">
        <f>IF(COUNTIF(Customers!$A$2:$A$1001,B5191)&gt;0,"Valid","Invalid")</f>
        <v>Valid</v>
      </c>
      <c r="R5191" t="str">
        <f>IF(COUNTIF(Branches!$A$2:$A$11,F5191)&gt;0,"Valid","Invalid")</f>
        <v>Valid</v>
      </c>
    </row>
    <row r="5192" spans="1:18" x14ac:dyDescent="0.25">
      <c r="A5192" t="s">
        <v>7263</v>
      </c>
      <c r="B5192" t="s">
        <v>672</v>
      </c>
      <c r="C5192" s="8">
        <v>46143</v>
      </c>
      <c r="D5192" t="s">
        <v>2058</v>
      </c>
      <c r="E5192" t="s">
        <v>2076</v>
      </c>
      <c r="F5192" t="s">
        <v>21</v>
      </c>
      <c r="G5192">
        <v>241.96</v>
      </c>
      <c r="H5192" t="s">
        <v>2060</v>
      </c>
      <c r="I5192" t="str">
        <f>VLOOKUP(B5192,Customers!A:G,7,FALSE)</f>
        <v>Student</v>
      </c>
      <c r="Q5192" t="str">
        <f>IF(COUNTIF(Customers!$A$2:$A$1001,B5192)&gt;0,"Valid","Invalid")</f>
        <v>Valid</v>
      </c>
      <c r="R5192" t="str">
        <f>IF(COUNTIF(Branches!$A$2:$A$11,F5192)&gt;0,"Valid","Invalid")</f>
        <v>Valid</v>
      </c>
    </row>
    <row r="5193" spans="1:18" x14ac:dyDescent="0.25">
      <c r="A5193" t="s">
        <v>7264</v>
      </c>
      <c r="B5193" t="s">
        <v>484</v>
      </c>
      <c r="C5193" s="8">
        <v>46151</v>
      </c>
      <c r="D5193" t="s">
        <v>2070</v>
      </c>
      <c r="E5193" t="s">
        <v>2059</v>
      </c>
      <c r="F5193" t="s">
        <v>29</v>
      </c>
      <c r="G5193">
        <v>359.85</v>
      </c>
      <c r="H5193" t="s">
        <v>2060</v>
      </c>
      <c r="I5193" t="str">
        <f>VLOOKUP(B5193,Customers!A:G,7,FALSE)</f>
        <v>Student</v>
      </c>
      <c r="Q5193" t="str">
        <f>IF(COUNTIF(Customers!$A$2:$A$1001,B5193)&gt;0,"Valid","Invalid")</f>
        <v>Valid</v>
      </c>
      <c r="R5193" t="str">
        <f>IF(COUNTIF(Branches!$A$2:$A$11,F5193)&gt;0,"Valid","Invalid")</f>
        <v>Valid</v>
      </c>
    </row>
    <row r="5194" spans="1:18" x14ac:dyDescent="0.25">
      <c r="A5194" t="s">
        <v>7265</v>
      </c>
      <c r="B5194" t="s">
        <v>658</v>
      </c>
      <c r="C5194" s="8">
        <v>46229</v>
      </c>
      <c r="D5194" t="s">
        <v>2058</v>
      </c>
      <c r="E5194" t="s">
        <v>2063</v>
      </c>
      <c r="F5194" t="s">
        <v>47</v>
      </c>
      <c r="G5194">
        <v>2417.69</v>
      </c>
      <c r="H5194" t="s">
        <v>2060</v>
      </c>
      <c r="I5194" t="str">
        <f>VLOOKUP(B5194,Customers!A:G,7,FALSE)</f>
        <v>Student</v>
      </c>
      <c r="Q5194" t="str">
        <f>IF(COUNTIF(Customers!$A$2:$A$1001,B5194)&gt;0,"Valid","Invalid")</f>
        <v>Valid</v>
      </c>
      <c r="R5194" t="str">
        <f>IF(COUNTIF(Branches!$A$2:$A$11,F5194)&gt;0,"Valid","Invalid")</f>
        <v>Valid</v>
      </c>
    </row>
    <row r="5195" spans="1:18" x14ac:dyDescent="0.25">
      <c r="A5195" t="s">
        <v>7266</v>
      </c>
      <c r="B5195" t="s">
        <v>342</v>
      </c>
      <c r="C5195" s="8">
        <v>46217</v>
      </c>
      <c r="D5195" t="s">
        <v>2058</v>
      </c>
      <c r="E5195" t="s">
        <v>2059</v>
      </c>
      <c r="F5195" t="s">
        <v>45</v>
      </c>
      <c r="G5195">
        <v>140.49</v>
      </c>
      <c r="H5195" t="s">
        <v>2060</v>
      </c>
      <c r="I5195" t="str">
        <f>VLOOKUP(B5195,Customers!A:G,7,FALSE)</f>
        <v>Individual</v>
      </c>
      <c r="Q5195" t="str">
        <f>IF(COUNTIF(Customers!$A$2:$A$1001,B5195)&gt;0,"Valid","Invalid")</f>
        <v>Valid</v>
      </c>
      <c r="R5195" t="str">
        <f>IF(COUNTIF(Branches!$A$2:$A$11,F5195)&gt;0,"Valid","Invalid")</f>
        <v>Valid</v>
      </c>
    </row>
    <row r="5196" spans="1:18" x14ac:dyDescent="0.25">
      <c r="A5196" t="s">
        <v>7267</v>
      </c>
      <c r="B5196" t="s">
        <v>168</v>
      </c>
      <c r="C5196" s="8">
        <v>46028</v>
      </c>
      <c r="D5196" t="s">
        <v>2065</v>
      </c>
      <c r="E5196" t="s">
        <v>2063</v>
      </c>
      <c r="F5196" t="s">
        <v>29</v>
      </c>
      <c r="G5196">
        <v>924.95</v>
      </c>
      <c r="H5196" t="s">
        <v>2060</v>
      </c>
      <c r="I5196" t="str">
        <f>VLOOKUP(B5196,Customers!A:G,7,FALSE)</f>
        <v>SME</v>
      </c>
      <c r="Q5196" t="str">
        <f>IF(COUNTIF(Customers!$A$2:$A$1001,B5196)&gt;0,"Valid","Invalid")</f>
        <v>Valid</v>
      </c>
      <c r="R5196" t="str">
        <f>IF(COUNTIF(Branches!$A$2:$A$11,F5196)&gt;0,"Valid","Invalid")</f>
        <v>Valid</v>
      </c>
    </row>
    <row r="5197" spans="1:18" x14ac:dyDescent="0.25">
      <c r="A5197" t="s">
        <v>7268</v>
      </c>
      <c r="B5197" t="s">
        <v>459</v>
      </c>
      <c r="C5197" s="8">
        <v>46100</v>
      </c>
      <c r="D5197" t="s">
        <v>2070</v>
      </c>
      <c r="E5197" t="s">
        <v>2063</v>
      </c>
      <c r="F5197" t="s">
        <v>39</v>
      </c>
      <c r="G5197">
        <v>919.36</v>
      </c>
      <c r="H5197" t="s">
        <v>2060</v>
      </c>
      <c r="I5197" t="str">
        <f>VLOOKUP(B5197,Customers!A:G,7,FALSE)</f>
        <v>Individual</v>
      </c>
      <c r="Q5197" t="str">
        <f>IF(COUNTIF(Customers!$A$2:$A$1001,B5197)&gt;0,"Valid","Invalid")</f>
        <v>Valid</v>
      </c>
      <c r="R5197" t="str">
        <f>IF(COUNTIF(Branches!$A$2:$A$11,F5197)&gt;0,"Valid","Invalid")</f>
        <v>Valid</v>
      </c>
    </row>
    <row r="5198" spans="1:18" x14ac:dyDescent="0.25">
      <c r="A5198" t="s">
        <v>7269</v>
      </c>
      <c r="B5198" t="s">
        <v>942</v>
      </c>
      <c r="C5198" s="8">
        <v>46205</v>
      </c>
      <c r="D5198" t="s">
        <v>2062</v>
      </c>
      <c r="E5198" t="s">
        <v>2059</v>
      </c>
      <c r="F5198" t="s">
        <v>35</v>
      </c>
      <c r="G5198">
        <v>748.16</v>
      </c>
      <c r="H5198" t="s">
        <v>2060</v>
      </c>
      <c r="I5198" t="str">
        <f>VLOOKUP(B5198,Customers!A:G,7,FALSE)</f>
        <v>Individual</v>
      </c>
      <c r="Q5198" t="str">
        <f>IF(COUNTIF(Customers!$A$2:$A$1001,B5198)&gt;0,"Valid","Invalid")</f>
        <v>Valid</v>
      </c>
      <c r="R5198" t="str">
        <f>IF(COUNTIF(Branches!$A$2:$A$11,F5198)&gt;0,"Valid","Invalid")</f>
        <v>Valid</v>
      </c>
    </row>
    <row r="5199" spans="1:18" x14ac:dyDescent="0.25">
      <c r="A5199" t="s">
        <v>7270</v>
      </c>
      <c r="B5199" t="s">
        <v>423</v>
      </c>
      <c r="C5199" s="8">
        <v>46060</v>
      </c>
      <c r="D5199" t="s">
        <v>2062</v>
      </c>
      <c r="E5199" t="s">
        <v>2059</v>
      </c>
      <c r="F5199" t="s">
        <v>39</v>
      </c>
      <c r="G5199">
        <v>925.91</v>
      </c>
      <c r="H5199" t="s">
        <v>2060</v>
      </c>
      <c r="I5199" t="str">
        <f>VLOOKUP(B5199,Customers!A:G,7,FALSE)</f>
        <v>Individual</v>
      </c>
      <c r="Q5199" t="str">
        <f>IF(COUNTIF(Customers!$A$2:$A$1001,B5199)&gt;0,"Valid","Invalid")</f>
        <v>Valid</v>
      </c>
      <c r="R5199" t="str">
        <f>IF(COUNTIF(Branches!$A$2:$A$11,F5199)&gt;0,"Valid","Invalid")</f>
        <v>Valid</v>
      </c>
    </row>
    <row r="5200" spans="1:18" x14ac:dyDescent="0.25">
      <c r="A5200" t="s">
        <v>7271</v>
      </c>
      <c r="B5200" t="s">
        <v>1026</v>
      </c>
      <c r="C5200" s="8">
        <v>46183</v>
      </c>
      <c r="D5200" t="s">
        <v>2067</v>
      </c>
      <c r="E5200" t="s">
        <v>2068</v>
      </c>
      <c r="F5200" t="s">
        <v>21</v>
      </c>
      <c r="G5200">
        <v>87.16</v>
      </c>
      <c r="H5200" t="s">
        <v>2060</v>
      </c>
      <c r="I5200" t="str">
        <f>VLOOKUP(B5200,Customers!A:G,7,FALSE)</f>
        <v>Individual</v>
      </c>
      <c r="Q5200" t="str">
        <f>IF(COUNTIF(Customers!$A$2:$A$1001,B5200)&gt;0,"Valid","Invalid")</f>
        <v>Valid</v>
      </c>
      <c r="R5200" t="str">
        <f>IF(COUNTIF(Branches!$A$2:$A$11,F5200)&gt;0,"Valid","Invalid")</f>
        <v>Valid</v>
      </c>
    </row>
    <row r="5201" spans="1:18" x14ac:dyDescent="0.25">
      <c r="A5201" t="s">
        <v>7272</v>
      </c>
      <c r="B5201" t="s">
        <v>235</v>
      </c>
      <c r="C5201" s="8">
        <v>46138</v>
      </c>
      <c r="D5201" t="s">
        <v>2058</v>
      </c>
      <c r="E5201" t="s">
        <v>2076</v>
      </c>
      <c r="F5201" t="s">
        <v>45</v>
      </c>
      <c r="G5201">
        <v>361.57</v>
      </c>
      <c r="H5201" t="s">
        <v>2060</v>
      </c>
      <c r="I5201" t="str">
        <f>VLOOKUP(B5201,Customers!A:G,7,FALSE)</f>
        <v>Individual</v>
      </c>
      <c r="Q5201" t="str">
        <f>IF(COUNTIF(Customers!$A$2:$A$1001,B5201)&gt;0,"Valid","Invalid")</f>
        <v>Valid</v>
      </c>
      <c r="R5201" t="str">
        <f>IF(COUNTIF(Branches!$A$2:$A$11,F5201)&gt;0,"Valid","Invalid")</f>
        <v>Valid</v>
      </c>
    </row>
    <row r="5202" spans="1:18" x14ac:dyDescent="0.25">
      <c r="A5202" t="s">
        <v>7273</v>
      </c>
      <c r="B5202" t="s">
        <v>83</v>
      </c>
      <c r="C5202" s="8">
        <v>46124</v>
      </c>
      <c r="D5202" t="s">
        <v>2058</v>
      </c>
      <c r="E5202" t="s">
        <v>2068</v>
      </c>
      <c r="F5202" t="s">
        <v>47</v>
      </c>
      <c r="G5202">
        <v>3800.93</v>
      </c>
      <c r="H5202" t="s">
        <v>2060</v>
      </c>
      <c r="I5202" t="str">
        <f>VLOOKUP(B5202,Customers!A:G,7,FALSE)</f>
        <v>SME</v>
      </c>
      <c r="Q5202" t="str">
        <f>IF(COUNTIF(Customers!$A$2:$A$1001,B5202)&gt;0,"Valid","Invalid")</f>
        <v>Valid</v>
      </c>
      <c r="R5202" t="str">
        <f>IF(COUNTIF(Branches!$A$2:$A$11,F5202)&gt;0,"Valid","Invalid")</f>
        <v>Valid</v>
      </c>
    </row>
    <row r="5203" spans="1:18" x14ac:dyDescent="0.25">
      <c r="A5203" t="s">
        <v>7274</v>
      </c>
      <c r="B5203" t="s">
        <v>778</v>
      </c>
      <c r="C5203" s="8">
        <v>46030</v>
      </c>
      <c r="D5203" t="s">
        <v>2065</v>
      </c>
      <c r="E5203" t="s">
        <v>2068</v>
      </c>
      <c r="F5203" t="s">
        <v>27</v>
      </c>
      <c r="G5203">
        <v>245.46</v>
      </c>
      <c r="H5203" t="s">
        <v>2060</v>
      </c>
      <c r="I5203" t="str">
        <f>VLOOKUP(B5203,Customers!A:G,7,FALSE)</f>
        <v>SME</v>
      </c>
      <c r="Q5203" t="str">
        <f>IF(COUNTIF(Customers!$A$2:$A$1001,B5203)&gt;0,"Valid","Invalid")</f>
        <v>Valid</v>
      </c>
      <c r="R5203" t="str">
        <f>IF(COUNTIF(Branches!$A$2:$A$11,F5203)&gt;0,"Valid","Invalid")</f>
        <v>Valid</v>
      </c>
    </row>
    <row r="5204" spans="1:18" x14ac:dyDescent="0.25">
      <c r="A5204" t="s">
        <v>7275</v>
      </c>
      <c r="B5204" t="s">
        <v>795</v>
      </c>
      <c r="C5204" s="8">
        <v>46240</v>
      </c>
      <c r="D5204" t="s">
        <v>2058</v>
      </c>
      <c r="E5204" t="s">
        <v>2059</v>
      </c>
      <c r="F5204" t="s">
        <v>11</v>
      </c>
      <c r="G5204">
        <v>4301.03</v>
      </c>
      <c r="H5204" t="s">
        <v>2060</v>
      </c>
      <c r="I5204" t="str">
        <f>VLOOKUP(B5204,Customers!A:G,7,FALSE)</f>
        <v>Individual</v>
      </c>
      <c r="Q5204" t="str">
        <f>IF(COUNTIF(Customers!$A$2:$A$1001,B5204)&gt;0,"Valid","Invalid")</f>
        <v>Valid</v>
      </c>
      <c r="R5204" t="str">
        <f>IF(COUNTIF(Branches!$A$2:$A$11,F5204)&gt;0,"Valid","Invalid")</f>
        <v>Valid</v>
      </c>
    </row>
    <row r="5205" spans="1:18" x14ac:dyDescent="0.25">
      <c r="A5205" t="s">
        <v>7276</v>
      </c>
      <c r="B5205" t="s">
        <v>240</v>
      </c>
      <c r="C5205" s="8">
        <v>46229</v>
      </c>
      <c r="D5205" t="s">
        <v>2062</v>
      </c>
      <c r="E5205" t="s">
        <v>2059</v>
      </c>
      <c r="F5205" t="s">
        <v>47</v>
      </c>
      <c r="G5205">
        <v>198.97</v>
      </c>
      <c r="H5205" t="s">
        <v>2060</v>
      </c>
      <c r="I5205" t="str">
        <f>VLOOKUP(B5205,Customers!A:G,7,FALSE)</f>
        <v>Student</v>
      </c>
      <c r="Q5205" t="str">
        <f>IF(COUNTIF(Customers!$A$2:$A$1001,B5205)&gt;0,"Valid","Invalid")</f>
        <v>Valid</v>
      </c>
      <c r="R5205" t="str">
        <f>IF(COUNTIF(Branches!$A$2:$A$11,F5205)&gt;0,"Valid","Invalid")</f>
        <v>Valid</v>
      </c>
    </row>
    <row r="5206" spans="1:18" x14ac:dyDescent="0.25">
      <c r="A5206" t="s">
        <v>7277</v>
      </c>
      <c r="B5206" t="s">
        <v>299</v>
      </c>
      <c r="C5206" s="8">
        <v>46100</v>
      </c>
      <c r="D5206" t="s">
        <v>2065</v>
      </c>
      <c r="E5206" t="s">
        <v>2063</v>
      </c>
      <c r="F5206" t="s">
        <v>47</v>
      </c>
      <c r="G5206">
        <v>176.44</v>
      </c>
      <c r="H5206" t="s">
        <v>2060</v>
      </c>
      <c r="I5206" t="str">
        <f>VLOOKUP(B5206,Customers!A:G,7,FALSE)</f>
        <v>SME</v>
      </c>
      <c r="Q5206" t="str">
        <f>IF(COUNTIF(Customers!$A$2:$A$1001,B5206)&gt;0,"Valid","Invalid")</f>
        <v>Valid</v>
      </c>
      <c r="R5206" t="str">
        <f>IF(COUNTIF(Branches!$A$2:$A$11,F5206)&gt;0,"Valid","Invalid")</f>
        <v>Valid</v>
      </c>
    </row>
    <row r="5207" spans="1:18" x14ac:dyDescent="0.25">
      <c r="A5207" t="s">
        <v>7278</v>
      </c>
      <c r="B5207" t="s">
        <v>728</v>
      </c>
      <c r="C5207" s="8">
        <v>46134</v>
      </c>
      <c r="D5207" t="s">
        <v>2065</v>
      </c>
      <c r="E5207" t="s">
        <v>2073</v>
      </c>
      <c r="F5207" t="s">
        <v>27</v>
      </c>
      <c r="G5207">
        <v>313.63</v>
      </c>
      <c r="H5207" t="s">
        <v>2060</v>
      </c>
      <c r="I5207" t="str">
        <f>VLOOKUP(B5207,Customers!A:G,7,FALSE)</f>
        <v>Individual</v>
      </c>
      <c r="Q5207" t="str">
        <f>IF(COUNTIF(Customers!$A$2:$A$1001,B5207)&gt;0,"Valid","Invalid")</f>
        <v>Valid</v>
      </c>
      <c r="R5207" t="str">
        <f>IF(COUNTIF(Branches!$A$2:$A$11,F5207)&gt;0,"Valid","Invalid")</f>
        <v>Valid</v>
      </c>
    </row>
    <row r="5208" spans="1:18" x14ac:dyDescent="0.25">
      <c r="A5208" t="s">
        <v>7279</v>
      </c>
      <c r="B5208" t="s">
        <v>58</v>
      </c>
      <c r="C5208" s="8">
        <v>46170</v>
      </c>
      <c r="D5208" t="s">
        <v>2062</v>
      </c>
      <c r="E5208" t="s">
        <v>2063</v>
      </c>
      <c r="F5208" t="s">
        <v>45</v>
      </c>
      <c r="G5208">
        <v>2512.62</v>
      </c>
      <c r="H5208" t="s">
        <v>2060</v>
      </c>
      <c r="I5208" t="str">
        <f>VLOOKUP(B5208,Customers!A:G,7,FALSE)</f>
        <v>Individual</v>
      </c>
      <c r="Q5208" t="str">
        <f>IF(COUNTIF(Customers!$A$2:$A$1001,B5208)&gt;0,"Valid","Invalid")</f>
        <v>Valid</v>
      </c>
      <c r="R5208" t="str">
        <f>IF(COUNTIF(Branches!$A$2:$A$11,F5208)&gt;0,"Valid","Invalid")</f>
        <v>Valid</v>
      </c>
    </row>
    <row r="5209" spans="1:18" x14ac:dyDescent="0.25">
      <c r="A5209" t="s">
        <v>7280</v>
      </c>
      <c r="B5209" t="s">
        <v>725</v>
      </c>
      <c r="C5209" s="8">
        <v>46077</v>
      </c>
      <c r="D5209" t="s">
        <v>2065</v>
      </c>
      <c r="E5209" t="s">
        <v>2076</v>
      </c>
      <c r="F5209" t="s">
        <v>35</v>
      </c>
      <c r="G5209">
        <v>470.54</v>
      </c>
      <c r="H5209" t="s">
        <v>2060</v>
      </c>
      <c r="I5209" t="str">
        <f>VLOOKUP(B5209,Customers!A:G,7,FALSE)</f>
        <v>Individual</v>
      </c>
      <c r="Q5209" t="str">
        <f>IF(COUNTIF(Customers!$A$2:$A$1001,B5209)&gt;0,"Valid","Invalid")</f>
        <v>Valid</v>
      </c>
      <c r="R5209" t="str">
        <f>IF(COUNTIF(Branches!$A$2:$A$11,F5209)&gt;0,"Valid","Invalid")</f>
        <v>Valid</v>
      </c>
    </row>
    <row r="5210" spans="1:18" x14ac:dyDescent="0.25">
      <c r="A5210" t="s">
        <v>7281</v>
      </c>
      <c r="B5210" t="s">
        <v>824</v>
      </c>
      <c r="C5210" s="8">
        <v>46070</v>
      </c>
      <c r="D5210" t="s">
        <v>2058</v>
      </c>
      <c r="E5210" t="s">
        <v>2059</v>
      </c>
      <c r="F5210" t="s">
        <v>53</v>
      </c>
      <c r="G5210">
        <v>1147.58</v>
      </c>
      <c r="H5210" t="s">
        <v>2060</v>
      </c>
      <c r="I5210" t="str">
        <f>VLOOKUP(B5210,Customers!A:G,7,FALSE)</f>
        <v>Individual</v>
      </c>
      <c r="Q5210" t="str">
        <f>IF(COUNTIF(Customers!$A$2:$A$1001,B5210)&gt;0,"Valid","Invalid")</f>
        <v>Valid</v>
      </c>
      <c r="R5210" t="str">
        <f>IF(COUNTIF(Branches!$A$2:$A$11,F5210)&gt;0,"Valid","Invalid")</f>
        <v>Valid</v>
      </c>
    </row>
    <row r="5211" spans="1:18" x14ac:dyDescent="0.25">
      <c r="A5211" t="s">
        <v>7282</v>
      </c>
      <c r="B5211" t="s">
        <v>378</v>
      </c>
      <c r="C5211" s="8">
        <v>46233</v>
      </c>
      <c r="D5211" t="s">
        <v>2058</v>
      </c>
      <c r="E5211" t="s">
        <v>2073</v>
      </c>
      <c r="F5211" t="s">
        <v>11</v>
      </c>
      <c r="G5211">
        <v>874.49</v>
      </c>
      <c r="H5211" t="s">
        <v>2060</v>
      </c>
      <c r="I5211" t="str">
        <f>VLOOKUP(B5211,Customers!A:G,7,FALSE)</f>
        <v>SME</v>
      </c>
      <c r="Q5211" t="str">
        <f>IF(COUNTIF(Customers!$A$2:$A$1001,B5211)&gt;0,"Valid","Invalid")</f>
        <v>Valid</v>
      </c>
      <c r="R5211" t="str">
        <f>IF(COUNTIF(Branches!$A$2:$A$11,F5211)&gt;0,"Valid","Invalid")</f>
        <v>Valid</v>
      </c>
    </row>
    <row r="5212" spans="1:18" x14ac:dyDescent="0.25">
      <c r="A5212" t="s">
        <v>7283</v>
      </c>
      <c r="B5212" t="s">
        <v>450</v>
      </c>
      <c r="C5212" s="8">
        <v>46206</v>
      </c>
      <c r="D5212" t="s">
        <v>2067</v>
      </c>
      <c r="E5212" t="s">
        <v>2059</v>
      </c>
      <c r="F5212" t="s">
        <v>39</v>
      </c>
      <c r="G5212">
        <v>769.34</v>
      </c>
      <c r="H5212" t="s">
        <v>2060</v>
      </c>
      <c r="I5212" t="str">
        <f>VLOOKUP(B5212,Customers!A:G,7,FALSE)</f>
        <v>Individual</v>
      </c>
      <c r="Q5212" t="str">
        <f>IF(COUNTIF(Customers!$A$2:$A$1001,B5212)&gt;0,"Valid","Invalid")</f>
        <v>Valid</v>
      </c>
      <c r="R5212" t="str">
        <f>IF(COUNTIF(Branches!$A$2:$A$11,F5212)&gt;0,"Valid","Invalid")</f>
        <v>Valid</v>
      </c>
    </row>
    <row r="5213" spans="1:18" x14ac:dyDescent="0.25">
      <c r="A5213" t="s">
        <v>7284</v>
      </c>
      <c r="B5213" t="s">
        <v>1011</v>
      </c>
      <c r="C5213" s="8">
        <v>46247</v>
      </c>
      <c r="D5213" t="s">
        <v>2062</v>
      </c>
      <c r="E5213" t="s">
        <v>2068</v>
      </c>
      <c r="F5213" t="s">
        <v>45</v>
      </c>
      <c r="G5213">
        <v>2904.79</v>
      </c>
      <c r="H5213" t="s">
        <v>2060</v>
      </c>
      <c r="I5213" t="str">
        <f>VLOOKUP(B5213,Customers!A:G,7,FALSE)</f>
        <v>Individual</v>
      </c>
      <c r="Q5213" t="str">
        <f>IF(COUNTIF(Customers!$A$2:$A$1001,B5213)&gt;0,"Valid","Invalid")</f>
        <v>Valid</v>
      </c>
      <c r="R5213" t="str">
        <f>IF(COUNTIF(Branches!$A$2:$A$11,F5213)&gt;0,"Valid","Invalid")</f>
        <v>Valid</v>
      </c>
    </row>
    <row r="5214" spans="1:18" x14ac:dyDescent="0.25">
      <c r="A5214" t="s">
        <v>7285</v>
      </c>
      <c r="B5214" t="s">
        <v>299</v>
      </c>
      <c r="C5214" s="8">
        <v>46250</v>
      </c>
      <c r="D5214" t="s">
        <v>2058</v>
      </c>
      <c r="E5214" t="s">
        <v>2063</v>
      </c>
      <c r="F5214" t="s">
        <v>47</v>
      </c>
      <c r="G5214">
        <v>1757.27</v>
      </c>
      <c r="H5214" t="s">
        <v>2060</v>
      </c>
      <c r="I5214" t="str">
        <f>VLOOKUP(B5214,Customers!A:G,7,FALSE)</f>
        <v>SME</v>
      </c>
      <c r="Q5214" t="str">
        <f>IF(COUNTIF(Customers!$A$2:$A$1001,B5214)&gt;0,"Valid","Invalid")</f>
        <v>Valid</v>
      </c>
      <c r="R5214" t="str">
        <f>IF(COUNTIF(Branches!$A$2:$A$11,F5214)&gt;0,"Valid","Invalid")</f>
        <v>Valid</v>
      </c>
    </row>
    <row r="5215" spans="1:18" x14ac:dyDescent="0.25">
      <c r="A5215" t="s">
        <v>7286</v>
      </c>
      <c r="B5215" t="s">
        <v>324</v>
      </c>
      <c r="C5215" s="8">
        <v>46110</v>
      </c>
      <c r="D5215" t="s">
        <v>2062</v>
      </c>
      <c r="E5215" t="s">
        <v>2063</v>
      </c>
      <c r="F5215" t="s">
        <v>11</v>
      </c>
      <c r="G5215">
        <v>259.07</v>
      </c>
      <c r="H5215" t="s">
        <v>2060</v>
      </c>
      <c r="I5215" t="str">
        <f>VLOOKUP(B5215,Customers!A:G,7,FALSE)</f>
        <v>Individual</v>
      </c>
      <c r="Q5215" t="str">
        <f>IF(COUNTIF(Customers!$A$2:$A$1001,B5215)&gt;0,"Valid","Invalid")</f>
        <v>Valid</v>
      </c>
      <c r="R5215" t="str">
        <f>IF(COUNTIF(Branches!$A$2:$A$11,F5215)&gt;0,"Valid","Invalid")</f>
        <v>Valid</v>
      </c>
    </row>
    <row r="5216" spans="1:18" x14ac:dyDescent="0.25">
      <c r="A5216" t="s">
        <v>7287</v>
      </c>
      <c r="B5216" t="s">
        <v>551</v>
      </c>
      <c r="C5216" s="8">
        <v>46032</v>
      </c>
      <c r="D5216" t="s">
        <v>2062</v>
      </c>
      <c r="E5216" t="s">
        <v>2076</v>
      </c>
      <c r="F5216" t="s">
        <v>27</v>
      </c>
      <c r="G5216">
        <v>616.73</v>
      </c>
      <c r="H5216" t="s">
        <v>2060</v>
      </c>
      <c r="I5216" t="str">
        <f>VLOOKUP(B5216,Customers!A:G,7,FALSE)</f>
        <v>Student</v>
      </c>
      <c r="Q5216" t="str">
        <f>IF(COUNTIF(Customers!$A$2:$A$1001,B5216)&gt;0,"Valid","Invalid")</f>
        <v>Valid</v>
      </c>
      <c r="R5216" t="str">
        <f>IF(COUNTIF(Branches!$A$2:$A$11,F5216)&gt;0,"Valid","Invalid")</f>
        <v>Valid</v>
      </c>
    </row>
    <row r="5217" spans="1:18" x14ac:dyDescent="0.25">
      <c r="A5217" t="s">
        <v>7288</v>
      </c>
      <c r="B5217" t="s">
        <v>122</v>
      </c>
      <c r="C5217" s="8">
        <v>46074</v>
      </c>
      <c r="D5217" t="s">
        <v>2062</v>
      </c>
      <c r="E5217" t="s">
        <v>2073</v>
      </c>
      <c r="F5217" t="s">
        <v>53</v>
      </c>
      <c r="G5217">
        <v>4644.5</v>
      </c>
      <c r="H5217" t="s">
        <v>2060</v>
      </c>
      <c r="I5217" t="str">
        <f>VLOOKUP(B5217,Customers!A:G,7,FALSE)</f>
        <v>Individual</v>
      </c>
      <c r="Q5217" t="str">
        <f>IF(COUNTIF(Customers!$A$2:$A$1001,B5217)&gt;0,"Valid","Invalid")</f>
        <v>Valid</v>
      </c>
      <c r="R5217" t="str">
        <f>IF(COUNTIF(Branches!$A$2:$A$11,F5217)&gt;0,"Valid","Invalid")</f>
        <v>Valid</v>
      </c>
    </row>
    <row r="5218" spans="1:18" x14ac:dyDescent="0.25">
      <c r="A5218" t="s">
        <v>7289</v>
      </c>
      <c r="B5218" t="s">
        <v>888</v>
      </c>
      <c r="C5218" s="8">
        <v>46200</v>
      </c>
      <c r="D5218" t="s">
        <v>2065</v>
      </c>
      <c r="E5218" t="s">
        <v>2059</v>
      </c>
      <c r="F5218" t="s">
        <v>39</v>
      </c>
      <c r="G5218">
        <v>1118.3</v>
      </c>
      <c r="H5218" t="s">
        <v>2060</v>
      </c>
      <c r="I5218" t="str">
        <f>VLOOKUP(B5218,Customers!A:G,7,FALSE)</f>
        <v>SME</v>
      </c>
      <c r="Q5218" t="str">
        <f>IF(COUNTIF(Customers!$A$2:$A$1001,B5218)&gt;0,"Valid","Invalid")</f>
        <v>Valid</v>
      </c>
      <c r="R5218" t="str">
        <f>IF(COUNTIF(Branches!$A$2:$A$11,F5218)&gt;0,"Valid","Invalid")</f>
        <v>Valid</v>
      </c>
    </row>
    <row r="5219" spans="1:18" x14ac:dyDescent="0.25">
      <c r="A5219" t="s">
        <v>7290</v>
      </c>
      <c r="B5219" t="s">
        <v>468</v>
      </c>
      <c r="C5219" s="8">
        <v>46056</v>
      </c>
      <c r="D5219" t="s">
        <v>2065</v>
      </c>
      <c r="E5219" t="s">
        <v>2073</v>
      </c>
      <c r="F5219" t="s">
        <v>27</v>
      </c>
      <c r="G5219">
        <v>179.86</v>
      </c>
      <c r="H5219" t="s">
        <v>2060</v>
      </c>
      <c r="I5219" t="str">
        <f>VLOOKUP(B5219,Customers!A:G,7,FALSE)</f>
        <v>SME</v>
      </c>
      <c r="Q5219" t="str">
        <f>IF(COUNTIF(Customers!$A$2:$A$1001,B5219)&gt;0,"Valid","Invalid")</f>
        <v>Valid</v>
      </c>
      <c r="R5219" t="str">
        <f>IF(COUNTIF(Branches!$A$2:$A$11,F5219)&gt;0,"Valid","Invalid")</f>
        <v>Valid</v>
      </c>
    </row>
    <row r="5220" spans="1:18" x14ac:dyDescent="0.25">
      <c r="A5220" t="s">
        <v>7291</v>
      </c>
      <c r="B5220" t="s">
        <v>619</v>
      </c>
      <c r="C5220" s="8">
        <v>46186</v>
      </c>
      <c r="D5220" t="s">
        <v>2065</v>
      </c>
      <c r="E5220" t="s">
        <v>2068</v>
      </c>
      <c r="F5220" t="s">
        <v>29</v>
      </c>
      <c r="G5220">
        <v>193.05</v>
      </c>
      <c r="H5220" t="s">
        <v>2060</v>
      </c>
      <c r="I5220" t="str">
        <f>VLOOKUP(B5220,Customers!A:G,7,FALSE)</f>
        <v>Individual</v>
      </c>
      <c r="Q5220" t="str">
        <f>IF(COUNTIF(Customers!$A$2:$A$1001,B5220)&gt;0,"Valid","Invalid")</f>
        <v>Valid</v>
      </c>
      <c r="R5220" t="str">
        <f>IF(COUNTIF(Branches!$A$2:$A$11,F5220)&gt;0,"Valid","Invalid")</f>
        <v>Valid</v>
      </c>
    </row>
    <row r="5221" spans="1:18" x14ac:dyDescent="0.25">
      <c r="A5221" t="s">
        <v>7292</v>
      </c>
      <c r="B5221" t="s">
        <v>65</v>
      </c>
      <c r="C5221" s="8">
        <v>46261</v>
      </c>
      <c r="D5221" t="s">
        <v>2067</v>
      </c>
      <c r="E5221" t="s">
        <v>2068</v>
      </c>
      <c r="F5221" t="s">
        <v>47</v>
      </c>
      <c r="G5221">
        <v>1978.6</v>
      </c>
      <c r="H5221" t="s">
        <v>2060</v>
      </c>
      <c r="I5221" t="str">
        <f>VLOOKUP(B5221,Customers!A:G,7,FALSE)</f>
        <v>Student</v>
      </c>
      <c r="Q5221" t="str">
        <f>IF(COUNTIF(Customers!$A$2:$A$1001,B5221)&gt;0,"Valid","Invalid")</f>
        <v>Valid</v>
      </c>
      <c r="R5221" t="str">
        <f>IF(COUNTIF(Branches!$A$2:$A$11,F5221)&gt;0,"Valid","Invalid")</f>
        <v>Valid</v>
      </c>
    </row>
    <row r="5222" spans="1:18" x14ac:dyDescent="0.25">
      <c r="A5222" t="s">
        <v>7293</v>
      </c>
      <c r="B5222" t="s">
        <v>748</v>
      </c>
      <c r="C5222" s="8">
        <v>46083</v>
      </c>
      <c r="D5222" t="s">
        <v>2062</v>
      </c>
      <c r="E5222" t="s">
        <v>2059</v>
      </c>
      <c r="F5222" t="s">
        <v>35</v>
      </c>
      <c r="G5222">
        <v>1639.98</v>
      </c>
      <c r="H5222" t="s">
        <v>2060</v>
      </c>
      <c r="I5222" t="str">
        <f>VLOOKUP(B5222,Customers!A:G,7,FALSE)</f>
        <v>Individual</v>
      </c>
      <c r="Q5222" t="str">
        <f>IF(COUNTIF(Customers!$A$2:$A$1001,B5222)&gt;0,"Valid","Invalid")</f>
        <v>Valid</v>
      </c>
      <c r="R5222" t="str">
        <f>IF(COUNTIF(Branches!$A$2:$A$11,F5222)&gt;0,"Valid","Invalid")</f>
        <v>Valid</v>
      </c>
    </row>
    <row r="5223" spans="1:18" x14ac:dyDescent="0.25">
      <c r="A5223" t="s">
        <v>7294</v>
      </c>
      <c r="B5223" t="s">
        <v>641</v>
      </c>
      <c r="C5223" s="8">
        <v>46250</v>
      </c>
      <c r="D5223" t="s">
        <v>2067</v>
      </c>
      <c r="E5223" t="s">
        <v>2059</v>
      </c>
      <c r="F5223" t="s">
        <v>47</v>
      </c>
      <c r="G5223">
        <v>323.32</v>
      </c>
      <c r="H5223" t="s">
        <v>2060</v>
      </c>
      <c r="I5223" t="str">
        <f>VLOOKUP(B5223,Customers!A:G,7,FALSE)</f>
        <v>Individual</v>
      </c>
      <c r="Q5223" t="str">
        <f>IF(COUNTIF(Customers!$A$2:$A$1001,B5223)&gt;0,"Valid","Invalid")</f>
        <v>Valid</v>
      </c>
      <c r="R5223" t="str">
        <f>IF(COUNTIF(Branches!$A$2:$A$11,F5223)&gt;0,"Valid","Invalid")</f>
        <v>Valid</v>
      </c>
    </row>
    <row r="5224" spans="1:18" x14ac:dyDescent="0.25">
      <c r="A5224" t="s">
        <v>7295</v>
      </c>
      <c r="B5224" t="s">
        <v>478</v>
      </c>
      <c r="C5224" s="8">
        <v>46166</v>
      </c>
      <c r="D5224" t="s">
        <v>2062</v>
      </c>
      <c r="E5224" t="s">
        <v>2063</v>
      </c>
      <c r="F5224" t="s">
        <v>29</v>
      </c>
      <c r="G5224">
        <v>1715.79</v>
      </c>
      <c r="H5224" t="s">
        <v>2107</v>
      </c>
      <c r="I5224" t="str">
        <f>VLOOKUP(B5224,Customers!A:G,7,FALSE)</f>
        <v>Corporate</v>
      </c>
      <c r="Q5224" t="str">
        <f>IF(COUNTIF(Customers!$A$2:$A$1001,B5224)&gt;0,"Valid","Invalid")</f>
        <v>Valid</v>
      </c>
      <c r="R5224" t="str">
        <f>IF(COUNTIF(Branches!$A$2:$A$11,F5224)&gt;0,"Valid","Invalid")</f>
        <v>Valid</v>
      </c>
    </row>
    <row r="5225" spans="1:18" x14ac:dyDescent="0.25">
      <c r="A5225" t="s">
        <v>7296</v>
      </c>
      <c r="B5225" t="s">
        <v>1023</v>
      </c>
      <c r="C5225" s="8">
        <v>46101</v>
      </c>
      <c r="D5225" t="s">
        <v>2067</v>
      </c>
      <c r="E5225" t="s">
        <v>2073</v>
      </c>
      <c r="F5225" t="s">
        <v>21</v>
      </c>
      <c r="G5225">
        <v>4021.43</v>
      </c>
      <c r="H5225" t="s">
        <v>2060</v>
      </c>
      <c r="I5225" t="str">
        <f>VLOOKUP(B5225,Customers!A:G,7,FALSE)</f>
        <v>SME</v>
      </c>
      <c r="Q5225" t="str">
        <f>IF(COUNTIF(Customers!$A$2:$A$1001,B5225)&gt;0,"Valid","Invalid")</f>
        <v>Valid</v>
      </c>
      <c r="R5225" t="str">
        <f>IF(COUNTIF(Branches!$A$2:$A$11,F5225)&gt;0,"Valid","Invalid")</f>
        <v>Valid</v>
      </c>
    </row>
    <row r="5226" spans="1:18" x14ac:dyDescent="0.25">
      <c r="A5226" t="s">
        <v>7297</v>
      </c>
      <c r="B5226" t="s">
        <v>387</v>
      </c>
      <c r="C5226" s="8">
        <v>46040</v>
      </c>
      <c r="D5226" t="s">
        <v>2067</v>
      </c>
      <c r="E5226" t="s">
        <v>2073</v>
      </c>
      <c r="F5226" t="s">
        <v>39</v>
      </c>
      <c r="G5226">
        <v>3490.7</v>
      </c>
      <c r="H5226" t="s">
        <v>2060</v>
      </c>
      <c r="I5226" t="str">
        <f>VLOOKUP(B5226,Customers!A:G,7,FALSE)</f>
        <v>Individual</v>
      </c>
      <c r="Q5226" t="str">
        <f>IF(COUNTIF(Customers!$A$2:$A$1001,B5226)&gt;0,"Valid","Invalid")</f>
        <v>Valid</v>
      </c>
      <c r="R5226" t="str">
        <f>IF(COUNTIF(Branches!$A$2:$A$11,F5226)&gt;0,"Valid","Invalid")</f>
        <v>Valid</v>
      </c>
    </row>
    <row r="5227" spans="1:18" x14ac:dyDescent="0.25">
      <c r="A5227" t="s">
        <v>7298</v>
      </c>
      <c r="B5227" t="s">
        <v>933</v>
      </c>
      <c r="C5227" s="8">
        <v>46093</v>
      </c>
      <c r="D5227" t="s">
        <v>2062</v>
      </c>
      <c r="E5227" t="s">
        <v>2076</v>
      </c>
      <c r="F5227" t="s">
        <v>27</v>
      </c>
      <c r="G5227">
        <v>4041.12</v>
      </c>
      <c r="H5227" t="s">
        <v>2060</v>
      </c>
      <c r="I5227" t="str">
        <f>VLOOKUP(B5227,Customers!A:G,7,FALSE)</f>
        <v>Student</v>
      </c>
      <c r="Q5227" t="str">
        <f>IF(COUNTIF(Customers!$A$2:$A$1001,B5227)&gt;0,"Valid","Invalid")</f>
        <v>Valid</v>
      </c>
      <c r="R5227" t="str">
        <f>IF(COUNTIF(Branches!$A$2:$A$11,F5227)&gt;0,"Valid","Invalid")</f>
        <v>Valid</v>
      </c>
    </row>
    <row r="5228" spans="1:18" x14ac:dyDescent="0.25">
      <c r="A5228" t="s">
        <v>7299</v>
      </c>
      <c r="B5228" t="s">
        <v>450</v>
      </c>
      <c r="C5228" s="8">
        <v>46197</v>
      </c>
      <c r="D5228" t="s">
        <v>2067</v>
      </c>
      <c r="E5228" t="s">
        <v>2063</v>
      </c>
      <c r="F5228" t="s">
        <v>27</v>
      </c>
      <c r="G5228">
        <v>1415.85</v>
      </c>
      <c r="H5228" t="s">
        <v>2107</v>
      </c>
      <c r="I5228" t="str">
        <f>VLOOKUP(B5228,Customers!A:G,7,FALSE)</f>
        <v>Individual</v>
      </c>
      <c r="Q5228" t="str">
        <f>IF(COUNTIF(Customers!$A$2:$A$1001,B5228)&gt;0,"Valid","Invalid")</f>
        <v>Valid</v>
      </c>
      <c r="R5228" t="str">
        <f>IF(COUNTIF(Branches!$A$2:$A$11,F5228)&gt;0,"Valid","Invalid")</f>
        <v>Valid</v>
      </c>
    </row>
    <row r="5229" spans="1:18" x14ac:dyDescent="0.25">
      <c r="A5229" t="s">
        <v>7300</v>
      </c>
      <c r="B5229" t="s">
        <v>566</v>
      </c>
      <c r="C5229" s="8">
        <v>46108</v>
      </c>
      <c r="D5229" t="s">
        <v>2062</v>
      </c>
      <c r="E5229" t="s">
        <v>2063</v>
      </c>
      <c r="F5229" t="s">
        <v>16</v>
      </c>
      <c r="G5229">
        <v>680.17</v>
      </c>
      <c r="H5229" t="s">
        <v>2060</v>
      </c>
      <c r="I5229" t="str">
        <f>VLOOKUP(B5229,Customers!A:G,7,FALSE)</f>
        <v>Individual</v>
      </c>
      <c r="Q5229" t="str">
        <f>IF(COUNTIF(Customers!$A$2:$A$1001,B5229)&gt;0,"Valid","Invalid")</f>
        <v>Valid</v>
      </c>
      <c r="R5229" t="str">
        <f>IF(COUNTIF(Branches!$A$2:$A$11,F5229)&gt;0,"Valid","Invalid")</f>
        <v>Valid</v>
      </c>
    </row>
    <row r="5230" spans="1:18" x14ac:dyDescent="0.25">
      <c r="A5230" t="s">
        <v>7301</v>
      </c>
      <c r="B5230" t="s">
        <v>348</v>
      </c>
      <c r="C5230" s="8">
        <v>46054</v>
      </c>
      <c r="D5230" t="s">
        <v>2065</v>
      </c>
      <c r="E5230" t="s">
        <v>2073</v>
      </c>
      <c r="F5230" t="s">
        <v>29</v>
      </c>
      <c r="G5230">
        <v>543.22</v>
      </c>
      <c r="H5230" t="s">
        <v>2060</v>
      </c>
      <c r="I5230" t="str">
        <f>VLOOKUP(B5230,Customers!A:G,7,FALSE)</f>
        <v>Individual</v>
      </c>
      <c r="Q5230" t="str">
        <f>IF(COUNTIF(Customers!$A$2:$A$1001,B5230)&gt;0,"Valid","Invalid")</f>
        <v>Valid</v>
      </c>
      <c r="R5230" t="str">
        <f>IF(COUNTIF(Branches!$A$2:$A$11,F5230)&gt;0,"Valid","Invalid")</f>
        <v>Valid</v>
      </c>
    </row>
    <row r="5231" spans="1:18" x14ac:dyDescent="0.25">
      <c r="A5231" t="s">
        <v>7302</v>
      </c>
      <c r="B5231" t="s">
        <v>987</v>
      </c>
      <c r="C5231" s="8">
        <v>46065</v>
      </c>
      <c r="D5231" t="s">
        <v>2070</v>
      </c>
      <c r="E5231" t="s">
        <v>2063</v>
      </c>
      <c r="F5231" t="s">
        <v>27</v>
      </c>
      <c r="G5231">
        <v>798.4</v>
      </c>
      <c r="H5231" t="s">
        <v>2060</v>
      </c>
      <c r="I5231" t="str">
        <f>VLOOKUP(B5231,Customers!A:G,7,FALSE)</f>
        <v>Individual</v>
      </c>
      <c r="Q5231" t="str">
        <f>IF(COUNTIF(Customers!$A$2:$A$1001,B5231)&gt;0,"Valid","Invalid")</f>
        <v>Valid</v>
      </c>
      <c r="R5231" t="str">
        <f>IF(COUNTIF(Branches!$A$2:$A$11,F5231)&gt;0,"Valid","Invalid")</f>
        <v>Valid</v>
      </c>
    </row>
    <row r="5232" spans="1:18" x14ac:dyDescent="0.25">
      <c r="A5232" t="s">
        <v>7303</v>
      </c>
      <c r="B5232" t="s">
        <v>434</v>
      </c>
      <c r="C5232" s="8">
        <v>46105</v>
      </c>
      <c r="D5232" t="s">
        <v>2058</v>
      </c>
      <c r="E5232" t="s">
        <v>2068</v>
      </c>
      <c r="F5232" t="s">
        <v>27</v>
      </c>
      <c r="G5232">
        <v>338.31</v>
      </c>
      <c r="H5232" t="s">
        <v>2060</v>
      </c>
      <c r="I5232" t="str">
        <f>VLOOKUP(B5232,Customers!A:G,7,FALSE)</f>
        <v>Individual</v>
      </c>
      <c r="Q5232" t="str">
        <f>IF(COUNTIF(Customers!$A$2:$A$1001,B5232)&gt;0,"Valid","Invalid")</f>
        <v>Valid</v>
      </c>
      <c r="R5232" t="str">
        <f>IF(COUNTIF(Branches!$A$2:$A$11,F5232)&gt;0,"Valid","Invalid")</f>
        <v>Valid</v>
      </c>
    </row>
    <row r="5233" spans="1:18" x14ac:dyDescent="0.25">
      <c r="A5233" t="s">
        <v>7304</v>
      </c>
      <c r="B5233" t="s">
        <v>826</v>
      </c>
      <c r="C5233" s="8">
        <v>46190</v>
      </c>
      <c r="D5233" t="s">
        <v>2062</v>
      </c>
      <c r="E5233" t="s">
        <v>2059</v>
      </c>
      <c r="F5233" t="s">
        <v>29</v>
      </c>
      <c r="G5233">
        <v>567.19000000000005</v>
      </c>
      <c r="H5233" t="s">
        <v>2060</v>
      </c>
      <c r="I5233" t="str">
        <f>VLOOKUP(B5233,Customers!A:G,7,FALSE)</f>
        <v>SME</v>
      </c>
      <c r="Q5233" t="str">
        <f>IF(COUNTIF(Customers!$A$2:$A$1001,B5233)&gt;0,"Valid","Invalid")</f>
        <v>Valid</v>
      </c>
      <c r="R5233" t="str">
        <f>IF(COUNTIF(Branches!$A$2:$A$11,F5233)&gt;0,"Valid","Invalid")</f>
        <v>Valid</v>
      </c>
    </row>
    <row r="5234" spans="1:18" x14ac:dyDescent="0.25">
      <c r="A5234" t="s">
        <v>7305</v>
      </c>
      <c r="B5234" t="s">
        <v>376</v>
      </c>
      <c r="C5234" s="8">
        <v>46215</v>
      </c>
      <c r="D5234" t="s">
        <v>2065</v>
      </c>
      <c r="E5234" t="s">
        <v>2059</v>
      </c>
      <c r="F5234" t="s">
        <v>53</v>
      </c>
      <c r="G5234">
        <v>2907.71</v>
      </c>
      <c r="H5234" t="s">
        <v>2060</v>
      </c>
      <c r="I5234" t="str">
        <f>VLOOKUP(B5234,Customers!A:G,7,FALSE)</f>
        <v>SME</v>
      </c>
      <c r="Q5234" t="str">
        <f>IF(COUNTIF(Customers!$A$2:$A$1001,B5234)&gt;0,"Valid","Invalid")</f>
        <v>Valid</v>
      </c>
      <c r="R5234" t="str">
        <f>IF(COUNTIF(Branches!$A$2:$A$11,F5234)&gt;0,"Valid","Invalid")</f>
        <v>Valid</v>
      </c>
    </row>
    <row r="5235" spans="1:18" x14ac:dyDescent="0.25">
      <c r="A5235" t="s">
        <v>7306</v>
      </c>
      <c r="B5235" t="s">
        <v>712</v>
      </c>
      <c r="C5235" s="8">
        <v>46185</v>
      </c>
      <c r="D5235" t="s">
        <v>2058</v>
      </c>
      <c r="E5235" t="s">
        <v>2068</v>
      </c>
      <c r="F5235" t="s">
        <v>45</v>
      </c>
      <c r="G5235">
        <v>162.54</v>
      </c>
      <c r="H5235" t="s">
        <v>2060</v>
      </c>
      <c r="I5235" t="str">
        <f>VLOOKUP(B5235,Customers!A:G,7,FALSE)</f>
        <v>SME</v>
      </c>
      <c r="Q5235" t="str">
        <f>IF(COUNTIF(Customers!$A$2:$A$1001,B5235)&gt;0,"Valid","Invalid")</f>
        <v>Valid</v>
      </c>
      <c r="R5235" t="str">
        <f>IF(COUNTIF(Branches!$A$2:$A$11,F5235)&gt;0,"Valid","Invalid")</f>
        <v>Valid</v>
      </c>
    </row>
    <row r="5236" spans="1:18" x14ac:dyDescent="0.25">
      <c r="A5236" t="s">
        <v>7307</v>
      </c>
      <c r="B5236" t="s">
        <v>475</v>
      </c>
      <c r="C5236" s="8">
        <v>46091</v>
      </c>
      <c r="D5236" t="s">
        <v>2062</v>
      </c>
      <c r="E5236" t="s">
        <v>2063</v>
      </c>
      <c r="F5236" t="s">
        <v>53</v>
      </c>
      <c r="G5236">
        <v>174.05</v>
      </c>
      <c r="H5236" t="s">
        <v>2060</v>
      </c>
      <c r="I5236" t="str">
        <f>VLOOKUP(B5236,Customers!A:G,7,FALSE)</f>
        <v>Individual</v>
      </c>
      <c r="Q5236" t="str">
        <f>IF(COUNTIF(Customers!$A$2:$A$1001,B5236)&gt;0,"Valid","Invalid")</f>
        <v>Valid</v>
      </c>
      <c r="R5236" t="str">
        <f>IF(COUNTIF(Branches!$A$2:$A$11,F5236)&gt;0,"Valid","Invalid")</f>
        <v>Valid</v>
      </c>
    </row>
    <row r="5237" spans="1:18" x14ac:dyDescent="0.25">
      <c r="A5237" t="s">
        <v>7308</v>
      </c>
      <c r="B5237" t="s">
        <v>742</v>
      </c>
      <c r="C5237" s="8">
        <v>46072</v>
      </c>
      <c r="D5237" t="s">
        <v>2062</v>
      </c>
      <c r="E5237" t="s">
        <v>2059</v>
      </c>
      <c r="F5237" t="s">
        <v>35</v>
      </c>
      <c r="G5237">
        <v>1864.09</v>
      </c>
      <c r="H5237" t="s">
        <v>2060</v>
      </c>
      <c r="I5237" t="str">
        <f>VLOOKUP(B5237,Customers!A:G,7,FALSE)</f>
        <v>Student</v>
      </c>
      <c r="Q5237" t="str">
        <f>IF(COUNTIF(Customers!$A$2:$A$1001,B5237)&gt;0,"Valid","Invalid")</f>
        <v>Valid</v>
      </c>
      <c r="R5237" t="str">
        <f>IF(COUNTIF(Branches!$A$2:$A$11,F5237)&gt;0,"Valid","Invalid")</f>
        <v>Valid</v>
      </c>
    </row>
    <row r="5238" spans="1:18" x14ac:dyDescent="0.25">
      <c r="A5238" t="s">
        <v>7309</v>
      </c>
      <c r="B5238" t="s">
        <v>701</v>
      </c>
      <c r="C5238" s="8">
        <v>46034</v>
      </c>
      <c r="D5238" t="s">
        <v>2065</v>
      </c>
      <c r="E5238" t="s">
        <v>2073</v>
      </c>
      <c r="F5238" t="s">
        <v>39</v>
      </c>
      <c r="G5238">
        <v>572.39</v>
      </c>
      <c r="H5238" t="s">
        <v>2060</v>
      </c>
      <c r="I5238" t="str">
        <f>VLOOKUP(B5238,Customers!A:G,7,FALSE)</f>
        <v>Individual</v>
      </c>
      <c r="Q5238" t="str">
        <f>IF(COUNTIF(Customers!$A$2:$A$1001,B5238)&gt;0,"Valid","Invalid")</f>
        <v>Valid</v>
      </c>
      <c r="R5238" t="str">
        <f>IF(COUNTIF(Branches!$A$2:$A$11,F5238)&gt;0,"Valid","Invalid")</f>
        <v>Valid</v>
      </c>
    </row>
    <row r="5239" spans="1:18" x14ac:dyDescent="0.25">
      <c r="A5239" t="s">
        <v>7310</v>
      </c>
      <c r="B5239" t="s">
        <v>403</v>
      </c>
      <c r="C5239" s="8">
        <v>46226</v>
      </c>
      <c r="D5239" t="s">
        <v>2067</v>
      </c>
      <c r="E5239" t="s">
        <v>2076</v>
      </c>
      <c r="F5239" t="s">
        <v>21</v>
      </c>
      <c r="G5239">
        <v>118.43</v>
      </c>
      <c r="H5239" t="s">
        <v>2060</v>
      </c>
      <c r="I5239" t="str">
        <f>VLOOKUP(B5239,Customers!A:G,7,FALSE)</f>
        <v>SME</v>
      </c>
      <c r="Q5239" t="str">
        <f>IF(COUNTIF(Customers!$A$2:$A$1001,B5239)&gt;0,"Valid","Invalid")</f>
        <v>Valid</v>
      </c>
      <c r="R5239" t="str">
        <f>IF(COUNTIF(Branches!$A$2:$A$11,F5239)&gt;0,"Valid","Invalid")</f>
        <v>Valid</v>
      </c>
    </row>
    <row r="5240" spans="1:18" x14ac:dyDescent="0.25">
      <c r="A5240" t="s">
        <v>7311</v>
      </c>
      <c r="B5240" t="s">
        <v>961</v>
      </c>
      <c r="C5240" s="8">
        <v>46107</v>
      </c>
      <c r="D5240" t="s">
        <v>2067</v>
      </c>
      <c r="E5240" t="s">
        <v>2068</v>
      </c>
      <c r="F5240" t="s">
        <v>45</v>
      </c>
      <c r="G5240">
        <v>764.07</v>
      </c>
      <c r="H5240" t="s">
        <v>2060</v>
      </c>
      <c r="I5240" t="str">
        <f>VLOOKUP(B5240,Customers!A:G,7,FALSE)</f>
        <v>SME</v>
      </c>
      <c r="Q5240" t="str">
        <f>IF(COUNTIF(Customers!$A$2:$A$1001,B5240)&gt;0,"Valid","Invalid")</f>
        <v>Valid</v>
      </c>
      <c r="R5240" t="str">
        <f>IF(COUNTIF(Branches!$A$2:$A$11,F5240)&gt;0,"Valid","Invalid")</f>
        <v>Valid</v>
      </c>
    </row>
    <row r="5241" spans="1:18" x14ac:dyDescent="0.25">
      <c r="A5241" t="s">
        <v>7312</v>
      </c>
      <c r="B5241" t="s">
        <v>149</v>
      </c>
      <c r="C5241" s="8">
        <v>46145</v>
      </c>
      <c r="D5241" t="s">
        <v>2065</v>
      </c>
      <c r="E5241" t="s">
        <v>2068</v>
      </c>
      <c r="F5241" t="s">
        <v>39</v>
      </c>
      <c r="G5241">
        <v>662.41</v>
      </c>
      <c r="H5241" t="s">
        <v>2060</v>
      </c>
      <c r="I5241" t="str">
        <f>VLOOKUP(B5241,Customers!A:G,7,FALSE)</f>
        <v>Individual</v>
      </c>
      <c r="Q5241" t="str">
        <f>IF(COUNTIF(Customers!$A$2:$A$1001,B5241)&gt;0,"Valid","Invalid")</f>
        <v>Valid</v>
      </c>
      <c r="R5241" t="str">
        <f>IF(COUNTIF(Branches!$A$2:$A$11,F5241)&gt;0,"Valid","Invalid")</f>
        <v>Valid</v>
      </c>
    </row>
    <row r="5242" spans="1:18" x14ac:dyDescent="0.25">
      <c r="A5242" t="s">
        <v>7313</v>
      </c>
      <c r="B5242" t="s">
        <v>823</v>
      </c>
      <c r="C5242" s="8">
        <v>46080</v>
      </c>
      <c r="D5242" t="s">
        <v>2062</v>
      </c>
      <c r="E5242" t="s">
        <v>2063</v>
      </c>
      <c r="F5242" t="s">
        <v>21</v>
      </c>
      <c r="G5242">
        <v>527.9</v>
      </c>
      <c r="H5242" t="s">
        <v>2060</v>
      </c>
      <c r="I5242" t="str">
        <f>VLOOKUP(B5242,Customers!A:G,7,FALSE)</f>
        <v>Individual</v>
      </c>
      <c r="Q5242" t="str">
        <f>IF(COUNTIF(Customers!$A$2:$A$1001,B5242)&gt;0,"Valid","Invalid")</f>
        <v>Valid</v>
      </c>
      <c r="R5242" t="str">
        <f>IF(COUNTIF(Branches!$A$2:$A$11,F5242)&gt;0,"Valid","Invalid")</f>
        <v>Valid</v>
      </c>
    </row>
    <row r="5243" spans="1:18" x14ac:dyDescent="0.25">
      <c r="A5243" t="s">
        <v>7314</v>
      </c>
      <c r="B5243" t="s">
        <v>212</v>
      </c>
      <c r="C5243" s="8">
        <v>46105</v>
      </c>
      <c r="D5243" t="s">
        <v>2065</v>
      </c>
      <c r="E5243" t="s">
        <v>2063</v>
      </c>
      <c r="F5243" t="s">
        <v>39</v>
      </c>
      <c r="G5243">
        <v>1612.77</v>
      </c>
      <c r="H5243" t="s">
        <v>2060</v>
      </c>
      <c r="I5243" t="str">
        <f>VLOOKUP(B5243,Customers!A:G,7,FALSE)</f>
        <v>Student</v>
      </c>
      <c r="Q5243" t="str">
        <f>IF(COUNTIF(Customers!$A$2:$A$1001,B5243)&gt;0,"Valid","Invalid")</f>
        <v>Valid</v>
      </c>
      <c r="R5243" t="str">
        <f>IF(COUNTIF(Branches!$A$2:$A$11,F5243)&gt;0,"Valid","Invalid")</f>
        <v>Valid</v>
      </c>
    </row>
    <row r="5244" spans="1:18" x14ac:dyDescent="0.25">
      <c r="A5244" t="s">
        <v>7315</v>
      </c>
      <c r="B5244" t="s">
        <v>185</v>
      </c>
      <c r="C5244" s="8">
        <v>46213</v>
      </c>
      <c r="D5244" t="s">
        <v>2067</v>
      </c>
      <c r="E5244" t="s">
        <v>2059</v>
      </c>
      <c r="F5244" t="s">
        <v>27</v>
      </c>
      <c r="G5244">
        <v>214.18</v>
      </c>
      <c r="H5244" t="s">
        <v>2060</v>
      </c>
      <c r="I5244" t="str">
        <f>VLOOKUP(B5244,Customers!A:G,7,FALSE)</f>
        <v>SME</v>
      </c>
      <c r="Q5244" t="str">
        <f>IF(COUNTIF(Customers!$A$2:$A$1001,B5244)&gt;0,"Valid","Invalid")</f>
        <v>Valid</v>
      </c>
      <c r="R5244" t="str">
        <f>IF(COUNTIF(Branches!$A$2:$A$11,F5244)&gt;0,"Valid","Invalid")</f>
        <v>Valid</v>
      </c>
    </row>
    <row r="5245" spans="1:18" x14ac:dyDescent="0.25">
      <c r="A5245" t="s">
        <v>7316</v>
      </c>
      <c r="B5245" t="s">
        <v>214</v>
      </c>
      <c r="C5245" s="8">
        <v>46223</v>
      </c>
      <c r="D5245" t="s">
        <v>2058</v>
      </c>
      <c r="E5245" t="s">
        <v>2059</v>
      </c>
      <c r="F5245" t="s">
        <v>27</v>
      </c>
      <c r="G5245">
        <v>823.02</v>
      </c>
      <c r="H5245" t="s">
        <v>2060</v>
      </c>
      <c r="I5245" t="str">
        <f>VLOOKUP(B5245,Customers!A:G,7,FALSE)</f>
        <v>Student</v>
      </c>
      <c r="Q5245" t="str">
        <f>IF(COUNTIF(Customers!$A$2:$A$1001,B5245)&gt;0,"Valid","Invalid")</f>
        <v>Valid</v>
      </c>
      <c r="R5245" t="str">
        <f>IF(COUNTIF(Branches!$A$2:$A$11,F5245)&gt;0,"Valid","Invalid")</f>
        <v>Valid</v>
      </c>
    </row>
    <row r="5246" spans="1:18" x14ac:dyDescent="0.25">
      <c r="A5246" t="s">
        <v>7317</v>
      </c>
      <c r="B5246" t="s">
        <v>974</v>
      </c>
      <c r="C5246" s="8">
        <v>46257</v>
      </c>
      <c r="D5246" t="s">
        <v>2058</v>
      </c>
      <c r="E5246" t="s">
        <v>2059</v>
      </c>
      <c r="F5246" t="s">
        <v>47</v>
      </c>
      <c r="G5246">
        <v>657.88</v>
      </c>
      <c r="H5246" t="s">
        <v>2060</v>
      </c>
      <c r="I5246" t="str">
        <f>VLOOKUP(B5246,Customers!A:G,7,FALSE)</f>
        <v>SME</v>
      </c>
      <c r="Q5246" t="str">
        <f>IF(COUNTIF(Customers!$A$2:$A$1001,B5246)&gt;0,"Valid","Invalid")</f>
        <v>Valid</v>
      </c>
      <c r="R5246" t="str">
        <f>IF(COUNTIF(Branches!$A$2:$A$11,F5246)&gt;0,"Valid","Invalid")</f>
        <v>Valid</v>
      </c>
    </row>
    <row r="5247" spans="1:18" x14ac:dyDescent="0.25">
      <c r="A5247" t="s">
        <v>7318</v>
      </c>
      <c r="B5247" t="s">
        <v>420</v>
      </c>
      <c r="C5247" s="8">
        <v>46199</v>
      </c>
      <c r="D5247" t="s">
        <v>2062</v>
      </c>
      <c r="E5247" t="s">
        <v>2068</v>
      </c>
      <c r="F5247" t="s">
        <v>45</v>
      </c>
      <c r="G5247">
        <v>843.72</v>
      </c>
      <c r="H5247" t="s">
        <v>2060</v>
      </c>
      <c r="I5247" t="str">
        <f>VLOOKUP(B5247,Customers!A:G,7,FALSE)</f>
        <v>Student</v>
      </c>
      <c r="Q5247" t="str">
        <f>IF(COUNTIF(Customers!$A$2:$A$1001,B5247)&gt;0,"Valid","Invalid")</f>
        <v>Valid</v>
      </c>
      <c r="R5247" t="str">
        <f>IF(COUNTIF(Branches!$A$2:$A$11,F5247)&gt;0,"Valid","Invalid")</f>
        <v>Valid</v>
      </c>
    </row>
    <row r="5248" spans="1:18" x14ac:dyDescent="0.25">
      <c r="A5248" t="s">
        <v>7319</v>
      </c>
      <c r="B5248" t="s">
        <v>260</v>
      </c>
      <c r="C5248" s="8">
        <v>46134</v>
      </c>
      <c r="D5248" t="s">
        <v>2070</v>
      </c>
      <c r="E5248" t="s">
        <v>2063</v>
      </c>
      <c r="F5248" t="s">
        <v>11</v>
      </c>
      <c r="G5248">
        <v>143.71</v>
      </c>
      <c r="H5248" t="s">
        <v>2060</v>
      </c>
      <c r="I5248" t="str">
        <f>VLOOKUP(B5248,Customers!A:G,7,FALSE)</f>
        <v>SME</v>
      </c>
      <c r="Q5248" t="str">
        <f>IF(COUNTIF(Customers!$A$2:$A$1001,B5248)&gt;0,"Valid","Invalid")</f>
        <v>Valid</v>
      </c>
      <c r="R5248" t="str">
        <f>IF(COUNTIF(Branches!$A$2:$A$11,F5248)&gt;0,"Valid","Invalid")</f>
        <v>Valid</v>
      </c>
    </row>
    <row r="5249" spans="1:18" x14ac:dyDescent="0.25">
      <c r="A5249" t="s">
        <v>7320</v>
      </c>
      <c r="B5249" t="s">
        <v>297</v>
      </c>
      <c r="C5249" s="8">
        <v>46150</v>
      </c>
      <c r="D5249" t="s">
        <v>2065</v>
      </c>
      <c r="E5249" t="s">
        <v>2076</v>
      </c>
      <c r="F5249" t="s">
        <v>27</v>
      </c>
      <c r="G5249">
        <v>481.71</v>
      </c>
      <c r="H5249" t="s">
        <v>2060</v>
      </c>
      <c r="I5249" t="str">
        <f>VLOOKUP(B5249,Customers!A:G,7,FALSE)</f>
        <v>Individual</v>
      </c>
      <c r="Q5249" t="str">
        <f>IF(COUNTIF(Customers!$A$2:$A$1001,B5249)&gt;0,"Valid","Invalid")</f>
        <v>Valid</v>
      </c>
      <c r="R5249" t="str">
        <f>IF(COUNTIF(Branches!$A$2:$A$11,F5249)&gt;0,"Valid","Invalid")</f>
        <v>Valid</v>
      </c>
    </row>
    <row r="5250" spans="1:18" x14ac:dyDescent="0.25">
      <c r="A5250" t="s">
        <v>7321</v>
      </c>
      <c r="B5250" t="s">
        <v>823</v>
      </c>
      <c r="C5250" s="8">
        <v>46058</v>
      </c>
      <c r="D5250" t="s">
        <v>2062</v>
      </c>
      <c r="E5250" t="s">
        <v>2063</v>
      </c>
      <c r="F5250" t="s">
        <v>47</v>
      </c>
      <c r="G5250">
        <v>828.63</v>
      </c>
      <c r="H5250" t="s">
        <v>2115</v>
      </c>
      <c r="I5250" t="str">
        <f>VLOOKUP(B5250,Customers!A:G,7,FALSE)</f>
        <v>Individual</v>
      </c>
      <c r="Q5250" t="str">
        <f>IF(COUNTIF(Customers!$A$2:$A$1001,B5250)&gt;0,"Valid","Invalid")</f>
        <v>Valid</v>
      </c>
      <c r="R5250" t="str">
        <f>IF(COUNTIF(Branches!$A$2:$A$11,F5250)&gt;0,"Valid","Invalid")</f>
        <v>Valid</v>
      </c>
    </row>
    <row r="5251" spans="1:18" x14ac:dyDescent="0.25">
      <c r="A5251" t="s">
        <v>7322</v>
      </c>
      <c r="B5251" t="s">
        <v>226</v>
      </c>
      <c r="C5251" s="8">
        <v>46256</v>
      </c>
      <c r="D5251" t="s">
        <v>2065</v>
      </c>
      <c r="E5251" t="s">
        <v>2063</v>
      </c>
      <c r="F5251" t="s">
        <v>39</v>
      </c>
      <c r="G5251">
        <v>1395.71</v>
      </c>
      <c r="H5251" t="s">
        <v>2060</v>
      </c>
      <c r="I5251" t="str">
        <f>VLOOKUP(B5251,Customers!A:G,7,FALSE)</f>
        <v>Individual</v>
      </c>
      <c r="Q5251" t="str">
        <f>IF(COUNTIF(Customers!$A$2:$A$1001,B5251)&gt;0,"Valid","Invalid")</f>
        <v>Valid</v>
      </c>
      <c r="R5251" t="str">
        <f>IF(COUNTIF(Branches!$A$2:$A$11,F5251)&gt;0,"Valid","Invalid")</f>
        <v>Valid</v>
      </c>
    </row>
    <row r="5252" spans="1:18" x14ac:dyDescent="0.25">
      <c r="A5252" t="s">
        <v>7323</v>
      </c>
      <c r="B5252" t="s">
        <v>344</v>
      </c>
      <c r="C5252" s="8">
        <v>46076</v>
      </c>
      <c r="D5252" t="s">
        <v>2067</v>
      </c>
      <c r="E5252" t="s">
        <v>2059</v>
      </c>
      <c r="F5252" t="s">
        <v>16</v>
      </c>
      <c r="G5252">
        <v>5148.17</v>
      </c>
      <c r="H5252" t="s">
        <v>2060</v>
      </c>
      <c r="I5252" t="str">
        <f>VLOOKUP(B5252,Customers!A:G,7,FALSE)</f>
        <v>SME</v>
      </c>
      <c r="Q5252" t="str">
        <f>IF(COUNTIF(Customers!$A$2:$A$1001,B5252)&gt;0,"Valid","Invalid")</f>
        <v>Valid</v>
      </c>
      <c r="R5252" t="str">
        <f>IF(COUNTIF(Branches!$A$2:$A$11,F5252)&gt;0,"Valid","Invalid")</f>
        <v>Valid</v>
      </c>
    </row>
    <row r="5253" spans="1:18" x14ac:dyDescent="0.25">
      <c r="A5253" t="s">
        <v>7324</v>
      </c>
      <c r="B5253" t="s">
        <v>416</v>
      </c>
      <c r="C5253" s="8">
        <v>46069</v>
      </c>
      <c r="D5253" t="s">
        <v>2065</v>
      </c>
      <c r="E5253" t="s">
        <v>2068</v>
      </c>
      <c r="F5253" t="s">
        <v>45</v>
      </c>
      <c r="G5253">
        <v>1818.83</v>
      </c>
      <c r="H5253" t="s">
        <v>2060</v>
      </c>
      <c r="I5253" t="str">
        <f>VLOOKUP(B5253,Customers!A:G,7,FALSE)</f>
        <v>Individual</v>
      </c>
      <c r="Q5253" t="str">
        <f>IF(COUNTIF(Customers!$A$2:$A$1001,B5253)&gt;0,"Valid","Invalid")</f>
        <v>Valid</v>
      </c>
      <c r="R5253" t="str">
        <f>IF(COUNTIF(Branches!$A$2:$A$11,F5253)&gt;0,"Valid","Invalid")</f>
        <v>Valid</v>
      </c>
    </row>
    <row r="5254" spans="1:18" x14ac:dyDescent="0.25">
      <c r="A5254" t="s">
        <v>7325</v>
      </c>
      <c r="B5254" t="s">
        <v>640</v>
      </c>
      <c r="C5254" s="8">
        <v>46137</v>
      </c>
      <c r="D5254" t="s">
        <v>2065</v>
      </c>
      <c r="E5254" t="s">
        <v>2063</v>
      </c>
      <c r="F5254" t="s">
        <v>39</v>
      </c>
      <c r="G5254">
        <v>1288.4000000000001</v>
      </c>
      <c r="H5254" t="s">
        <v>2060</v>
      </c>
      <c r="I5254" t="str">
        <f>VLOOKUP(B5254,Customers!A:G,7,FALSE)</f>
        <v>Student</v>
      </c>
      <c r="Q5254" t="str">
        <f>IF(COUNTIF(Customers!$A$2:$A$1001,B5254)&gt;0,"Valid","Invalid")</f>
        <v>Valid</v>
      </c>
      <c r="R5254" t="str">
        <f>IF(COUNTIF(Branches!$A$2:$A$11,F5254)&gt;0,"Valid","Invalid")</f>
        <v>Valid</v>
      </c>
    </row>
    <row r="5255" spans="1:18" x14ac:dyDescent="0.25">
      <c r="A5255" t="s">
        <v>7326</v>
      </c>
      <c r="B5255" t="s">
        <v>381</v>
      </c>
      <c r="C5255" s="8">
        <v>46182</v>
      </c>
      <c r="D5255" t="s">
        <v>2067</v>
      </c>
      <c r="E5255" t="s">
        <v>2059</v>
      </c>
      <c r="F5255" t="s">
        <v>27</v>
      </c>
      <c r="G5255">
        <v>2897.13</v>
      </c>
      <c r="H5255" t="s">
        <v>2060</v>
      </c>
      <c r="I5255" t="str">
        <f>VLOOKUP(B5255,Customers!A:G,7,FALSE)</f>
        <v>Individual</v>
      </c>
      <c r="Q5255" t="str">
        <f>IF(COUNTIF(Customers!$A$2:$A$1001,B5255)&gt;0,"Valid","Invalid")</f>
        <v>Valid</v>
      </c>
      <c r="R5255" t="str">
        <f>IF(COUNTIF(Branches!$A$2:$A$11,F5255)&gt;0,"Valid","Invalid")</f>
        <v>Valid</v>
      </c>
    </row>
    <row r="5256" spans="1:18" x14ac:dyDescent="0.25">
      <c r="A5256" t="s">
        <v>7327</v>
      </c>
      <c r="B5256" t="s">
        <v>812</v>
      </c>
      <c r="C5256" s="8">
        <v>46249</v>
      </c>
      <c r="D5256" t="s">
        <v>2067</v>
      </c>
      <c r="E5256" t="s">
        <v>2076</v>
      </c>
      <c r="F5256" t="s">
        <v>53</v>
      </c>
      <c r="G5256">
        <v>599.54999999999995</v>
      </c>
      <c r="H5256" t="s">
        <v>2060</v>
      </c>
      <c r="I5256" t="str">
        <f>VLOOKUP(B5256,Customers!A:G,7,FALSE)</f>
        <v>Individual</v>
      </c>
      <c r="Q5256" t="str">
        <f>IF(COUNTIF(Customers!$A$2:$A$1001,B5256)&gt;0,"Valid","Invalid")</f>
        <v>Valid</v>
      </c>
      <c r="R5256" t="str">
        <f>IF(COUNTIF(Branches!$A$2:$A$11,F5256)&gt;0,"Valid","Invalid")</f>
        <v>Valid</v>
      </c>
    </row>
    <row r="5257" spans="1:18" x14ac:dyDescent="0.25">
      <c r="A5257" t="s">
        <v>7328</v>
      </c>
      <c r="B5257" t="s">
        <v>192</v>
      </c>
      <c r="C5257" s="8">
        <v>46245</v>
      </c>
      <c r="D5257" t="s">
        <v>2062</v>
      </c>
      <c r="E5257" t="s">
        <v>2063</v>
      </c>
      <c r="F5257" t="s">
        <v>47</v>
      </c>
      <c r="G5257">
        <v>3842.69</v>
      </c>
      <c r="H5257" t="s">
        <v>2060</v>
      </c>
      <c r="I5257" t="str">
        <f>VLOOKUP(B5257,Customers!A:G,7,FALSE)</f>
        <v>Individual</v>
      </c>
      <c r="Q5257" t="str">
        <f>IF(COUNTIF(Customers!$A$2:$A$1001,B5257)&gt;0,"Valid","Invalid")</f>
        <v>Valid</v>
      </c>
      <c r="R5257" t="str">
        <f>IF(COUNTIF(Branches!$A$2:$A$11,F5257)&gt;0,"Valid","Invalid")</f>
        <v>Valid</v>
      </c>
    </row>
    <row r="5258" spans="1:18" x14ac:dyDescent="0.25">
      <c r="A5258" t="s">
        <v>7329</v>
      </c>
      <c r="B5258" t="s">
        <v>750</v>
      </c>
      <c r="C5258" s="8">
        <v>46146</v>
      </c>
      <c r="D5258" t="s">
        <v>2062</v>
      </c>
      <c r="E5258" t="s">
        <v>2059</v>
      </c>
      <c r="F5258" t="s">
        <v>11</v>
      </c>
      <c r="G5258">
        <v>2488.1</v>
      </c>
      <c r="H5258" t="s">
        <v>2060</v>
      </c>
      <c r="I5258" t="str">
        <f>VLOOKUP(B5258,Customers!A:G,7,FALSE)</f>
        <v>Individual</v>
      </c>
      <c r="Q5258" t="str">
        <f>IF(COUNTIF(Customers!$A$2:$A$1001,B5258)&gt;0,"Valid","Invalid")</f>
        <v>Valid</v>
      </c>
      <c r="R5258" t="str">
        <f>IF(COUNTIF(Branches!$A$2:$A$11,F5258)&gt;0,"Valid","Invalid")</f>
        <v>Valid</v>
      </c>
    </row>
    <row r="5259" spans="1:18" x14ac:dyDescent="0.25">
      <c r="A5259" t="s">
        <v>7330</v>
      </c>
      <c r="B5259" t="s">
        <v>91</v>
      </c>
      <c r="C5259" s="8">
        <v>46203</v>
      </c>
      <c r="D5259" t="s">
        <v>2070</v>
      </c>
      <c r="E5259" t="s">
        <v>2073</v>
      </c>
      <c r="F5259" t="s">
        <v>11</v>
      </c>
      <c r="G5259">
        <v>520.15</v>
      </c>
      <c r="H5259" t="s">
        <v>2060</v>
      </c>
      <c r="I5259" t="str">
        <f>VLOOKUP(B5259,Customers!A:G,7,FALSE)</f>
        <v>Individual</v>
      </c>
      <c r="Q5259" t="str">
        <f>IF(COUNTIF(Customers!$A$2:$A$1001,B5259)&gt;0,"Valid","Invalid")</f>
        <v>Valid</v>
      </c>
      <c r="R5259" t="str">
        <f>IF(COUNTIF(Branches!$A$2:$A$11,F5259)&gt;0,"Valid","Invalid")</f>
        <v>Valid</v>
      </c>
    </row>
    <row r="5260" spans="1:18" x14ac:dyDescent="0.25">
      <c r="A5260" t="s">
        <v>7331</v>
      </c>
      <c r="B5260" t="s">
        <v>804</v>
      </c>
      <c r="C5260" s="8">
        <v>46182</v>
      </c>
      <c r="D5260" t="s">
        <v>2058</v>
      </c>
      <c r="E5260" t="s">
        <v>2059</v>
      </c>
      <c r="F5260" t="s">
        <v>16</v>
      </c>
      <c r="G5260">
        <v>5563.35</v>
      </c>
      <c r="H5260" t="s">
        <v>2107</v>
      </c>
      <c r="I5260" t="str">
        <f>VLOOKUP(B5260,Customers!A:G,7,FALSE)</f>
        <v>Individual</v>
      </c>
      <c r="Q5260" t="str">
        <f>IF(COUNTIF(Customers!$A$2:$A$1001,B5260)&gt;0,"Valid","Invalid")</f>
        <v>Valid</v>
      </c>
      <c r="R5260" t="str">
        <f>IF(COUNTIF(Branches!$A$2:$A$11,F5260)&gt;0,"Valid","Invalid")</f>
        <v>Valid</v>
      </c>
    </row>
    <row r="5261" spans="1:18" x14ac:dyDescent="0.25">
      <c r="A5261" t="s">
        <v>7332</v>
      </c>
      <c r="B5261" t="s">
        <v>480</v>
      </c>
      <c r="C5261" s="8">
        <v>46212</v>
      </c>
      <c r="D5261" t="s">
        <v>2065</v>
      </c>
      <c r="E5261" t="s">
        <v>2063</v>
      </c>
      <c r="F5261" t="s">
        <v>53</v>
      </c>
      <c r="G5261">
        <v>1270.21</v>
      </c>
      <c r="H5261" t="s">
        <v>2060</v>
      </c>
      <c r="I5261" t="str">
        <f>VLOOKUP(B5261,Customers!A:G,7,FALSE)</f>
        <v>SME</v>
      </c>
      <c r="Q5261" t="str">
        <f>IF(COUNTIF(Customers!$A$2:$A$1001,B5261)&gt;0,"Valid","Invalid")</f>
        <v>Valid</v>
      </c>
      <c r="R5261" t="str">
        <f>IF(COUNTIF(Branches!$A$2:$A$11,F5261)&gt;0,"Valid","Invalid")</f>
        <v>Valid</v>
      </c>
    </row>
    <row r="5262" spans="1:18" x14ac:dyDescent="0.25">
      <c r="A5262" t="s">
        <v>7333</v>
      </c>
      <c r="B5262" t="s">
        <v>723</v>
      </c>
      <c r="C5262" s="8">
        <v>46187</v>
      </c>
      <c r="D5262" t="s">
        <v>2067</v>
      </c>
      <c r="E5262" t="s">
        <v>2076</v>
      </c>
      <c r="F5262" t="s">
        <v>27</v>
      </c>
      <c r="G5262">
        <v>7280.6</v>
      </c>
      <c r="H5262" t="s">
        <v>2060</v>
      </c>
      <c r="I5262" t="str">
        <f>VLOOKUP(B5262,Customers!A:G,7,FALSE)</f>
        <v>SME</v>
      </c>
      <c r="Q5262" t="str">
        <f>IF(COUNTIF(Customers!$A$2:$A$1001,B5262)&gt;0,"Valid","Invalid")</f>
        <v>Valid</v>
      </c>
      <c r="R5262" t="str">
        <f>IF(COUNTIF(Branches!$A$2:$A$11,F5262)&gt;0,"Valid","Invalid")</f>
        <v>Valid</v>
      </c>
    </row>
    <row r="5263" spans="1:18" x14ac:dyDescent="0.25">
      <c r="A5263" t="s">
        <v>7334</v>
      </c>
      <c r="B5263" t="s">
        <v>237</v>
      </c>
      <c r="C5263" s="8">
        <v>46118</v>
      </c>
      <c r="D5263" t="s">
        <v>2067</v>
      </c>
      <c r="E5263" t="s">
        <v>2076</v>
      </c>
      <c r="F5263" t="s">
        <v>35</v>
      </c>
      <c r="G5263">
        <v>1100.1300000000001</v>
      </c>
      <c r="H5263" t="s">
        <v>2060</v>
      </c>
      <c r="I5263" t="str">
        <f>VLOOKUP(B5263,Customers!A:G,7,FALSE)</f>
        <v>Individual</v>
      </c>
      <c r="Q5263" t="str">
        <f>IF(COUNTIF(Customers!$A$2:$A$1001,B5263)&gt;0,"Valid","Invalid")</f>
        <v>Valid</v>
      </c>
      <c r="R5263" t="str">
        <f>IF(COUNTIF(Branches!$A$2:$A$11,F5263)&gt;0,"Valid","Invalid")</f>
        <v>Valid</v>
      </c>
    </row>
    <row r="5264" spans="1:18" x14ac:dyDescent="0.25">
      <c r="A5264" t="s">
        <v>7335</v>
      </c>
      <c r="B5264" t="s">
        <v>441</v>
      </c>
      <c r="C5264" s="8">
        <v>46129</v>
      </c>
      <c r="D5264" t="s">
        <v>2067</v>
      </c>
      <c r="E5264" t="s">
        <v>2063</v>
      </c>
      <c r="F5264" t="s">
        <v>27</v>
      </c>
      <c r="G5264">
        <v>463.16</v>
      </c>
      <c r="H5264" t="s">
        <v>2060</v>
      </c>
      <c r="I5264" t="str">
        <f>VLOOKUP(B5264,Customers!A:G,7,FALSE)</f>
        <v>Individual</v>
      </c>
      <c r="Q5264" t="str">
        <f>IF(COUNTIF(Customers!$A$2:$A$1001,B5264)&gt;0,"Valid","Invalid")</f>
        <v>Valid</v>
      </c>
      <c r="R5264" t="str">
        <f>IF(COUNTIF(Branches!$A$2:$A$11,F5264)&gt;0,"Valid","Invalid")</f>
        <v>Valid</v>
      </c>
    </row>
    <row r="5265" spans="1:18" x14ac:dyDescent="0.25">
      <c r="A5265" t="s">
        <v>7336</v>
      </c>
      <c r="B5265" t="s">
        <v>652</v>
      </c>
      <c r="C5265" s="8">
        <v>46142</v>
      </c>
      <c r="D5265" t="s">
        <v>2058</v>
      </c>
      <c r="E5265" t="s">
        <v>2063</v>
      </c>
      <c r="F5265" t="s">
        <v>47</v>
      </c>
      <c r="G5265">
        <v>377.08</v>
      </c>
      <c r="H5265" t="s">
        <v>2060</v>
      </c>
      <c r="I5265" t="str">
        <f>VLOOKUP(B5265,Customers!A:G,7,FALSE)</f>
        <v>Student</v>
      </c>
      <c r="Q5265" t="str">
        <f>IF(COUNTIF(Customers!$A$2:$A$1001,B5265)&gt;0,"Valid","Invalid")</f>
        <v>Valid</v>
      </c>
      <c r="R5265" t="str">
        <f>IF(COUNTIF(Branches!$A$2:$A$11,F5265)&gt;0,"Valid","Invalid")</f>
        <v>Valid</v>
      </c>
    </row>
    <row r="5266" spans="1:18" x14ac:dyDescent="0.25">
      <c r="A5266" t="s">
        <v>7337</v>
      </c>
      <c r="B5266" t="s">
        <v>835</v>
      </c>
      <c r="C5266" s="8">
        <v>46123</v>
      </c>
      <c r="D5266" t="s">
        <v>2058</v>
      </c>
      <c r="E5266" t="s">
        <v>2063</v>
      </c>
      <c r="F5266" t="s">
        <v>11</v>
      </c>
      <c r="G5266">
        <v>569.21</v>
      </c>
      <c r="H5266" t="s">
        <v>2060</v>
      </c>
      <c r="I5266" t="str">
        <f>VLOOKUP(B5266,Customers!A:G,7,FALSE)</f>
        <v>Individual</v>
      </c>
      <c r="Q5266" t="str">
        <f>IF(COUNTIF(Customers!$A$2:$A$1001,B5266)&gt;0,"Valid","Invalid")</f>
        <v>Valid</v>
      </c>
      <c r="R5266" t="str">
        <f>IF(COUNTIF(Branches!$A$2:$A$11,F5266)&gt;0,"Valid","Invalid")</f>
        <v>Valid</v>
      </c>
    </row>
    <row r="5267" spans="1:18" x14ac:dyDescent="0.25">
      <c r="A5267" t="s">
        <v>7338</v>
      </c>
      <c r="B5267" t="s">
        <v>701</v>
      </c>
      <c r="C5267" s="8">
        <v>46125</v>
      </c>
      <c r="D5267" t="s">
        <v>2067</v>
      </c>
      <c r="E5267" t="s">
        <v>2063</v>
      </c>
      <c r="F5267" t="s">
        <v>11</v>
      </c>
      <c r="G5267">
        <v>458.84</v>
      </c>
      <c r="H5267" t="s">
        <v>2060</v>
      </c>
      <c r="I5267" t="str">
        <f>VLOOKUP(B5267,Customers!A:G,7,FALSE)</f>
        <v>Individual</v>
      </c>
      <c r="Q5267" t="str">
        <f>IF(COUNTIF(Customers!$A$2:$A$1001,B5267)&gt;0,"Valid","Invalid")</f>
        <v>Valid</v>
      </c>
      <c r="R5267" t="str">
        <f>IF(COUNTIF(Branches!$A$2:$A$11,F5267)&gt;0,"Valid","Invalid")</f>
        <v>Valid</v>
      </c>
    </row>
    <row r="5268" spans="1:18" x14ac:dyDescent="0.25">
      <c r="A5268" t="s">
        <v>7339</v>
      </c>
      <c r="B5268" t="s">
        <v>661</v>
      </c>
      <c r="C5268" s="8">
        <v>46188</v>
      </c>
      <c r="D5268" t="s">
        <v>2065</v>
      </c>
      <c r="E5268" t="s">
        <v>2063</v>
      </c>
      <c r="F5268" t="s">
        <v>21</v>
      </c>
      <c r="G5268">
        <v>2896.88</v>
      </c>
      <c r="H5268" t="s">
        <v>2060</v>
      </c>
      <c r="I5268" t="str">
        <f>VLOOKUP(B5268,Customers!A:G,7,FALSE)</f>
        <v>SME</v>
      </c>
      <c r="Q5268" t="str">
        <f>IF(COUNTIF(Customers!$A$2:$A$1001,B5268)&gt;0,"Valid","Invalid")</f>
        <v>Valid</v>
      </c>
      <c r="R5268" t="str">
        <f>IF(COUNTIF(Branches!$A$2:$A$11,F5268)&gt;0,"Valid","Invalid")</f>
        <v>Valid</v>
      </c>
    </row>
    <row r="5269" spans="1:18" x14ac:dyDescent="0.25">
      <c r="A5269" t="s">
        <v>7340</v>
      </c>
      <c r="B5269" t="s">
        <v>966</v>
      </c>
      <c r="C5269" s="8">
        <v>46180</v>
      </c>
      <c r="D5269" t="s">
        <v>2065</v>
      </c>
      <c r="E5269" t="s">
        <v>2059</v>
      </c>
      <c r="F5269" t="s">
        <v>11</v>
      </c>
      <c r="G5269">
        <v>789.2</v>
      </c>
      <c r="H5269" t="s">
        <v>2060</v>
      </c>
      <c r="I5269" t="str">
        <f>VLOOKUP(B5269,Customers!A:G,7,FALSE)</f>
        <v>Individual</v>
      </c>
      <c r="Q5269" t="str">
        <f>IF(COUNTIF(Customers!$A$2:$A$1001,B5269)&gt;0,"Valid","Invalid")</f>
        <v>Valid</v>
      </c>
      <c r="R5269" t="str">
        <f>IF(COUNTIF(Branches!$A$2:$A$11,F5269)&gt;0,"Valid","Invalid")</f>
        <v>Valid</v>
      </c>
    </row>
    <row r="5270" spans="1:18" x14ac:dyDescent="0.25">
      <c r="A5270" t="s">
        <v>7341</v>
      </c>
      <c r="B5270" t="s">
        <v>816</v>
      </c>
      <c r="C5270" s="8">
        <v>46208</v>
      </c>
      <c r="D5270" t="s">
        <v>2065</v>
      </c>
      <c r="E5270" t="s">
        <v>2059</v>
      </c>
      <c r="F5270" t="s">
        <v>21</v>
      </c>
      <c r="G5270">
        <v>161.74</v>
      </c>
      <c r="H5270" t="s">
        <v>2060</v>
      </c>
      <c r="I5270" t="str">
        <f>VLOOKUP(B5270,Customers!A:G,7,FALSE)</f>
        <v>Individual</v>
      </c>
      <c r="Q5270" t="str">
        <f>IF(COUNTIF(Customers!$A$2:$A$1001,B5270)&gt;0,"Valid","Invalid")</f>
        <v>Valid</v>
      </c>
      <c r="R5270" t="str">
        <f>IF(COUNTIF(Branches!$A$2:$A$11,F5270)&gt;0,"Valid","Invalid")</f>
        <v>Valid</v>
      </c>
    </row>
    <row r="5271" spans="1:18" x14ac:dyDescent="0.25">
      <c r="A5271" t="s">
        <v>7342</v>
      </c>
      <c r="B5271" t="s">
        <v>641</v>
      </c>
      <c r="C5271" s="8">
        <v>46054</v>
      </c>
      <c r="D5271" t="s">
        <v>2065</v>
      </c>
      <c r="E5271" t="s">
        <v>2068</v>
      </c>
      <c r="F5271" t="s">
        <v>35</v>
      </c>
      <c r="G5271">
        <v>1005.26</v>
      </c>
      <c r="H5271" t="s">
        <v>2115</v>
      </c>
      <c r="I5271" t="str">
        <f>VLOOKUP(B5271,Customers!A:G,7,FALSE)</f>
        <v>Individual</v>
      </c>
      <c r="Q5271" t="str">
        <f>IF(COUNTIF(Customers!$A$2:$A$1001,B5271)&gt;0,"Valid","Invalid")</f>
        <v>Valid</v>
      </c>
      <c r="R5271" t="str">
        <f>IF(COUNTIF(Branches!$A$2:$A$11,F5271)&gt;0,"Valid","Invalid")</f>
        <v>Valid</v>
      </c>
    </row>
    <row r="5272" spans="1:18" x14ac:dyDescent="0.25">
      <c r="A5272" t="s">
        <v>7343</v>
      </c>
      <c r="B5272" t="s">
        <v>213</v>
      </c>
      <c r="C5272" s="8">
        <v>46259</v>
      </c>
      <c r="D5272" t="s">
        <v>2062</v>
      </c>
      <c r="E5272" t="s">
        <v>2076</v>
      </c>
      <c r="F5272" t="s">
        <v>11</v>
      </c>
      <c r="G5272">
        <v>921.05</v>
      </c>
      <c r="H5272" t="s">
        <v>2060</v>
      </c>
      <c r="I5272" t="str">
        <f>VLOOKUP(B5272,Customers!A:G,7,FALSE)</f>
        <v>Individual</v>
      </c>
      <c r="Q5272" t="str">
        <f>IF(COUNTIF(Customers!$A$2:$A$1001,B5272)&gt;0,"Valid","Invalid")</f>
        <v>Valid</v>
      </c>
      <c r="R5272" t="str">
        <f>IF(COUNTIF(Branches!$A$2:$A$11,F5272)&gt;0,"Valid","Invalid")</f>
        <v>Valid</v>
      </c>
    </row>
    <row r="5273" spans="1:18" x14ac:dyDescent="0.25">
      <c r="A5273" t="s">
        <v>7344</v>
      </c>
      <c r="B5273" t="s">
        <v>487</v>
      </c>
      <c r="C5273" s="8">
        <v>46088</v>
      </c>
      <c r="D5273" t="s">
        <v>2065</v>
      </c>
      <c r="E5273" t="s">
        <v>2068</v>
      </c>
      <c r="F5273" t="s">
        <v>29</v>
      </c>
      <c r="G5273">
        <v>508.46</v>
      </c>
      <c r="H5273" t="s">
        <v>2115</v>
      </c>
      <c r="I5273" t="str">
        <f>VLOOKUP(B5273,Customers!A:G,7,FALSE)</f>
        <v>Student</v>
      </c>
      <c r="Q5273" t="str">
        <f>IF(COUNTIF(Customers!$A$2:$A$1001,B5273)&gt;0,"Valid","Invalid")</f>
        <v>Valid</v>
      </c>
      <c r="R5273" t="str">
        <f>IF(COUNTIF(Branches!$A$2:$A$11,F5273)&gt;0,"Valid","Invalid")</f>
        <v>Valid</v>
      </c>
    </row>
    <row r="5274" spans="1:18" x14ac:dyDescent="0.25">
      <c r="A5274" t="s">
        <v>7345</v>
      </c>
      <c r="B5274" t="s">
        <v>781</v>
      </c>
      <c r="C5274" s="8">
        <v>46201</v>
      </c>
      <c r="D5274" t="s">
        <v>2062</v>
      </c>
      <c r="E5274" t="s">
        <v>2059</v>
      </c>
      <c r="F5274" t="s">
        <v>39</v>
      </c>
      <c r="G5274">
        <v>1061.6600000000001</v>
      </c>
      <c r="H5274" t="s">
        <v>2060</v>
      </c>
      <c r="I5274" t="str">
        <f>VLOOKUP(B5274,Customers!A:G,7,FALSE)</f>
        <v>SME</v>
      </c>
      <c r="Q5274" t="str">
        <f>IF(COUNTIF(Customers!$A$2:$A$1001,B5274)&gt;0,"Valid","Invalid")</f>
        <v>Valid</v>
      </c>
      <c r="R5274" t="str">
        <f>IF(COUNTIF(Branches!$A$2:$A$11,F5274)&gt;0,"Valid","Invalid")</f>
        <v>Valid</v>
      </c>
    </row>
    <row r="5275" spans="1:18" x14ac:dyDescent="0.25">
      <c r="A5275" t="s">
        <v>7346</v>
      </c>
      <c r="B5275" t="s">
        <v>579</v>
      </c>
      <c r="C5275" s="8">
        <v>46033</v>
      </c>
      <c r="D5275" t="s">
        <v>2067</v>
      </c>
      <c r="E5275" t="s">
        <v>2063</v>
      </c>
      <c r="F5275" t="s">
        <v>11</v>
      </c>
      <c r="G5275">
        <v>777.35</v>
      </c>
      <c r="H5275" t="s">
        <v>2060</v>
      </c>
      <c r="I5275" t="str">
        <f>VLOOKUP(B5275,Customers!A:G,7,FALSE)</f>
        <v>Corporate</v>
      </c>
      <c r="Q5275" t="str">
        <f>IF(COUNTIF(Customers!$A$2:$A$1001,B5275)&gt;0,"Valid","Invalid")</f>
        <v>Valid</v>
      </c>
      <c r="R5275" t="str">
        <f>IF(COUNTIF(Branches!$A$2:$A$11,F5275)&gt;0,"Valid","Invalid")</f>
        <v>Valid</v>
      </c>
    </row>
    <row r="5276" spans="1:18" x14ac:dyDescent="0.25">
      <c r="A5276" t="s">
        <v>7347</v>
      </c>
      <c r="B5276" t="s">
        <v>993</v>
      </c>
      <c r="C5276" s="8">
        <v>46209</v>
      </c>
      <c r="D5276" t="s">
        <v>2065</v>
      </c>
      <c r="E5276" t="s">
        <v>2059</v>
      </c>
      <c r="F5276" t="s">
        <v>27</v>
      </c>
      <c r="G5276">
        <v>1531.14</v>
      </c>
      <c r="H5276" t="s">
        <v>2060</v>
      </c>
      <c r="I5276" t="str">
        <f>VLOOKUP(B5276,Customers!A:G,7,FALSE)</f>
        <v>SME</v>
      </c>
      <c r="Q5276" t="str">
        <f>IF(COUNTIF(Customers!$A$2:$A$1001,B5276)&gt;0,"Valid","Invalid")</f>
        <v>Valid</v>
      </c>
      <c r="R5276" t="str">
        <f>IF(COUNTIF(Branches!$A$2:$A$11,F5276)&gt;0,"Valid","Invalid")</f>
        <v>Valid</v>
      </c>
    </row>
    <row r="5277" spans="1:18" x14ac:dyDescent="0.25">
      <c r="A5277" t="s">
        <v>7348</v>
      </c>
      <c r="B5277" t="s">
        <v>339</v>
      </c>
      <c r="C5277" s="8">
        <v>46170</v>
      </c>
      <c r="D5277" t="s">
        <v>2062</v>
      </c>
      <c r="E5277" t="s">
        <v>2068</v>
      </c>
      <c r="F5277" t="s">
        <v>39</v>
      </c>
      <c r="G5277">
        <v>1443.72</v>
      </c>
      <c r="H5277" t="s">
        <v>2060</v>
      </c>
      <c r="I5277" t="str">
        <f>VLOOKUP(B5277,Customers!A:G,7,FALSE)</f>
        <v>SME</v>
      </c>
      <c r="Q5277" t="str">
        <f>IF(COUNTIF(Customers!$A$2:$A$1001,B5277)&gt;0,"Valid","Invalid")</f>
        <v>Valid</v>
      </c>
      <c r="R5277" t="str">
        <f>IF(COUNTIF(Branches!$A$2:$A$11,F5277)&gt;0,"Valid","Invalid")</f>
        <v>Valid</v>
      </c>
    </row>
    <row r="5278" spans="1:18" x14ac:dyDescent="0.25">
      <c r="A5278" t="s">
        <v>7349</v>
      </c>
      <c r="B5278" t="s">
        <v>745</v>
      </c>
      <c r="C5278" s="8">
        <v>46059</v>
      </c>
      <c r="D5278" t="s">
        <v>2058</v>
      </c>
      <c r="E5278" t="s">
        <v>2063</v>
      </c>
      <c r="F5278" t="s">
        <v>11</v>
      </c>
      <c r="G5278">
        <v>1170.17</v>
      </c>
      <c r="H5278" t="s">
        <v>2060</v>
      </c>
      <c r="I5278" t="str">
        <f>VLOOKUP(B5278,Customers!A:G,7,FALSE)</f>
        <v>SME</v>
      </c>
      <c r="Q5278" t="str">
        <f>IF(COUNTIF(Customers!$A$2:$A$1001,B5278)&gt;0,"Valid","Invalid")</f>
        <v>Valid</v>
      </c>
      <c r="R5278" t="str">
        <f>IF(COUNTIF(Branches!$A$2:$A$11,F5278)&gt;0,"Valid","Invalid")</f>
        <v>Valid</v>
      </c>
    </row>
    <row r="5279" spans="1:18" x14ac:dyDescent="0.25">
      <c r="A5279" t="s">
        <v>7350</v>
      </c>
      <c r="B5279" t="s">
        <v>345</v>
      </c>
      <c r="C5279" s="8">
        <v>46223</v>
      </c>
      <c r="D5279" t="s">
        <v>2065</v>
      </c>
      <c r="E5279" t="s">
        <v>2063</v>
      </c>
      <c r="F5279" t="s">
        <v>35</v>
      </c>
      <c r="G5279">
        <v>221.66</v>
      </c>
      <c r="H5279" t="s">
        <v>2060</v>
      </c>
      <c r="I5279" t="str">
        <f>VLOOKUP(B5279,Customers!A:G,7,FALSE)</f>
        <v>Individual</v>
      </c>
      <c r="Q5279" t="str">
        <f>IF(COUNTIF(Customers!$A$2:$A$1001,B5279)&gt;0,"Valid","Invalid")</f>
        <v>Valid</v>
      </c>
      <c r="R5279" t="str">
        <f>IF(COUNTIF(Branches!$A$2:$A$11,F5279)&gt;0,"Valid","Invalid")</f>
        <v>Valid</v>
      </c>
    </row>
    <row r="5280" spans="1:18" x14ac:dyDescent="0.25">
      <c r="A5280" t="s">
        <v>7351</v>
      </c>
      <c r="B5280" t="s">
        <v>789</v>
      </c>
      <c r="C5280" s="8">
        <v>46124</v>
      </c>
      <c r="D5280" t="s">
        <v>2062</v>
      </c>
      <c r="E5280" t="s">
        <v>2063</v>
      </c>
      <c r="F5280" t="s">
        <v>11</v>
      </c>
      <c r="G5280">
        <v>6761.61</v>
      </c>
      <c r="H5280" t="s">
        <v>2060</v>
      </c>
      <c r="I5280" t="str">
        <f>VLOOKUP(B5280,Customers!A:G,7,FALSE)</f>
        <v>Corporate</v>
      </c>
      <c r="Q5280" t="str">
        <f>IF(COUNTIF(Customers!$A$2:$A$1001,B5280)&gt;0,"Valid","Invalid")</f>
        <v>Valid</v>
      </c>
      <c r="R5280" t="str">
        <f>IF(COUNTIF(Branches!$A$2:$A$11,F5280)&gt;0,"Valid","Invalid")</f>
        <v>Valid</v>
      </c>
    </row>
    <row r="5281" spans="1:18" x14ac:dyDescent="0.25">
      <c r="A5281" t="s">
        <v>7352</v>
      </c>
      <c r="B5281" t="s">
        <v>907</v>
      </c>
      <c r="C5281" s="8">
        <v>46071</v>
      </c>
      <c r="D5281" t="s">
        <v>2065</v>
      </c>
      <c r="E5281" t="s">
        <v>2059</v>
      </c>
      <c r="F5281" t="s">
        <v>11</v>
      </c>
      <c r="G5281">
        <v>171.4</v>
      </c>
      <c r="H5281" t="s">
        <v>2060</v>
      </c>
      <c r="I5281" t="str">
        <f>VLOOKUP(B5281,Customers!A:G,7,FALSE)</f>
        <v>Individual</v>
      </c>
      <c r="Q5281" t="str">
        <f>IF(COUNTIF(Customers!$A$2:$A$1001,B5281)&gt;0,"Valid","Invalid")</f>
        <v>Valid</v>
      </c>
      <c r="R5281" t="str">
        <f>IF(COUNTIF(Branches!$A$2:$A$11,F5281)&gt;0,"Valid","Invalid")</f>
        <v>Valid</v>
      </c>
    </row>
    <row r="5282" spans="1:18" x14ac:dyDescent="0.25">
      <c r="A5282" t="s">
        <v>7353</v>
      </c>
      <c r="B5282" t="s">
        <v>1029</v>
      </c>
      <c r="C5282" s="8">
        <v>46041</v>
      </c>
      <c r="D5282" t="s">
        <v>2065</v>
      </c>
      <c r="E5282" t="s">
        <v>2063</v>
      </c>
      <c r="F5282" t="s">
        <v>35</v>
      </c>
      <c r="G5282">
        <v>714.29</v>
      </c>
      <c r="H5282" t="s">
        <v>2060</v>
      </c>
      <c r="I5282" t="str">
        <f>VLOOKUP(B5282,Customers!A:G,7,FALSE)</f>
        <v>Individual</v>
      </c>
      <c r="Q5282" t="str">
        <f>IF(COUNTIF(Customers!$A$2:$A$1001,B5282)&gt;0,"Valid","Invalid")</f>
        <v>Valid</v>
      </c>
      <c r="R5282" t="str">
        <f>IF(COUNTIF(Branches!$A$2:$A$11,F5282)&gt;0,"Valid","Invalid")</f>
        <v>Valid</v>
      </c>
    </row>
    <row r="5283" spans="1:18" x14ac:dyDescent="0.25">
      <c r="A5283" t="s">
        <v>7354</v>
      </c>
      <c r="B5283" t="s">
        <v>934</v>
      </c>
      <c r="C5283" s="8">
        <v>46205</v>
      </c>
      <c r="D5283" t="s">
        <v>2062</v>
      </c>
      <c r="E5283" t="s">
        <v>2063</v>
      </c>
      <c r="F5283" t="s">
        <v>29</v>
      </c>
      <c r="G5283">
        <v>271.94</v>
      </c>
      <c r="H5283" t="s">
        <v>2060</v>
      </c>
      <c r="I5283" t="str">
        <f>VLOOKUP(B5283,Customers!A:G,7,FALSE)</f>
        <v>Individual</v>
      </c>
      <c r="Q5283" t="str">
        <f>IF(COUNTIF(Customers!$A$2:$A$1001,B5283)&gt;0,"Valid","Invalid")</f>
        <v>Valid</v>
      </c>
      <c r="R5283" t="str">
        <f>IF(COUNTIF(Branches!$A$2:$A$11,F5283)&gt;0,"Valid","Invalid")</f>
        <v>Valid</v>
      </c>
    </row>
    <row r="5284" spans="1:18" x14ac:dyDescent="0.25">
      <c r="A5284" t="s">
        <v>7355</v>
      </c>
      <c r="B5284" t="s">
        <v>305</v>
      </c>
      <c r="C5284" s="8">
        <v>46190</v>
      </c>
      <c r="D5284" t="s">
        <v>2062</v>
      </c>
      <c r="E5284" t="s">
        <v>2063</v>
      </c>
      <c r="F5284" t="s">
        <v>29</v>
      </c>
      <c r="G5284">
        <v>1207.54</v>
      </c>
      <c r="H5284" t="s">
        <v>2060</v>
      </c>
      <c r="I5284" t="str">
        <f>VLOOKUP(B5284,Customers!A:G,7,FALSE)</f>
        <v>Individual</v>
      </c>
      <c r="Q5284" t="str">
        <f>IF(COUNTIF(Customers!$A$2:$A$1001,B5284)&gt;0,"Valid","Invalid")</f>
        <v>Valid</v>
      </c>
      <c r="R5284" t="str">
        <f>IF(COUNTIF(Branches!$A$2:$A$11,F5284)&gt;0,"Valid","Invalid")</f>
        <v>Valid</v>
      </c>
    </row>
    <row r="5285" spans="1:18" x14ac:dyDescent="0.25">
      <c r="A5285" t="s">
        <v>7356</v>
      </c>
      <c r="B5285" t="s">
        <v>251</v>
      </c>
      <c r="C5285" s="8">
        <v>46029</v>
      </c>
      <c r="D5285" t="s">
        <v>2067</v>
      </c>
      <c r="E5285" t="s">
        <v>2076</v>
      </c>
      <c r="F5285" t="s">
        <v>16</v>
      </c>
      <c r="G5285">
        <v>933</v>
      </c>
      <c r="H5285" t="s">
        <v>2060</v>
      </c>
      <c r="I5285" t="str">
        <f>VLOOKUP(B5285,Customers!A:G,7,FALSE)</f>
        <v>Individual</v>
      </c>
      <c r="Q5285" t="str">
        <f>IF(COUNTIF(Customers!$A$2:$A$1001,B5285)&gt;0,"Valid","Invalid")</f>
        <v>Valid</v>
      </c>
      <c r="R5285" t="str">
        <f>IF(COUNTIF(Branches!$A$2:$A$11,F5285)&gt;0,"Valid","Invalid")</f>
        <v>Valid</v>
      </c>
    </row>
    <row r="5286" spans="1:18" x14ac:dyDescent="0.25">
      <c r="A5286" t="s">
        <v>7357</v>
      </c>
      <c r="B5286" t="s">
        <v>632</v>
      </c>
      <c r="C5286" s="8">
        <v>46155</v>
      </c>
      <c r="D5286" t="s">
        <v>2065</v>
      </c>
      <c r="E5286" t="s">
        <v>2059</v>
      </c>
      <c r="F5286" t="s">
        <v>47</v>
      </c>
      <c r="G5286">
        <v>686.24</v>
      </c>
      <c r="H5286" t="s">
        <v>2060</v>
      </c>
      <c r="I5286" t="str">
        <f>VLOOKUP(B5286,Customers!A:G,7,FALSE)</f>
        <v>Individual</v>
      </c>
      <c r="Q5286" t="str">
        <f>IF(COUNTIF(Customers!$A$2:$A$1001,B5286)&gt;0,"Valid","Invalid")</f>
        <v>Valid</v>
      </c>
      <c r="R5286" t="str">
        <f>IF(COUNTIF(Branches!$A$2:$A$11,F5286)&gt;0,"Valid","Invalid")</f>
        <v>Valid</v>
      </c>
    </row>
    <row r="5287" spans="1:18" x14ac:dyDescent="0.25">
      <c r="A5287" t="s">
        <v>7358</v>
      </c>
      <c r="B5287" t="s">
        <v>678</v>
      </c>
      <c r="C5287" s="8">
        <v>46261</v>
      </c>
      <c r="D5287" t="s">
        <v>2062</v>
      </c>
      <c r="E5287" t="s">
        <v>2076</v>
      </c>
      <c r="F5287" t="s">
        <v>29</v>
      </c>
      <c r="G5287">
        <v>3706.24</v>
      </c>
      <c r="H5287" t="s">
        <v>2060</v>
      </c>
      <c r="I5287" t="str">
        <f>VLOOKUP(B5287,Customers!A:G,7,FALSE)</f>
        <v>SME</v>
      </c>
      <c r="Q5287" t="str">
        <f>IF(COUNTIF(Customers!$A$2:$A$1001,B5287)&gt;0,"Valid","Invalid")</f>
        <v>Valid</v>
      </c>
      <c r="R5287" t="str">
        <f>IF(COUNTIF(Branches!$A$2:$A$11,F5287)&gt;0,"Valid","Invalid")</f>
        <v>Valid</v>
      </c>
    </row>
    <row r="5288" spans="1:18" x14ac:dyDescent="0.25">
      <c r="A5288" t="s">
        <v>7359</v>
      </c>
      <c r="B5288" t="s">
        <v>521</v>
      </c>
      <c r="C5288" s="8">
        <v>46064</v>
      </c>
      <c r="D5288" t="s">
        <v>2067</v>
      </c>
      <c r="E5288" t="s">
        <v>2059</v>
      </c>
      <c r="F5288" t="s">
        <v>27</v>
      </c>
      <c r="G5288">
        <v>2461.4299999999998</v>
      </c>
      <c r="H5288" t="s">
        <v>2060</v>
      </c>
      <c r="I5288" t="str">
        <f>VLOOKUP(B5288,Customers!A:G,7,FALSE)</f>
        <v>Individual</v>
      </c>
      <c r="Q5288" t="str">
        <f>IF(COUNTIF(Customers!$A$2:$A$1001,B5288)&gt;0,"Valid","Invalid")</f>
        <v>Valid</v>
      </c>
      <c r="R5288" t="str">
        <f>IF(COUNTIF(Branches!$A$2:$A$11,F5288)&gt;0,"Valid","Invalid")</f>
        <v>Valid</v>
      </c>
    </row>
    <row r="5289" spans="1:18" x14ac:dyDescent="0.25">
      <c r="A5289" t="s">
        <v>7360</v>
      </c>
      <c r="B5289" t="s">
        <v>300</v>
      </c>
      <c r="C5289" s="8">
        <v>46110</v>
      </c>
      <c r="D5289" t="s">
        <v>2065</v>
      </c>
      <c r="E5289" t="s">
        <v>2059</v>
      </c>
      <c r="F5289" t="s">
        <v>29</v>
      </c>
      <c r="G5289">
        <v>585.75</v>
      </c>
      <c r="H5289" t="s">
        <v>2060</v>
      </c>
      <c r="I5289" t="str">
        <f>VLOOKUP(B5289,Customers!A:G,7,FALSE)</f>
        <v>Corporate</v>
      </c>
      <c r="Q5289" t="str">
        <f>IF(COUNTIF(Customers!$A$2:$A$1001,B5289)&gt;0,"Valid","Invalid")</f>
        <v>Valid</v>
      </c>
      <c r="R5289" t="str">
        <f>IF(COUNTIF(Branches!$A$2:$A$11,F5289)&gt;0,"Valid","Invalid")</f>
        <v>Valid</v>
      </c>
    </row>
    <row r="5290" spans="1:18" x14ac:dyDescent="0.25">
      <c r="A5290" t="s">
        <v>7361</v>
      </c>
      <c r="B5290" t="s">
        <v>103</v>
      </c>
      <c r="C5290" s="8">
        <v>46198</v>
      </c>
      <c r="D5290" t="s">
        <v>2058</v>
      </c>
      <c r="E5290" t="s">
        <v>2063</v>
      </c>
      <c r="F5290" t="s">
        <v>39</v>
      </c>
      <c r="G5290">
        <v>1815.53</v>
      </c>
      <c r="H5290" t="s">
        <v>2060</v>
      </c>
      <c r="I5290" t="str">
        <f>VLOOKUP(B5290,Customers!A:G,7,FALSE)</f>
        <v>SME</v>
      </c>
      <c r="Q5290" t="str">
        <f>IF(COUNTIF(Customers!$A$2:$A$1001,B5290)&gt;0,"Valid","Invalid")</f>
        <v>Valid</v>
      </c>
      <c r="R5290" t="str">
        <f>IF(COUNTIF(Branches!$A$2:$A$11,F5290)&gt;0,"Valid","Invalid")</f>
        <v>Valid</v>
      </c>
    </row>
    <row r="5291" spans="1:18" x14ac:dyDescent="0.25">
      <c r="A5291" t="s">
        <v>7362</v>
      </c>
      <c r="B5291" t="s">
        <v>612</v>
      </c>
      <c r="C5291" s="8">
        <v>46255</v>
      </c>
      <c r="D5291" t="s">
        <v>2062</v>
      </c>
      <c r="E5291" t="s">
        <v>2059</v>
      </c>
      <c r="F5291" t="s">
        <v>53</v>
      </c>
      <c r="G5291">
        <v>3884.23</v>
      </c>
      <c r="H5291" t="s">
        <v>2060</v>
      </c>
      <c r="I5291" t="str">
        <f>VLOOKUP(B5291,Customers!A:G,7,FALSE)</f>
        <v>SME</v>
      </c>
      <c r="Q5291" t="str">
        <f>IF(COUNTIF(Customers!$A$2:$A$1001,B5291)&gt;0,"Valid","Invalid")</f>
        <v>Valid</v>
      </c>
      <c r="R5291" t="str">
        <f>IF(COUNTIF(Branches!$A$2:$A$11,F5291)&gt;0,"Valid","Invalid")</f>
        <v>Valid</v>
      </c>
    </row>
    <row r="5292" spans="1:18" x14ac:dyDescent="0.25">
      <c r="A5292" t="s">
        <v>7363</v>
      </c>
      <c r="B5292" t="s">
        <v>169</v>
      </c>
      <c r="C5292" s="8">
        <v>46157</v>
      </c>
      <c r="D5292" t="s">
        <v>2065</v>
      </c>
      <c r="E5292" t="s">
        <v>2063</v>
      </c>
      <c r="F5292" t="s">
        <v>39</v>
      </c>
      <c r="G5292">
        <v>2443.89</v>
      </c>
      <c r="H5292" t="s">
        <v>2060</v>
      </c>
      <c r="I5292" t="str">
        <f>VLOOKUP(B5292,Customers!A:G,7,FALSE)</f>
        <v>SME</v>
      </c>
      <c r="Q5292" t="str">
        <f>IF(COUNTIF(Customers!$A$2:$A$1001,B5292)&gt;0,"Valid","Invalid")</f>
        <v>Valid</v>
      </c>
      <c r="R5292" t="str">
        <f>IF(COUNTIF(Branches!$A$2:$A$11,F5292)&gt;0,"Valid","Invalid")</f>
        <v>Valid</v>
      </c>
    </row>
    <row r="5293" spans="1:18" x14ac:dyDescent="0.25">
      <c r="A5293" t="s">
        <v>7364</v>
      </c>
      <c r="B5293" t="s">
        <v>687</v>
      </c>
      <c r="C5293" s="8">
        <v>46033</v>
      </c>
      <c r="D5293" t="s">
        <v>2062</v>
      </c>
      <c r="E5293" t="s">
        <v>2059</v>
      </c>
      <c r="F5293" t="s">
        <v>11</v>
      </c>
      <c r="G5293">
        <v>708.95</v>
      </c>
      <c r="H5293" t="s">
        <v>2060</v>
      </c>
      <c r="I5293" t="str">
        <f>VLOOKUP(B5293,Customers!A:G,7,FALSE)</f>
        <v>Individual</v>
      </c>
      <c r="Q5293" t="str">
        <f>IF(COUNTIF(Customers!$A$2:$A$1001,B5293)&gt;0,"Valid","Invalid")</f>
        <v>Valid</v>
      </c>
      <c r="R5293" t="str">
        <f>IF(COUNTIF(Branches!$A$2:$A$11,F5293)&gt;0,"Valid","Invalid")</f>
        <v>Valid</v>
      </c>
    </row>
    <row r="5294" spans="1:18" x14ac:dyDescent="0.25">
      <c r="A5294" t="s">
        <v>7365</v>
      </c>
      <c r="B5294" t="s">
        <v>578</v>
      </c>
      <c r="C5294" s="8">
        <v>46223</v>
      </c>
      <c r="D5294" t="s">
        <v>2058</v>
      </c>
      <c r="E5294" t="s">
        <v>2059</v>
      </c>
      <c r="F5294" t="s">
        <v>35</v>
      </c>
      <c r="G5294">
        <v>165.62</v>
      </c>
      <c r="H5294" t="s">
        <v>2060</v>
      </c>
      <c r="I5294" t="str">
        <f>VLOOKUP(B5294,Customers!A:G,7,FALSE)</f>
        <v>SME</v>
      </c>
      <c r="Q5294" t="str">
        <f>IF(COUNTIF(Customers!$A$2:$A$1001,B5294)&gt;0,"Valid","Invalid")</f>
        <v>Valid</v>
      </c>
      <c r="R5294" t="str">
        <f>IF(COUNTIF(Branches!$A$2:$A$11,F5294)&gt;0,"Valid","Invalid")</f>
        <v>Valid</v>
      </c>
    </row>
    <row r="5295" spans="1:18" x14ac:dyDescent="0.25">
      <c r="A5295" t="s">
        <v>7366</v>
      </c>
      <c r="B5295" t="s">
        <v>550</v>
      </c>
      <c r="C5295" s="8">
        <v>46199</v>
      </c>
      <c r="D5295" t="s">
        <v>2067</v>
      </c>
      <c r="E5295" t="s">
        <v>2063</v>
      </c>
      <c r="F5295" t="s">
        <v>47</v>
      </c>
      <c r="G5295">
        <v>1124</v>
      </c>
      <c r="H5295" t="s">
        <v>2060</v>
      </c>
      <c r="I5295" t="str">
        <f>VLOOKUP(B5295,Customers!A:G,7,FALSE)</f>
        <v>Individual</v>
      </c>
      <c r="Q5295" t="str">
        <f>IF(COUNTIF(Customers!$A$2:$A$1001,B5295)&gt;0,"Valid","Invalid")</f>
        <v>Valid</v>
      </c>
      <c r="R5295" t="str">
        <f>IF(COUNTIF(Branches!$A$2:$A$11,F5295)&gt;0,"Valid","Invalid")</f>
        <v>Valid</v>
      </c>
    </row>
    <row r="5296" spans="1:18" x14ac:dyDescent="0.25">
      <c r="A5296" t="s">
        <v>7367</v>
      </c>
      <c r="B5296" t="s">
        <v>248</v>
      </c>
      <c r="C5296" s="8">
        <v>46180</v>
      </c>
      <c r="D5296" t="s">
        <v>2062</v>
      </c>
      <c r="E5296" t="s">
        <v>2063</v>
      </c>
      <c r="F5296" t="s">
        <v>39</v>
      </c>
      <c r="G5296">
        <v>1585.43</v>
      </c>
      <c r="H5296" t="s">
        <v>2060</v>
      </c>
      <c r="I5296" t="str">
        <f>VLOOKUP(B5296,Customers!A:G,7,FALSE)</f>
        <v>Corporate</v>
      </c>
      <c r="Q5296" t="str">
        <f>IF(COUNTIF(Customers!$A$2:$A$1001,B5296)&gt;0,"Valid","Invalid")</f>
        <v>Valid</v>
      </c>
      <c r="R5296" t="str">
        <f>IF(COUNTIF(Branches!$A$2:$A$11,F5296)&gt;0,"Valid","Invalid")</f>
        <v>Valid</v>
      </c>
    </row>
    <row r="5297" spans="1:18" x14ac:dyDescent="0.25">
      <c r="A5297" t="s">
        <v>7368</v>
      </c>
      <c r="B5297" t="s">
        <v>1026</v>
      </c>
      <c r="C5297" s="8">
        <v>46063</v>
      </c>
      <c r="D5297" t="s">
        <v>2070</v>
      </c>
      <c r="E5297" t="s">
        <v>2063</v>
      </c>
      <c r="F5297" t="s">
        <v>16</v>
      </c>
      <c r="G5297">
        <v>376.3</v>
      </c>
      <c r="H5297" t="s">
        <v>2060</v>
      </c>
      <c r="I5297" t="str">
        <f>VLOOKUP(B5297,Customers!A:G,7,FALSE)</f>
        <v>Individual</v>
      </c>
      <c r="Q5297" t="str">
        <f>IF(COUNTIF(Customers!$A$2:$A$1001,B5297)&gt;0,"Valid","Invalid")</f>
        <v>Valid</v>
      </c>
      <c r="R5297" t="str">
        <f>IF(COUNTIF(Branches!$A$2:$A$11,F5297)&gt;0,"Valid","Invalid")</f>
        <v>Valid</v>
      </c>
    </row>
    <row r="5298" spans="1:18" x14ac:dyDescent="0.25">
      <c r="A5298" t="s">
        <v>7369</v>
      </c>
      <c r="B5298" t="s">
        <v>1025</v>
      </c>
      <c r="C5298" s="8">
        <v>46025</v>
      </c>
      <c r="D5298" t="s">
        <v>2065</v>
      </c>
      <c r="E5298" t="s">
        <v>2063</v>
      </c>
      <c r="F5298" t="s">
        <v>11</v>
      </c>
      <c r="G5298">
        <v>830.93</v>
      </c>
      <c r="H5298" t="s">
        <v>2060</v>
      </c>
      <c r="I5298" t="str">
        <f>VLOOKUP(B5298,Customers!A:G,7,FALSE)</f>
        <v>Individual</v>
      </c>
      <c r="Q5298" t="str">
        <f>IF(COUNTIF(Customers!$A$2:$A$1001,B5298)&gt;0,"Valid","Invalid")</f>
        <v>Valid</v>
      </c>
      <c r="R5298" t="str">
        <f>IF(COUNTIF(Branches!$A$2:$A$11,F5298)&gt;0,"Valid","Invalid")</f>
        <v>Valid</v>
      </c>
    </row>
    <row r="5299" spans="1:18" x14ac:dyDescent="0.25">
      <c r="A5299" t="s">
        <v>7370</v>
      </c>
      <c r="B5299" t="s">
        <v>755</v>
      </c>
      <c r="C5299" s="8">
        <v>46236</v>
      </c>
      <c r="D5299" t="s">
        <v>2065</v>
      </c>
      <c r="E5299" t="s">
        <v>2059</v>
      </c>
      <c r="F5299" t="s">
        <v>47</v>
      </c>
      <c r="G5299">
        <v>747.78</v>
      </c>
      <c r="H5299" t="s">
        <v>2060</v>
      </c>
      <c r="I5299" t="str">
        <f>VLOOKUP(B5299,Customers!A:G,7,FALSE)</f>
        <v>Individual</v>
      </c>
      <c r="Q5299" t="str">
        <f>IF(COUNTIF(Customers!$A$2:$A$1001,B5299)&gt;0,"Valid","Invalid")</f>
        <v>Valid</v>
      </c>
      <c r="R5299" t="str">
        <f>IF(COUNTIF(Branches!$A$2:$A$11,F5299)&gt;0,"Valid","Invalid")</f>
        <v>Valid</v>
      </c>
    </row>
    <row r="5300" spans="1:18" x14ac:dyDescent="0.25">
      <c r="A5300" t="s">
        <v>7371</v>
      </c>
      <c r="B5300" t="s">
        <v>291</v>
      </c>
      <c r="C5300" s="8">
        <v>46062</v>
      </c>
      <c r="D5300" t="s">
        <v>2062</v>
      </c>
      <c r="E5300" t="s">
        <v>2073</v>
      </c>
      <c r="F5300" t="s">
        <v>29</v>
      </c>
      <c r="G5300">
        <v>3254.23</v>
      </c>
      <c r="H5300" t="s">
        <v>2060</v>
      </c>
      <c r="I5300" t="str">
        <f>VLOOKUP(B5300,Customers!A:G,7,FALSE)</f>
        <v>Individual</v>
      </c>
      <c r="Q5300" t="str">
        <f>IF(COUNTIF(Customers!$A$2:$A$1001,B5300)&gt;0,"Valid","Invalid")</f>
        <v>Valid</v>
      </c>
      <c r="R5300" t="str">
        <f>IF(COUNTIF(Branches!$A$2:$A$11,F5300)&gt;0,"Valid","Invalid")</f>
        <v>Valid</v>
      </c>
    </row>
    <row r="5301" spans="1:18" x14ac:dyDescent="0.25">
      <c r="A5301" t="s">
        <v>7372</v>
      </c>
      <c r="B5301" t="s">
        <v>72</v>
      </c>
      <c r="C5301" s="8">
        <v>46073</v>
      </c>
      <c r="D5301" t="s">
        <v>2058</v>
      </c>
      <c r="E5301" t="s">
        <v>2059</v>
      </c>
      <c r="F5301" t="s">
        <v>16</v>
      </c>
      <c r="G5301">
        <v>5186.51</v>
      </c>
      <c r="H5301" t="s">
        <v>2060</v>
      </c>
      <c r="I5301" t="str">
        <f>VLOOKUP(B5301,Customers!A:G,7,FALSE)</f>
        <v>Individual</v>
      </c>
      <c r="Q5301" t="str">
        <f>IF(COUNTIF(Customers!$A$2:$A$1001,B5301)&gt;0,"Valid","Invalid")</f>
        <v>Valid</v>
      </c>
      <c r="R5301" t="str">
        <f>IF(COUNTIF(Branches!$A$2:$A$11,F5301)&gt;0,"Valid","Invalid")</f>
        <v>Valid</v>
      </c>
    </row>
    <row r="5302" spans="1:18" x14ac:dyDescent="0.25">
      <c r="A5302" t="s">
        <v>7373</v>
      </c>
      <c r="B5302" t="s">
        <v>77</v>
      </c>
      <c r="C5302" s="8">
        <v>46234</v>
      </c>
      <c r="D5302" t="s">
        <v>2067</v>
      </c>
      <c r="E5302" t="s">
        <v>2059</v>
      </c>
      <c r="F5302" t="s">
        <v>21</v>
      </c>
      <c r="G5302">
        <v>2631.25</v>
      </c>
      <c r="H5302" t="s">
        <v>2060</v>
      </c>
      <c r="I5302" t="str">
        <f>VLOOKUP(B5302,Customers!A:G,7,FALSE)</f>
        <v>Corporate</v>
      </c>
      <c r="Q5302" t="str">
        <f>IF(COUNTIF(Customers!$A$2:$A$1001,B5302)&gt;0,"Valid","Invalid")</f>
        <v>Valid</v>
      </c>
      <c r="R5302" t="str">
        <f>IF(COUNTIF(Branches!$A$2:$A$11,F5302)&gt;0,"Valid","Invalid")</f>
        <v>Valid</v>
      </c>
    </row>
    <row r="5303" spans="1:18" x14ac:dyDescent="0.25">
      <c r="A5303" t="s">
        <v>7374</v>
      </c>
      <c r="B5303" t="s">
        <v>667</v>
      </c>
      <c r="C5303" s="8">
        <v>46054</v>
      </c>
      <c r="D5303" t="s">
        <v>2058</v>
      </c>
      <c r="E5303" t="s">
        <v>2076</v>
      </c>
      <c r="F5303" t="s">
        <v>35</v>
      </c>
      <c r="G5303">
        <v>745.79</v>
      </c>
      <c r="H5303" t="s">
        <v>2060</v>
      </c>
      <c r="I5303" t="str">
        <f>VLOOKUP(B5303,Customers!A:G,7,FALSE)</f>
        <v>Individual</v>
      </c>
      <c r="Q5303" t="str">
        <f>IF(COUNTIF(Customers!$A$2:$A$1001,B5303)&gt;0,"Valid","Invalid")</f>
        <v>Valid</v>
      </c>
      <c r="R5303" t="str">
        <f>IF(COUNTIF(Branches!$A$2:$A$11,F5303)&gt;0,"Valid","Invalid")</f>
        <v>Valid</v>
      </c>
    </row>
    <row r="5304" spans="1:18" x14ac:dyDescent="0.25">
      <c r="A5304" t="s">
        <v>7375</v>
      </c>
      <c r="B5304" t="s">
        <v>443</v>
      </c>
      <c r="C5304" s="8">
        <v>46070</v>
      </c>
      <c r="D5304" t="s">
        <v>2062</v>
      </c>
      <c r="E5304" t="s">
        <v>2076</v>
      </c>
      <c r="F5304" t="s">
        <v>39</v>
      </c>
      <c r="G5304">
        <v>2559.88</v>
      </c>
      <c r="H5304" t="s">
        <v>2060</v>
      </c>
      <c r="I5304" t="str">
        <f>VLOOKUP(B5304,Customers!A:G,7,FALSE)</f>
        <v>Individual</v>
      </c>
      <c r="Q5304" t="str">
        <f>IF(COUNTIF(Customers!$A$2:$A$1001,B5304)&gt;0,"Valid","Invalid")</f>
        <v>Valid</v>
      </c>
      <c r="R5304" t="str">
        <f>IF(COUNTIF(Branches!$A$2:$A$11,F5304)&gt;0,"Valid","Invalid")</f>
        <v>Valid</v>
      </c>
    </row>
    <row r="5305" spans="1:18" x14ac:dyDescent="0.25">
      <c r="A5305" t="s">
        <v>7376</v>
      </c>
      <c r="B5305" t="s">
        <v>1025</v>
      </c>
      <c r="C5305" s="8">
        <v>46093</v>
      </c>
      <c r="D5305" t="s">
        <v>2062</v>
      </c>
      <c r="E5305" t="s">
        <v>2073</v>
      </c>
      <c r="F5305" t="s">
        <v>11</v>
      </c>
      <c r="G5305">
        <v>1554.31</v>
      </c>
      <c r="H5305" t="s">
        <v>2060</v>
      </c>
      <c r="I5305" t="str">
        <f>VLOOKUP(B5305,Customers!A:G,7,FALSE)</f>
        <v>Individual</v>
      </c>
      <c r="Q5305" t="str">
        <f>IF(COUNTIF(Customers!$A$2:$A$1001,B5305)&gt;0,"Valid","Invalid")</f>
        <v>Valid</v>
      </c>
      <c r="R5305" t="str">
        <f>IF(COUNTIF(Branches!$A$2:$A$11,F5305)&gt;0,"Valid","Invalid")</f>
        <v>Valid</v>
      </c>
    </row>
    <row r="5306" spans="1:18" x14ac:dyDescent="0.25">
      <c r="A5306" t="s">
        <v>7377</v>
      </c>
      <c r="B5306" t="s">
        <v>740</v>
      </c>
      <c r="C5306" s="8">
        <v>46221</v>
      </c>
      <c r="D5306" t="s">
        <v>2062</v>
      </c>
      <c r="E5306" t="s">
        <v>2068</v>
      </c>
      <c r="F5306" t="s">
        <v>29</v>
      </c>
      <c r="G5306">
        <v>753.78</v>
      </c>
      <c r="H5306" t="s">
        <v>2060</v>
      </c>
      <c r="I5306" t="str">
        <f>VLOOKUP(B5306,Customers!A:G,7,FALSE)</f>
        <v>Individual</v>
      </c>
      <c r="Q5306" t="str">
        <f>IF(COUNTIF(Customers!$A$2:$A$1001,B5306)&gt;0,"Valid","Invalid")</f>
        <v>Valid</v>
      </c>
      <c r="R5306" t="str">
        <f>IF(COUNTIF(Branches!$A$2:$A$11,F5306)&gt;0,"Valid","Invalid")</f>
        <v>Valid</v>
      </c>
    </row>
    <row r="5307" spans="1:18" x14ac:dyDescent="0.25">
      <c r="A5307" t="s">
        <v>7378</v>
      </c>
      <c r="B5307" t="s">
        <v>81</v>
      </c>
      <c r="C5307" s="8">
        <v>46170</v>
      </c>
      <c r="D5307" t="s">
        <v>2067</v>
      </c>
      <c r="E5307" t="s">
        <v>2068</v>
      </c>
      <c r="F5307" t="s">
        <v>35</v>
      </c>
      <c r="G5307">
        <v>6583.95</v>
      </c>
      <c r="H5307" t="s">
        <v>2060</v>
      </c>
      <c r="I5307" t="str">
        <f>VLOOKUP(B5307,Customers!A:G,7,FALSE)</f>
        <v>Individual</v>
      </c>
      <c r="Q5307" t="str">
        <f>IF(COUNTIF(Customers!$A$2:$A$1001,B5307)&gt;0,"Valid","Invalid")</f>
        <v>Valid</v>
      </c>
      <c r="R5307" t="str">
        <f>IF(COUNTIF(Branches!$A$2:$A$11,F5307)&gt;0,"Valid","Invalid")</f>
        <v>Valid</v>
      </c>
    </row>
    <row r="5308" spans="1:18" x14ac:dyDescent="0.25">
      <c r="A5308" t="s">
        <v>7379</v>
      </c>
      <c r="B5308" t="s">
        <v>492</v>
      </c>
      <c r="C5308" s="8">
        <v>46111</v>
      </c>
      <c r="D5308" t="s">
        <v>2067</v>
      </c>
      <c r="E5308" t="s">
        <v>2073</v>
      </c>
      <c r="F5308" t="s">
        <v>53</v>
      </c>
      <c r="G5308">
        <v>388.38</v>
      </c>
      <c r="H5308" t="s">
        <v>2060</v>
      </c>
      <c r="I5308" t="str">
        <f>VLOOKUP(B5308,Customers!A:G,7,FALSE)</f>
        <v>Individual</v>
      </c>
      <c r="Q5308" t="str">
        <f>IF(COUNTIF(Customers!$A$2:$A$1001,B5308)&gt;0,"Valid","Invalid")</f>
        <v>Valid</v>
      </c>
      <c r="R5308" t="str">
        <f>IF(COUNTIF(Branches!$A$2:$A$11,F5308)&gt;0,"Valid","Invalid")</f>
        <v>Valid</v>
      </c>
    </row>
    <row r="5309" spans="1:18" x14ac:dyDescent="0.25">
      <c r="A5309" t="s">
        <v>7380</v>
      </c>
      <c r="B5309" t="s">
        <v>716</v>
      </c>
      <c r="C5309" s="8">
        <v>46131</v>
      </c>
      <c r="D5309" t="s">
        <v>2058</v>
      </c>
      <c r="E5309" t="s">
        <v>2063</v>
      </c>
      <c r="F5309" t="s">
        <v>11</v>
      </c>
      <c r="G5309">
        <v>1486.1</v>
      </c>
      <c r="H5309" t="s">
        <v>2060</v>
      </c>
      <c r="I5309" t="str">
        <f>VLOOKUP(B5309,Customers!A:G,7,FALSE)</f>
        <v>Individual</v>
      </c>
      <c r="Q5309" t="str">
        <f>IF(COUNTIF(Customers!$A$2:$A$1001,B5309)&gt;0,"Valid","Invalid")</f>
        <v>Valid</v>
      </c>
      <c r="R5309" t="str">
        <f>IF(COUNTIF(Branches!$A$2:$A$11,F5309)&gt;0,"Valid","Invalid")</f>
        <v>Valid</v>
      </c>
    </row>
    <row r="5310" spans="1:18" x14ac:dyDescent="0.25">
      <c r="A5310" t="s">
        <v>7381</v>
      </c>
      <c r="B5310" t="s">
        <v>343</v>
      </c>
      <c r="C5310" s="8">
        <v>46057</v>
      </c>
      <c r="D5310" t="s">
        <v>2067</v>
      </c>
      <c r="E5310" t="s">
        <v>2076</v>
      </c>
      <c r="F5310" t="s">
        <v>27</v>
      </c>
      <c r="G5310">
        <v>1881</v>
      </c>
      <c r="H5310" t="s">
        <v>2060</v>
      </c>
      <c r="I5310" t="str">
        <f>VLOOKUP(B5310,Customers!A:G,7,FALSE)</f>
        <v>SME</v>
      </c>
      <c r="Q5310" t="str">
        <f>IF(COUNTIF(Customers!$A$2:$A$1001,B5310)&gt;0,"Valid","Invalid")</f>
        <v>Valid</v>
      </c>
      <c r="R5310" t="str">
        <f>IF(COUNTIF(Branches!$A$2:$A$11,F5310)&gt;0,"Valid","Invalid")</f>
        <v>Valid</v>
      </c>
    </row>
    <row r="5311" spans="1:18" x14ac:dyDescent="0.25">
      <c r="A5311" t="s">
        <v>7382</v>
      </c>
      <c r="B5311" t="s">
        <v>753</v>
      </c>
      <c r="C5311" s="8">
        <v>46130</v>
      </c>
      <c r="D5311" t="s">
        <v>2058</v>
      </c>
      <c r="E5311" t="s">
        <v>2068</v>
      </c>
      <c r="F5311" t="s">
        <v>29</v>
      </c>
      <c r="G5311">
        <v>609.41999999999996</v>
      </c>
      <c r="H5311" t="s">
        <v>2060</v>
      </c>
      <c r="I5311" t="str">
        <f>VLOOKUP(B5311,Customers!A:G,7,FALSE)</f>
        <v>Individual</v>
      </c>
      <c r="Q5311" t="str">
        <f>IF(COUNTIF(Customers!$A$2:$A$1001,B5311)&gt;0,"Valid","Invalid")</f>
        <v>Valid</v>
      </c>
      <c r="R5311" t="str">
        <f>IF(COUNTIF(Branches!$A$2:$A$11,F5311)&gt;0,"Valid","Invalid")</f>
        <v>Valid</v>
      </c>
    </row>
    <row r="5312" spans="1:18" x14ac:dyDescent="0.25">
      <c r="A5312" t="s">
        <v>7383</v>
      </c>
      <c r="B5312" t="s">
        <v>271</v>
      </c>
      <c r="C5312" s="8">
        <v>46174</v>
      </c>
      <c r="D5312" t="s">
        <v>2067</v>
      </c>
      <c r="E5312" t="s">
        <v>2076</v>
      </c>
      <c r="F5312" t="s">
        <v>11</v>
      </c>
      <c r="G5312">
        <v>1421.03</v>
      </c>
      <c r="H5312" t="s">
        <v>2060</v>
      </c>
      <c r="I5312" t="str">
        <f>VLOOKUP(B5312,Customers!A:G,7,FALSE)</f>
        <v>Student</v>
      </c>
      <c r="Q5312" t="str">
        <f>IF(COUNTIF(Customers!$A$2:$A$1001,B5312)&gt;0,"Valid","Invalid")</f>
        <v>Valid</v>
      </c>
      <c r="R5312" t="str">
        <f>IF(COUNTIF(Branches!$A$2:$A$11,F5312)&gt;0,"Valid","Invalid")</f>
        <v>Valid</v>
      </c>
    </row>
    <row r="5313" spans="1:18" x14ac:dyDescent="0.25">
      <c r="A5313" t="s">
        <v>7384</v>
      </c>
      <c r="B5313" t="s">
        <v>283</v>
      </c>
      <c r="C5313" s="8">
        <v>46062</v>
      </c>
      <c r="D5313" t="s">
        <v>2065</v>
      </c>
      <c r="E5313" t="s">
        <v>2073</v>
      </c>
      <c r="F5313" t="s">
        <v>39</v>
      </c>
      <c r="G5313">
        <v>2091.21</v>
      </c>
      <c r="H5313" t="s">
        <v>2060</v>
      </c>
      <c r="I5313" t="str">
        <f>VLOOKUP(B5313,Customers!A:G,7,FALSE)</f>
        <v>Individual</v>
      </c>
      <c r="Q5313" t="str">
        <f>IF(COUNTIF(Customers!$A$2:$A$1001,B5313)&gt;0,"Valid","Invalid")</f>
        <v>Valid</v>
      </c>
      <c r="R5313" t="str">
        <f>IF(COUNTIF(Branches!$A$2:$A$11,F5313)&gt;0,"Valid","Invalid")</f>
        <v>Valid</v>
      </c>
    </row>
    <row r="5314" spans="1:18" x14ac:dyDescent="0.25">
      <c r="A5314" t="s">
        <v>7385</v>
      </c>
      <c r="B5314" t="s">
        <v>759</v>
      </c>
      <c r="C5314" s="8">
        <v>46227</v>
      </c>
      <c r="D5314" t="s">
        <v>2067</v>
      </c>
      <c r="E5314" t="s">
        <v>2063</v>
      </c>
      <c r="F5314" t="s">
        <v>29</v>
      </c>
      <c r="G5314">
        <v>1037.57</v>
      </c>
      <c r="H5314" t="s">
        <v>2060</v>
      </c>
      <c r="I5314" t="str">
        <f>VLOOKUP(B5314,Customers!A:G,7,FALSE)</f>
        <v>Individual</v>
      </c>
      <c r="Q5314" t="str">
        <f>IF(COUNTIF(Customers!$A$2:$A$1001,B5314)&gt;0,"Valid","Invalid")</f>
        <v>Valid</v>
      </c>
      <c r="R5314" t="str">
        <f>IF(COUNTIF(Branches!$A$2:$A$11,F5314)&gt;0,"Valid","Invalid")</f>
        <v>Valid</v>
      </c>
    </row>
    <row r="5315" spans="1:18" x14ac:dyDescent="0.25">
      <c r="A5315" t="s">
        <v>7386</v>
      </c>
      <c r="B5315" t="s">
        <v>798</v>
      </c>
      <c r="C5315" s="8">
        <v>46074</v>
      </c>
      <c r="D5315" t="s">
        <v>2058</v>
      </c>
      <c r="E5315" t="s">
        <v>2059</v>
      </c>
      <c r="F5315" t="s">
        <v>29</v>
      </c>
      <c r="G5315">
        <v>1303.0899999999999</v>
      </c>
      <c r="H5315" t="s">
        <v>2115</v>
      </c>
      <c r="I5315" t="str">
        <f>VLOOKUP(B5315,Customers!A:G,7,FALSE)</f>
        <v>Individual</v>
      </c>
      <c r="Q5315" t="str">
        <f>IF(COUNTIF(Customers!$A$2:$A$1001,B5315)&gt;0,"Valid","Invalid")</f>
        <v>Valid</v>
      </c>
      <c r="R5315" t="str">
        <f>IF(COUNTIF(Branches!$A$2:$A$11,F5315)&gt;0,"Valid","Invalid")</f>
        <v>Valid</v>
      </c>
    </row>
    <row r="5316" spans="1:18" x14ac:dyDescent="0.25">
      <c r="A5316" t="s">
        <v>7387</v>
      </c>
      <c r="B5316" t="s">
        <v>333</v>
      </c>
      <c r="C5316" s="8">
        <v>46134</v>
      </c>
      <c r="D5316" t="s">
        <v>2062</v>
      </c>
      <c r="E5316" t="s">
        <v>2073</v>
      </c>
      <c r="F5316" t="s">
        <v>27</v>
      </c>
      <c r="G5316">
        <v>902.74</v>
      </c>
      <c r="H5316" t="s">
        <v>2060</v>
      </c>
      <c r="I5316" t="str">
        <f>VLOOKUP(B5316,Customers!A:G,7,FALSE)</f>
        <v>Individual</v>
      </c>
      <c r="Q5316" t="str">
        <f>IF(COUNTIF(Customers!$A$2:$A$1001,B5316)&gt;0,"Valid","Invalid")</f>
        <v>Valid</v>
      </c>
      <c r="R5316" t="str">
        <f>IF(COUNTIF(Branches!$A$2:$A$11,F5316)&gt;0,"Valid","Invalid")</f>
        <v>Valid</v>
      </c>
    </row>
    <row r="5317" spans="1:18" x14ac:dyDescent="0.25">
      <c r="A5317" t="s">
        <v>7388</v>
      </c>
      <c r="B5317" t="s">
        <v>877</v>
      </c>
      <c r="C5317" s="8">
        <v>46061</v>
      </c>
      <c r="D5317" t="s">
        <v>2058</v>
      </c>
      <c r="E5317" t="s">
        <v>2059</v>
      </c>
      <c r="F5317" t="s">
        <v>39</v>
      </c>
      <c r="G5317">
        <v>1803.56</v>
      </c>
      <c r="H5317" t="s">
        <v>2060</v>
      </c>
      <c r="I5317" t="str">
        <f>VLOOKUP(B5317,Customers!A:G,7,FALSE)</f>
        <v>Student</v>
      </c>
      <c r="Q5317" t="str">
        <f>IF(COUNTIF(Customers!$A$2:$A$1001,B5317)&gt;0,"Valid","Invalid")</f>
        <v>Valid</v>
      </c>
      <c r="R5317" t="str">
        <f>IF(COUNTIF(Branches!$A$2:$A$11,F5317)&gt;0,"Valid","Invalid")</f>
        <v>Valid</v>
      </c>
    </row>
    <row r="5318" spans="1:18" x14ac:dyDescent="0.25">
      <c r="A5318" t="s">
        <v>7389</v>
      </c>
      <c r="B5318" t="s">
        <v>421</v>
      </c>
      <c r="C5318" s="8">
        <v>46090</v>
      </c>
      <c r="D5318" t="s">
        <v>2065</v>
      </c>
      <c r="E5318" t="s">
        <v>2076</v>
      </c>
      <c r="F5318" t="s">
        <v>47</v>
      </c>
      <c r="G5318">
        <v>646.14</v>
      </c>
      <c r="H5318" t="s">
        <v>2060</v>
      </c>
      <c r="I5318" t="str">
        <f>VLOOKUP(B5318,Customers!A:G,7,FALSE)</f>
        <v>Individual</v>
      </c>
      <c r="Q5318" t="str">
        <f>IF(COUNTIF(Customers!$A$2:$A$1001,B5318)&gt;0,"Valid","Invalid")</f>
        <v>Valid</v>
      </c>
      <c r="R5318" t="str">
        <f>IF(COUNTIF(Branches!$A$2:$A$11,F5318)&gt;0,"Valid","Invalid")</f>
        <v>Valid</v>
      </c>
    </row>
    <row r="5319" spans="1:18" x14ac:dyDescent="0.25">
      <c r="A5319" t="s">
        <v>7390</v>
      </c>
      <c r="B5319" t="s">
        <v>194</v>
      </c>
      <c r="C5319" s="8">
        <v>46211</v>
      </c>
      <c r="D5319" t="s">
        <v>2067</v>
      </c>
      <c r="E5319" t="s">
        <v>2063</v>
      </c>
      <c r="F5319" t="s">
        <v>29</v>
      </c>
      <c r="G5319">
        <v>594.79</v>
      </c>
      <c r="H5319" t="s">
        <v>2060</v>
      </c>
      <c r="I5319" t="str">
        <f>VLOOKUP(B5319,Customers!A:G,7,FALSE)</f>
        <v>SME</v>
      </c>
      <c r="Q5319" t="str">
        <f>IF(COUNTIF(Customers!$A$2:$A$1001,B5319)&gt;0,"Valid","Invalid")</f>
        <v>Valid</v>
      </c>
      <c r="R5319" t="str">
        <f>IF(COUNTIF(Branches!$A$2:$A$11,F5319)&gt;0,"Valid","Invalid")</f>
        <v>Valid</v>
      </c>
    </row>
    <row r="5320" spans="1:18" x14ac:dyDescent="0.25">
      <c r="A5320" t="s">
        <v>7391</v>
      </c>
      <c r="B5320" t="s">
        <v>443</v>
      </c>
      <c r="C5320" s="8">
        <v>46098</v>
      </c>
      <c r="D5320" t="s">
        <v>2062</v>
      </c>
      <c r="E5320" t="s">
        <v>2076</v>
      </c>
      <c r="F5320" t="s">
        <v>16</v>
      </c>
      <c r="G5320">
        <v>829.28</v>
      </c>
      <c r="H5320" t="s">
        <v>2060</v>
      </c>
      <c r="I5320" t="str">
        <f>VLOOKUP(B5320,Customers!A:G,7,FALSE)</f>
        <v>Individual</v>
      </c>
      <c r="Q5320" t="str">
        <f>IF(COUNTIF(Customers!$A$2:$A$1001,B5320)&gt;0,"Valid","Invalid")</f>
        <v>Valid</v>
      </c>
      <c r="R5320" t="str">
        <f>IF(COUNTIF(Branches!$A$2:$A$11,F5320)&gt;0,"Valid","Invalid")</f>
        <v>Valid</v>
      </c>
    </row>
    <row r="5321" spans="1:18" x14ac:dyDescent="0.25">
      <c r="A5321" t="s">
        <v>7392</v>
      </c>
      <c r="B5321" t="s">
        <v>8</v>
      </c>
      <c r="C5321" s="8">
        <v>46231</v>
      </c>
      <c r="D5321" t="s">
        <v>2067</v>
      </c>
      <c r="E5321" t="s">
        <v>2073</v>
      </c>
      <c r="F5321" t="s">
        <v>29</v>
      </c>
      <c r="G5321">
        <v>2653.59</v>
      </c>
      <c r="H5321" t="s">
        <v>2060</v>
      </c>
      <c r="I5321" t="str">
        <f>VLOOKUP(B5321,Customers!A:G,7,FALSE)</f>
        <v>Individual</v>
      </c>
      <c r="Q5321" t="str">
        <f>IF(COUNTIF(Customers!$A$2:$A$1001,B5321)&gt;0,"Valid","Invalid")</f>
        <v>Valid</v>
      </c>
      <c r="R5321" t="str">
        <f>IF(COUNTIF(Branches!$A$2:$A$11,F5321)&gt;0,"Valid","Invalid")</f>
        <v>Valid</v>
      </c>
    </row>
    <row r="5322" spans="1:18" x14ac:dyDescent="0.25">
      <c r="A5322" t="s">
        <v>7393</v>
      </c>
      <c r="B5322" t="s">
        <v>254</v>
      </c>
      <c r="C5322" s="8">
        <v>46087</v>
      </c>
      <c r="D5322" t="s">
        <v>2058</v>
      </c>
      <c r="E5322" t="s">
        <v>2059</v>
      </c>
      <c r="F5322" t="s">
        <v>29</v>
      </c>
      <c r="G5322">
        <v>141.55000000000001</v>
      </c>
      <c r="H5322" t="s">
        <v>2060</v>
      </c>
      <c r="I5322" t="str">
        <f>VLOOKUP(B5322,Customers!A:G,7,FALSE)</f>
        <v>Individual</v>
      </c>
      <c r="Q5322" t="str">
        <f>IF(COUNTIF(Customers!$A$2:$A$1001,B5322)&gt;0,"Valid","Invalid")</f>
        <v>Valid</v>
      </c>
      <c r="R5322" t="str">
        <f>IF(COUNTIF(Branches!$A$2:$A$11,F5322)&gt;0,"Valid","Invalid")</f>
        <v>Valid</v>
      </c>
    </row>
    <row r="5323" spans="1:18" x14ac:dyDescent="0.25">
      <c r="A5323" t="s">
        <v>7394</v>
      </c>
      <c r="B5323" t="s">
        <v>966</v>
      </c>
      <c r="C5323" s="8">
        <v>46084</v>
      </c>
      <c r="D5323" t="s">
        <v>2058</v>
      </c>
      <c r="E5323" t="s">
        <v>2063</v>
      </c>
      <c r="F5323" t="s">
        <v>11</v>
      </c>
      <c r="G5323">
        <v>327.22000000000003</v>
      </c>
      <c r="H5323" t="s">
        <v>2107</v>
      </c>
      <c r="I5323" t="str">
        <f>VLOOKUP(B5323,Customers!A:G,7,FALSE)</f>
        <v>Individual</v>
      </c>
      <c r="Q5323" t="str">
        <f>IF(COUNTIF(Customers!$A$2:$A$1001,B5323)&gt;0,"Valid","Invalid")</f>
        <v>Valid</v>
      </c>
      <c r="R5323" t="str">
        <f>IF(COUNTIF(Branches!$A$2:$A$11,F5323)&gt;0,"Valid","Invalid")</f>
        <v>Valid</v>
      </c>
    </row>
    <row r="5324" spans="1:18" x14ac:dyDescent="0.25">
      <c r="A5324" t="s">
        <v>7395</v>
      </c>
      <c r="B5324" t="s">
        <v>545</v>
      </c>
      <c r="C5324" s="8">
        <v>46231</v>
      </c>
      <c r="D5324" t="s">
        <v>2065</v>
      </c>
      <c r="E5324" t="s">
        <v>2063</v>
      </c>
      <c r="F5324" t="s">
        <v>47</v>
      </c>
      <c r="G5324">
        <v>7909.11</v>
      </c>
      <c r="H5324" t="s">
        <v>2060</v>
      </c>
      <c r="I5324" t="str">
        <f>VLOOKUP(B5324,Customers!A:G,7,FALSE)</f>
        <v>SME</v>
      </c>
      <c r="Q5324" t="str">
        <f>IF(COUNTIF(Customers!$A$2:$A$1001,B5324)&gt;0,"Valid","Invalid")</f>
        <v>Valid</v>
      </c>
      <c r="R5324" t="str">
        <f>IF(COUNTIF(Branches!$A$2:$A$11,F5324)&gt;0,"Valid","Invalid")</f>
        <v>Valid</v>
      </c>
    </row>
    <row r="5325" spans="1:18" x14ac:dyDescent="0.25">
      <c r="A5325" t="s">
        <v>7396</v>
      </c>
      <c r="B5325" t="s">
        <v>799</v>
      </c>
      <c r="C5325" s="8">
        <v>46024</v>
      </c>
      <c r="D5325" t="s">
        <v>2062</v>
      </c>
      <c r="E5325" t="s">
        <v>2068</v>
      </c>
      <c r="F5325" t="s">
        <v>27</v>
      </c>
      <c r="G5325">
        <v>1069.76</v>
      </c>
      <c r="H5325" t="s">
        <v>2060</v>
      </c>
      <c r="I5325" t="str">
        <f>VLOOKUP(B5325,Customers!A:G,7,FALSE)</f>
        <v>Student</v>
      </c>
      <c r="Q5325" t="str">
        <f>IF(COUNTIF(Customers!$A$2:$A$1001,B5325)&gt;0,"Valid","Invalid")</f>
        <v>Valid</v>
      </c>
      <c r="R5325" t="str">
        <f>IF(COUNTIF(Branches!$A$2:$A$11,F5325)&gt;0,"Valid","Invalid")</f>
        <v>Valid</v>
      </c>
    </row>
    <row r="5326" spans="1:18" x14ac:dyDescent="0.25">
      <c r="A5326" t="s">
        <v>7397</v>
      </c>
      <c r="B5326" t="s">
        <v>942</v>
      </c>
      <c r="C5326" s="8">
        <v>46156</v>
      </c>
      <c r="D5326" t="s">
        <v>2065</v>
      </c>
      <c r="E5326" t="s">
        <v>2076</v>
      </c>
      <c r="F5326" t="s">
        <v>35</v>
      </c>
      <c r="G5326">
        <v>540.75</v>
      </c>
      <c r="H5326" t="s">
        <v>2060</v>
      </c>
      <c r="I5326" t="str">
        <f>VLOOKUP(B5326,Customers!A:G,7,FALSE)</f>
        <v>Individual</v>
      </c>
      <c r="Q5326" t="str">
        <f>IF(COUNTIF(Customers!$A$2:$A$1001,B5326)&gt;0,"Valid","Invalid")</f>
        <v>Valid</v>
      </c>
      <c r="R5326" t="str">
        <f>IF(COUNTIF(Branches!$A$2:$A$11,F5326)&gt;0,"Valid","Invalid")</f>
        <v>Valid</v>
      </c>
    </row>
    <row r="5327" spans="1:18" x14ac:dyDescent="0.25">
      <c r="A5327" t="s">
        <v>7398</v>
      </c>
      <c r="B5327" t="s">
        <v>619</v>
      </c>
      <c r="C5327" s="8">
        <v>46258</v>
      </c>
      <c r="D5327" t="s">
        <v>2058</v>
      </c>
      <c r="E5327" t="s">
        <v>2063</v>
      </c>
      <c r="F5327" t="s">
        <v>53</v>
      </c>
      <c r="G5327">
        <v>1798.76</v>
      </c>
      <c r="H5327" t="s">
        <v>2060</v>
      </c>
      <c r="I5327" t="str">
        <f>VLOOKUP(B5327,Customers!A:G,7,FALSE)</f>
        <v>Individual</v>
      </c>
      <c r="Q5327" t="str">
        <f>IF(COUNTIF(Customers!$A$2:$A$1001,B5327)&gt;0,"Valid","Invalid")</f>
        <v>Valid</v>
      </c>
      <c r="R5327" t="str">
        <f>IF(COUNTIF(Branches!$A$2:$A$11,F5327)&gt;0,"Valid","Invalid")</f>
        <v>Valid</v>
      </c>
    </row>
    <row r="5328" spans="1:18" x14ac:dyDescent="0.25">
      <c r="A5328" t="s">
        <v>7399</v>
      </c>
      <c r="B5328" t="s">
        <v>64</v>
      </c>
      <c r="C5328" s="8">
        <v>46144</v>
      </c>
      <c r="D5328" t="s">
        <v>2065</v>
      </c>
      <c r="E5328" t="s">
        <v>2063</v>
      </c>
      <c r="F5328" t="s">
        <v>21</v>
      </c>
      <c r="G5328">
        <v>370.54</v>
      </c>
      <c r="H5328" t="s">
        <v>2060</v>
      </c>
      <c r="I5328" t="str">
        <f>VLOOKUP(B5328,Customers!A:G,7,FALSE)</f>
        <v>SME</v>
      </c>
      <c r="Q5328" t="str">
        <f>IF(COUNTIF(Customers!$A$2:$A$1001,B5328)&gt;0,"Valid","Invalid")</f>
        <v>Valid</v>
      </c>
      <c r="R5328" t="str">
        <f>IF(COUNTIF(Branches!$A$2:$A$11,F5328)&gt;0,"Valid","Invalid")</f>
        <v>Valid</v>
      </c>
    </row>
    <row r="5329" spans="1:18" x14ac:dyDescent="0.25">
      <c r="A5329" t="s">
        <v>7400</v>
      </c>
      <c r="B5329" t="s">
        <v>665</v>
      </c>
      <c r="C5329" s="8">
        <v>46097</v>
      </c>
      <c r="D5329" t="s">
        <v>2065</v>
      </c>
      <c r="E5329" t="s">
        <v>2068</v>
      </c>
      <c r="F5329" t="s">
        <v>35</v>
      </c>
      <c r="G5329">
        <v>99.21</v>
      </c>
      <c r="H5329" t="s">
        <v>2060</v>
      </c>
      <c r="I5329" t="str">
        <f>VLOOKUP(B5329,Customers!A:G,7,FALSE)</f>
        <v>Individual</v>
      </c>
      <c r="Q5329" t="str">
        <f>IF(COUNTIF(Customers!$A$2:$A$1001,B5329)&gt;0,"Valid","Invalid")</f>
        <v>Valid</v>
      </c>
      <c r="R5329" t="str">
        <f>IF(COUNTIF(Branches!$A$2:$A$11,F5329)&gt;0,"Valid","Invalid")</f>
        <v>Valid</v>
      </c>
    </row>
    <row r="5330" spans="1:18" x14ac:dyDescent="0.25">
      <c r="A5330" t="s">
        <v>7401</v>
      </c>
      <c r="B5330" t="s">
        <v>558</v>
      </c>
      <c r="C5330" s="8">
        <v>46193</v>
      </c>
      <c r="D5330" t="s">
        <v>2058</v>
      </c>
      <c r="E5330" t="s">
        <v>2068</v>
      </c>
      <c r="F5330" t="s">
        <v>47</v>
      </c>
      <c r="G5330">
        <v>1158.4100000000001</v>
      </c>
      <c r="H5330" t="s">
        <v>2060</v>
      </c>
      <c r="I5330" t="str">
        <f>VLOOKUP(B5330,Customers!A:G,7,FALSE)</f>
        <v>Individual</v>
      </c>
      <c r="Q5330" t="str">
        <f>IF(COUNTIF(Customers!$A$2:$A$1001,B5330)&gt;0,"Valid","Invalid")</f>
        <v>Valid</v>
      </c>
      <c r="R5330" t="str">
        <f>IF(COUNTIF(Branches!$A$2:$A$11,F5330)&gt;0,"Valid","Invalid")</f>
        <v>Valid</v>
      </c>
    </row>
    <row r="5331" spans="1:18" x14ac:dyDescent="0.25">
      <c r="A5331" t="s">
        <v>7402</v>
      </c>
      <c r="B5331" t="s">
        <v>919</v>
      </c>
      <c r="C5331" s="8">
        <v>46232</v>
      </c>
      <c r="D5331" t="s">
        <v>2058</v>
      </c>
      <c r="E5331" t="s">
        <v>2063</v>
      </c>
      <c r="F5331" t="s">
        <v>53</v>
      </c>
      <c r="G5331">
        <v>391.2</v>
      </c>
      <c r="H5331" t="s">
        <v>2060</v>
      </c>
      <c r="I5331" t="str">
        <f>VLOOKUP(B5331,Customers!A:G,7,FALSE)</f>
        <v>Individual</v>
      </c>
      <c r="Q5331" t="str">
        <f>IF(COUNTIF(Customers!$A$2:$A$1001,B5331)&gt;0,"Valid","Invalid")</f>
        <v>Valid</v>
      </c>
      <c r="R5331" t="str">
        <f>IF(COUNTIF(Branches!$A$2:$A$11,F5331)&gt;0,"Valid","Invalid")</f>
        <v>Valid</v>
      </c>
    </row>
    <row r="5332" spans="1:18" x14ac:dyDescent="0.25">
      <c r="A5332" t="s">
        <v>7403</v>
      </c>
      <c r="B5332" t="s">
        <v>313</v>
      </c>
      <c r="C5332" s="8">
        <v>46062</v>
      </c>
      <c r="D5332" t="s">
        <v>2062</v>
      </c>
      <c r="E5332" t="s">
        <v>2063</v>
      </c>
      <c r="F5332" t="s">
        <v>39</v>
      </c>
      <c r="G5332">
        <v>899.1</v>
      </c>
      <c r="H5332" t="s">
        <v>2060</v>
      </c>
      <c r="I5332" t="str">
        <f>VLOOKUP(B5332,Customers!A:G,7,FALSE)</f>
        <v>SME</v>
      </c>
      <c r="Q5332" t="str">
        <f>IF(COUNTIF(Customers!$A$2:$A$1001,B5332)&gt;0,"Valid","Invalid")</f>
        <v>Valid</v>
      </c>
      <c r="R5332" t="str">
        <f>IF(COUNTIF(Branches!$A$2:$A$11,F5332)&gt;0,"Valid","Invalid")</f>
        <v>Valid</v>
      </c>
    </row>
    <row r="5333" spans="1:18" x14ac:dyDescent="0.25">
      <c r="A5333" t="s">
        <v>7404</v>
      </c>
      <c r="B5333" t="s">
        <v>530</v>
      </c>
      <c r="C5333" s="8">
        <v>46111</v>
      </c>
      <c r="D5333" t="s">
        <v>2062</v>
      </c>
      <c r="E5333" t="s">
        <v>2068</v>
      </c>
      <c r="F5333" t="s">
        <v>11</v>
      </c>
      <c r="G5333">
        <v>1129.3499999999999</v>
      </c>
      <c r="H5333" t="s">
        <v>2060</v>
      </c>
      <c r="I5333" t="str">
        <f>VLOOKUP(B5333,Customers!A:G,7,FALSE)</f>
        <v>Individual</v>
      </c>
      <c r="Q5333" t="str">
        <f>IF(COUNTIF(Customers!$A$2:$A$1001,B5333)&gt;0,"Valid","Invalid")</f>
        <v>Valid</v>
      </c>
      <c r="R5333" t="str">
        <f>IF(COUNTIF(Branches!$A$2:$A$11,F5333)&gt;0,"Valid","Invalid")</f>
        <v>Valid</v>
      </c>
    </row>
    <row r="5334" spans="1:18" x14ac:dyDescent="0.25">
      <c r="A5334" t="s">
        <v>7405</v>
      </c>
      <c r="B5334" t="s">
        <v>865</v>
      </c>
      <c r="C5334" s="8">
        <v>46189</v>
      </c>
      <c r="D5334" t="s">
        <v>2062</v>
      </c>
      <c r="E5334" t="s">
        <v>2059</v>
      </c>
      <c r="F5334" t="s">
        <v>21</v>
      </c>
      <c r="G5334">
        <v>936.47</v>
      </c>
      <c r="H5334" t="s">
        <v>2060</v>
      </c>
      <c r="I5334" t="str">
        <f>VLOOKUP(B5334,Customers!A:G,7,FALSE)</f>
        <v>Individual</v>
      </c>
      <c r="Q5334" t="str">
        <f>IF(COUNTIF(Customers!$A$2:$A$1001,B5334)&gt;0,"Valid","Invalid")</f>
        <v>Valid</v>
      </c>
      <c r="R5334" t="str">
        <f>IF(COUNTIF(Branches!$A$2:$A$11,F5334)&gt;0,"Valid","Invalid")</f>
        <v>Valid</v>
      </c>
    </row>
    <row r="5335" spans="1:18" x14ac:dyDescent="0.25">
      <c r="A5335" t="s">
        <v>7406</v>
      </c>
      <c r="B5335" t="s">
        <v>989</v>
      </c>
      <c r="C5335" s="8">
        <v>46050</v>
      </c>
      <c r="D5335" t="s">
        <v>2067</v>
      </c>
      <c r="E5335" t="s">
        <v>2073</v>
      </c>
      <c r="F5335" t="s">
        <v>39</v>
      </c>
      <c r="G5335">
        <v>147.08000000000001</v>
      </c>
      <c r="H5335" t="s">
        <v>2060</v>
      </c>
      <c r="I5335" t="str">
        <f>VLOOKUP(B5335,Customers!A:G,7,FALSE)</f>
        <v>Individual</v>
      </c>
      <c r="Q5335" t="str">
        <f>IF(COUNTIF(Customers!$A$2:$A$1001,B5335)&gt;0,"Valid","Invalid")</f>
        <v>Valid</v>
      </c>
      <c r="R5335" t="str">
        <f>IF(COUNTIF(Branches!$A$2:$A$11,F5335)&gt;0,"Valid","Invalid")</f>
        <v>Valid</v>
      </c>
    </row>
    <row r="5336" spans="1:18" x14ac:dyDescent="0.25">
      <c r="A5336" t="s">
        <v>7407</v>
      </c>
      <c r="B5336" t="s">
        <v>964</v>
      </c>
      <c r="C5336" s="8">
        <v>46260</v>
      </c>
      <c r="D5336" t="s">
        <v>2058</v>
      </c>
      <c r="E5336" t="s">
        <v>2059</v>
      </c>
      <c r="F5336" t="s">
        <v>53</v>
      </c>
      <c r="G5336">
        <v>834.04</v>
      </c>
      <c r="H5336" t="s">
        <v>2060</v>
      </c>
      <c r="I5336" t="str">
        <f>VLOOKUP(B5336,Customers!A:G,7,FALSE)</f>
        <v>Individual</v>
      </c>
      <c r="Q5336" t="str">
        <f>IF(COUNTIF(Customers!$A$2:$A$1001,B5336)&gt;0,"Valid","Invalid")</f>
        <v>Valid</v>
      </c>
      <c r="R5336" t="str">
        <f>IF(COUNTIF(Branches!$A$2:$A$11,F5336)&gt;0,"Valid","Invalid")</f>
        <v>Valid</v>
      </c>
    </row>
    <row r="5337" spans="1:18" x14ac:dyDescent="0.25">
      <c r="A5337" t="s">
        <v>7408</v>
      </c>
      <c r="B5337" t="s">
        <v>885</v>
      </c>
      <c r="C5337" s="8">
        <v>46102</v>
      </c>
      <c r="D5337" t="s">
        <v>2058</v>
      </c>
      <c r="E5337" t="s">
        <v>2076</v>
      </c>
      <c r="F5337" t="s">
        <v>29</v>
      </c>
      <c r="G5337">
        <v>1267.25</v>
      </c>
      <c r="H5337" t="s">
        <v>2060</v>
      </c>
      <c r="I5337" t="str">
        <f>VLOOKUP(B5337,Customers!A:G,7,FALSE)</f>
        <v>Individual</v>
      </c>
      <c r="Q5337" t="str">
        <f>IF(COUNTIF(Customers!$A$2:$A$1001,B5337)&gt;0,"Valid","Invalid")</f>
        <v>Valid</v>
      </c>
      <c r="R5337" t="str">
        <f>IF(COUNTIF(Branches!$A$2:$A$11,F5337)&gt;0,"Valid","Invalid")</f>
        <v>Valid</v>
      </c>
    </row>
    <row r="5338" spans="1:18" x14ac:dyDescent="0.25">
      <c r="A5338" t="s">
        <v>7409</v>
      </c>
      <c r="B5338" t="s">
        <v>70</v>
      </c>
      <c r="C5338" s="8">
        <v>46085</v>
      </c>
      <c r="D5338" t="s">
        <v>2067</v>
      </c>
      <c r="E5338" t="s">
        <v>2059</v>
      </c>
      <c r="F5338" t="s">
        <v>29</v>
      </c>
      <c r="G5338">
        <v>200.32</v>
      </c>
      <c r="H5338" t="s">
        <v>2060</v>
      </c>
      <c r="I5338" t="str">
        <f>VLOOKUP(B5338,Customers!A:G,7,FALSE)</f>
        <v>Individual</v>
      </c>
      <c r="Q5338" t="str">
        <f>IF(COUNTIF(Customers!$A$2:$A$1001,B5338)&gt;0,"Valid","Invalid")</f>
        <v>Valid</v>
      </c>
      <c r="R5338" t="str">
        <f>IF(COUNTIF(Branches!$A$2:$A$11,F5338)&gt;0,"Valid","Invalid")</f>
        <v>Valid</v>
      </c>
    </row>
    <row r="5339" spans="1:18" x14ac:dyDescent="0.25">
      <c r="A5339" t="s">
        <v>7410</v>
      </c>
      <c r="B5339" t="s">
        <v>349</v>
      </c>
      <c r="C5339" s="8">
        <v>46214</v>
      </c>
      <c r="D5339" t="s">
        <v>2058</v>
      </c>
      <c r="E5339" t="s">
        <v>2073</v>
      </c>
      <c r="F5339" t="s">
        <v>11</v>
      </c>
      <c r="G5339">
        <v>177.83</v>
      </c>
      <c r="H5339" t="s">
        <v>2060</v>
      </c>
      <c r="I5339" t="str">
        <f>VLOOKUP(B5339,Customers!A:G,7,FALSE)</f>
        <v>Individual</v>
      </c>
      <c r="Q5339" t="str">
        <f>IF(COUNTIF(Customers!$A$2:$A$1001,B5339)&gt;0,"Valid","Invalid")</f>
        <v>Valid</v>
      </c>
      <c r="R5339" t="str">
        <f>IF(COUNTIF(Branches!$A$2:$A$11,F5339)&gt;0,"Valid","Invalid")</f>
        <v>Valid</v>
      </c>
    </row>
    <row r="5340" spans="1:18" x14ac:dyDescent="0.25">
      <c r="A5340" t="s">
        <v>7411</v>
      </c>
      <c r="B5340" t="s">
        <v>79</v>
      </c>
      <c r="C5340" s="8">
        <v>46162</v>
      </c>
      <c r="D5340" t="s">
        <v>2070</v>
      </c>
      <c r="E5340" t="s">
        <v>2059</v>
      </c>
      <c r="F5340" t="s">
        <v>29</v>
      </c>
      <c r="G5340">
        <v>278.93</v>
      </c>
      <c r="H5340" t="s">
        <v>2060</v>
      </c>
      <c r="I5340" t="str">
        <f>VLOOKUP(B5340,Customers!A:G,7,FALSE)</f>
        <v>Individual</v>
      </c>
      <c r="Q5340" t="str">
        <f>IF(COUNTIF(Customers!$A$2:$A$1001,B5340)&gt;0,"Valid","Invalid")</f>
        <v>Valid</v>
      </c>
      <c r="R5340" t="str">
        <f>IF(COUNTIF(Branches!$A$2:$A$11,F5340)&gt;0,"Valid","Invalid")</f>
        <v>Valid</v>
      </c>
    </row>
    <row r="5341" spans="1:18" x14ac:dyDescent="0.25">
      <c r="A5341" t="s">
        <v>7412</v>
      </c>
      <c r="B5341" t="s">
        <v>191</v>
      </c>
      <c r="C5341" s="8">
        <v>46063</v>
      </c>
      <c r="D5341" t="s">
        <v>2065</v>
      </c>
      <c r="E5341" t="s">
        <v>2063</v>
      </c>
      <c r="F5341" t="s">
        <v>45</v>
      </c>
      <c r="G5341">
        <v>1714.31</v>
      </c>
      <c r="H5341" t="s">
        <v>2060</v>
      </c>
      <c r="I5341" t="str">
        <f>VLOOKUP(B5341,Customers!A:G,7,FALSE)</f>
        <v>SME</v>
      </c>
      <c r="Q5341" t="str">
        <f>IF(COUNTIF(Customers!$A$2:$A$1001,B5341)&gt;0,"Valid","Invalid")</f>
        <v>Valid</v>
      </c>
      <c r="R5341" t="str">
        <f>IF(COUNTIF(Branches!$A$2:$A$11,F5341)&gt;0,"Valid","Invalid")</f>
        <v>Valid</v>
      </c>
    </row>
    <row r="5342" spans="1:18" x14ac:dyDescent="0.25">
      <c r="A5342" t="s">
        <v>7413</v>
      </c>
      <c r="B5342" t="s">
        <v>113</v>
      </c>
      <c r="C5342" s="8">
        <v>46051</v>
      </c>
      <c r="D5342" t="s">
        <v>2062</v>
      </c>
      <c r="E5342" t="s">
        <v>2063</v>
      </c>
      <c r="F5342" t="s">
        <v>11</v>
      </c>
      <c r="G5342">
        <v>110.13</v>
      </c>
      <c r="H5342" t="s">
        <v>2060</v>
      </c>
      <c r="I5342" t="str">
        <f>VLOOKUP(B5342,Customers!A:G,7,FALSE)</f>
        <v>Individual</v>
      </c>
      <c r="Q5342" t="str">
        <f>IF(COUNTIF(Customers!$A$2:$A$1001,B5342)&gt;0,"Valid","Invalid")</f>
        <v>Valid</v>
      </c>
      <c r="R5342" t="str">
        <f>IF(COUNTIF(Branches!$A$2:$A$11,F5342)&gt;0,"Valid","Invalid")</f>
        <v>Valid</v>
      </c>
    </row>
    <row r="5343" spans="1:18" x14ac:dyDescent="0.25">
      <c r="A5343" t="s">
        <v>7414</v>
      </c>
      <c r="B5343" t="s">
        <v>628</v>
      </c>
      <c r="C5343" s="8">
        <v>46045</v>
      </c>
      <c r="D5343" t="s">
        <v>2065</v>
      </c>
      <c r="E5343" t="s">
        <v>2068</v>
      </c>
      <c r="F5343" t="s">
        <v>39</v>
      </c>
      <c r="G5343">
        <v>1862.68</v>
      </c>
      <c r="H5343" t="s">
        <v>2060</v>
      </c>
      <c r="I5343" t="str">
        <f>VLOOKUP(B5343,Customers!A:G,7,FALSE)</f>
        <v>Individual</v>
      </c>
      <c r="Q5343" t="str">
        <f>IF(COUNTIF(Customers!$A$2:$A$1001,B5343)&gt;0,"Valid","Invalid")</f>
        <v>Valid</v>
      </c>
      <c r="R5343" t="str">
        <f>IF(COUNTIF(Branches!$A$2:$A$11,F5343)&gt;0,"Valid","Invalid")</f>
        <v>Valid</v>
      </c>
    </row>
    <row r="5344" spans="1:18" x14ac:dyDescent="0.25">
      <c r="A5344" t="s">
        <v>7415</v>
      </c>
      <c r="B5344" t="s">
        <v>651</v>
      </c>
      <c r="C5344" s="8">
        <v>46235</v>
      </c>
      <c r="D5344" t="s">
        <v>2067</v>
      </c>
      <c r="E5344" t="s">
        <v>2059</v>
      </c>
      <c r="F5344" t="s">
        <v>11</v>
      </c>
      <c r="G5344">
        <v>1202.3800000000001</v>
      </c>
      <c r="H5344" t="s">
        <v>2060</v>
      </c>
      <c r="I5344" t="str">
        <f>VLOOKUP(B5344,Customers!A:G,7,FALSE)</f>
        <v>SME</v>
      </c>
      <c r="Q5344" t="str">
        <f>IF(COUNTIF(Customers!$A$2:$A$1001,B5344)&gt;0,"Valid","Invalid")</f>
        <v>Valid</v>
      </c>
      <c r="R5344" t="str">
        <f>IF(COUNTIF(Branches!$A$2:$A$11,F5344)&gt;0,"Valid","Invalid")</f>
        <v>Valid</v>
      </c>
    </row>
    <row r="5345" spans="1:18" x14ac:dyDescent="0.25">
      <c r="A5345" t="s">
        <v>7416</v>
      </c>
      <c r="B5345" t="s">
        <v>476</v>
      </c>
      <c r="C5345" s="8">
        <v>46102</v>
      </c>
      <c r="D5345" t="s">
        <v>2067</v>
      </c>
      <c r="E5345" t="s">
        <v>2059</v>
      </c>
      <c r="F5345" t="s">
        <v>45</v>
      </c>
      <c r="G5345">
        <v>627.97</v>
      </c>
      <c r="H5345" t="s">
        <v>2060</v>
      </c>
      <c r="I5345" t="str">
        <f>VLOOKUP(B5345,Customers!A:G,7,FALSE)</f>
        <v>Individual</v>
      </c>
      <c r="Q5345" t="str">
        <f>IF(COUNTIF(Customers!$A$2:$A$1001,B5345)&gt;0,"Valid","Invalid")</f>
        <v>Valid</v>
      </c>
      <c r="R5345" t="str">
        <f>IF(COUNTIF(Branches!$A$2:$A$11,F5345)&gt;0,"Valid","Invalid")</f>
        <v>Valid</v>
      </c>
    </row>
    <row r="5346" spans="1:18" x14ac:dyDescent="0.25">
      <c r="A5346" t="s">
        <v>7417</v>
      </c>
      <c r="B5346" t="s">
        <v>470</v>
      </c>
      <c r="C5346" s="8">
        <v>46073</v>
      </c>
      <c r="D5346" t="s">
        <v>2058</v>
      </c>
      <c r="E5346" t="s">
        <v>2059</v>
      </c>
      <c r="F5346" t="s">
        <v>35</v>
      </c>
      <c r="G5346">
        <v>184.82</v>
      </c>
      <c r="H5346" t="s">
        <v>2060</v>
      </c>
      <c r="I5346" t="str">
        <f>VLOOKUP(B5346,Customers!A:G,7,FALSE)</f>
        <v>Individual</v>
      </c>
      <c r="Q5346" t="str">
        <f>IF(COUNTIF(Customers!$A$2:$A$1001,B5346)&gt;0,"Valid","Invalid")</f>
        <v>Valid</v>
      </c>
      <c r="R5346" t="str">
        <f>IF(COUNTIF(Branches!$A$2:$A$11,F5346)&gt;0,"Valid","Invalid")</f>
        <v>Valid</v>
      </c>
    </row>
    <row r="5347" spans="1:18" x14ac:dyDescent="0.25">
      <c r="A5347" t="s">
        <v>7418</v>
      </c>
      <c r="B5347" t="s">
        <v>580</v>
      </c>
      <c r="C5347" s="8">
        <v>46134</v>
      </c>
      <c r="D5347" t="s">
        <v>2065</v>
      </c>
      <c r="E5347" t="s">
        <v>2063</v>
      </c>
      <c r="F5347" t="s">
        <v>45</v>
      </c>
      <c r="G5347">
        <v>366.33</v>
      </c>
      <c r="H5347" t="s">
        <v>2060</v>
      </c>
      <c r="I5347" t="str">
        <f>VLOOKUP(B5347,Customers!A:G,7,FALSE)</f>
        <v>Individual</v>
      </c>
      <c r="Q5347" t="str">
        <f>IF(COUNTIF(Customers!$A$2:$A$1001,B5347)&gt;0,"Valid","Invalid")</f>
        <v>Valid</v>
      </c>
      <c r="R5347" t="str">
        <f>IF(COUNTIF(Branches!$A$2:$A$11,F5347)&gt;0,"Valid","Invalid")</f>
        <v>Valid</v>
      </c>
    </row>
    <row r="5348" spans="1:18" x14ac:dyDescent="0.25">
      <c r="A5348" t="s">
        <v>7419</v>
      </c>
      <c r="B5348" t="s">
        <v>73</v>
      </c>
      <c r="C5348" s="8">
        <v>46127</v>
      </c>
      <c r="D5348" t="s">
        <v>2062</v>
      </c>
      <c r="E5348" t="s">
        <v>2063</v>
      </c>
      <c r="F5348" t="s">
        <v>53</v>
      </c>
      <c r="G5348">
        <v>1775.62</v>
      </c>
      <c r="H5348" t="s">
        <v>2060</v>
      </c>
      <c r="I5348" t="str">
        <f>VLOOKUP(B5348,Customers!A:G,7,FALSE)</f>
        <v>Individual</v>
      </c>
      <c r="Q5348" t="str">
        <f>IF(COUNTIF(Customers!$A$2:$A$1001,B5348)&gt;0,"Valid","Invalid")</f>
        <v>Valid</v>
      </c>
      <c r="R5348" t="str">
        <f>IF(COUNTIF(Branches!$A$2:$A$11,F5348)&gt;0,"Valid","Invalid")</f>
        <v>Valid</v>
      </c>
    </row>
    <row r="5349" spans="1:18" x14ac:dyDescent="0.25">
      <c r="A5349" t="s">
        <v>7420</v>
      </c>
      <c r="B5349" t="s">
        <v>277</v>
      </c>
      <c r="C5349" s="8">
        <v>46067</v>
      </c>
      <c r="D5349" t="s">
        <v>2062</v>
      </c>
      <c r="E5349" t="s">
        <v>2063</v>
      </c>
      <c r="F5349" t="s">
        <v>29</v>
      </c>
      <c r="G5349">
        <v>2854.71</v>
      </c>
      <c r="H5349" t="s">
        <v>2107</v>
      </c>
      <c r="I5349" t="str">
        <f>VLOOKUP(B5349,Customers!A:G,7,FALSE)</f>
        <v>Individual</v>
      </c>
      <c r="Q5349" t="str">
        <f>IF(COUNTIF(Customers!$A$2:$A$1001,B5349)&gt;0,"Valid","Invalid")</f>
        <v>Valid</v>
      </c>
      <c r="R5349" t="str">
        <f>IF(COUNTIF(Branches!$A$2:$A$11,F5349)&gt;0,"Valid","Invalid")</f>
        <v>Valid</v>
      </c>
    </row>
    <row r="5350" spans="1:18" x14ac:dyDescent="0.25">
      <c r="A5350" t="s">
        <v>7421</v>
      </c>
      <c r="B5350" t="s">
        <v>42</v>
      </c>
      <c r="C5350" s="8">
        <v>46112</v>
      </c>
      <c r="D5350" t="s">
        <v>2058</v>
      </c>
      <c r="E5350" t="s">
        <v>2076</v>
      </c>
      <c r="F5350" t="s">
        <v>11</v>
      </c>
      <c r="G5350">
        <v>289.64</v>
      </c>
      <c r="H5350" t="s">
        <v>2060</v>
      </c>
      <c r="I5350" t="str">
        <f>VLOOKUP(B5350,Customers!A:G,7,FALSE)</f>
        <v>Individual</v>
      </c>
      <c r="Q5350" t="str">
        <f>IF(COUNTIF(Customers!$A$2:$A$1001,B5350)&gt;0,"Valid","Invalid")</f>
        <v>Valid</v>
      </c>
      <c r="R5350" t="str">
        <f>IF(COUNTIF(Branches!$A$2:$A$11,F5350)&gt;0,"Valid","Invalid")</f>
        <v>Valid</v>
      </c>
    </row>
    <row r="5351" spans="1:18" x14ac:dyDescent="0.25">
      <c r="A5351" t="s">
        <v>7422</v>
      </c>
      <c r="B5351" t="s">
        <v>158</v>
      </c>
      <c r="C5351" s="8">
        <v>46251</v>
      </c>
      <c r="D5351" t="s">
        <v>2067</v>
      </c>
      <c r="E5351" t="s">
        <v>2076</v>
      </c>
      <c r="F5351" t="s">
        <v>53</v>
      </c>
      <c r="G5351">
        <v>2544.94</v>
      </c>
      <c r="H5351" t="s">
        <v>2060</v>
      </c>
      <c r="I5351" t="str">
        <f>VLOOKUP(B5351,Customers!A:G,7,FALSE)</f>
        <v>Individual</v>
      </c>
      <c r="Q5351" t="str">
        <f>IF(COUNTIF(Customers!$A$2:$A$1001,B5351)&gt;0,"Valid","Invalid")</f>
        <v>Valid</v>
      </c>
      <c r="R5351" t="str">
        <f>IF(COUNTIF(Branches!$A$2:$A$11,F5351)&gt;0,"Valid","Invalid")</f>
        <v>Valid</v>
      </c>
    </row>
    <row r="5352" spans="1:18" x14ac:dyDescent="0.25">
      <c r="A5352" t="s">
        <v>7423</v>
      </c>
      <c r="B5352" t="s">
        <v>180</v>
      </c>
      <c r="C5352" s="8">
        <v>46172</v>
      </c>
      <c r="D5352" t="s">
        <v>2070</v>
      </c>
      <c r="E5352" t="s">
        <v>2068</v>
      </c>
      <c r="F5352" t="s">
        <v>16</v>
      </c>
      <c r="G5352">
        <v>1613.04</v>
      </c>
      <c r="H5352" t="s">
        <v>2060</v>
      </c>
      <c r="I5352" t="str">
        <f>VLOOKUP(B5352,Customers!A:G,7,FALSE)</f>
        <v>Individual</v>
      </c>
      <c r="Q5352" t="str">
        <f>IF(COUNTIF(Customers!$A$2:$A$1001,B5352)&gt;0,"Valid","Invalid")</f>
        <v>Valid</v>
      </c>
      <c r="R5352" t="str">
        <f>IF(COUNTIF(Branches!$A$2:$A$11,F5352)&gt;0,"Valid","Invalid")</f>
        <v>Valid</v>
      </c>
    </row>
    <row r="5353" spans="1:18" x14ac:dyDescent="0.25">
      <c r="A5353" t="s">
        <v>7424</v>
      </c>
      <c r="B5353" t="s">
        <v>722</v>
      </c>
      <c r="C5353" s="8">
        <v>46265</v>
      </c>
      <c r="D5353" t="s">
        <v>2062</v>
      </c>
      <c r="E5353" t="s">
        <v>2073</v>
      </c>
      <c r="F5353" t="s">
        <v>27</v>
      </c>
      <c r="G5353">
        <v>806.87</v>
      </c>
      <c r="H5353" t="s">
        <v>2060</v>
      </c>
      <c r="I5353" t="str">
        <f>VLOOKUP(B5353,Customers!A:G,7,FALSE)</f>
        <v>SME</v>
      </c>
      <c r="Q5353" t="str">
        <f>IF(COUNTIF(Customers!$A$2:$A$1001,B5353)&gt;0,"Valid","Invalid")</f>
        <v>Valid</v>
      </c>
      <c r="R5353" t="str">
        <f>IF(COUNTIF(Branches!$A$2:$A$11,F5353)&gt;0,"Valid","Invalid")</f>
        <v>Valid</v>
      </c>
    </row>
    <row r="5354" spans="1:18" x14ac:dyDescent="0.25">
      <c r="A5354" t="s">
        <v>7425</v>
      </c>
      <c r="B5354" t="s">
        <v>493</v>
      </c>
      <c r="C5354" s="8">
        <v>46160</v>
      </c>
      <c r="D5354" t="s">
        <v>2058</v>
      </c>
      <c r="E5354" t="s">
        <v>2059</v>
      </c>
      <c r="F5354" t="s">
        <v>39</v>
      </c>
      <c r="G5354">
        <v>388.44</v>
      </c>
      <c r="H5354" t="s">
        <v>2060</v>
      </c>
      <c r="I5354" t="str">
        <f>VLOOKUP(B5354,Customers!A:G,7,FALSE)</f>
        <v>SME</v>
      </c>
      <c r="Q5354" t="str">
        <f>IF(COUNTIF(Customers!$A$2:$A$1001,B5354)&gt;0,"Valid","Invalid")</f>
        <v>Valid</v>
      </c>
      <c r="R5354" t="str">
        <f>IF(COUNTIF(Branches!$A$2:$A$11,F5354)&gt;0,"Valid","Invalid")</f>
        <v>Valid</v>
      </c>
    </row>
    <row r="5355" spans="1:18" x14ac:dyDescent="0.25">
      <c r="A5355" t="s">
        <v>7426</v>
      </c>
      <c r="B5355" t="s">
        <v>406</v>
      </c>
      <c r="C5355" s="8">
        <v>46157</v>
      </c>
      <c r="D5355" t="s">
        <v>2062</v>
      </c>
      <c r="E5355" t="s">
        <v>2076</v>
      </c>
      <c r="F5355" t="s">
        <v>45</v>
      </c>
      <c r="G5355">
        <v>454.23</v>
      </c>
      <c r="H5355" t="s">
        <v>2060</v>
      </c>
      <c r="I5355" t="str">
        <f>VLOOKUP(B5355,Customers!A:G,7,FALSE)</f>
        <v>SME</v>
      </c>
      <c r="Q5355" t="str">
        <f>IF(COUNTIF(Customers!$A$2:$A$1001,B5355)&gt;0,"Valid","Invalid")</f>
        <v>Valid</v>
      </c>
      <c r="R5355" t="str">
        <f>IF(COUNTIF(Branches!$A$2:$A$11,F5355)&gt;0,"Valid","Invalid")</f>
        <v>Valid</v>
      </c>
    </row>
    <row r="5356" spans="1:18" x14ac:dyDescent="0.25">
      <c r="A5356" t="s">
        <v>7427</v>
      </c>
      <c r="B5356" t="s">
        <v>797</v>
      </c>
      <c r="C5356" s="8">
        <v>46223</v>
      </c>
      <c r="D5356" t="s">
        <v>2058</v>
      </c>
      <c r="E5356" t="s">
        <v>2063</v>
      </c>
      <c r="F5356" t="s">
        <v>27</v>
      </c>
      <c r="G5356">
        <v>5028.7299999999996</v>
      </c>
      <c r="H5356" t="s">
        <v>2060</v>
      </c>
      <c r="I5356" t="str">
        <f>VLOOKUP(B5356,Customers!A:G,7,FALSE)</f>
        <v>Individual</v>
      </c>
      <c r="Q5356" t="str">
        <f>IF(COUNTIF(Customers!$A$2:$A$1001,B5356)&gt;0,"Valid","Invalid")</f>
        <v>Valid</v>
      </c>
      <c r="R5356" t="str">
        <f>IF(COUNTIF(Branches!$A$2:$A$11,F5356)&gt;0,"Valid","Invalid")</f>
        <v>Valid</v>
      </c>
    </row>
    <row r="5357" spans="1:18" x14ac:dyDescent="0.25">
      <c r="A5357" t="s">
        <v>7428</v>
      </c>
      <c r="B5357" t="s">
        <v>285</v>
      </c>
      <c r="C5357" s="8">
        <v>46111</v>
      </c>
      <c r="D5357" t="s">
        <v>2058</v>
      </c>
      <c r="E5357" t="s">
        <v>2063</v>
      </c>
      <c r="F5357" t="s">
        <v>27</v>
      </c>
      <c r="G5357">
        <v>971.11</v>
      </c>
      <c r="H5357" t="s">
        <v>2060</v>
      </c>
      <c r="I5357" t="str">
        <f>VLOOKUP(B5357,Customers!A:G,7,FALSE)</f>
        <v>Individual</v>
      </c>
      <c r="Q5357" t="str">
        <f>IF(COUNTIF(Customers!$A$2:$A$1001,B5357)&gt;0,"Valid","Invalid")</f>
        <v>Valid</v>
      </c>
      <c r="R5357" t="str">
        <f>IF(COUNTIF(Branches!$A$2:$A$11,F5357)&gt;0,"Valid","Invalid")</f>
        <v>Valid</v>
      </c>
    </row>
    <row r="5358" spans="1:18" x14ac:dyDescent="0.25">
      <c r="A5358" t="s">
        <v>7429</v>
      </c>
      <c r="B5358" t="s">
        <v>961</v>
      </c>
      <c r="C5358" s="8">
        <v>46260</v>
      </c>
      <c r="D5358" t="s">
        <v>2067</v>
      </c>
      <c r="E5358" t="s">
        <v>2063</v>
      </c>
      <c r="F5358" t="s">
        <v>47</v>
      </c>
      <c r="G5358">
        <v>3071.34</v>
      </c>
      <c r="H5358" t="s">
        <v>2060</v>
      </c>
      <c r="I5358" t="str">
        <f>VLOOKUP(B5358,Customers!A:G,7,FALSE)</f>
        <v>SME</v>
      </c>
      <c r="Q5358" t="str">
        <f>IF(COUNTIF(Customers!$A$2:$A$1001,B5358)&gt;0,"Valid","Invalid")</f>
        <v>Valid</v>
      </c>
      <c r="R5358" t="str">
        <f>IF(COUNTIF(Branches!$A$2:$A$11,F5358)&gt;0,"Valid","Invalid")</f>
        <v>Valid</v>
      </c>
    </row>
    <row r="5359" spans="1:18" x14ac:dyDescent="0.25">
      <c r="A5359" t="s">
        <v>7430</v>
      </c>
      <c r="B5359" t="s">
        <v>80</v>
      </c>
      <c r="C5359" s="8">
        <v>46037</v>
      </c>
      <c r="D5359" t="s">
        <v>2067</v>
      </c>
      <c r="E5359" t="s">
        <v>2059</v>
      </c>
      <c r="F5359" t="s">
        <v>29</v>
      </c>
      <c r="G5359">
        <v>1034.3800000000001</v>
      </c>
      <c r="H5359" t="s">
        <v>2060</v>
      </c>
      <c r="I5359" t="str">
        <f>VLOOKUP(B5359,Customers!A:G,7,FALSE)</f>
        <v>Individual</v>
      </c>
      <c r="Q5359" t="str">
        <f>IF(COUNTIF(Customers!$A$2:$A$1001,B5359)&gt;0,"Valid","Invalid")</f>
        <v>Valid</v>
      </c>
      <c r="R5359" t="str">
        <f>IF(COUNTIF(Branches!$A$2:$A$11,F5359)&gt;0,"Valid","Invalid")</f>
        <v>Valid</v>
      </c>
    </row>
    <row r="5360" spans="1:18" x14ac:dyDescent="0.25">
      <c r="A5360" t="s">
        <v>7431</v>
      </c>
      <c r="B5360" t="s">
        <v>803</v>
      </c>
      <c r="C5360" s="8">
        <v>46099</v>
      </c>
      <c r="D5360" t="s">
        <v>2065</v>
      </c>
      <c r="E5360" t="s">
        <v>2063</v>
      </c>
      <c r="F5360" t="s">
        <v>21</v>
      </c>
      <c r="G5360">
        <v>516.62</v>
      </c>
      <c r="H5360" t="s">
        <v>2060</v>
      </c>
      <c r="I5360" t="str">
        <f>VLOOKUP(B5360,Customers!A:G,7,FALSE)</f>
        <v>Individual</v>
      </c>
      <c r="Q5360" t="str">
        <f>IF(COUNTIF(Customers!$A$2:$A$1001,B5360)&gt;0,"Valid","Invalid")</f>
        <v>Valid</v>
      </c>
      <c r="R5360" t="str">
        <f>IF(COUNTIF(Branches!$A$2:$A$11,F5360)&gt;0,"Valid","Invalid")</f>
        <v>Valid</v>
      </c>
    </row>
    <row r="5361" spans="1:18" x14ac:dyDescent="0.25">
      <c r="A5361" t="s">
        <v>7432</v>
      </c>
      <c r="B5361" t="s">
        <v>413</v>
      </c>
      <c r="C5361" s="8">
        <v>46128</v>
      </c>
      <c r="D5361" t="s">
        <v>2067</v>
      </c>
      <c r="E5361" t="s">
        <v>2063</v>
      </c>
      <c r="F5361" t="s">
        <v>45</v>
      </c>
      <c r="G5361">
        <v>1456.93</v>
      </c>
      <c r="H5361" t="s">
        <v>2060</v>
      </c>
      <c r="I5361" t="str">
        <f>VLOOKUP(B5361,Customers!A:G,7,FALSE)</f>
        <v>Corporate</v>
      </c>
      <c r="Q5361" t="str">
        <f>IF(COUNTIF(Customers!$A$2:$A$1001,B5361)&gt;0,"Valid","Invalid")</f>
        <v>Valid</v>
      </c>
      <c r="R5361" t="str">
        <f>IF(COUNTIF(Branches!$A$2:$A$11,F5361)&gt;0,"Valid","Invalid")</f>
        <v>Valid</v>
      </c>
    </row>
    <row r="5362" spans="1:18" x14ac:dyDescent="0.25">
      <c r="A5362" t="s">
        <v>7433</v>
      </c>
      <c r="B5362" t="s">
        <v>329</v>
      </c>
      <c r="C5362" s="8">
        <v>46196</v>
      </c>
      <c r="D5362" t="s">
        <v>2058</v>
      </c>
      <c r="E5362" t="s">
        <v>2076</v>
      </c>
      <c r="F5362" t="s">
        <v>53</v>
      </c>
      <c r="G5362">
        <v>7029.25</v>
      </c>
      <c r="H5362" t="s">
        <v>2060</v>
      </c>
      <c r="I5362" t="str">
        <f>VLOOKUP(B5362,Customers!A:G,7,FALSE)</f>
        <v>Individual</v>
      </c>
      <c r="Q5362" t="str">
        <f>IF(COUNTIF(Customers!$A$2:$A$1001,B5362)&gt;0,"Valid","Invalid")</f>
        <v>Valid</v>
      </c>
      <c r="R5362" t="str">
        <f>IF(COUNTIF(Branches!$A$2:$A$11,F5362)&gt;0,"Valid","Invalid")</f>
        <v>Valid</v>
      </c>
    </row>
    <row r="5363" spans="1:18" x14ac:dyDescent="0.25">
      <c r="A5363" t="s">
        <v>7434</v>
      </c>
      <c r="B5363" t="s">
        <v>244</v>
      </c>
      <c r="C5363" s="8">
        <v>46112</v>
      </c>
      <c r="D5363" t="s">
        <v>2070</v>
      </c>
      <c r="E5363" t="s">
        <v>2059</v>
      </c>
      <c r="F5363" t="s">
        <v>27</v>
      </c>
      <c r="G5363">
        <v>426.62</v>
      </c>
      <c r="H5363" t="s">
        <v>2060</v>
      </c>
      <c r="I5363" t="str">
        <f>VLOOKUP(B5363,Customers!A:G,7,FALSE)</f>
        <v>Student</v>
      </c>
      <c r="Q5363" t="str">
        <f>IF(COUNTIF(Customers!$A$2:$A$1001,B5363)&gt;0,"Valid","Invalid")</f>
        <v>Valid</v>
      </c>
      <c r="R5363" t="str">
        <f>IF(COUNTIF(Branches!$A$2:$A$11,F5363)&gt;0,"Valid","Invalid")</f>
        <v>Valid</v>
      </c>
    </row>
    <row r="5364" spans="1:18" x14ac:dyDescent="0.25">
      <c r="A5364" t="s">
        <v>7435</v>
      </c>
      <c r="B5364" t="s">
        <v>962</v>
      </c>
      <c r="C5364" s="8">
        <v>46235</v>
      </c>
      <c r="D5364" t="s">
        <v>2070</v>
      </c>
      <c r="E5364" t="s">
        <v>2059</v>
      </c>
      <c r="F5364" t="s">
        <v>11</v>
      </c>
      <c r="G5364">
        <v>2026.1</v>
      </c>
      <c r="H5364" t="s">
        <v>2060</v>
      </c>
      <c r="I5364" t="str">
        <f>VLOOKUP(B5364,Customers!A:G,7,FALSE)</f>
        <v>Individual</v>
      </c>
      <c r="Q5364" t="str">
        <f>IF(COUNTIF(Customers!$A$2:$A$1001,B5364)&gt;0,"Valid","Invalid")</f>
        <v>Valid</v>
      </c>
      <c r="R5364" t="str">
        <f>IF(COUNTIF(Branches!$A$2:$A$11,F5364)&gt;0,"Valid","Invalid")</f>
        <v>Valid</v>
      </c>
    </row>
    <row r="5365" spans="1:18" x14ac:dyDescent="0.25">
      <c r="A5365" t="s">
        <v>7436</v>
      </c>
      <c r="B5365" t="s">
        <v>1033</v>
      </c>
      <c r="C5365" s="8">
        <v>46109</v>
      </c>
      <c r="D5365" t="s">
        <v>2058</v>
      </c>
      <c r="E5365" t="s">
        <v>2059</v>
      </c>
      <c r="F5365" t="s">
        <v>53</v>
      </c>
      <c r="G5365">
        <v>982.9</v>
      </c>
      <c r="H5365" t="s">
        <v>2060</v>
      </c>
      <c r="I5365" t="str">
        <f>VLOOKUP(B5365,Customers!A:G,7,FALSE)</f>
        <v>Individual</v>
      </c>
      <c r="Q5365" t="str">
        <f>IF(COUNTIF(Customers!$A$2:$A$1001,B5365)&gt;0,"Valid","Invalid")</f>
        <v>Valid</v>
      </c>
      <c r="R5365" t="str">
        <f>IF(COUNTIF(Branches!$A$2:$A$11,F5365)&gt;0,"Valid","Invalid")</f>
        <v>Valid</v>
      </c>
    </row>
    <row r="5366" spans="1:18" x14ac:dyDescent="0.25">
      <c r="A5366" t="s">
        <v>7437</v>
      </c>
      <c r="B5366" t="s">
        <v>557</v>
      </c>
      <c r="C5366" s="8">
        <v>46083</v>
      </c>
      <c r="D5366" t="s">
        <v>2058</v>
      </c>
      <c r="E5366" t="s">
        <v>2063</v>
      </c>
      <c r="F5366" t="s">
        <v>47</v>
      </c>
      <c r="G5366">
        <v>190.66</v>
      </c>
      <c r="H5366" t="s">
        <v>2060</v>
      </c>
      <c r="I5366" t="str">
        <f>VLOOKUP(B5366,Customers!A:G,7,FALSE)</f>
        <v>Individual</v>
      </c>
      <c r="Q5366" t="str">
        <f>IF(COUNTIF(Customers!$A$2:$A$1001,B5366)&gt;0,"Valid","Invalid")</f>
        <v>Valid</v>
      </c>
      <c r="R5366" t="str">
        <f>IF(COUNTIF(Branches!$A$2:$A$11,F5366)&gt;0,"Valid","Invalid")</f>
        <v>Valid</v>
      </c>
    </row>
    <row r="5367" spans="1:18" x14ac:dyDescent="0.25">
      <c r="A5367" t="s">
        <v>7438</v>
      </c>
      <c r="B5367" t="s">
        <v>996</v>
      </c>
      <c r="C5367" s="8">
        <v>46130</v>
      </c>
      <c r="D5367" t="s">
        <v>2065</v>
      </c>
      <c r="E5367" t="s">
        <v>2063</v>
      </c>
      <c r="F5367" t="s">
        <v>21</v>
      </c>
      <c r="G5367">
        <v>186.44</v>
      </c>
      <c r="H5367" t="s">
        <v>2060</v>
      </c>
      <c r="I5367" t="str">
        <f>VLOOKUP(B5367,Customers!A:G,7,FALSE)</f>
        <v>Corporate</v>
      </c>
      <c r="Q5367" t="str">
        <f>IF(COUNTIF(Customers!$A$2:$A$1001,B5367)&gt;0,"Valid","Invalid")</f>
        <v>Valid</v>
      </c>
      <c r="R5367" t="str">
        <f>IF(COUNTIF(Branches!$A$2:$A$11,F5367)&gt;0,"Valid","Invalid")</f>
        <v>Valid</v>
      </c>
    </row>
    <row r="5368" spans="1:18" x14ac:dyDescent="0.25">
      <c r="A5368" t="s">
        <v>7439</v>
      </c>
      <c r="B5368" t="s">
        <v>280</v>
      </c>
      <c r="C5368" s="8">
        <v>46242</v>
      </c>
      <c r="D5368" t="s">
        <v>2058</v>
      </c>
      <c r="E5368" t="s">
        <v>2063</v>
      </c>
      <c r="F5368" t="s">
        <v>53</v>
      </c>
      <c r="G5368">
        <v>516.99</v>
      </c>
      <c r="H5368" t="s">
        <v>2060</v>
      </c>
      <c r="I5368" t="str">
        <f>VLOOKUP(B5368,Customers!A:G,7,FALSE)</f>
        <v>Individual</v>
      </c>
      <c r="Q5368" t="str">
        <f>IF(COUNTIF(Customers!$A$2:$A$1001,B5368)&gt;0,"Valid","Invalid")</f>
        <v>Valid</v>
      </c>
      <c r="R5368" t="str">
        <f>IF(COUNTIF(Branches!$A$2:$A$11,F5368)&gt;0,"Valid","Invalid")</f>
        <v>Valid</v>
      </c>
    </row>
    <row r="5369" spans="1:18" x14ac:dyDescent="0.25">
      <c r="A5369" t="s">
        <v>7440</v>
      </c>
      <c r="B5369" t="s">
        <v>660</v>
      </c>
      <c r="C5369" s="8">
        <v>46083</v>
      </c>
      <c r="D5369" t="s">
        <v>2065</v>
      </c>
      <c r="E5369" t="s">
        <v>2063</v>
      </c>
      <c r="F5369" t="s">
        <v>27</v>
      </c>
      <c r="G5369">
        <v>1149.97</v>
      </c>
      <c r="H5369" t="s">
        <v>2060</v>
      </c>
      <c r="I5369" t="str">
        <f>VLOOKUP(B5369,Customers!A:G,7,FALSE)</f>
        <v>Individual</v>
      </c>
      <c r="Q5369" t="str">
        <f>IF(COUNTIF(Customers!$A$2:$A$1001,B5369)&gt;0,"Valid","Invalid")</f>
        <v>Valid</v>
      </c>
      <c r="R5369" t="str">
        <f>IF(COUNTIF(Branches!$A$2:$A$11,F5369)&gt;0,"Valid","Invalid")</f>
        <v>Valid</v>
      </c>
    </row>
    <row r="5370" spans="1:18" x14ac:dyDescent="0.25">
      <c r="A5370" t="s">
        <v>7441</v>
      </c>
      <c r="B5370" t="s">
        <v>150</v>
      </c>
      <c r="C5370" s="8">
        <v>46073</v>
      </c>
      <c r="D5370" t="s">
        <v>2067</v>
      </c>
      <c r="E5370" t="s">
        <v>2076</v>
      </c>
      <c r="F5370" t="s">
        <v>29</v>
      </c>
      <c r="G5370">
        <v>1955.44</v>
      </c>
      <c r="H5370" t="s">
        <v>2060</v>
      </c>
      <c r="I5370" t="str">
        <f>VLOOKUP(B5370,Customers!A:G,7,FALSE)</f>
        <v>Corporate</v>
      </c>
      <c r="Q5370" t="str">
        <f>IF(COUNTIF(Customers!$A$2:$A$1001,B5370)&gt;0,"Valid","Invalid")</f>
        <v>Valid</v>
      </c>
      <c r="R5370" t="str">
        <f>IF(COUNTIF(Branches!$A$2:$A$11,F5370)&gt;0,"Valid","Invalid")</f>
        <v>Valid</v>
      </c>
    </row>
    <row r="5371" spans="1:18" x14ac:dyDescent="0.25">
      <c r="A5371" t="s">
        <v>7442</v>
      </c>
      <c r="B5371" t="s">
        <v>857</v>
      </c>
      <c r="C5371" s="8">
        <v>46188</v>
      </c>
      <c r="D5371" t="s">
        <v>2058</v>
      </c>
      <c r="E5371" t="s">
        <v>2068</v>
      </c>
      <c r="F5371" t="s">
        <v>39</v>
      </c>
      <c r="G5371">
        <v>168.86</v>
      </c>
      <c r="H5371" t="s">
        <v>2060</v>
      </c>
      <c r="I5371" t="str">
        <f>VLOOKUP(B5371,Customers!A:G,7,FALSE)</f>
        <v>Student</v>
      </c>
      <c r="Q5371" t="str">
        <f>IF(COUNTIF(Customers!$A$2:$A$1001,B5371)&gt;0,"Valid","Invalid")</f>
        <v>Valid</v>
      </c>
      <c r="R5371" t="str">
        <f>IF(COUNTIF(Branches!$A$2:$A$11,F5371)&gt;0,"Valid","Invalid")</f>
        <v>Valid</v>
      </c>
    </row>
    <row r="5372" spans="1:18" x14ac:dyDescent="0.25">
      <c r="A5372" t="s">
        <v>7443</v>
      </c>
      <c r="B5372" t="s">
        <v>340</v>
      </c>
      <c r="C5372" s="8">
        <v>46034</v>
      </c>
      <c r="D5372" t="s">
        <v>2067</v>
      </c>
      <c r="E5372" t="s">
        <v>2063</v>
      </c>
      <c r="F5372" t="s">
        <v>47</v>
      </c>
      <c r="G5372">
        <v>1560.4</v>
      </c>
      <c r="H5372" t="s">
        <v>2060</v>
      </c>
      <c r="I5372" t="str">
        <f>VLOOKUP(B5372,Customers!A:G,7,FALSE)</f>
        <v>Individual</v>
      </c>
      <c r="Q5372" t="str">
        <f>IF(COUNTIF(Customers!$A$2:$A$1001,B5372)&gt;0,"Valid","Invalid")</f>
        <v>Valid</v>
      </c>
      <c r="R5372" t="str">
        <f>IF(COUNTIF(Branches!$A$2:$A$11,F5372)&gt;0,"Valid","Invalid")</f>
        <v>Valid</v>
      </c>
    </row>
    <row r="5373" spans="1:18" x14ac:dyDescent="0.25">
      <c r="A5373" t="s">
        <v>7444</v>
      </c>
      <c r="B5373" t="s">
        <v>314</v>
      </c>
      <c r="C5373" s="8">
        <v>46238</v>
      </c>
      <c r="D5373" t="s">
        <v>2065</v>
      </c>
      <c r="E5373" t="s">
        <v>2059</v>
      </c>
      <c r="F5373" t="s">
        <v>11</v>
      </c>
      <c r="G5373">
        <v>721.71</v>
      </c>
      <c r="H5373" t="s">
        <v>2060</v>
      </c>
      <c r="I5373" t="str">
        <f>VLOOKUP(B5373,Customers!A:G,7,FALSE)</f>
        <v>Corporate</v>
      </c>
      <c r="Q5373" t="str">
        <f>IF(COUNTIF(Customers!$A$2:$A$1001,B5373)&gt;0,"Valid","Invalid")</f>
        <v>Valid</v>
      </c>
      <c r="R5373" t="str">
        <f>IF(COUNTIF(Branches!$A$2:$A$11,F5373)&gt;0,"Valid","Invalid")</f>
        <v>Valid</v>
      </c>
    </row>
    <row r="5374" spans="1:18" x14ac:dyDescent="0.25">
      <c r="A5374" t="s">
        <v>7445</v>
      </c>
      <c r="B5374" t="s">
        <v>132</v>
      </c>
      <c r="C5374" s="8">
        <v>46099</v>
      </c>
      <c r="D5374" t="s">
        <v>2062</v>
      </c>
      <c r="E5374" t="s">
        <v>2068</v>
      </c>
      <c r="F5374" t="s">
        <v>53</v>
      </c>
      <c r="G5374">
        <v>815.1</v>
      </c>
      <c r="H5374" t="s">
        <v>2060</v>
      </c>
      <c r="I5374" t="str">
        <f>VLOOKUP(B5374,Customers!A:G,7,FALSE)</f>
        <v>Individual</v>
      </c>
      <c r="Q5374" t="str">
        <f>IF(COUNTIF(Customers!$A$2:$A$1001,B5374)&gt;0,"Valid","Invalid")</f>
        <v>Valid</v>
      </c>
      <c r="R5374" t="str">
        <f>IF(COUNTIF(Branches!$A$2:$A$11,F5374)&gt;0,"Valid","Invalid")</f>
        <v>Valid</v>
      </c>
    </row>
    <row r="5375" spans="1:18" x14ac:dyDescent="0.25">
      <c r="A5375" t="s">
        <v>7446</v>
      </c>
      <c r="B5375" t="s">
        <v>332</v>
      </c>
      <c r="C5375" s="8">
        <v>46254</v>
      </c>
      <c r="D5375" t="s">
        <v>2067</v>
      </c>
      <c r="E5375" t="s">
        <v>2063</v>
      </c>
      <c r="F5375" t="s">
        <v>53</v>
      </c>
      <c r="G5375">
        <v>1463.54</v>
      </c>
      <c r="H5375" t="s">
        <v>2060</v>
      </c>
      <c r="I5375" t="str">
        <f>VLOOKUP(B5375,Customers!A:G,7,FALSE)</f>
        <v>Student</v>
      </c>
      <c r="Q5375" t="str">
        <f>IF(COUNTIF(Customers!$A$2:$A$1001,B5375)&gt;0,"Valid","Invalid")</f>
        <v>Valid</v>
      </c>
      <c r="R5375" t="str">
        <f>IF(COUNTIF(Branches!$A$2:$A$11,F5375)&gt;0,"Valid","Invalid")</f>
        <v>Valid</v>
      </c>
    </row>
    <row r="5376" spans="1:18" x14ac:dyDescent="0.25">
      <c r="A5376" t="s">
        <v>7447</v>
      </c>
      <c r="B5376" t="s">
        <v>739</v>
      </c>
      <c r="C5376" s="8">
        <v>46134</v>
      </c>
      <c r="D5376" t="s">
        <v>2065</v>
      </c>
      <c r="E5376" t="s">
        <v>2063</v>
      </c>
      <c r="F5376" t="s">
        <v>47</v>
      </c>
      <c r="G5376">
        <v>4656.8999999999996</v>
      </c>
      <c r="H5376" t="s">
        <v>2060</v>
      </c>
      <c r="I5376" t="str">
        <f>VLOOKUP(B5376,Customers!A:G,7,FALSE)</f>
        <v>SME</v>
      </c>
      <c r="Q5376" t="str">
        <f>IF(COUNTIF(Customers!$A$2:$A$1001,B5376)&gt;0,"Valid","Invalid")</f>
        <v>Valid</v>
      </c>
      <c r="R5376" t="str">
        <f>IF(COUNTIF(Branches!$A$2:$A$11,F5376)&gt;0,"Valid","Invalid")</f>
        <v>Valid</v>
      </c>
    </row>
    <row r="5377" spans="1:18" x14ac:dyDescent="0.25">
      <c r="A5377" t="s">
        <v>7448</v>
      </c>
      <c r="B5377" t="s">
        <v>398</v>
      </c>
      <c r="C5377" s="8">
        <v>46088</v>
      </c>
      <c r="D5377" t="s">
        <v>2065</v>
      </c>
      <c r="E5377" t="s">
        <v>2059</v>
      </c>
      <c r="F5377" t="s">
        <v>35</v>
      </c>
      <c r="G5377">
        <v>1100.6300000000001</v>
      </c>
      <c r="H5377" t="s">
        <v>2060</v>
      </c>
      <c r="I5377" t="str">
        <f>VLOOKUP(B5377,Customers!A:G,7,FALSE)</f>
        <v>Individual</v>
      </c>
      <c r="Q5377" t="str">
        <f>IF(COUNTIF(Customers!$A$2:$A$1001,B5377)&gt;0,"Valid","Invalid")</f>
        <v>Valid</v>
      </c>
      <c r="R5377" t="str">
        <f>IF(COUNTIF(Branches!$A$2:$A$11,F5377)&gt;0,"Valid","Invalid")</f>
        <v>Valid</v>
      </c>
    </row>
    <row r="5378" spans="1:18" x14ac:dyDescent="0.25">
      <c r="A5378" t="s">
        <v>7449</v>
      </c>
      <c r="B5378" t="s">
        <v>326</v>
      </c>
      <c r="C5378" s="8">
        <v>46204</v>
      </c>
      <c r="D5378" t="s">
        <v>2065</v>
      </c>
      <c r="E5378" t="s">
        <v>2076</v>
      </c>
      <c r="F5378" t="s">
        <v>53</v>
      </c>
      <c r="G5378">
        <v>209.19</v>
      </c>
      <c r="H5378" t="s">
        <v>2060</v>
      </c>
      <c r="I5378" t="str">
        <f>VLOOKUP(B5378,Customers!A:G,7,FALSE)</f>
        <v>Student</v>
      </c>
      <c r="Q5378" t="str">
        <f>IF(COUNTIF(Customers!$A$2:$A$1001,B5378)&gt;0,"Valid","Invalid")</f>
        <v>Valid</v>
      </c>
      <c r="R5378" t="str">
        <f>IF(COUNTIF(Branches!$A$2:$A$11,F5378)&gt;0,"Valid","Invalid")</f>
        <v>Valid</v>
      </c>
    </row>
    <row r="5379" spans="1:18" x14ac:dyDescent="0.25">
      <c r="A5379" t="s">
        <v>7450</v>
      </c>
      <c r="B5379" t="s">
        <v>190</v>
      </c>
      <c r="C5379" s="8">
        <v>46189</v>
      </c>
      <c r="D5379" t="s">
        <v>2065</v>
      </c>
      <c r="E5379" t="s">
        <v>2076</v>
      </c>
      <c r="F5379" t="s">
        <v>39</v>
      </c>
      <c r="G5379">
        <v>673.78</v>
      </c>
      <c r="H5379" t="s">
        <v>2060</v>
      </c>
      <c r="I5379" t="str">
        <f>VLOOKUP(B5379,Customers!A:G,7,FALSE)</f>
        <v>Corporate</v>
      </c>
      <c r="Q5379" t="str">
        <f>IF(COUNTIF(Customers!$A$2:$A$1001,B5379)&gt;0,"Valid","Invalid")</f>
        <v>Valid</v>
      </c>
      <c r="R5379" t="str">
        <f>IF(COUNTIF(Branches!$A$2:$A$11,F5379)&gt;0,"Valid","Invalid")</f>
        <v>Valid</v>
      </c>
    </row>
    <row r="5380" spans="1:18" x14ac:dyDescent="0.25">
      <c r="A5380" t="s">
        <v>7451</v>
      </c>
      <c r="B5380" t="s">
        <v>608</v>
      </c>
      <c r="C5380" s="8">
        <v>46226</v>
      </c>
      <c r="D5380" t="s">
        <v>2062</v>
      </c>
      <c r="E5380" t="s">
        <v>2076</v>
      </c>
      <c r="F5380" t="s">
        <v>39</v>
      </c>
      <c r="G5380">
        <v>1904.8</v>
      </c>
      <c r="H5380" t="s">
        <v>2115</v>
      </c>
      <c r="I5380" t="str">
        <f>VLOOKUP(B5380,Customers!A:G,7,FALSE)</f>
        <v>Individual</v>
      </c>
      <c r="Q5380" t="str">
        <f>IF(COUNTIF(Customers!$A$2:$A$1001,B5380)&gt;0,"Valid","Invalid")</f>
        <v>Valid</v>
      </c>
      <c r="R5380" t="str">
        <f>IF(COUNTIF(Branches!$A$2:$A$11,F5380)&gt;0,"Valid","Invalid")</f>
        <v>Valid</v>
      </c>
    </row>
    <row r="5381" spans="1:18" x14ac:dyDescent="0.25">
      <c r="A5381" t="s">
        <v>7452</v>
      </c>
      <c r="B5381" t="s">
        <v>461</v>
      </c>
      <c r="C5381" s="8">
        <v>46189</v>
      </c>
      <c r="D5381" t="s">
        <v>2067</v>
      </c>
      <c r="E5381" t="s">
        <v>2063</v>
      </c>
      <c r="F5381" t="s">
        <v>27</v>
      </c>
      <c r="G5381">
        <v>1968.53</v>
      </c>
      <c r="H5381" t="s">
        <v>2060</v>
      </c>
      <c r="I5381" t="str">
        <f>VLOOKUP(B5381,Customers!A:G,7,FALSE)</f>
        <v>Individual</v>
      </c>
      <c r="Q5381" t="str">
        <f>IF(COUNTIF(Customers!$A$2:$A$1001,B5381)&gt;0,"Valid","Invalid")</f>
        <v>Valid</v>
      </c>
      <c r="R5381" t="str">
        <f>IF(COUNTIF(Branches!$A$2:$A$11,F5381)&gt;0,"Valid","Invalid")</f>
        <v>Valid</v>
      </c>
    </row>
    <row r="5382" spans="1:18" x14ac:dyDescent="0.25">
      <c r="A5382" t="s">
        <v>7453</v>
      </c>
      <c r="B5382" t="s">
        <v>954</v>
      </c>
      <c r="C5382" s="8">
        <v>46137</v>
      </c>
      <c r="D5382" t="s">
        <v>2062</v>
      </c>
      <c r="E5382" t="s">
        <v>2059</v>
      </c>
      <c r="F5382" t="s">
        <v>27</v>
      </c>
      <c r="G5382">
        <v>1581.02</v>
      </c>
      <c r="H5382" t="s">
        <v>2060</v>
      </c>
      <c r="I5382" t="str">
        <f>VLOOKUP(B5382,Customers!A:G,7,FALSE)</f>
        <v>Individual</v>
      </c>
      <c r="Q5382" t="str">
        <f>IF(COUNTIF(Customers!$A$2:$A$1001,B5382)&gt;0,"Valid","Invalid")</f>
        <v>Valid</v>
      </c>
      <c r="R5382" t="str">
        <f>IF(COUNTIF(Branches!$A$2:$A$11,F5382)&gt;0,"Valid","Invalid")</f>
        <v>Valid</v>
      </c>
    </row>
    <row r="5383" spans="1:18" x14ac:dyDescent="0.25">
      <c r="A5383" t="s">
        <v>7454</v>
      </c>
      <c r="B5383" t="s">
        <v>888</v>
      </c>
      <c r="C5383" s="8">
        <v>46228</v>
      </c>
      <c r="D5383" t="s">
        <v>2065</v>
      </c>
      <c r="E5383" t="s">
        <v>2063</v>
      </c>
      <c r="F5383" t="s">
        <v>45</v>
      </c>
      <c r="G5383">
        <v>487.83</v>
      </c>
      <c r="H5383" t="s">
        <v>2060</v>
      </c>
      <c r="I5383" t="str">
        <f>VLOOKUP(B5383,Customers!A:G,7,FALSE)</f>
        <v>SME</v>
      </c>
      <c r="Q5383" t="str">
        <f>IF(COUNTIF(Customers!$A$2:$A$1001,B5383)&gt;0,"Valid","Invalid")</f>
        <v>Valid</v>
      </c>
      <c r="R5383" t="str">
        <f>IF(COUNTIF(Branches!$A$2:$A$11,F5383)&gt;0,"Valid","Invalid")</f>
        <v>Valid</v>
      </c>
    </row>
    <row r="5384" spans="1:18" x14ac:dyDescent="0.25">
      <c r="A5384" t="s">
        <v>7455</v>
      </c>
      <c r="B5384" t="s">
        <v>86</v>
      </c>
      <c r="C5384" s="8">
        <v>46052</v>
      </c>
      <c r="D5384" t="s">
        <v>2058</v>
      </c>
      <c r="E5384" t="s">
        <v>2068</v>
      </c>
      <c r="F5384" t="s">
        <v>45</v>
      </c>
      <c r="G5384">
        <v>206.89</v>
      </c>
      <c r="H5384" t="s">
        <v>2060</v>
      </c>
      <c r="I5384" t="str">
        <f>VLOOKUP(B5384,Customers!A:G,7,FALSE)</f>
        <v>Corporate</v>
      </c>
      <c r="Q5384" t="str">
        <f>IF(COUNTIF(Customers!$A$2:$A$1001,B5384)&gt;0,"Valid","Invalid")</f>
        <v>Valid</v>
      </c>
      <c r="R5384" t="str">
        <f>IF(COUNTIF(Branches!$A$2:$A$11,F5384)&gt;0,"Valid","Invalid")</f>
        <v>Valid</v>
      </c>
    </row>
    <row r="5385" spans="1:18" x14ac:dyDescent="0.25">
      <c r="A5385" t="s">
        <v>7456</v>
      </c>
      <c r="B5385" t="s">
        <v>244</v>
      </c>
      <c r="C5385" s="8">
        <v>46127</v>
      </c>
      <c r="D5385" t="s">
        <v>2058</v>
      </c>
      <c r="E5385" t="s">
        <v>2068</v>
      </c>
      <c r="F5385" t="s">
        <v>53</v>
      </c>
      <c r="G5385">
        <v>1464.85</v>
      </c>
      <c r="H5385" t="s">
        <v>2060</v>
      </c>
      <c r="I5385" t="str">
        <f>VLOOKUP(B5385,Customers!A:G,7,FALSE)</f>
        <v>Student</v>
      </c>
      <c r="Q5385" t="str">
        <f>IF(COUNTIF(Customers!$A$2:$A$1001,B5385)&gt;0,"Valid","Invalid")</f>
        <v>Valid</v>
      </c>
      <c r="R5385" t="str">
        <f>IF(COUNTIF(Branches!$A$2:$A$11,F5385)&gt;0,"Valid","Invalid")</f>
        <v>Valid</v>
      </c>
    </row>
    <row r="5386" spans="1:18" x14ac:dyDescent="0.25">
      <c r="A5386" t="s">
        <v>7457</v>
      </c>
      <c r="B5386" t="s">
        <v>602</v>
      </c>
      <c r="C5386" s="8">
        <v>46264</v>
      </c>
      <c r="D5386" t="s">
        <v>2058</v>
      </c>
      <c r="E5386" t="s">
        <v>2063</v>
      </c>
      <c r="F5386" t="s">
        <v>39</v>
      </c>
      <c r="G5386">
        <v>241.23</v>
      </c>
      <c r="H5386" t="s">
        <v>2060</v>
      </c>
      <c r="I5386" t="str">
        <f>VLOOKUP(B5386,Customers!A:G,7,FALSE)</f>
        <v>Student</v>
      </c>
      <c r="Q5386" t="str">
        <f>IF(COUNTIF(Customers!$A$2:$A$1001,B5386)&gt;0,"Valid","Invalid")</f>
        <v>Valid</v>
      </c>
      <c r="R5386" t="str">
        <f>IF(COUNTIF(Branches!$A$2:$A$11,F5386)&gt;0,"Valid","Invalid")</f>
        <v>Valid</v>
      </c>
    </row>
    <row r="5387" spans="1:18" x14ac:dyDescent="0.25">
      <c r="A5387" t="s">
        <v>7458</v>
      </c>
      <c r="B5387" t="s">
        <v>892</v>
      </c>
      <c r="C5387" s="8">
        <v>46257</v>
      </c>
      <c r="D5387" t="s">
        <v>2058</v>
      </c>
      <c r="E5387" t="s">
        <v>2063</v>
      </c>
      <c r="F5387" t="s">
        <v>29</v>
      </c>
      <c r="G5387">
        <v>1624.59</v>
      </c>
      <c r="H5387" t="s">
        <v>2060</v>
      </c>
      <c r="I5387" t="str">
        <f>VLOOKUP(B5387,Customers!A:G,7,FALSE)</f>
        <v>Individual</v>
      </c>
      <c r="Q5387" t="str">
        <f>IF(COUNTIF(Customers!$A$2:$A$1001,B5387)&gt;0,"Valid","Invalid")</f>
        <v>Valid</v>
      </c>
      <c r="R5387" t="str">
        <f>IF(COUNTIF(Branches!$A$2:$A$11,F5387)&gt;0,"Valid","Invalid")</f>
        <v>Valid</v>
      </c>
    </row>
    <row r="5388" spans="1:18" x14ac:dyDescent="0.25">
      <c r="A5388" t="s">
        <v>7459</v>
      </c>
      <c r="B5388" t="s">
        <v>921</v>
      </c>
      <c r="C5388" s="8">
        <v>46198</v>
      </c>
      <c r="D5388" t="s">
        <v>2070</v>
      </c>
      <c r="E5388" t="s">
        <v>2063</v>
      </c>
      <c r="F5388" t="s">
        <v>29</v>
      </c>
      <c r="G5388">
        <v>1625.04</v>
      </c>
      <c r="H5388" t="s">
        <v>2107</v>
      </c>
      <c r="I5388" t="str">
        <f>VLOOKUP(B5388,Customers!A:G,7,FALSE)</f>
        <v>Individual</v>
      </c>
      <c r="Q5388" t="str">
        <f>IF(COUNTIF(Customers!$A$2:$A$1001,B5388)&gt;0,"Valid","Invalid")</f>
        <v>Valid</v>
      </c>
      <c r="R5388" t="str">
        <f>IF(COUNTIF(Branches!$A$2:$A$11,F5388)&gt;0,"Valid","Invalid")</f>
        <v>Valid</v>
      </c>
    </row>
    <row r="5389" spans="1:18" x14ac:dyDescent="0.25">
      <c r="A5389" t="s">
        <v>7460</v>
      </c>
      <c r="B5389" t="s">
        <v>700</v>
      </c>
      <c r="C5389" s="8">
        <v>46233</v>
      </c>
      <c r="D5389" t="s">
        <v>2065</v>
      </c>
      <c r="E5389" t="s">
        <v>2063</v>
      </c>
      <c r="F5389" t="s">
        <v>53</v>
      </c>
      <c r="G5389">
        <v>508.93</v>
      </c>
      <c r="H5389" t="s">
        <v>2060</v>
      </c>
      <c r="I5389" t="str">
        <f>VLOOKUP(B5389,Customers!A:G,7,FALSE)</f>
        <v>Student</v>
      </c>
      <c r="Q5389" t="str">
        <f>IF(COUNTIF(Customers!$A$2:$A$1001,B5389)&gt;0,"Valid","Invalid")</f>
        <v>Valid</v>
      </c>
      <c r="R5389" t="str">
        <f>IF(COUNTIF(Branches!$A$2:$A$11,F5389)&gt;0,"Valid","Invalid")</f>
        <v>Valid</v>
      </c>
    </row>
    <row r="5390" spans="1:18" x14ac:dyDescent="0.25">
      <c r="A5390" t="s">
        <v>7461</v>
      </c>
      <c r="B5390" t="s">
        <v>603</v>
      </c>
      <c r="C5390" s="8">
        <v>46053</v>
      </c>
      <c r="D5390" t="s">
        <v>2058</v>
      </c>
      <c r="E5390" t="s">
        <v>2063</v>
      </c>
      <c r="F5390" t="s">
        <v>35</v>
      </c>
      <c r="G5390">
        <v>725.99</v>
      </c>
      <c r="H5390" t="s">
        <v>2060</v>
      </c>
      <c r="I5390" t="str">
        <f>VLOOKUP(B5390,Customers!A:G,7,FALSE)</f>
        <v>Individual</v>
      </c>
      <c r="Q5390" t="str">
        <f>IF(COUNTIF(Customers!$A$2:$A$1001,B5390)&gt;0,"Valid","Invalid")</f>
        <v>Valid</v>
      </c>
      <c r="R5390" t="str">
        <f>IF(COUNTIF(Branches!$A$2:$A$11,F5390)&gt;0,"Valid","Invalid")</f>
        <v>Valid</v>
      </c>
    </row>
    <row r="5391" spans="1:18" x14ac:dyDescent="0.25">
      <c r="A5391" t="s">
        <v>7462</v>
      </c>
      <c r="B5391" t="s">
        <v>250</v>
      </c>
      <c r="C5391" s="8">
        <v>46257</v>
      </c>
      <c r="D5391" t="s">
        <v>2062</v>
      </c>
      <c r="E5391" t="s">
        <v>2059</v>
      </c>
      <c r="F5391" t="s">
        <v>39</v>
      </c>
      <c r="G5391">
        <v>990.96</v>
      </c>
      <c r="H5391" t="s">
        <v>2060</v>
      </c>
      <c r="I5391" t="str">
        <f>VLOOKUP(B5391,Customers!A:G,7,FALSE)</f>
        <v>Individual</v>
      </c>
      <c r="Q5391" t="str">
        <f>IF(COUNTIF(Customers!$A$2:$A$1001,B5391)&gt;0,"Valid","Invalid")</f>
        <v>Valid</v>
      </c>
      <c r="R5391" t="str">
        <f>IF(COUNTIF(Branches!$A$2:$A$11,F5391)&gt;0,"Valid","Invalid")</f>
        <v>Valid</v>
      </c>
    </row>
    <row r="5392" spans="1:18" x14ac:dyDescent="0.25">
      <c r="A5392" t="s">
        <v>7463</v>
      </c>
      <c r="B5392" t="s">
        <v>102</v>
      </c>
      <c r="C5392" s="8">
        <v>46264</v>
      </c>
      <c r="D5392" t="s">
        <v>2065</v>
      </c>
      <c r="E5392" t="s">
        <v>2073</v>
      </c>
      <c r="F5392" t="s">
        <v>39</v>
      </c>
      <c r="G5392">
        <v>439.3</v>
      </c>
      <c r="H5392" t="s">
        <v>2060</v>
      </c>
      <c r="I5392" t="str">
        <f>VLOOKUP(B5392,Customers!A:G,7,FALSE)</f>
        <v>Corporate</v>
      </c>
      <c r="Q5392" t="str">
        <f>IF(COUNTIF(Customers!$A$2:$A$1001,B5392)&gt;0,"Valid","Invalid")</f>
        <v>Valid</v>
      </c>
      <c r="R5392" t="str">
        <f>IF(COUNTIF(Branches!$A$2:$A$11,F5392)&gt;0,"Valid","Invalid")</f>
        <v>Valid</v>
      </c>
    </row>
    <row r="5393" spans="1:18" x14ac:dyDescent="0.25">
      <c r="A5393" t="s">
        <v>7464</v>
      </c>
      <c r="B5393" t="s">
        <v>270</v>
      </c>
      <c r="C5393" s="8">
        <v>46257</v>
      </c>
      <c r="D5393" t="s">
        <v>2065</v>
      </c>
      <c r="E5393" t="s">
        <v>2059</v>
      </c>
      <c r="F5393" t="s">
        <v>29</v>
      </c>
      <c r="G5393">
        <v>204.04</v>
      </c>
      <c r="H5393" t="s">
        <v>2060</v>
      </c>
      <c r="I5393" t="str">
        <f>VLOOKUP(B5393,Customers!A:G,7,FALSE)</f>
        <v>Student</v>
      </c>
      <c r="Q5393" t="str">
        <f>IF(COUNTIF(Customers!$A$2:$A$1001,B5393)&gt;0,"Valid","Invalid")</f>
        <v>Valid</v>
      </c>
      <c r="R5393" t="str">
        <f>IF(COUNTIF(Branches!$A$2:$A$11,F5393)&gt;0,"Valid","Invalid")</f>
        <v>Valid</v>
      </c>
    </row>
    <row r="5394" spans="1:18" x14ac:dyDescent="0.25">
      <c r="A5394" t="s">
        <v>7465</v>
      </c>
      <c r="B5394" t="s">
        <v>923</v>
      </c>
      <c r="C5394" s="8">
        <v>46175</v>
      </c>
      <c r="D5394" t="s">
        <v>2065</v>
      </c>
      <c r="E5394" t="s">
        <v>2063</v>
      </c>
      <c r="F5394" t="s">
        <v>53</v>
      </c>
      <c r="G5394">
        <v>781.16</v>
      </c>
      <c r="H5394" t="s">
        <v>2060</v>
      </c>
      <c r="I5394" t="str">
        <f>VLOOKUP(B5394,Customers!A:G,7,FALSE)</f>
        <v>Individual</v>
      </c>
      <c r="Q5394" t="str">
        <f>IF(COUNTIF(Customers!$A$2:$A$1001,B5394)&gt;0,"Valid","Invalid")</f>
        <v>Valid</v>
      </c>
      <c r="R5394" t="str">
        <f>IF(COUNTIF(Branches!$A$2:$A$11,F5394)&gt;0,"Valid","Invalid")</f>
        <v>Valid</v>
      </c>
    </row>
    <row r="5395" spans="1:18" x14ac:dyDescent="0.25">
      <c r="A5395" t="s">
        <v>7466</v>
      </c>
      <c r="B5395" t="s">
        <v>849</v>
      </c>
      <c r="C5395" s="8">
        <v>46218</v>
      </c>
      <c r="D5395" t="s">
        <v>2058</v>
      </c>
      <c r="E5395" t="s">
        <v>2063</v>
      </c>
      <c r="F5395" t="s">
        <v>11</v>
      </c>
      <c r="G5395">
        <v>866.99</v>
      </c>
      <c r="H5395" t="s">
        <v>2115</v>
      </c>
      <c r="I5395" t="str">
        <f>VLOOKUP(B5395,Customers!A:G,7,FALSE)</f>
        <v>Individual</v>
      </c>
      <c r="Q5395" t="str">
        <f>IF(COUNTIF(Customers!$A$2:$A$1001,B5395)&gt;0,"Valid","Invalid")</f>
        <v>Valid</v>
      </c>
      <c r="R5395" t="str">
        <f>IF(COUNTIF(Branches!$A$2:$A$11,F5395)&gt;0,"Valid","Invalid")</f>
        <v>Valid</v>
      </c>
    </row>
    <row r="5396" spans="1:18" x14ac:dyDescent="0.25">
      <c r="A5396" t="s">
        <v>7467</v>
      </c>
      <c r="B5396" t="s">
        <v>888</v>
      </c>
      <c r="C5396" s="8">
        <v>46264</v>
      </c>
      <c r="D5396" t="s">
        <v>2065</v>
      </c>
      <c r="E5396" t="s">
        <v>2063</v>
      </c>
      <c r="F5396" t="s">
        <v>45</v>
      </c>
      <c r="G5396">
        <v>3168.61</v>
      </c>
      <c r="H5396" t="s">
        <v>2060</v>
      </c>
      <c r="I5396" t="str">
        <f>VLOOKUP(B5396,Customers!A:G,7,FALSE)</f>
        <v>SME</v>
      </c>
      <c r="Q5396" t="str">
        <f>IF(COUNTIF(Customers!$A$2:$A$1001,B5396)&gt;0,"Valid","Invalid")</f>
        <v>Valid</v>
      </c>
      <c r="R5396" t="str">
        <f>IF(COUNTIF(Branches!$A$2:$A$11,F5396)&gt;0,"Valid","Invalid")</f>
        <v>Valid</v>
      </c>
    </row>
    <row r="5397" spans="1:18" x14ac:dyDescent="0.25">
      <c r="A5397" t="s">
        <v>7468</v>
      </c>
      <c r="B5397" t="s">
        <v>701</v>
      </c>
      <c r="C5397" s="8">
        <v>46201</v>
      </c>
      <c r="D5397" t="s">
        <v>2065</v>
      </c>
      <c r="E5397" t="s">
        <v>2063</v>
      </c>
      <c r="F5397" t="s">
        <v>29</v>
      </c>
      <c r="G5397">
        <v>371.67</v>
      </c>
      <c r="H5397" t="s">
        <v>2115</v>
      </c>
      <c r="I5397" t="str">
        <f>VLOOKUP(B5397,Customers!A:G,7,FALSE)</f>
        <v>Individual</v>
      </c>
      <c r="Q5397" t="str">
        <f>IF(COUNTIF(Customers!$A$2:$A$1001,B5397)&gt;0,"Valid","Invalid")</f>
        <v>Valid</v>
      </c>
      <c r="R5397" t="str">
        <f>IF(COUNTIF(Branches!$A$2:$A$11,F5397)&gt;0,"Valid","Invalid")</f>
        <v>Valid</v>
      </c>
    </row>
    <row r="5398" spans="1:18" x14ac:dyDescent="0.25">
      <c r="A5398" t="s">
        <v>7469</v>
      </c>
      <c r="B5398" t="s">
        <v>755</v>
      </c>
      <c r="C5398" s="8">
        <v>46035</v>
      </c>
      <c r="D5398" t="s">
        <v>2067</v>
      </c>
      <c r="E5398" t="s">
        <v>2068</v>
      </c>
      <c r="F5398" t="s">
        <v>27</v>
      </c>
      <c r="G5398">
        <v>2364.91</v>
      </c>
      <c r="H5398" t="s">
        <v>2060</v>
      </c>
      <c r="I5398" t="str">
        <f>VLOOKUP(B5398,Customers!A:G,7,FALSE)</f>
        <v>Individual</v>
      </c>
      <c r="Q5398" t="str">
        <f>IF(COUNTIF(Customers!$A$2:$A$1001,B5398)&gt;0,"Valid","Invalid")</f>
        <v>Valid</v>
      </c>
      <c r="R5398" t="str">
        <f>IF(COUNTIF(Branches!$A$2:$A$11,F5398)&gt;0,"Valid","Invalid")</f>
        <v>Valid</v>
      </c>
    </row>
    <row r="5399" spans="1:18" x14ac:dyDescent="0.25">
      <c r="A5399" t="s">
        <v>7470</v>
      </c>
      <c r="B5399" t="s">
        <v>358</v>
      </c>
      <c r="C5399" s="8">
        <v>46250</v>
      </c>
      <c r="D5399" t="s">
        <v>2058</v>
      </c>
      <c r="E5399" t="s">
        <v>2063</v>
      </c>
      <c r="F5399" t="s">
        <v>35</v>
      </c>
      <c r="G5399">
        <v>257.99</v>
      </c>
      <c r="H5399" t="s">
        <v>2060</v>
      </c>
      <c r="I5399" t="str">
        <f>VLOOKUP(B5399,Customers!A:G,7,FALSE)</f>
        <v>Individual</v>
      </c>
      <c r="Q5399" t="str">
        <f>IF(COUNTIF(Customers!$A$2:$A$1001,B5399)&gt;0,"Valid","Invalid")</f>
        <v>Valid</v>
      </c>
      <c r="R5399" t="str">
        <f>IF(COUNTIF(Branches!$A$2:$A$11,F5399)&gt;0,"Valid","Invalid")</f>
        <v>Valid</v>
      </c>
    </row>
    <row r="5400" spans="1:18" x14ac:dyDescent="0.25">
      <c r="A5400" t="s">
        <v>7471</v>
      </c>
      <c r="B5400" t="s">
        <v>805</v>
      </c>
      <c r="C5400" s="8">
        <v>46213</v>
      </c>
      <c r="D5400" t="s">
        <v>2065</v>
      </c>
      <c r="E5400" t="s">
        <v>2073</v>
      </c>
      <c r="F5400" t="s">
        <v>35</v>
      </c>
      <c r="G5400">
        <v>211.75</v>
      </c>
      <c r="H5400" t="s">
        <v>2060</v>
      </c>
      <c r="I5400" t="str">
        <f>VLOOKUP(B5400,Customers!A:G,7,FALSE)</f>
        <v>Individual</v>
      </c>
      <c r="Q5400" t="str">
        <f>IF(COUNTIF(Customers!$A$2:$A$1001,B5400)&gt;0,"Valid","Invalid")</f>
        <v>Valid</v>
      </c>
      <c r="R5400" t="str">
        <f>IF(COUNTIF(Branches!$A$2:$A$11,F5400)&gt;0,"Valid","Invalid")</f>
        <v>Valid</v>
      </c>
    </row>
    <row r="5401" spans="1:18" x14ac:dyDescent="0.25">
      <c r="A5401" t="s">
        <v>7472</v>
      </c>
      <c r="B5401" t="s">
        <v>173</v>
      </c>
      <c r="C5401" s="8">
        <v>46150</v>
      </c>
      <c r="D5401" t="s">
        <v>2067</v>
      </c>
      <c r="E5401" t="s">
        <v>2059</v>
      </c>
      <c r="F5401" t="s">
        <v>35</v>
      </c>
      <c r="G5401">
        <v>601.33000000000004</v>
      </c>
      <c r="H5401" t="s">
        <v>2060</v>
      </c>
      <c r="I5401" t="str">
        <f>VLOOKUP(B5401,Customers!A:G,7,FALSE)</f>
        <v>Corporate</v>
      </c>
      <c r="Q5401" t="str">
        <f>IF(COUNTIF(Customers!$A$2:$A$1001,B5401)&gt;0,"Valid","Invalid")</f>
        <v>Valid</v>
      </c>
      <c r="R5401" t="str">
        <f>IF(COUNTIF(Branches!$A$2:$A$11,F5401)&gt;0,"Valid","Invalid")</f>
        <v>Valid</v>
      </c>
    </row>
    <row r="5402" spans="1:18" x14ac:dyDescent="0.25">
      <c r="A5402" t="s">
        <v>7473</v>
      </c>
      <c r="B5402" t="s">
        <v>919</v>
      </c>
      <c r="C5402" s="8">
        <v>46192</v>
      </c>
      <c r="D5402" t="s">
        <v>2058</v>
      </c>
      <c r="E5402" t="s">
        <v>2059</v>
      </c>
      <c r="F5402" t="s">
        <v>11</v>
      </c>
      <c r="G5402">
        <v>317.06</v>
      </c>
      <c r="H5402" t="s">
        <v>2060</v>
      </c>
      <c r="I5402" t="str">
        <f>VLOOKUP(B5402,Customers!A:G,7,FALSE)</f>
        <v>Individual</v>
      </c>
      <c r="Q5402" t="str">
        <f>IF(COUNTIF(Customers!$A$2:$A$1001,B5402)&gt;0,"Valid","Invalid")</f>
        <v>Valid</v>
      </c>
      <c r="R5402" t="str">
        <f>IF(COUNTIF(Branches!$A$2:$A$11,F5402)&gt;0,"Valid","Invalid")</f>
        <v>Valid</v>
      </c>
    </row>
    <row r="5403" spans="1:18" x14ac:dyDescent="0.25">
      <c r="A5403" t="s">
        <v>7474</v>
      </c>
      <c r="B5403" t="s">
        <v>685</v>
      </c>
      <c r="C5403" s="8">
        <v>46204</v>
      </c>
      <c r="D5403" t="s">
        <v>2070</v>
      </c>
      <c r="E5403" t="s">
        <v>2059</v>
      </c>
      <c r="F5403" t="s">
        <v>16</v>
      </c>
      <c r="G5403">
        <v>208.8</v>
      </c>
      <c r="H5403" t="s">
        <v>2060</v>
      </c>
      <c r="I5403" t="str">
        <f>VLOOKUP(B5403,Customers!A:G,7,FALSE)</f>
        <v>Individual</v>
      </c>
      <c r="Q5403" t="str">
        <f>IF(COUNTIF(Customers!$A$2:$A$1001,B5403)&gt;0,"Valid","Invalid")</f>
        <v>Valid</v>
      </c>
      <c r="R5403" t="str">
        <f>IF(COUNTIF(Branches!$A$2:$A$11,F5403)&gt;0,"Valid","Invalid")</f>
        <v>Valid</v>
      </c>
    </row>
    <row r="5404" spans="1:18" x14ac:dyDescent="0.25">
      <c r="A5404" t="s">
        <v>7475</v>
      </c>
      <c r="B5404" t="s">
        <v>975</v>
      </c>
      <c r="C5404" s="8">
        <v>46123</v>
      </c>
      <c r="D5404" t="s">
        <v>2058</v>
      </c>
      <c r="E5404" t="s">
        <v>2076</v>
      </c>
      <c r="F5404" t="s">
        <v>45</v>
      </c>
      <c r="G5404">
        <v>5677.86</v>
      </c>
      <c r="H5404" t="s">
        <v>2060</v>
      </c>
      <c r="I5404" t="str">
        <f>VLOOKUP(B5404,Customers!A:G,7,FALSE)</f>
        <v>Individual</v>
      </c>
      <c r="Q5404" t="str">
        <f>IF(COUNTIF(Customers!$A$2:$A$1001,B5404)&gt;0,"Valid","Invalid")</f>
        <v>Valid</v>
      </c>
      <c r="R5404" t="str">
        <f>IF(COUNTIF(Branches!$A$2:$A$11,F5404)&gt;0,"Valid","Invalid")</f>
        <v>Valid</v>
      </c>
    </row>
    <row r="5405" spans="1:18" x14ac:dyDescent="0.25">
      <c r="A5405" t="s">
        <v>7476</v>
      </c>
      <c r="B5405" t="s">
        <v>604</v>
      </c>
      <c r="C5405" s="8">
        <v>46089</v>
      </c>
      <c r="D5405" t="s">
        <v>2062</v>
      </c>
      <c r="E5405" t="s">
        <v>2059</v>
      </c>
      <c r="F5405" t="s">
        <v>35</v>
      </c>
      <c r="G5405">
        <v>517.16</v>
      </c>
      <c r="H5405" t="s">
        <v>2060</v>
      </c>
      <c r="I5405" t="str">
        <f>VLOOKUP(B5405,Customers!A:G,7,FALSE)</f>
        <v>Student</v>
      </c>
      <c r="Q5405" t="str">
        <f>IF(COUNTIF(Customers!$A$2:$A$1001,B5405)&gt;0,"Valid","Invalid")</f>
        <v>Valid</v>
      </c>
      <c r="R5405" t="str">
        <f>IF(COUNTIF(Branches!$A$2:$A$11,F5405)&gt;0,"Valid","Invalid")</f>
        <v>Valid</v>
      </c>
    </row>
    <row r="5406" spans="1:18" x14ac:dyDescent="0.25">
      <c r="A5406" t="s">
        <v>7477</v>
      </c>
      <c r="B5406" t="s">
        <v>101</v>
      </c>
      <c r="C5406" s="8">
        <v>46102</v>
      </c>
      <c r="D5406" t="s">
        <v>2067</v>
      </c>
      <c r="E5406" t="s">
        <v>2063</v>
      </c>
      <c r="F5406" t="s">
        <v>16</v>
      </c>
      <c r="G5406">
        <v>8195.2000000000007</v>
      </c>
      <c r="H5406" t="s">
        <v>2115</v>
      </c>
      <c r="I5406" t="str">
        <f>VLOOKUP(B5406,Customers!A:G,7,FALSE)</f>
        <v>Individual</v>
      </c>
      <c r="Q5406" t="str">
        <f>IF(COUNTIF(Customers!$A$2:$A$1001,B5406)&gt;0,"Valid","Invalid")</f>
        <v>Valid</v>
      </c>
      <c r="R5406" t="str">
        <f>IF(COUNTIF(Branches!$A$2:$A$11,F5406)&gt;0,"Valid","Invalid")</f>
        <v>Valid</v>
      </c>
    </row>
    <row r="5407" spans="1:18" x14ac:dyDescent="0.25">
      <c r="A5407" t="s">
        <v>7478</v>
      </c>
      <c r="B5407" t="s">
        <v>552</v>
      </c>
      <c r="C5407" s="8">
        <v>46240</v>
      </c>
      <c r="D5407" t="s">
        <v>2065</v>
      </c>
      <c r="E5407" t="s">
        <v>2063</v>
      </c>
      <c r="F5407" t="s">
        <v>16</v>
      </c>
      <c r="G5407">
        <v>300.45</v>
      </c>
      <c r="H5407" t="s">
        <v>2060</v>
      </c>
      <c r="I5407" t="str">
        <f>VLOOKUP(B5407,Customers!A:G,7,FALSE)</f>
        <v>Individual</v>
      </c>
      <c r="Q5407" t="str">
        <f>IF(COUNTIF(Customers!$A$2:$A$1001,B5407)&gt;0,"Valid","Invalid")</f>
        <v>Valid</v>
      </c>
      <c r="R5407" t="str">
        <f>IF(COUNTIF(Branches!$A$2:$A$11,F5407)&gt;0,"Valid","Invalid")</f>
        <v>Valid</v>
      </c>
    </row>
    <row r="5408" spans="1:18" x14ac:dyDescent="0.25">
      <c r="A5408" t="s">
        <v>7479</v>
      </c>
      <c r="B5408" t="s">
        <v>168</v>
      </c>
      <c r="C5408" s="8">
        <v>46254</v>
      </c>
      <c r="D5408" t="s">
        <v>2067</v>
      </c>
      <c r="E5408" t="s">
        <v>2073</v>
      </c>
      <c r="F5408" t="s">
        <v>47</v>
      </c>
      <c r="G5408">
        <v>147.15</v>
      </c>
      <c r="H5408" t="s">
        <v>2060</v>
      </c>
      <c r="I5408" t="str">
        <f>VLOOKUP(B5408,Customers!A:G,7,FALSE)</f>
        <v>SME</v>
      </c>
      <c r="Q5408" t="str">
        <f>IF(COUNTIF(Customers!$A$2:$A$1001,B5408)&gt;0,"Valid","Invalid")</f>
        <v>Valid</v>
      </c>
      <c r="R5408" t="str">
        <f>IF(COUNTIF(Branches!$A$2:$A$11,F5408)&gt;0,"Valid","Invalid")</f>
        <v>Valid</v>
      </c>
    </row>
    <row r="5409" spans="1:18" x14ac:dyDescent="0.25">
      <c r="A5409" t="s">
        <v>7480</v>
      </c>
      <c r="B5409" t="s">
        <v>372</v>
      </c>
      <c r="C5409" s="8">
        <v>46206</v>
      </c>
      <c r="D5409" t="s">
        <v>2062</v>
      </c>
      <c r="E5409" t="s">
        <v>2063</v>
      </c>
      <c r="F5409" t="s">
        <v>29</v>
      </c>
      <c r="G5409">
        <v>2955.11</v>
      </c>
      <c r="H5409" t="s">
        <v>2060</v>
      </c>
      <c r="I5409" t="str">
        <f>VLOOKUP(B5409,Customers!A:G,7,FALSE)</f>
        <v>Corporate</v>
      </c>
      <c r="Q5409" t="str">
        <f>IF(COUNTIF(Customers!$A$2:$A$1001,B5409)&gt;0,"Valid","Invalid")</f>
        <v>Valid</v>
      </c>
      <c r="R5409" t="str">
        <f>IF(COUNTIF(Branches!$A$2:$A$11,F5409)&gt;0,"Valid","Invalid")</f>
        <v>Valid</v>
      </c>
    </row>
    <row r="5410" spans="1:18" x14ac:dyDescent="0.25">
      <c r="A5410" t="s">
        <v>7481</v>
      </c>
      <c r="B5410" t="s">
        <v>66</v>
      </c>
      <c r="C5410" s="8">
        <v>46125</v>
      </c>
      <c r="D5410" t="s">
        <v>2067</v>
      </c>
      <c r="E5410" t="s">
        <v>2059</v>
      </c>
      <c r="F5410" t="s">
        <v>39</v>
      </c>
      <c r="G5410">
        <v>392.82</v>
      </c>
      <c r="H5410" t="s">
        <v>2060</v>
      </c>
      <c r="I5410" t="str">
        <f>VLOOKUP(B5410,Customers!A:G,7,FALSE)</f>
        <v>Individual</v>
      </c>
      <c r="Q5410" t="str">
        <f>IF(COUNTIF(Customers!$A$2:$A$1001,B5410)&gt;0,"Valid","Invalid")</f>
        <v>Valid</v>
      </c>
      <c r="R5410" t="str">
        <f>IF(COUNTIF(Branches!$A$2:$A$11,F5410)&gt;0,"Valid","Invalid")</f>
        <v>Valid</v>
      </c>
    </row>
    <row r="5411" spans="1:18" x14ac:dyDescent="0.25">
      <c r="A5411" t="s">
        <v>7482</v>
      </c>
      <c r="B5411" t="s">
        <v>906</v>
      </c>
      <c r="C5411" s="8">
        <v>46041</v>
      </c>
      <c r="D5411" t="s">
        <v>2062</v>
      </c>
      <c r="E5411" t="s">
        <v>2059</v>
      </c>
      <c r="F5411" t="s">
        <v>27</v>
      </c>
      <c r="G5411">
        <v>933.43</v>
      </c>
      <c r="H5411" t="s">
        <v>2060</v>
      </c>
      <c r="I5411" t="str">
        <f>VLOOKUP(B5411,Customers!A:G,7,FALSE)</f>
        <v>Individual</v>
      </c>
      <c r="Q5411" t="str">
        <f>IF(COUNTIF(Customers!$A$2:$A$1001,B5411)&gt;0,"Valid","Invalid")</f>
        <v>Valid</v>
      </c>
      <c r="R5411" t="str">
        <f>IF(COUNTIF(Branches!$A$2:$A$11,F5411)&gt;0,"Valid","Invalid")</f>
        <v>Valid</v>
      </c>
    </row>
    <row r="5412" spans="1:18" x14ac:dyDescent="0.25">
      <c r="A5412" t="s">
        <v>7483</v>
      </c>
      <c r="B5412" t="s">
        <v>936</v>
      </c>
      <c r="C5412" s="8">
        <v>46196</v>
      </c>
      <c r="D5412" t="s">
        <v>2070</v>
      </c>
      <c r="E5412" t="s">
        <v>2063</v>
      </c>
      <c r="F5412" t="s">
        <v>11</v>
      </c>
      <c r="G5412">
        <v>209.43</v>
      </c>
      <c r="H5412" t="s">
        <v>2060</v>
      </c>
      <c r="I5412" t="str">
        <f>VLOOKUP(B5412,Customers!A:G,7,FALSE)</f>
        <v>Individual</v>
      </c>
      <c r="Q5412" t="str">
        <f>IF(COUNTIF(Customers!$A$2:$A$1001,B5412)&gt;0,"Valid","Invalid")</f>
        <v>Valid</v>
      </c>
      <c r="R5412" t="str">
        <f>IF(COUNTIF(Branches!$A$2:$A$11,F5412)&gt;0,"Valid","Invalid")</f>
        <v>Valid</v>
      </c>
    </row>
    <row r="5413" spans="1:18" x14ac:dyDescent="0.25">
      <c r="A5413" t="s">
        <v>7484</v>
      </c>
      <c r="B5413" t="s">
        <v>910</v>
      </c>
      <c r="C5413" s="8">
        <v>46165</v>
      </c>
      <c r="D5413" t="s">
        <v>2065</v>
      </c>
      <c r="E5413" t="s">
        <v>2063</v>
      </c>
      <c r="F5413" t="s">
        <v>39</v>
      </c>
      <c r="G5413">
        <v>782.03</v>
      </c>
      <c r="H5413" t="s">
        <v>2060</v>
      </c>
      <c r="I5413" t="str">
        <f>VLOOKUP(B5413,Customers!A:G,7,FALSE)</f>
        <v>Student</v>
      </c>
      <c r="Q5413" t="str">
        <f>IF(COUNTIF(Customers!$A$2:$A$1001,B5413)&gt;0,"Valid","Invalid")</f>
        <v>Valid</v>
      </c>
      <c r="R5413" t="str">
        <f>IF(COUNTIF(Branches!$A$2:$A$11,F5413)&gt;0,"Valid","Invalid")</f>
        <v>Valid</v>
      </c>
    </row>
    <row r="5414" spans="1:18" x14ac:dyDescent="0.25">
      <c r="A5414" t="s">
        <v>7485</v>
      </c>
      <c r="B5414" t="s">
        <v>536</v>
      </c>
      <c r="C5414" s="8">
        <v>46054</v>
      </c>
      <c r="D5414" t="s">
        <v>2065</v>
      </c>
      <c r="E5414" t="s">
        <v>2063</v>
      </c>
      <c r="F5414" t="s">
        <v>29</v>
      </c>
      <c r="G5414">
        <v>206.1</v>
      </c>
      <c r="H5414" t="s">
        <v>2060</v>
      </c>
      <c r="I5414" t="str">
        <f>VLOOKUP(B5414,Customers!A:G,7,FALSE)</f>
        <v>Individual</v>
      </c>
      <c r="Q5414" t="str">
        <f>IF(COUNTIF(Customers!$A$2:$A$1001,B5414)&gt;0,"Valid","Invalid")</f>
        <v>Valid</v>
      </c>
      <c r="R5414" t="str">
        <f>IF(COUNTIF(Branches!$A$2:$A$11,F5414)&gt;0,"Valid","Invalid")</f>
        <v>Valid</v>
      </c>
    </row>
    <row r="5415" spans="1:18" x14ac:dyDescent="0.25">
      <c r="A5415" t="s">
        <v>7486</v>
      </c>
      <c r="B5415" t="s">
        <v>281</v>
      </c>
      <c r="C5415" s="8">
        <v>46199</v>
      </c>
      <c r="D5415" t="s">
        <v>2065</v>
      </c>
      <c r="E5415" t="s">
        <v>2076</v>
      </c>
      <c r="F5415" t="s">
        <v>29</v>
      </c>
      <c r="G5415">
        <v>754.53</v>
      </c>
      <c r="H5415" t="s">
        <v>2060</v>
      </c>
      <c r="I5415" t="str">
        <f>VLOOKUP(B5415,Customers!A:G,7,FALSE)</f>
        <v>Individual</v>
      </c>
      <c r="Q5415" t="str">
        <f>IF(COUNTIF(Customers!$A$2:$A$1001,B5415)&gt;0,"Valid","Invalid")</f>
        <v>Valid</v>
      </c>
      <c r="R5415" t="str">
        <f>IF(COUNTIF(Branches!$A$2:$A$11,F5415)&gt;0,"Valid","Invalid")</f>
        <v>Valid</v>
      </c>
    </row>
    <row r="5416" spans="1:18" x14ac:dyDescent="0.25">
      <c r="A5416" t="s">
        <v>7487</v>
      </c>
      <c r="B5416" t="s">
        <v>229</v>
      </c>
      <c r="C5416" s="8">
        <v>46171</v>
      </c>
      <c r="D5416" t="s">
        <v>2067</v>
      </c>
      <c r="E5416" t="s">
        <v>2059</v>
      </c>
      <c r="F5416" t="s">
        <v>11</v>
      </c>
      <c r="G5416">
        <v>505.76</v>
      </c>
      <c r="H5416" t="s">
        <v>2060</v>
      </c>
      <c r="I5416" t="str">
        <f>VLOOKUP(B5416,Customers!A:G,7,FALSE)</f>
        <v>Corporate</v>
      </c>
      <c r="Q5416" t="str">
        <f>IF(COUNTIF(Customers!$A$2:$A$1001,B5416)&gt;0,"Valid","Invalid")</f>
        <v>Valid</v>
      </c>
      <c r="R5416" t="str">
        <f>IF(COUNTIF(Branches!$A$2:$A$11,F5416)&gt;0,"Valid","Invalid")</f>
        <v>Valid</v>
      </c>
    </row>
    <row r="5417" spans="1:18" x14ac:dyDescent="0.25">
      <c r="A5417" t="s">
        <v>7488</v>
      </c>
      <c r="B5417" t="s">
        <v>178</v>
      </c>
      <c r="C5417" s="8">
        <v>46087</v>
      </c>
      <c r="D5417" t="s">
        <v>2065</v>
      </c>
      <c r="E5417" t="s">
        <v>2068</v>
      </c>
      <c r="F5417" t="s">
        <v>47</v>
      </c>
      <c r="G5417">
        <v>1022.77</v>
      </c>
      <c r="H5417" t="s">
        <v>2060</v>
      </c>
      <c r="I5417" t="str">
        <f>VLOOKUP(B5417,Customers!A:G,7,FALSE)</f>
        <v>Individual</v>
      </c>
      <c r="Q5417" t="str">
        <f>IF(COUNTIF(Customers!$A$2:$A$1001,B5417)&gt;0,"Valid","Invalid")</f>
        <v>Valid</v>
      </c>
      <c r="R5417" t="str">
        <f>IF(COUNTIF(Branches!$A$2:$A$11,F5417)&gt;0,"Valid","Invalid")</f>
        <v>Valid</v>
      </c>
    </row>
    <row r="5418" spans="1:18" x14ac:dyDescent="0.25">
      <c r="A5418" t="s">
        <v>7489</v>
      </c>
      <c r="B5418" t="s">
        <v>698</v>
      </c>
      <c r="C5418" s="8">
        <v>46220</v>
      </c>
      <c r="D5418" t="s">
        <v>2062</v>
      </c>
      <c r="E5418" t="s">
        <v>2076</v>
      </c>
      <c r="F5418" t="s">
        <v>21</v>
      </c>
      <c r="G5418">
        <v>1518.82</v>
      </c>
      <c r="H5418" t="s">
        <v>2060</v>
      </c>
      <c r="I5418" t="str">
        <f>VLOOKUP(B5418,Customers!A:G,7,FALSE)</f>
        <v>Individual</v>
      </c>
      <c r="Q5418" t="str">
        <f>IF(COUNTIF(Customers!$A$2:$A$1001,B5418)&gt;0,"Valid","Invalid")</f>
        <v>Valid</v>
      </c>
      <c r="R5418" t="str">
        <f>IF(COUNTIF(Branches!$A$2:$A$11,F5418)&gt;0,"Valid","Invalid")</f>
        <v>Valid</v>
      </c>
    </row>
    <row r="5419" spans="1:18" x14ac:dyDescent="0.25">
      <c r="A5419" t="s">
        <v>7490</v>
      </c>
      <c r="B5419" t="s">
        <v>639</v>
      </c>
      <c r="C5419" s="8">
        <v>46049</v>
      </c>
      <c r="D5419" t="s">
        <v>2065</v>
      </c>
      <c r="E5419" t="s">
        <v>2063</v>
      </c>
      <c r="F5419" t="s">
        <v>16</v>
      </c>
      <c r="G5419">
        <v>1033.8900000000001</v>
      </c>
      <c r="H5419" t="s">
        <v>2060</v>
      </c>
      <c r="I5419" t="str">
        <f>VLOOKUP(B5419,Customers!A:G,7,FALSE)</f>
        <v>Individual</v>
      </c>
      <c r="Q5419" t="str">
        <f>IF(COUNTIF(Customers!$A$2:$A$1001,B5419)&gt;0,"Valid","Invalid")</f>
        <v>Valid</v>
      </c>
      <c r="R5419" t="str">
        <f>IF(COUNTIF(Branches!$A$2:$A$11,F5419)&gt;0,"Valid","Invalid")</f>
        <v>Valid</v>
      </c>
    </row>
    <row r="5420" spans="1:18" x14ac:dyDescent="0.25">
      <c r="A5420" t="s">
        <v>7491</v>
      </c>
      <c r="B5420" t="s">
        <v>599</v>
      </c>
      <c r="C5420" s="8">
        <v>46173</v>
      </c>
      <c r="D5420" t="s">
        <v>2067</v>
      </c>
      <c r="E5420" t="s">
        <v>2059</v>
      </c>
      <c r="F5420" t="s">
        <v>39</v>
      </c>
      <c r="G5420">
        <v>1275.44</v>
      </c>
      <c r="H5420" t="s">
        <v>2060</v>
      </c>
      <c r="I5420" t="str">
        <f>VLOOKUP(B5420,Customers!A:G,7,FALSE)</f>
        <v>Individual</v>
      </c>
      <c r="Q5420" t="str">
        <f>IF(COUNTIF(Customers!$A$2:$A$1001,B5420)&gt;0,"Valid","Invalid")</f>
        <v>Valid</v>
      </c>
      <c r="R5420" t="str">
        <f>IF(COUNTIF(Branches!$A$2:$A$11,F5420)&gt;0,"Valid","Invalid")</f>
        <v>Valid</v>
      </c>
    </row>
    <row r="5421" spans="1:18" x14ac:dyDescent="0.25">
      <c r="A5421" t="s">
        <v>7492</v>
      </c>
      <c r="B5421" t="s">
        <v>686</v>
      </c>
      <c r="C5421" s="8">
        <v>46069</v>
      </c>
      <c r="D5421" t="s">
        <v>2065</v>
      </c>
      <c r="E5421" t="s">
        <v>2076</v>
      </c>
      <c r="F5421" t="s">
        <v>39</v>
      </c>
      <c r="G5421">
        <v>728.49</v>
      </c>
      <c r="H5421" t="s">
        <v>2060</v>
      </c>
      <c r="I5421" t="str">
        <f>VLOOKUP(B5421,Customers!A:G,7,FALSE)</f>
        <v>SME</v>
      </c>
      <c r="Q5421" t="str">
        <f>IF(COUNTIF(Customers!$A$2:$A$1001,B5421)&gt;0,"Valid","Invalid")</f>
        <v>Valid</v>
      </c>
      <c r="R5421" t="str">
        <f>IF(COUNTIF(Branches!$A$2:$A$11,F5421)&gt;0,"Valid","Invalid")</f>
        <v>Valid</v>
      </c>
    </row>
    <row r="5422" spans="1:18" x14ac:dyDescent="0.25">
      <c r="A5422" t="s">
        <v>7493</v>
      </c>
      <c r="B5422" t="s">
        <v>1026</v>
      </c>
      <c r="C5422" s="8">
        <v>46245</v>
      </c>
      <c r="D5422" t="s">
        <v>2070</v>
      </c>
      <c r="E5422" t="s">
        <v>2076</v>
      </c>
      <c r="F5422" t="s">
        <v>29</v>
      </c>
      <c r="G5422">
        <v>525.66999999999996</v>
      </c>
      <c r="H5422" t="s">
        <v>2060</v>
      </c>
      <c r="I5422" t="str">
        <f>VLOOKUP(B5422,Customers!A:G,7,FALSE)</f>
        <v>Individual</v>
      </c>
      <c r="Q5422" t="str">
        <f>IF(COUNTIF(Customers!$A$2:$A$1001,B5422)&gt;0,"Valid","Invalid")</f>
        <v>Valid</v>
      </c>
      <c r="R5422" t="str">
        <f>IF(COUNTIF(Branches!$A$2:$A$11,F5422)&gt;0,"Valid","Invalid")</f>
        <v>Valid</v>
      </c>
    </row>
    <row r="5423" spans="1:18" x14ac:dyDescent="0.25">
      <c r="A5423" t="s">
        <v>7494</v>
      </c>
      <c r="B5423" t="s">
        <v>228</v>
      </c>
      <c r="C5423" s="8">
        <v>46034</v>
      </c>
      <c r="D5423" t="s">
        <v>2058</v>
      </c>
      <c r="E5423" t="s">
        <v>2076</v>
      </c>
      <c r="F5423" t="s">
        <v>27</v>
      </c>
      <c r="G5423">
        <v>1300</v>
      </c>
      <c r="H5423" t="s">
        <v>2060</v>
      </c>
      <c r="I5423" t="str">
        <f>VLOOKUP(B5423,Customers!A:G,7,FALSE)</f>
        <v>SME</v>
      </c>
      <c r="Q5423" t="str">
        <f>IF(COUNTIF(Customers!$A$2:$A$1001,B5423)&gt;0,"Valid","Invalid")</f>
        <v>Valid</v>
      </c>
      <c r="R5423" t="str">
        <f>IF(COUNTIF(Branches!$A$2:$A$11,F5423)&gt;0,"Valid","Invalid")</f>
        <v>Valid</v>
      </c>
    </row>
    <row r="5424" spans="1:18" x14ac:dyDescent="0.25">
      <c r="A5424" t="s">
        <v>7495</v>
      </c>
      <c r="B5424" t="s">
        <v>980</v>
      </c>
      <c r="C5424" s="8">
        <v>46107</v>
      </c>
      <c r="D5424" t="s">
        <v>2062</v>
      </c>
      <c r="E5424" t="s">
        <v>2076</v>
      </c>
      <c r="F5424" t="s">
        <v>45</v>
      </c>
      <c r="G5424">
        <v>726.73</v>
      </c>
      <c r="H5424" t="s">
        <v>2060</v>
      </c>
      <c r="I5424" t="str">
        <f>VLOOKUP(B5424,Customers!A:G,7,FALSE)</f>
        <v>Individual</v>
      </c>
      <c r="Q5424" t="str">
        <f>IF(COUNTIF(Customers!$A$2:$A$1001,B5424)&gt;0,"Valid","Invalid")</f>
        <v>Valid</v>
      </c>
      <c r="R5424" t="str">
        <f>IF(COUNTIF(Branches!$A$2:$A$11,F5424)&gt;0,"Valid","Invalid")</f>
        <v>Valid</v>
      </c>
    </row>
    <row r="5425" spans="1:18" x14ac:dyDescent="0.25">
      <c r="A5425" t="s">
        <v>7496</v>
      </c>
      <c r="B5425" t="s">
        <v>185</v>
      </c>
      <c r="C5425" s="8">
        <v>46088</v>
      </c>
      <c r="D5425" t="s">
        <v>2070</v>
      </c>
      <c r="E5425" t="s">
        <v>2063</v>
      </c>
      <c r="F5425" t="s">
        <v>39</v>
      </c>
      <c r="G5425">
        <v>754.98</v>
      </c>
      <c r="H5425" t="s">
        <v>2060</v>
      </c>
      <c r="I5425" t="str">
        <f>VLOOKUP(B5425,Customers!A:G,7,FALSE)</f>
        <v>SME</v>
      </c>
      <c r="Q5425" t="str">
        <f>IF(COUNTIF(Customers!$A$2:$A$1001,B5425)&gt;0,"Valid","Invalid")</f>
        <v>Valid</v>
      </c>
      <c r="R5425" t="str">
        <f>IF(COUNTIF(Branches!$A$2:$A$11,F5425)&gt;0,"Valid","Invalid")</f>
        <v>Valid</v>
      </c>
    </row>
    <row r="5426" spans="1:18" x14ac:dyDescent="0.25">
      <c r="A5426" t="s">
        <v>7497</v>
      </c>
      <c r="B5426" t="s">
        <v>637</v>
      </c>
      <c r="C5426" s="8">
        <v>46155</v>
      </c>
      <c r="D5426" t="s">
        <v>2058</v>
      </c>
      <c r="E5426" t="s">
        <v>2076</v>
      </c>
      <c r="F5426" t="s">
        <v>47</v>
      </c>
      <c r="G5426">
        <v>1209.24</v>
      </c>
      <c r="H5426" t="s">
        <v>2060</v>
      </c>
      <c r="I5426" t="str">
        <f>VLOOKUP(B5426,Customers!A:G,7,FALSE)</f>
        <v>Individual</v>
      </c>
      <c r="Q5426" t="str">
        <f>IF(COUNTIF(Customers!$A$2:$A$1001,B5426)&gt;0,"Valid","Invalid")</f>
        <v>Valid</v>
      </c>
      <c r="R5426" t="str">
        <f>IF(COUNTIF(Branches!$A$2:$A$11,F5426)&gt;0,"Valid","Invalid")</f>
        <v>Valid</v>
      </c>
    </row>
    <row r="5427" spans="1:18" x14ac:dyDescent="0.25">
      <c r="A5427" t="s">
        <v>7498</v>
      </c>
      <c r="B5427" t="s">
        <v>454</v>
      </c>
      <c r="C5427" s="8">
        <v>46159</v>
      </c>
      <c r="D5427" t="s">
        <v>2065</v>
      </c>
      <c r="E5427" t="s">
        <v>2063</v>
      </c>
      <c r="F5427" t="s">
        <v>45</v>
      </c>
      <c r="G5427">
        <v>289.10000000000002</v>
      </c>
      <c r="H5427" t="s">
        <v>2060</v>
      </c>
      <c r="I5427" t="str">
        <f>VLOOKUP(B5427,Customers!A:G,7,FALSE)</f>
        <v>Corporate</v>
      </c>
      <c r="Q5427" t="str">
        <f>IF(COUNTIF(Customers!$A$2:$A$1001,B5427)&gt;0,"Valid","Invalid")</f>
        <v>Valid</v>
      </c>
      <c r="R5427" t="str">
        <f>IF(COUNTIF(Branches!$A$2:$A$11,F5427)&gt;0,"Valid","Invalid")</f>
        <v>Valid</v>
      </c>
    </row>
    <row r="5428" spans="1:18" x14ac:dyDescent="0.25">
      <c r="A5428" t="s">
        <v>7499</v>
      </c>
      <c r="B5428" t="s">
        <v>558</v>
      </c>
      <c r="C5428" s="8">
        <v>46170</v>
      </c>
      <c r="D5428" t="s">
        <v>2065</v>
      </c>
      <c r="E5428" t="s">
        <v>2059</v>
      </c>
      <c r="F5428" t="s">
        <v>16</v>
      </c>
      <c r="G5428">
        <v>3393.48</v>
      </c>
      <c r="H5428" t="s">
        <v>2060</v>
      </c>
      <c r="I5428" t="str">
        <f>VLOOKUP(B5428,Customers!A:G,7,FALSE)</f>
        <v>Individual</v>
      </c>
      <c r="Q5428" t="str">
        <f>IF(COUNTIF(Customers!$A$2:$A$1001,B5428)&gt;0,"Valid","Invalid")</f>
        <v>Valid</v>
      </c>
      <c r="R5428" t="str">
        <f>IF(COUNTIF(Branches!$A$2:$A$11,F5428)&gt;0,"Valid","Invalid")</f>
        <v>Valid</v>
      </c>
    </row>
    <row r="5429" spans="1:18" x14ac:dyDescent="0.25">
      <c r="A5429" t="s">
        <v>7500</v>
      </c>
      <c r="B5429" t="s">
        <v>773</v>
      </c>
      <c r="C5429" s="8">
        <v>46132</v>
      </c>
      <c r="D5429" t="s">
        <v>2065</v>
      </c>
      <c r="E5429" t="s">
        <v>2063</v>
      </c>
      <c r="F5429" t="s">
        <v>47</v>
      </c>
      <c r="G5429">
        <v>633.11</v>
      </c>
      <c r="H5429" t="s">
        <v>2060</v>
      </c>
      <c r="I5429" t="str">
        <f>VLOOKUP(B5429,Customers!A:G,7,FALSE)</f>
        <v>Individual</v>
      </c>
      <c r="Q5429" t="str">
        <f>IF(COUNTIF(Customers!$A$2:$A$1001,B5429)&gt;0,"Valid","Invalid")</f>
        <v>Valid</v>
      </c>
      <c r="R5429" t="str">
        <f>IF(COUNTIF(Branches!$A$2:$A$11,F5429)&gt;0,"Valid","Invalid")</f>
        <v>Valid</v>
      </c>
    </row>
    <row r="5430" spans="1:18" x14ac:dyDescent="0.25">
      <c r="A5430" t="s">
        <v>7501</v>
      </c>
      <c r="B5430" t="s">
        <v>907</v>
      </c>
      <c r="C5430" s="8">
        <v>46104</v>
      </c>
      <c r="D5430" t="s">
        <v>2062</v>
      </c>
      <c r="E5430" t="s">
        <v>2068</v>
      </c>
      <c r="F5430" t="s">
        <v>47</v>
      </c>
      <c r="G5430">
        <v>919.82</v>
      </c>
      <c r="H5430" t="s">
        <v>2060</v>
      </c>
      <c r="I5430" t="str">
        <f>VLOOKUP(B5430,Customers!A:G,7,FALSE)</f>
        <v>Individual</v>
      </c>
      <c r="Q5430" t="str">
        <f>IF(COUNTIF(Customers!$A$2:$A$1001,B5430)&gt;0,"Valid","Invalid")</f>
        <v>Valid</v>
      </c>
      <c r="R5430" t="str">
        <f>IF(COUNTIF(Branches!$A$2:$A$11,F5430)&gt;0,"Valid","Invalid")</f>
        <v>Valid</v>
      </c>
    </row>
    <row r="5431" spans="1:18" x14ac:dyDescent="0.25">
      <c r="A5431" t="s">
        <v>7502</v>
      </c>
      <c r="B5431" t="s">
        <v>49</v>
      </c>
      <c r="C5431" s="8">
        <v>46147</v>
      </c>
      <c r="D5431" t="s">
        <v>2065</v>
      </c>
      <c r="E5431" t="s">
        <v>2059</v>
      </c>
      <c r="F5431" t="s">
        <v>11</v>
      </c>
      <c r="G5431">
        <v>777.03</v>
      </c>
      <c r="H5431" t="s">
        <v>2060</v>
      </c>
      <c r="I5431" t="str">
        <f>VLOOKUP(B5431,Customers!A:G,7,FALSE)</f>
        <v>Individual</v>
      </c>
      <c r="Q5431" t="str">
        <f>IF(COUNTIF(Customers!$A$2:$A$1001,B5431)&gt;0,"Valid","Invalid")</f>
        <v>Valid</v>
      </c>
      <c r="R5431" t="str">
        <f>IF(COUNTIF(Branches!$A$2:$A$11,F5431)&gt;0,"Valid","Invalid")</f>
        <v>Valid</v>
      </c>
    </row>
    <row r="5432" spans="1:18" x14ac:dyDescent="0.25">
      <c r="A5432" t="s">
        <v>7503</v>
      </c>
      <c r="B5432" t="s">
        <v>846</v>
      </c>
      <c r="C5432" s="8">
        <v>46085</v>
      </c>
      <c r="D5432" t="s">
        <v>2065</v>
      </c>
      <c r="E5432" t="s">
        <v>2076</v>
      </c>
      <c r="F5432" t="s">
        <v>29</v>
      </c>
      <c r="G5432">
        <v>1560.47</v>
      </c>
      <c r="H5432" t="s">
        <v>2060</v>
      </c>
      <c r="I5432" t="str">
        <f>VLOOKUP(B5432,Customers!A:G,7,FALSE)</f>
        <v>Individual</v>
      </c>
      <c r="Q5432" t="str">
        <f>IF(COUNTIF(Customers!$A$2:$A$1001,B5432)&gt;0,"Valid","Invalid")</f>
        <v>Valid</v>
      </c>
      <c r="R5432" t="str">
        <f>IF(COUNTIF(Branches!$A$2:$A$11,F5432)&gt;0,"Valid","Invalid")</f>
        <v>Valid</v>
      </c>
    </row>
    <row r="5433" spans="1:18" x14ac:dyDescent="0.25">
      <c r="A5433" t="s">
        <v>7504</v>
      </c>
      <c r="B5433" t="s">
        <v>142</v>
      </c>
      <c r="C5433" s="8">
        <v>46236</v>
      </c>
      <c r="D5433" t="s">
        <v>2058</v>
      </c>
      <c r="E5433" t="s">
        <v>2068</v>
      </c>
      <c r="F5433" t="s">
        <v>35</v>
      </c>
      <c r="G5433">
        <v>1140.45</v>
      </c>
      <c r="H5433" t="s">
        <v>2060</v>
      </c>
      <c r="I5433" t="str">
        <f>VLOOKUP(B5433,Customers!A:G,7,FALSE)</f>
        <v>SME</v>
      </c>
      <c r="Q5433" t="str">
        <f>IF(COUNTIF(Customers!$A$2:$A$1001,B5433)&gt;0,"Valid","Invalid")</f>
        <v>Valid</v>
      </c>
      <c r="R5433" t="str">
        <f>IF(COUNTIF(Branches!$A$2:$A$11,F5433)&gt;0,"Valid","Invalid")</f>
        <v>Valid</v>
      </c>
    </row>
    <row r="5434" spans="1:18" x14ac:dyDescent="0.25">
      <c r="A5434" t="s">
        <v>7505</v>
      </c>
      <c r="B5434" t="s">
        <v>321</v>
      </c>
      <c r="C5434" s="8">
        <v>46094</v>
      </c>
      <c r="D5434" t="s">
        <v>2058</v>
      </c>
      <c r="E5434" t="s">
        <v>2068</v>
      </c>
      <c r="F5434" t="s">
        <v>35</v>
      </c>
      <c r="G5434">
        <v>772.84</v>
      </c>
      <c r="H5434" t="s">
        <v>2060</v>
      </c>
      <c r="I5434" t="str">
        <f>VLOOKUP(B5434,Customers!A:G,7,FALSE)</f>
        <v>SME</v>
      </c>
      <c r="Q5434" t="str">
        <f>IF(COUNTIF(Customers!$A$2:$A$1001,B5434)&gt;0,"Valid","Invalid")</f>
        <v>Valid</v>
      </c>
      <c r="R5434" t="str">
        <f>IF(COUNTIF(Branches!$A$2:$A$11,F5434)&gt;0,"Valid","Invalid")</f>
        <v>Valid</v>
      </c>
    </row>
    <row r="5435" spans="1:18" x14ac:dyDescent="0.25">
      <c r="A5435" t="s">
        <v>7506</v>
      </c>
      <c r="B5435" t="s">
        <v>140</v>
      </c>
      <c r="C5435" s="8">
        <v>46120</v>
      </c>
      <c r="D5435" t="s">
        <v>2058</v>
      </c>
      <c r="E5435" t="s">
        <v>2076</v>
      </c>
      <c r="F5435" t="s">
        <v>39</v>
      </c>
      <c r="G5435">
        <v>3459.07</v>
      </c>
      <c r="H5435" t="s">
        <v>2060</v>
      </c>
      <c r="I5435" t="str">
        <f>VLOOKUP(B5435,Customers!A:G,7,FALSE)</f>
        <v>Individual</v>
      </c>
      <c r="Q5435" t="str">
        <f>IF(COUNTIF(Customers!$A$2:$A$1001,B5435)&gt;0,"Valid","Invalid")</f>
        <v>Valid</v>
      </c>
      <c r="R5435" t="str">
        <f>IF(COUNTIF(Branches!$A$2:$A$11,F5435)&gt;0,"Valid","Invalid")</f>
        <v>Valid</v>
      </c>
    </row>
    <row r="5436" spans="1:18" x14ac:dyDescent="0.25">
      <c r="A5436" t="s">
        <v>7507</v>
      </c>
      <c r="B5436" t="s">
        <v>399</v>
      </c>
      <c r="C5436" s="8">
        <v>46095</v>
      </c>
      <c r="D5436" t="s">
        <v>2067</v>
      </c>
      <c r="E5436" t="s">
        <v>2063</v>
      </c>
      <c r="F5436" t="s">
        <v>21</v>
      </c>
      <c r="G5436">
        <v>33</v>
      </c>
      <c r="H5436" t="s">
        <v>2060</v>
      </c>
      <c r="I5436" t="str">
        <f>VLOOKUP(B5436,Customers!A:G,7,FALSE)</f>
        <v>Individual</v>
      </c>
      <c r="Q5436" t="str">
        <f>IF(COUNTIF(Customers!$A$2:$A$1001,B5436)&gt;0,"Valid","Invalid")</f>
        <v>Valid</v>
      </c>
      <c r="R5436" t="str">
        <f>IF(COUNTIF(Branches!$A$2:$A$11,F5436)&gt;0,"Valid","Invalid")</f>
        <v>Valid</v>
      </c>
    </row>
    <row r="5437" spans="1:18" x14ac:dyDescent="0.25">
      <c r="A5437" t="s">
        <v>7508</v>
      </c>
      <c r="B5437" t="s">
        <v>696</v>
      </c>
      <c r="C5437" s="8">
        <v>46093</v>
      </c>
      <c r="D5437" t="s">
        <v>2062</v>
      </c>
      <c r="E5437" t="s">
        <v>2068</v>
      </c>
      <c r="F5437" t="s">
        <v>39</v>
      </c>
      <c r="G5437">
        <v>2814.88</v>
      </c>
      <c r="H5437" t="s">
        <v>2060</v>
      </c>
      <c r="I5437" t="str">
        <f>VLOOKUP(B5437,Customers!A:G,7,FALSE)</f>
        <v>Individual</v>
      </c>
      <c r="Q5437" t="str">
        <f>IF(COUNTIF(Customers!$A$2:$A$1001,B5437)&gt;0,"Valid","Invalid")</f>
        <v>Valid</v>
      </c>
      <c r="R5437" t="str">
        <f>IF(COUNTIF(Branches!$A$2:$A$11,F5437)&gt;0,"Valid","Invalid")</f>
        <v>Valid</v>
      </c>
    </row>
    <row r="5438" spans="1:18" x14ac:dyDescent="0.25">
      <c r="A5438" t="s">
        <v>7509</v>
      </c>
      <c r="B5438" t="s">
        <v>69</v>
      </c>
      <c r="C5438" s="8">
        <v>46052</v>
      </c>
      <c r="D5438" t="s">
        <v>2058</v>
      </c>
      <c r="E5438" t="s">
        <v>2076</v>
      </c>
      <c r="F5438" t="s">
        <v>11</v>
      </c>
      <c r="G5438">
        <v>2039</v>
      </c>
      <c r="H5438" t="s">
        <v>2060</v>
      </c>
      <c r="I5438" t="str">
        <f>VLOOKUP(B5438,Customers!A:G,7,FALSE)</f>
        <v>Individual</v>
      </c>
      <c r="Q5438" t="str">
        <f>IF(COUNTIF(Customers!$A$2:$A$1001,B5438)&gt;0,"Valid","Invalid")</f>
        <v>Valid</v>
      </c>
      <c r="R5438" t="str">
        <f>IF(COUNTIF(Branches!$A$2:$A$11,F5438)&gt;0,"Valid","Invalid")</f>
        <v>Valid</v>
      </c>
    </row>
    <row r="5439" spans="1:18" x14ac:dyDescent="0.25">
      <c r="A5439" t="s">
        <v>7510</v>
      </c>
      <c r="B5439" t="s">
        <v>149</v>
      </c>
      <c r="C5439" s="8">
        <v>46147</v>
      </c>
      <c r="D5439" t="s">
        <v>2065</v>
      </c>
      <c r="E5439" t="s">
        <v>2076</v>
      </c>
      <c r="F5439" t="s">
        <v>39</v>
      </c>
      <c r="G5439">
        <v>129.57</v>
      </c>
      <c r="H5439" t="s">
        <v>2060</v>
      </c>
      <c r="I5439" t="str">
        <f>VLOOKUP(B5439,Customers!A:G,7,FALSE)</f>
        <v>Individual</v>
      </c>
      <c r="Q5439" t="str">
        <f>IF(COUNTIF(Customers!$A$2:$A$1001,B5439)&gt;0,"Valid","Invalid")</f>
        <v>Valid</v>
      </c>
      <c r="R5439" t="str">
        <f>IF(COUNTIF(Branches!$A$2:$A$11,F5439)&gt;0,"Valid","Invalid")</f>
        <v>Valid</v>
      </c>
    </row>
    <row r="5440" spans="1:18" x14ac:dyDescent="0.25">
      <c r="A5440" t="s">
        <v>7511</v>
      </c>
      <c r="B5440" t="s">
        <v>346</v>
      </c>
      <c r="C5440" s="8">
        <v>46232</v>
      </c>
      <c r="D5440" t="s">
        <v>2062</v>
      </c>
      <c r="E5440" t="s">
        <v>2073</v>
      </c>
      <c r="F5440" t="s">
        <v>45</v>
      </c>
      <c r="G5440">
        <v>2057.5700000000002</v>
      </c>
      <c r="H5440" t="s">
        <v>2060</v>
      </c>
      <c r="I5440" t="str">
        <f>VLOOKUP(B5440,Customers!A:G,7,FALSE)</f>
        <v>SME</v>
      </c>
      <c r="Q5440" t="str">
        <f>IF(COUNTIF(Customers!$A$2:$A$1001,B5440)&gt;0,"Valid","Invalid")</f>
        <v>Valid</v>
      </c>
      <c r="R5440" t="str">
        <f>IF(COUNTIF(Branches!$A$2:$A$11,F5440)&gt;0,"Valid","Invalid")</f>
        <v>Valid</v>
      </c>
    </row>
    <row r="5441" spans="1:18" x14ac:dyDescent="0.25">
      <c r="A5441" t="s">
        <v>7512</v>
      </c>
      <c r="B5441" t="s">
        <v>949</v>
      </c>
      <c r="C5441" s="8">
        <v>46241</v>
      </c>
      <c r="D5441" t="s">
        <v>2070</v>
      </c>
      <c r="E5441" t="s">
        <v>2063</v>
      </c>
      <c r="F5441" t="s">
        <v>45</v>
      </c>
      <c r="G5441">
        <v>2341.31</v>
      </c>
      <c r="H5441" t="s">
        <v>2060</v>
      </c>
      <c r="I5441" t="str">
        <f>VLOOKUP(B5441,Customers!A:G,7,FALSE)</f>
        <v>Student</v>
      </c>
      <c r="Q5441" t="str">
        <f>IF(COUNTIF(Customers!$A$2:$A$1001,B5441)&gt;0,"Valid","Invalid")</f>
        <v>Valid</v>
      </c>
      <c r="R5441" t="str">
        <f>IF(COUNTIF(Branches!$A$2:$A$11,F5441)&gt;0,"Valid","Invalid")</f>
        <v>Valid</v>
      </c>
    </row>
    <row r="5442" spans="1:18" x14ac:dyDescent="0.25">
      <c r="A5442" t="s">
        <v>7513</v>
      </c>
      <c r="B5442" t="s">
        <v>997</v>
      </c>
      <c r="C5442" s="8">
        <v>46038</v>
      </c>
      <c r="D5442" t="s">
        <v>2065</v>
      </c>
      <c r="E5442" t="s">
        <v>2063</v>
      </c>
      <c r="F5442" t="s">
        <v>29</v>
      </c>
      <c r="G5442">
        <v>1424.77</v>
      </c>
      <c r="H5442" t="s">
        <v>2060</v>
      </c>
      <c r="I5442" t="str">
        <f>VLOOKUP(B5442,Customers!A:G,7,FALSE)</f>
        <v>Individual</v>
      </c>
      <c r="Q5442" t="str">
        <f>IF(COUNTIF(Customers!$A$2:$A$1001,B5442)&gt;0,"Valid","Invalid")</f>
        <v>Valid</v>
      </c>
      <c r="R5442" t="str">
        <f>IF(COUNTIF(Branches!$A$2:$A$11,F5442)&gt;0,"Valid","Invalid")</f>
        <v>Valid</v>
      </c>
    </row>
    <row r="5443" spans="1:18" x14ac:dyDescent="0.25">
      <c r="A5443" t="s">
        <v>7514</v>
      </c>
      <c r="B5443" t="s">
        <v>89</v>
      </c>
      <c r="C5443" s="8">
        <v>46235</v>
      </c>
      <c r="D5443" t="s">
        <v>2067</v>
      </c>
      <c r="E5443" t="s">
        <v>2059</v>
      </c>
      <c r="F5443" t="s">
        <v>53</v>
      </c>
      <c r="G5443">
        <v>170.87</v>
      </c>
      <c r="H5443" t="s">
        <v>2060</v>
      </c>
      <c r="I5443" t="str">
        <f>VLOOKUP(B5443,Customers!A:G,7,FALSE)</f>
        <v>SME</v>
      </c>
      <c r="Q5443" t="str">
        <f>IF(COUNTIF(Customers!$A$2:$A$1001,B5443)&gt;0,"Valid","Invalid")</f>
        <v>Valid</v>
      </c>
      <c r="R5443" t="str">
        <f>IF(COUNTIF(Branches!$A$2:$A$11,F5443)&gt;0,"Valid","Invalid")</f>
        <v>Valid</v>
      </c>
    </row>
    <row r="5444" spans="1:18" x14ac:dyDescent="0.25">
      <c r="A5444" t="s">
        <v>7515</v>
      </c>
      <c r="B5444" t="s">
        <v>897</v>
      </c>
      <c r="C5444" s="8">
        <v>46155</v>
      </c>
      <c r="D5444" t="s">
        <v>2058</v>
      </c>
      <c r="E5444" t="s">
        <v>2068</v>
      </c>
      <c r="F5444" t="s">
        <v>11</v>
      </c>
      <c r="G5444">
        <v>1607.85</v>
      </c>
      <c r="H5444" t="s">
        <v>2060</v>
      </c>
      <c r="I5444" t="str">
        <f>VLOOKUP(B5444,Customers!A:G,7,FALSE)</f>
        <v>Individual</v>
      </c>
      <c r="Q5444" t="str">
        <f>IF(COUNTIF(Customers!$A$2:$A$1001,B5444)&gt;0,"Valid","Invalid")</f>
        <v>Valid</v>
      </c>
      <c r="R5444" t="str">
        <f>IF(COUNTIF(Branches!$A$2:$A$11,F5444)&gt;0,"Valid","Invalid")</f>
        <v>Valid</v>
      </c>
    </row>
    <row r="5445" spans="1:18" x14ac:dyDescent="0.25">
      <c r="A5445" t="s">
        <v>7516</v>
      </c>
      <c r="B5445" t="s">
        <v>117</v>
      </c>
      <c r="C5445" s="8">
        <v>46179</v>
      </c>
      <c r="D5445" t="s">
        <v>2065</v>
      </c>
      <c r="E5445" t="s">
        <v>2059</v>
      </c>
      <c r="F5445" t="s">
        <v>21</v>
      </c>
      <c r="G5445">
        <v>2224.3000000000002</v>
      </c>
      <c r="H5445" t="s">
        <v>2060</v>
      </c>
      <c r="I5445" t="str">
        <f>VLOOKUP(B5445,Customers!A:G,7,FALSE)</f>
        <v>Student</v>
      </c>
      <c r="Q5445" t="str">
        <f>IF(COUNTIF(Customers!$A$2:$A$1001,B5445)&gt;0,"Valid","Invalid")</f>
        <v>Valid</v>
      </c>
      <c r="R5445" t="str">
        <f>IF(COUNTIF(Branches!$A$2:$A$11,F5445)&gt;0,"Valid","Invalid")</f>
        <v>Valid</v>
      </c>
    </row>
    <row r="5446" spans="1:18" x14ac:dyDescent="0.25">
      <c r="A5446" t="s">
        <v>7517</v>
      </c>
      <c r="B5446" t="s">
        <v>654</v>
      </c>
      <c r="C5446" s="8">
        <v>46069</v>
      </c>
      <c r="D5446" t="s">
        <v>2062</v>
      </c>
      <c r="E5446" t="s">
        <v>2076</v>
      </c>
      <c r="F5446" t="s">
        <v>27</v>
      </c>
      <c r="G5446">
        <v>458.42</v>
      </c>
      <c r="H5446" t="s">
        <v>2060</v>
      </c>
      <c r="I5446" t="str">
        <f>VLOOKUP(B5446,Customers!A:G,7,FALSE)</f>
        <v>Individual</v>
      </c>
      <c r="Q5446" t="str">
        <f>IF(COUNTIF(Customers!$A$2:$A$1001,B5446)&gt;0,"Valid","Invalid")</f>
        <v>Valid</v>
      </c>
      <c r="R5446" t="str">
        <f>IF(COUNTIF(Branches!$A$2:$A$11,F5446)&gt;0,"Valid","Invalid")</f>
        <v>Valid</v>
      </c>
    </row>
    <row r="5447" spans="1:18" x14ac:dyDescent="0.25">
      <c r="A5447" t="s">
        <v>7518</v>
      </c>
      <c r="B5447" t="s">
        <v>872</v>
      </c>
      <c r="C5447" s="8">
        <v>46123</v>
      </c>
      <c r="D5447" t="s">
        <v>2067</v>
      </c>
      <c r="E5447" t="s">
        <v>2059</v>
      </c>
      <c r="F5447" t="s">
        <v>11</v>
      </c>
      <c r="G5447">
        <v>1262.8599999999999</v>
      </c>
      <c r="H5447" t="s">
        <v>2060</v>
      </c>
      <c r="I5447" t="str">
        <f>VLOOKUP(B5447,Customers!A:G,7,FALSE)</f>
        <v>Individual</v>
      </c>
      <c r="Q5447" t="str">
        <f>IF(COUNTIF(Customers!$A$2:$A$1001,B5447)&gt;0,"Valid","Invalid")</f>
        <v>Valid</v>
      </c>
      <c r="R5447" t="str">
        <f>IF(COUNTIF(Branches!$A$2:$A$11,F5447)&gt;0,"Valid","Invalid")</f>
        <v>Valid</v>
      </c>
    </row>
    <row r="5448" spans="1:18" x14ac:dyDescent="0.25">
      <c r="A5448" t="s">
        <v>7519</v>
      </c>
      <c r="B5448" t="s">
        <v>407</v>
      </c>
      <c r="C5448" s="8">
        <v>46129</v>
      </c>
      <c r="D5448" t="s">
        <v>2062</v>
      </c>
      <c r="E5448" t="s">
        <v>2076</v>
      </c>
      <c r="F5448" t="s">
        <v>39</v>
      </c>
      <c r="G5448">
        <v>570.66</v>
      </c>
      <c r="H5448" t="s">
        <v>2060</v>
      </c>
      <c r="I5448" t="str">
        <f>VLOOKUP(B5448,Customers!A:G,7,FALSE)</f>
        <v>Individual</v>
      </c>
      <c r="Q5448" t="str">
        <f>IF(COUNTIF(Customers!$A$2:$A$1001,B5448)&gt;0,"Valid","Invalid")</f>
        <v>Valid</v>
      </c>
      <c r="R5448" t="str">
        <f>IF(COUNTIF(Branches!$A$2:$A$11,F5448)&gt;0,"Valid","Invalid")</f>
        <v>Valid</v>
      </c>
    </row>
    <row r="5449" spans="1:18" x14ac:dyDescent="0.25">
      <c r="A5449" t="s">
        <v>7520</v>
      </c>
      <c r="B5449" t="s">
        <v>280</v>
      </c>
      <c r="C5449" s="8">
        <v>46148</v>
      </c>
      <c r="D5449" t="s">
        <v>2058</v>
      </c>
      <c r="E5449" t="s">
        <v>2068</v>
      </c>
      <c r="F5449" t="s">
        <v>53</v>
      </c>
      <c r="G5449">
        <v>1969.19</v>
      </c>
      <c r="H5449" t="s">
        <v>2060</v>
      </c>
      <c r="I5449" t="str">
        <f>VLOOKUP(B5449,Customers!A:G,7,FALSE)</f>
        <v>Individual</v>
      </c>
      <c r="Q5449" t="str">
        <f>IF(COUNTIF(Customers!$A$2:$A$1001,B5449)&gt;0,"Valid","Invalid")</f>
        <v>Valid</v>
      </c>
      <c r="R5449" t="str">
        <f>IF(COUNTIF(Branches!$A$2:$A$11,F5449)&gt;0,"Valid","Invalid")</f>
        <v>Valid</v>
      </c>
    </row>
    <row r="5450" spans="1:18" x14ac:dyDescent="0.25">
      <c r="A5450" t="s">
        <v>7521</v>
      </c>
      <c r="B5450" t="s">
        <v>65</v>
      </c>
      <c r="C5450" s="8">
        <v>46044</v>
      </c>
      <c r="D5450" t="s">
        <v>2058</v>
      </c>
      <c r="E5450" t="s">
        <v>2063</v>
      </c>
      <c r="F5450" t="s">
        <v>47</v>
      </c>
      <c r="G5450">
        <v>593.77</v>
      </c>
      <c r="H5450" t="s">
        <v>2060</v>
      </c>
      <c r="I5450" t="str">
        <f>VLOOKUP(B5450,Customers!A:G,7,FALSE)</f>
        <v>Student</v>
      </c>
      <c r="Q5450" t="str">
        <f>IF(COUNTIF(Customers!$A$2:$A$1001,B5450)&gt;0,"Valid","Invalid")</f>
        <v>Valid</v>
      </c>
      <c r="R5450" t="str">
        <f>IF(COUNTIF(Branches!$A$2:$A$11,F5450)&gt;0,"Valid","Invalid")</f>
        <v>Valid</v>
      </c>
    </row>
    <row r="5451" spans="1:18" x14ac:dyDescent="0.25">
      <c r="A5451" t="s">
        <v>7522</v>
      </c>
      <c r="B5451" t="s">
        <v>867</v>
      </c>
      <c r="C5451" s="8">
        <v>46228</v>
      </c>
      <c r="D5451" t="s">
        <v>2065</v>
      </c>
      <c r="E5451" t="s">
        <v>2076</v>
      </c>
      <c r="F5451" t="s">
        <v>35</v>
      </c>
      <c r="G5451">
        <v>454.81</v>
      </c>
      <c r="H5451" t="s">
        <v>2060</v>
      </c>
      <c r="I5451" t="str">
        <f>VLOOKUP(B5451,Customers!A:G,7,FALSE)</f>
        <v>Individual</v>
      </c>
      <c r="Q5451" t="str">
        <f>IF(COUNTIF(Customers!$A$2:$A$1001,B5451)&gt;0,"Valid","Invalid")</f>
        <v>Valid</v>
      </c>
      <c r="R5451" t="str">
        <f>IF(COUNTIF(Branches!$A$2:$A$11,F5451)&gt;0,"Valid","Invalid")</f>
        <v>Valid</v>
      </c>
    </row>
    <row r="5452" spans="1:18" x14ac:dyDescent="0.25">
      <c r="A5452" t="s">
        <v>7523</v>
      </c>
      <c r="B5452" t="s">
        <v>742</v>
      </c>
      <c r="C5452" s="8">
        <v>46207</v>
      </c>
      <c r="D5452" t="s">
        <v>2065</v>
      </c>
      <c r="E5452" t="s">
        <v>2068</v>
      </c>
      <c r="F5452" t="s">
        <v>29</v>
      </c>
      <c r="G5452">
        <v>781.1</v>
      </c>
      <c r="H5452" t="s">
        <v>2060</v>
      </c>
      <c r="I5452" t="str">
        <f>VLOOKUP(B5452,Customers!A:G,7,FALSE)</f>
        <v>Student</v>
      </c>
      <c r="Q5452" t="str">
        <f>IF(COUNTIF(Customers!$A$2:$A$1001,B5452)&gt;0,"Valid","Invalid")</f>
        <v>Valid</v>
      </c>
      <c r="R5452" t="str">
        <f>IF(COUNTIF(Branches!$A$2:$A$11,F5452)&gt;0,"Valid","Invalid")</f>
        <v>Valid</v>
      </c>
    </row>
    <row r="5453" spans="1:18" x14ac:dyDescent="0.25">
      <c r="A5453" t="s">
        <v>7524</v>
      </c>
      <c r="B5453" t="s">
        <v>907</v>
      </c>
      <c r="C5453" s="8">
        <v>46105</v>
      </c>
      <c r="D5453" t="s">
        <v>2065</v>
      </c>
      <c r="E5453" t="s">
        <v>2059</v>
      </c>
      <c r="F5453" t="s">
        <v>29</v>
      </c>
      <c r="G5453">
        <v>212.37</v>
      </c>
      <c r="H5453" t="s">
        <v>2060</v>
      </c>
      <c r="I5453" t="str">
        <f>VLOOKUP(B5453,Customers!A:G,7,FALSE)</f>
        <v>Individual</v>
      </c>
      <c r="Q5453" t="str">
        <f>IF(COUNTIF(Customers!$A$2:$A$1001,B5453)&gt;0,"Valid","Invalid")</f>
        <v>Valid</v>
      </c>
      <c r="R5453" t="str">
        <f>IF(COUNTIF(Branches!$A$2:$A$11,F5453)&gt;0,"Valid","Invalid")</f>
        <v>Valid</v>
      </c>
    </row>
    <row r="5454" spans="1:18" x14ac:dyDescent="0.25">
      <c r="A5454" t="s">
        <v>7525</v>
      </c>
      <c r="B5454" t="s">
        <v>399</v>
      </c>
      <c r="C5454" s="8">
        <v>46185</v>
      </c>
      <c r="D5454" t="s">
        <v>2065</v>
      </c>
      <c r="E5454" t="s">
        <v>2063</v>
      </c>
      <c r="F5454" t="s">
        <v>29</v>
      </c>
      <c r="G5454">
        <v>707.27</v>
      </c>
      <c r="H5454" t="s">
        <v>2060</v>
      </c>
      <c r="I5454" t="str">
        <f>VLOOKUP(B5454,Customers!A:G,7,FALSE)</f>
        <v>Individual</v>
      </c>
      <c r="Q5454" t="str">
        <f>IF(COUNTIF(Customers!$A$2:$A$1001,B5454)&gt;0,"Valid","Invalid")</f>
        <v>Valid</v>
      </c>
      <c r="R5454" t="str">
        <f>IF(COUNTIF(Branches!$A$2:$A$11,F5454)&gt;0,"Valid","Invalid")</f>
        <v>Valid</v>
      </c>
    </row>
    <row r="5455" spans="1:18" x14ac:dyDescent="0.25">
      <c r="A5455" t="s">
        <v>7526</v>
      </c>
      <c r="B5455" t="s">
        <v>271</v>
      </c>
      <c r="C5455" s="8">
        <v>46238</v>
      </c>
      <c r="D5455" t="s">
        <v>2067</v>
      </c>
      <c r="E5455" t="s">
        <v>2063</v>
      </c>
      <c r="F5455" t="s">
        <v>47</v>
      </c>
      <c r="G5455">
        <v>1166.8800000000001</v>
      </c>
      <c r="H5455" t="s">
        <v>2060</v>
      </c>
      <c r="I5455" t="str">
        <f>VLOOKUP(B5455,Customers!A:G,7,FALSE)</f>
        <v>Student</v>
      </c>
      <c r="Q5455" t="str">
        <f>IF(COUNTIF(Customers!$A$2:$A$1001,B5455)&gt;0,"Valid","Invalid")</f>
        <v>Valid</v>
      </c>
      <c r="R5455" t="str">
        <f>IF(COUNTIF(Branches!$A$2:$A$11,F5455)&gt;0,"Valid","Invalid")</f>
        <v>Valid</v>
      </c>
    </row>
    <row r="5456" spans="1:18" x14ac:dyDescent="0.25">
      <c r="A5456" t="s">
        <v>7527</v>
      </c>
      <c r="B5456" t="s">
        <v>648</v>
      </c>
      <c r="C5456" s="8">
        <v>46256</v>
      </c>
      <c r="D5456" t="s">
        <v>2062</v>
      </c>
      <c r="E5456" t="s">
        <v>2068</v>
      </c>
      <c r="F5456" t="s">
        <v>27</v>
      </c>
      <c r="G5456">
        <v>1939.06</v>
      </c>
      <c r="H5456" t="s">
        <v>2060</v>
      </c>
      <c r="I5456" t="str">
        <f>VLOOKUP(B5456,Customers!A:G,7,FALSE)</f>
        <v>Individual</v>
      </c>
      <c r="Q5456" t="str">
        <f>IF(COUNTIF(Customers!$A$2:$A$1001,B5456)&gt;0,"Valid","Invalid")</f>
        <v>Valid</v>
      </c>
      <c r="R5456" t="str">
        <f>IF(COUNTIF(Branches!$A$2:$A$11,F5456)&gt;0,"Valid","Invalid")</f>
        <v>Valid</v>
      </c>
    </row>
    <row r="5457" spans="1:18" x14ac:dyDescent="0.25">
      <c r="A5457" t="s">
        <v>7528</v>
      </c>
      <c r="B5457" t="s">
        <v>68</v>
      </c>
      <c r="C5457" s="8">
        <v>46082</v>
      </c>
      <c r="D5457" t="s">
        <v>2067</v>
      </c>
      <c r="E5457" t="s">
        <v>2063</v>
      </c>
      <c r="F5457" t="s">
        <v>39</v>
      </c>
      <c r="G5457">
        <v>1042.06</v>
      </c>
      <c r="H5457" t="s">
        <v>2060</v>
      </c>
      <c r="I5457" t="str">
        <f>VLOOKUP(B5457,Customers!A:G,7,FALSE)</f>
        <v>Student</v>
      </c>
      <c r="Q5457" t="str">
        <f>IF(COUNTIF(Customers!$A$2:$A$1001,B5457)&gt;0,"Valid","Invalid")</f>
        <v>Valid</v>
      </c>
      <c r="R5457" t="str">
        <f>IF(COUNTIF(Branches!$A$2:$A$11,F5457)&gt;0,"Valid","Invalid")</f>
        <v>Valid</v>
      </c>
    </row>
    <row r="5458" spans="1:18" x14ac:dyDescent="0.25">
      <c r="A5458" t="s">
        <v>7529</v>
      </c>
      <c r="B5458" t="s">
        <v>281</v>
      </c>
      <c r="C5458" s="8">
        <v>46220</v>
      </c>
      <c r="D5458" t="s">
        <v>2062</v>
      </c>
      <c r="E5458" t="s">
        <v>2059</v>
      </c>
      <c r="F5458" t="s">
        <v>53</v>
      </c>
      <c r="G5458">
        <v>193.91</v>
      </c>
      <c r="H5458" t="s">
        <v>2060</v>
      </c>
      <c r="I5458" t="str">
        <f>VLOOKUP(B5458,Customers!A:G,7,FALSE)</f>
        <v>Individual</v>
      </c>
      <c r="Q5458" t="str">
        <f>IF(COUNTIF(Customers!$A$2:$A$1001,B5458)&gt;0,"Valid","Invalid")</f>
        <v>Valid</v>
      </c>
      <c r="R5458" t="str">
        <f>IF(COUNTIF(Branches!$A$2:$A$11,F5458)&gt;0,"Valid","Invalid")</f>
        <v>Valid</v>
      </c>
    </row>
    <row r="5459" spans="1:18" x14ac:dyDescent="0.25">
      <c r="A5459" t="s">
        <v>7530</v>
      </c>
      <c r="B5459" t="s">
        <v>989</v>
      </c>
      <c r="C5459" s="8">
        <v>46210</v>
      </c>
      <c r="D5459" t="s">
        <v>2067</v>
      </c>
      <c r="E5459" t="s">
        <v>2063</v>
      </c>
      <c r="F5459" t="s">
        <v>47</v>
      </c>
      <c r="G5459">
        <v>3140.92</v>
      </c>
      <c r="H5459" t="s">
        <v>2060</v>
      </c>
      <c r="I5459" t="str">
        <f>VLOOKUP(B5459,Customers!A:G,7,FALSE)</f>
        <v>Individual</v>
      </c>
      <c r="Q5459" t="str">
        <f>IF(COUNTIF(Customers!$A$2:$A$1001,B5459)&gt;0,"Valid","Invalid")</f>
        <v>Valid</v>
      </c>
      <c r="R5459" t="str">
        <f>IF(COUNTIF(Branches!$A$2:$A$11,F5459)&gt;0,"Valid","Invalid")</f>
        <v>Valid</v>
      </c>
    </row>
    <row r="5460" spans="1:18" x14ac:dyDescent="0.25">
      <c r="A5460" t="s">
        <v>7531</v>
      </c>
      <c r="B5460" t="s">
        <v>95</v>
      </c>
      <c r="C5460" s="8">
        <v>46080</v>
      </c>
      <c r="D5460" t="s">
        <v>2062</v>
      </c>
      <c r="E5460" t="s">
        <v>2059</v>
      </c>
      <c r="F5460" t="s">
        <v>29</v>
      </c>
      <c r="G5460">
        <v>3415.77</v>
      </c>
      <c r="H5460" t="s">
        <v>2060</v>
      </c>
      <c r="I5460" t="str">
        <f>VLOOKUP(B5460,Customers!A:G,7,FALSE)</f>
        <v>SME</v>
      </c>
      <c r="Q5460" t="str">
        <f>IF(COUNTIF(Customers!$A$2:$A$1001,B5460)&gt;0,"Valid","Invalid")</f>
        <v>Valid</v>
      </c>
      <c r="R5460" t="str">
        <f>IF(COUNTIF(Branches!$A$2:$A$11,F5460)&gt;0,"Valid","Invalid")</f>
        <v>Valid</v>
      </c>
    </row>
    <row r="5461" spans="1:18" x14ac:dyDescent="0.25">
      <c r="A5461" t="s">
        <v>7532</v>
      </c>
      <c r="B5461" t="s">
        <v>809</v>
      </c>
      <c r="C5461" s="8">
        <v>46025</v>
      </c>
      <c r="D5461" t="s">
        <v>2070</v>
      </c>
      <c r="E5461" t="s">
        <v>2076</v>
      </c>
      <c r="F5461" t="s">
        <v>53</v>
      </c>
      <c r="G5461">
        <v>909.2</v>
      </c>
      <c r="H5461" t="s">
        <v>2060</v>
      </c>
      <c r="I5461" t="str">
        <f>VLOOKUP(B5461,Customers!A:G,7,FALSE)</f>
        <v>SME</v>
      </c>
      <c r="Q5461" t="str">
        <f>IF(COUNTIF(Customers!$A$2:$A$1001,B5461)&gt;0,"Valid","Invalid")</f>
        <v>Valid</v>
      </c>
      <c r="R5461" t="str">
        <f>IF(COUNTIF(Branches!$A$2:$A$11,F5461)&gt;0,"Valid","Invalid")</f>
        <v>Valid</v>
      </c>
    </row>
    <row r="5462" spans="1:18" x14ac:dyDescent="0.25">
      <c r="A5462" t="s">
        <v>7533</v>
      </c>
      <c r="B5462" t="s">
        <v>567</v>
      </c>
      <c r="C5462" s="8">
        <v>46184</v>
      </c>
      <c r="D5462" t="s">
        <v>2065</v>
      </c>
      <c r="E5462" t="s">
        <v>2068</v>
      </c>
      <c r="F5462" t="s">
        <v>27</v>
      </c>
      <c r="G5462">
        <v>383.01</v>
      </c>
      <c r="H5462" t="s">
        <v>2060</v>
      </c>
      <c r="I5462" t="str">
        <f>VLOOKUP(B5462,Customers!A:G,7,FALSE)</f>
        <v>Student</v>
      </c>
      <c r="Q5462" t="str">
        <f>IF(COUNTIF(Customers!$A$2:$A$1001,B5462)&gt;0,"Valid","Invalid")</f>
        <v>Valid</v>
      </c>
      <c r="R5462" t="str">
        <f>IF(COUNTIF(Branches!$A$2:$A$11,F5462)&gt;0,"Valid","Invalid")</f>
        <v>Valid</v>
      </c>
    </row>
    <row r="5463" spans="1:18" x14ac:dyDescent="0.25">
      <c r="A5463" t="s">
        <v>7534</v>
      </c>
      <c r="B5463" t="s">
        <v>114</v>
      </c>
      <c r="C5463" s="8">
        <v>46067</v>
      </c>
      <c r="D5463" t="s">
        <v>2062</v>
      </c>
      <c r="E5463" t="s">
        <v>2059</v>
      </c>
      <c r="F5463" t="s">
        <v>11</v>
      </c>
      <c r="G5463">
        <v>477.41</v>
      </c>
      <c r="H5463" t="s">
        <v>2060</v>
      </c>
      <c r="I5463" t="str">
        <f>VLOOKUP(B5463,Customers!A:G,7,FALSE)</f>
        <v>Individual</v>
      </c>
      <c r="Q5463" t="str">
        <f>IF(COUNTIF(Customers!$A$2:$A$1001,B5463)&gt;0,"Valid","Invalid")</f>
        <v>Valid</v>
      </c>
      <c r="R5463" t="str">
        <f>IF(COUNTIF(Branches!$A$2:$A$11,F5463)&gt;0,"Valid","Invalid")</f>
        <v>Valid</v>
      </c>
    </row>
    <row r="5464" spans="1:18" x14ac:dyDescent="0.25">
      <c r="A5464" t="s">
        <v>7535</v>
      </c>
      <c r="B5464" t="s">
        <v>756</v>
      </c>
      <c r="C5464" s="8">
        <v>46072</v>
      </c>
      <c r="D5464" t="s">
        <v>2058</v>
      </c>
      <c r="E5464" t="s">
        <v>2076</v>
      </c>
      <c r="F5464" t="s">
        <v>47</v>
      </c>
      <c r="G5464">
        <v>662.8</v>
      </c>
      <c r="H5464" t="s">
        <v>2060</v>
      </c>
      <c r="I5464" t="str">
        <f>VLOOKUP(B5464,Customers!A:G,7,FALSE)</f>
        <v>Individual</v>
      </c>
      <c r="Q5464" t="str">
        <f>IF(COUNTIF(Customers!$A$2:$A$1001,B5464)&gt;0,"Valid","Invalid")</f>
        <v>Valid</v>
      </c>
      <c r="R5464" t="str">
        <f>IF(COUNTIF(Branches!$A$2:$A$11,F5464)&gt;0,"Valid","Invalid")</f>
        <v>Valid</v>
      </c>
    </row>
    <row r="5465" spans="1:18" x14ac:dyDescent="0.25">
      <c r="A5465" t="s">
        <v>7536</v>
      </c>
      <c r="B5465" t="s">
        <v>340</v>
      </c>
      <c r="C5465" s="8">
        <v>46024</v>
      </c>
      <c r="D5465" t="s">
        <v>2062</v>
      </c>
      <c r="E5465" t="s">
        <v>2076</v>
      </c>
      <c r="F5465" t="s">
        <v>29</v>
      </c>
      <c r="G5465">
        <v>1073.49</v>
      </c>
      <c r="H5465" t="s">
        <v>2060</v>
      </c>
      <c r="I5465" t="str">
        <f>VLOOKUP(B5465,Customers!A:G,7,FALSE)</f>
        <v>Individual</v>
      </c>
      <c r="Q5465" t="str">
        <f>IF(COUNTIF(Customers!$A$2:$A$1001,B5465)&gt;0,"Valid","Invalid")</f>
        <v>Valid</v>
      </c>
      <c r="R5465" t="str">
        <f>IF(COUNTIF(Branches!$A$2:$A$11,F5465)&gt;0,"Valid","Invalid")</f>
        <v>Valid</v>
      </c>
    </row>
    <row r="5466" spans="1:18" x14ac:dyDescent="0.25">
      <c r="A5466" t="s">
        <v>7537</v>
      </c>
      <c r="B5466" t="s">
        <v>716</v>
      </c>
      <c r="C5466" s="8">
        <v>46037</v>
      </c>
      <c r="D5466" t="s">
        <v>2058</v>
      </c>
      <c r="E5466" t="s">
        <v>2063</v>
      </c>
      <c r="F5466" t="s">
        <v>29</v>
      </c>
      <c r="G5466">
        <v>599.15</v>
      </c>
      <c r="H5466" t="s">
        <v>2060</v>
      </c>
      <c r="I5466" t="str">
        <f>VLOOKUP(B5466,Customers!A:G,7,FALSE)</f>
        <v>Individual</v>
      </c>
      <c r="Q5466" t="str">
        <f>IF(COUNTIF(Customers!$A$2:$A$1001,B5466)&gt;0,"Valid","Invalid")</f>
        <v>Valid</v>
      </c>
      <c r="R5466" t="str">
        <f>IF(COUNTIF(Branches!$A$2:$A$11,F5466)&gt;0,"Valid","Invalid")</f>
        <v>Valid</v>
      </c>
    </row>
    <row r="5467" spans="1:18" x14ac:dyDescent="0.25">
      <c r="A5467" t="s">
        <v>7538</v>
      </c>
      <c r="B5467" t="s">
        <v>841</v>
      </c>
      <c r="C5467" s="8">
        <v>46187</v>
      </c>
      <c r="D5467" t="s">
        <v>2067</v>
      </c>
      <c r="E5467" t="s">
        <v>2063</v>
      </c>
      <c r="F5467" t="s">
        <v>29</v>
      </c>
      <c r="G5467">
        <v>344.33</v>
      </c>
      <c r="H5467" t="s">
        <v>2060</v>
      </c>
      <c r="I5467" t="str">
        <f>VLOOKUP(B5467,Customers!A:G,7,FALSE)</f>
        <v>Corporate</v>
      </c>
      <c r="Q5467" t="str">
        <f>IF(COUNTIF(Customers!$A$2:$A$1001,B5467)&gt;0,"Valid","Invalid")</f>
        <v>Valid</v>
      </c>
      <c r="R5467" t="str">
        <f>IF(COUNTIF(Branches!$A$2:$A$11,F5467)&gt;0,"Valid","Invalid")</f>
        <v>Valid</v>
      </c>
    </row>
    <row r="5468" spans="1:18" x14ac:dyDescent="0.25">
      <c r="A5468" t="s">
        <v>7539</v>
      </c>
      <c r="B5468" t="s">
        <v>935</v>
      </c>
      <c r="C5468" s="8">
        <v>46165</v>
      </c>
      <c r="D5468" t="s">
        <v>2065</v>
      </c>
      <c r="E5468" t="s">
        <v>2068</v>
      </c>
      <c r="F5468" t="s">
        <v>21</v>
      </c>
      <c r="G5468">
        <v>2259.75</v>
      </c>
      <c r="H5468" t="s">
        <v>2060</v>
      </c>
      <c r="I5468" t="str">
        <f>VLOOKUP(B5468,Customers!A:G,7,FALSE)</f>
        <v>Individual</v>
      </c>
      <c r="Q5468" t="str">
        <f>IF(COUNTIF(Customers!$A$2:$A$1001,B5468)&gt;0,"Valid","Invalid")</f>
        <v>Valid</v>
      </c>
      <c r="R5468" t="str">
        <f>IF(COUNTIF(Branches!$A$2:$A$11,F5468)&gt;0,"Valid","Invalid")</f>
        <v>Valid</v>
      </c>
    </row>
    <row r="5469" spans="1:18" x14ac:dyDescent="0.25">
      <c r="A5469" t="s">
        <v>7540</v>
      </c>
      <c r="B5469" t="s">
        <v>148</v>
      </c>
      <c r="C5469" s="8">
        <v>46210</v>
      </c>
      <c r="D5469" t="s">
        <v>2065</v>
      </c>
      <c r="E5469" t="s">
        <v>2076</v>
      </c>
      <c r="F5469" t="s">
        <v>11</v>
      </c>
      <c r="G5469">
        <v>1050.78</v>
      </c>
      <c r="H5469" t="s">
        <v>2060</v>
      </c>
      <c r="I5469" t="str">
        <f>VLOOKUP(B5469,Customers!A:G,7,FALSE)</f>
        <v>Individual</v>
      </c>
      <c r="Q5469" t="str">
        <f>IF(COUNTIF(Customers!$A$2:$A$1001,B5469)&gt;0,"Valid","Invalid")</f>
        <v>Valid</v>
      </c>
      <c r="R5469" t="str">
        <f>IF(COUNTIF(Branches!$A$2:$A$11,F5469)&gt;0,"Valid","Invalid")</f>
        <v>Valid</v>
      </c>
    </row>
    <row r="5470" spans="1:18" x14ac:dyDescent="0.25">
      <c r="A5470" t="s">
        <v>7541</v>
      </c>
      <c r="B5470" t="s">
        <v>451</v>
      </c>
      <c r="C5470" s="8">
        <v>46118</v>
      </c>
      <c r="D5470" t="s">
        <v>2058</v>
      </c>
      <c r="E5470" t="s">
        <v>2076</v>
      </c>
      <c r="F5470" t="s">
        <v>29</v>
      </c>
      <c r="G5470">
        <v>283.62</v>
      </c>
      <c r="H5470" t="s">
        <v>2060</v>
      </c>
      <c r="I5470" t="str">
        <f>VLOOKUP(B5470,Customers!A:G,7,FALSE)</f>
        <v>Individual</v>
      </c>
      <c r="Q5470" t="str">
        <f>IF(COUNTIF(Customers!$A$2:$A$1001,B5470)&gt;0,"Valid","Invalid")</f>
        <v>Valid</v>
      </c>
      <c r="R5470" t="str">
        <f>IF(COUNTIF(Branches!$A$2:$A$11,F5470)&gt;0,"Valid","Invalid")</f>
        <v>Valid</v>
      </c>
    </row>
    <row r="5471" spans="1:18" x14ac:dyDescent="0.25">
      <c r="A5471" t="s">
        <v>7542</v>
      </c>
      <c r="B5471" t="s">
        <v>938</v>
      </c>
      <c r="C5471" s="8">
        <v>46107</v>
      </c>
      <c r="D5471" t="s">
        <v>2070</v>
      </c>
      <c r="E5471" t="s">
        <v>2063</v>
      </c>
      <c r="F5471" t="s">
        <v>27</v>
      </c>
      <c r="G5471">
        <v>1087.1500000000001</v>
      </c>
      <c r="H5471" t="s">
        <v>2060</v>
      </c>
      <c r="I5471" t="str">
        <f>VLOOKUP(B5471,Customers!A:G,7,FALSE)</f>
        <v>Individual</v>
      </c>
      <c r="Q5471" t="str">
        <f>IF(COUNTIF(Customers!$A$2:$A$1001,B5471)&gt;0,"Valid","Invalid")</f>
        <v>Valid</v>
      </c>
      <c r="R5471" t="str">
        <f>IF(COUNTIF(Branches!$A$2:$A$11,F5471)&gt;0,"Valid","Invalid")</f>
        <v>Valid</v>
      </c>
    </row>
    <row r="5472" spans="1:18" x14ac:dyDescent="0.25">
      <c r="A5472" t="s">
        <v>7543</v>
      </c>
      <c r="B5472" t="s">
        <v>355</v>
      </c>
      <c r="C5472" s="8">
        <v>46214</v>
      </c>
      <c r="D5472" t="s">
        <v>2062</v>
      </c>
      <c r="E5472" t="s">
        <v>2068</v>
      </c>
      <c r="F5472" t="s">
        <v>27</v>
      </c>
      <c r="G5472">
        <v>955.15</v>
      </c>
      <c r="H5472" t="s">
        <v>2060</v>
      </c>
      <c r="I5472" t="str">
        <f>VLOOKUP(B5472,Customers!A:G,7,FALSE)</f>
        <v>Corporate</v>
      </c>
      <c r="Q5472" t="str">
        <f>IF(COUNTIF(Customers!$A$2:$A$1001,B5472)&gt;0,"Valid","Invalid")</f>
        <v>Valid</v>
      </c>
      <c r="R5472" t="str">
        <f>IF(COUNTIF(Branches!$A$2:$A$11,F5472)&gt;0,"Valid","Invalid")</f>
        <v>Valid</v>
      </c>
    </row>
    <row r="5473" spans="1:18" x14ac:dyDescent="0.25">
      <c r="A5473" t="s">
        <v>7544</v>
      </c>
      <c r="B5473" t="s">
        <v>903</v>
      </c>
      <c r="C5473" s="8">
        <v>46231</v>
      </c>
      <c r="D5473" t="s">
        <v>2067</v>
      </c>
      <c r="E5473" t="s">
        <v>2059</v>
      </c>
      <c r="F5473" t="s">
        <v>53</v>
      </c>
      <c r="G5473">
        <v>396.21</v>
      </c>
      <c r="H5473" t="s">
        <v>2060</v>
      </c>
      <c r="I5473" t="str">
        <f>VLOOKUP(B5473,Customers!A:G,7,FALSE)</f>
        <v>Student</v>
      </c>
      <c r="Q5473" t="str">
        <f>IF(COUNTIF(Customers!$A$2:$A$1001,B5473)&gt;0,"Valid","Invalid")</f>
        <v>Valid</v>
      </c>
      <c r="R5473" t="str">
        <f>IF(COUNTIF(Branches!$A$2:$A$11,F5473)&gt;0,"Valid","Invalid")</f>
        <v>Valid</v>
      </c>
    </row>
    <row r="5474" spans="1:18" x14ac:dyDescent="0.25">
      <c r="A5474" t="s">
        <v>7545</v>
      </c>
      <c r="B5474" t="s">
        <v>181</v>
      </c>
      <c r="C5474" s="8">
        <v>46248</v>
      </c>
      <c r="D5474" t="s">
        <v>2062</v>
      </c>
      <c r="E5474" t="s">
        <v>2068</v>
      </c>
      <c r="F5474" t="s">
        <v>29</v>
      </c>
      <c r="G5474">
        <v>2683.96</v>
      </c>
      <c r="H5474" t="s">
        <v>2060</v>
      </c>
      <c r="I5474" t="str">
        <f>VLOOKUP(B5474,Customers!A:G,7,FALSE)</f>
        <v>Student</v>
      </c>
      <c r="Q5474" t="str">
        <f>IF(COUNTIF(Customers!$A$2:$A$1001,B5474)&gt;0,"Valid","Invalid")</f>
        <v>Valid</v>
      </c>
      <c r="R5474" t="str">
        <f>IF(COUNTIF(Branches!$A$2:$A$11,F5474)&gt;0,"Valid","Invalid")</f>
        <v>Valid</v>
      </c>
    </row>
    <row r="5475" spans="1:18" x14ac:dyDescent="0.25">
      <c r="A5475" t="s">
        <v>7546</v>
      </c>
      <c r="B5475" t="s">
        <v>706</v>
      </c>
      <c r="C5475" s="8">
        <v>46246</v>
      </c>
      <c r="D5475" t="s">
        <v>2062</v>
      </c>
      <c r="E5475" t="s">
        <v>2073</v>
      </c>
      <c r="F5475" t="s">
        <v>21</v>
      </c>
      <c r="G5475">
        <v>929.73</v>
      </c>
      <c r="H5475" t="s">
        <v>2060</v>
      </c>
      <c r="I5475" t="str">
        <f>VLOOKUP(B5475,Customers!A:G,7,FALSE)</f>
        <v>SME</v>
      </c>
      <c r="Q5475" t="str">
        <f>IF(COUNTIF(Customers!$A$2:$A$1001,B5475)&gt;0,"Valid","Invalid")</f>
        <v>Valid</v>
      </c>
      <c r="R5475" t="str">
        <f>IF(COUNTIF(Branches!$A$2:$A$11,F5475)&gt;0,"Valid","Invalid")</f>
        <v>Valid</v>
      </c>
    </row>
    <row r="5476" spans="1:18" x14ac:dyDescent="0.25">
      <c r="A5476" t="s">
        <v>7547</v>
      </c>
      <c r="B5476" t="s">
        <v>728</v>
      </c>
      <c r="C5476" s="8">
        <v>46264</v>
      </c>
      <c r="D5476" t="s">
        <v>2067</v>
      </c>
      <c r="E5476" t="s">
        <v>2073</v>
      </c>
      <c r="F5476" t="s">
        <v>39</v>
      </c>
      <c r="G5476">
        <v>654.17999999999995</v>
      </c>
      <c r="H5476" t="s">
        <v>2060</v>
      </c>
      <c r="I5476" t="str">
        <f>VLOOKUP(B5476,Customers!A:G,7,FALSE)</f>
        <v>Individual</v>
      </c>
      <c r="Q5476" t="str">
        <f>IF(COUNTIF(Customers!$A$2:$A$1001,B5476)&gt;0,"Valid","Invalid")</f>
        <v>Valid</v>
      </c>
      <c r="R5476" t="str">
        <f>IF(COUNTIF(Branches!$A$2:$A$11,F5476)&gt;0,"Valid","Invalid")</f>
        <v>Valid</v>
      </c>
    </row>
    <row r="5477" spans="1:18" x14ac:dyDescent="0.25">
      <c r="A5477" t="s">
        <v>7548</v>
      </c>
      <c r="B5477" t="s">
        <v>896</v>
      </c>
      <c r="C5477" s="8">
        <v>46133</v>
      </c>
      <c r="D5477" t="s">
        <v>2065</v>
      </c>
      <c r="E5477" t="s">
        <v>2068</v>
      </c>
      <c r="F5477" t="s">
        <v>11</v>
      </c>
      <c r="G5477">
        <v>747.34</v>
      </c>
      <c r="H5477" t="s">
        <v>2060</v>
      </c>
      <c r="I5477" t="str">
        <f>VLOOKUP(B5477,Customers!A:G,7,FALSE)</f>
        <v>Student</v>
      </c>
      <c r="Q5477" t="str">
        <f>IF(COUNTIF(Customers!$A$2:$A$1001,B5477)&gt;0,"Valid","Invalid")</f>
        <v>Valid</v>
      </c>
      <c r="R5477" t="str">
        <f>IF(COUNTIF(Branches!$A$2:$A$11,F5477)&gt;0,"Valid","Invalid")</f>
        <v>Valid</v>
      </c>
    </row>
    <row r="5478" spans="1:18" x14ac:dyDescent="0.25">
      <c r="A5478" t="s">
        <v>7549</v>
      </c>
      <c r="B5478" t="s">
        <v>686</v>
      </c>
      <c r="C5478" s="8">
        <v>46202</v>
      </c>
      <c r="D5478" t="s">
        <v>2065</v>
      </c>
      <c r="E5478" t="s">
        <v>2063</v>
      </c>
      <c r="F5478" t="s">
        <v>11</v>
      </c>
      <c r="G5478">
        <v>1266.3800000000001</v>
      </c>
      <c r="H5478" t="s">
        <v>2060</v>
      </c>
      <c r="I5478" t="str">
        <f>VLOOKUP(B5478,Customers!A:G,7,FALSE)</f>
        <v>SME</v>
      </c>
      <c r="Q5478" t="str">
        <f>IF(COUNTIF(Customers!$A$2:$A$1001,B5478)&gt;0,"Valid","Invalid")</f>
        <v>Valid</v>
      </c>
      <c r="R5478" t="str">
        <f>IF(COUNTIF(Branches!$A$2:$A$11,F5478)&gt;0,"Valid","Invalid")</f>
        <v>Valid</v>
      </c>
    </row>
    <row r="5479" spans="1:18" x14ac:dyDescent="0.25">
      <c r="A5479" t="s">
        <v>7550</v>
      </c>
      <c r="B5479" t="s">
        <v>968</v>
      </c>
      <c r="C5479" s="8">
        <v>46045</v>
      </c>
      <c r="D5479" t="s">
        <v>2062</v>
      </c>
      <c r="E5479" t="s">
        <v>2068</v>
      </c>
      <c r="F5479" t="s">
        <v>29</v>
      </c>
      <c r="G5479">
        <v>755.83</v>
      </c>
      <c r="H5479" t="s">
        <v>2060</v>
      </c>
      <c r="I5479" t="str">
        <f>VLOOKUP(B5479,Customers!A:G,7,FALSE)</f>
        <v>SME</v>
      </c>
      <c r="Q5479" t="str">
        <f>IF(COUNTIF(Customers!$A$2:$A$1001,B5479)&gt;0,"Valid","Invalid")</f>
        <v>Valid</v>
      </c>
      <c r="R5479" t="str">
        <f>IF(COUNTIF(Branches!$A$2:$A$11,F5479)&gt;0,"Valid","Invalid")</f>
        <v>Valid</v>
      </c>
    </row>
    <row r="5480" spans="1:18" x14ac:dyDescent="0.25">
      <c r="A5480" t="s">
        <v>7551</v>
      </c>
      <c r="B5480" t="s">
        <v>865</v>
      </c>
      <c r="C5480" s="8">
        <v>46121</v>
      </c>
      <c r="D5480" t="s">
        <v>2062</v>
      </c>
      <c r="E5480" t="s">
        <v>2063</v>
      </c>
      <c r="F5480" t="s">
        <v>21</v>
      </c>
      <c r="G5480">
        <v>749.54</v>
      </c>
      <c r="H5480" t="s">
        <v>2060</v>
      </c>
      <c r="I5480" t="str">
        <f>VLOOKUP(B5480,Customers!A:G,7,FALSE)</f>
        <v>Individual</v>
      </c>
      <c r="Q5480" t="str">
        <f>IF(COUNTIF(Customers!$A$2:$A$1001,B5480)&gt;0,"Valid","Invalid")</f>
        <v>Valid</v>
      </c>
      <c r="R5480" t="str">
        <f>IF(COUNTIF(Branches!$A$2:$A$11,F5480)&gt;0,"Valid","Invalid")</f>
        <v>Valid</v>
      </c>
    </row>
    <row r="5481" spans="1:18" x14ac:dyDescent="0.25">
      <c r="A5481" t="s">
        <v>7552</v>
      </c>
      <c r="B5481" t="s">
        <v>51</v>
      </c>
      <c r="C5481" s="8">
        <v>46059</v>
      </c>
      <c r="D5481" t="s">
        <v>2067</v>
      </c>
      <c r="E5481" t="s">
        <v>2068</v>
      </c>
      <c r="F5481" t="s">
        <v>27</v>
      </c>
      <c r="G5481">
        <v>2358.9299999999998</v>
      </c>
      <c r="H5481" t="s">
        <v>2060</v>
      </c>
      <c r="I5481" t="str">
        <f>VLOOKUP(B5481,Customers!A:G,7,FALSE)</f>
        <v>Individual</v>
      </c>
      <c r="Q5481" t="str">
        <f>IF(COUNTIF(Customers!$A$2:$A$1001,B5481)&gt;0,"Valid","Invalid")</f>
        <v>Valid</v>
      </c>
      <c r="R5481" t="str">
        <f>IF(COUNTIF(Branches!$A$2:$A$11,F5481)&gt;0,"Valid","Invalid")</f>
        <v>Valid</v>
      </c>
    </row>
    <row r="5482" spans="1:18" x14ac:dyDescent="0.25">
      <c r="A5482" t="s">
        <v>7553</v>
      </c>
      <c r="B5482" t="s">
        <v>389</v>
      </c>
      <c r="C5482" s="8">
        <v>46129</v>
      </c>
      <c r="D5482" t="s">
        <v>2067</v>
      </c>
      <c r="E5482" t="s">
        <v>2063</v>
      </c>
      <c r="F5482" t="s">
        <v>29</v>
      </c>
      <c r="G5482">
        <v>196.68</v>
      </c>
      <c r="H5482" t="s">
        <v>2060</v>
      </c>
      <c r="I5482" t="str">
        <f>VLOOKUP(B5482,Customers!A:G,7,FALSE)</f>
        <v>Individual</v>
      </c>
      <c r="Q5482" t="str">
        <f>IF(COUNTIF(Customers!$A$2:$A$1001,B5482)&gt;0,"Valid","Invalid")</f>
        <v>Valid</v>
      </c>
      <c r="R5482" t="str">
        <f>IF(COUNTIF(Branches!$A$2:$A$11,F5482)&gt;0,"Valid","Invalid")</f>
        <v>Valid</v>
      </c>
    </row>
    <row r="5483" spans="1:18" x14ac:dyDescent="0.25">
      <c r="A5483" t="s">
        <v>7554</v>
      </c>
      <c r="B5483" t="s">
        <v>993</v>
      </c>
      <c r="C5483" s="8">
        <v>46063</v>
      </c>
      <c r="D5483" t="s">
        <v>2062</v>
      </c>
      <c r="E5483" t="s">
        <v>2076</v>
      </c>
      <c r="F5483" t="s">
        <v>11</v>
      </c>
      <c r="G5483">
        <v>232.4</v>
      </c>
      <c r="H5483" t="s">
        <v>2060</v>
      </c>
      <c r="I5483" t="str">
        <f>VLOOKUP(B5483,Customers!A:G,7,FALSE)</f>
        <v>SME</v>
      </c>
      <c r="Q5483" t="str">
        <f>IF(COUNTIF(Customers!$A$2:$A$1001,B5483)&gt;0,"Valid","Invalid")</f>
        <v>Valid</v>
      </c>
      <c r="R5483" t="str">
        <f>IF(COUNTIF(Branches!$A$2:$A$11,F5483)&gt;0,"Valid","Invalid")</f>
        <v>Valid</v>
      </c>
    </row>
    <row r="5484" spans="1:18" x14ac:dyDescent="0.25">
      <c r="A5484" t="s">
        <v>7555</v>
      </c>
      <c r="B5484" t="s">
        <v>191</v>
      </c>
      <c r="C5484" s="8">
        <v>46251</v>
      </c>
      <c r="D5484" t="s">
        <v>2070</v>
      </c>
      <c r="E5484" t="s">
        <v>2063</v>
      </c>
      <c r="F5484" t="s">
        <v>35</v>
      </c>
      <c r="G5484">
        <v>1766.87</v>
      </c>
      <c r="H5484" t="s">
        <v>2060</v>
      </c>
      <c r="I5484" t="str">
        <f>VLOOKUP(B5484,Customers!A:G,7,FALSE)</f>
        <v>SME</v>
      </c>
      <c r="Q5484" t="str">
        <f>IF(COUNTIF(Customers!$A$2:$A$1001,B5484)&gt;0,"Valid","Invalid")</f>
        <v>Valid</v>
      </c>
      <c r="R5484" t="str">
        <f>IF(COUNTIF(Branches!$A$2:$A$11,F5484)&gt;0,"Valid","Invalid")</f>
        <v>Valid</v>
      </c>
    </row>
    <row r="5485" spans="1:18" x14ac:dyDescent="0.25">
      <c r="A5485" t="s">
        <v>7556</v>
      </c>
      <c r="B5485" t="s">
        <v>822</v>
      </c>
      <c r="C5485" s="8">
        <v>46079</v>
      </c>
      <c r="D5485" t="s">
        <v>2062</v>
      </c>
      <c r="E5485" t="s">
        <v>2068</v>
      </c>
      <c r="F5485" t="s">
        <v>53</v>
      </c>
      <c r="G5485">
        <v>9098.36</v>
      </c>
      <c r="H5485" t="s">
        <v>2115</v>
      </c>
      <c r="I5485" t="str">
        <f>VLOOKUP(B5485,Customers!A:G,7,FALSE)</f>
        <v>Individual</v>
      </c>
      <c r="Q5485" t="str">
        <f>IF(COUNTIF(Customers!$A$2:$A$1001,B5485)&gt;0,"Valid","Invalid")</f>
        <v>Valid</v>
      </c>
      <c r="R5485" t="str">
        <f>IF(COUNTIF(Branches!$A$2:$A$11,F5485)&gt;0,"Valid","Invalid")</f>
        <v>Valid</v>
      </c>
    </row>
    <row r="5486" spans="1:18" x14ac:dyDescent="0.25">
      <c r="A5486" t="s">
        <v>7557</v>
      </c>
      <c r="B5486" t="s">
        <v>544</v>
      </c>
      <c r="C5486" s="8">
        <v>46119</v>
      </c>
      <c r="D5486" t="s">
        <v>2058</v>
      </c>
      <c r="E5486" t="s">
        <v>2063</v>
      </c>
      <c r="F5486" t="s">
        <v>11</v>
      </c>
      <c r="G5486">
        <v>1951.78</v>
      </c>
      <c r="H5486" t="s">
        <v>2060</v>
      </c>
      <c r="I5486" t="str">
        <f>VLOOKUP(B5486,Customers!A:G,7,FALSE)</f>
        <v>Student</v>
      </c>
      <c r="Q5486" t="str">
        <f>IF(COUNTIF(Customers!$A$2:$A$1001,B5486)&gt;0,"Valid","Invalid")</f>
        <v>Valid</v>
      </c>
      <c r="R5486" t="str">
        <f>IF(COUNTIF(Branches!$A$2:$A$11,F5486)&gt;0,"Valid","Invalid")</f>
        <v>Valid</v>
      </c>
    </row>
    <row r="5487" spans="1:18" x14ac:dyDescent="0.25">
      <c r="A5487" t="s">
        <v>7558</v>
      </c>
      <c r="B5487" t="s">
        <v>816</v>
      </c>
      <c r="C5487" s="8">
        <v>46047</v>
      </c>
      <c r="D5487" t="s">
        <v>2065</v>
      </c>
      <c r="E5487" t="s">
        <v>2059</v>
      </c>
      <c r="F5487" t="s">
        <v>39</v>
      </c>
      <c r="G5487">
        <v>5240.6899999999996</v>
      </c>
      <c r="H5487" t="s">
        <v>2060</v>
      </c>
      <c r="I5487" t="str">
        <f>VLOOKUP(B5487,Customers!A:G,7,FALSE)</f>
        <v>Individual</v>
      </c>
      <c r="Q5487" t="str">
        <f>IF(COUNTIF(Customers!$A$2:$A$1001,B5487)&gt;0,"Valid","Invalid")</f>
        <v>Valid</v>
      </c>
      <c r="R5487" t="str">
        <f>IF(COUNTIF(Branches!$A$2:$A$11,F5487)&gt;0,"Valid","Invalid")</f>
        <v>Valid</v>
      </c>
    </row>
    <row r="5488" spans="1:18" x14ac:dyDescent="0.25">
      <c r="A5488" t="s">
        <v>7559</v>
      </c>
      <c r="B5488" t="s">
        <v>398</v>
      </c>
      <c r="C5488" s="8">
        <v>46132</v>
      </c>
      <c r="D5488" t="s">
        <v>2058</v>
      </c>
      <c r="E5488" t="s">
        <v>2068</v>
      </c>
      <c r="F5488" t="s">
        <v>47</v>
      </c>
      <c r="G5488">
        <v>526.16999999999996</v>
      </c>
      <c r="H5488" t="s">
        <v>2060</v>
      </c>
      <c r="I5488" t="str">
        <f>VLOOKUP(B5488,Customers!A:G,7,FALSE)</f>
        <v>Individual</v>
      </c>
      <c r="Q5488" t="str">
        <f>IF(COUNTIF(Customers!$A$2:$A$1001,B5488)&gt;0,"Valid","Invalid")</f>
        <v>Valid</v>
      </c>
      <c r="R5488" t="str">
        <f>IF(COUNTIF(Branches!$A$2:$A$11,F5488)&gt;0,"Valid","Invalid")</f>
        <v>Valid</v>
      </c>
    </row>
    <row r="5489" spans="1:18" x14ac:dyDescent="0.25">
      <c r="A5489" t="s">
        <v>7560</v>
      </c>
      <c r="B5489" t="s">
        <v>370</v>
      </c>
      <c r="C5489" s="8">
        <v>46059</v>
      </c>
      <c r="D5489" t="s">
        <v>2065</v>
      </c>
      <c r="E5489" t="s">
        <v>2076</v>
      </c>
      <c r="F5489" t="s">
        <v>27</v>
      </c>
      <c r="G5489">
        <v>429.63</v>
      </c>
      <c r="H5489" t="s">
        <v>2060</v>
      </c>
      <c r="I5489" t="str">
        <f>VLOOKUP(B5489,Customers!A:G,7,FALSE)</f>
        <v>SME</v>
      </c>
      <c r="Q5489" t="str">
        <f>IF(COUNTIF(Customers!$A$2:$A$1001,B5489)&gt;0,"Valid","Invalid")</f>
        <v>Valid</v>
      </c>
      <c r="R5489" t="str">
        <f>IF(COUNTIF(Branches!$A$2:$A$11,F5489)&gt;0,"Valid","Invalid")</f>
        <v>Valid</v>
      </c>
    </row>
    <row r="5490" spans="1:18" x14ac:dyDescent="0.25">
      <c r="A5490" t="s">
        <v>7561</v>
      </c>
      <c r="B5490" t="s">
        <v>956</v>
      </c>
      <c r="C5490" s="8">
        <v>46062</v>
      </c>
      <c r="D5490" t="s">
        <v>2062</v>
      </c>
      <c r="E5490" t="s">
        <v>2063</v>
      </c>
      <c r="F5490" t="s">
        <v>39</v>
      </c>
      <c r="G5490">
        <v>1282.46</v>
      </c>
      <c r="H5490" t="s">
        <v>2060</v>
      </c>
      <c r="I5490" t="str">
        <f>VLOOKUP(B5490,Customers!A:G,7,FALSE)</f>
        <v>SME</v>
      </c>
      <c r="Q5490" t="str">
        <f>IF(COUNTIF(Customers!$A$2:$A$1001,B5490)&gt;0,"Valid","Invalid")</f>
        <v>Valid</v>
      </c>
      <c r="R5490" t="str">
        <f>IF(COUNTIF(Branches!$A$2:$A$11,F5490)&gt;0,"Valid","Invalid")</f>
        <v>Valid</v>
      </c>
    </row>
    <row r="5491" spans="1:18" x14ac:dyDescent="0.25">
      <c r="A5491" t="s">
        <v>7562</v>
      </c>
      <c r="B5491" t="s">
        <v>566</v>
      </c>
      <c r="C5491" s="8">
        <v>46107</v>
      </c>
      <c r="D5491" t="s">
        <v>2067</v>
      </c>
      <c r="E5491" t="s">
        <v>2059</v>
      </c>
      <c r="F5491" t="s">
        <v>35</v>
      </c>
      <c r="G5491">
        <v>2108.3200000000002</v>
      </c>
      <c r="H5491" t="s">
        <v>2060</v>
      </c>
      <c r="I5491" t="str">
        <f>VLOOKUP(B5491,Customers!A:G,7,FALSE)</f>
        <v>Individual</v>
      </c>
      <c r="Q5491" t="str">
        <f>IF(COUNTIF(Customers!$A$2:$A$1001,B5491)&gt;0,"Valid","Invalid")</f>
        <v>Valid</v>
      </c>
      <c r="R5491" t="str">
        <f>IF(COUNTIF(Branches!$A$2:$A$11,F5491)&gt;0,"Valid","Invalid")</f>
        <v>Valid</v>
      </c>
    </row>
    <row r="5492" spans="1:18" x14ac:dyDescent="0.25">
      <c r="A5492" t="s">
        <v>7563</v>
      </c>
      <c r="B5492" t="s">
        <v>41</v>
      </c>
      <c r="C5492" s="8">
        <v>46068</v>
      </c>
      <c r="D5492" t="s">
        <v>2062</v>
      </c>
      <c r="E5492" t="s">
        <v>2063</v>
      </c>
      <c r="F5492" t="s">
        <v>39</v>
      </c>
      <c r="G5492">
        <v>218.86</v>
      </c>
      <c r="H5492" t="s">
        <v>2060</v>
      </c>
      <c r="I5492" t="str">
        <f>VLOOKUP(B5492,Customers!A:G,7,FALSE)</f>
        <v>Individual</v>
      </c>
      <c r="Q5492" t="str">
        <f>IF(COUNTIF(Customers!$A$2:$A$1001,B5492)&gt;0,"Valid","Invalid")</f>
        <v>Valid</v>
      </c>
      <c r="R5492" t="str">
        <f>IF(COUNTIF(Branches!$A$2:$A$11,F5492)&gt;0,"Valid","Invalid")</f>
        <v>Valid</v>
      </c>
    </row>
    <row r="5493" spans="1:18" x14ac:dyDescent="0.25">
      <c r="A5493" t="s">
        <v>7564</v>
      </c>
      <c r="B5493" t="s">
        <v>111</v>
      </c>
      <c r="C5493" s="8">
        <v>46210</v>
      </c>
      <c r="D5493" t="s">
        <v>2067</v>
      </c>
      <c r="E5493" t="s">
        <v>2076</v>
      </c>
      <c r="F5493" t="s">
        <v>11</v>
      </c>
      <c r="G5493">
        <v>656.41</v>
      </c>
      <c r="H5493" t="s">
        <v>2060</v>
      </c>
      <c r="I5493" t="str">
        <f>VLOOKUP(B5493,Customers!A:G,7,FALSE)</f>
        <v>Student</v>
      </c>
      <c r="Q5493" t="str">
        <f>IF(COUNTIF(Customers!$A$2:$A$1001,B5493)&gt;0,"Valid","Invalid")</f>
        <v>Valid</v>
      </c>
      <c r="R5493" t="str">
        <f>IF(COUNTIF(Branches!$A$2:$A$11,F5493)&gt;0,"Valid","Invalid")</f>
        <v>Valid</v>
      </c>
    </row>
    <row r="5494" spans="1:18" x14ac:dyDescent="0.25">
      <c r="A5494" t="s">
        <v>7565</v>
      </c>
      <c r="B5494" t="s">
        <v>249</v>
      </c>
      <c r="C5494" s="8">
        <v>46262</v>
      </c>
      <c r="D5494" t="s">
        <v>2062</v>
      </c>
      <c r="E5494" t="s">
        <v>2073</v>
      </c>
      <c r="F5494" t="s">
        <v>21</v>
      </c>
      <c r="G5494">
        <v>790.75</v>
      </c>
      <c r="H5494" t="s">
        <v>2060</v>
      </c>
      <c r="I5494" t="str">
        <f>VLOOKUP(B5494,Customers!A:G,7,FALSE)</f>
        <v>Individual</v>
      </c>
      <c r="Q5494" t="str">
        <f>IF(COUNTIF(Customers!$A$2:$A$1001,B5494)&gt;0,"Valid","Invalid")</f>
        <v>Valid</v>
      </c>
      <c r="R5494" t="str">
        <f>IF(COUNTIF(Branches!$A$2:$A$11,F5494)&gt;0,"Valid","Invalid")</f>
        <v>Valid</v>
      </c>
    </row>
    <row r="5495" spans="1:18" x14ac:dyDescent="0.25">
      <c r="A5495" t="s">
        <v>7566</v>
      </c>
      <c r="B5495" t="s">
        <v>729</v>
      </c>
      <c r="C5495" s="8">
        <v>46124</v>
      </c>
      <c r="D5495" t="s">
        <v>2067</v>
      </c>
      <c r="E5495" t="s">
        <v>2076</v>
      </c>
      <c r="F5495" t="s">
        <v>35</v>
      </c>
      <c r="G5495">
        <v>412.04</v>
      </c>
      <c r="H5495" t="s">
        <v>2060</v>
      </c>
      <c r="I5495" t="str">
        <f>VLOOKUP(B5495,Customers!A:G,7,FALSE)</f>
        <v>Individual</v>
      </c>
      <c r="Q5495" t="str">
        <f>IF(COUNTIF(Customers!$A$2:$A$1001,B5495)&gt;0,"Valid","Invalid")</f>
        <v>Valid</v>
      </c>
      <c r="R5495" t="str">
        <f>IF(COUNTIF(Branches!$A$2:$A$11,F5495)&gt;0,"Valid","Invalid")</f>
        <v>Valid</v>
      </c>
    </row>
    <row r="5496" spans="1:18" x14ac:dyDescent="0.25">
      <c r="A5496" t="s">
        <v>7567</v>
      </c>
      <c r="B5496" t="s">
        <v>679</v>
      </c>
      <c r="C5496" s="8">
        <v>46254</v>
      </c>
      <c r="D5496" t="s">
        <v>2067</v>
      </c>
      <c r="E5496" t="s">
        <v>2063</v>
      </c>
      <c r="F5496" t="s">
        <v>53</v>
      </c>
      <c r="G5496">
        <v>463.02</v>
      </c>
      <c r="H5496" t="s">
        <v>2060</v>
      </c>
      <c r="I5496" t="str">
        <f>VLOOKUP(B5496,Customers!A:G,7,FALSE)</f>
        <v>Individual</v>
      </c>
      <c r="Q5496" t="str">
        <f>IF(COUNTIF(Customers!$A$2:$A$1001,B5496)&gt;0,"Valid","Invalid")</f>
        <v>Valid</v>
      </c>
      <c r="R5496" t="str">
        <f>IF(COUNTIF(Branches!$A$2:$A$11,F5496)&gt;0,"Valid","Invalid")</f>
        <v>Valid</v>
      </c>
    </row>
    <row r="5497" spans="1:18" x14ac:dyDescent="0.25">
      <c r="A5497" t="s">
        <v>7568</v>
      </c>
      <c r="B5497" t="s">
        <v>321</v>
      </c>
      <c r="C5497" s="8">
        <v>46120</v>
      </c>
      <c r="D5497" t="s">
        <v>2058</v>
      </c>
      <c r="E5497" t="s">
        <v>2059</v>
      </c>
      <c r="F5497" t="s">
        <v>29</v>
      </c>
      <c r="G5497">
        <v>1887.61</v>
      </c>
      <c r="H5497" t="s">
        <v>2060</v>
      </c>
      <c r="I5497" t="str">
        <f>VLOOKUP(B5497,Customers!A:G,7,FALSE)</f>
        <v>SME</v>
      </c>
      <c r="Q5497" t="str">
        <f>IF(COUNTIF(Customers!$A$2:$A$1001,B5497)&gt;0,"Valid","Invalid")</f>
        <v>Valid</v>
      </c>
      <c r="R5497" t="str">
        <f>IF(COUNTIF(Branches!$A$2:$A$11,F5497)&gt;0,"Valid","Invalid")</f>
        <v>Valid</v>
      </c>
    </row>
    <row r="5498" spans="1:18" x14ac:dyDescent="0.25">
      <c r="A5498" t="s">
        <v>7569</v>
      </c>
      <c r="B5498" t="s">
        <v>232</v>
      </c>
      <c r="C5498" s="8">
        <v>46041</v>
      </c>
      <c r="D5498" t="s">
        <v>2065</v>
      </c>
      <c r="E5498" t="s">
        <v>2073</v>
      </c>
      <c r="F5498" t="s">
        <v>35</v>
      </c>
      <c r="G5498">
        <v>1299.43</v>
      </c>
      <c r="H5498" t="s">
        <v>2060</v>
      </c>
      <c r="I5498" t="str">
        <f>VLOOKUP(B5498,Customers!A:G,7,FALSE)</f>
        <v>SME</v>
      </c>
      <c r="Q5498" t="str">
        <f>IF(COUNTIF(Customers!$A$2:$A$1001,B5498)&gt;0,"Valid","Invalid")</f>
        <v>Valid</v>
      </c>
      <c r="R5498" t="str">
        <f>IF(COUNTIF(Branches!$A$2:$A$11,F5498)&gt;0,"Valid","Invalid")</f>
        <v>Valid</v>
      </c>
    </row>
    <row r="5499" spans="1:18" x14ac:dyDescent="0.25">
      <c r="A5499" t="s">
        <v>7570</v>
      </c>
      <c r="B5499" t="s">
        <v>818</v>
      </c>
      <c r="C5499" s="8">
        <v>46113</v>
      </c>
      <c r="D5499" t="s">
        <v>2070</v>
      </c>
      <c r="E5499" t="s">
        <v>2063</v>
      </c>
      <c r="F5499" t="s">
        <v>47</v>
      </c>
      <c r="G5499">
        <v>1805.24</v>
      </c>
      <c r="H5499" t="s">
        <v>2060</v>
      </c>
      <c r="I5499" t="str">
        <f>VLOOKUP(B5499,Customers!A:G,7,FALSE)</f>
        <v>Corporate</v>
      </c>
      <c r="Q5499" t="str">
        <f>IF(COUNTIF(Customers!$A$2:$A$1001,B5499)&gt;0,"Valid","Invalid")</f>
        <v>Valid</v>
      </c>
      <c r="R5499" t="str">
        <f>IF(COUNTIF(Branches!$A$2:$A$11,F5499)&gt;0,"Valid","Invalid")</f>
        <v>Valid</v>
      </c>
    </row>
    <row r="5500" spans="1:18" x14ac:dyDescent="0.25">
      <c r="A5500" t="s">
        <v>7571</v>
      </c>
      <c r="B5500" t="s">
        <v>64</v>
      </c>
      <c r="C5500" s="8">
        <v>46159</v>
      </c>
      <c r="D5500" t="s">
        <v>2058</v>
      </c>
      <c r="E5500" t="s">
        <v>2059</v>
      </c>
      <c r="F5500" t="s">
        <v>29</v>
      </c>
      <c r="G5500">
        <v>1137.83</v>
      </c>
      <c r="H5500" t="s">
        <v>2060</v>
      </c>
      <c r="I5500" t="str">
        <f>VLOOKUP(B5500,Customers!A:G,7,FALSE)</f>
        <v>SME</v>
      </c>
      <c r="Q5500" t="str">
        <f>IF(COUNTIF(Customers!$A$2:$A$1001,B5500)&gt;0,"Valid","Invalid")</f>
        <v>Valid</v>
      </c>
      <c r="R5500" t="str">
        <f>IF(COUNTIF(Branches!$A$2:$A$11,F5500)&gt;0,"Valid","Invalid")</f>
        <v>Valid</v>
      </c>
    </row>
    <row r="5501" spans="1:18" x14ac:dyDescent="0.25">
      <c r="A5501" t="s">
        <v>7572</v>
      </c>
      <c r="B5501" t="s">
        <v>36</v>
      </c>
      <c r="C5501" s="8">
        <v>46091</v>
      </c>
      <c r="D5501" t="s">
        <v>2058</v>
      </c>
      <c r="E5501" t="s">
        <v>2059</v>
      </c>
      <c r="F5501" t="s">
        <v>11</v>
      </c>
      <c r="G5501">
        <v>339.25</v>
      </c>
      <c r="H5501" t="s">
        <v>2060</v>
      </c>
      <c r="I5501" t="str">
        <f>VLOOKUP(B5501,Customers!A:G,7,FALSE)</f>
        <v>Individual</v>
      </c>
      <c r="Q5501" t="str">
        <f>IF(COUNTIF(Customers!$A$2:$A$1001,B5501)&gt;0,"Valid","Invalid")</f>
        <v>Valid</v>
      </c>
      <c r="R5501" t="str">
        <f>IF(COUNTIF(Branches!$A$2:$A$11,F5501)&gt;0,"Valid","Invalid")</f>
        <v>Valid</v>
      </c>
    </row>
    <row r="5502" spans="1:18" x14ac:dyDescent="0.25">
      <c r="A5502" t="s">
        <v>7573</v>
      </c>
      <c r="B5502" t="s">
        <v>347</v>
      </c>
      <c r="C5502" s="8">
        <v>46027</v>
      </c>
      <c r="D5502" t="s">
        <v>2062</v>
      </c>
      <c r="E5502" t="s">
        <v>2068</v>
      </c>
      <c r="F5502" t="s">
        <v>11</v>
      </c>
      <c r="G5502">
        <v>1240.29</v>
      </c>
      <c r="H5502" t="s">
        <v>2060</v>
      </c>
      <c r="I5502" t="str">
        <f>VLOOKUP(B5502,Customers!A:G,7,FALSE)</f>
        <v>Individual</v>
      </c>
      <c r="Q5502" t="str">
        <f>IF(COUNTIF(Customers!$A$2:$A$1001,B5502)&gt;0,"Valid","Invalid")</f>
        <v>Valid</v>
      </c>
      <c r="R5502" t="str">
        <f>IF(COUNTIF(Branches!$A$2:$A$11,F5502)&gt;0,"Valid","Invalid")</f>
        <v>Valid</v>
      </c>
    </row>
    <row r="5503" spans="1:18" x14ac:dyDescent="0.25">
      <c r="A5503" t="s">
        <v>7574</v>
      </c>
      <c r="B5503" t="s">
        <v>483</v>
      </c>
      <c r="C5503" s="8">
        <v>46239</v>
      </c>
      <c r="D5503" t="s">
        <v>2062</v>
      </c>
      <c r="E5503" t="s">
        <v>2068</v>
      </c>
      <c r="F5503" t="s">
        <v>45</v>
      </c>
      <c r="G5503">
        <v>313.52999999999997</v>
      </c>
      <c r="H5503" t="s">
        <v>2060</v>
      </c>
      <c r="I5503" t="str">
        <f>VLOOKUP(B5503,Customers!A:G,7,FALSE)</f>
        <v>Corporate</v>
      </c>
      <c r="Q5503" t="str">
        <f>IF(COUNTIF(Customers!$A$2:$A$1001,B5503)&gt;0,"Valid","Invalid")</f>
        <v>Valid</v>
      </c>
      <c r="R5503" t="str">
        <f>IF(COUNTIF(Branches!$A$2:$A$11,F5503)&gt;0,"Valid","Invalid")</f>
        <v>Valid</v>
      </c>
    </row>
    <row r="5504" spans="1:18" x14ac:dyDescent="0.25">
      <c r="A5504" t="s">
        <v>7575</v>
      </c>
      <c r="B5504" t="s">
        <v>348</v>
      </c>
      <c r="C5504" s="8">
        <v>46176</v>
      </c>
      <c r="D5504" t="s">
        <v>2058</v>
      </c>
      <c r="E5504" t="s">
        <v>2059</v>
      </c>
      <c r="F5504" t="s">
        <v>11</v>
      </c>
      <c r="G5504">
        <v>594.80999999999995</v>
      </c>
      <c r="H5504" t="s">
        <v>2060</v>
      </c>
      <c r="I5504" t="str">
        <f>VLOOKUP(B5504,Customers!A:G,7,FALSE)</f>
        <v>Individual</v>
      </c>
      <c r="Q5504" t="str">
        <f>IF(COUNTIF(Customers!$A$2:$A$1001,B5504)&gt;0,"Valid","Invalid")</f>
        <v>Valid</v>
      </c>
      <c r="R5504" t="str">
        <f>IF(COUNTIF(Branches!$A$2:$A$11,F5504)&gt;0,"Valid","Invalid")</f>
        <v>Valid</v>
      </c>
    </row>
    <row r="5505" spans="1:18" x14ac:dyDescent="0.25">
      <c r="A5505" t="s">
        <v>7576</v>
      </c>
      <c r="B5505" t="s">
        <v>715</v>
      </c>
      <c r="C5505" s="8">
        <v>46169</v>
      </c>
      <c r="D5505" t="s">
        <v>2070</v>
      </c>
      <c r="E5505" t="s">
        <v>2076</v>
      </c>
      <c r="F5505" t="s">
        <v>29</v>
      </c>
      <c r="G5505">
        <v>288.23</v>
      </c>
      <c r="H5505" t="s">
        <v>2060</v>
      </c>
      <c r="I5505" t="str">
        <f>VLOOKUP(B5505,Customers!A:G,7,FALSE)</f>
        <v>Individual</v>
      </c>
      <c r="Q5505" t="str">
        <f>IF(COUNTIF(Customers!$A$2:$A$1001,B5505)&gt;0,"Valid","Invalid")</f>
        <v>Valid</v>
      </c>
      <c r="R5505" t="str">
        <f>IF(COUNTIF(Branches!$A$2:$A$11,F5505)&gt;0,"Valid","Invalid")</f>
        <v>Valid</v>
      </c>
    </row>
    <row r="5506" spans="1:18" x14ac:dyDescent="0.25">
      <c r="A5506" t="s">
        <v>7577</v>
      </c>
      <c r="B5506" t="s">
        <v>743</v>
      </c>
      <c r="C5506" s="8">
        <v>46180</v>
      </c>
      <c r="D5506" t="s">
        <v>2065</v>
      </c>
      <c r="E5506" t="s">
        <v>2059</v>
      </c>
      <c r="F5506" t="s">
        <v>39</v>
      </c>
      <c r="G5506">
        <v>441.03</v>
      </c>
      <c r="H5506" t="s">
        <v>2060</v>
      </c>
      <c r="I5506" t="str">
        <f>VLOOKUP(B5506,Customers!A:G,7,FALSE)</f>
        <v>Individual</v>
      </c>
      <c r="Q5506" t="str">
        <f>IF(COUNTIF(Customers!$A$2:$A$1001,B5506)&gt;0,"Valid","Invalid")</f>
        <v>Valid</v>
      </c>
      <c r="R5506" t="str">
        <f>IF(COUNTIF(Branches!$A$2:$A$11,F5506)&gt;0,"Valid","Invalid")</f>
        <v>Valid</v>
      </c>
    </row>
    <row r="5507" spans="1:18" x14ac:dyDescent="0.25">
      <c r="A5507" t="s">
        <v>7578</v>
      </c>
      <c r="B5507" t="s">
        <v>464</v>
      </c>
      <c r="C5507" s="8">
        <v>46250</v>
      </c>
      <c r="D5507" t="s">
        <v>2065</v>
      </c>
      <c r="E5507" t="s">
        <v>2063</v>
      </c>
      <c r="F5507" t="s">
        <v>39</v>
      </c>
      <c r="G5507">
        <v>889.34</v>
      </c>
      <c r="H5507" t="s">
        <v>2060</v>
      </c>
      <c r="I5507" t="str">
        <f>VLOOKUP(B5507,Customers!A:G,7,FALSE)</f>
        <v>Student</v>
      </c>
      <c r="Q5507" t="str">
        <f>IF(COUNTIF(Customers!$A$2:$A$1001,B5507)&gt;0,"Valid","Invalid")</f>
        <v>Valid</v>
      </c>
      <c r="R5507" t="str">
        <f>IF(COUNTIF(Branches!$A$2:$A$11,F5507)&gt;0,"Valid","Invalid")</f>
        <v>Valid</v>
      </c>
    </row>
    <row r="5508" spans="1:18" x14ac:dyDescent="0.25">
      <c r="A5508" t="s">
        <v>7579</v>
      </c>
      <c r="B5508" t="s">
        <v>855</v>
      </c>
      <c r="C5508" s="8">
        <v>46070</v>
      </c>
      <c r="D5508" t="s">
        <v>2058</v>
      </c>
      <c r="E5508" t="s">
        <v>2063</v>
      </c>
      <c r="F5508" t="s">
        <v>45</v>
      </c>
      <c r="G5508">
        <v>514.15</v>
      </c>
      <c r="H5508" t="s">
        <v>2060</v>
      </c>
      <c r="I5508" t="str">
        <f>VLOOKUP(B5508,Customers!A:G,7,FALSE)</f>
        <v>SME</v>
      </c>
      <c r="Q5508" t="str">
        <f>IF(COUNTIF(Customers!$A$2:$A$1001,B5508)&gt;0,"Valid","Invalid")</f>
        <v>Valid</v>
      </c>
      <c r="R5508" t="str">
        <f>IF(COUNTIF(Branches!$A$2:$A$11,F5508)&gt;0,"Valid","Invalid")</f>
        <v>Valid</v>
      </c>
    </row>
    <row r="5509" spans="1:18" x14ac:dyDescent="0.25">
      <c r="A5509" t="s">
        <v>7580</v>
      </c>
      <c r="B5509" t="s">
        <v>810</v>
      </c>
      <c r="C5509" s="8">
        <v>46134</v>
      </c>
      <c r="D5509" t="s">
        <v>2067</v>
      </c>
      <c r="E5509" t="s">
        <v>2059</v>
      </c>
      <c r="F5509" t="s">
        <v>11</v>
      </c>
      <c r="G5509">
        <v>335.91</v>
      </c>
      <c r="H5509" t="s">
        <v>2060</v>
      </c>
      <c r="I5509" t="str">
        <f>VLOOKUP(B5509,Customers!A:G,7,FALSE)</f>
        <v>Student</v>
      </c>
      <c r="Q5509" t="str">
        <f>IF(COUNTIF(Customers!$A$2:$A$1001,B5509)&gt;0,"Valid","Invalid")</f>
        <v>Valid</v>
      </c>
      <c r="R5509" t="str">
        <f>IF(COUNTIF(Branches!$A$2:$A$11,F5509)&gt;0,"Valid","Invalid")</f>
        <v>Valid</v>
      </c>
    </row>
    <row r="5510" spans="1:18" x14ac:dyDescent="0.25">
      <c r="A5510" t="s">
        <v>7581</v>
      </c>
      <c r="B5510" t="s">
        <v>742</v>
      </c>
      <c r="C5510" s="8">
        <v>46166</v>
      </c>
      <c r="D5510" t="s">
        <v>2067</v>
      </c>
      <c r="E5510" t="s">
        <v>2063</v>
      </c>
      <c r="F5510" t="s">
        <v>29</v>
      </c>
      <c r="G5510">
        <v>2534.62</v>
      </c>
      <c r="H5510" t="s">
        <v>2060</v>
      </c>
      <c r="I5510" t="str">
        <f>VLOOKUP(B5510,Customers!A:G,7,FALSE)</f>
        <v>Student</v>
      </c>
      <c r="Q5510" t="str">
        <f>IF(COUNTIF(Customers!$A$2:$A$1001,B5510)&gt;0,"Valid","Invalid")</f>
        <v>Valid</v>
      </c>
      <c r="R5510" t="str">
        <f>IF(COUNTIF(Branches!$A$2:$A$11,F5510)&gt;0,"Valid","Invalid")</f>
        <v>Valid</v>
      </c>
    </row>
    <row r="5511" spans="1:18" x14ac:dyDescent="0.25">
      <c r="A5511" t="s">
        <v>7582</v>
      </c>
      <c r="B5511" t="s">
        <v>629</v>
      </c>
      <c r="C5511" s="8">
        <v>46221</v>
      </c>
      <c r="D5511" t="s">
        <v>2067</v>
      </c>
      <c r="E5511" t="s">
        <v>2068</v>
      </c>
      <c r="F5511" t="s">
        <v>27</v>
      </c>
      <c r="G5511">
        <v>720.83</v>
      </c>
      <c r="H5511" t="s">
        <v>2060</v>
      </c>
      <c r="I5511" t="str">
        <f>VLOOKUP(B5511,Customers!A:G,7,FALSE)</f>
        <v>Individual</v>
      </c>
      <c r="Q5511" t="str">
        <f>IF(COUNTIF(Customers!$A$2:$A$1001,B5511)&gt;0,"Valid","Invalid")</f>
        <v>Valid</v>
      </c>
      <c r="R5511" t="str">
        <f>IF(COUNTIF(Branches!$A$2:$A$11,F5511)&gt;0,"Valid","Invalid")</f>
        <v>Valid</v>
      </c>
    </row>
    <row r="5512" spans="1:18" x14ac:dyDescent="0.25">
      <c r="A5512" t="s">
        <v>7583</v>
      </c>
      <c r="B5512" t="s">
        <v>729</v>
      </c>
      <c r="C5512" s="8">
        <v>46040</v>
      </c>
      <c r="D5512" t="s">
        <v>2067</v>
      </c>
      <c r="E5512" t="s">
        <v>2063</v>
      </c>
      <c r="F5512" t="s">
        <v>29</v>
      </c>
      <c r="G5512">
        <v>479.18</v>
      </c>
      <c r="H5512" t="s">
        <v>2060</v>
      </c>
      <c r="I5512" t="str">
        <f>VLOOKUP(B5512,Customers!A:G,7,FALSE)</f>
        <v>Individual</v>
      </c>
      <c r="Q5512" t="str">
        <f>IF(COUNTIF(Customers!$A$2:$A$1001,B5512)&gt;0,"Valid","Invalid")</f>
        <v>Valid</v>
      </c>
      <c r="R5512" t="str">
        <f>IF(COUNTIF(Branches!$A$2:$A$11,F5512)&gt;0,"Valid","Invalid")</f>
        <v>Valid</v>
      </c>
    </row>
    <row r="5513" spans="1:18" x14ac:dyDescent="0.25">
      <c r="A5513" t="s">
        <v>7584</v>
      </c>
      <c r="B5513" t="s">
        <v>127</v>
      </c>
      <c r="C5513" s="8">
        <v>46206</v>
      </c>
      <c r="D5513" t="s">
        <v>2062</v>
      </c>
      <c r="E5513" t="s">
        <v>2063</v>
      </c>
      <c r="F5513" t="s">
        <v>29</v>
      </c>
      <c r="G5513">
        <v>275.23</v>
      </c>
      <c r="H5513" t="s">
        <v>2060</v>
      </c>
      <c r="I5513" t="str">
        <f>VLOOKUP(B5513,Customers!A:G,7,FALSE)</f>
        <v>Individual</v>
      </c>
      <c r="Q5513" t="str">
        <f>IF(COUNTIF(Customers!$A$2:$A$1001,B5513)&gt;0,"Valid","Invalid")</f>
        <v>Valid</v>
      </c>
      <c r="R5513" t="str">
        <f>IF(COUNTIF(Branches!$A$2:$A$11,F5513)&gt;0,"Valid","Invalid")</f>
        <v>Valid</v>
      </c>
    </row>
    <row r="5514" spans="1:18" x14ac:dyDescent="0.25">
      <c r="A5514" t="s">
        <v>7585</v>
      </c>
      <c r="B5514" t="s">
        <v>494</v>
      </c>
      <c r="C5514" s="8">
        <v>46171</v>
      </c>
      <c r="D5514" t="s">
        <v>2058</v>
      </c>
      <c r="E5514" t="s">
        <v>2059</v>
      </c>
      <c r="F5514" t="s">
        <v>21</v>
      </c>
      <c r="G5514">
        <v>124.96</v>
      </c>
      <c r="H5514" t="s">
        <v>2115</v>
      </c>
      <c r="I5514" t="str">
        <f>VLOOKUP(B5514,Customers!A:G,7,FALSE)</f>
        <v>Student</v>
      </c>
      <c r="Q5514" t="str">
        <f>IF(COUNTIF(Customers!$A$2:$A$1001,B5514)&gt;0,"Valid","Invalid")</f>
        <v>Valid</v>
      </c>
      <c r="R5514" t="str">
        <f>IF(COUNTIF(Branches!$A$2:$A$11,F5514)&gt;0,"Valid","Invalid")</f>
        <v>Valid</v>
      </c>
    </row>
    <row r="5515" spans="1:18" x14ac:dyDescent="0.25">
      <c r="A5515" t="s">
        <v>7586</v>
      </c>
      <c r="B5515" t="s">
        <v>482</v>
      </c>
      <c r="C5515" s="8">
        <v>46053</v>
      </c>
      <c r="D5515" t="s">
        <v>2070</v>
      </c>
      <c r="E5515" t="s">
        <v>2063</v>
      </c>
      <c r="F5515" t="s">
        <v>11</v>
      </c>
      <c r="G5515">
        <v>650.64</v>
      </c>
      <c r="H5515" t="s">
        <v>2060</v>
      </c>
      <c r="I5515" t="str">
        <f>VLOOKUP(B5515,Customers!A:G,7,FALSE)</f>
        <v>Individual</v>
      </c>
      <c r="Q5515" t="str">
        <f>IF(COUNTIF(Customers!$A$2:$A$1001,B5515)&gt;0,"Valid","Invalid")</f>
        <v>Valid</v>
      </c>
      <c r="R5515" t="str">
        <f>IF(COUNTIF(Branches!$A$2:$A$11,F5515)&gt;0,"Valid","Invalid")</f>
        <v>Valid</v>
      </c>
    </row>
    <row r="5516" spans="1:18" x14ac:dyDescent="0.25">
      <c r="A5516" t="s">
        <v>7587</v>
      </c>
      <c r="B5516" t="s">
        <v>765</v>
      </c>
      <c r="C5516" s="8">
        <v>46151</v>
      </c>
      <c r="D5516" t="s">
        <v>2062</v>
      </c>
      <c r="E5516" t="s">
        <v>2059</v>
      </c>
      <c r="F5516" t="s">
        <v>27</v>
      </c>
      <c r="G5516">
        <v>204.75</v>
      </c>
      <c r="H5516" t="s">
        <v>2060</v>
      </c>
      <c r="I5516" t="str">
        <f>VLOOKUP(B5516,Customers!A:G,7,FALSE)</f>
        <v>Student</v>
      </c>
      <c r="Q5516" t="str">
        <f>IF(COUNTIF(Customers!$A$2:$A$1001,B5516)&gt;0,"Valid","Invalid")</f>
        <v>Valid</v>
      </c>
      <c r="R5516" t="str">
        <f>IF(COUNTIF(Branches!$A$2:$A$11,F5516)&gt;0,"Valid","Invalid")</f>
        <v>Valid</v>
      </c>
    </row>
    <row r="5517" spans="1:18" x14ac:dyDescent="0.25">
      <c r="A5517" t="s">
        <v>7588</v>
      </c>
      <c r="B5517" t="s">
        <v>115</v>
      </c>
      <c r="C5517" s="8">
        <v>46153</v>
      </c>
      <c r="D5517" t="s">
        <v>2065</v>
      </c>
      <c r="E5517" t="s">
        <v>2059</v>
      </c>
      <c r="F5517" t="s">
        <v>39</v>
      </c>
      <c r="G5517">
        <v>1655.79</v>
      </c>
      <c r="H5517" t="s">
        <v>2060</v>
      </c>
      <c r="I5517" t="str">
        <f>VLOOKUP(B5517,Customers!A:G,7,FALSE)</f>
        <v>SME</v>
      </c>
      <c r="Q5517" t="str">
        <f>IF(COUNTIF(Customers!$A$2:$A$1001,B5517)&gt;0,"Valid","Invalid")</f>
        <v>Valid</v>
      </c>
      <c r="R5517" t="str">
        <f>IF(COUNTIF(Branches!$A$2:$A$11,F5517)&gt;0,"Valid","Invalid")</f>
        <v>Valid</v>
      </c>
    </row>
    <row r="5518" spans="1:18" x14ac:dyDescent="0.25">
      <c r="A5518" t="s">
        <v>7589</v>
      </c>
      <c r="B5518" t="s">
        <v>513</v>
      </c>
      <c r="C5518" s="8">
        <v>46245</v>
      </c>
      <c r="D5518" t="s">
        <v>2065</v>
      </c>
      <c r="E5518" t="s">
        <v>2076</v>
      </c>
      <c r="F5518" t="s">
        <v>11</v>
      </c>
      <c r="G5518">
        <v>836.72</v>
      </c>
      <c r="H5518" t="s">
        <v>2060</v>
      </c>
      <c r="I5518" t="str">
        <f>VLOOKUP(B5518,Customers!A:G,7,FALSE)</f>
        <v>Individual</v>
      </c>
      <c r="Q5518" t="str">
        <f>IF(COUNTIF(Customers!$A$2:$A$1001,B5518)&gt;0,"Valid","Invalid")</f>
        <v>Valid</v>
      </c>
      <c r="R5518" t="str">
        <f>IF(COUNTIF(Branches!$A$2:$A$11,F5518)&gt;0,"Valid","Invalid")</f>
        <v>Valid</v>
      </c>
    </row>
    <row r="5519" spans="1:18" x14ac:dyDescent="0.25">
      <c r="A5519" t="s">
        <v>7590</v>
      </c>
      <c r="B5519" t="s">
        <v>965</v>
      </c>
      <c r="C5519" s="8">
        <v>46047</v>
      </c>
      <c r="D5519" t="s">
        <v>2067</v>
      </c>
      <c r="E5519" t="s">
        <v>2073</v>
      </c>
      <c r="F5519" t="s">
        <v>29</v>
      </c>
      <c r="G5519">
        <v>3859.76</v>
      </c>
      <c r="H5519" t="s">
        <v>2060</v>
      </c>
      <c r="I5519" t="str">
        <f>VLOOKUP(B5519,Customers!A:G,7,FALSE)</f>
        <v>SME</v>
      </c>
      <c r="Q5519" t="str">
        <f>IF(COUNTIF(Customers!$A$2:$A$1001,B5519)&gt;0,"Valid","Invalid")</f>
        <v>Valid</v>
      </c>
      <c r="R5519" t="str">
        <f>IF(COUNTIF(Branches!$A$2:$A$11,F5519)&gt;0,"Valid","Invalid")</f>
        <v>Valid</v>
      </c>
    </row>
    <row r="5520" spans="1:18" x14ac:dyDescent="0.25">
      <c r="A5520" t="s">
        <v>7591</v>
      </c>
      <c r="B5520" t="s">
        <v>139</v>
      </c>
      <c r="C5520" s="8">
        <v>46030</v>
      </c>
      <c r="D5520" t="s">
        <v>2062</v>
      </c>
      <c r="E5520" t="s">
        <v>2068</v>
      </c>
      <c r="F5520" t="s">
        <v>47</v>
      </c>
      <c r="G5520">
        <v>1015.44</v>
      </c>
      <c r="H5520" t="s">
        <v>2060</v>
      </c>
      <c r="I5520" t="str">
        <f>VLOOKUP(B5520,Customers!A:G,7,FALSE)</f>
        <v>SME</v>
      </c>
      <c r="Q5520" t="str">
        <f>IF(COUNTIF(Customers!$A$2:$A$1001,B5520)&gt;0,"Valid","Invalid")</f>
        <v>Valid</v>
      </c>
      <c r="R5520" t="str">
        <f>IF(COUNTIF(Branches!$A$2:$A$11,F5520)&gt;0,"Valid","Invalid")</f>
        <v>Valid</v>
      </c>
    </row>
    <row r="5521" spans="1:18" x14ac:dyDescent="0.25">
      <c r="A5521" t="s">
        <v>7592</v>
      </c>
      <c r="B5521" t="s">
        <v>661</v>
      </c>
      <c r="C5521" s="8">
        <v>46215</v>
      </c>
      <c r="D5521" t="s">
        <v>2065</v>
      </c>
      <c r="E5521" t="s">
        <v>2063</v>
      </c>
      <c r="F5521" t="s">
        <v>47</v>
      </c>
      <c r="G5521">
        <v>392.82</v>
      </c>
      <c r="H5521" t="s">
        <v>2060</v>
      </c>
      <c r="I5521" t="str">
        <f>VLOOKUP(B5521,Customers!A:G,7,FALSE)</f>
        <v>SME</v>
      </c>
      <c r="Q5521" t="str">
        <f>IF(COUNTIF(Customers!$A$2:$A$1001,B5521)&gt;0,"Valid","Invalid")</f>
        <v>Valid</v>
      </c>
      <c r="R5521" t="str">
        <f>IF(COUNTIF(Branches!$A$2:$A$11,F5521)&gt;0,"Valid","Invalid")</f>
        <v>Valid</v>
      </c>
    </row>
    <row r="5522" spans="1:18" x14ac:dyDescent="0.25">
      <c r="A5522" t="s">
        <v>7593</v>
      </c>
      <c r="B5522" t="s">
        <v>494</v>
      </c>
      <c r="C5522" s="8">
        <v>46084</v>
      </c>
      <c r="D5522" t="s">
        <v>2065</v>
      </c>
      <c r="E5522" t="s">
        <v>2073</v>
      </c>
      <c r="F5522" t="s">
        <v>16</v>
      </c>
      <c r="G5522">
        <v>123.96</v>
      </c>
      <c r="H5522" t="s">
        <v>2060</v>
      </c>
      <c r="I5522" t="str">
        <f>VLOOKUP(B5522,Customers!A:G,7,FALSE)</f>
        <v>Student</v>
      </c>
      <c r="Q5522" t="str">
        <f>IF(COUNTIF(Customers!$A$2:$A$1001,B5522)&gt;0,"Valid","Invalid")</f>
        <v>Valid</v>
      </c>
      <c r="R5522" t="str">
        <f>IF(COUNTIF(Branches!$A$2:$A$11,F5522)&gt;0,"Valid","Invalid")</f>
        <v>Valid</v>
      </c>
    </row>
    <row r="5523" spans="1:18" x14ac:dyDescent="0.25">
      <c r="A5523" t="s">
        <v>7594</v>
      </c>
      <c r="B5523" t="s">
        <v>1028</v>
      </c>
      <c r="C5523" s="8">
        <v>46157</v>
      </c>
      <c r="D5523" t="s">
        <v>2062</v>
      </c>
      <c r="E5523" t="s">
        <v>2059</v>
      </c>
      <c r="F5523" t="s">
        <v>21</v>
      </c>
      <c r="G5523">
        <v>1819.91</v>
      </c>
      <c r="H5523" t="s">
        <v>2060</v>
      </c>
      <c r="I5523" t="str">
        <f>VLOOKUP(B5523,Customers!A:G,7,FALSE)</f>
        <v>SME</v>
      </c>
      <c r="Q5523" t="str">
        <f>IF(COUNTIF(Customers!$A$2:$A$1001,B5523)&gt;0,"Valid","Invalid")</f>
        <v>Valid</v>
      </c>
      <c r="R5523" t="str">
        <f>IF(COUNTIF(Branches!$A$2:$A$11,F5523)&gt;0,"Valid","Invalid")</f>
        <v>Valid</v>
      </c>
    </row>
    <row r="5524" spans="1:18" x14ac:dyDescent="0.25">
      <c r="A5524" t="s">
        <v>7595</v>
      </c>
      <c r="B5524" t="s">
        <v>352</v>
      </c>
      <c r="C5524" s="8">
        <v>46029</v>
      </c>
      <c r="D5524" t="s">
        <v>2058</v>
      </c>
      <c r="E5524" t="s">
        <v>2059</v>
      </c>
      <c r="F5524" t="s">
        <v>53</v>
      </c>
      <c r="G5524">
        <v>221.64</v>
      </c>
      <c r="H5524" t="s">
        <v>2115</v>
      </c>
      <c r="I5524" t="str">
        <f>VLOOKUP(B5524,Customers!A:G,7,FALSE)</f>
        <v>SME</v>
      </c>
      <c r="Q5524" t="str">
        <f>IF(COUNTIF(Customers!$A$2:$A$1001,B5524)&gt;0,"Valid","Invalid")</f>
        <v>Valid</v>
      </c>
      <c r="R5524" t="str">
        <f>IF(COUNTIF(Branches!$A$2:$A$11,F5524)&gt;0,"Valid","Invalid")</f>
        <v>Valid</v>
      </c>
    </row>
    <row r="5525" spans="1:18" x14ac:dyDescent="0.25">
      <c r="A5525" t="s">
        <v>7596</v>
      </c>
      <c r="B5525" t="s">
        <v>285</v>
      </c>
      <c r="C5525" s="8">
        <v>46158</v>
      </c>
      <c r="D5525" t="s">
        <v>2065</v>
      </c>
      <c r="E5525" t="s">
        <v>2059</v>
      </c>
      <c r="F5525" t="s">
        <v>29</v>
      </c>
      <c r="G5525">
        <v>540.15</v>
      </c>
      <c r="H5525" t="s">
        <v>2060</v>
      </c>
      <c r="I5525" t="str">
        <f>VLOOKUP(B5525,Customers!A:G,7,FALSE)</f>
        <v>Individual</v>
      </c>
      <c r="Q5525" t="str">
        <f>IF(COUNTIF(Customers!$A$2:$A$1001,B5525)&gt;0,"Valid","Invalid")</f>
        <v>Valid</v>
      </c>
      <c r="R5525" t="str">
        <f>IF(COUNTIF(Branches!$A$2:$A$11,F5525)&gt;0,"Valid","Invalid")</f>
        <v>Valid</v>
      </c>
    </row>
    <row r="5526" spans="1:18" x14ac:dyDescent="0.25">
      <c r="A5526" t="s">
        <v>7597</v>
      </c>
      <c r="B5526" t="s">
        <v>272</v>
      </c>
      <c r="C5526" s="8">
        <v>46041</v>
      </c>
      <c r="D5526" t="s">
        <v>2065</v>
      </c>
      <c r="E5526" t="s">
        <v>2063</v>
      </c>
      <c r="F5526" t="s">
        <v>29</v>
      </c>
      <c r="G5526">
        <v>4333.32</v>
      </c>
      <c r="H5526" t="s">
        <v>2060</v>
      </c>
      <c r="I5526" t="str">
        <f>VLOOKUP(B5526,Customers!A:G,7,FALSE)</f>
        <v>Corporate</v>
      </c>
      <c r="Q5526" t="str">
        <f>IF(COUNTIF(Customers!$A$2:$A$1001,B5526)&gt;0,"Valid","Invalid")</f>
        <v>Valid</v>
      </c>
      <c r="R5526" t="str">
        <f>IF(COUNTIF(Branches!$A$2:$A$11,F5526)&gt;0,"Valid","Invalid")</f>
        <v>Valid</v>
      </c>
    </row>
    <row r="5527" spans="1:18" x14ac:dyDescent="0.25">
      <c r="A5527" t="s">
        <v>7598</v>
      </c>
      <c r="B5527" t="s">
        <v>632</v>
      </c>
      <c r="C5527" s="8">
        <v>46167</v>
      </c>
      <c r="D5527" t="s">
        <v>2062</v>
      </c>
      <c r="E5527" t="s">
        <v>2068</v>
      </c>
      <c r="F5527" t="s">
        <v>45</v>
      </c>
      <c r="G5527">
        <v>1496.65</v>
      </c>
      <c r="H5527" t="s">
        <v>2060</v>
      </c>
      <c r="I5527" t="str">
        <f>VLOOKUP(B5527,Customers!A:G,7,FALSE)</f>
        <v>Individual</v>
      </c>
      <c r="Q5527" t="str">
        <f>IF(COUNTIF(Customers!$A$2:$A$1001,B5527)&gt;0,"Valid","Invalid")</f>
        <v>Valid</v>
      </c>
      <c r="R5527" t="str">
        <f>IF(COUNTIF(Branches!$A$2:$A$11,F5527)&gt;0,"Valid","Invalid")</f>
        <v>Valid</v>
      </c>
    </row>
    <row r="5528" spans="1:18" x14ac:dyDescent="0.25">
      <c r="A5528" t="s">
        <v>7599</v>
      </c>
      <c r="B5528" t="s">
        <v>682</v>
      </c>
      <c r="C5528" s="8">
        <v>46161</v>
      </c>
      <c r="D5528" t="s">
        <v>2062</v>
      </c>
      <c r="E5528" t="s">
        <v>2063</v>
      </c>
      <c r="F5528" t="s">
        <v>16</v>
      </c>
      <c r="G5528">
        <v>1199.75</v>
      </c>
      <c r="H5528" t="s">
        <v>2060</v>
      </c>
      <c r="I5528" t="str">
        <f>VLOOKUP(B5528,Customers!A:G,7,FALSE)</f>
        <v>Student</v>
      </c>
      <c r="Q5528" t="str">
        <f>IF(COUNTIF(Customers!$A$2:$A$1001,B5528)&gt;0,"Valid","Invalid")</f>
        <v>Valid</v>
      </c>
      <c r="R5528" t="str">
        <f>IF(COUNTIF(Branches!$A$2:$A$11,F5528)&gt;0,"Valid","Invalid")</f>
        <v>Valid</v>
      </c>
    </row>
    <row r="5529" spans="1:18" x14ac:dyDescent="0.25">
      <c r="A5529" t="s">
        <v>7600</v>
      </c>
      <c r="B5529" t="s">
        <v>273</v>
      </c>
      <c r="C5529" s="8">
        <v>46133</v>
      </c>
      <c r="D5529" t="s">
        <v>2065</v>
      </c>
      <c r="E5529" t="s">
        <v>2059</v>
      </c>
      <c r="F5529" t="s">
        <v>29</v>
      </c>
      <c r="G5529">
        <v>2088.75</v>
      </c>
      <c r="H5529" t="s">
        <v>2060</v>
      </c>
      <c r="I5529" t="str">
        <f>VLOOKUP(B5529,Customers!A:G,7,FALSE)</f>
        <v>Individual</v>
      </c>
      <c r="Q5529" t="str">
        <f>IF(COUNTIF(Customers!$A$2:$A$1001,B5529)&gt;0,"Valid","Invalid")</f>
        <v>Valid</v>
      </c>
      <c r="R5529" t="str">
        <f>IF(COUNTIF(Branches!$A$2:$A$11,F5529)&gt;0,"Valid","Invalid")</f>
        <v>Valid</v>
      </c>
    </row>
    <row r="5530" spans="1:18" x14ac:dyDescent="0.25">
      <c r="A5530" t="s">
        <v>7601</v>
      </c>
      <c r="B5530" t="s">
        <v>828</v>
      </c>
      <c r="C5530" s="8">
        <v>46255</v>
      </c>
      <c r="D5530" t="s">
        <v>2067</v>
      </c>
      <c r="E5530" t="s">
        <v>2063</v>
      </c>
      <c r="F5530" t="s">
        <v>35</v>
      </c>
      <c r="G5530">
        <v>2012.33</v>
      </c>
      <c r="H5530" t="s">
        <v>2060</v>
      </c>
      <c r="I5530" t="str">
        <f>VLOOKUP(B5530,Customers!A:G,7,FALSE)</f>
        <v>Individual</v>
      </c>
      <c r="Q5530" t="str">
        <f>IF(COUNTIF(Customers!$A$2:$A$1001,B5530)&gt;0,"Valid","Invalid")</f>
        <v>Valid</v>
      </c>
      <c r="R5530" t="str">
        <f>IF(COUNTIF(Branches!$A$2:$A$11,F5530)&gt;0,"Valid","Invalid")</f>
        <v>Valid</v>
      </c>
    </row>
    <row r="5531" spans="1:18" x14ac:dyDescent="0.25">
      <c r="A5531" t="s">
        <v>7602</v>
      </c>
      <c r="B5531" t="s">
        <v>425</v>
      </c>
      <c r="C5531" s="8">
        <v>46199</v>
      </c>
      <c r="D5531" t="s">
        <v>2062</v>
      </c>
      <c r="E5531" t="s">
        <v>2068</v>
      </c>
      <c r="F5531" t="s">
        <v>11</v>
      </c>
      <c r="G5531">
        <v>3947.93</v>
      </c>
      <c r="H5531" t="s">
        <v>2107</v>
      </c>
      <c r="I5531" t="str">
        <f>VLOOKUP(B5531,Customers!A:G,7,FALSE)</f>
        <v>Student</v>
      </c>
      <c r="Q5531" t="str">
        <f>IF(COUNTIF(Customers!$A$2:$A$1001,B5531)&gt;0,"Valid","Invalid")</f>
        <v>Valid</v>
      </c>
      <c r="R5531" t="str">
        <f>IF(COUNTIF(Branches!$A$2:$A$11,F5531)&gt;0,"Valid","Invalid")</f>
        <v>Valid</v>
      </c>
    </row>
    <row r="5532" spans="1:18" x14ac:dyDescent="0.25">
      <c r="A5532" t="s">
        <v>7603</v>
      </c>
      <c r="B5532" t="s">
        <v>885</v>
      </c>
      <c r="C5532" s="8">
        <v>46033</v>
      </c>
      <c r="D5532" t="s">
        <v>2062</v>
      </c>
      <c r="E5532" t="s">
        <v>2068</v>
      </c>
      <c r="F5532" t="s">
        <v>47</v>
      </c>
      <c r="G5532">
        <v>444.89</v>
      </c>
      <c r="H5532" t="s">
        <v>2060</v>
      </c>
      <c r="I5532" t="str">
        <f>VLOOKUP(B5532,Customers!A:G,7,FALSE)</f>
        <v>Individual</v>
      </c>
      <c r="Q5532" t="str">
        <f>IF(COUNTIF(Customers!$A$2:$A$1001,B5532)&gt;0,"Valid","Invalid")</f>
        <v>Valid</v>
      </c>
      <c r="R5532" t="str">
        <f>IF(COUNTIF(Branches!$A$2:$A$11,F5532)&gt;0,"Valid","Invalid")</f>
        <v>Valid</v>
      </c>
    </row>
    <row r="5533" spans="1:18" x14ac:dyDescent="0.25">
      <c r="A5533" t="s">
        <v>7604</v>
      </c>
      <c r="B5533" t="s">
        <v>649</v>
      </c>
      <c r="C5533" s="8">
        <v>46252</v>
      </c>
      <c r="D5533" t="s">
        <v>2062</v>
      </c>
      <c r="E5533" t="s">
        <v>2063</v>
      </c>
      <c r="F5533" t="s">
        <v>29</v>
      </c>
      <c r="G5533">
        <v>557.41999999999996</v>
      </c>
      <c r="H5533" t="s">
        <v>2060</v>
      </c>
      <c r="I5533" t="str">
        <f>VLOOKUP(B5533,Customers!A:G,7,FALSE)</f>
        <v>Individual</v>
      </c>
      <c r="Q5533" t="str">
        <f>IF(COUNTIF(Customers!$A$2:$A$1001,B5533)&gt;0,"Valid","Invalid")</f>
        <v>Valid</v>
      </c>
      <c r="R5533" t="str">
        <f>IF(COUNTIF(Branches!$A$2:$A$11,F5533)&gt;0,"Valid","Invalid")</f>
        <v>Valid</v>
      </c>
    </row>
    <row r="5534" spans="1:18" x14ac:dyDescent="0.25">
      <c r="A5534" t="s">
        <v>7605</v>
      </c>
      <c r="B5534" t="s">
        <v>981</v>
      </c>
      <c r="C5534" s="8">
        <v>46063</v>
      </c>
      <c r="D5534" t="s">
        <v>2058</v>
      </c>
      <c r="E5534" t="s">
        <v>2076</v>
      </c>
      <c r="F5534" t="s">
        <v>21</v>
      </c>
      <c r="G5534">
        <v>322.99</v>
      </c>
      <c r="H5534" t="s">
        <v>2060</v>
      </c>
      <c r="I5534" t="str">
        <f>VLOOKUP(B5534,Customers!A:G,7,FALSE)</f>
        <v>Individual</v>
      </c>
      <c r="Q5534" t="str">
        <f>IF(COUNTIF(Customers!$A$2:$A$1001,B5534)&gt;0,"Valid","Invalid")</f>
        <v>Valid</v>
      </c>
      <c r="R5534" t="str">
        <f>IF(COUNTIF(Branches!$A$2:$A$11,F5534)&gt;0,"Valid","Invalid")</f>
        <v>Valid</v>
      </c>
    </row>
    <row r="5535" spans="1:18" x14ac:dyDescent="0.25">
      <c r="A5535" t="s">
        <v>7606</v>
      </c>
      <c r="B5535" t="s">
        <v>72</v>
      </c>
      <c r="C5535" s="8">
        <v>46212</v>
      </c>
      <c r="D5535" t="s">
        <v>2062</v>
      </c>
      <c r="E5535" t="s">
        <v>2076</v>
      </c>
      <c r="F5535" t="s">
        <v>53</v>
      </c>
      <c r="G5535">
        <v>786.27</v>
      </c>
      <c r="H5535" t="s">
        <v>2060</v>
      </c>
      <c r="I5535" t="str">
        <f>VLOOKUP(B5535,Customers!A:G,7,FALSE)</f>
        <v>Individual</v>
      </c>
      <c r="Q5535" t="str">
        <f>IF(COUNTIF(Customers!$A$2:$A$1001,B5535)&gt;0,"Valid","Invalid")</f>
        <v>Valid</v>
      </c>
      <c r="R5535" t="str">
        <f>IF(COUNTIF(Branches!$A$2:$A$11,F5535)&gt;0,"Valid","Invalid")</f>
        <v>Valid</v>
      </c>
    </row>
    <row r="5536" spans="1:18" x14ac:dyDescent="0.25">
      <c r="A5536" t="s">
        <v>7607</v>
      </c>
      <c r="B5536" t="s">
        <v>197</v>
      </c>
      <c r="C5536" s="8">
        <v>46136</v>
      </c>
      <c r="D5536" t="s">
        <v>2067</v>
      </c>
      <c r="E5536" t="s">
        <v>2059</v>
      </c>
      <c r="F5536" t="s">
        <v>45</v>
      </c>
      <c r="G5536">
        <v>711.78</v>
      </c>
      <c r="H5536" t="s">
        <v>2060</v>
      </c>
      <c r="I5536" t="str">
        <f>VLOOKUP(B5536,Customers!A:G,7,FALSE)</f>
        <v>Individual</v>
      </c>
      <c r="Q5536" t="str">
        <f>IF(COUNTIF(Customers!$A$2:$A$1001,B5536)&gt;0,"Valid","Invalid")</f>
        <v>Valid</v>
      </c>
      <c r="R5536" t="str">
        <f>IF(COUNTIF(Branches!$A$2:$A$11,F5536)&gt;0,"Valid","Invalid")</f>
        <v>Valid</v>
      </c>
    </row>
    <row r="5537" spans="1:18" x14ac:dyDescent="0.25">
      <c r="A5537" t="s">
        <v>7608</v>
      </c>
      <c r="B5537" t="s">
        <v>500</v>
      </c>
      <c r="C5537" s="8">
        <v>46202</v>
      </c>
      <c r="D5537" t="s">
        <v>2065</v>
      </c>
      <c r="E5537" t="s">
        <v>2076</v>
      </c>
      <c r="F5537" t="s">
        <v>47</v>
      </c>
      <c r="G5537">
        <v>140.47999999999999</v>
      </c>
      <c r="H5537" t="s">
        <v>2060</v>
      </c>
      <c r="I5537" t="str">
        <f>VLOOKUP(B5537,Customers!A:G,7,FALSE)</f>
        <v>Student</v>
      </c>
      <c r="Q5537" t="str">
        <f>IF(COUNTIF(Customers!$A$2:$A$1001,B5537)&gt;0,"Valid","Invalid")</f>
        <v>Valid</v>
      </c>
      <c r="R5537" t="str">
        <f>IF(COUNTIF(Branches!$A$2:$A$11,F5537)&gt;0,"Valid","Invalid")</f>
        <v>Valid</v>
      </c>
    </row>
    <row r="5538" spans="1:18" x14ac:dyDescent="0.25">
      <c r="A5538" t="s">
        <v>7609</v>
      </c>
      <c r="B5538" t="s">
        <v>982</v>
      </c>
      <c r="C5538" s="8">
        <v>46216</v>
      </c>
      <c r="D5538" t="s">
        <v>2062</v>
      </c>
      <c r="E5538" t="s">
        <v>2059</v>
      </c>
      <c r="F5538" t="s">
        <v>39</v>
      </c>
      <c r="G5538">
        <v>422.46</v>
      </c>
      <c r="H5538" t="s">
        <v>2060</v>
      </c>
      <c r="I5538" t="str">
        <f>VLOOKUP(B5538,Customers!A:G,7,FALSE)</f>
        <v>Individual</v>
      </c>
      <c r="Q5538" t="str">
        <f>IF(COUNTIF(Customers!$A$2:$A$1001,B5538)&gt;0,"Valid","Invalid")</f>
        <v>Valid</v>
      </c>
      <c r="R5538" t="str">
        <f>IF(COUNTIF(Branches!$A$2:$A$11,F5538)&gt;0,"Valid","Invalid")</f>
        <v>Valid</v>
      </c>
    </row>
    <row r="5539" spans="1:18" x14ac:dyDescent="0.25">
      <c r="A5539" t="s">
        <v>7610</v>
      </c>
      <c r="B5539" t="s">
        <v>487</v>
      </c>
      <c r="C5539" s="8">
        <v>46218</v>
      </c>
      <c r="D5539" t="s">
        <v>2058</v>
      </c>
      <c r="E5539" t="s">
        <v>2063</v>
      </c>
      <c r="F5539" t="s">
        <v>29</v>
      </c>
      <c r="G5539">
        <v>3425.89</v>
      </c>
      <c r="H5539" t="s">
        <v>2060</v>
      </c>
      <c r="I5539" t="str">
        <f>VLOOKUP(B5539,Customers!A:G,7,FALSE)</f>
        <v>Student</v>
      </c>
      <c r="Q5539" t="str">
        <f>IF(COUNTIF(Customers!$A$2:$A$1001,B5539)&gt;0,"Valid","Invalid")</f>
        <v>Valid</v>
      </c>
      <c r="R5539" t="str">
        <f>IF(COUNTIF(Branches!$A$2:$A$11,F5539)&gt;0,"Valid","Invalid")</f>
        <v>Valid</v>
      </c>
    </row>
    <row r="5540" spans="1:18" x14ac:dyDescent="0.25">
      <c r="A5540" t="s">
        <v>7611</v>
      </c>
      <c r="B5540" t="s">
        <v>153</v>
      </c>
      <c r="C5540" s="8">
        <v>46264</v>
      </c>
      <c r="D5540" t="s">
        <v>2062</v>
      </c>
      <c r="E5540" t="s">
        <v>2076</v>
      </c>
      <c r="F5540" t="s">
        <v>29</v>
      </c>
      <c r="G5540">
        <v>1037.1300000000001</v>
      </c>
      <c r="H5540" t="s">
        <v>2060</v>
      </c>
      <c r="I5540" t="str">
        <f>VLOOKUP(B5540,Customers!A:G,7,FALSE)</f>
        <v>Individual</v>
      </c>
      <c r="Q5540" t="str">
        <f>IF(COUNTIF(Customers!$A$2:$A$1001,B5540)&gt;0,"Valid","Invalid")</f>
        <v>Valid</v>
      </c>
      <c r="R5540" t="str">
        <f>IF(COUNTIF(Branches!$A$2:$A$11,F5540)&gt;0,"Valid","Invalid")</f>
        <v>Valid</v>
      </c>
    </row>
    <row r="5541" spans="1:18" x14ac:dyDescent="0.25">
      <c r="A5541" t="s">
        <v>7612</v>
      </c>
      <c r="B5541" t="s">
        <v>279</v>
      </c>
      <c r="C5541" s="8">
        <v>46114</v>
      </c>
      <c r="D5541" t="s">
        <v>2065</v>
      </c>
      <c r="E5541" t="s">
        <v>2059</v>
      </c>
      <c r="F5541" t="s">
        <v>29</v>
      </c>
      <c r="G5541">
        <v>1661.37</v>
      </c>
      <c r="H5541" t="s">
        <v>2060</v>
      </c>
      <c r="I5541" t="str">
        <f>VLOOKUP(B5541,Customers!A:G,7,FALSE)</f>
        <v>SME</v>
      </c>
      <c r="Q5541" t="str">
        <f>IF(COUNTIF(Customers!$A$2:$A$1001,B5541)&gt;0,"Valid","Invalid")</f>
        <v>Valid</v>
      </c>
      <c r="R5541" t="str">
        <f>IF(COUNTIF(Branches!$A$2:$A$11,F5541)&gt;0,"Valid","Invalid")</f>
        <v>Valid</v>
      </c>
    </row>
    <row r="5542" spans="1:18" x14ac:dyDescent="0.25">
      <c r="A5542" t="s">
        <v>7613</v>
      </c>
      <c r="B5542" t="s">
        <v>60</v>
      </c>
      <c r="C5542" s="8">
        <v>46247</v>
      </c>
      <c r="D5542" t="s">
        <v>2062</v>
      </c>
      <c r="E5542" t="s">
        <v>2059</v>
      </c>
      <c r="F5542" t="s">
        <v>45</v>
      </c>
      <c r="G5542">
        <v>720.15</v>
      </c>
      <c r="H5542" t="s">
        <v>2060</v>
      </c>
      <c r="I5542" t="str">
        <f>VLOOKUP(B5542,Customers!A:G,7,FALSE)</f>
        <v>Student</v>
      </c>
      <c r="Q5542" t="str">
        <f>IF(COUNTIF(Customers!$A$2:$A$1001,B5542)&gt;0,"Valid","Invalid")</f>
        <v>Valid</v>
      </c>
      <c r="R5542" t="str">
        <f>IF(COUNTIF(Branches!$A$2:$A$11,F5542)&gt;0,"Valid","Invalid")</f>
        <v>Valid</v>
      </c>
    </row>
    <row r="5543" spans="1:18" x14ac:dyDescent="0.25">
      <c r="A5543" t="s">
        <v>7614</v>
      </c>
      <c r="B5543" t="s">
        <v>686</v>
      </c>
      <c r="C5543" s="8">
        <v>46097</v>
      </c>
      <c r="D5543" t="s">
        <v>2067</v>
      </c>
      <c r="E5543" t="s">
        <v>2068</v>
      </c>
      <c r="F5543" t="s">
        <v>39</v>
      </c>
      <c r="G5543">
        <v>123.09</v>
      </c>
      <c r="H5543" t="s">
        <v>2060</v>
      </c>
      <c r="I5543" t="str">
        <f>VLOOKUP(B5543,Customers!A:G,7,FALSE)</f>
        <v>SME</v>
      </c>
      <c r="Q5543" t="str">
        <f>IF(COUNTIF(Customers!$A$2:$A$1001,B5543)&gt;0,"Valid","Invalid")</f>
        <v>Valid</v>
      </c>
      <c r="R5543" t="str">
        <f>IF(COUNTIF(Branches!$A$2:$A$11,F5543)&gt;0,"Valid","Invalid")</f>
        <v>Valid</v>
      </c>
    </row>
    <row r="5544" spans="1:18" x14ac:dyDescent="0.25">
      <c r="A5544" t="s">
        <v>7615</v>
      </c>
      <c r="B5544" t="s">
        <v>600</v>
      </c>
      <c r="C5544" s="8">
        <v>46089</v>
      </c>
      <c r="D5544" t="s">
        <v>2058</v>
      </c>
      <c r="E5544" t="s">
        <v>2063</v>
      </c>
      <c r="F5544" t="s">
        <v>47</v>
      </c>
      <c r="G5544">
        <v>714.34</v>
      </c>
      <c r="H5544" t="s">
        <v>2060</v>
      </c>
      <c r="I5544" t="str">
        <f>VLOOKUP(B5544,Customers!A:G,7,FALSE)</f>
        <v>Individual</v>
      </c>
      <c r="Q5544" t="str">
        <f>IF(COUNTIF(Customers!$A$2:$A$1001,B5544)&gt;0,"Valid","Invalid")</f>
        <v>Valid</v>
      </c>
      <c r="R5544" t="str">
        <f>IF(COUNTIF(Branches!$A$2:$A$11,F5544)&gt;0,"Valid","Invalid")</f>
        <v>Valid</v>
      </c>
    </row>
    <row r="5545" spans="1:18" x14ac:dyDescent="0.25">
      <c r="A5545" t="s">
        <v>7616</v>
      </c>
      <c r="B5545" t="s">
        <v>1014</v>
      </c>
      <c r="C5545" s="8">
        <v>46190</v>
      </c>
      <c r="D5545" t="s">
        <v>2065</v>
      </c>
      <c r="E5545" t="s">
        <v>2063</v>
      </c>
      <c r="F5545" t="s">
        <v>11</v>
      </c>
      <c r="G5545">
        <v>2302.38</v>
      </c>
      <c r="H5545" t="s">
        <v>2060</v>
      </c>
      <c r="I5545" t="str">
        <f>VLOOKUP(B5545,Customers!A:G,7,FALSE)</f>
        <v>SME</v>
      </c>
      <c r="Q5545" t="str">
        <f>IF(COUNTIF(Customers!$A$2:$A$1001,B5545)&gt;0,"Valid","Invalid")</f>
        <v>Valid</v>
      </c>
      <c r="R5545" t="str">
        <f>IF(COUNTIF(Branches!$A$2:$A$11,F5545)&gt;0,"Valid","Invalid")</f>
        <v>Valid</v>
      </c>
    </row>
    <row r="5546" spans="1:18" x14ac:dyDescent="0.25">
      <c r="A5546" t="s">
        <v>7617</v>
      </c>
      <c r="B5546" t="s">
        <v>844</v>
      </c>
      <c r="C5546" s="8">
        <v>46027</v>
      </c>
      <c r="D5546" t="s">
        <v>2058</v>
      </c>
      <c r="E5546" t="s">
        <v>2063</v>
      </c>
      <c r="F5546" t="s">
        <v>21</v>
      </c>
      <c r="G5546">
        <v>248.22</v>
      </c>
      <c r="H5546" t="s">
        <v>2060</v>
      </c>
      <c r="I5546" t="str">
        <f>VLOOKUP(B5546,Customers!A:G,7,FALSE)</f>
        <v>Individual</v>
      </c>
      <c r="Q5546" t="str">
        <f>IF(COUNTIF(Customers!$A$2:$A$1001,B5546)&gt;0,"Valid","Invalid")</f>
        <v>Valid</v>
      </c>
      <c r="R5546" t="str">
        <f>IF(COUNTIF(Branches!$A$2:$A$11,F5546)&gt;0,"Valid","Invalid")</f>
        <v>Valid</v>
      </c>
    </row>
    <row r="5547" spans="1:18" x14ac:dyDescent="0.25">
      <c r="A5547" t="s">
        <v>7618</v>
      </c>
      <c r="B5547" t="s">
        <v>944</v>
      </c>
      <c r="C5547" s="8">
        <v>46138</v>
      </c>
      <c r="D5547" t="s">
        <v>2062</v>
      </c>
      <c r="E5547" t="s">
        <v>2063</v>
      </c>
      <c r="F5547" t="s">
        <v>11</v>
      </c>
      <c r="G5547">
        <v>1714.78</v>
      </c>
      <c r="H5547" t="s">
        <v>2060</v>
      </c>
      <c r="I5547" t="str">
        <f>VLOOKUP(B5547,Customers!A:G,7,FALSE)</f>
        <v>Individual</v>
      </c>
      <c r="Q5547" t="str">
        <f>IF(COUNTIF(Customers!$A$2:$A$1001,B5547)&gt;0,"Valid","Invalid")</f>
        <v>Valid</v>
      </c>
      <c r="R5547" t="str">
        <f>IF(COUNTIF(Branches!$A$2:$A$11,F5547)&gt;0,"Valid","Invalid")</f>
        <v>Valid</v>
      </c>
    </row>
    <row r="5548" spans="1:18" x14ac:dyDescent="0.25">
      <c r="A5548" t="s">
        <v>7619</v>
      </c>
      <c r="B5548" t="s">
        <v>336</v>
      </c>
      <c r="C5548" s="8">
        <v>46235</v>
      </c>
      <c r="D5548" t="s">
        <v>2067</v>
      </c>
      <c r="E5548" t="s">
        <v>2063</v>
      </c>
      <c r="F5548" t="s">
        <v>35</v>
      </c>
      <c r="G5548">
        <v>148.13999999999999</v>
      </c>
      <c r="H5548" t="s">
        <v>2060</v>
      </c>
      <c r="I5548" t="str">
        <f>VLOOKUP(B5548,Customers!A:G,7,FALSE)</f>
        <v>SME</v>
      </c>
      <c r="Q5548" t="str">
        <f>IF(COUNTIF(Customers!$A$2:$A$1001,B5548)&gt;0,"Valid","Invalid")</f>
        <v>Valid</v>
      </c>
      <c r="R5548" t="str">
        <f>IF(COUNTIF(Branches!$A$2:$A$11,F5548)&gt;0,"Valid","Invalid")</f>
        <v>Valid</v>
      </c>
    </row>
    <row r="5549" spans="1:18" x14ac:dyDescent="0.25">
      <c r="A5549" t="s">
        <v>7620</v>
      </c>
      <c r="B5549" t="s">
        <v>843</v>
      </c>
      <c r="C5549" s="8">
        <v>46172</v>
      </c>
      <c r="D5549" t="s">
        <v>2065</v>
      </c>
      <c r="E5549" t="s">
        <v>2073</v>
      </c>
      <c r="F5549" t="s">
        <v>35</v>
      </c>
      <c r="G5549">
        <v>828.98</v>
      </c>
      <c r="H5549" t="s">
        <v>2107</v>
      </c>
      <c r="I5549" t="str">
        <f>VLOOKUP(B5549,Customers!A:G,7,FALSE)</f>
        <v>Individual</v>
      </c>
      <c r="Q5549" t="str">
        <f>IF(COUNTIF(Customers!$A$2:$A$1001,B5549)&gt;0,"Valid","Invalid")</f>
        <v>Valid</v>
      </c>
      <c r="R5549" t="str">
        <f>IF(COUNTIF(Branches!$A$2:$A$11,F5549)&gt;0,"Valid","Invalid")</f>
        <v>Valid</v>
      </c>
    </row>
    <row r="5550" spans="1:18" x14ac:dyDescent="0.25">
      <c r="A5550" t="s">
        <v>7621</v>
      </c>
      <c r="B5550" t="s">
        <v>190</v>
      </c>
      <c r="C5550" s="8">
        <v>46140</v>
      </c>
      <c r="D5550" t="s">
        <v>2058</v>
      </c>
      <c r="E5550" t="s">
        <v>2063</v>
      </c>
      <c r="F5550" t="s">
        <v>27</v>
      </c>
      <c r="G5550">
        <v>1400.41</v>
      </c>
      <c r="H5550" t="s">
        <v>2060</v>
      </c>
      <c r="I5550" t="str">
        <f>VLOOKUP(B5550,Customers!A:G,7,FALSE)</f>
        <v>Corporate</v>
      </c>
      <c r="Q5550" t="str">
        <f>IF(COUNTIF(Customers!$A$2:$A$1001,B5550)&gt;0,"Valid","Invalid")</f>
        <v>Valid</v>
      </c>
      <c r="R5550" t="str">
        <f>IF(COUNTIF(Branches!$A$2:$A$11,F5550)&gt;0,"Valid","Invalid")</f>
        <v>Valid</v>
      </c>
    </row>
    <row r="5551" spans="1:18" x14ac:dyDescent="0.25">
      <c r="A5551" t="s">
        <v>7622</v>
      </c>
      <c r="B5551" t="s">
        <v>770</v>
      </c>
      <c r="C5551" s="8">
        <v>46187</v>
      </c>
      <c r="D5551" t="s">
        <v>2062</v>
      </c>
      <c r="E5551" t="s">
        <v>2076</v>
      </c>
      <c r="F5551" t="s">
        <v>39</v>
      </c>
      <c r="G5551">
        <v>594.6</v>
      </c>
      <c r="H5551" t="s">
        <v>2060</v>
      </c>
      <c r="I5551" t="str">
        <f>VLOOKUP(B5551,Customers!A:G,7,FALSE)</f>
        <v>Individual</v>
      </c>
      <c r="Q5551" t="str">
        <f>IF(COUNTIF(Customers!$A$2:$A$1001,B5551)&gt;0,"Valid","Invalid")</f>
        <v>Valid</v>
      </c>
      <c r="R5551" t="str">
        <f>IF(COUNTIF(Branches!$A$2:$A$11,F5551)&gt;0,"Valid","Invalid")</f>
        <v>Valid</v>
      </c>
    </row>
    <row r="5552" spans="1:18" x14ac:dyDescent="0.25">
      <c r="A5552" t="s">
        <v>7623</v>
      </c>
      <c r="B5552" t="s">
        <v>690</v>
      </c>
      <c r="C5552" s="8">
        <v>46033</v>
      </c>
      <c r="D5552" t="s">
        <v>2067</v>
      </c>
      <c r="E5552" t="s">
        <v>2063</v>
      </c>
      <c r="F5552" t="s">
        <v>39</v>
      </c>
      <c r="G5552">
        <v>9628.39</v>
      </c>
      <c r="H5552" t="s">
        <v>2060</v>
      </c>
      <c r="I5552" t="str">
        <f>VLOOKUP(B5552,Customers!A:G,7,FALSE)</f>
        <v>Individual</v>
      </c>
      <c r="Q5552" t="str">
        <f>IF(COUNTIF(Customers!$A$2:$A$1001,B5552)&gt;0,"Valid","Invalid")</f>
        <v>Valid</v>
      </c>
      <c r="R5552" t="str">
        <f>IF(COUNTIF(Branches!$A$2:$A$11,F5552)&gt;0,"Valid","Invalid")</f>
        <v>Valid</v>
      </c>
    </row>
    <row r="5553" spans="1:18" x14ac:dyDescent="0.25">
      <c r="A5553" t="s">
        <v>7624</v>
      </c>
      <c r="B5553" t="s">
        <v>506</v>
      </c>
      <c r="C5553" s="8">
        <v>46066</v>
      </c>
      <c r="D5553" t="s">
        <v>2065</v>
      </c>
      <c r="E5553" t="s">
        <v>2076</v>
      </c>
      <c r="F5553" t="s">
        <v>47</v>
      </c>
      <c r="G5553">
        <v>496.12</v>
      </c>
      <c r="H5553" t="s">
        <v>2060</v>
      </c>
      <c r="I5553" t="str">
        <f>VLOOKUP(B5553,Customers!A:G,7,FALSE)</f>
        <v>Individual</v>
      </c>
      <c r="Q5553" t="str">
        <f>IF(COUNTIF(Customers!$A$2:$A$1001,B5553)&gt;0,"Valid","Invalid")</f>
        <v>Valid</v>
      </c>
      <c r="R5553" t="str">
        <f>IF(COUNTIF(Branches!$A$2:$A$11,F5553)&gt;0,"Valid","Invalid")</f>
        <v>Valid</v>
      </c>
    </row>
    <row r="5554" spans="1:18" x14ac:dyDescent="0.25">
      <c r="A5554" t="s">
        <v>7625</v>
      </c>
      <c r="B5554" t="s">
        <v>85</v>
      </c>
      <c r="C5554" s="8">
        <v>46236</v>
      </c>
      <c r="D5554" t="s">
        <v>2065</v>
      </c>
      <c r="E5554" t="s">
        <v>2073</v>
      </c>
      <c r="F5554" t="s">
        <v>11</v>
      </c>
      <c r="G5554">
        <v>455.59</v>
      </c>
      <c r="H5554" t="s">
        <v>2060</v>
      </c>
      <c r="I5554" t="str">
        <f>VLOOKUP(B5554,Customers!A:G,7,FALSE)</f>
        <v>Individual</v>
      </c>
      <c r="Q5554" t="str">
        <f>IF(COUNTIF(Customers!$A$2:$A$1001,B5554)&gt;0,"Valid","Invalid")</f>
        <v>Valid</v>
      </c>
      <c r="R5554" t="str">
        <f>IF(COUNTIF(Branches!$A$2:$A$11,F5554)&gt;0,"Valid","Invalid")</f>
        <v>Valid</v>
      </c>
    </row>
    <row r="5555" spans="1:18" x14ac:dyDescent="0.25">
      <c r="A5555" t="s">
        <v>7626</v>
      </c>
      <c r="B5555" t="s">
        <v>692</v>
      </c>
      <c r="C5555" s="8">
        <v>46255</v>
      </c>
      <c r="D5555" t="s">
        <v>2070</v>
      </c>
      <c r="E5555" t="s">
        <v>2063</v>
      </c>
      <c r="F5555" t="s">
        <v>29</v>
      </c>
      <c r="G5555">
        <v>996.74</v>
      </c>
      <c r="H5555" t="s">
        <v>2060</v>
      </c>
      <c r="I5555" t="str">
        <f>VLOOKUP(B5555,Customers!A:G,7,FALSE)</f>
        <v>Individual</v>
      </c>
      <c r="Q5555" t="str">
        <f>IF(COUNTIF(Customers!$A$2:$A$1001,B5555)&gt;0,"Valid","Invalid")</f>
        <v>Valid</v>
      </c>
      <c r="R5555" t="str">
        <f>IF(COUNTIF(Branches!$A$2:$A$11,F5555)&gt;0,"Valid","Invalid")</f>
        <v>Valid</v>
      </c>
    </row>
    <row r="5556" spans="1:18" x14ac:dyDescent="0.25">
      <c r="A5556" t="s">
        <v>7627</v>
      </c>
      <c r="B5556" t="s">
        <v>81</v>
      </c>
      <c r="C5556" s="8">
        <v>46203</v>
      </c>
      <c r="D5556" t="s">
        <v>2067</v>
      </c>
      <c r="E5556" t="s">
        <v>2068</v>
      </c>
      <c r="F5556" t="s">
        <v>35</v>
      </c>
      <c r="G5556">
        <v>381.85</v>
      </c>
      <c r="H5556" t="s">
        <v>2060</v>
      </c>
      <c r="I5556" t="str">
        <f>VLOOKUP(B5556,Customers!A:G,7,FALSE)</f>
        <v>Individual</v>
      </c>
      <c r="Q5556" t="str">
        <f>IF(COUNTIF(Customers!$A$2:$A$1001,B5556)&gt;0,"Valid","Invalid")</f>
        <v>Valid</v>
      </c>
      <c r="R5556" t="str">
        <f>IF(COUNTIF(Branches!$A$2:$A$11,F5556)&gt;0,"Valid","Invalid")</f>
        <v>Valid</v>
      </c>
    </row>
    <row r="5557" spans="1:18" x14ac:dyDescent="0.25">
      <c r="A5557" t="s">
        <v>7628</v>
      </c>
      <c r="B5557" t="s">
        <v>713</v>
      </c>
      <c r="C5557" s="8">
        <v>46099</v>
      </c>
      <c r="D5557" t="s">
        <v>2065</v>
      </c>
      <c r="E5557" t="s">
        <v>2073</v>
      </c>
      <c r="F5557" t="s">
        <v>21</v>
      </c>
      <c r="G5557">
        <v>192.22</v>
      </c>
      <c r="H5557" t="s">
        <v>2060</v>
      </c>
      <c r="I5557" t="str">
        <f>VLOOKUP(B5557,Customers!A:G,7,FALSE)</f>
        <v>SME</v>
      </c>
      <c r="Q5557" t="str">
        <f>IF(COUNTIF(Customers!$A$2:$A$1001,B5557)&gt;0,"Valid","Invalid")</f>
        <v>Valid</v>
      </c>
      <c r="R5557" t="str">
        <f>IF(COUNTIF(Branches!$A$2:$A$11,F5557)&gt;0,"Valid","Invalid")</f>
        <v>Valid</v>
      </c>
    </row>
    <row r="5558" spans="1:18" x14ac:dyDescent="0.25">
      <c r="A5558" t="s">
        <v>7629</v>
      </c>
      <c r="B5558" t="s">
        <v>323</v>
      </c>
      <c r="C5558" s="8">
        <v>46140</v>
      </c>
      <c r="D5558" t="s">
        <v>2062</v>
      </c>
      <c r="E5558" t="s">
        <v>2059</v>
      </c>
      <c r="F5558" t="s">
        <v>29</v>
      </c>
      <c r="G5558">
        <v>271.06</v>
      </c>
      <c r="H5558" t="s">
        <v>2060</v>
      </c>
      <c r="I5558" t="str">
        <f>VLOOKUP(B5558,Customers!A:G,7,FALSE)</f>
        <v>SME</v>
      </c>
      <c r="Q5558" t="str">
        <f>IF(COUNTIF(Customers!$A$2:$A$1001,B5558)&gt;0,"Valid","Invalid")</f>
        <v>Valid</v>
      </c>
      <c r="R5558" t="str">
        <f>IF(COUNTIF(Branches!$A$2:$A$11,F5558)&gt;0,"Valid","Invalid")</f>
        <v>Valid</v>
      </c>
    </row>
    <row r="5559" spans="1:18" x14ac:dyDescent="0.25">
      <c r="A5559" t="s">
        <v>7630</v>
      </c>
      <c r="B5559" t="s">
        <v>818</v>
      </c>
      <c r="C5559" s="8">
        <v>46138</v>
      </c>
      <c r="D5559" t="s">
        <v>2058</v>
      </c>
      <c r="E5559" t="s">
        <v>2063</v>
      </c>
      <c r="F5559" t="s">
        <v>27</v>
      </c>
      <c r="G5559">
        <v>1733.65</v>
      </c>
      <c r="H5559" t="s">
        <v>2060</v>
      </c>
      <c r="I5559" t="str">
        <f>VLOOKUP(B5559,Customers!A:G,7,FALSE)</f>
        <v>Corporate</v>
      </c>
      <c r="Q5559" t="str">
        <f>IF(COUNTIF(Customers!$A$2:$A$1001,B5559)&gt;0,"Valid","Invalid")</f>
        <v>Valid</v>
      </c>
      <c r="R5559" t="str">
        <f>IF(COUNTIF(Branches!$A$2:$A$11,F5559)&gt;0,"Valid","Invalid")</f>
        <v>Valid</v>
      </c>
    </row>
    <row r="5560" spans="1:18" x14ac:dyDescent="0.25">
      <c r="A5560" t="s">
        <v>7631</v>
      </c>
      <c r="B5560" t="s">
        <v>666</v>
      </c>
      <c r="C5560" s="8">
        <v>46211</v>
      </c>
      <c r="D5560" t="s">
        <v>2065</v>
      </c>
      <c r="E5560" t="s">
        <v>2076</v>
      </c>
      <c r="F5560" t="s">
        <v>11</v>
      </c>
      <c r="G5560">
        <v>598.88</v>
      </c>
      <c r="H5560" t="s">
        <v>2060</v>
      </c>
      <c r="I5560" t="str">
        <f>VLOOKUP(B5560,Customers!A:G,7,FALSE)</f>
        <v>SME</v>
      </c>
      <c r="Q5560" t="str">
        <f>IF(COUNTIF(Customers!$A$2:$A$1001,B5560)&gt;0,"Valid","Invalid")</f>
        <v>Valid</v>
      </c>
      <c r="R5560" t="str">
        <f>IF(COUNTIF(Branches!$A$2:$A$11,F5560)&gt;0,"Valid","Invalid")</f>
        <v>Valid</v>
      </c>
    </row>
    <row r="5561" spans="1:18" x14ac:dyDescent="0.25">
      <c r="A5561" t="s">
        <v>7632</v>
      </c>
      <c r="B5561" t="s">
        <v>118</v>
      </c>
      <c r="C5561" s="8">
        <v>46089</v>
      </c>
      <c r="D5561" t="s">
        <v>2070</v>
      </c>
      <c r="E5561" t="s">
        <v>2068</v>
      </c>
      <c r="F5561" t="s">
        <v>45</v>
      </c>
      <c r="G5561">
        <v>4456.0600000000004</v>
      </c>
      <c r="H5561" t="s">
        <v>2060</v>
      </c>
      <c r="I5561" t="str">
        <f>VLOOKUP(B5561,Customers!A:G,7,FALSE)</f>
        <v>Corporate</v>
      </c>
      <c r="Q5561" t="str">
        <f>IF(COUNTIF(Customers!$A$2:$A$1001,B5561)&gt;0,"Valid","Invalid")</f>
        <v>Valid</v>
      </c>
      <c r="R5561" t="str">
        <f>IF(COUNTIF(Branches!$A$2:$A$11,F5561)&gt;0,"Valid","Invalid")</f>
        <v>Valid</v>
      </c>
    </row>
    <row r="5562" spans="1:18" x14ac:dyDescent="0.25">
      <c r="A5562" t="s">
        <v>7633</v>
      </c>
      <c r="B5562" t="s">
        <v>79</v>
      </c>
      <c r="C5562" s="8">
        <v>46035</v>
      </c>
      <c r="D5562" t="s">
        <v>2058</v>
      </c>
      <c r="E5562" t="s">
        <v>2063</v>
      </c>
      <c r="F5562" t="s">
        <v>11</v>
      </c>
      <c r="G5562">
        <v>522.57000000000005</v>
      </c>
      <c r="H5562" t="s">
        <v>2060</v>
      </c>
      <c r="I5562" t="str">
        <f>VLOOKUP(B5562,Customers!A:G,7,FALSE)</f>
        <v>Individual</v>
      </c>
      <c r="Q5562" t="str">
        <f>IF(COUNTIF(Customers!$A$2:$A$1001,B5562)&gt;0,"Valid","Invalid")</f>
        <v>Valid</v>
      </c>
      <c r="R5562" t="str">
        <f>IF(COUNTIF(Branches!$A$2:$A$11,F5562)&gt;0,"Valid","Invalid")</f>
        <v>Valid</v>
      </c>
    </row>
    <row r="5563" spans="1:18" x14ac:dyDescent="0.25">
      <c r="A5563" t="s">
        <v>7634</v>
      </c>
      <c r="B5563" t="s">
        <v>744</v>
      </c>
      <c r="C5563" s="8">
        <v>46114</v>
      </c>
      <c r="D5563" t="s">
        <v>2058</v>
      </c>
      <c r="E5563" t="s">
        <v>2059</v>
      </c>
      <c r="F5563" t="s">
        <v>39</v>
      </c>
      <c r="G5563">
        <v>1653.27</v>
      </c>
      <c r="H5563" t="s">
        <v>2060</v>
      </c>
      <c r="I5563" t="str">
        <f>VLOOKUP(B5563,Customers!A:G,7,FALSE)</f>
        <v>Individual</v>
      </c>
      <c r="Q5563" t="str">
        <f>IF(COUNTIF(Customers!$A$2:$A$1001,B5563)&gt;0,"Valid","Invalid")</f>
        <v>Valid</v>
      </c>
      <c r="R5563" t="str">
        <f>IF(COUNTIF(Branches!$A$2:$A$11,F5563)&gt;0,"Valid","Invalid")</f>
        <v>Valid</v>
      </c>
    </row>
    <row r="5564" spans="1:18" x14ac:dyDescent="0.25">
      <c r="A5564" t="s">
        <v>7635</v>
      </c>
      <c r="B5564" t="s">
        <v>808</v>
      </c>
      <c r="C5564" s="8">
        <v>46033</v>
      </c>
      <c r="D5564" t="s">
        <v>2067</v>
      </c>
      <c r="E5564" t="s">
        <v>2063</v>
      </c>
      <c r="F5564" t="s">
        <v>47</v>
      </c>
      <c r="G5564">
        <v>1354.03</v>
      </c>
      <c r="H5564" t="s">
        <v>2060</v>
      </c>
      <c r="I5564" t="str">
        <f>VLOOKUP(B5564,Customers!A:G,7,FALSE)</f>
        <v>Individual</v>
      </c>
      <c r="Q5564" t="str">
        <f>IF(COUNTIF(Customers!$A$2:$A$1001,B5564)&gt;0,"Valid","Invalid")</f>
        <v>Valid</v>
      </c>
      <c r="R5564" t="str">
        <f>IF(COUNTIF(Branches!$A$2:$A$11,F5564)&gt;0,"Valid","Invalid")</f>
        <v>Valid</v>
      </c>
    </row>
    <row r="5565" spans="1:18" x14ac:dyDescent="0.25">
      <c r="A5565" t="s">
        <v>7636</v>
      </c>
      <c r="B5565" t="s">
        <v>993</v>
      </c>
      <c r="C5565" s="8">
        <v>46161</v>
      </c>
      <c r="D5565" t="s">
        <v>2062</v>
      </c>
      <c r="E5565" t="s">
        <v>2063</v>
      </c>
      <c r="F5565" t="s">
        <v>27</v>
      </c>
      <c r="G5565">
        <v>514.84</v>
      </c>
      <c r="H5565" t="s">
        <v>2060</v>
      </c>
      <c r="I5565" t="str">
        <f>VLOOKUP(B5565,Customers!A:G,7,FALSE)</f>
        <v>SME</v>
      </c>
      <c r="Q5565" t="str">
        <f>IF(COUNTIF(Customers!$A$2:$A$1001,B5565)&gt;0,"Valid","Invalid")</f>
        <v>Valid</v>
      </c>
      <c r="R5565" t="str">
        <f>IF(COUNTIF(Branches!$A$2:$A$11,F5565)&gt;0,"Valid","Invalid")</f>
        <v>Valid</v>
      </c>
    </row>
    <row r="5566" spans="1:18" x14ac:dyDescent="0.25">
      <c r="A5566" t="s">
        <v>7637</v>
      </c>
      <c r="B5566" t="s">
        <v>311</v>
      </c>
      <c r="C5566" s="8">
        <v>46107</v>
      </c>
      <c r="D5566" t="s">
        <v>2065</v>
      </c>
      <c r="E5566" t="s">
        <v>2068</v>
      </c>
      <c r="F5566" t="s">
        <v>11</v>
      </c>
      <c r="G5566">
        <v>337.37</v>
      </c>
      <c r="H5566" t="s">
        <v>2060</v>
      </c>
      <c r="I5566" t="str">
        <f>VLOOKUP(B5566,Customers!A:G,7,FALSE)</f>
        <v>Individual</v>
      </c>
      <c r="Q5566" t="str">
        <f>IF(COUNTIF(Customers!$A$2:$A$1001,B5566)&gt;0,"Valid","Invalid")</f>
        <v>Valid</v>
      </c>
      <c r="R5566" t="str">
        <f>IF(COUNTIF(Branches!$A$2:$A$11,F5566)&gt;0,"Valid","Invalid")</f>
        <v>Valid</v>
      </c>
    </row>
    <row r="5567" spans="1:18" x14ac:dyDescent="0.25">
      <c r="A5567" t="s">
        <v>7638</v>
      </c>
      <c r="B5567" t="s">
        <v>432</v>
      </c>
      <c r="C5567" s="8">
        <v>46107</v>
      </c>
      <c r="D5567" t="s">
        <v>2067</v>
      </c>
      <c r="E5567" t="s">
        <v>2059</v>
      </c>
      <c r="F5567" t="s">
        <v>47</v>
      </c>
      <c r="G5567">
        <v>143.77000000000001</v>
      </c>
      <c r="H5567" t="s">
        <v>2060</v>
      </c>
      <c r="I5567" t="str">
        <f>VLOOKUP(B5567,Customers!A:G,7,FALSE)</f>
        <v>SME</v>
      </c>
      <c r="Q5567" t="str">
        <f>IF(COUNTIF(Customers!$A$2:$A$1001,B5567)&gt;0,"Valid","Invalid")</f>
        <v>Valid</v>
      </c>
      <c r="R5567" t="str">
        <f>IF(COUNTIF(Branches!$A$2:$A$11,F5567)&gt;0,"Valid","Invalid")</f>
        <v>Valid</v>
      </c>
    </row>
    <row r="5568" spans="1:18" x14ac:dyDescent="0.25">
      <c r="A5568" t="s">
        <v>7639</v>
      </c>
      <c r="B5568" t="s">
        <v>824</v>
      </c>
      <c r="C5568" s="8">
        <v>46157</v>
      </c>
      <c r="D5568" t="s">
        <v>2065</v>
      </c>
      <c r="E5568" t="s">
        <v>2063</v>
      </c>
      <c r="F5568" t="s">
        <v>39</v>
      </c>
      <c r="G5568">
        <v>1412.51</v>
      </c>
      <c r="H5568" t="s">
        <v>2060</v>
      </c>
      <c r="I5568" t="str">
        <f>VLOOKUP(B5568,Customers!A:G,7,FALSE)</f>
        <v>Individual</v>
      </c>
      <c r="Q5568" t="str">
        <f>IF(COUNTIF(Customers!$A$2:$A$1001,B5568)&gt;0,"Valid","Invalid")</f>
        <v>Valid</v>
      </c>
      <c r="R5568" t="str">
        <f>IF(COUNTIF(Branches!$A$2:$A$11,F5568)&gt;0,"Valid","Invalid")</f>
        <v>Valid</v>
      </c>
    </row>
    <row r="5569" spans="1:18" x14ac:dyDescent="0.25">
      <c r="A5569" t="s">
        <v>7640</v>
      </c>
      <c r="B5569" t="s">
        <v>828</v>
      </c>
      <c r="C5569" s="8">
        <v>46039</v>
      </c>
      <c r="D5569" t="s">
        <v>2062</v>
      </c>
      <c r="E5569" t="s">
        <v>2076</v>
      </c>
      <c r="F5569" t="s">
        <v>39</v>
      </c>
      <c r="G5569">
        <v>2692.59</v>
      </c>
      <c r="H5569" t="s">
        <v>2060</v>
      </c>
      <c r="I5569" t="str">
        <f>VLOOKUP(B5569,Customers!A:G,7,FALSE)</f>
        <v>Individual</v>
      </c>
      <c r="Q5569" t="str">
        <f>IF(COUNTIF(Customers!$A$2:$A$1001,B5569)&gt;0,"Valid","Invalid")</f>
        <v>Valid</v>
      </c>
      <c r="R5569" t="str">
        <f>IF(COUNTIF(Branches!$A$2:$A$11,F5569)&gt;0,"Valid","Invalid")</f>
        <v>Valid</v>
      </c>
    </row>
    <row r="5570" spans="1:18" x14ac:dyDescent="0.25">
      <c r="A5570" t="s">
        <v>7641</v>
      </c>
      <c r="B5570" t="s">
        <v>633</v>
      </c>
      <c r="C5570" s="8">
        <v>46070</v>
      </c>
      <c r="D5570" t="s">
        <v>2058</v>
      </c>
      <c r="E5570" t="s">
        <v>2063</v>
      </c>
      <c r="F5570" t="s">
        <v>16</v>
      </c>
      <c r="G5570">
        <v>165.68</v>
      </c>
      <c r="H5570" t="s">
        <v>2060</v>
      </c>
      <c r="I5570" t="str">
        <f>VLOOKUP(B5570,Customers!A:G,7,FALSE)</f>
        <v>Individual</v>
      </c>
      <c r="Q5570" t="str">
        <f>IF(COUNTIF(Customers!$A$2:$A$1001,B5570)&gt;0,"Valid","Invalid")</f>
        <v>Valid</v>
      </c>
      <c r="R5570" t="str">
        <f>IF(COUNTIF(Branches!$A$2:$A$11,F5570)&gt;0,"Valid","Invalid")</f>
        <v>Valid</v>
      </c>
    </row>
    <row r="5571" spans="1:18" x14ac:dyDescent="0.25">
      <c r="A5571" t="s">
        <v>7642</v>
      </c>
      <c r="B5571" t="s">
        <v>94</v>
      </c>
      <c r="C5571" s="8">
        <v>46164</v>
      </c>
      <c r="D5571" t="s">
        <v>2058</v>
      </c>
      <c r="E5571" t="s">
        <v>2063</v>
      </c>
      <c r="F5571" t="s">
        <v>39</v>
      </c>
      <c r="G5571">
        <v>560.91</v>
      </c>
      <c r="H5571" t="s">
        <v>2060</v>
      </c>
      <c r="I5571" t="str">
        <f>VLOOKUP(B5571,Customers!A:G,7,FALSE)</f>
        <v>Individual</v>
      </c>
      <c r="Q5571" t="str">
        <f>IF(COUNTIF(Customers!$A$2:$A$1001,B5571)&gt;0,"Valid","Invalid")</f>
        <v>Valid</v>
      </c>
      <c r="R5571" t="str">
        <f>IF(COUNTIF(Branches!$A$2:$A$11,F5571)&gt;0,"Valid","Invalid")</f>
        <v>Valid</v>
      </c>
    </row>
    <row r="5572" spans="1:18" x14ac:dyDescent="0.25">
      <c r="A5572" t="s">
        <v>7643</v>
      </c>
      <c r="B5572" t="s">
        <v>603</v>
      </c>
      <c r="C5572" s="8">
        <v>46213</v>
      </c>
      <c r="D5572" t="s">
        <v>2065</v>
      </c>
      <c r="E5572" t="s">
        <v>2059</v>
      </c>
      <c r="F5572" t="s">
        <v>27</v>
      </c>
      <c r="G5572">
        <v>417</v>
      </c>
      <c r="H5572" t="s">
        <v>2060</v>
      </c>
      <c r="I5572" t="str">
        <f>VLOOKUP(B5572,Customers!A:G,7,FALSE)</f>
        <v>Individual</v>
      </c>
      <c r="Q5572" t="str">
        <f>IF(COUNTIF(Customers!$A$2:$A$1001,B5572)&gt;0,"Valid","Invalid")</f>
        <v>Valid</v>
      </c>
      <c r="R5572" t="str">
        <f>IF(COUNTIF(Branches!$A$2:$A$11,F5572)&gt;0,"Valid","Invalid")</f>
        <v>Valid</v>
      </c>
    </row>
    <row r="5573" spans="1:18" x14ac:dyDescent="0.25">
      <c r="A5573" t="s">
        <v>7644</v>
      </c>
      <c r="B5573" t="s">
        <v>8</v>
      </c>
      <c r="C5573" s="8">
        <v>46214</v>
      </c>
      <c r="D5573" t="s">
        <v>2058</v>
      </c>
      <c r="E5573" t="s">
        <v>2059</v>
      </c>
      <c r="F5573" t="s">
        <v>35</v>
      </c>
      <c r="G5573">
        <v>1410.03</v>
      </c>
      <c r="H5573" t="s">
        <v>2060</v>
      </c>
      <c r="I5573" t="str">
        <f>VLOOKUP(B5573,Customers!A:G,7,FALSE)</f>
        <v>Individual</v>
      </c>
      <c r="Q5573" t="str">
        <f>IF(COUNTIF(Customers!$A$2:$A$1001,B5573)&gt;0,"Valid","Invalid")</f>
        <v>Valid</v>
      </c>
      <c r="R5573" t="str">
        <f>IF(COUNTIF(Branches!$A$2:$A$11,F5573)&gt;0,"Valid","Invalid")</f>
        <v>Valid</v>
      </c>
    </row>
    <row r="5574" spans="1:18" x14ac:dyDescent="0.25">
      <c r="A5574" t="s">
        <v>7645</v>
      </c>
      <c r="B5574" t="s">
        <v>253</v>
      </c>
      <c r="C5574" s="8">
        <v>46119</v>
      </c>
      <c r="D5574" t="s">
        <v>2062</v>
      </c>
      <c r="E5574" t="s">
        <v>2063</v>
      </c>
      <c r="F5574" t="s">
        <v>45</v>
      </c>
      <c r="G5574">
        <v>584.85</v>
      </c>
      <c r="H5574" t="s">
        <v>2060</v>
      </c>
      <c r="I5574" t="str">
        <f>VLOOKUP(B5574,Customers!A:G,7,FALSE)</f>
        <v>SME</v>
      </c>
      <c r="Q5574" t="str">
        <f>IF(COUNTIF(Customers!$A$2:$A$1001,B5574)&gt;0,"Valid","Invalid")</f>
        <v>Valid</v>
      </c>
      <c r="R5574" t="str">
        <f>IF(COUNTIF(Branches!$A$2:$A$11,F5574)&gt;0,"Valid","Invalid")</f>
        <v>Valid</v>
      </c>
    </row>
    <row r="5575" spans="1:18" x14ac:dyDescent="0.25">
      <c r="A5575" t="s">
        <v>7646</v>
      </c>
      <c r="B5575" t="s">
        <v>355</v>
      </c>
      <c r="C5575" s="8">
        <v>46097</v>
      </c>
      <c r="D5575" t="s">
        <v>2067</v>
      </c>
      <c r="E5575" t="s">
        <v>2063</v>
      </c>
      <c r="F5575" t="s">
        <v>27</v>
      </c>
      <c r="G5575">
        <v>3050.26</v>
      </c>
      <c r="H5575" t="s">
        <v>2060</v>
      </c>
      <c r="I5575" t="str">
        <f>VLOOKUP(B5575,Customers!A:G,7,FALSE)</f>
        <v>Corporate</v>
      </c>
      <c r="Q5575" t="str">
        <f>IF(COUNTIF(Customers!$A$2:$A$1001,B5575)&gt;0,"Valid","Invalid")</f>
        <v>Valid</v>
      </c>
      <c r="R5575" t="str">
        <f>IF(COUNTIF(Branches!$A$2:$A$11,F5575)&gt;0,"Valid","Invalid")</f>
        <v>Valid</v>
      </c>
    </row>
    <row r="5576" spans="1:18" x14ac:dyDescent="0.25">
      <c r="A5576" t="s">
        <v>7647</v>
      </c>
      <c r="B5576" t="s">
        <v>265</v>
      </c>
      <c r="C5576" s="8">
        <v>46227</v>
      </c>
      <c r="D5576" t="s">
        <v>2062</v>
      </c>
      <c r="E5576" t="s">
        <v>2059</v>
      </c>
      <c r="F5576" t="s">
        <v>27</v>
      </c>
      <c r="G5576">
        <v>553.14</v>
      </c>
      <c r="H5576" t="s">
        <v>2060</v>
      </c>
      <c r="I5576" t="str">
        <f>VLOOKUP(B5576,Customers!A:G,7,FALSE)</f>
        <v>Individual</v>
      </c>
      <c r="Q5576" t="str">
        <f>IF(COUNTIF(Customers!$A$2:$A$1001,B5576)&gt;0,"Valid","Invalid")</f>
        <v>Valid</v>
      </c>
      <c r="R5576" t="str">
        <f>IF(COUNTIF(Branches!$A$2:$A$11,F5576)&gt;0,"Valid","Invalid")</f>
        <v>Valid</v>
      </c>
    </row>
    <row r="5577" spans="1:18" x14ac:dyDescent="0.25">
      <c r="A5577" t="s">
        <v>7648</v>
      </c>
      <c r="B5577" t="s">
        <v>511</v>
      </c>
      <c r="C5577" s="8">
        <v>46215</v>
      </c>
      <c r="D5577" t="s">
        <v>2067</v>
      </c>
      <c r="E5577" t="s">
        <v>2068</v>
      </c>
      <c r="F5577" t="s">
        <v>16</v>
      </c>
      <c r="G5577">
        <v>235.95</v>
      </c>
      <c r="H5577" t="s">
        <v>2115</v>
      </c>
      <c r="I5577" t="str">
        <f>VLOOKUP(B5577,Customers!A:G,7,FALSE)</f>
        <v>SME</v>
      </c>
      <c r="Q5577" t="str">
        <f>IF(COUNTIF(Customers!$A$2:$A$1001,B5577)&gt;0,"Valid","Invalid")</f>
        <v>Valid</v>
      </c>
      <c r="R5577" t="str">
        <f>IF(COUNTIF(Branches!$A$2:$A$11,F5577)&gt;0,"Valid","Invalid")</f>
        <v>Valid</v>
      </c>
    </row>
    <row r="5578" spans="1:18" x14ac:dyDescent="0.25">
      <c r="A5578" t="s">
        <v>7649</v>
      </c>
      <c r="B5578" t="s">
        <v>522</v>
      </c>
      <c r="C5578" s="8">
        <v>46184</v>
      </c>
      <c r="D5578" t="s">
        <v>2062</v>
      </c>
      <c r="E5578" t="s">
        <v>2068</v>
      </c>
      <c r="F5578" t="s">
        <v>39</v>
      </c>
      <c r="G5578">
        <v>508.36</v>
      </c>
      <c r="H5578" t="s">
        <v>2060</v>
      </c>
      <c r="I5578" t="str">
        <f>VLOOKUP(B5578,Customers!A:G,7,FALSE)</f>
        <v>Individual</v>
      </c>
      <c r="Q5578" t="str">
        <f>IF(COUNTIF(Customers!$A$2:$A$1001,B5578)&gt;0,"Valid","Invalid")</f>
        <v>Valid</v>
      </c>
      <c r="R5578" t="str">
        <f>IF(COUNTIF(Branches!$A$2:$A$11,F5578)&gt;0,"Valid","Invalid")</f>
        <v>Valid</v>
      </c>
    </row>
    <row r="5579" spans="1:18" x14ac:dyDescent="0.25">
      <c r="A5579" t="s">
        <v>7650</v>
      </c>
      <c r="B5579" t="s">
        <v>804</v>
      </c>
      <c r="C5579" s="8">
        <v>46159</v>
      </c>
      <c r="D5579" t="s">
        <v>2065</v>
      </c>
      <c r="E5579" t="s">
        <v>2063</v>
      </c>
      <c r="F5579" t="s">
        <v>21</v>
      </c>
      <c r="G5579">
        <v>567.58000000000004</v>
      </c>
      <c r="H5579" t="s">
        <v>2060</v>
      </c>
      <c r="I5579" t="str">
        <f>VLOOKUP(B5579,Customers!A:G,7,FALSE)</f>
        <v>Individual</v>
      </c>
      <c r="Q5579" t="str">
        <f>IF(COUNTIF(Customers!$A$2:$A$1001,B5579)&gt;0,"Valid","Invalid")</f>
        <v>Valid</v>
      </c>
      <c r="R5579" t="str">
        <f>IF(COUNTIF(Branches!$A$2:$A$11,F5579)&gt;0,"Valid","Invalid")</f>
        <v>Valid</v>
      </c>
    </row>
    <row r="5580" spans="1:18" x14ac:dyDescent="0.25">
      <c r="A5580" t="s">
        <v>7651</v>
      </c>
      <c r="B5580" t="s">
        <v>709</v>
      </c>
      <c r="C5580" s="8">
        <v>46099</v>
      </c>
      <c r="D5580" t="s">
        <v>2058</v>
      </c>
      <c r="E5580" t="s">
        <v>2076</v>
      </c>
      <c r="F5580" t="s">
        <v>29</v>
      </c>
      <c r="G5580">
        <v>1374.85</v>
      </c>
      <c r="H5580" t="s">
        <v>2060</v>
      </c>
      <c r="I5580" t="str">
        <f>VLOOKUP(B5580,Customers!A:G,7,FALSE)</f>
        <v>SME</v>
      </c>
      <c r="Q5580" t="str">
        <f>IF(COUNTIF(Customers!$A$2:$A$1001,B5580)&gt;0,"Valid","Invalid")</f>
        <v>Valid</v>
      </c>
      <c r="R5580" t="str">
        <f>IF(COUNTIF(Branches!$A$2:$A$11,F5580)&gt;0,"Valid","Invalid")</f>
        <v>Valid</v>
      </c>
    </row>
    <row r="5581" spans="1:18" x14ac:dyDescent="0.25">
      <c r="A5581" t="s">
        <v>7652</v>
      </c>
      <c r="B5581" t="s">
        <v>325</v>
      </c>
      <c r="C5581" s="8">
        <v>46150</v>
      </c>
      <c r="D5581" t="s">
        <v>2070</v>
      </c>
      <c r="E5581" t="s">
        <v>2068</v>
      </c>
      <c r="F5581" t="s">
        <v>21</v>
      </c>
      <c r="G5581">
        <v>559.19000000000005</v>
      </c>
      <c r="H5581" t="s">
        <v>2060</v>
      </c>
      <c r="I5581" t="str">
        <f>VLOOKUP(B5581,Customers!A:G,7,FALSE)</f>
        <v>Corporate</v>
      </c>
      <c r="Q5581" t="str">
        <f>IF(COUNTIF(Customers!$A$2:$A$1001,B5581)&gt;0,"Valid","Invalid")</f>
        <v>Valid</v>
      </c>
      <c r="R5581" t="str">
        <f>IF(COUNTIF(Branches!$A$2:$A$11,F5581)&gt;0,"Valid","Invalid")</f>
        <v>Valid</v>
      </c>
    </row>
    <row r="5582" spans="1:18" x14ac:dyDescent="0.25">
      <c r="A5582" t="s">
        <v>7653</v>
      </c>
      <c r="B5582" t="s">
        <v>549</v>
      </c>
      <c r="C5582" s="8">
        <v>46059</v>
      </c>
      <c r="D5582" t="s">
        <v>2070</v>
      </c>
      <c r="E5582" t="s">
        <v>2059</v>
      </c>
      <c r="F5582" t="s">
        <v>47</v>
      </c>
      <c r="G5582">
        <v>1261.55</v>
      </c>
      <c r="H5582" t="s">
        <v>2060</v>
      </c>
      <c r="I5582" t="str">
        <f>VLOOKUP(B5582,Customers!A:G,7,FALSE)</f>
        <v>Individual</v>
      </c>
      <c r="Q5582" t="str">
        <f>IF(COUNTIF(Customers!$A$2:$A$1001,B5582)&gt;0,"Valid","Invalid")</f>
        <v>Valid</v>
      </c>
      <c r="R5582" t="str">
        <f>IF(COUNTIF(Branches!$A$2:$A$11,F5582)&gt;0,"Valid","Invalid")</f>
        <v>Valid</v>
      </c>
    </row>
    <row r="5583" spans="1:18" x14ac:dyDescent="0.25">
      <c r="A5583" t="s">
        <v>7654</v>
      </c>
      <c r="B5583" t="s">
        <v>616</v>
      </c>
      <c r="C5583" s="8">
        <v>46052</v>
      </c>
      <c r="D5583" t="s">
        <v>2067</v>
      </c>
      <c r="E5583" t="s">
        <v>2073</v>
      </c>
      <c r="F5583" t="s">
        <v>29</v>
      </c>
      <c r="G5583">
        <v>368.53</v>
      </c>
      <c r="H5583" t="s">
        <v>2060</v>
      </c>
      <c r="I5583" t="str">
        <f>VLOOKUP(B5583,Customers!A:G,7,FALSE)</f>
        <v>Individual</v>
      </c>
      <c r="Q5583" t="str">
        <f>IF(COUNTIF(Customers!$A$2:$A$1001,B5583)&gt;0,"Valid","Invalid")</f>
        <v>Valid</v>
      </c>
      <c r="R5583" t="str">
        <f>IF(COUNTIF(Branches!$A$2:$A$11,F5583)&gt;0,"Valid","Invalid")</f>
        <v>Valid</v>
      </c>
    </row>
    <row r="5584" spans="1:18" x14ac:dyDescent="0.25">
      <c r="A5584" t="s">
        <v>7655</v>
      </c>
      <c r="B5584" t="s">
        <v>953</v>
      </c>
      <c r="C5584" s="8">
        <v>46191</v>
      </c>
      <c r="D5584" t="s">
        <v>2067</v>
      </c>
      <c r="E5584" t="s">
        <v>2073</v>
      </c>
      <c r="F5584" t="s">
        <v>45</v>
      </c>
      <c r="G5584">
        <v>605.05999999999995</v>
      </c>
      <c r="H5584" t="s">
        <v>2060</v>
      </c>
      <c r="I5584" t="str">
        <f>VLOOKUP(B5584,Customers!A:G,7,FALSE)</f>
        <v>Individual</v>
      </c>
      <c r="Q5584" t="str">
        <f>IF(COUNTIF(Customers!$A$2:$A$1001,B5584)&gt;0,"Valid","Invalid")</f>
        <v>Valid</v>
      </c>
      <c r="R5584" t="str">
        <f>IF(COUNTIF(Branches!$A$2:$A$11,F5584)&gt;0,"Valid","Invalid")</f>
        <v>Valid</v>
      </c>
    </row>
    <row r="5585" spans="1:18" x14ac:dyDescent="0.25">
      <c r="A5585" t="s">
        <v>7656</v>
      </c>
      <c r="B5585" t="s">
        <v>859</v>
      </c>
      <c r="C5585" s="8">
        <v>46195</v>
      </c>
      <c r="D5585" t="s">
        <v>2065</v>
      </c>
      <c r="E5585" t="s">
        <v>2063</v>
      </c>
      <c r="F5585" t="s">
        <v>39</v>
      </c>
      <c r="G5585">
        <v>370.54</v>
      </c>
      <c r="H5585" t="s">
        <v>2060</v>
      </c>
      <c r="I5585" t="str">
        <f>VLOOKUP(B5585,Customers!A:G,7,FALSE)</f>
        <v>Individual</v>
      </c>
      <c r="Q5585" t="str">
        <f>IF(COUNTIF(Customers!$A$2:$A$1001,B5585)&gt;0,"Valid","Invalid")</f>
        <v>Valid</v>
      </c>
      <c r="R5585" t="str">
        <f>IF(COUNTIF(Branches!$A$2:$A$11,F5585)&gt;0,"Valid","Invalid")</f>
        <v>Valid</v>
      </c>
    </row>
    <row r="5586" spans="1:18" x14ac:dyDescent="0.25">
      <c r="A5586" t="s">
        <v>7657</v>
      </c>
      <c r="B5586" t="s">
        <v>1010</v>
      </c>
      <c r="C5586" s="8">
        <v>46251</v>
      </c>
      <c r="D5586" t="s">
        <v>2062</v>
      </c>
      <c r="E5586" t="s">
        <v>2063</v>
      </c>
      <c r="F5586" t="s">
        <v>11</v>
      </c>
      <c r="G5586">
        <v>348.4</v>
      </c>
      <c r="H5586" t="s">
        <v>2060</v>
      </c>
      <c r="I5586" t="str">
        <f>VLOOKUP(B5586,Customers!A:G,7,FALSE)</f>
        <v>SME</v>
      </c>
      <c r="Q5586" t="str">
        <f>IF(COUNTIF(Customers!$A$2:$A$1001,B5586)&gt;0,"Valid","Invalid")</f>
        <v>Valid</v>
      </c>
      <c r="R5586" t="str">
        <f>IF(COUNTIF(Branches!$A$2:$A$11,F5586)&gt;0,"Valid","Invalid")</f>
        <v>Valid</v>
      </c>
    </row>
    <row r="5587" spans="1:18" x14ac:dyDescent="0.25">
      <c r="A5587" t="s">
        <v>7658</v>
      </c>
      <c r="B5587" t="s">
        <v>496</v>
      </c>
      <c r="C5587" s="8">
        <v>46069</v>
      </c>
      <c r="D5587" t="s">
        <v>2058</v>
      </c>
      <c r="E5587" t="s">
        <v>2063</v>
      </c>
      <c r="F5587" t="s">
        <v>53</v>
      </c>
      <c r="G5587">
        <v>2906.87</v>
      </c>
      <c r="H5587" t="s">
        <v>2060</v>
      </c>
      <c r="I5587" t="str">
        <f>VLOOKUP(B5587,Customers!A:G,7,FALSE)</f>
        <v>Individual</v>
      </c>
      <c r="Q5587" t="str">
        <f>IF(COUNTIF(Customers!$A$2:$A$1001,B5587)&gt;0,"Valid","Invalid")</f>
        <v>Valid</v>
      </c>
      <c r="R5587" t="str">
        <f>IF(COUNTIF(Branches!$A$2:$A$11,F5587)&gt;0,"Valid","Invalid")</f>
        <v>Valid</v>
      </c>
    </row>
    <row r="5588" spans="1:18" x14ac:dyDescent="0.25">
      <c r="A5588" t="s">
        <v>7659</v>
      </c>
      <c r="B5588" t="s">
        <v>131</v>
      </c>
      <c r="C5588" s="8">
        <v>46157</v>
      </c>
      <c r="D5588" t="s">
        <v>2067</v>
      </c>
      <c r="E5588" t="s">
        <v>2063</v>
      </c>
      <c r="F5588" t="s">
        <v>47</v>
      </c>
      <c r="G5588">
        <v>397.37</v>
      </c>
      <c r="H5588" t="s">
        <v>2060</v>
      </c>
      <c r="I5588" t="str">
        <f>VLOOKUP(B5588,Customers!A:G,7,FALSE)</f>
        <v>Individual</v>
      </c>
      <c r="Q5588" t="str">
        <f>IF(COUNTIF(Customers!$A$2:$A$1001,B5588)&gt;0,"Valid","Invalid")</f>
        <v>Valid</v>
      </c>
      <c r="R5588" t="str">
        <f>IF(COUNTIF(Branches!$A$2:$A$11,F5588)&gt;0,"Valid","Invalid")</f>
        <v>Valid</v>
      </c>
    </row>
    <row r="5589" spans="1:18" x14ac:dyDescent="0.25">
      <c r="A5589" t="s">
        <v>7660</v>
      </c>
      <c r="B5589" t="s">
        <v>531</v>
      </c>
      <c r="C5589" s="8">
        <v>46164</v>
      </c>
      <c r="D5589" t="s">
        <v>2065</v>
      </c>
      <c r="E5589" t="s">
        <v>2073</v>
      </c>
      <c r="F5589" t="s">
        <v>29</v>
      </c>
      <c r="G5589">
        <v>573.87</v>
      </c>
      <c r="H5589" t="s">
        <v>2060</v>
      </c>
      <c r="I5589" t="str">
        <f>VLOOKUP(B5589,Customers!A:G,7,FALSE)</f>
        <v>Individual</v>
      </c>
      <c r="Q5589" t="str">
        <f>IF(COUNTIF(Customers!$A$2:$A$1001,B5589)&gt;0,"Valid","Invalid")</f>
        <v>Valid</v>
      </c>
      <c r="R5589" t="str">
        <f>IF(COUNTIF(Branches!$A$2:$A$11,F5589)&gt;0,"Valid","Invalid")</f>
        <v>Valid</v>
      </c>
    </row>
    <row r="5590" spans="1:18" x14ac:dyDescent="0.25">
      <c r="A5590" t="s">
        <v>7661</v>
      </c>
      <c r="B5590" t="s">
        <v>803</v>
      </c>
      <c r="C5590" s="8">
        <v>46070</v>
      </c>
      <c r="D5590" t="s">
        <v>2070</v>
      </c>
      <c r="E5590" t="s">
        <v>2073</v>
      </c>
      <c r="F5590" t="s">
        <v>11</v>
      </c>
      <c r="G5590">
        <v>2309.08</v>
      </c>
      <c r="H5590" t="s">
        <v>2060</v>
      </c>
      <c r="I5590" t="str">
        <f>VLOOKUP(B5590,Customers!A:G,7,FALSE)</f>
        <v>Individual</v>
      </c>
      <c r="Q5590" t="str">
        <f>IF(COUNTIF(Customers!$A$2:$A$1001,B5590)&gt;0,"Valid","Invalid")</f>
        <v>Valid</v>
      </c>
      <c r="R5590" t="str">
        <f>IF(COUNTIF(Branches!$A$2:$A$11,F5590)&gt;0,"Valid","Invalid")</f>
        <v>Valid</v>
      </c>
    </row>
    <row r="5591" spans="1:18" x14ac:dyDescent="0.25">
      <c r="A5591" t="s">
        <v>7662</v>
      </c>
      <c r="B5591" t="s">
        <v>186</v>
      </c>
      <c r="C5591" s="8">
        <v>46156</v>
      </c>
      <c r="D5591" t="s">
        <v>2058</v>
      </c>
      <c r="E5591" t="s">
        <v>2063</v>
      </c>
      <c r="F5591" t="s">
        <v>29</v>
      </c>
      <c r="G5591">
        <v>1719.87</v>
      </c>
      <c r="H5591" t="s">
        <v>2060</v>
      </c>
      <c r="I5591" t="str">
        <f>VLOOKUP(B5591,Customers!A:G,7,FALSE)</f>
        <v>SME</v>
      </c>
      <c r="Q5591" t="str">
        <f>IF(COUNTIF(Customers!$A$2:$A$1001,B5591)&gt;0,"Valid","Invalid")</f>
        <v>Valid</v>
      </c>
      <c r="R5591" t="str">
        <f>IF(COUNTIF(Branches!$A$2:$A$11,F5591)&gt;0,"Valid","Invalid")</f>
        <v>Valid</v>
      </c>
    </row>
    <row r="5592" spans="1:18" x14ac:dyDescent="0.25">
      <c r="A5592" t="s">
        <v>7663</v>
      </c>
      <c r="B5592" t="s">
        <v>57</v>
      </c>
      <c r="C5592" s="8">
        <v>46056</v>
      </c>
      <c r="D5592" t="s">
        <v>2067</v>
      </c>
      <c r="E5592" t="s">
        <v>2076</v>
      </c>
      <c r="F5592" t="s">
        <v>53</v>
      </c>
      <c r="G5592">
        <v>4193.1499999999996</v>
      </c>
      <c r="H5592" t="s">
        <v>2060</v>
      </c>
      <c r="I5592" t="str">
        <f>VLOOKUP(B5592,Customers!A:G,7,FALSE)</f>
        <v>SME</v>
      </c>
      <c r="Q5592" t="str">
        <f>IF(COUNTIF(Customers!$A$2:$A$1001,B5592)&gt;0,"Valid","Invalid")</f>
        <v>Valid</v>
      </c>
      <c r="R5592" t="str">
        <f>IF(COUNTIF(Branches!$A$2:$A$11,F5592)&gt;0,"Valid","Invalid")</f>
        <v>Valid</v>
      </c>
    </row>
    <row r="5593" spans="1:18" x14ac:dyDescent="0.25">
      <c r="A5593" t="s">
        <v>7664</v>
      </c>
      <c r="B5593" t="s">
        <v>794</v>
      </c>
      <c r="C5593" s="8">
        <v>46230</v>
      </c>
      <c r="D5593" t="s">
        <v>2067</v>
      </c>
      <c r="E5593" t="s">
        <v>2059</v>
      </c>
      <c r="F5593" t="s">
        <v>45</v>
      </c>
      <c r="G5593">
        <v>1316.59</v>
      </c>
      <c r="H5593" t="s">
        <v>2060</v>
      </c>
      <c r="I5593" t="str">
        <f>VLOOKUP(B5593,Customers!A:G,7,FALSE)</f>
        <v>Corporate</v>
      </c>
      <c r="Q5593" t="str">
        <f>IF(COUNTIF(Customers!$A$2:$A$1001,B5593)&gt;0,"Valid","Invalid")</f>
        <v>Valid</v>
      </c>
      <c r="R5593" t="str">
        <f>IF(COUNTIF(Branches!$A$2:$A$11,F5593)&gt;0,"Valid","Invalid")</f>
        <v>Valid</v>
      </c>
    </row>
    <row r="5594" spans="1:18" x14ac:dyDescent="0.25">
      <c r="A5594" t="s">
        <v>7665</v>
      </c>
      <c r="B5594" t="s">
        <v>252</v>
      </c>
      <c r="C5594" s="8">
        <v>46265</v>
      </c>
      <c r="D5594" t="s">
        <v>2065</v>
      </c>
      <c r="E5594" t="s">
        <v>2059</v>
      </c>
      <c r="F5594" t="s">
        <v>29</v>
      </c>
      <c r="G5594">
        <v>445.68</v>
      </c>
      <c r="H5594" t="s">
        <v>2060</v>
      </c>
      <c r="I5594" t="str">
        <f>VLOOKUP(B5594,Customers!A:G,7,FALSE)</f>
        <v>Individual</v>
      </c>
      <c r="Q5594" t="str">
        <f>IF(COUNTIF(Customers!$A$2:$A$1001,B5594)&gt;0,"Valid","Invalid")</f>
        <v>Valid</v>
      </c>
      <c r="R5594" t="str">
        <f>IF(COUNTIF(Branches!$A$2:$A$11,F5594)&gt;0,"Valid","Invalid")</f>
        <v>Valid</v>
      </c>
    </row>
    <row r="5595" spans="1:18" x14ac:dyDescent="0.25">
      <c r="A5595" t="s">
        <v>7666</v>
      </c>
      <c r="B5595" t="s">
        <v>437</v>
      </c>
      <c r="C5595" s="8">
        <v>46123</v>
      </c>
      <c r="D5595" t="s">
        <v>2058</v>
      </c>
      <c r="E5595" t="s">
        <v>2076</v>
      </c>
      <c r="F5595" t="s">
        <v>29</v>
      </c>
      <c r="G5595">
        <v>6355.94</v>
      </c>
      <c r="H5595" t="s">
        <v>2060</v>
      </c>
      <c r="I5595" t="str">
        <f>VLOOKUP(B5595,Customers!A:G,7,FALSE)</f>
        <v>Individual</v>
      </c>
      <c r="Q5595" t="str">
        <f>IF(COUNTIF(Customers!$A$2:$A$1001,B5595)&gt;0,"Valid","Invalid")</f>
        <v>Valid</v>
      </c>
      <c r="R5595" t="str">
        <f>IF(COUNTIF(Branches!$A$2:$A$11,F5595)&gt;0,"Valid","Invalid")</f>
        <v>Valid</v>
      </c>
    </row>
    <row r="5596" spans="1:18" x14ac:dyDescent="0.25">
      <c r="A5596" t="s">
        <v>7667</v>
      </c>
      <c r="B5596" t="s">
        <v>448</v>
      </c>
      <c r="C5596" s="8">
        <v>46250</v>
      </c>
      <c r="D5596" t="s">
        <v>2070</v>
      </c>
      <c r="E5596" t="s">
        <v>2073</v>
      </c>
      <c r="F5596" t="s">
        <v>35</v>
      </c>
      <c r="G5596">
        <v>1454.01</v>
      </c>
      <c r="H5596" t="s">
        <v>2060</v>
      </c>
      <c r="I5596" t="str">
        <f>VLOOKUP(B5596,Customers!A:G,7,FALSE)</f>
        <v>Student</v>
      </c>
      <c r="Q5596" t="str">
        <f>IF(COUNTIF(Customers!$A$2:$A$1001,B5596)&gt;0,"Valid","Invalid")</f>
        <v>Valid</v>
      </c>
      <c r="R5596" t="str">
        <f>IF(COUNTIF(Branches!$A$2:$A$11,F5596)&gt;0,"Valid","Invalid")</f>
        <v>Valid</v>
      </c>
    </row>
    <row r="5597" spans="1:18" x14ac:dyDescent="0.25">
      <c r="A5597" t="s">
        <v>7668</v>
      </c>
      <c r="B5597" t="s">
        <v>167</v>
      </c>
      <c r="C5597" s="8">
        <v>46068</v>
      </c>
      <c r="D5597" t="s">
        <v>2062</v>
      </c>
      <c r="E5597" t="s">
        <v>2063</v>
      </c>
      <c r="F5597" t="s">
        <v>21</v>
      </c>
      <c r="G5597">
        <v>695.97</v>
      </c>
      <c r="H5597" t="s">
        <v>2060</v>
      </c>
      <c r="I5597" t="str">
        <f>VLOOKUP(B5597,Customers!A:G,7,FALSE)</f>
        <v>Corporate</v>
      </c>
      <c r="Q5597" t="str">
        <f>IF(COUNTIF(Customers!$A$2:$A$1001,B5597)&gt;0,"Valid","Invalid")</f>
        <v>Valid</v>
      </c>
      <c r="R5597" t="str">
        <f>IF(COUNTIF(Branches!$A$2:$A$11,F5597)&gt;0,"Valid","Invalid")</f>
        <v>Valid</v>
      </c>
    </row>
    <row r="5598" spans="1:18" x14ac:dyDescent="0.25">
      <c r="A5598" t="s">
        <v>7669</v>
      </c>
      <c r="B5598" t="s">
        <v>893</v>
      </c>
      <c r="C5598" s="8">
        <v>46209</v>
      </c>
      <c r="D5598" t="s">
        <v>2067</v>
      </c>
      <c r="E5598" t="s">
        <v>2063</v>
      </c>
      <c r="F5598" t="s">
        <v>29</v>
      </c>
      <c r="G5598">
        <v>860.46</v>
      </c>
      <c r="H5598" t="s">
        <v>2060</v>
      </c>
      <c r="I5598" t="str">
        <f>VLOOKUP(B5598,Customers!A:G,7,FALSE)</f>
        <v>Corporate</v>
      </c>
      <c r="Q5598" t="str">
        <f>IF(COUNTIF(Customers!$A$2:$A$1001,B5598)&gt;0,"Valid","Invalid")</f>
        <v>Valid</v>
      </c>
      <c r="R5598" t="str">
        <f>IF(COUNTIF(Branches!$A$2:$A$11,F5598)&gt;0,"Valid","Invalid")</f>
        <v>Valid</v>
      </c>
    </row>
    <row r="5599" spans="1:18" x14ac:dyDescent="0.25">
      <c r="A5599" t="s">
        <v>7670</v>
      </c>
      <c r="B5599" t="s">
        <v>184</v>
      </c>
      <c r="C5599" s="8">
        <v>46092</v>
      </c>
      <c r="D5599" t="s">
        <v>2062</v>
      </c>
      <c r="E5599" t="s">
        <v>2063</v>
      </c>
      <c r="F5599" t="s">
        <v>29</v>
      </c>
      <c r="G5599">
        <v>971.93</v>
      </c>
      <c r="H5599" t="s">
        <v>2060</v>
      </c>
      <c r="I5599" t="str">
        <f>VLOOKUP(B5599,Customers!A:G,7,FALSE)</f>
        <v>Individual</v>
      </c>
      <c r="Q5599" t="str">
        <f>IF(COUNTIF(Customers!$A$2:$A$1001,B5599)&gt;0,"Valid","Invalid")</f>
        <v>Valid</v>
      </c>
      <c r="R5599" t="str">
        <f>IF(COUNTIF(Branches!$A$2:$A$11,F5599)&gt;0,"Valid","Invalid")</f>
        <v>Valid</v>
      </c>
    </row>
    <row r="5600" spans="1:18" x14ac:dyDescent="0.25">
      <c r="A5600" t="s">
        <v>7671</v>
      </c>
      <c r="B5600" t="s">
        <v>419</v>
      </c>
      <c r="C5600" s="8">
        <v>46158</v>
      </c>
      <c r="D5600" t="s">
        <v>2067</v>
      </c>
      <c r="E5600" t="s">
        <v>2059</v>
      </c>
      <c r="F5600" t="s">
        <v>39</v>
      </c>
      <c r="G5600">
        <v>641.1</v>
      </c>
      <c r="H5600" t="s">
        <v>2060</v>
      </c>
      <c r="I5600" t="str">
        <f>VLOOKUP(B5600,Customers!A:G,7,FALSE)</f>
        <v>SME</v>
      </c>
      <c r="Q5600" t="str">
        <f>IF(COUNTIF(Customers!$A$2:$A$1001,B5600)&gt;0,"Valid","Invalid")</f>
        <v>Valid</v>
      </c>
      <c r="R5600" t="str">
        <f>IF(COUNTIF(Branches!$A$2:$A$11,F5600)&gt;0,"Valid","Invalid")</f>
        <v>Valid</v>
      </c>
    </row>
    <row r="5601" spans="1:18" x14ac:dyDescent="0.25">
      <c r="A5601" t="s">
        <v>7672</v>
      </c>
      <c r="B5601" t="s">
        <v>145</v>
      </c>
      <c r="C5601" s="8">
        <v>46046</v>
      </c>
      <c r="D5601" t="s">
        <v>2065</v>
      </c>
      <c r="E5601" t="s">
        <v>2063</v>
      </c>
      <c r="F5601" t="s">
        <v>11</v>
      </c>
      <c r="G5601">
        <v>205.23</v>
      </c>
      <c r="H5601" t="s">
        <v>2060</v>
      </c>
      <c r="I5601" t="str">
        <f>VLOOKUP(B5601,Customers!A:G,7,FALSE)</f>
        <v>Individual</v>
      </c>
      <c r="Q5601" t="str">
        <f>IF(COUNTIF(Customers!$A$2:$A$1001,B5601)&gt;0,"Valid","Invalid")</f>
        <v>Valid</v>
      </c>
      <c r="R5601" t="str">
        <f>IF(COUNTIF(Branches!$A$2:$A$11,F5601)&gt;0,"Valid","Invalid")</f>
        <v>Valid</v>
      </c>
    </row>
    <row r="5602" spans="1:18" x14ac:dyDescent="0.25">
      <c r="A5602" t="s">
        <v>7673</v>
      </c>
      <c r="B5602" t="s">
        <v>590</v>
      </c>
      <c r="C5602" s="8">
        <v>46089</v>
      </c>
      <c r="D5602" t="s">
        <v>2070</v>
      </c>
      <c r="E5602" t="s">
        <v>2059</v>
      </c>
      <c r="F5602" t="s">
        <v>21</v>
      </c>
      <c r="G5602">
        <v>4132.84</v>
      </c>
      <c r="H5602" t="s">
        <v>2115</v>
      </c>
      <c r="I5602" t="str">
        <f>VLOOKUP(B5602,Customers!A:G,7,FALSE)</f>
        <v>SME</v>
      </c>
      <c r="Q5602" t="str">
        <f>IF(COUNTIF(Customers!$A$2:$A$1001,B5602)&gt;0,"Valid","Invalid")</f>
        <v>Valid</v>
      </c>
      <c r="R5602" t="str">
        <f>IF(COUNTIF(Branches!$A$2:$A$11,F5602)&gt;0,"Valid","Invalid")</f>
        <v>Valid</v>
      </c>
    </row>
    <row r="5603" spans="1:18" x14ac:dyDescent="0.25">
      <c r="A5603" t="s">
        <v>7674</v>
      </c>
      <c r="B5603" t="s">
        <v>157</v>
      </c>
      <c r="C5603" s="8">
        <v>46026</v>
      </c>
      <c r="D5603" t="s">
        <v>2067</v>
      </c>
      <c r="E5603" t="s">
        <v>2059</v>
      </c>
      <c r="F5603" t="s">
        <v>11</v>
      </c>
      <c r="G5603">
        <v>794.86</v>
      </c>
      <c r="H5603" t="s">
        <v>2060</v>
      </c>
      <c r="I5603" t="str">
        <f>VLOOKUP(B5603,Customers!A:G,7,FALSE)</f>
        <v>SME</v>
      </c>
      <c r="Q5603" t="str">
        <f>IF(COUNTIF(Customers!$A$2:$A$1001,B5603)&gt;0,"Valid","Invalid")</f>
        <v>Valid</v>
      </c>
      <c r="R5603" t="str">
        <f>IF(COUNTIF(Branches!$A$2:$A$11,F5603)&gt;0,"Valid","Invalid")</f>
        <v>Valid</v>
      </c>
    </row>
    <row r="5604" spans="1:18" x14ac:dyDescent="0.25">
      <c r="A5604" t="s">
        <v>7675</v>
      </c>
      <c r="B5604" t="s">
        <v>333</v>
      </c>
      <c r="C5604" s="8">
        <v>46246</v>
      </c>
      <c r="D5604" t="s">
        <v>2067</v>
      </c>
      <c r="E5604" t="s">
        <v>2068</v>
      </c>
      <c r="F5604" t="s">
        <v>16</v>
      </c>
      <c r="G5604">
        <v>976.03</v>
      </c>
      <c r="H5604" t="s">
        <v>2060</v>
      </c>
      <c r="I5604" t="str">
        <f>VLOOKUP(B5604,Customers!A:G,7,FALSE)</f>
        <v>Individual</v>
      </c>
      <c r="Q5604" t="str">
        <f>IF(COUNTIF(Customers!$A$2:$A$1001,B5604)&gt;0,"Valid","Invalid")</f>
        <v>Valid</v>
      </c>
      <c r="R5604" t="str">
        <f>IF(COUNTIF(Branches!$A$2:$A$11,F5604)&gt;0,"Valid","Invalid")</f>
        <v>Valid</v>
      </c>
    </row>
    <row r="5605" spans="1:18" x14ac:dyDescent="0.25">
      <c r="A5605" t="s">
        <v>7676</v>
      </c>
      <c r="B5605" t="s">
        <v>156</v>
      </c>
      <c r="C5605" s="8">
        <v>46023</v>
      </c>
      <c r="D5605" t="s">
        <v>2070</v>
      </c>
      <c r="E5605" t="s">
        <v>2059</v>
      </c>
      <c r="F5605" t="s">
        <v>39</v>
      </c>
      <c r="G5605">
        <v>6490.82</v>
      </c>
      <c r="H5605" t="s">
        <v>2060</v>
      </c>
      <c r="I5605" t="str">
        <f>VLOOKUP(B5605,Customers!A:G,7,FALSE)</f>
        <v>Individual</v>
      </c>
      <c r="Q5605" t="str">
        <f>IF(COUNTIF(Customers!$A$2:$A$1001,B5605)&gt;0,"Valid","Invalid")</f>
        <v>Valid</v>
      </c>
      <c r="R5605" t="str">
        <f>IF(COUNTIF(Branches!$A$2:$A$11,F5605)&gt;0,"Valid","Invalid")</f>
        <v>Valid</v>
      </c>
    </row>
    <row r="5606" spans="1:18" x14ac:dyDescent="0.25">
      <c r="A5606" t="s">
        <v>7677</v>
      </c>
      <c r="B5606" t="s">
        <v>494</v>
      </c>
      <c r="C5606" s="8">
        <v>46056</v>
      </c>
      <c r="D5606" t="s">
        <v>2065</v>
      </c>
      <c r="E5606" t="s">
        <v>2063</v>
      </c>
      <c r="F5606" t="s">
        <v>29</v>
      </c>
      <c r="G5606">
        <v>410.23</v>
      </c>
      <c r="H5606" t="s">
        <v>2060</v>
      </c>
      <c r="I5606" t="str">
        <f>VLOOKUP(B5606,Customers!A:G,7,FALSE)</f>
        <v>Student</v>
      </c>
      <c r="Q5606" t="str">
        <f>IF(COUNTIF(Customers!$A$2:$A$1001,B5606)&gt;0,"Valid","Invalid")</f>
        <v>Valid</v>
      </c>
      <c r="R5606" t="str">
        <f>IF(COUNTIF(Branches!$A$2:$A$11,F5606)&gt;0,"Valid","Invalid")</f>
        <v>Valid</v>
      </c>
    </row>
    <row r="5607" spans="1:18" x14ac:dyDescent="0.25">
      <c r="A5607" t="s">
        <v>7678</v>
      </c>
      <c r="B5607" t="s">
        <v>568</v>
      </c>
      <c r="C5607" s="8">
        <v>46131</v>
      </c>
      <c r="D5607" t="s">
        <v>2062</v>
      </c>
      <c r="E5607" t="s">
        <v>2068</v>
      </c>
      <c r="F5607" t="s">
        <v>11</v>
      </c>
      <c r="G5607">
        <v>1564.76</v>
      </c>
      <c r="H5607" t="s">
        <v>2060</v>
      </c>
      <c r="I5607" t="str">
        <f>VLOOKUP(B5607,Customers!A:G,7,FALSE)</f>
        <v>Individual</v>
      </c>
      <c r="Q5607" t="str">
        <f>IF(COUNTIF(Customers!$A$2:$A$1001,B5607)&gt;0,"Valid","Invalid")</f>
        <v>Valid</v>
      </c>
      <c r="R5607" t="str">
        <f>IF(COUNTIF(Branches!$A$2:$A$11,F5607)&gt;0,"Valid","Invalid")</f>
        <v>Valid</v>
      </c>
    </row>
    <row r="5608" spans="1:18" x14ac:dyDescent="0.25">
      <c r="A5608" t="s">
        <v>7679</v>
      </c>
      <c r="B5608" t="s">
        <v>205</v>
      </c>
      <c r="C5608" s="8">
        <v>46031</v>
      </c>
      <c r="D5608" t="s">
        <v>2070</v>
      </c>
      <c r="E5608" t="s">
        <v>2068</v>
      </c>
      <c r="F5608" t="s">
        <v>27</v>
      </c>
      <c r="G5608">
        <v>367.86</v>
      </c>
      <c r="H5608" t="s">
        <v>2060</v>
      </c>
      <c r="I5608" t="str">
        <f>VLOOKUP(B5608,Customers!A:G,7,FALSE)</f>
        <v>SME</v>
      </c>
      <c r="Q5608" t="str">
        <f>IF(COUNTIF(Customers!$A$2:$A$1001,B5608)&gt;0,"Valid","Invalid")</f>
        <v>Valid</v>
      </c>
      <c r="R5608" t="str">
        <f>IF(COUNTIF(Branches!$A$2:$A$11,F5608)&gt;0,"Valid","Invalid")</f>
        <v>Valid</v>
      </c>
    </row>
    <row r="5609" spans="1:18" x14ac:dyDescent="0.25">
      <c r="A5609" t="s">
        <v>7680</v>
      </c>
      <c r="B5609" t="s">
        <v>748</v>
      </c>
      <c r="C5609" s="8">
        <v>46085</v>
      </c>
      <c r="D5609" t="s">
        <v>2058</v>
      </c>
      <c r="E5609" t="s">
        <v>2063</v>
      </c>
      <c r="F5609" t="s">
        <v>29</v>
      </c>
      <c r="G5609">
        <v>1119.93</v>
      </c>
      <c r="H5609" t="s">
        <v>2060</v>
      </c>
      <c r="I5609" t="str">
        <f>VLOOKUP(B5609,Customers!A:G,7,FALSE)</f>
        <v>Individual</v>
      </c>
      <c r="Q5609" t="str">
        <f>IF(COUNTIF(Customers!$A$2:$A$1001,B5609)&gt;0,"Valid","Invalid")</f>
        <v>Valid</v>
      </c>
      <c r="R5609" t="str">
        <f>IF(COUNTIF(Branches!$A$2:$A$11,F5609)&gt;0,"Valid","Invalid")</f>
        <v>Valid</v>
      </c>
    </row>
    <row r="5610" spans="1:18" x14ac:dyDescent="0.25">
      <c r="A5610" t="s">
        <v>7681</v>
      </c>
      <c r="B5610" t="s">
        <v>961</v>
      </c>
      <c r="C5610" s="8">
        <v>46226</v>
      </c>
      <c r="D5610" t="s">
        <v>2065</v>
      </c>
      <c r="E5610" t="s">
        <v>2063</v>
      </c>
      <c r="F5610" t="s">
        <v>29</v>
      </c>
      <c r="G5610">
        <v>993.77</v>
      </c>
      <c r="H5610" t="s">
        <v>2060</v>
      </c>
      <c r="I5610" t="str">
        <f>VLOOKUP(B5610,Customers!A:G,7,FALSE)</f>
        <v>SME</v>
      </c>
      <c r="Q5610" t="str">
        <f>IF(COUNTIF(Customers!$A$2:$A$1001,B5610)&gt;0,"Valid","Invalid")</f>
        <v>Valid</v>
      </c>
      <c r="R5610" t="str">
        <f>IF(COUNTIF(Branches!$A$2:$A$11,F5610)&gt;0,"Valid","Invalid")</f>
        <v>Valid</v>
      </c>
    </row>
    <row r="5611" spans="1:18" x14ac:dyDescent="0.25">
      <c r="A5611" t="s">
        <v>7682</v>
      </c>
      <c r="B5611" t="s">
        <v>1034</v>
      </c>
      <c r="C5611" s="8">
        <v>46032</v>
      </c>
      <c r="D5611" t="s">
        <v>2067</v>
      </c>
      <c r="E5611" t="s">
        <v>2068</v>
      </c>
      <c r="F5611" t="s">
        <v>29</v>
      </c>
      <c r="G5611">
        <v>1791.13</v>
      </c>
      <c r="H5611" t="s">
        <v>2060</v>
      </c>
      <c r="I5611" t="str">
        <f>VLOOKUP(B5611,Customers!A:G,7,FALSE)</f>
        <v>Individual</v>
      </c>
      <c r="Q5611" t="str">
        <f>IF(COUNTIF(Customers!$A$2:$A$1001,B5611)&gt;0,"Valid","Invalid")</f>
        <v>Valid</v>
      </c>
      <c r="R5611" t="str">
        <f>IF(COUNTIF(Branches!$A$2:$A$11,F5611)&gt;0,"Valid","Invalid")</f>
        <v>Valid</v>
      </c>
    </row>
    <row r="5612" spans="1:18" x14ac:dyDescent="0.25">
      <c r="A5612" t="s">
        <v>7683</v>
      </c>
      <c r="B5612" t="s">
        <v>179</v>
      </c>
      <c r="C5612" s="8">
        <v>46160</v>
      </c>
      <c r="D5612" t="s">
        <v>2065</v>
      </c>
      <c r="E5612" t="s">
        <v>2063</v>
      </c>
      <c r="F5612" t="s">
        <v>27</v>
      </c>
      <c r="G5612">
        <v>2719.41</v>
      </c>
      <c r="H5612" t="s">
        <v>2060</v>
      </c>
      <c r="I5612" t="str">
        <f>VLOOKUP(B5612,Customers!A:G,7,FALSE)</f>
        <v>Individual</v>
      </c>
      <c r="Q5612" t="str">
        <f>IF(COUNTIF(Customers!$A$2:$A$1001,B5612)&gt;0,"Valid","Invalid")</f>
        <v>Valid</v>
      </c>
      <c r="R5612" t="str">
        <f>IF(COUNTIF(Branches!$A$2:$A$11,F5612)&gt;0,"Valid","Invalid")</f>
        <v>Valid</v>
      </c>
    </row>
    <row r="5613" spans="1:18" x14ac:dyDescent="0.25">
      <c r="A5613" t="s">
        <v>7684</v>
      </c>
      <c r="B5613" t="s">
        <v>71</v>
      </c>
      <c r="C5613" s="8">
        <v>46200</v>
      </c>
      <c r="D5613" t="s">
        <v>2067</v>
      </c>
      <c r="E5613" t="s">
        <v>2063</v>
      </c>
      <c r="F5613" t="s">
        <v>39</v>
      </c>
      <c r="G5613">
        <v>455.08</v>
      </c>
      <c r="H5613" t="s">
        <v>2060</v>
      </c>
      <c r="I5613" t="str">
        <f>VLOOKUP(B5613,Customers!A:G,7,FALSE)</f>
        <v>Individual</v>
      </c>
      <c r="Q5613" t="str">
        <f>IF(COUNTIF(Customers!$A$2:$A$1001,B5613)&gt;0,"Valid","Invalid")</f>
        <v>Valid</v>
      </c>
      <c r="R5613" t="str">
        <f>IF(COUNTIF(Branches!$A$2:$A$11,F5613)&gt;0,"Valid","Invalid")</f>
        <v>Valid</v>
      </c>
    </row>
    <row r="5614" spans="1:18" x14ac:dyDescent="0.25">
      <c r="A5614" t="s">
        <v>7685</v>
      </c>
      <c r="B5614" t="s">
        <v>736</v>
      </c>
      <c r="C5614" s="8">
        <v>46066</v>
      </c>
      <c r="D5614" t="s">
        <v>2062</v>
      </c>
      <c r="E5614" t="s">
        <v>2059</v>
      </c>
      <c r="F5614" t="s">
        <v>29</v>
      </c>
      <c r="G5614">
        <v>3349.86</v>
      </c>
      <c r="H5614" t="s">
        <v>2107</v>
      </c>
      <c r="I5614" t="str">
        <f>VLOOKUP(B5614,Customers!A:G,7,FALSE)</f>
        <v>Individual</v>
      </c>
      <c r="Q5614" t="str">
        <f>IF(COUNTIF(Customers!$A$2:$A$1001,B5614)&gt;0,"Valid","Invalid")</f>
        <v>Valid</v>
      </c>
      <c r="R5614" t="str">
        <f>IF(COUNTIF(Branches!$A$2:$A$11,F5614)&gt;0,"Valid","Invalid")</f>
        <v>Valid</v>
      </c>
    </row>
    <row r="5615" spans="1:18" x14ac:dyDescent="0.25">
      <c r="A5615" t="s">
        <v>7686</v>
      </c>
      <c r="B5615" t="s">
        <v>299</v>
      </c>
      <c r="C5615" s="8">
        <v>46140</v>
      </c>
      <c r="D5615" t="s">
        <v>2067</v>
      </c>
      <c r="E5615" t="s">
        <v>2063</v>
      </c>
      <c r="F5615" t="s">
        <v>39</v>
      </c>
      <c r="G5615">
        <v>3595.65</v>
      </c>
      <c r="H5615" t="s">
        <v>2060</v>
      </c>
      <c r="I5615" t="str">
        <f>VLOOKUP(B5615,Customers!A:G,7,FALSE)</f>
        <v>SME</v>
      </c>
      <c r="Q5615" t="str">
        <f>IF(COUNTIF(Customers!$A$2:$A$1001,B5615)&gt;0,"Valid","Invalid")</f>
        <v>Valid</v>
      </c>
      <c r="R5615" t="str">
        <f>IF(COUNTIF(Branches!$A$2:$A$11,F5615)&gt;0,"Valid","Invalid")</f>
        <v>Valid</v>
      </c>
    </row>
    <row r="5616" spans="1:18" x14ac:dyDescent="0.25">
      <c r="A5616" t="s">
        <v>7687</v>
      </c>
      <c r="B5616" t="s">
        <v>268</v>
      </c>
      <c r="C5616" s="8">
        <v>46198</v>
      </c>
      <c r="D5616" t="s">
        <v>2067</v>
      </c>
      <c r="E5616" t="s">
        <v>2063</v>
      </c>
      <c r="F5616" t="s">
        <v>39</v>
      </c>
      <c r="G5616">
        <v>632.71</v>
      </c>
      <c r="H5616" t="s">
        <v>2060</v>
      </c>
      <c r="I5616" t="str">
        <f>VLOOKUP(B5616,Customers!A:G,7,FALSE)</f>
        <v>Individual</v>
      </c>
      <c r="Q5616" t="str">
        <f>IF(COUNTIF(Customers!$A$2:$A$1001,B5616)&gt;0,"Valid","Invalid")</f>
        <v>Valid</v>
      </c>
      <c r="R5616" t="str">
        <f>IF(COUNTIF(Branches!$A$2:$A$11,F5616)&gt;0,"Valid","Invalid")</f>
        <v>Valid</v>
      </c>
    </row>
    <row r="5617" spans="1:18" x14ac:dyDescent="0.25">
      <c r="A5617" t="s">
        <v>7688</v>
      </c>
      <c r="B5617" t="s">
        <v>292</v>
      </c>
      <c r="C5617" s="8">
        <v>46237</v>
      </c>
      <c r="D5617" t="s">
        <v>2058</v>
      </c>
      <c r="E5617" t="s">
        <v>2059</v>
      </c>
      <c r="F5617" t="s">
        <v>16</v>
      </c>
      <c r="G5617">
        <v>807.08</v>
      </c>
      <c r="H5617" t="s">
        <v>2060</v>
      </c>
      <c r="I5617" t="str">
        <f>VLOOKUP(B5617,Customers!A:G,7,FALSE)</f>
        <v>Student</v>
      </c>
      <c r="Q5617" t="str">
        <f>IF(COUNTIF(Customers!$A$2:$A$1001,B5617)&gt;0,"Valid","Invalid")</f>
        <v>Valid</v>
      </c>
      <c r="R5617" t="str">
        <f>IF(COUNTIF(Branches!$A$2:$A$11,F5617)&gt;0,"Valid","Invalid")</f>
        <v>Valid</v>
      </c>
    </row>
    <row r="5618" spans="1:18" x14ac:dyDescent="0.25">
      <c r="A5618" t="s">
        <v>7689</v>
      </c>
      <c r="B5618" t="s">
        <v>367</v>
      </c>
      <c r="C5618" s="8">
        <v>46028</v>
      </c>
      <c r="D5618" t="s">
        <v>2058</v>
      </c>
      <c r="E5618" t="s">
        <v>2068</v>
      </c>
      <c r="F5618" t="s">
        <v>45</v>
      </c>
      <c r="G5618">
        <v>495.54</v>
      </c>
      <c r="H5618" t="s">
        <v>2060</v>
      </c>
      <c r="I5618" t="str">
        <f>VLOOKUP(B5618,Customers!A:G,7,FALSE)</f>
        <v>Individual</v>
      </c>
      <c r="Q5618" t="str">
        <f>IF(COUNTIF(Customers!$A$2:$A$1001,B5618)&gt;0,"Valid","Invalid")</f>
        <v>Valid</v>
      </c>
      <c r="R5618" t="str">
        <f>IF(COUNTIF(Branches!$A$2:$A$11,F5618)&gt;0,"Valid","Invalid")</f>
        <v>Valid</v>
      </c>
    </row>
    <row r="5619" spans="1:18" x14ac:dyDescent="0.25">
      <c r="A5619" t="s">
        <v>7690</v>
      </c>
      <c r="B5619" t="s">
        <v>941</v>
      </c>
      <c r="C5619" s="8">
        <v>46238</v>
      </c>
      <c r="D5619" t="s">
        <v>2062</v>
      </c>
      <c r="E5619" t="s">
        <v>2068</v>
      </c>
      <c r="F5619" t="s">
        <v>16</v>
      </c>
      <c r="G5619">
        <v>598.58000000000004</v>
      </c>
      <c r="H5619" t="s">
        <v>2060</v>
      </c>
      <c r="I5619" t="str">
        <f>VLOOKUP(B5619,Customers!A:G,7,FALSE)</f>
        <v>Individual</v>
      </c>
      <c r="Q5619" t="str">
        <f>IF(COUNTIF(Customers!$A$2:$A$1001,B5619)&gt;0,"Valid","Invalid")</f>
        <v>Valid</v>
      </c>
      <c r="R5619" t="str">
        <f>IF(COUNTIF(Branches!$A$2:$A$11,F5619)&gt;0,"Valid","Invalid")</f>
        <v>Valid</v>
      </c>
    </row>
    <row r="5620" spans="1:18" x14ac:dyDescent="0.25">
      <c r="A5620" t="s">
        <v>7691</v>
      </c>
      <c r="B5620" t="s">
        <v>335</v>
      </c>
      <c r="C5620" s="8">
        <v>46143</v>
      </c>
      <c r="D5620" t="s">
        <v>2067</v>
      </c>
      <c r="E5620" t="s">
        <v>2073</v>
      </c>
      <c r="F5620" t="s">
        <v>16</v>
      </c>
      <c r="G5620">
        <v>243.84</v>
      </c>
      <c r="H5620" t="s">
        <v>2060</v>
      </c>
      <c r="I5620" t="str">
        <f>VLOOKUP(B5620,Customers!A:G,7,FALSE)</f>
        <v>Individual</v>
      </c>
      <c r="Q5620" t="str">
        <f>IF(COUNTIF(Customers!$A$2:$A$1001,B5620)&gt;0,"Valid","Invalid")</f>
        <v>Valid</v>
      </c>
      <c r="R5620" t="str">
        <f>IF(COUNTIF(Branches!$A$2:$A$11,F5620)&gt;0,"Valid","Invalid")</f>
        <v>Valid</v>
      </c>
    </row>
    <row r="5621" spans="1:18" x14ac:dyDescent="0.25">
      <c r="A5621" t="s">
        <v>7692</v>
      </c>
      <c r="B5621" t="s">
        <v>1018</v>
      </c>
      <c r="C5621" s="8">
        <v>46174</v>
      </c>
      <c r="D5621" t="s">
        <v>2062</v>
      </c>
      <c r="E5621" t="s">
        <v>2063</v>
      </c>
      <c r="F5621" t="s">
        <v>53</v>
      </c>
      <c r="G5621">
        <v>1767.88</v>
      </c>
      <c r="H5621" t="s">
        <v>2060</v>
      </c>
      <c r="I5621" t="str">
        <f>VLOOKUP(B5621,Customers!A:G,7,FALSE)</f>
        <v>Individual</v>
      </c>
      <c r="Q5621" t="str">
        <f>IF(COUNTIF(Customers!$A$2:$A$1001,B5621)&gt;0,"Valid","Invalid")</f>
        <v>Valid</v>
      </c>
      <c r="R5621" t="str">
        <f>IF(COUNTIF(Branches!$A$2:$A$11,F5621)&gt;0,"Valid","Invalid")</f>
        <v>Valid</v>
      </c>
    </row>
    <row r="5622" spans="1:18" x14ac:dyDescent="0.25">
      <c r="A5622" t="s">
        <v>7693</v>
      </c>
      <c r="B5622" t="s">
        <v>37</v>
      </c>
      <c r="C5622" s="8">
        <v>46235</v>
      </c>
      <c r="D5622" t="s">
        <v>2058</v>
      </c>
      <c r="E5622" t="s">
        <v>2063</v>
      </c>
      <c r="F5622" t="s">
        <v>53</v>
      </c>
      <c r="G5622">
        <v>104.55</v>
      </c>
      <c r="H5622" t="s">
        <v>2060</v>
      </c>
      <c r="I5622" t="str">
        <f>VLOOKUP(B5622,Customers!A:G,7,FALSE)</f>
        <v>SME</v>
      </c>
      <c r="Q5622" t="str">
        <f>IF(COUNTIF(Customers!$A$2:$A$1001,B5622)&gt;0,"Valid","Invalid")</f>
        <v>Valid</v>
      </c>
      <c r="R5622" t="str">
        <f>IF(COUNTIF(Branches!$A$2:$A$11,F5622)&gt;0,"Valid","Invalid")</f>
        <v>Valid</v>
      </c>
    </row>
    <row r="5623" spans="1:18" x14ac:dyDescent="0.25">
      <c r="A5623" t="s">
        <v>7694</v>
      </c>
      <c r="B5623" t="s">
        <v>484</v>
      </c>
      <c r="C5623" s="8">
        <v>46256</v>
      </c>
      <c r="D5623" t="s">
        <v>2067</v>
      </c>
      <c r="E5623" t="s">
        <v>2068</v>
      </c>
      <c r="F5623" t="s">
        <v>11</v>
      </c>
      <c r="G5623">
        <v>404.6</v>
      </c>
      <c r="H5623" t="s">
        <v>2060</v>
      </c>
      <c r="I5623" t="str">
        <f>VLOOKUP(B5623,Customers!A:G,7,FALSE)</f>
        <v>Student</v>
      </c>
      <c r="Q5623" t="str">
        <f>IF(COUNTIF(Customers!$A$2:$A$1001,B5623)&gt;0,"Valid","Invalid")</f>
        <v>Valid</v>
      </c>
      <c r="R5623" t="str">
        <f>IF(COUNTIF(Branches!$A$2:$A$11,F5623)&gt;0,"Valid","Invalid")</f>
        <v>Valid</v>
      </c>
    </row>
    <row r="5624" spans="1:18" x14ac:dyDescent="0.25">
      <c r="A5624" t="s">
        <v>7695</v>
      </c>
      <c r="B5624" t="s">
        <v>960</v>
      </c>
      <c r="C5624" s="8">
        <v>46117</v>
      </c>
      <c r="D5624" t="s">
        <v>2067</v>
      </c>
      <c r="E5624" t="s">
        <v>2059</v>
      </c>
      <c r="F5624" t="s">
        <v>27</v>
      </c>
      <c r="G5624">
        <v>775.76</v>
      </c>
      <c r="H5624" t="s">
        <v>2060</v>
      </c>
      <c r="I5624" t="str">
        <f>VLOOKUP(B5624,Customers!A:G,7,FALSE)</f>
        <v>Corporate</v>
      </c>
      <c r="Q5624" t="str">
        <f>IF(COUNTIF(Customers!$A$2:$A$1001,B5624)&gt;0,"Valid","Invalid")</f>
        <v>Valid</v>
      </c>
      <c r="R5624" t="str">
        <f>IF(COUNTIF(Branches!$A$2:$A$11,F5624)&gt;0,"Valid","Invalid")</f>
        <v>Valid</v>
      </c>
    </row>
    <row r="5625" spans="1:18" x14ac:dyDescent="0.25">
      <c r="A5625" t="s">
        <v>7696</v>
      </c>
      <c r="B5625" t="s">
        <v>874</v>
      </c>
      <c r="C5625" s="8">
        <v>46133</v>
      </c>
      <c r="D5625" t="s">
        <v>2067</v>
      </c>
      <c r="E5625" t="s">
        <v>2063</v>
      </c>
      <c r="F5625" t="s">
        <v>29</v>
      </c>
      <c r="G5625">
        <v>2980.35</v>
      </c>
      <c r="H5625" t="s">
        <v>2060</v>
      </c>
      <c r="I5625" t="str">
        <f>VLOOKUP(B5625,Customers!A:G,7,FALSE)</f>
        <v>Student</v>
      </c>
      <c r="Q5625" t="str">
        <f>IF(COUNTIF(Customers!$A$2:$A$1001,B5625)&gt;0,"Valid","Invalid")</f>
        <v>Valid</v>
      </c>
      <c r="R5625" t="str">
        <f>IF(COUNTIF(Branches!$A$2:$A$11,F5625)&gt;0,"Valid","Invalid")</f>
        <v>Valid</v>
      </c>
    </row>
    <row r="5626" spans="1:18" x14ac:dyDescent="0.25">
      <c r="A5626" t="s">
        <v>7697</v>
      </c>
      <c r="B5626" t="s">
        <v>267</v>
      </c>
      <c r="C5626" s="8">
        <v>46208</v>
      </c>
      <c r="D5626" t="s">
        <v>2058</v>
      </c>
      <c r="E5626" t="s">
        <v>2063</v>
      </c>
      <c r="F5626" t="s">
        <v>39</v>
      </c>
      <c r="G5626">
        <v>470.95</v>
      </c>
      <c r="H5626" t="s">
        <v>2060</v>
      </c>
      <c r="I5626" t="str">
        <f>VLOOKUP(B5626,Customers!A:G,7,FALSE)</f>
        <v>SME</v>
      </c>
      <c r="Q5626" t="str">
        <f>IF(COUNTIF(Customers!$A$2:$A$1001,B5626)&gt;0,"Valid","Invalid")</f>
        <v>Valid</v>
      </c>
      <c r="R5626" t="str">
        <f>IF(COUNTIF(Branches!$A$2:$A$11,F5626)&gt;0,"Valid","Invalid")</f>
        <v>Valid</v>
      </c>
    </row>
    <row r="5627" spans="1:18" x14ac:dyDescent="0.25">
      <c r="A5627" t="s">
        <v>7698</v>
      </c>
      <c r="B5627" t="s">
        <v>574</v>
      </c>
      <c r="C5627" s="8">
        <v>46127</v>
      </c>
      <c r="D5627" t="s">
        <v>2065</v>
      </c>
      <c r="E5627" t="s">
        <v>2063</v>
      </c>
      <c r="F5627" t="s">
        <v>29</v>
      </c>
      <c r="G5627">
        <v>1246.2</v>
      </c>
      <c r="H5627" t="s">
        <v>2060</v>
      </c>
      <c r="I5627" t="str">
        <f>VLOOKUP(B5627,Customers!A:G,7,FALSE)</f>
        <v>Individual</v>
      </c>
      <c r="Q5627" t="str">
        <f>IF(COUNTIF(Customers!$A$2:$A$1001,B5627)&gt;0,"Valid","Invalid")</f>
        <v>Valid</v>
      </c>
      <c r="R5627" t="str">
        <f>IF(COUNTIF(Branches!$A$2:$A$11,F5627)&gt;0,"Valid","Invalid")</f>
        <v>Valid</v>
      </c>
    </row>
    <row r="5628" spans="1:18" x14ac:dyDescent="0.25">
      <c r="A5628" t="s">
        <v>7699</v>
      </c>
      <c r="B5628" t="s">
        <v>114</v>
      </c>
      <c r="C5628" s="8">
        <v>46086</v>
      </c>
      <c r="D5628" t="s">
        <v>2070</v>
      </c>
      <c r="E5628" t="s">
        <v>2059</v>
      </c>
      <c r="F5628" t="s">
        <v>47</v>
      </c>
      <c r="G5628">
        <v>749.21</v>
      </c>
      <c r="H5628" t="s">
        <v>2115</v>
      </c>
      <c r="I5628" t="str">
        <f>VLOOKUP(B5628,Customers!A:G,7,FALSE)</f>
        <v>Individual</v>
      </c>
      <c r="Q5628" t="str">
        <f>IF(COUNTIF(Customers!$A$2:$A$1001,B5628)&gt;0,"Valid","Invalid")</f>
        <v>Valid</v>
      </c>
      <c r="R5628" t="str">
        <f>IF(COUNTIF(Branches!$A$2:$A$11,F5628)&gt;0,"Valid","Invalid")</f>
        <v>Valid</v>
      </c>
    </row>
    <row r="5629" spans="1:18" x14ac:dyDescent="0.25">
      <c r="A5629" t="s">
        <v>7700</v>
      </c>
      <c r="B5629" t="s">
        <v>463</v>
      </c>
      <c r="C5629" s="8">
        <v>46244</v>
      </c>
      <c r="D5629" t="s">
        <v>2058</v>
      </c>
      <c r="E5629" t="s">
        <v>2063</v>
      </c>
      <c r="F5629" t="s">
        <v>47</v>
      </c>
      <c r="G5629">
        <v>2090.42</v>
      </c>
      <c r="H5629" t="s">
        <v>2060</v>
      </c>
      <c r="I5629" t="str">
        <f>VLOOKUP(B5629,Customers!A:G,7,FALSE)</f>
        <v>Corporate</v>
      </c>
      <c r="Q5629" t="str">
        <f>IF(COUNTIF(Customers!$A$2:$A$1001,B5629)&gt;0,"Valid","Invalid")</f>
        <v>Valid</v>
      </c>
      <c r="R5629" t="str">
        <f>IF(COUNTIF(Branches!$A$2:$A$11,F5629)&gt;0,"Valid","Invalid")</f>
        <v>Valid</v>
      </c>
    </row>
    <row r="5630" spans="1:18" x14ac:dyDescent="0.25">
      <c r="A5630" t="s">
        <v>7701</v>
      </c>
      <c r="B5630" t="s">
        <v>230</v>
      </c>
      <c r="C5630" s="8">
        <v>46206</v>
      </c>
      <c r="D5630" t="s">
        <v>2070</v>
      </c>
      <c r="E5630" t="s">
        <v>2073</v>
      </c>
      <c r="F5630" t="s">
        <v>16</v>
      </c>
      <c r="G5630">
        <v>1182.74</v>
      </c>
      <c r="H5630" t="s">
        <v>2107</v>
      </c>
      <c r="I5630" t="str">
        <f>VLOOKUP(B5630,Customers!A:G,7,FALSE)</f>
        <v>Individual</v>
      </c>
      <c r="Q5630" t="str">
        <f>IF(COUNTIF(Customers!$A$2:$A$1001,B5630)&gt;0,"Valid","Invalid")</f>
        <v>Valid</v>
      </c>
      <c r="R5630" t="str">
        <f>IF(COUNTIF(Branches!$A$2:$A$11,F5630)&gt;0,"Valid","Invalid")</f>
        <v>Valid</v>
      </c>
    </row>
    <row r="5631" spans="1:18" x14ac:dyDescent="0.25">
      <c r="A5631" t="s">
        <v>7702</v>
      </c>
      <c r="B5631" t="s">
        <v>439</v>
      </c>
      <c r="C5631" s="8">
        <v>46248</v>
      </c>
      <c r="D5631" t="s">
        <v>2065</v>
      </c>
      <c r="E5631" t="s">
        <v>2063</v>
      </c>
      <c r="F5631" t="s">
        <v>29</v>
      </c>
      <c r="G5631">
        <v>1863.5</v>
      </c>
      <c r="H5631" t="s">
        <v>2060</v>
      </c>
      <c r="I5631" t="str">
        <f>VLOOKUP(B5631,Customers!A:G,7,FALSE)</f>
        <v>Individual</v>
      </c>
      <c r="Q5631" t="str">
        <f>IF(COUNTIF(Customers!$A$2:$A$1001,B5631)&gt;0,"Valid","Invalid")</f>
        <v>Valid</v>
      </c>
      <c r="R5631" t="str">
        <f>IF(COUNTIF(Branches!$A$2:$A$11,F5631)&gt;0,"Valid","Invalid")</f>
        <v>Valid</v>
      </c>
    </row>
    <row r="5632" spans="1:18" x14ac:dyDescent="0.25">
      <c r="A5632" t="s">
        <v>7703</v>
      </c>
      <c r="B5632" t="s">
        <v>145</v>
      </c>
      <c r="C5632" s="8">
        <v>46232</v>
      </c>
      <c r="D5632" t="s">
        <v>2067</v>
      </c>
      <c r="E5632" t="s">
        <v>2073</v>
      </c>
      <c r="F5632" t="s">
        <v>35</v>
      </c>
      <c r="G5632">
        <v>468.42</v>
      </c>
      <c r="H5632" t="s">
        <v>2060</v>
      </c>
      <c r="I5632" t="str">
        <f>VLOOKUP(B5632,Customers!A:G,7,FALSE)</f>
        <v>Individual</v>
      </c>
      <c r="Q5632" t="str">
        <f>IF(COUNTIF(Customers!$A$2:$A$1001,B5632)&gt;0,"Valid","Invalid")</f>
        <v>Valid</v>
      </c>
      <c r="R5632" t="str">
        <f>IF(COUNTIF(Branches!$A$2:$A$11,F5632)&gt;0,"Valid","Invalid")</f>
        <v>Valid</v>
      </c>
    </row>
    <row r="5633" spans="1:18" x14ac:dyDescent="0.25">
      <c r="A5633" t="s">
        <v>7704</v>
      </c>
      <c r="B5633" t="s">
        <v>830</v>
      </c>
      <c r="C5633" s="8">
        <v>46162</v>
      </c>
      <c r="D5633" t="s">
        <v>2065</v>
      </c>
      <c r="E5633" t="s">
        <v>2068</v>
      </c>
      <c r="F5633" t="s">
        <v>29</v>
      </c>
      <c r="G5633">
        <v>294.70999999999998</v>
      </c>
      <c r="H5633" t="s">
        <v>2060</v>
      </c>
      <c r="I5633" t="str">
        <f>VLOOKUP(B5633,Customers!A:G,7,FALSE)</f>
        <v>Corporate</v>
      </c>
      <c r="Q5633" t="str">
        <f>IF(COUNTIF(Customers!$A$2:$A$1001,B5633)&gt;0,"Valid","Invalid")</f>
        <v>Valid</v>
      </c>
      <c r="R5633" t="str">
        <f>IF(COUNTIF(Branches!$A$2:$A$11,F5633)&gt;0,"Valid","Invalid")</f>
        <v>Valid</v>
      </c>
    </row>
    <row r="5634" spans="1:18" x14ac:dyDescent="0.25">
      <c r="A5634" t="s">
        <v>7705</v>
      </c>
      <c r="B5634" t="s">
        <v>961</v>
      </c>
      <c r="C5634" s="8">
        <v>46185</v>
      </c>
      <c r="D5634" t="s">
        <v>2065</v>
      </c>
      <c r="E5634" t="s">
        <v>2059</v>
      </c>
      <c r="F5634" t="s">
        <v>39</v>
      </c>
      <c r="G5634">
        <v>1172.78</v>
      </c>
      <c r="H5634" t="s">
        <v>2060</v>
      </c>
      <c r="I5634" t="str">
        <f>VLOOKUP(B5634,Customers!A:G,7,FALSE)</f>
        <v>SME</v>
      </c>
      <c r="Q5634" t="str">
        <f>IF(COUNTIF(Customers!$A$2:$A$1001,B5634)&gt;0,"Valid","Invalid")</f>
        <v>Valid</v>
      </c>
      <c r="R5634" t="str">
        <f>IF(COUNTIF(Branches!$A$2:$A$11,F5634)&gt;0,"Valid","Invalid")</f>
        <v>Valid</v>
      </c>
    </row>
    <row r="5635" spans="1:18" x14ac:dyDescent="0.25">
      <c r="A5635" t="s">
        <v>7706</v>
      </c>
      <c r="B5635" t="s">
        <v>301</v>
      </c>
      <c r="C5635" s="8">
        <v>46093</v>
      </c>
      <c r="D5635" t="s">
        <v>2062</v>
      </c>
      <c r="E5635" t="s">
        <v>2076</v>
      </c>
      <c r="F5635" t="s">
        <v>11</v>
      </c>
      <c r="G5635">
        <v>498.83</v>
      </c>
      <c r="H5635" t="s">
        <v>2060</v>
      </c>
      <c r="I5635" t="str">
        <f>VLOOKUP(B5635,Customers!A:G,7,FALSE)</f>
        <v>Individual</v>
      </c>
      <c r="Q5635" t="str">
        <f>IF(COUNTIF(Customers!$A$2:$A$1001,B5635)&gt;0,"Valid","Invalid")</f>
        <v>Valid</v>
      </c>
      <c r="R5635" t="str">
        <f>IF(COUNTIF(Branches!$A$2:$A$11,F5635)&gt;0,"Valid","Invalid")</f>
        <v>Valid</v>
      </c>
    </row>
    <row r="5636" spans="1:18" x14ac:dyDescent="0.25">
      <c r="A5636" t="s">
        <v>7707</v>
      </c>
      <c r="B5636" t="s">
        <v>367</v>
      </c>
      <c r="C5636" s="8">
        <v>46255</v>
      </c>
      <c r="D5636" t="s">
        <v>2065</v>
      </c>
      <c r="E5636" t="s">
        <v>2076</v>
      </c>
      <c r="F5636" t="s">
        <v>11</v>
      </c>
      <c r="G5636">
        <v>837.42</v>
      </c>
      <c r="H5636" t="s">
        <v>2060</v>
      </c>
      <c r="I5636" t="str">
        <f>VLOOKUP(B5636,Customers!A:G,7,FALSE)</f>
        <v>Individual</v>
      </c>
      <c r="Q5636" t="str">
        <f>IF(COUNTIF(Customers!$A$2:$A$1001,B5636)&gt;0,"Valid","Invalid")</f>
        <v>Valid</v>
      </c>
      <c r="R5636" t="str">
        <f>IF(COUNTIF(Branches!$A$2:$A$11,F5636)&gt;0,"Valid","Invalid")</f>
        <v>Valid</v>
      </c>
    </row>
    <row r="5637" spans="1:18" x14ac:dyDescent="0.25">
      <c r="A5637" t="s">
        <v>7708</v>
      </c>
      <c r="B5637" t="s">
        <v>401</v>
      </c>
      <c r="C5637" s="8">
        <v>46126</v>
      </c>
      <c r="D5637" t="s">
        <v>2067</v>
      </c>
      <c r="E5637" t="s">
        <v>2063</v>
      </c>
      <c r="F5637" t="s">
        <v>16</v>
      </c>
      <c r="G5637">
        <v>1115.74</v>
      </c>
      <c r="H5637" t="s">
        <v>2060</v>
      </c>
      <c r="I5637" t="str">
        <f>VLOOKUP(B5637,Customers!A:G,7,FALSE)</f>
        <v>Individual</v>
      </c>
      <c r="Q5637" t="str">
        <f>IF(COUNTIF(Customers!$A$2:$A$1001,B5637)&gt;0,"Valid","Invalid")</f>
        <v>Valid</v>
      </c>
      <c r="R5637" t="str">
        <f>IF(COUNTIF(Branches!$A$2:$A$11,F5637)&gt;0,"Valid","Invalid")</f>
        <v>Valid</v>
      </c>
    </row>
    <row r="5638" spans="1:18" x14ac:dyDescent="0.25">
      <c r="A5638" t="s">
        <v>7709</v>
      </c>
      <c r="B5638" t="s">
        <v>905</v>
      </c>
      <c r="C5638" s="8">
        <v>46111</v>
      </c>
      <c r="D5638" t="s">
        <v>2065</v>
      </c>
      <c r="E5638" t="s">
        <v>2063</v>
      </c>
      <c r="F5638" t="s">
        <v>47</v>
      </c>
      <c r="G5638">
        <v>2812.72</v>
      </c>
      <c r="H5638" t="s">
        <v>2060</v>
      </c>
      <c r="I5638" t="str">
        <f>VLOOKUP(B5638,Customers!A:G,7,FALSE)</f>
        <v>Student</v>
      </c>
      <c r="Q5638" t="str">
        <f>IF(COUNTIF(Customers!$A$2:$A$1001,B5638)&gt;0,"Valid","Invalid")</f>
        <v>Valid</v>
      </c>
      <c r="R5638" t="str">
        <f>IF(COUNTIF(Branches!$A$2:$A$11,F5638)&gt;0,"Valid","Invalid")</f>
        <v>Valid</v>
      </c>
    </row>
    <row r="5639" spans="1:18" x14ac:dyDescent="0.25">
      <c r="A5639" t="s">
        <v>7710</v>
      </c>
      <c r="B5639" t="s">
        <v>416</v>
      </c>
      <c r="C5639" s="8">
        <v>46028</v>
      </c>
      <c r="D5639" t="s">
        <v>2067</v>
      </c>
      <c r="E5639" t="s">
        <v>2059</v>
      </c>
      <c r="F5639" t="s">
        <v>47</v>
      </c>
      <c r="G5639">
        <v>1783.92</v>
      </c>
      <c r="H5639" t="s">
        <v>2060</v>
      </c>
      <c r="I5639" t="str">
        <f>VLOOKUP(B5639,Customers!A:G,7,FALSE)</f>
        <v>Individual</v>
      </c>
      <c r="Q5639" t="str">
        <f>IF(COUNTIF(Customers!$A$2:$A$1001,B5639)&gt;0,"Valid","Invalid")</f>
        <v>Valid</v>
      </c>
      <c r="R5639" t="str">
        <f>IF(COUNTIF(Branches!$A$2:$A$11,F5639)&gt;0,"Valid","Invalid")</f>
        <v>Valid</v>
      </c>
    </row>
    <row r="5640" spans="1:18" x14ac:dyDescent="0.25">
      <c r="A5640" t="s">
        <v>7711</v>
      </c>
      <c r="B5640" t="s">
        <v>818</v>
      </c>
      <c r="C5640" s="8">
        <v>46215</v>
      </c>
      <c r="D5640" t="s">
        <v>2062</v>
      </c>
      <c r="E5640" t="s">
        <v>2076</v>
      </c>
      <c r="F5640" t="s">
        <v>27</v>
      </c>
      <c r="G5640">
        <v>411.16</v>
      </c>
      <c r="H5640" t="s">
        <v>2060</v>
      </c>
      <c r="I5640" t="str">
        <f>VLOOKUP(B5640,Customers!A:G,7,FALSE)</f>
        <v>Corporate</v>
      </c>
      <c r="Q5640" t="str">
        <f>IF(COUNTIF(Customers!$A$2:$A$1001,B5640)&gt;0,"Valid","Invalid")</f>
        <v>Valid</v>
      </c>
      <c r="R5640" t="str">
        <f>IF(COUNTIF(Branches!$A$2:$A$11,F5640)&gt;0,"Valid","Invalid")</f>
        <v>Valid</v>
      </c>
    </row>
    <row r="5641" spans="1:18" x14ac:dyDescent="0.25">
      <c r="A5641" t="s">
        <v>7712</v>
      </c>
      <c r="B5641" t="s">
        <v>379</v>
      </c>
      <c r="C5641" s="8">
        <v>46132</v>
      </c>
      <c r="D5641" t="s">
        <v>2058</v>
      </c>
      <c r="E5641" t="s">
        <v>2059</v>
      </c>
      <c r="F5641" t="s">
        <v>21</v>
      </c>
      <c r="G5641">
        <v>258.52</v>
      </c>
      <c r="H5641" t="s">
        <v>2060</v>
      </c>
      <c r="I5641" t="str">
        <f>VLOOKUP(B5641,Customers!A:G,7,FALSE)</f>
        <v>Individual</v>
      </c>
      <c r="Q5641" t="str">
        <f>IF(COUNTIF(Customers!$A$2:$A$1001,B5641)&gt;0,"Valid","Invalid")</f>
        <v>Valid</v>
      </c>
      <c r="R5641" t="str">
        <f>IF(COUNTIF(Branches!$A$2:$A$11,F5641)&gt;0,"Valid","Invalid")</f>
        <v>Valid</v>
      </c>
    </row>
    <row r="5642" spans="1:18" x14ac:dyDescent="0.25">
      <c r="A5642" t="s">
        <v>7713</v>
      </c>
      <c r="B5642" t="s">
        <v>297</v>
      </c>
      <c r="C5642" s="8">
        <v>46230</v>
      </c>
      <c r="D5642" t="s">
        <v>2062</v>
      </c>
      <c r="E5642" t="s">
        <v>2059</v>
      </c>
      <c r="F5642" t="s">
        <v>16</v>
      </c>
      <c r="G5642">
        <v>4480.01</v>
      </c>
      <c r="H5642" t="s">
        <v>2060</v>
      </c>
      <c r="I5642" t="str">
        <f>VLOOKUP(B5642,Customers!A:G,7,FALSE)</f>
        <v>Individual</v>
      </c>
      <c r="Q5642" t="str">
        <f>IF(COUNTIF(Customers!$A$2:$A$1001,B5642)&gt;0,"Valid","Invalid")</f>
        <v>Valid</v>
      </c>
      <c r="R5642" t="str">
        <f>IF(COUNTIF(Branches!$A$2:$A$11,F5642)&gt;0,"Valid","Invalid")</f>
        <v>Valid</v>
      </c>
    </row>
    <row r="5643" spans="1:18" x14ac:dyDescent="0.25">
      <c r="A5643" t="s">
        <v>7714</v>
      </c>
      <c r="B5643" t="s">
        <v>373</v>
      </c>
      <c r="C5643" s="8">
        <v>46210</v>
      </c>
      <c r="D5643" t="s">
        <v>2067</v>
      </c>
      <c r="E5643" t="s">
        <v>2059</v>
      </c>
      <c r="F5643" t="s">
        <v>39</v>
      </c>
      <c r="G5643">
        <v>166.89</v>
      </c>
      <c r="H5643" t="s">
        <v>2060</v>
      </c>
      <c r="I5643" t="str">
        <f>VLOOKUP(B5643,Customers!A:G,7,FALSE)</f>
        <v>Student</v>
      </c>
      <c r="Q5643" t="str">
        <f>IF(COUNTIF(Customers!$A$2:$A$1001,B5643)&gt;0,"Valid","Invalid")</f>
        <v>Valid</v>
      </c>
      <c r="R5643" t="str">
        <f>IF(COUNTIF(Branches!$A$2:$A$11,F5643)&gt;0,"Valid","Invalid")</f>
        <v>Valid</v>
      </c>
    </row>
    <row r="5644" spans="1:18" x14ac:dyDescent="0.25">
      <c r="A5644" t="s">
        <v>7715</v>
      </c>
      <c r="B5644" t="s">
        <v>121</v>
      </c>
      <c r="C5644" s="8">
        <v>46134</v>
      </c>
      <c r="D5644" t="s">
        <v>2070</v>
      </c>
      <c r="E5644" t="s">
        <v>2059</v>
      </c>
      <c r="F5644" t="s">
        <v>27</v>
      </c>
      <c r="G5644">
        <v>516.72</v>
      </c>
      <c r="H5644" t="s">
        <v>2060</v>
      </c>
      <c r="I5644" t="str">
        <f>VLOOKUP(B5644,Customers!A:G,7,FALSE)</f>
        <v>Corporate</v>
      </c>
      <c r="Q5644" t="str">
        <f>IF(COUNTIF(Customers!$A$2:$A$1001,B5644)&gt;0,"Valid","Invalid")</f>
        <v>Valid</v>
      </c>
      <c r="R5644" t="str">
        <f>IF(COUNTIF(Branches!$A$2:$A$11,F5644)&gt;0,"Valid","Invalid")</f>
        <v>Valid</v>
      </c>
    </row>
    <row r="5645" spans="1:18" x14ac:dyDescent="0.25">
      <c r="A5645" t="s">
        <v>7716</v>
      </c>
      <c r="B5645" t="s">
        <v>560</v>
      </c>
      <c r="C5645" s="8">
        <v>46218</v>
      </c>
      <c r="D5645" t="s">
        <v>2062</v>
      </c>
      <c r="E5645" t="s">
        <v>2059</v>
      </c>
      <c r="F5645" t="s">
        <v>11</v>
      </c>
      <c r="G5645">
        <v>1548.81</v>
      </c>
      <c r="H5645" t="s">
        <v>2060</v>
      </c>
      <c r="I5645" t="str">
        <f>VLOOKUP(B5645,Customers!A:G,7,FALSE)</f>
        <v>Individual</v>
      </c>
      <c r="Q5645" t="str">
        <f>IF(COUNTIF(Customers!$A$2:$A$1001,B5645)&gt;0,"Valid","Invalid")</f>
        <v>Valid</v>
      </c>
      <c r="R5645" t="str">
        <f>IF(COUNTIF(Branches!$A$2:$A$11,F5645)&gt;0,"Valid","Invalid")</f>
        <v>Valid</v>
      </c>
    </row>
    <row r="5646" spans="1:18" x14ac:dyDescent="0.25">
      <c r="A5646" t="s">
        <v>7717</v>
      </c>
      <c r="B5646" t="s">
        <v>839</v>
      </c>
      <c r="C5646" s="8">
        <v>46179</v>
      </c>
      <c r="D5646" t="s">
        <v>2067</v>
      </c>
      <c r="E5646" t="s">
        <v>2059</v>
      </c>
      <c r="F5646" t="s">
        <v>27</v>
      </c>
      <c r="G5646">
        <v>4182.8999999999996</v>
      </c>
      <c r="H5646" t="s">
        <v>2060</v>
      </c>
      <c r="I5646" t="str">
        <f>VLOOKUP(B5646,Customers!A:G,7,FALSE)</f>
        <v>Individual</v>
      </c>
      <c r="Q5646" t="str">
        <f>IF(COUNTIF(Customers!$A$2:$A$1001,B5646)&gt;0,"Valid","Invalid")</f>
        <v>Valid</v>
      </c>
      <c r="R5646" t="str">
        <f>IF(COUNTIF(Branches!$A$2:$A$11,F5646)&gt;0,"Valid","Invalid")</f>
        <v>Valid</v>
      </c>
    </row>
    <row r="5647" spans="1:18" x14ac:dyDescent="0.25">
      <c r="A5647" t="s">
        <v>7718</v>
      </c>
      <c r="B5647" t="s">
        <v>852</v>
      </c>
      <c r="C5647" s="8">
        <v>46188</v>
      </c>
      <c r="D5647" t="s">
        <v>2067</v>
      </c>
      <c r="E5647" t="s">
        <v>2068</v>
      </c>
      <c r="F5647" t="s">
        <v>27</v>
      </c>
      <c r="G5647">
        <v>672.05</v>
      </c>
      <c r="H5647" t="s">
        <v>2107</v>
      </c>
      <c r="I5647" t="str">
        <f>VLOOKUP(B5647,Customers!A:G,7,FALSE)</f>
        <v>SME</v>
      </c>
      <c r="Q5647" t="str">
        <f>IF(COUNTIF(Customers!$A$2:$A$1001,B5647)&gt;0,"Valid","Invalid")</f>
        <v>Valid</v>
      </c>
      <c r="R5647" t="str">
        <f>IF(COUNTIF(Branches!$A$2:$A$11,F5647)&gt;0,"Valid","Invalid")</f>
        <v>Valid</v>
      </c>
    </row>
    <row r="5648" spans="1:18" x14ac:dyDescent="0.25">
      <c r="A5648" t="s">
        <v>7719</v>
      </c>
      <c r="B5648" t="s">
        <v>609</v>
      </c>
      <c r="C5648" s="8">
        <v>46261</v>
      </c>
      <c r="D5648" t="s">
        <v>2062</v>
      </c>
      <c r="E5648" t="s">
        <v>2076</v>
      </c>
      <c r="F5648" t="s">
        <v>47</v>
      </c>
      <c r="G5648">
        <v>834.93</v>
      </c>
      <c r="H5648" t="s">
        <v>2060</v>
      </c>
      <c r="I5648" t="str">
        <f>VLOOKUP(B5648,Customers!A:G,7,FALSE)</f>
        <v>Student</v>
      </c>
      <c r="Q5648" t="str">
        <f>IF(COUNTIF(Customers!$A$2:$A$1001,B5648)&gt;0,"Valid","Invalid")</f>
        <v>Valid</v>
      </c>
      <c r="R5648" t="str">
        <f>IF(COUNTIF(Branches!$A$2:$A$11,F5648)&gt;0,"Valid","Invalid")</f>
        <v>Valid</v>
      </c>
    </row>
    <row r="5649" spans="1:18" x14ac:dyDescent="0.25">
      <c r="A5649" t="s">
        <v>7720</v>
      </c>
      <c r="B5649" t="s">
        <v>346</v>
      </c>
      <c r="C5649" s="8">
        <v>46242</v>
      </c>
      <c r="D5649" t="s">
        <v>2058</v>
      </c>
      <c r="E5649" t="s">
        <v>2076</v>
      </c>
      <c r="F5649" t="s">
        <v>39</v>
      </c>
      <c r="G5649">
        <v>338.65</v>
      </c>
      <c r="H5649" t="s">
        <v>2060</v>
      </c>
      <c r="I5649" t="str">
        <f>VLOOKUP(B5649,Customers!A:G,7,FALSE)</f>
        <v>SME</v>
      </c>
      <c r="Q5649" t="str">
        <f>IF(COUNTIF(Customers!$A$2:$A$1001,B5649)&gt;0,"Valid","Invalid")</f>
        <v>Valid</v>
      </c>
      <c r="R5649" t="str">
        <f>IF(COUNTIF(Branches!$A$2:$A$11,F5649)&gt;0,"Valid","Invalid")</f>
        <v>Valid</v>
      </c>
    </row>
    <row r="5650" spans="1:18" x14ac:dyDescent="0.25">
      <c r="A5650" t="s">
        <v>7721</v>
      </c>
      <c r="B5650" t="s">
        <v>300</v>
      </c>
      <c r="C5650" s="8">
        <v>46172</v>
      </c>
      <c r="D5650" t="s">
        <v>2062</v>
      </c>
      <c r="E5650" t="s">
        <v>2076</v>
      </c>
      <c r="F5650" t="s">
        <v>47</v>
      </c>
      <c r="G5650">
        <v>922.07</v>
      </c>
      <c r="H5650" t="s">
        <v>2060</v>
      </c>
      <c r="I5650" t="str">
        <f>VLOOKUP(B5650,Customers!A:G,7,FALSE)</f>
        <v>Corporate</v>
      </c>
      <c r="Q5650" t="str">
        <f>IF(COUNTIF(Customers!$A$2:$A$1001,B5650)&gt;0,"Valid","Invalid")</f>
        <v>Valid</v>
      </c>
      <c r="R5650" t="str">
        <f>IF(COUNTIF(Branches!$A$2:$A$11,F5650)&gt;0,"Valid","Invalid")</f>
        <v>Valid</v>
      </c>
    </row>
    <row r="5651" spans="1:18" x14ac:dyDescent="0.25">
      <c r="A5651" t="s">
        <v>7722</v>
      </c>
      <c r="B5651" t="s">
        <v>936</v>
      </c>
      <c r="C5651" s="8">
        <v>46149</v>
      </c>
      <c r="D5651" t="s">
        <v>2067</v>
      </c>
      <c r="E5651" t="s">
        <v>2076</v>
      </c>
      <c r="F5651" t="s">
        <v>53</v>
      </c>
      <c r="G5651">
        <v>257.2</v>
      </c>
      <c r="H5651" t="s">
        <v>2060</v>
      </c>
      <c r="I5651" t="str">
        <f>VLOOKUP(B5651,Customers!A:G,7,FALSE)</f>
        <v>Individual</v>
      </c>
      <c r="Q5651" t="str">
        <f>IF(COUNTIF(Customers!$A$2:$A$1001,B5651)&gt;0,"Valid","Invalid")</f>
        <v>Valid</v>
      </c>
      <c r="R5651" t="str">
        <f>IF(COUNTIF(Branches!$A$2:$A$11,F5651)&gt;0,"Valid","Invalid")</f>
        <v>Valid</v>
      </c>
    </row>
    <row r="5652" spans="1:18" x14ac:dyDescent="0.25">
      <c r="A5652" t="s">
        <v>7723</v>
      </c>
      <c r="B5652" t="s">
        <v>835</v>
      </c>
      <c r="C5652" s="8">
        <v>46158</v>
      </c>
      <c r="D5652" t="s">
        <v>2065</v>
      </c>
      <c r="E5652" t="s">
        <v>2059</v>
      </c>
      <c r="F5652" t="s">
        <v>47</v>
      </c>
      <c r="G5652">
        <v>383.64</v>
      </c>
      <c r="H5652" t="s">
        <v>2115</v>
      </c>
      <c r="I5652" t="str">
        <f>VLOOKUP(B5652,Customers!A:G,7,FALSE)</f>
        <v>Individual</v>
      </c>
      <c r="Q5652" t="str">
        <f>IF(COUNTIF(Customers!$A$2:$A$1001,B5652)&gt;0,"Valid","Invalid")</f>
        <v>Valid</v>
      </c>
      <c r="R5652" t="str">
        <f>IF(COUNTIF(Branches!$A$2:$A$11,F5652)&gt;0,"Valid","Invalid")</f>
        <v>Valid</v>
      </c>
    </row>
    <row r="5653" spans="1:18" x14ac:dyDescent="0.25">
      <c r="A5653" t="s">
        <v>7724</v>
      </c>
      <c r="B5653" t="s">
        <v>669</v>
      </c>
      <c r="C5653" s="8">
        <v>46085</v>
      </c>
      <c r="D5653" t="s">
        <v>2062</v>
      </c>
      <c r="E5653" t="s">
        <v>2063</v>
      </c>
      <c r="F5653" t="s">
        <v>11</v>
      </c>
      <c r="G5653">
        <v>1743.92</v>
      </c>
      <c r="H5653" t="s">
        <v>2060</v>
      </c>
      <c r="I5653" t="str">
        <f>VLOOKUP(B5653,Customers!A:G,7,FALSE)</f>
        <v>SME</v>
      </c>
      <c r="Q5653" t="str">
        <f>IF(COUNTIF(Customers!$A$2:$A$1001,B5653)&gt;0,"Valid","Invalid")</f>
        <v>Valid</v>
      </c>
      <c r="R5653" t="str">
        <f>IF(COUNTIF(Branches!$A$2:$A$11,F5653)&gt;0,"Valid","Invalid")</f>
        <v>Valid</v>
      </c>
    </row>
    <row r="5654" spans="1:18" x14ac:dyDescent="0.25">
      <c r="A5654" t="s">
        <v>7725</v>
      </c>
      <c r="B5654" t="s">
        <v>718</v>
      </c>
      <c r="C5654" s="8">
        <v>46246</v>
      </c>
      <c r="D5654" t="s">
        <v>2058</v>
      </c>
      <c r="E5654" t="s">
        <v>2073</v>
      </c>
      <c r="F5654" t="s">
        <v>39</v>
      </c>
      <c r="G5654">
        <v>526.59</v>
      </c>
      <c r="H5654" t="s">
        <v>2060</v>
      </c>
      <c r="I5654" t="str">
        <f>VLOOKUP(B5654,Customers!A:G,7,FALSE)</f>
        <v>SME</v>
      </c>
      <c r="Q5654" t="str">
        <f>IF(COUNTIF(Customers!$A$2:$A$1001,B5654)&gt;0,"Valid","Invalid")</f>
        <v>Valid</v>
      </c>
      <c r="R5654" t="str">
        <f>IF(COUNTIF(Branches!$A$2:$A$11,F5654)&gt;0,"Valid","Invalid")</f>
        <v>Valid</v>
      </c>
    </row>
    <row r="5655" spans="1:18" x14ac:dyDescent="0.25">
      <c r="A5655" t="s">
        <v>7726</v>
      </c>
      <c r="B5655" t="s">
        <v>903</v>
      </c>
      <c r="C5655" s="8">
        <v>46247</v>
      </c>
      <c r="D5655" t="s">
        <v>2058</v>
      </c>
      <c r="E5655" t="s">
        <v>2063</v>
      </c>
      <c r="F5655" t="s">
        <v>29</v>
      </c>
      <c r="G5655">
        <v>2032.96</v>
      </c>
      <c r="H5655" t="s">
        <v>2060</v>
      </c>
      <c r="I5655" t="str">
        <f>VLOOKUP(B5655,Customers!A:G,7,FALSE)</f>
        <v>Student</v>
      </c>
      <c r="Q5655" t="str">
        <f>IF(COUNTIF(Customers!$A$2:$A$1001,B5655)&gt;0,"Valid","Invalid")</f>
        <v>Valid</v>
      </c>
      <c r="R5655" t="str">
        <f>IF(COUNTIF(Branches!$A$2:$A$11,F5655)&gt;0,"Valid","Invalid")</f>
        <v>Valid</v>
      </c>
    </row>
    <row r="5656" spans="1:18" x14ac:dyDescent="0.25">
      <c r="A5656" t="s">
        <v>7727</v>
      </c>
      <c r="B5656" t="s">
        <v>739</v>
      </c>
      <c r="C5656" s="8">
        <v>46163</v>
      </c>
      <c r="D5656" t="s">
        <v>2058</v>
      </c>
      <c r="E5656" t="s">
        <v>2059</v>
      </c>
      <c r="F5656" t="s">
        <v>29</v>
      </c>
      <c r="G5656">
        <v>696.8</v>
      </c>
      <c r="H5656" t="s">
        <v>2115</v>
      </c>
      <c r="I5656" t="str">
        <f>VLOOKUP(B5656,Customers!A:G,7,FALSE)</f>
        <v>SME</v>
      </c>
      <c r="Q5656" t="str">
        <f>IF(COUNTIF(Customers!$A$2:$A$1001,B5656)&gt;0,"Valid","Invalid")</f>
        <v>Valid</v>
      </c>
      <c r="R5656" t="str">
        <f>IF(COUNTIF(Branches!$A$2:$A$11,F5656)&gt;0,"Valid","Invalid")</f>
        <v>Valid</v>
      </c>
    </row>
    <row r="5657" spans="1:18" x14ac:dyDescent="0.25">
      <c r="A5657" t="s">
        <v>7728</v>
      </c>
      <c r="B5657" t="s">
        <v>490</v>
      </c>
      <c r="C5657" s="8">
        <v>46177</v>
      </c>
      <c r="D5657" t="s">
        <v>2065</v>
      </c>
      <c r="E5657" t="s">
        <v>2063</v>
      </c>
      <c r="F5657" t="s">
        <v>29</v>
      </c>
      <c r="G5657">
        <v>206.68</v>
      </c>
      <c r="H5657" t="s">
        <v>2060</v>
      </c>
      <c r="I5657" t="str">
        <f>VLOOKUP(B5657,Customers!A:G,7,FALSE)</f>
        <v>Individual</v>
      </c>
      <c r="Q5657" t="str">
        <f>IF(COUNTIF(Customers!$A$2:$A$1001,B5657)&gt;0,"Valid","Invalid")</f>
        <v>Valid</v>
      </c>
      <c r="R5657" t="str">
        <f>IF(COUNTIF(Branches!$A$2:$A$11,F5657)&gt;0,"Valid","Invalid")</f>
        <v>Valid</v>
      </c>
    </row>
    <row r="5658" spans="1:18" x14ac:dyDescent="0.25">
      <c r="A5658" t="s">
        <v>7729</v>
      </c>
      <c r="B5658" t="s">
        <v>289</v>
      </c>
      <c r="C5658" s="8">
        <v>46168</v>
      </c>
      <c r="D5658" t="s">
        <v>2062</v>
      </c>
      <c r="E5658" t="s">
        <v>2063</v>
      </c>
      <c r="F5658" t="s">
        <v>47</v>
      </c>
      <c r="G5658">
        <v>2613.29</v>
      </c>
      <c r="H5658" t="s">
        <v>2060</v>
      </c>
      <c r="I5658" t="str">
        <f>VLOOKUP(B5658,Customers!A:G,7,FALSE)</f>
        <v>Student</v>
      </c>
      <c r="Q5658" t="str">
        <f>IF(COUNTIF(Customers!$A$2:$A$1001,B5658)&gt;0,"Valid","Invalid")</f>
        <v>Valid</v>
      </c>
      <c r="R5658" t="str">
        <f>IF(COUNTIF(Branches!$A$2:$A$11,F5658)&gt;0,"Valid","Invalid")</f>
        <v>Valid</v>
      </c>
    </row>
    <row r="5659" spans="1:18" x14ac:dyDescent="0.25">
      <c r="A5659" t="s">
        <v>7730</v>
      </c>
      <c r="B5659" t="s">
        <v>362</v>
      </c>
      <c r="C5659" s="8">
        <v>46040</v>
      </c>
      <c r="D5659" t="s">
        <v>2070</v>
      </c>
      <c r="E5659" t="s">
        <v>2068</v>
      </c>
      <c r="F5659" t="s">
        <v>47</v>
      </c>
      <c r="G5659">
        <v>218.04</v>
      </c>
      <c r="H5659" t="s">
        <v>2060</v>
      </c>
      <c r="I5659" t="str">
        <f>VLOOKUP(B5659,Customers!A:G,7,FALSE)</f>
        <v>Student</v>
      </c>
      <c r="Q5659" t="str">
        <f>IF(COUNTIF(Customers!$A$2:$A$1001,B5659)&gt;0,"Valid","Invalid")</f>
        <v>Valid</v>
      </c>
      <c r="R5659" t="str">
        <f>IF(COUNTIF(Branches!$A$2:$A$11,F5659)&gt;0,"Valid","Invalid")</f>
        <v>Valid</v>
      </c>
    </row>
    <row r="5660" spans="1:18" x14ac:dyDescent="0.25">
      <c r="A5660" t="s">
        <v>7731</v>
      </c>
      <c r="B5660" t="s">
        <v>963</v>
      </c>
      <c r="C5660" s="8">
        <v>46099</v>
      </c>
      <c r="D5660" t="s">
        <v>2062</v>
      </c>
      <c r="E5660" t="s">
        <v>2059</v>
      </c>
      <c r="F5660" t="s">
        <v>21</v>
      </c>
      <c r="G5660">
        <v>445.06</v>
      </c>
      <c r="H5660" t="s">
        <v>2060</v>
      </c>
      <c r="I5660" t="str">
        <f>VLOOKUP(B5660,Customers!A:G,7,FALSE)</f>
        <v>Individual</v>
      </c>
      <c r="Q5660" t="str">
        <f>IF(COUNTIF(Customers!$A$2:$A$1001,B5660)&gt;0,"Valid","Invalid")</f>
        <v>Valid</v>
      </c>
      <c r="R5660" t="str">
        <f>IF(COUNTIF(Branches!$A$2:$A$11,F5660)&gt;0,"Valid","Invalid")</f>
        <v>Valid</v>
      </c>
    </row>
    <row r="5661" spans="1:18" x14ac:dyDescent="0.25">
      <c r="A5661" t="s">
        <v>7732</v>
      </c>
      <c r="B5661" t="s">
        <v>266</v>
      </c>
      <c r="C5661" s="8">
        <v>46236</v>
      </c>
      <c r="D5661" t="s">
        <v>2067</v>
      </c>
      <c r="E5661" t="s">
        <v>2068</v>
      </c>
      <c r="F5661" t="s">
        <v>53</v>
      </c>
      <c r="G5661">
        <v>665.34</v>
      </c>
      <c r="H5661" t="s">
        <v>2060</v>
      </c>
      <c r="I5661" t="str">
        <f>VLOOKUP(B5661,Customers!A:G,7,FALSE)</f>
        <v>Individual</v>
      </c>
      <c r="Q5661" t="str">
        <f>IF(COUNTIF(Customers!$A$2:$A$1001,B5661)&gt;0,"Valid","Invalid")</f>
        <v>Valid</v>
      </c>
      <c r="R5661" t="str">
        <f>IF(COUNTIF(Branches!$A$2:$A$11,F5661)&gt;0,"Valid","Invalid")</f>
        <v>Valid</v>
      </c>
    </row>
    <row r="5662" spans="1:18" x14ac:dyDescent="0.25">
      <c r="A5662" t="s">
        <v>7733</v>
      </c>
      <c r="B5662" t="s">
        <v>740</v>
      </c>
      <c r="C5662" s="8">
        <v>46212</v>
      </c>
      <c r="D5662" t="s">
        <v>2067</v>
      </c>
      <c r="E5662" t="s">
        <v>2063</v>
      </c>
      <c r="F5662" t="s">
        <v>53</v>
      </c>
      <c r="G5662">
        <v>2221.2600000000002</v>
      </c>
      <c r="H5662" t="s">
        <v>2060</v>
      </c>
      <c r="I5662" t="str">
        <f>VLOOKUP(B5662,Customers!A:G,7,FALSE)</f>
        <v>Individual</v>
      </c>
      <c r="Q5662" t="str">
        <f>IF(COUNTIF(Customers!$A$2:$A$1001,B5662)&gt;0,"Valid","Invalid")</f>
        <v>Valid</v>
      </c>
      <c r="R5662" t="str">
        <f>IF(COUNTIF(Branches!$A$2:$A$11,F5662)&gt;0,"Valid","Invalid")</f>
        <v>Valid</v>
      </c>
    </row>
    <row r="5663" spans="1:18" x14ac:dyDescent="0.25">
      <c r="A5663" t="s">
        <v>7734</v>
      </c>
      <c r="B5663" t="s">
        <v>866</v>
      </c>
      <c r="C5663" s="8">
        <v>46164</v>
      </c>
      <c r="D5663" t="s">
        <v>2062</v>
      </c>
      <c r="E5663" t="s">
        <v>2063</v>
      </c>
      <c r="F5663" t="s">
        <v>39</v>
      </c>
      <c r="G5663">
        <v>479.87</v>
      </c>
      <c r="H5663" t="s">
        <v>2060</v>
      </c>
      <c r="I5663" t="str">
        <f>VLOOKUP(B5663,Customers!A:G,7,FALSE)</f>
        <v>Individual</v>
      </c>
      <c r="Q5663" t="str">
        <f>IF(COUNTIF(Customers!$A$2:$A$1001,B5663)&gt;0,"Valid","Invalid")</f>
        <v>Valid</v>
      </c>
      <c r="R5663" t="str">
        <f>IF(COUNTIF(Branches!$A$2:$A$11,F5663)&gt;0,"Valid","Invalid")</f>
        <v>Valid</v>
      </c>
    </row>
    <row r="5664" spans="1:18" x14ac:dyDescent="0.25">
      <c r="A5664" t="s">
        <v>7735</v>
      </c>
      <c r="B5664" t="s">
        <v>674</v>
      </c>
      <c r="C5664" s="8">
        <v>46161</v>
      </c>
      <c r="D5664" t="s">
        <v>2058</v>
      </c>
      <c r="E5664" t="s">
        <v>2063</v>
      </c>
      <c r="F5664" t="s">
        <v>21</v>
      </c>
      <c r="G5664">
        <v>321.58999999999997</v>
      </c>
      <c r="H5664" t="s">
        <v>2060</v>
      </c>
      <c r="I5664" t="str">
        <f>VLOOKUP(B5664,Customers!A:G,7,FALSE)</f>
        <v>SME</v>
      </c>
      <c r="Q5664" t="str">
        <f>IF(COUNTIF(Customers!$A$2:$A$1001,B5664)&gt;0,"Valid","Invalid")</f>
        <v>Valid</v>
      </c>
      <c r="R5664" t="str">
        <f>IF(COUNTIF(Branches!$A$2:$A$11,F5664)&gt;0,"Valid","Invalid")</f>
        <v>Valid</v>
      </c>
    </row>
    <row r="5665" spans="1:18" x14ac:dyDescent="0.25">
      <c r="A5665" t="s">
        <v>7736</v>
      </c>
      <c r="B5665" t="s">
        <v>634</v>
      </c>
      <c r="C5665" s="8">
        <v>46125</v>
      </c>
      <c r="D5665" t="s">
        <v>2058</v>
      </c>
      <c r="E5665" t="s">
        <v>2076</v>
      </c>
      <c r="F5665" t="s">
        <v>29</v>
      </c>
      <c r="G5665">
        <v>955.92</v>
      </c>
      <c r="H5665" t="s">
        <v>2107</v>
      </c>
      <c r="I5665" t="str">
        <f>VLOOKUP(B5665,Customers!A:G,7,FALSE)</f>
        <v>Individual</v>
      </c>
      <c r="Q5665" t="str">
        <f>IF(COUNTIF(Customers!$A$2:$A$1001,B5665)&gt;0,"Valid","Invalid")</f>
        <v>Valid</v>
      </c>
      <c r="R5665" t="str">
        <f>IF(COUNTIF(Branches!$A$2:$A$11,F5665)&gt;0,"Valid","Invalid")</f>
        <v>Valid</v>
      </c>
    </row>
    <row r="5666" spans="1:18" x14ac:dyDescent="0.25">
      <c r="A5666" t="s">
        <v>7737</v>
      </c>
      <c r="B5666" t="s">
        <v>335</v>
      </c>
      <c r="C5666" s="8">
        <v>46264</v>
      </c>
      <c r="D5666" t="s">
        <v>2070</v>
      </c>
      <c r="E5666" t="s">
        <v>2068</v>
      </c>
      <c r="F5666" t="s">
        <v>35</v>
      </c>
      <c r="G5666">
        <v>655.92</v>
      </c>
      <c r="H5666" t="s">
        <v>2060</v>
      </c>
      <c r="I5666" t="str">
        <f>VLOOKUP(B5666,Customers!A:G,7,FALSE)</f>
        <v>Individual</v>
      </c>
      <c r="Q5666" t="str">
        <f>IF(COUNTIF(Customers!$A$2:$A$1001,B5666)&gt;0,"Valid","Invalid")</f>
        <v>Valid</v>
      </c>
      <c r="R5666" t="str">
        <f>IF(COUNTIF(Branches!$A$2:$A$11,F5666)&gt;0,"Valid","Invalid")</f>
        <v>Valid</v>
      </c>
    </row>
    <row r="5667" spans="1:18" x14ac:dyDescent="0.25">
      <c r="A5667" t="s">
        <v>7738</v>
      </c>
      <c r="B5667" t="s">
        <v>765</v>
      </c>
      <c r="C5667" s="8">
        <v>46139</v>
      </c>
      <c r="D5667" t="s">
        <v>2058</v>
      </c>
      <c r="E5667" t="s">
        <v>2059</v>
      </c>
      <c r="F5667" t="s">
        <v>16</v>
      </c>
      <c r="G5667">
        <v>509.08</v>
      </c>
      <c r="H5667" t="s">
        <v>2060</v>
      </c>
      <c r="I5667" t="str">
        <f>VLOOKUP(B5667,Customers!A:G,7,FALSE)</f>
        <v>Student</v>
      </c>
      <c r="Q5667" t="str">
        <f>IF(COUNTIF(Customers!$A$2:$A$1001,B5667)&gt;0,"Valid","Invalid")</f>
        <v>Valid</v>
      </c>
      <c r="R5667" t="str">
        <f>IF(COUNTIF(Branches!$A$2:$A$11,F5667)&gt;0,"Valid","Invalid")</f>
        <v>Valid</v>
      </c>
    </row>
    <row r="5668" spans="1:18" x14ac:dyDescent="0.25">
      <c r="A5668" t="s">
        <v>7739</v>
      </c>
      <c r="B5668" t="s">
        <v>275</v>
      </c>
      <c r="C5668" s="8">
        <v>46236</v>
      </c>
      <c r="D5668" t="s">
        <v>2058</v>
      </c>
      <c r="E5668" t="s">
        <v>2059</v>
      </c>
      <c r="F5668" t="s">
        <v>29</v>
      </c>
      <c r="G5668">
        <v>1008.77</v>
      </c>
      <c r="H5668" t="s">
        <v>2060</v>
      </c>
      <c r="I5668" t="str">
        <f>VLOOKUP(B5668,Customers!A:G,7,FALSE)</f>
        <v>SME</v>
      </c>
      <c r="Q5668" t="str">
        <f>IF(COUNTIF(Customers!$A$2:$A$1001,B5668)&gt;0,"Valid","Invalid")</f>
        <v>Valid</v>
      </c>
      <c r="R5668" t="str">
        <f>IF(COUNTIF(Branches!$A$2:$A$11,F5668)&gt;0,"Valid","Invalid")</f>
        <v>Valid</v>
      </c>
    </row>
    <row r="5669" spans="1:18" x14ac:dyDescent="0.25">
      <c r="A5669" t="s">
        <v>7740</v>
      </c>
      <c r="B5669" t="s">
        <v>1016</v>
      </c>
      <c r="C5669" s="8">
        <v>46250</v>
      </c>
      <c r="D5669" t="s">
        <v>2065</v>
      </c>
      <c r="E5669" t="s">
        <v>2073</v>
      </c>
      <c r="F5669" t="s">
        <v>39</v>
      </c>
      <c r="G5669">
        <v>243.81</v>
      </c>
      <c r="H5669" t="s">
        <v>2060</v>
      </c>
      <c r="I5669" t="str">
        <f>VLOOKUP(B5669,Customers!A:G,7,FALSE)</f>
        <v>Individual</v>
      </c>
      <c r="Q5669" t="str">
        <f>IF(COUNTIF(Customers!$A$2:$A$1001,B5669)&gt;0,"Valid","Invalid")</f>
        <v>Valid</v>
      </c>
      <c r="R5669" t="str">
        <f>IF(COUNTIF(Branches!$A$2:$A$11,F5669)&gt;0,"Valid","Invalid")</f>
        <v>Valid</v>
      </c>
    </row>
    <row r="5670" spans="1:18" x14ac:dyDescent="0.25">
      <c r="A5670" t="s">
        <v>7741</v>
      </c>
      <c r="B5670" t="s">
        <v>663</v>
      </c>
      <c r="C5670" s="8">
        <v>46039</v>
      </c>
      <c r="D5670" t="s">
        <v>2065</v>
      </c>
      <c r="E5670" t="s">
        <v>2063</v>
      </c>
      <c r="F5670" t="s">
        <v>29</v>
      </c>
      <c r="G5670">
        <v>145.21</v>
      </c>
      <c r="H5670" t="s">
        <v>2060</v>
      </c>
      <c r="I5670" t="str">
        <f>VLOOKUP(B5670,Customers!A:G,7,FALSE)</f>
        <v>SME</v>
      </c>
      <c r="Q5670" t="str">
        <f>IF(COUNTIF(Customers!$A$2:$A$1001,B5670)&gt;0,"Valid","Invalid")</f>
        <v>Valid</v>
      </c>
      <c r="R5670" t="str">
        <f>IF(COUNTIF(Branches!$A$2:$A$11,F5670)&gt;0,"Valid","Invalid")</f>
        <v>Valid</v>
      </c>
    </row>
    <row r="5671" spans="1:18" x14ac:dyDescent="0.25">
      <c r="A5671" t="s">
        <v>7742</v>
      </c>
      <c r="B5671" t="s">
        <v>254</v>
      </c>
      <c r="C5671" s="8">
        <v>46201</v>
      </c>
      <c r="D5671" t="s">
        <v>2065</v>
      </c>
      <c r="E5671" t="s">
        <v>2059</v>
      </c>
      <c r="F5671" t="s">
        <v>29</v>
      </c>
      <c r="G5671">
        <v>6896.23</v>
      </c>
      <c r="H5671" t="s">
        <v>2060</v>
      </c>
      <c r="I5671" t="str">
        <f>VLOOKUP(B5671,Customers!A:G,7,FALSE)</f>
        <v>Individual</v>
      </c>
      <c r="Q5671" t="str">
        <f>IF(COUNTIF(Customers!$A$2:$A$1001,B5671)&gt;0,"Valid","Invalid")</f>
        <v>Valid</v>
      </c>
      <c r="R5671" t="str">
        <f>IF(COUNTIF(Branches!$A$2:$A$11,F5671)&gt;0,"Valid","Invalid")</f>
        <v>Valid</v>
      </c>
    </row>
    <row r="5672" spans="1:18" x14ac:dyDescent="0.25">
      <c r="A5672" t="s">
        <v>7743</v>
      </c>
      <c r="B5672" t="s">
        <v>871</v>
      </c>
      <c r="C5672" s="8">
        <v>46246</v>
      </c>
      <c r="D5672" t="s">
        <v>2062</v>
      </c>
      <c r="E5672" t="s">
        <v>2059</v>
      </c>
      <c r="F5672" t="s">
        <v>11</v>
      </c>
      <c r="G5672">
        <v>901.61</v>
      </c>
      <c r="H5672" t="s">
        <v>2060</v>
      </c>
      <c r="I5672" t="str">
        <f>VLOOKUP(B5672,Customers!A:G,7,FALSE)</f>
        <v>Individual</v>
      </c>
      <c r="Q5672" t="str">
        <f>IF(COUNTIF(Customers!$A$2:$A$1001,B5672)&gt;0,"Valid","Invalid")</f>
        <v>Valid</v>
      </c>
      <c r="R5672" t="str">
        <f>IF(COUNTIF(Branches!$A$2:$A$11,F5672)&gt;0,"Valid","Invalid")</f>
        <v>Valid</v>
      </c>
    </row>
    <row r="5673" spans="1:18" x14ac:dyDescent="0.25">
      <c r="A5673" t="s">
        <v>7744</v>
      </c>
      <c r="B5673" t="s">
        <v>284</v>
      </c>
      <c r="C5673" s="8">
        <v>46036</v>
      </c>
      <c r="D5673" t="s">
        <v>2067</v>
      </c>
      <c r="E5673" t="s">
        <v>2063</v>
      </c>
      <c r="F5673" t="s">
        <v>45</v>
      </c>
      <c r="G5673">
        <v>966.98</v>
      </c>
      <c r="H5673" t="s">
        <v>2060</v>
      </c>
      <c r="I5673" t="str">
        <f>VLOOKUP(B5673,Customers!A:G,7,FALSE)</f>
        <v>Individual</v>
      </c>
      <c r="Q5673" t="str">
        <f>IF(COUNTIF(Customers!$A$2:$A$1001,B5673)&gt;0,"Valid","Invalid")</f>
        <v>Valid</v>
      </c>
      <c r="R5673" t="str">
        <f>IF(COUNTIF(Branches!$A$2:$A$11,F5673)&gt;0,"Valid","Invalid")</f>
        <v>Valid</v>
      </c>
    </row>
    <row r="5674" spans="1:18" x14ac:dyDescent="0.25">
      <c r="A5674" t="s">
        <v>7745</v>
      </c>
      <c r="B5674" t="s">
        <v>486</v>
      </c>
      <c r="C5674" s="8">
        <v>46256</v>
      </c>
      <c r="D5674" t="s">
        <v>2067</v>
      </c>
      <c r="E5674" t="s">
        <v>2063</v>
      </c>
      <c r="F5674" t="s">
        <v>39</v>
      </c>
      <c r="G5674">
        <v>371.67</v>
      </c>
      <c r="H5674" t="s">
        <v>2060</v>
      </c>
      <c r="I5674" t="str">
        <f>VLOOKUP(B5674,Customers!A:G,7,FALSE)</f>
        <v>Individual</v>
      </c>
      <c r="Q5674" t="str">
        <f>IF(COUNTIF(Customers!$A$2:$A$1001,B5674)&gt;0,"Valid","Invalid")</f>
        <v>Valid</v>
      </c>
      <c r="R5674" t="str">
        <f>IF(COUNTIF(Branches!$A$2:$A$11,F5674)&gt;0,"Valid","Invalid")</f>
        <v>Valid</v>
      </c>
    </row>
    <row r="5675" spans="1:18" x14ac:dyDescent="0.25">
      <c r="A5675" t="s">
        <v>7746</v>
      </c>
      <c r="B5675" t="s">
        <v>885</v>
      </c>
      <c r="C5675" s="8">
        <v>46079</v>
      </c>
      <c r="D5675" t="s">
        <v>2062</v>
      </c>
      <c r="E5675" t="s">
        <v>2063</v>
      </c>
      <c r="F5675" t="s">
        <v>53</v>
      </c>
      <c r="G5675">
        <v>1993.6</v>
      </c>
      <c r="H5675" t="s">
        <v>2060</v>
      </c>
      <c r="I5675" t="str">
        <f>VLOOKUP(B5675,Customers!A:G,7,FALSE)</f>
        <v>Individual</v>
      </c>
      <c r="Q5675" t="str">
        <f>IF(COUNTIF(Customers!$A$2:$A$1001,B5675)&gt;0,"Valid","Invalid")</f>
        <v>Valid</v>
      </c>
      <c r="R5675" t="str">
        <f>IF(COUNTIF(Branches!$A$2:$A$11,F5675)&gt;0,"Valid","Invalid")</f>
        <v>Valid</v>
      </c>
    </row>
    <row r="5676" spans="1:18" x14ac:dyDescent="0.25">
      <c r="A5676" t="s">
        <v>7747</v>
      </c>
      <c r="B5676" t="s">
        <v>357</v>
      </c>
      <c r="C5676" s="8">
        <v>46115</v>
      </c>
      <c r="D5676" t="s">
        <v>2058</v>
      </c>
      <c r="E5676" t="s">
        <v>2068</v>
      </c>
      <c r="F5676" t="s">
        <v>53</v>
      </c>
      <c r="G5676">
        <v>476.52</v>
      </c>
      <c r="H5676" t="s">
        <v>2060</v>
      </c>
      <c r="I5676" t="str">
        <f>VLOOKUP(B5676,Customers!A:G,7,FALSE)</f>
        <v>Individual</v>
      </c>
      <c r="Q5676" t="str">
        <f>IF(COUNTIF(Customers!$A$2:$A$1001,B5676)&gt;0,"Valid","Invalid")</f>
        <v>Valid</v>
      </c>
      <c r="R5676" t="str">
        <f>IF(COUNTIF(Branches!$A$2:$A$11,F5676)&gt;0,"Valid","Invalid")</f>
        <v>Valid</v>
      </c>
    </row>
    <row r="5677" spans="1:18" x14ac:dyDescent="0.25">
      <c r="A5677" t="s">
        <v>7748</v>
      </c>
      <c r="B5677" t="s">
        <v>1032</v>
      </c>
      <c r="C5677" s="8">
        <v>46156</v>
      </c>
      <c r="D5677" t="s">
        <v>2058</v>
      </c>
      <c r="E5677" t="s">
        <v>2076</v>
      </c>
      <c r="F5677" t="s">
        <v>53</v>
      </c>
      <c r="G5677">
        <v>50.09</v>
      </c>
      <c r="H5677" t="s">
        <v>2060</v>
      </c>
      <c r="I5677" t="str">
        <f>VLOOKUP(B5677,Customers!A:G,7,FALSE)</f>
        <v>Individual</v>
      </c>
      <c r="Q5677" t="str">
        <f>IF(COUNTIF(Customers!$A$2:$A$1001,B5677)&gt;0,"Valid","Invalid")</f>
        <v>Valid</v>
      </c>
      <c r="R5677" t="str">
        <f>IF(COUNTIF(Branches!$A$2:$A$11,F5677)&gt;0,"Valid","Invalid")</f>
        <v>Valid</v>
      </c>
    </row>
    <row r="5678" spans="1:18" x14ac:dyDescent="0.25">
      <c r="A5678" t="s">
        <v>7749</v>
      </c>
      <c r="B5678" t="s">
        <v>470</v>
      </c>
      <c r="C5678" s="8">
        <v>46136</v>
      </c>
      <c r="D5678" t="s">
        <v>2067</v>
      </c>
      <c r="E5678" t="s">
        <v>2068</v>
      </c>
      <c r="F5678" t="s">
        <v>11</v>
      </c>
      <c r="G5678">
        <v>460.8</v>
      </c>
      <c r="H5678" t="s">
        <v>2060</v>
      </c>
      <c r="I5678" t="str">
        <f>VLOOKUP(B5678,Customers!A:G,7,FALSE)</f>
        <v>Individual</v>
      </c>
      <c r="Q5678" t="str">
        <f>IF(COUNTIF(Customers!$A$2:$A$1001,B5678)&gt;0,"Valid","Invalid")</f>
        <v>Valid</v>
      </c>
      <c r="R5678" t="str">
        <f>IF(COUNTIF(Branches!$A$2:$A$11,F5678)&gt;0,"Valid","Invalid")</f>
        <v>Valid</v>
      </c>
    </row>
    <row r="5679" spans="1:18" x14ac:dyDescent="0.25">
      <c r="A5679" t="s">
        <v>7750</v>
      </c>
      <c r="B5679" t="s">
        <v>442</v>
      </c>
      <c r="C5679" s="8">
        <v>46207</v>
      </c>
      <c r="D5679" t="s">
        <v>2062</v>
      </c>
      <c r="E5679" t="s">
        <v>2059</v>
      </c>
      <c r="F5679" t="s">
        <v>35</v>
      </c>
      <c r="G5679">
        <v>613.14</v>
      </c>
      <c r="H5679" t="s">
        <v>2115</v>
      </c>
      <c r="I5679" t="str">
        <f>VLOOKUP(B5679,Customers!A:G,7,FALSE)</f>
        <v>Corporate</v>
      </c>
      <c r="Q5679" t="str">
        <f>IF(COUNTIF(Customers!$A$2:$A$1001,B5679)&gt;0,"Valid","Invalid")</f>
        <v>Valid</v>
      </c>
      <c r="R5679" t="str">
        <f>IF(COUNTIF(Branches!$A$2:$A$11,F5679)&gt;0,"Valid","Invalid")</f>
        <v>Valid</v>
      </c>
    </row>
    <row r="5680" spans="1:18" x14ac:dyDescent="0.25">
      <c r="A5680" t="s">
        <v>7751</v>
      </c>
      <c r="B5680" t="s">
        <v>924</v>
      </c>
      <c r="C5680" s="8">
        <v>46154</v>
      </c>
      <c r="D5680" t="s">
        <v>2065</v>
      </c>
      <c r="E5680" t="s">
        <v>2076</v>
      </c>
      <c r="F5680" t="s">
        <v>27</v>
      </c>
      <c r="G5680">
        <v>685.34</v>
      </c>
      <c r="H5680" t="s">
        <v>2115</v>
      </c>
      <c r="I5680" t="str">
        <f>VLOOKUP(B5680,Customers!A:G,7,FALSE)</f>
        <v>Individual</v>
      </c>
      <c r="Q5680" t="str">
        <f>IF(COUNTIF(Customers!$A$2:$A$1001,B5680)&gt;0,"Valid","Invalid")</f>
        <v>Valid</v>
      </c>
      <c r="R5680" t="str">
        <f>IF(COUNTIF(Branches!$A$2:$A$11,F5680)&gt;0,"Valid","Invalid")</f>
        <v>Valid</v>
      </c>
    </row>
    <row r="5681" spans="1:18" x14ac:dyDescent="0.25">
      <c r="A5681" t="s">
        <v>7752</v>
      </c>
      <c r="B5681" t="s">
        <v>71</v>
      </c>
      <c r="C5681" s="8">
        <v>46161</v>
      </c>
      <c r="D5681" t="s">
        <v>2065</v>
      </c>
      <c r="E5681" t="s">
        <v>2076</v>
      </c>
      <c r="F5681" t="s">
        <v>53</v>
      </c>
      <c r="G5681">
        <v>665.8</v>
      </c>
      <c r="H5681" t="s">
        <v>2060</v>
      </c>
      <c r="I5681" t="str">
        <f>VLOOKUP(B5681,Customers!A:G,7,FALSE)</f>
        <v>Individual</v>
      </c>
      <c r="Q5681" t="str">
        <f>IF(COUNTIF(Customers!$A$2:$A$1001,B5681)&gt;0,"Valid","Invalid")</f>
        <v>Valid</v>
      </c>
      <c r="R5681" t="str">
        <f>IF(COUNTIF(Branches!$A$2:$A$11,F5681)&gt;0,"Valid","Invalid")</f>
        <v>Valid</v>
      </c>
    </row>
    <row r="5682" spans="1:18" x14ac:dyDescent="0.25">
      <c r="A5682" t="s">
        <v>7753</v>
      </c>
      <c r="B5682" t="s">
        <v>614</v>
      </c>
      <c r="C5682" s="8">
        <v>46131</v>
      </c>
      <c r="D5682" t="s">
        <v>2065</v>
      </c>
      <c r="E5682" t="s">
        <v>2073</v>
      </c>
      <c r="F5682" t="s">
        <v>53</v>
      </c>
      <c r="G5682">
        <v>426.28</v>
      </c>
      <c r="H5682" t="s">
        <v>2060</v>
      </c>
      <c r="I5682" t="str">
        <f>VLOOKUP(B5682,Customers!A:G,7,FALSE)</f>
        <v>Individual</v>
      </c>
      <c r="Q5682" t="str">
        <f>IF(COUNTIF(Customers!$A$2:$A$1001,B5682)&gt;0,"Valid","Invalid")</f>
        <v>Valid</v>
      </c>
      <c r="R5682" t="str">
        <f>IF(COUNTIF(Branches!$A$2:$A$11,F5682)&gt;0,"Valid","Invalid")</f>
        <v>Valid</v>
      </c>
    </row>
    <row r="5683" spans="1:18" x14ac:dyDescent="0.25">
      <c r="A5683" t="s">
        <v>7754</v>
      </c>
      <c r="B5683" t="s">
        <v>769</v>
      </c>
      <c r="C5683" s="8">
        <v>46254</v>
      </c>
      <c r="D5683" t="s">
        <v>2065</v>
      </c>
      <c r="E5683" t="s">
        <v>2063</v>
      </c>
      <c r="F5683" t="s">
        <v>16</v>
      </c>
      <c r="G5683">
        <v>387.02</v>
      </c>
      <c r="H5683" t="s">
        <v>2060</v>
      </c>
      <c r="I5683" t="str">
        <f>VLOOKUP(B5683,Customers!A:G,7,FALSE)</f>
        <v>Student</v>
      </c>
      <c r="Q5683" t="str">
        <f>IF(COUNTIF(Customers!$A$2:$A$1001,B5683)&gt;0,"Valid","Invalid")</f>
        <v>Valid</v>
      </c>
      <c r="R5683" t="str">
        <f>IF(COUNTIF(Branches!$A$2:$A$11,F5683)&gt;0,"Valid","Invalid")</f>
        <v>Valid</v>
      </c>
    </row>
    <row r="5684" spans="1:18" x14ac:dyDescent="0.25">
      <c r="A5684" t="s">
        <v>7755</v>
      </c>
      <c r="B5684" t="s">
        <v>380</v>
      </c>
      <c r="C5684" s="8">
        <v>46224</v>
      </c>
      <c r="D5684" t="s">
        <v>2067</v>
      </c>
      <c r="E5684" t="s">
        <v>2063</v>
      </c>
      <c r="F5684" t="s">
        <v>21</v>
      </c>
      <c r="G5684">
        <v>603.05999999999995</v>
      </c>
      <c r="H5684" t="s">
        <v>2060</v>
      </c>
      <c r="I5684" t="str">
        <f>VLOOKUP(B5684,Customers!A:G,7,FALSE)</f>
        <v>Individual</v>
      </c>
      <c r="Q5684" t="str">
        <f>IF(COUNTIF(Customers!$A$2:$A$1001,B5684)&gt;0,"Valid","Invalid")</f>
        <v>Valid</v>
      </c>
      <c r="R5684" t="str">
        <f>IF(COUNTIF(Branches!$A$2:$A$11,F5684)&gt;0,"Valid","Invalid")</f>
        <v>Valid</v>
      </c>
    </row>
    <row r="5685" spans="1:18" x14ac:dyDescent="0.25">
      <c r="A5685" t="s">
        <v>7756</v>
      </c>
      <c r="B5685" t="s">
        <v>427</v>
      </c>
      <c r="C5685" s="8">
        <v>46141</v>
      </c>
      <c r="D5685" t="s">
        <v>2058</v>
      </c>
      <c r="E5685" t="s">
        <v>2076</v>
      </c>
      <c r="F5685" t="s">
        <v>29</v>
      </c>
      <c r="G5685">
        <v>156.72999999999999</v>
      </c>
      <c r="H5685" t="s">
        <v>2060</v>
      </c>
      <c r="I5685" t="str">
        <f>VLOOKUP(B5685,Customers!A:G,7,FALSE)</f>
        <v>Individual</v>
      </c>
      <c r="Q5685" t="str">
        <f>IF(COUNTIF(Customers!$A$2:$A$1001,B5685)&gt;0,"Valid","Invalid")</f>
        <v>Valid</v>
      </c>
      <c r="R5685" t="str">
        <f>IF(COUNTIF(Branches!$A$2:$A$11,F5685)&gt;0,"Valid","Invalid")</f>
        <v>Valid</v>
      </c>
    </row>
    <row r="5686" spans="1:18" x14ac:dyDescent="0.25">
      <c r="A5686" t="s">
        <v>7757</v>
      </c>
      <c r="B5686" t="s">
        <v>68</v>
      </c>
      <c r="C5686" s="8">
        <v>46114</v>
      </c>
      <c r="D5686" t="s">
        <v>2065</v>
      </c>
      <c r="E5686" t="s">
        <v>2073</v>
      </c>
      <c r="F5686" t="s">
        <v>53</v>
      </c>
      <c r="G5686">
        <v>114.71</v>
      </c>
      <c r="H5686" t="s">
        <v>2060</v>
      </c>
      <c r="I5686" t="str">
        <f>VLOOKUP(B5686,Customers!A:G,7,FALSE)</f>
        <v>Student</v>
      </c>
      <c r="Q5686" t="str">
        <f>IF(COUNTIF(Customers!$A$2:$A$1001,B5686)&gt;0,"Valid","Invalid")</f>
        <v>Valid</v>
      </c>
      <c r="R5686" t="str">
        <f>IF(COUNTIF(Branches!$A$2:$A$11,F5686)&gt;0,"Valid","Invalid")</f>
        <v>Valid</v>
      </c>
    </row>
    <row r="5687" spans="1:18" x14ac:dyDescent="0.25">
      <c r="A5687" t="s">
        <v>7758</v>
      </c>
      <c r="B5687" t="s">
        <v>73</v>
      </c>
      <c r="C5687" s="8">
        <v>46033</v>
      </c>
      <c r="D5687" t="s">
        <v>2058</v>
      </c>
      <c r="E5687" t="s">
        <v>2073</v>
      </c>
      <c r="F5687" t="s">
        <v>11</v>
      </c>
      <c r="G5687">
        <v>896.1</v>
      </c>
      <c r="H5687" t="s">
        <v>2060</v>
      </c>
      <c r="I5687" t="str">
        <f>VLOOKUP(B5687,Customers!A:G,7,FALSE)</f>
        <v>Individual</v>
      </c>
      <c r="Q5687" t="str">
        <f>IF(COUNTIF(Customers!$A$2:$A$1001,B5687)&gt;0,"Valid","Invalid")</f>
        <v>Valid</v>
      </c>
      <c r="R5687" t="str">
        <f>IF(COUNTIF(Branches!$A$2:$A$11,F5687)&gt;0,"Valid","Invalid")</f>
        <v>Valid</v>
      </c>
    </row>
    <row r="5688" spans="1:18" x14ac:dyDescent="0.25">
      <c r="A5688" t="s">
        <v>7759</v>
      </c>
      <c r="B5688" t="s">
        <v>617</v>
      </c>
      <c r="C5688" s="8">
        <v>46121</v>
      </c>
      <c r="D5688" t="s">
        <v>2065</v>
      </c>
      <c r="E5688" t="s">
        <v>2076</v>
      </c>
      <c r="F5688" t="s">
        <v>16</v>
      </c>
      <c r="G5688">
        <v>911.17</v>
      </c>
      <c r="H5688" t="s">
        <v>2060</v>
      </c>
      <c r="I5688" t="str">
        <f>VLOOKUP(B5688,Customers!A:G,7,FALSE)</f>
        <v>Individual</v>
      </c>
      <c r="Q5688" t="str">
        <f>IF(COUNTIF(Customers!$A$2:$A$1001,B5688)&gt;0,"Valid","Invalid")</f>
        <v>Valid</v>
      </c>
      <c r="R5688" t="str">
        <f>IF(COUNTIF(Branches!$A$2:$A$11,F5688)&gt;0,"Valid","Invalid")</f>
        <v>Valid</v>
      </c>
    </row>
    <row r="5689" spans="1:18" x14ac:dyDescent="0.25">
      <c r="A5689" t="s">
        <v>7760</v>
      </c>
      <c r="B5689" t="s">
        <v>246</v>
      </c>
      <c r="C5689" s="8">
        <v>46229</v>
      </c>
      <c r="D5689" t="s">
        <v>2065</v>
      </c>
      <c r="E5689" t="s">
        <v>2063</v>
      </c>
      <c r="F5689" t="s">
        <v>53</v>
      </c>
      <c r="G5689">
        <v>1957.46</v>
      </c>
      <c r="H5689" t="s">
        <v>2060</v>
      </c>
      <c r="I5689" t="str">
        <f>VLOOKUP(B5689,Customers!A:G,7,FALSE)</f>
        <v>SME</v>
      </c>
      <c r="Q5689" t="str">
        <f>IF(COUNTIF(Customers!$A$2:$A$1001,B5689)&gt;0,"Valid","Invalid")</f>
        <v>Valid</v>
      </c>
      <c r="R5689" t="str">
        <f>IF(COUNTIF(Branches!$A$2:$A$11,F5689)&gt;0,"Valid","Invalid")</f>
        <v>Valid</v>
      </c>
    </row>
    <row r="5690" spans="1:18" x14ac:dyDescent="0.25">
      <c r="A5690" t="s">
        <v>7761</v>
      </c>
      <c r="B5690" t="s">
        <v>868</v>
      </c>
      <c r="C5690" s="8">
        <v>46030</v>
      </c>
      <c r="D5690" t="s">
        <v>2058</v>
      </c>
      <c r="E5690" t="s">
        <v>2063</v>
      </c>
      <c r="F5690" t="s">
        <v>29</v>
      </c>
      <c r="G5690">
        <v>629.19000000000005</v>
      </c>
      <c r="H5690" t="s">
        <v>2060</v>
      </c>
      <c r="I5690" t="str">
        <f>VLOOKUP(B5690,Customers!A:G,7,FALSE)</f>
        <v>Individual</v>
      </c>
      <c r="Q5690" t="str">
        <f>IF(COUNTIF(Customers!$A$2:$A$1001,B5690)&gt;0,"Valid","Invalid")</f>
        <v>Valid</v>
      </c>
      <c r="R5690" t="str">
        <f>IF(COUNTIF(Branches!$A$2:$A$11,F5690)&gt;0,"Valid","Invalid")</f>
        <v>Valid</v>
      </c>
    </row>
    <row r="5691" spans="1:18" x14ac:dyDescent="0.25">
      <c r="A5691" t="s">
        <v>7762</v>
      </c>
      <c r="B5691" t="s">
        <v>894</v>
      </c>
      <c r="C5691" s="8">
        <v>46234</v>
      </c>
      <c r="D5691" t="s">
        <v>2070</v>
      </c>
      <c r="E5691" t="s">
        <v>2073</v>
      </c>
      <c r="F5691" t="s">
        <v>53</v>
      </c>
      <c r="G5691">
        <v>246.26</v>
      </c>
      <c r="H5691" t="s">
        <v>2060</v>
      </c>
      <c r="I5691" t="str">
        <f>VLOOKUP(B5691,Customers!A:G,7,FALSE)</f>
        <v>Individual</v>
      </c>
      <c r="Q5691" t="str">
        <f>IF(COUNTIF(Customers!$A$2:$A$1001,B5691)&gt;0,"Valid","Invalid")</f>
        <v>Valid</v>
      </c>
      <c r="R5691" t="str">
        <f>IF(COUNTIF(Branches!$A$2:$A$11,F5691)&gt;0,"Valid","Invalid")</f>
        <v>Valid</v>
      </c>
    </row>
    <row r="5692" spans="1:18" x14ac:dyDescent="0.25">
      <c r="A5692" t="s">
        <v>7763</v>
      </c>
      <c r="B5692" t="s">
        <v>188</v>
      </c>
      <c r="C5692" s="8">
        <v>46136</v>
      </c>
      <c r="D5692" t="s">
        <v>2062</v>
      </c>
      <c r="E5692" t="s">
        <v>2059</v>
      </c>
      <c r="F5692" t="s">
        <v>11</v>
      </c>
      <c r="G5692">
        <v>116.79</v>
      </c>
      <c r="H5692" t="s">
        <v>2060</v>
      </c>
      <c r="I5692" t="str">
        <f>VLOOKUP(B5692,Customers!A:G,7,FALSE)</f>
        <v>Corporate</v>
      </c>
      <c r="Q5692" t="str">
        <f>IF(COUNTIF(Customers!$A$2:$A$1001,B5692)&gt;0,"Valid","Invalid")</f>
        <v>Valid</v>
      </c>
      <c r="R5692" t="str">
        <f>IF(COUNTIF(Branches!$A$2:$A$11,F5692)&gt;0,"Valid","Invalid")</f>
        <v>Valid</v>
      </c>
    </row>
    <row r="5693" spans="1:18" x14ac:dyDescent="0.25">
      <c r="A5693" t="s">
        <v>7764</v>
      </c>
      <c r="B5693" t="s">
        <v>937</v>
      </c>
      <c r="C5693" s="8">
        <v>46209</v>
      </c>
      <c r="D5693" t="s">
        <v>2070</v>
      </c>
      <c r="E5693" t="s">
        <v>2063</v>
      </c>
      <c r="F5693" t="s">
        <v>27</v>
      </c>
      <c r="G5693">
        <v>333.55</v>
      </c>
      <c r="H5693" t="s">
        <v>2060</v>
      </c>
      <c r="I5693" t="str">
        <f>VLOOKUP(B5693,Customers!A:G,7,FALSE)</f>
        <v>SME</v>
      </c>
      <c r="Q5693" t="str">
        <f>IF(COUNTIF(Customers!$A$2:$A$1001,B5693)&gt;0,"Valid","Invalid")</f>
        <v>Valid</v>
      </c>
      <c r="R5693" t="str">
        <f>IF(COUNTIF(Branches!$A$2:$A$11,F5693)&gt;0,"Valid","Invalid")</f>
        <v>Valid</v>
      </c>
    </row>
    <row r="5694" spans="1:18" x14ac:dyDescent="0.25">
      <c r="A5694" t="s">
        <v>7765</v>
      </c>
      <c r="B5694" t="s">
        <v>403</v>
      </c>
      <c r="C5694" s="8">
        <v>46171</v>
      </c>
      <c r="D5694" t="s">
        <v>2058</v>
      </c>
      <c r="E5694" t="s">
        <v>2073</v>
      </c>
      <c r="F5694" t="s">
        <v>47</v>
      </c>
      <c r="G5694">
        <v>1239.57</v>
      </c>
      <c r="H5694" t="s">
        <v>2060</v>
      </c>
      <c r="I5694" t="str">
        <f>VLOOKUP(B5694,Customers!A:G,7,FALSE)</f>
        <v>SME</v>
      </c>
      <c r="Q5694" t="str">
        <f>IF(COUNTIF(Customers!$A$2:$A$1001,B5694)&gt;0,"Valid","Invalid")</f>
        <v>Valid</v>
      </c>
      <c r="R5694" t="str">
        <f>IF(COUNTIF(Branches!$A$2:$A$11,F5694)&gt;0,"Valid","Invalid")</f>
        <v>Valid</v>
      </c>
    </row>
    <row r="5695" spans="1:18" x14ac:dyDescent="0.25">
      <c r="A5695" t="s">
        <v>7766</v>
      </c>
      <c r="B5695" t="s">
        <v>236</v>
      </c>
      <c r="C5695" s="8">
        <v>46087</v>
      </c>
      <c r="D5695" t="s">
        <v>2058</v>
      </c>
      <c r="E5695" t="s">
        <v>2063</v>
      </c>
      <c r="F5695" t="s">
        <v>29</v>
      </c>
      <c r="G5695">
        <v>3433.89</v>
      </c>
      <c r="H5695" t="s">
        <v>2060</v>
      </c>
      <c r="I5695" t="str">
        <f>VLOOKUP(B5695,Customers!A:G,7,FALSE)</f>
        <v>Individual</v>
      </c>
      <c r="Q5695" t="str">
        <f>IF(COUNTIF(Customers!$A$2:$A$1001,B5695)&gt;0,"Valid","Invalid")</f>
        <v>Valid</v>
      </c>
      <c r="R5695" t="str">
        <f>IF(COUNTIF(Branches!$A$2:$A$11,F5695)&gt;0,"Valid","Invalid")</f>
        <v>Valid</v>
      </c>
    </row>
    <row r="5696" spans="1:18" x14ac:dyDescent="0.25">
      <c r="A5696" t="s">
        <v>7767</v>
      </c>
      <c r="B5696" t="s">
        <v>639</v>
      </c>
      <c r="C5696" s="8">
        <v>46115</v>
      </c>
      <c r="D5696" t="s">
        <v>2058</v>
      </c>
      <c r="E5696" t="s">
        <v>2076</v>
      </c>
      <c r="F5696" t="s">
        <v>29</v>
      </c>
      <c r="G5696">
        <v>857.56</v>
      </c>
      <c r="H5696" t="s">
        <v>2060</v>
      </c>
      <c r="I5696" t="str">
        <f>VLOOKUP(B5696,Customers!A:G,7,FALSE)</f>
        <v>Individual</v>
      </c>
      <c r="Q5696" t="str">
        <f>IF(COUNTIF(Customers!$A$2:$A$1001,B5696)&gt;0,"Valid","Invalid")</f>
        <v>Valid</v>
      </c>
      <c r="R5696" t="str">
        <f>IF(COUNTIF(Branches!$A$2:$A$11,F5696)&gt;0,"Valid","Invalid")</f>
        <v>Valid</v>
      </c>
    </row>
    <row r="5697" spans="1:18" x14ac:dyDescent="0.25">
      <c r="A5697" t="s">
        <v>7768</v>
      </c>
      <c r="B5697" t="s">
        <v>798</v>
      </c>
      <c r="C5697" s="8">
        <v>46174</v>
      </c>
      <c r="D5697" t="s">
        <v>2058</v>
      </c>
      <c r="E5697" t="s">
        <v>2076</v>
      </c>
      <c r="F5697" t="s">
        <v>11</v>
      </c>
      <c r="G5697">
        <v>241.39</v>
      </c>
      <c r="H5697" t="s">
        <v>2060</v>
      </c>
      <c r="I5697" t="str">
        <f>VLOOKUP(B5697,Customers!A:G,7,FALSE)</f>
        <v>Individual</v>
      </c>
      <c r="Q5697" t="str">
        <f>IF(COUNTIF(Customers!$A$2:$A$1001,B5697)&gt;0,"Valid","Invalid")</f>
        <v>Valid</v>
      </c>
      <c r="R5697" t="str">
        <f>IF(COUNTIF(Branches!$A$2:$A$11,F5697)&gt;0,"Valid","Invalid")</f>
        <v>Valid</v>
      </c>
    </row>
    <row r="5698" spans="1:18" x14ac:dyDescent="0.25">
      <c r="A5698" t="s">
        <v>7769</v>
      </c>
      <c r="B5698" t="s">
        <v>873</v>
      </c>
      <c r="C5698" s="8">
        <v>46180</v>
      </c>
      <c r="D5698" t="s">
        <v>2065</v>
      </c>
      <c r="E5698" t="s">
        <v>2063</v>
      </c>
      <c r="F5698" t="s">
        <v>11</v>
      </c>
      <c r="G5698">
        <v>337</v>
      </c>
      <c r="H5698" t="s">
        <v>2060</v>
      </c>
      <c r="I5698" t="str">
        <f>VLOOKUP(B5698,Customers!A:G,7,FALSE)</f>
        <v>Individual</v>
      </c>
      <c r="Q5698" t="str">
        <f>IF(COUNTIF(Customers!$A$2:$A$1001,B5698)&gt;0,"Valid","Invalid")</f>
        <v>Valid</v>
      </c>
      <c r="R5698" t="str">
        <f>IF(COUNTIF(Branches!$A$2:$A$11,F5698)&gt;0,"Valid","Invalid")</f>
        <v>Valid</v>
      </c>
    </row>
    <row r="5699" spans="1:18" x14ac:dyDescent="0.25">
      <c r="A5699" t="s">
        <v>7770</v>
      </c>
      <c r="B5699" t="s">
        <v>115</v>
      </c>
      <c r="C5699" s="8">
        <v>46126</v>
      </c>
      <c r="D5699" t="s">
        <v>2058</v>
      </c>
      <c r="E5699" t="s">
        <v>2063</v>
      </c>
      <c r="F5699" t="s">
        <v>45</v>
      </c>
      <c r="G5699">
        <v>347.68</v>
      </c>
      <c r="H5699" t="s">
        <v>2060</v>
      </c>
      <c r="I5699" t="str">
        <f>VLOOKUP(B5699,Customers!A:G,7,FALSE)</f>
        <v>SME</v>
      </c>
      <c r="Q5699" t="str">
        <f>IF(COUNTIF(Customers!$A$2:$A$1001,B5699)&gt;0,"Valid","Invalid")</f>
        <v>Valid</v>
      </c>
      <c r="R5699" t="str">
        <f>IF(COUNTIF(Branches!$A$2:$A$11,F5699)&gt;0,"Valid","Invalid")</f>
        <v>Valid</v>
      </c>
    </row>
    <row r="5700" spans="1:18" x14ac:dyDescent="0.25">
      <c r="A5700" t="s">
        <v>7771</v>
      </c>
      <c r="B5700" t="s">
        <v>515</v>
      </c>
      <c r="C5700" s="8">
        <v>46121</v>
      </c>
      <c r="D5700" t="s">
        <v>2067</v>
      </c>
      <c r="E5700" t="s">
        <v>2063</v>
      </c>
      <c r="F5700" t="s">
        <v>47</v>
      </c>
      <c r="G5700">
        <v>541.32000000000005</v>
      </c>
      <c r="H5700" t="s">
        <v>2060</v>
      </c>
      <c r="I5700" t="str">
        <f>VLOOKUP(B5700,Customers!A:G,7,FALSE)</f>
        <v>Corporate</v>
      </c>
      <c r="Q5700" t="str">
        <f>IF(COUNTIF(Customers!$A$2:$A$1001,B5700)&gt;0,"Valid","Invalid")</f>
        <v>Valid</v>
      </c>
      <c r="R5700" t="str">
        <f>IF(COUNTIF(Branches!$A$2:$A$11,F5700)&gt;0,"Valid","Invalid")</f>
        <v>Valid</v>
      </c>
    </row>
    <row r="5701" spans="1:18" x14ac:dyDescent="0.25">
      <c r="A5701" t="s">
        <v>7772</v>
      </c>
      <c r="B5701" t="s">
        <v>472</v>
      </c>
      <c r="C5701" s="8">
        <v>46247</v>
      </c>
      <c r="D5701" t="s">
        <v>2067</v>
      </c>
      <c r="E5701" t="s">
        <v>2076</v>
      </c>
      <c r="F5701" t="s">
        <v>29</v>
      </c>
      <c r="G5701">
        <v>2492.14</v>
      </c>
      <c r="H5701" t="s">
        <v>2060</v>
      </c>
      <c r="I5701" t="str">
        <f>VLOOKUP(B5701,Customers!A:G,7,FALSE)</f>
        <v>Individual</v>
      </c>
      <c r="Q5701" t="str">
        <f>IF(COUNTIF(Customers!$A$2:$A$1001,B5701)&gt;0,"Valid","Invalid")</f>
        <v>Valid</v>
      </c>
      <c r="R5701" t="str">
        <f>IF(COUNTIF(Branches!$A$2:$A$11,F5701)&gt;0,"Valid","Invalid")</f>
        <v>Valid</v>
      </c>
    </row>
    <row r="5702" spans="1:18" x14ac:dyDescent="0.25">
      <c r="A5702" t="s">
        <v>7773</v>
      </c>
      <c r="B5702" t="s">
        <v>835</v>
      </c>
      <c r="C5702" s="8">
        <v>46106</v>
      </c>
      <c r="D5702" t="s">
        <v>2058</v>
      </c>
      <c r="E5702" t="s">
        <v>2059</v>
      </c>
      <c r="F5702" t="s">
        <v>45</v>
      </c>
      <c r="G5702">
        <v>2694.34</v>
      </c>
      <c r="H5702" t="s">
        <v>2060</v>
      </c>
      <c r="I5702" t="str">
        <f>VLOOKUP(B5702,Customers!A:G,7,FALSE)</f>
        <v>Individual</v>
      </c>
      <c r="Q5702" t="str">
        <f>IF(COUNTIF(Customers!$A$2:$A$1001,B5702)&gt;0,"Valid","Invalid")</f>
        <v>Valid</v>
      </c>
      <c r="R5702" t="str">
        <f>IF(COUNTIF(Branches!$A$2:$A$11,F5702)&gt;0,"Valid","Invalid")</f>
        <v>Valid</v>
      </c>
    </row>
    <row r="5703" spans="1:18" x14ac:dyDescent="0.25">
      <c r="A5703" t="s">
        <v>7774</v>
      </c>
      <c r="B5703" t="s">
        <v>880</v>
      </c>
      <c r="C5703" s="8">
        <v>46207</v>
      </c>
      <c r="D5703" t="s">
        <v>2065</v>
      </c>
      <c r="E5703" t="s">
        <v>2063</v>
      </c>
      <c r="F5703" t="s">
        <v>35</v>
      </c>
      <c r="G5703">
        <v>683.85</v>
      </c>
      <c r="H5703" t="s">
        <v>2060</v>
      </c>
      <c r="I5703" t="str">
        <f>VLOOKUP(B5703,Customers!A:G,7,FALSE)</f>
        <v>SME</v>
      </c>
      <c r="Q5703" t="str">
        <f>IF(COUNTIF(Customers!$A$2:$A$1001,B5703)&gt;0,"Valid","Invalid")</f>
        <v>Valid</v>
      </c>
      <c r="R5703" t="str">
        <f>IF(COUNTIF(Branches!$A$2:$A$11,F5703)&gt;0,"Valid","Invalid")</f>
        <v>Valid</v>
      </c>
    </row>
    <row r="5704" spans="1:18" x14ac:dyDescent="0.25">
      <c r="A5704" t="s">
        <v>7775</v>
      </c>
      <c r="B5704" t="s">
        <v>66</v>
      </c>
      <c r="C5704" s="8">
        <v>46230</v>
      </c>
      <c r="D5704" t="s">
        <v>2067</v>
      </c>
      <c r="E5704" t="s">
        <v>2073</v>
      </c>
      <c r="F5704" t="s">
        <v>53</v>
      </c>
      <c r="G5704">
        <v>975.62</v>
      </c>
      <c r="H5704" t="s">
        <v>2060</v>
      </c>
      <c r="I5704" t="str">
        <f>VLOOKUP(B5704,Customers!A:G,7,FALSE)</f>
        <v>Individual</v>
      </c>
      <c r="Q5704" t="str">
        <f>IF(COUNTIF(Customers!$A$2:$A$1001,B5704)&gt;0,"Valid","Invalid")</f>
        <v>Valid</v>
      </c>
      <c r="R5704" t="str">
        <f>IF(COUNTIF(Branches!$A$2:$A$11,F5704)&gt;0,"Valid","Invalid")</f>
        <v>Valid</v>
      </c>
    </row>
    <row r="5705" spans="1:18" x14ac:dyDescent="0.25">
      <c r="A5705" t="s">
        <v>7776</v>
      </c>
      <c r="B5705" t="s">
        <v>123</v>
      </c>
      <c r="C5705" s="8">
        <v>46095</v>
      </c>
      <c r="D5705" t="s">
        <v>2065</v>
      </c>
      <c r="E5705" t="s">
        <v>2059</v>
      </c>
      <c r="F5705" t="s">
        <v>11</v>
      </c>
      <c r="G5705">
        <v>365.93</v>
      </c>
      <c r="H5705" t="s">
        <v>2060</v>
      </c>
      <c r="I5705" t="str">
        <f>VLOOKUP(B5705,Customers!A:G,7,FALSE)</f>
        <v>Corporate</v>
      </c>
      <c r="Q5705" t="str">
        <f>IF(COUNTIF(Customers!$A$2:$A$1001,B5705)&gt;0,"Valid","Invalid")</f>
        <v>Valid</v>
      </c>
      <c r="R5705" t="str">
        <f>IF(COUNTIF(Branches!$A$2:$A$11,F5705)&gt;0,"Valid","Invalid")</f>
        <v>Valid</v>
      </c>
    </row>
    <row r="5706" spans="1:18" x14ac:dyDescent="0.25">
      <c r="A5706" t="s">
        <v>7777</v>
      </c>
      <c r="B5706" t="s">
        <v>589</v>
      </c>
      <c r="C5706" s="8">
        <v>46245</v>
      </c>
      <c r="D5706" t="s">
        <v>2070</v>
      </c>
      <c r="E5706" t="s">
        <v>2063</v>
      </c>
      <c r="F5706" t="s">
        <v>21</v>
      </c>
      <c r="G5706">
        <v>146.94999999999999</v>
      </c>
      <c r="H5706" t="s">
        <v>2060</v>
      </c>
      <c r="I5706" t="str">
        <f>VLOOKUP(B5706,Customers!A:G,7,FALSE)</f>
        <v>Individual</v>
      </c>
      <c r="Q5706" t="str">
        <f>IF(COUNTIF(Customers!$A$2:$A$1001,B5706)&gt;0,"Valid","Invalid")</f>
        <v>Valid</v>
      </c>
      <c r="R5706" t="str">
        <f>IF(COUNTIF(Branches!$A$2:$A$11,F5706)&gt;0,"Valid","Invalid")</f>
        <v>Valid</v>
      </c>
    </row>
    <row r="5707" spans="1:18" x14ac:dyDescent="0.25">
      <c r="A5707" t="s">
        <v>7778</v>
      </c>
      <c r="B5707" t="s">
        <v>431</v>
      </c>
      <c r="C5707" s="8">
        <v>46167</v>
      </c>
      <c r="D5707" t="s">
        <v>2065</v>
      </c>
      <c r="E5707" t="s">
        <v>2063</v>
      </c>
      <c r="F5707" t="s">
        <v>29</v>
      </c>
      <c r="G5707">
        <v>4857.79</v>
      </c>
      <c r="H5707" t="s">
        <v>2060</v>
      </c>
      <c r="I5707" t="str">
        <f>VLOOKUP(B5707,Customers!A:G,7,FALSE)</f>
        <v>SME</v>
      </c>
      <c r="Q5707" t="str">
        <f>IF(COUNTIF(Customers!$A$2:$A$1001,B5707)&gt;0,"Valid","Invalid")</f>
        <v>Valid</v>
      </c>
      <c r="R5707" t="str">
        <f>IF(COUNTIF(Branches!$A$2:$A$11,F5707)&gt;0,"Valid","Invalid")</f>
        <v>Valid</v>
      </c>
    </row>
    <row r="5708" spans="1:18" x14ac:dyDescent="0.25">
      <c r="A5708" t="s">
        <v>7779</v>
      </c>
      <c r="B5708" t="s">
        <v>651</v>
      </c>
      <c r="C5708" s="8">
        <v>46081</v>
      </c>
      <c r="D5708" t="s">
        <v>2065</v>
      </c>
      <c r="E5708" t="s">
        <v>2063</v>
      </c>
      <c r="F5708" t="s">
        <v>35</v>
      </c>
      <c r="G5708">
        <v>79.64</v>
      </c>
      <c r="H5708" t="s">
        <v>2060</v>
      </c>
      <c r="I5708" t="str">
        <f>VLOOKUP(B5708,Customers!A:G,7,FALSE)</f>
        <v>SME</v>
      </c>
      <c r="Q5708" t="str">
        <f>IF(COUNTIF(Customers!$A$2:$A$1001,B5708)&gt;0,"Valid","Invalid")</f>
        <v>Valid</v>
      </c>
      <c r="R5708" t="str">
        <f>IF(COUNTIF(Branches!$A$2:$A$11,F5708)&gt;0,"Valid","Invalid")</f>
        <v>Valid</v>
      </c>
    </row>
    <row r="5709" spans="1:18" x14ac:dyDescent="0.25">
      <c r="A5709" t="s">
        <v>7780</v>
      </c>
      <c r="B5709" t="s">
        <v>282</v>
      </c>
      <c r="C5709" s="8">
        <v>46053</v>
      </c>
      <c r="D5709" t="s">
        <v>2062</v>
      </c>
      <c r="E5709" t="s">
        <v>2073</v>
      </c>
      <c r="F5709" t="s">
        <v>35</v>
      </c>
      <c r="G5709">
        <v>129.56</v>
      </c>
      <c r="H5709" t="s">
        <v>2060</v>
      </c>
      <c r="I5709" t="str">
        <f>VLOOKUP(B5709,Customers!A:G,7,FALSE)</f>
        <v>SME</v>
      </c>
      <c r="Q5709" t="str">
        <f>IF(COUNTIF(Customers!$A$2:$A$1001,B5709)&gt;0,"Valid","Invalid")</f>
        <v>Valid</v>
      </c>
      <c r="R5709" t="str">
        <f>IF(COUNTIF(Branches!$A$2:$A$11,F5709)&gt;0,"Valid","Invalid")</f>
        <v>Valid</v>
      </c>
    </row>
    <row r="5710" spans="1:18" x14ac:dyDescent="0.25">
      <c r="A5710" t="s">
        <v>7781</v>
      </c>
      <c r="B5710" t="s">
        <v>270</v>
      </c>
      <c r="C5710" s="8">
        <v>46086</v>
      </c>
      <c r="D5710" t="s">
        <v>2058</v>
      </c>
      <c r="E5710" t="s">
        <v>2063</v>
      </c>
      <c r="F5710" t="s">
        <v>27</v>
      </c>
      <c r="G5710">
        <v>4897.1400000000003</v>
      </c>
      <c r="H5710" t="s">
        <v>2060</v>
      </c>
      <c r="I5710" t="str">
        <f>VLOOKUP(B5710,Customers!A:G,7,FALSE)</f>
        <v>Student</v>
      </c>
      <c r="Q5710" t="str">
        <f>IF(COUNTIF(Customers!$A$2:$A$1001,B5710)&gt;0,"Valid","Invalid")</f>
        <v>Valid</v>
      </c>
      <c r="R5710" t="str">
        <f>IF(COUNTIF(Branches!$A$2:$A$11,F5710)&gt;0,"Valid","Invalid")</f>
        <v>Valid</v>
      </c>
    </row>
    <row r="5711" spans="1:18" x14ac:dyDescent="0.25">
      <c r="A5711" t="s">
        <v>7782</v>
      </c>
      <c r="B5711" t="s">
        <v>948</v>
      </c>
      <c r="C5711" s="8">
        <v>46070</v>
      </c>
      <c r="D5711" t="s">
        <v>2065</v>
      </c>
      <c r="E5711" t="s">
        <v>2059</v>
      </c>
      <c r="F5711" t="s">
        <v>47</v>
      </c>
      <c r="G5711">
        <v>826.02</v>
      </c>
      <c r="H5711" t="s">
        <v>2060</v>
      </c>
      <c r="I5711" t="str">
        <f>VLOOKUP(B5711,Customers!A:G,7,FALSE)</f>
        <v>SME</v>
      </c>
      <c r="Q5711" t="str">
        <f>IF(COUNTIF(Customers!$A$2:$A$1001,B5711)&gt;0,"Valid","Invalid")</f>
        <v>Valid</v>
      </c>
      <c r="R5711" t="str">
        <f>IF(COUNTIF(Branches!$A$2:$A$11,F5711)&gt;0,"Valid","Invalid")</f>
        <v>Valid</v>
      </c>
    </row>
    <row r="5712" spans="1:18" x14ac:dyDescent="0.25">
      <c r="A5712" t="s">
        <v>7783</v>
      </c>
      <c r="B5712" t="s">
        <v>618</v>
      </c>
      <c r="C5712" s="8">
        <v>46045</v>
      </c>
      <c r="D5712" t="s">
        <v>2067</v>
      </c>
      <c r="E5712" t="s">
        <v>2068</v>
      </c>
      <c r="F5712" t="s">
        <v>29</v>
      </c>
      <c r="G5712">
        <v>263.51</v>
      </c>
      <c r="H5712" t="s">
        <v>2060</v>
      </c>
      <c r="I5712" t="str">
        <f>VLOOKUP(B5712,Customers!A:G,7,FALSE)</f>
        <v>Individual</v>
      </c>
      <c r="Q5712" t="str">
        <f>IF(COUNTIF(Customers!$A$2:$A$1001,B5712)&gt;0,"Valid","Invalid")</f>
        <v>Valid</v>
      </c>
      <c r="R5712" t="str">
        <f>IF(COUNTIF(Branches!$A$2:$A$11,F5712)&gt;0,"Valid","Invalid")</f>
        <v>Valid</v>
      </c>
    </row>
    <row r="5713" spans="1:18" x14ac:dyDescent="0.25">
      <c r="A5713" t="s">
        <v>7784</v>
      </c>
      <c r="B5713" t="s">
        <v>229</v>
      </c>
      <c r="C5713" s="8">
        <v>46220</v>
      </c>
      <c r="D5713" t="s">
        <v>2065</v>
      </c>
      <c r="E5713" t="s">
        <v>2076</v>
      </c>
      <c r="F5713" t="s">
        <v>16</v>
      </c>
      <c r="G5713">
        <v>1607.93</v>
      </c>
      <c r="H5713" t="s">
        <v>2060</v>
      </c>
      <c r="I5713" t="str">
        <f>VLOOKUP(B5713,Customers!A:G,7,FALSE)</f>
        <v>Corporate</v>
      </c>
      <c r="Q5713" t="str">
        <f>IF(COUNTIF(Customers!$A$2:$A$1001,B5713)&gt;0,"Valid","Invalid")</f>
        <v>Valid</v>
      </c>
      <c r="R5713" t="str">
        <f>IF(COUNTIF(Branches!$A$2:$A$11,F5713)&gt;0,"Valid","Invalid")</f>
        <v>Valid</v>
      </c>
    </row>
    <row r="5714" spans="1:18" x14ac:dyDescent="0.25">
      <c r="A5714" t="s">
        <v>7785</v>
      </c>
      <c r="B5714" t="s">
        <v>954</v>
      </c>
      <c r="C5714" s="8">
        <v>46180</v>
      </c>
      <c r="D5714" t="s">
        <v>2065</v>
      </c>
      <c r="E5714" t="s">
        <v>2059</v>
      </c>
      <c r="F5714" t="s">
        <v>21</v>
      </c>
      <c r="G5714">
        <v>1759.97</v>
      </c>
      <c r="H5714" t="s">
        <v>2060</v>
      </c>
      <c r="I5714" t="str">
        <f>VLOOKUP(B5714,Customers!A:G,7,FALSE)</f>
        <v>Individual</v>
      </c>
      <c r="Q5714" t="str">
        <f>IF(COUNTIF(Customers!$A$2:$A$1001,B5714)&gt;0,"Valid","Invalid")</f>
        <v>Valid</v>
      </c>
      <c r="R5714" t="str">
        <f>IF(COUNTIF(Branches!$A$2:$A$11,F5714)&gt;0,"Valid","Invalid")</f>
        <v>Valid</v>
      </c>
    </row>
    <row r="5715" spans="1:18" x14ac:dyDescent="0.25">
      <c r="A5715" t="s">
        <v>7786</v>
      </c>
      <c r="B5715" t="s">
        <v>578</v>
      </c>
      <c r="C5715" s="8">
        <v>46077</v>
      </c>
      <c r="D5715" t="s">
        <v>2065</v>
      </c>
      <c r="E5715" t="s">
        <v>2068</v>
      </c>
      <c r="F5715" t="s">
        <v>11</v>
      </c>
      <c r="G5715">
        <v>214.29</v>
      </c>
      <c r="H5715" t="s">
        <v>2060</v>
      </c>
      <c r="I5715" t="str">
        <f>VLOOKUP(B5715,Customers!A:G,7,FALSE)</f>
        <v>SME</v>
      </c>
      <c r="Q5715" t="str">
        <f>IF(COUNTIF(Customers!$A$2:$A$1001,B5715)&gt;0,"Valid","Invalid")</f>
        <v>Valid</v>
      </c>
      <c r="R5715" t="str">
        <f>IF(COUNTIF(Branches!$A$2:$A$11,F5715)&gt;0,"Valid","Invalid")</f>
        <v>Valid</v>
      </c>
    </row>
    <row r="5716" spans="1:18" x14ac:dyDescent="0.25">
      <c r="A5716" t="s">
        <v>7787</v>
      </c>
      <c r="B5716" t="s">
        <v>308</v>
      </c>
      <c r="C5716" s="8">
        <v>46029</v>
      </c>
      <c r="D5716" t="s">
        <v>2067</v>
      </c>
      <c r="E5716" t="s">
        <v>2076</v>
      </c>
      <c r="F5716" t="s">
        <v>29</v>
      </c>
      <c r="G5716">
        <v>476.83</v>
      </c>
      <c r="H5716" t="s">
        <v>2060</v>
      </c>
      <c r="I5716" t="str">
        <f>VLOOKUP(B5716,Customers!A:G,7,FALSE)</f>
        <v>SME</v>
      </c>
      <c r="Q5716" t="str">
        <f>IF(COUNTIF(Customers!$A$2:$A$1001,B5716)&gt;0,"Valid","Invalid")</f>
        <v>Valid</v>
      </c>
      <c r="R5716" t="str">
        <f>IF(COUNTIF(Branches!$A$2:$A$11,F5716)&gt;0,"Valid","Invalid")</f>
        <v>Valid</v>
      </c>
    </row>
    <row r="5717" spans="1:18" x14ac:dyDescent="0.25">
      <c r="A5717" t="s">
        <v>7788</v>
      </c>
      <c r="B5717" t="s">
        <v>978</v>
      </c>
      <c r="C5717" s="8">
        <v>46134</v>
      </c>
      <c r="D5717" t="s">
        <v>2062</v>
      </c>
      <c r="E5717" t="s">
        <v>2063</v>
      </c>
      <c r="F5717" t="s">
        <v>39</v>
      </c>
      <c r="G5717">
        <v>1951.29</v>
      </c>
      <c r="H5717" t="s">
        <v>2060</v>
      </c>
      <c r="I5717" t="str">
        <f>VLOOKUP(B5717,Customers!A:G,7,FALSE)</f>
        <v>Individual</v>
      </c>
      <c r="Q5717" t="str">
        <f>IF(COUNTIF(Customers!$A$2:$A$1001,B5717)&gt;0,"Valid","Invalid")</f>
        <v>Valid</v>
      </c>
      <c r="R5717" t="str">
        <f>IF(COUNTIF(Branches!$A$2:$A$11,F5717)&gt;0,"Valid","Invalid")</f>
        <v>Valid</v>
      </c>
    </row>
    <row r="5718" spans="1:18" x14ac:dyDescent="0.25">
      <c r="A5718" t="s">
        <v>7789</v>
      </c>
      <c r="B5718" t="s">
        <v>776</v>
      </c>
      <c r="C5718" s="8">
        <v>46254</v>
      </c>
      <c r="D5718" t="s">
        <v>2058</v>
      </c>
      <c r="E5718" t="s">
        <v>2076</v>
      </c>
      <c r="F5718" t="s">
        <v>16</v>
      </c>
      <c r="G5718">
        <v>358.92</v>
      </c>
      <c r="H5718" t="s">
        <v>2060</v>
      </c>
      <c r="I5718" t="str">
        <f>VLOOKUP(B5718,Customers!A:G,7,FALSE)</f>
        <v>Individual</v>
      </c>
      <c r="Q5718" t="str">
        <f>IF(COUNTIF(Customers!$A$2:$A$1001,B5718)&gt;0,"Valid","Invalid")</f>
        <v>Valid</v>
      </c>
      <c r="R5718" t="str">
        <f>IF(COUNTIF(Branches!$A$2:$A$11,F5718)&gt;0,"Valid","Invalid")</f>
        <v>Valid</v>
      </c>
    </row>
    <row r="5719" spans="1:18" x14ac:dyDescent="0.25">
      <c r="A5719" t="s">
        <v>7790</v>
      </c>
      <c r="B5719" t="s">
        <v>113</v>
      </c>
      <c r="C5719" s="8">
        <v>46128</v>
      </c>
      <c r="D5719" t="s">
        <v>2058</v>
      </c>
      <c r="E5719" t="s">
        <v>2073</v>
      </c>
      <c r="F5719" t="s">
        <v>39</v>
      </c>
      <c r="G5719">
        <v>1077.25</v>
      </c>
      <c r="H5719" t="s">
        <v>2060</v>
      </c>
      <c r="I5719" t="str">
        <f>VLOOKUP(B5719,Customers!A:G,7,FALSE)</f>
        <v>Individual</v>
      </c>
      <c r="Q5719" t="str">
        <f>IF(COUNTIF(Customers!$A$2:$A$1001,B5719)&gt;0,"Valid","Invalid")</f>
        <v>Valid</v>
      </c>
      <c r="R5719" t="str">
        <f>IF(COUNTIF(Branches!$A$2:$A$11,F5719)&gt;0,"Valid","Invalid")</f>
        <v>Valid</v>
      </c>
    </row>
    <row r="5720" spans="1:18" x14ac:dyDescent="0.25">
      <c r="A5720" t="s">
        <v>7791</v>
      </c>
      <c r="B5720" t="s">
        <v>773</v>
      </c>
      <c r="C5720" s="8">
        <v>46260</v>
      </c>
      <c r="D5720" t="s">
        <v>2065</v>
      </c>
      <c r="E5720" t="s">
        <v>2059</v>
      </c>
      <c r="F5720" t="s">
        <v>29</v>
      </c>
      <c r="G5720">
        <v>3377.23</v>
      </c>
      <c r="H5720" t="s">
        <v>2060</v>
      </c>
      <c r="I5720" t="str">
        <f>VLOOKUP(B5720,Customers!A:G,7,FALSE)</f>
        <v>Individual</v>
      </c>
      <c r="Q5720" t="str">
        <f>IF(COUNTIF(Customers!$A$2:$A$1001,B5720)&gt;0,"Valid","Invalid")</f>
        <v>Valid</v>
      </c>
      <c r="R5720" t="str">
        <f>IF(COUNTIF(Branches!$A$2:$A$11,F5720)&gt;0,"Valid","Invalid")</f>
        <v>Valid</v>
      </c>
    </row>
    <row r="5721" spans="1:18" x14ac:dyDescent="0.25">
      <c r="A5721" t="s">
        <v>7792</v>
      </c>
      <c r="B5721" t="s">
        <v>1031</v>
      </c>
      <c r="C5721" s="8">
        <v>46225</v>
      </c>
      <c r="D5721" t="s">
        <v>2067</v>
      </c>
      <c r="E5721" t="s">
        <v>2076</v>
      </c>
      <c r="F5721" t="s">
        <v>11</v>
      </c>
      <c r="G5721">
        <v>74.260000000000005</v>
      </c>
      <c r="H5721" t="s">
        <v>2060</v>
      </c>
      <c r="I5721" t="str">
        <f>VLOOKUP(B5721,Customers!A:G,7,FALSE)</f>
        <v>SME</v>
      </c>
      <c r="Q5721" t="str">
        <f>IF(COUNTIF(Customers!$A$2:$A$1001,B5721)&gt;0,"Valid","Invalid")</f>
        <v>Valid</v>
      </c>
      <c r="R5721" t="str">
        <f>IF(COUNTIF(Branches!$A$2:$A$11,F5721)&gt;0,"Valid","Invalid")</f>
        <v>Valid</v>
      </c>
    </row>
    <row r="5722" spans="1:18" x14ac:dyDescent="0.25">
      <c r="A5722" t="s">
        <v>7793</v>
      </c>
      <c r="B5722" t="s">
        <v>922</v>
      </c>
      <c r="C5722" s="8">
        <v>46120</v>
      </c>
      <c r="D5722" t="s">
        <v>2062</v>
      </c>
      <c r="E5722" t="s">
        <v>2073</v>
      </c>
      <c r="F5722" t="s">
        <v>29</v>
      </c>
      <c r="G5722">
        <v>577.52</v>
      </c>
      <c r="H5722" t="s">
        <v>2060</v>
      </c>
      <c r="I5722" t="str">
        <f>VLOOKUP(B5722,Customers!A:G,7,FALSE)</f>
        <v>Individual</v>
      </c>
      <c r="Q5722" t="str">
        <f>IF(COUNTIF(Customers!$A$2:$A$1001,B5722)&gt;0,"Valid","Invalid")</f>
        <v>Valid</v>
      </c>
      <c r="R5722" t="str">
        <f>IF(COUNTIF(Branches!$A$2:$A$11,F5722)&gt;0,"Valid","Invalid")</f>
        <v>Valid</v>
      </c>
    </row>
    <row r="5723" spans="1:18" x14ac:dyDescent="0.25">
      <c r="A5723" t="s">
        <v>7794</v>
      </c>
      <c r="B5723" t="s">
        <v>203</v>
      </c>
      <c r="C5723" s="8">
        <v>46034</v>
      </c>
      <c r="D5723" t="s">
        <v>2065</v>
      </c>
      <c r="E5723" t="s">
        <v>2076</v>
      </c>
      <c r="F5723" t="s">
        <v>35</v>
      </c>
      <c r="G5723">
        <v>1055.3599999999999</v>
      </c>
      <c r="H5723" t="s">
        <v>2060</v>
      </c>
      <c r="I5723" t="str">
        <f>VLOOKUP(B5723,Customers!A:G,7,FALSE)</f>
        <v>Student</v>
      </c>
      <c r="Q5723" t="str">
        <f>IF(COUNTIF(Customers!$A$2:$A$1001,B5723)&gt;0,"Valid","Invalid")</f>
        <v>Valid</v>
      </c>
      <c r="R5723" t="str">
        <f>IF(COUNTIF(Branches!$A$2:$A$11,F5723)&gt;0,"Valid","Invalid")</f>
        <v>Valid</v>
      </c>
    </row>
    <row r="5724" spans="1:18" x14ac:dyDescent="0.25">
      <c r="A5724" t="s">
        <v>7795</v>
      </c>
      <c r="B5724" t="s">
        <v>322</v>
      </c>
      <c r="C5724" s="8">
        <v>46082</v>
      </c>
      <c r="D5724" t="s">
        <v>2062</v>
      </c>
      <c r="E5724" t="s">
        <v>2063</v>
      </c>
      <c r="F5724" t="s">
        <v>11</v>
      </c>
      <c r="G5724">
        <v>135.36000000000001</v>
      </c>
      <c r="H5724" t="s">
        <v>2060</v>
      </c>
      <c r="I5724" t="str">
        <f>VLOOKUP(B5724,Customers!A:G,7,FALSE)</f>
        <v>Individual</v>
      </c>
      <c r="Q5724" t="str">
        <f>IF(COUNTIF(Customers!$A$2:$A$1001,B5724)&gt;0,"Valid","Invalid")</f>
        <v>Valid</v>
      </c>
      <c r="R5724" t="str">
        <f>IF(COUNTIF(Branches!$A$2:$A$11,F5724)&gt;0,"Valid","Invalid")</f>
        <v>Valid</v>
      </c>
    </row>
    <row r="5725" spans="1:18" x14ac:dyDescent="0.25">
      <c r="A5725" t="s">
        <v>7796</v>
      </c>
      <c r="B5725" t="s">
        <v>742</v>
      </c>
      <c r="C5725" s="8">
        <v>46074</v>
      </c>
      <c r="D5725" t="s">
        <v>2058</v>
      </c>
      <c r="E5725" t="s">
        <v>2063</v>
      </c>
      <c r="F5725" t="s">
        <v>21</v>
      </c>
      <c r="G5725">
        <v>478.37</v>
      </c>
      <c r="H5725" t="s">
        <v>2060</v>
      </c>
      <c r="I5725" t="str">
        <f>VLOOKUP(B5725,Customers!A:G,7,FALSE)</f>
        <v>Student</v>
      </c>
      <c r="Q5725" t="str">
        <f>IF(COUNTIF(Customers!$A$2:$A$1001,B5725)&gt;0,"Valid","Invalid")</f>
        <v>Valid</v>
      </c>
      <c r="R5725" t="str">
        <f>IF(COUNTIF(Branches!$A$2:$A$11,F5725)&gt;0,"Valid","Invalid")</f>
        <v>Valid</v>
      </c>
    </row>
    <row r="5726" spans="1:18" x14ac:dyDescent="0.25">
      <c r="A5726" t="s">
        <v>7797</v>
      </c>
      <c r="B5726" t="s">
        <v>125</v>
      </c>
      <c r="C5726" s="8">
        <v>46259</v>
      </c>
      <c r="D5726" t="s">
        <v>2062</v>
      </c>
      <c r="E5726" t="s">
        <v>2076</v>
      </c>
      <c r="F5726" t="s">
        <v>29</v>
      </c>
      <c r="G5726">
        <v>2308.84</v>
      </c>
      <c r="H5726" t="s">
        <v>2060</v>
      </c>
      <c r="I5726" t="str">
        <f>VLOOKUP(B5726,Customers!A:G,7,FALSE)</f>
        <v>Individual</v>
      </c>
      <c r="Q5726" t="str">
        <f>IF(COUNTIF(Customers!$A$2:$A$1001,B5726)&gt;0,"Valid","Invalid")</f>
        <v>Valid</v>
      </c>
      <c r="R5726" t="str">
        <f>IF(COUNTIF(Branches!$A$2:$A$11,F5726)&gt;0,"Valid","Invalid")</f>
        <v>Valid</v>
      </c>
    </row>
    <row r="5727" spans="1:18" x14ac:dyDescent="0.25">
      <c r="A5727" t="s">
        <v>7798</v>
      </c>
      <c r="B5727" t="s">
        <v>582</v>
      </c>
      <c r="C5727" s="8">
        <v>46261</v>
      </c>
      <c r="D5727" t="s">
        <v>2067</v>
      </c>
      <c r="E5727" t="s">
        <v>2063</v>
      </c>
      <c r="F5727" t="s">
        <v>29</v>
      </c>
      <c r="G5727">
        <v>401.69</v>
      </c>
      <c r="H5727" t="s">
        <v>2060</v>
      </c>
      <c r="I5727" t="str">
        <f>VLOOKUP(B5727,Customers!A:G,7,FALSE)</f>
        <v>Individual</v>
      </c>
      <c r="Q5727" t="str">
        <f>IF(COUNTIF(Customers!$A$2:$A$1001,B5727)&gt;0,"Valid","Invalid")</f>
        <v>Valid</v>
      </c>
      <c r="R5727" t="str">
        <f>IF(COUNTIF(Branches!$A$2:$A$11,F5727)&gt;0,"Valid","Invalid")</f>
        <v>Valid</v>
      </c>
    </row>
    <row r="5728" spans="1:18" x14ac:dyDescent="0.25">
      <c r="A5728" t="s">
        <v>7799</v>
      </c>
      <c r="B5728" t="s">
        <v>687</v>
      </c>
      <c r="C5728" s="8">
        <v>46177</v>
      </c>
      <c r="D5728" t="s">
        <v>2067</v>
      </c>
      <c r="E5728" t="s">
        <v>2073</v>
      </c>
      <c r="F5728" t="s">
        <v>39</v>
      </c>
      <c r="G5728">
        <v>184.14</v>
      </c>
      <c r="H5728" t="s">
        <v>2060</v>
      </c>
      <c r="I5728" t="str">
        <f>VLOOKUP(B5728,Customers!A:G,7,FALSE)</f>
        <v>Individual</v>
      </c>
      <c r="Q5728" t="str">
        <f>IF(COUNTIF(Customers!$A$2:$A$1001,B5728)&gt;0,"Valid","Invalid")</f>
        <v>Valid</v>
      </c>
      <c r="R5728" t="str">
        <f>IF(COUNTIF(Branches!$A$2:$A$11,F5728)&gt;0,"Valid","Invalid")</f>
        <v>Valid</v>
      </c>
    </row>
    <row r="5729" spans="1:18" x14ac:dyDescent="0.25">
      <c r="A5729" t="s">
        <v>7800</v>
      </c>
      <c r="B5729" t="s">
        <v>192</v>
      </c>
      <c r="C5729" s="8">
        <v>46162</v>
      </c>
      <c r="D5729" t="s">
        <v>2062</v>
      </c>
      <c r="E5729" t="s">
        <v>2059</v>
      </c>
      <c r="F5729" t="s">
        <v>45</v>
      </c>
      <c r="G5729">
        <v>2517.02</v>
      </c>
      <c r="H5729" t="s">
        <v>2060</v>
      </c>
      <c r="I5729" t="str">
        <f>VLOOKUP(B5729,Customers!A:G,7,FALSE)</f>
        <v>Individual</v>
      </c>
      <c r="Q5729" t="str">
        <f>IF(COUNTIF(Customers!$A$2:$A$1001,B5729)&gt;0,"Valid","Invalid")</f>
        <v>Valid</v>
      </c>
      <c r="R5729" t="str">
        <f>IF(COUNTIF(Branches!$A$2:$A$11,F5729)&gt;0,"Valid","Invalid")</f>
        <v>Valid</v>
      </c>
    </row>
    <row r="5730" spans="1:18" x14ac:dyDescent="0.25">
      <c r="A5730" t="s">
        <v>7801</v>
      </c>
      <c r="B5730" t="s">
        <v>288</v>
      </c>
      <c r="C5730" s="8">
        <v>46163</v>
      </c>
      <c r="D5730" t="s">
        <v>2062</v>
      </c>
      <c r="E5730" t="s">
        <v>2059</v>
      </c>
      <c r="F5730" t="s">
        <v>47</v>
      </c>
      <c r="G5730">
        <v>1267.1199999999999</v>
      </c>
      <c r="H5730" t="s">
        <v>2060</v>
      </c>
      <c r="I5730" t="str">
        <f>VLOOKUP(B5730,Customers!A:G,7,FALSE)</f>
        <v>SME</v>
      </c>
      <c r="Q5730" t="str">
        <f>IF(COUNTIF(Customers!$A$2:$A$1001,B5730)&gt;0,"Valid","Invalid")</f>
        <v>Valid</v>
      </c>
      <c r="R5730" t="str">
        <f>IF(COUNTIF(Branches!$A$2:$A$11,F5730)&gt;0,"Valid","Invalid")</f>
        <v>Valid</v>
      </c>
    </row>
    <row r="5731" spans="1:18" x14ac:dyDescent="0.25">
      <c r="A5731" t="s">
        <v>7802</v>
      </c>
      <c r="B5731" t="s">
        <v>131</v>
      </c>
      <c r="C5731" s="8">
        <v>46094</v>
      </c>
      <c r="D5731" t="s">
        <v>2065</v>
      </c>
      <c r="E5731" t="s">
        <v>2076</v>
      </c>
      <c r="F5731" t="s">
        <v>53</v>
      </c>
      <c r="G5731">
        <v>758.35</v>
      </c>
      <c r="H5731" t="s">
        <v>2060</v>
      </c>
      <c r="I5731" t="str">
        <f>VLOOKUP(B5731,Customers!A:G,7,FALSE)</f>
        <v>Individual</v>
      </c>
      <c r="Q5731" t="str">
        <f>IF(COUNTIF(Customers!$A$2:$A$1001,B5731)&gt;0,"Valid","Invalid")</f>
        <v>Valid</v>
      </c>
      <c r="R5731" t="str">
        <f>IF(COUNTIF(Branches!$A$2:$A$11,F5731)&gt;0,"Valid","Invalid")</f>
        <v>Valid</v>
      </c>
    </row>
    <row r="5732" spans="1:18" x14ac:dyDescent="0.25">
      <c r="A5732" t="s">
        <v>7803</v>
      </c>
      <c r="B5732" t="s">
        <v>50</v>
      </c>
      <c r="C5732" s="8">
        <v>46230</v>
      </c>
      <c r="D5732" t="s">
        <v>2070</v>
      </c>
      <c r="E5732" t="s">
        <v>2059</v>
      </c>
      <c r="F5732" t="s">
        <v>39</v>
      </c>
      <c r="G5732">
        <v>736.28</v>
      </c>
      <c r="H5732" t="s">
        <v>2060</v>
      </c>
      <c r="I5732" t="str">
        <f>VLOOKUP(B5732,Customers!A:G,7,FALSE)</f>
        <v>SME</v>
      </c>
      <c r="Q5732" t="str">
        <f>IF(COUNTIF(Customers!$A$2:$A$1001,B5732)&gt;0,"Valid","Invalid")</f>
        <v>Valid</v>
      </c>
      <c r="R5732" t="str">
        <f>IF(COUNTIF(Branches!$A$2:$A$11,F5732)&gt;0,"Valid","Invalid")</f>
        <v>Valid</v>
      </c>
    </row>
    <row r="5733" spans="1:18" x14ac:dyDescent="0.25">
      <c r="A5733" t="s">
        <v>7804</v>
      </c>
      <c r="B5733" t="s">
        <v>153</v>
      </c>
      <c r="C5733" s="8">
        <v>46212</v>
      </c>
      <c r="D5733" t="s">
        <v>2065</v>
      </c>
      <c r="E5733" t="s">
        <v>2059</v>
      </c>
      <c r="F5733" t="s">
        <v>45</v>
      </c>
      <c r="G5733">
        <v>2271.6999999999998</v>
      </c>
      <c r="H5733" t="s">
        <v>2060</v>
      </c>
      <c r="I5733" t="str">
        <f>VLOOKUP(B5733,Customers!A:G,7,FALSE)</f>
        <v>Individual</v>
      </c>
      <c r="Q5733" t="str">
        <f>IF(COUNTIF(Customers!$A$2:$A$1001,B5733)&gt;0,"Valid","Invalid")</f>
        <v>Valid</v>
      </c>
      <c r="R5733" t="str">
        <f>IF(COUNTIF(Branches!$A$2:$A$11,F5733)&gt;0,"Valid","Invalid")</f>
        <v>Valid</v>
      </c>
    </row>
    <row r="5734" spans="1:18" x14ac:dyDescent="0.25">
      <c r="A5734" t="s">
        <v>7805</v>
      </c>
      <c r="B5734" t="s">
        <v>1021</v>
      </c>
      <c r="C5734" s="8">
        <v>46147</v>
      </c>
      <c r="D5734" t="s">
        <v>2065</v>
      </c>
      <c r="E5734" t="s">
        <v>2063</v>
      </c>
      <c r="F5734" t="s">
        <v>39</v>
      </c>
      <c r="G5734">
        <v>1090.6500000000001</v>
      </c>
      <c r="H5734" t="s">
        <v>2060</v>
      </c>
      <c r="I5734" t="str">
        <f>VLOOKUP(B5734,Customers!A:G,7,FALSE)</f>
        <v>Student</v>
      </c>
      <c r="Q5734" t="str">
        <f>IF(COUNTIF(Customers!$A$2:$A$1001,B5734)&gt;0,"Valid","Invalid")</f>
        <v>Valid</v>
      </c>
      <c r="R5734" t="str">
        <f>IF(COUNTIF(Branches!$A$2:$A$11,F5734)&gt;0,"Valid","Invalid")</f>
        <v>Valid</v>
      </c>
    </row>
    <row r="5735" spans="1:18" x14ac:dyDescent="0.25">
      <c r="A5735" t="s">
        <v>7806</v>
      </c>
      <c r="B5735" t="s">
        <v>371</v>
      </c>
      <c r="C5735" s="8">
        <v>46179</v>
      </c>
      <c r="D5735" t="s">
        <v>2058</v>
      </c>
      <c r="E5735" t="s">
        <v>2076</v>
      </c>
      <c r="F5735" t="s">
        <v>29</v>
      </c>
      <c r="G5735">
        <v>1549.38</v>
      </c>
      <c r="H5735" t="s">
        <v>2060</v>
      </c>
      <c r="I5735" t="str">
        <f>VLOOKUP(B5735,Customers!A:G,7,FALSE)</f>
        <v>Individual</v>
      </c>
      <c r="Q5735" t="str">
        <f>IF(COUNTIF(Customers!$A$2:$A$1001,B5735)&gt;0,"Valid","Invalid")</f>
        <v>Valid</v>
      </c>
      <c r="R5735" t="str">
        <f>IF(COUNTIF(Branches!$A$2:$A$11,F5735)&gt;0,"Valid","Invalid")</f>
        <v>Valid</v>
      </c>
    </row>
    <row r="5736" spans="1:18" x14ac:dyDescent="0.25">
      <c r="A5736" t="s">
        <v>7807</v>
      </c>
      <c r="B5736" t="s">
        <v>861</v>
      </c>
      <c r="C5736" s="8">
        <v>46185</v>
      </c>
      <c r="D5736" t="s">
        <v>2062</v>
      </c>
      <c r="E5736" t="s">
        <v>2068</v>
      </c>
      <c r="F5736" t="s">
        <v>27</v>
      </c>
      <c r="G5736">
        <v>406.44</v>
      </c>
      <c r="H5736" t="s">
        <v>2060</v>
      </c>
      <c r="I5736" t="str">
        <f>VLOOKUP(B5736,Customers!A:G,7,FALSE)</f>
        <v>SME</v>
      </c>
      <c r="Q5736" t="str">
        <f>IF(COUNTIF(Customers!$A$2:$A$1001,B5736)&gt;0,"Valid","Invalid")</f>
        <v>Valid</v>
      </c>
      <c r="R5736" t="str">
        <f>IF(COUNTIF(Branches!$A$2:$A$11,F5736)&gt;0,"Valid","Invalid")</f>
        <v>Valid</v>
      </c>
    </row>
    <row r="5737" spans="1:18" x14ac:dyDescent="0.25">
      <c r="A5737" t="s">
        <v>7808</v>
      </c>
      <c r="B5737" t="s">
        <v>560</v>
      </c>
      <c r="C5737" s="8">
        <v>46082</v>
      </c>
      <c r="D5737" t="s">
        <v>2070</v>
      </c>
      <c r="E5737" t="s">
        <v>2076</v>
      </c>
      <c r="F5737" t="s">
        <v>35</v>
      </c>
      <c r="G5737">
        <v>119.42</v>
      </c>
      <c r="H5737" t="s">
        <v>2060</v>
      </c>
      <c r="I5737" t="str">
        <f>VLOOKUP(B5737,Customers!A:G,7,FALSE)</f>
        <v>Individual</v>
      </c>
      <c r="Q5737" t="str">
        <f>IF(COUNTIF(Customers!$A$2:$A$1001,B5737)&gt;0,"Valid","Invalid")</f>
        <v>Valid</v>
      </c>
      <c r="R5737" t="str">
        <f>IF(COUNTIF(Branches!$A$2:$A$11,F5737)&gt;0,"Valid","Invalid")</f>
        <v>Valid</v>
      </c>
    </row>
    <row r="5738" spans="1:18" x14ac:dyDescent="0.25">
      <c r="A5738" t="s">
        <v>7809</v>
      </c>
      <c r="B5738" t="s">
        <v>116</v>
      </c>
      <c r="C5738" s="8">
        <v>46179</v>
      </c>
      <c r="D5738" t="s">
        <v>2067</v>
      </c>
      <c r="E5738" t="s">
        <v>2059</v>
      </c>
      <c r="F5738" t="s">
        <v>35</v>
      </c>
      <c r="G5738">
        <v>1513.1</v>
      </c>
      <c r="H5738" t="s">
        <v>2060</v>
      </c>
      <c r="I5738" t="str">
        <f>VLOOKUP(B5738,Customers!A:G,7,FALSE)</f>
        <v>Individual</v>
      </c>
      <c r="Q5738" t="str">
        <f>IF(COUNTIF(Customers!$A$2:$A$1001,B5738)&gt;0,"Valid","Invalid")</f>
        <v>Valid</v>
      </c>
      <c r="R5738" t="str">
        <f>IF(COUNTIF(Branches!$A$2:$A$11,F5738)&gt;0,"Valid","Invalid")</f>
        <v>Valid</v>
      </c>
    </row>
    <row r="5739" spans="1:18" x14ac:dyDescent="0.25">
      <c r="A5739" t="s">
        <v>7810</v>
      </c>
      <c r="B5739" t="s">
        <v>684</v>
      </c>
      <c r="C5739" s="8">
        <v>46053</v>
      </c>
      <c r="D5739" t="s">
        <v>2065</v>
      </c>
      <c r="E5739" t="s">
        <v>2063</v>
      </c>
      <c r="F5739" t="s">
        <v>27</v>
      </c>
      <c r="G5739">
        <v>2442.87</v>
      </c>
      <c r="H5739" t="s">
        <v>2060</v>
      </c>
      <c r="I5739" t="str">
        <f>VLOOKUP(B5739,Customers!A:G,7,FALSE)</f>
        <v>Student</v>
      </c>
      <c r="Q5739" t="str">
        <f>IF(COUNTIF(Customers!$A$2:$A$1001,B5739)&gt;0,"Valid","Invalid")</f>
        <v>Valid</v>
      </c>
      <c r="R5739" t="str">
        <f>IF(COUNTIF(Branches!$A$2:$A$11,F5739)&gt;0,"Valid","Invalid")</f>
        <v>Valid</v>
      </c>
    </row>
    <row r="5740" spans="1:18" x14ac:dyDescent="0.25">
      <c r="A5740" t="s">
        <v>7811</v>
      </c>
      <c r="B5740" t="s">
        <v>470</v>
      </c>
      <c r="C5740" s="8">
        <v>46099</v>
      </c>
      <c r="D5740" t="s">
        <v>2058</v>
      </c>
      <c r="E5740" t="s">
        <v>2068</v>
      </c>
      <c r="F5740" t="s">
        <v>16</v>
      </c>
      <c r="G5740">
        <v>649</v>
      </c>
      <c r="H5740" t="s">
        <v>2060</v>
      </c>
      <c r="I5740" t="str">
        <f>VLOOKUP(B5740,Customers!A:G,7,FALSE)</f>
        <v>Individual</v>
      </c>
      <c r="Q5740" t="str">
        <f>IF(COUNTIF(Customers!$A$2:$A$1001,B5740)&gt;0,"Valid","Invalid")</f>
        <v>Valid</v>
      </c>
      <c r="R5740" t="str">
        <f>IF(COUNTIF(Branches!$A$2:$A$11,F5740)&gt;0,"Valid","Invalid")</f>
        <v>Valid</v>
      </c>
    </row>
    <row r="5741" spans="1:18" x14ac:dyDescent="0.25">
      <c r="A5741" t="s">
        <v>7812</v>
      </c>
      <c r="B5741" t="s">
        <v>240</v>
      </c>
      <c r="C5741" s="8">
        <v>46098</v>
      </c>
      <c r="D5741" t="s">
        <v>2067</v>
      </c>
      <c r="E5741" t="s">
        <v>2073</v>
      </c>
      <c r="F5741" t="s">
        <v>29</v>
      </c>
      <c r="G5741">
        <v>1973.88</v>
      </c>
      <c r="H5741" t="s">
        <v>2060</v>
      </c>
      <c r="I5741" t="str">
        <f>VLOOKUP(B5741,Customers!A:G,7,FALSE)</f>
        <v>Student</v>
      </c>
      <c r="Q5741" t="str">
        <f>IF(COUNTIF(Customers!$A$2:$A$1001,B5741)&gt;0,"Valid","Invalid")</f>
        <v>Valid</v>
      </c>
      <c r="R5741" t="str">
        <f>IF(COUNTIF(Branches!$A$2:$A$11,F5741)&gt;0,"Valid","Invalid")</f>
        <v>Valid</v>
      </c>
    </row>
    <row r="5742" spans="1:18" x14ac:dyDescent="0.25">
      <c r="A5742" t="s">
        <v>7813</v>
      </c>
      <c r="B5742" t="s">
        <v>152</v>
      </c>
      <c r="C5742" s="8">
        <v>46265</v>
      </c>
      <c r="D5742" t="s">
        <v>2067</v>
      </c>
      <c r="E5742" t="s">
        <v>2059</v>
      </c>
      <c r="F5742" t="s">
        <v>53</v>
      </c>
      <c r="G5742">
        <v>581.02</v>
      </c>
      <c r="H5742" t="s">
        <v>2060</v>
      </c>
      <c r="I5742" t="str">
        <f>VLOOKUP(B5742,Customers!A:G,7,FALSE)</f>
        <v>Individual</v>
      </c>
      <c r="Q5742" t="str">
        <f>IF(COUNTIF(Customers!$A$2:$A$1001,B5742)&gt;0,"Valid","Invalid")</f>
        <v>Valid</v>
      </c>
      <c r="R5742" t="str">
        <f>IF(COUNTIF(Branches!$A$2:$A$11,F5742)&gt;0,"Valid","Invalid")</f>
        <v>Valid</v>
      </c>
    </row>
    <row r="5743" spans="1:18" x14ac:dyDescent="0.25">
      <c r="A5743" t="s">
        <v>7814</v>
      </c>
      <c r="B5743" t="s">
        <v>1001</v>
      </c>
      <c r="C5743" s="8">
        <v>46083</v>
      </c>
      <c r="D5743" t="s">
        <v>2058</v>
      </c>
      <c r="E5743" t="s">
        <v>2076</v>
      </c>
      <c r="F5743" t="s">
        <v>21</v>
      </c>
      <c r="G5743">
        <v>741.96</v>
      </c>
      <c r="H5743" t="s">
        <v>2060</v>
      </c>
      <c r="I5743" t="str">
        <f>VLOOKUP(B5743,Customers!A:G,7,FALSE)</f>
        <v>Individual</v>
      </c>
      <c r="Q5743" t="str">
        <f>IF(COUNTIF(Customers!$A$2:$A$1001,B5743)&gt;0,"Valid","Invalid")</f>
        <v>Valid</v>
      </c>
      <c r="R5743" t="str">
        <f>IF(COUNTIF(Branches!$A$2:$A$11,F5743)&gt;0,"Valid","Invalid")</f>
        <v>Valid</v>
      </c>
    </row>
    <row r="5744" spans="1:18" x14ac:dyDescent="0.25">
      <c r="A5744" t="s">
        <v>7815</v>
      </c>
      <c r="B5744" t="s">
        <v>257</v>
      </c>
      <c r="C5744" s="8">
        <v>46024</v>
      </c>
      <c r="D5744" t="s">
        <v>2065</v>
      </c>
      <c r="E5744" t="s">
        <v>2059</v>
      </c>
      <c r="F5744" t="s">
        <v>29</v>
      </c>
      <c r="G5744">
        <v>4686.4399999999996</v>
      </c>
      <c r="H5744" t="s">
        <v>2060</v>
      </c>
      <c r="I5744" t="str">
        <f>VLOOKUP(B5744,Customers!A:G,7,FALSE)</f>
        <v>Corporate</v>
      </c>
      <c r="Q5744" t="str">
        <f>IF(COUNTIF(Customers!$A$2:$A$1001,B5744)&gt;0,"Valid","Invalid")</f>
        <v>Valid</v>
      </c>
      <c r="R5744" t="str">
        <f>IF(COUNTIF(Branches!$A$2:$A$11,F5744)&gt;0,"Valid","Invalid")</f>
        <v>Valid</v>
      </c>
    </row>
    <row r="5745" spans="1:18" x14ac:dyDescent="0.25">
      <c r="A5745" t="s">
        <v>7816</v>
      </c>
      <c r="B5745" t="s">
        <v>291</v>
      </c>
      <c r="C5745" s="8">
        <v>46183</v>
      </c>
      <c r="D5745" t="s">
        <v>2058</v>
      </c>
      <c r="E5745" t="s">
        <v>2059</v>
      </c>
      <c r="F5745" t="s">
        <v>16</v>
      </c>
      <c r="G5745">
        <v>606.97</v>
      </c>
      <c r="H5745" t="s">
        <v>2060</v>
      </c>
      <c r="I5745" t="str">
        <f>VLOOKUP(B5745,Customers!A:G,7,FALSE)</f>
        <v>Individual</v>
      </c>
      <c r="Q5745" t="str">
        <f>IF(COUNTIF(Customers!$A$2:$A$1001,B5745)&gt;0,"Valid","Invalid")</f>
        <v>Valid</v>
      </c>
      <c r="R5745" t="str">
        <f>IF(COUNTIF(Branches!$A$2:$A$11,F5745)&gt;0,"Valid","Invalid")</f>
        <v>Valid</v>
      </c>
    </row>
    <row r="5746" spans="1:18" x14ac:dyDescent="0.25">
      <c r="A5746" t="s">
        <v>7817</v>
      </c>
      <c r="B5746" t="s">
        <v>205</v>
      </c>
      <c r="C5746" s="8">
        <v>46222</v>
      </c>
      <c r="D5746" t="s">
        <v>2067</v>
      </c>
      <c r="E5746" t="s">
        <v>2068</v>
      </c>
      <c r="F5746" t="s">
        <v>11</v>
      </c>
      <c r="G5746">
        <v>572.16999999999996</v>
      </c>
      <c r="H5746" t="s">
        <v>2060</v>
      </c>
      <c r="I5746" t="str">
        <f>VLOOKUP(B5746,Customers!A:G,7,FALSE)</f>
        <v>SME</v>
      </c>
      <c r="Q5746" t="str">
        <f>IF(COUNTIF(Customers!$A$2:$A$1001,B5746)&gt;0,"Valid","Invalid")</f>
        <v>Valid</v>
      </c>
      <c r="R5746" t="str">
        <f>IF(COUNTIF(Branches!$A$2:$A$11,F5746)&gt;0,"Valid","Invalid")</f>
        <v>Valid</v>
      </c>
    </row>
    <row r="5747" spans="1:18" x14ac:dyDescent="0.25">
      <c r="A5747" t="s">
        <v>7818</v>
      </c>
      <c r="B5747" t="s">
        <v>885</v>
      </c>
      <c r="C5747" s="8">
        <v>46212</v>
      </c>
      <c r="D5747" t="s">
        <v>2062</v>
      </c>
      <c r="E5747" t="s">
        <v>2063</v>
      </c>
      <c r="F5747" t="s">
        <v>11</v>
      </c>
      <c r="G5747">
        <v>125.21</v>
      </c>
      <c r="H5747" t="s">
        <v>2060</v>
      </c>
      <c r="I5747" t="str">
        <f>VLOOKUP(B5747,Customers!A:G,7,FALSE)</f>
        <v>Individual</v>
      </c>
      <c r="Q5747" t="str">
        <f>IF(COUNTIF(Customers!$A$2:$A$1001,B5747)&gt;0,"Valid","Invalid")</f>
        <v>Valid</v>
      </c>
      <c r="R5747" t="str">
        <f>IF(COUNTIF(Branches!$A$2:$A$11,F5747)&gt;0,"Valid","Invalid")</f>
        <v>Valid</v>
      </c>
    </row>
    <row r="5748" spans="1:18" x14ac:dyDescent="0.25">
      <c r="A5748" t="s">
        <v>7819</v>
      </c>
      <c r="B5748" t="s">
        <v>354</v>
      </c>
      <c r="C5748" s="8">
        <v>46255</v>
      </c>
      <c r="D5748" t="s">
        <v>2058</v>
      </c>
      <c r="E5748" t="s">
        <v>2059</v>
      </c>
      <c r="F5748" t="s">
        <v>47</v>
      </c>
      <c r="G5748">
        <v>1619.82</v>
      </c>
      <c r="H5748" t="s">
        <v>2060</v>
      </c>
      <c r="I5748" t="str">
        <f>VLOOKUP(B5748,Customers!A:G,7,FALSE)</f>
        <v>Individual</v>
      </c>
      <c r="Q5748" t="str">
        <f>IF(COUNTIF(Customers!$A$2:$A$1001,B5748)&gt;0,"Valid","Invalid")</f>
        <v>Valid</v>
      </c>
      <c r="R5748" t="str">
        <f>IF(COUNTIF(Branches!$A$2:$A$11,F5748)&gt;0,"Valid","Invalid")</f>
        <v>Valid</v>
      </c>
    </row>
    <row r="5749" spans="1:18" x14ac:dyDescent="0.25">
      <c r="A5749" t="s">
        <v>7820</v>
      </c>
      <c r="B5749" t="s">
        <v>755</v>
      </c>
      <c r="C5749" s="8">
        <v>46143</v>
      </c>
      <c r="D5749" t="s">
        <v>2065</v>
      </c>
      <c r="E5749" t="s">
        <v>2063</v>
      </c>
      <c r="F5749" t="s">
        <v>11</v>
      </c>
      <c r="G5749">
        <v>399.48</v>
      </c>
      <c r="H5749" t="s">
        <v>2060</v>
      </c>
      <c r="I5749" t="str">
        <f>VLOOKUP(B5749,Customers!A:G,7,FALSE)</f>
        <v>Individual</v>
      </c>
      <c r="Q5749" t="str">
        <f>IF(COUNTIF(Customers!$A$2:$A$1001,B5749)&gt;0,"Valid","Invalid")</f>
        <v>Valid</v>
      </c>
      <c r="R5749" t="str">
        <f>IF(COUNTIF(Branches!$A$2:$A$11,F5749)&gt;0,"Valid","Invalid")</f>
        <v>Valid</v>
      </c>
    </row>
    <row r="5750" spans="1:18" x14ac:dyDescent="0.25">
      <c r="A5750" t="s">
        <v>7821</v>
      </c>
      <c r="B5750" t="s">
        <v>848</v>
      </c>
      <c r="C5750" s="8">
        <v>46081</v>
      </c>
      <c r="D5750" t="s">
        <v>2065</v>
      </c>
      <c r="E5750" t="s">
        <v>2063</v>
      </c>
      <c r="F5750" t="s">
        <v>27</v>
      </c>
      <c r="G5750">
        <v>941.27</v>
      </c>
      <c r="H5750" t="s">
        <v>2060</v>
      </c>
      <c r="I5750" t="str">
        <f>VLOOKUP(B5750,Customers!A:G,7,FALSE)</f>
        <v>Individual</v>
      </c>
      <c r="Q5750" t="str">
        <f>IF(COUNTIF(Customers!$A$2:$A$1001,B5750)&gt;0,"Valid","Invalid")</f>
        <v>Valid</v>
      </c>
      <c r="R5750" t="str">
        <f>IF(COUNTIF(Branches!$A$2:$A$11,F5750)&gt;0,"Valid","Invalid")</f>
        <v>Valid</v>
      </c>
    </row>
    <row r="5751" spans="1:18" x14ac:dyDescent="0.25">
      <c r="A5751" t="s">
        <v>7822</v>
      </c>
      <c r="B5751" t="s">
        <v>410</v>
      </c>
      <c r="C5751" s="8">
        <v>46062</v>
      </c>
      <c r="D5751" t="s">
        <v>2065</v>
      </c>
      <c r="E5751" t="s">
        <v>2076</v>
      </c>
      <c r="F5751" t="s">
        <v>53</v>
      </c>
      <c r="G5751">
        <v>592.86</v>
      </c>
      <c r="H5751" t="s">
        <v>2060</v>
      </c>
      <c r="I5751" t="str">
        <f>VLOOKUP(B5751,Customers!A:G,7,FALSE)</f>
        <v>Individual</v>
      </c>
      <c r="Q5751" t="str">
        <f>IF(COUNTIF(Customers!$A$2:$A$1001,B5751)&gt;0,"Valid","Invalid")</f>
        <v>Valid</v>
      </c>
      <c r="R5751" t="str">
        <f>IF(COUNTIF(Branches!$A$2:$A$11,F5751)&gt;0,"Valid","Invalid")</f>
        <v>Valid</v>
      </c>
    </row>
    <row r="5752" spans="1:18" x14ac:dyDescent="0.25">
      <c r="A5752" t="s">
        <v>7823</v>
      </c>
      <c r="B5752" t="s">
        <v>798</v>
      </c>
      <c r="C5752" s="8">
        <v>46199</v>
      </c>
      <c r="D5752" t="s">
        <v>2065</v>
      </c>
      <c r="E5752" t="s">
        <v>2063</v>
      </c>
      <c r="F5752" t="s">
        <v>47</v>
      </c>
      <c r="G5752">
        <v>520.20000000000005</v>
      </c>
      <c r="H5752" t="s">
        <v>2060</v>
      </c>
      <c r="I5752" t="str">
        <f>VLOOKUP(B5752,Customers!A:G,7,FALSE)</f>
        <v>Individual</v>
      </c>
      <c r="Q5752" t="str">
        <f>IF(COUNTIF(Customers!$A$2:$A$1001,B5752)&gt;0,"Valid","Invalid")</f>
        <v>Valid</v>
      </c>
      <c r="R5752" t="str">
        <f>IF(COUNTIF(Branches!$A$2:$A$11,F5752)&gt;0,"Valid","Invalid")</f>
        <v>Valid</v>
      </c>
    </row>
    <row r="5753" spans="1:18" x14ac:dyDescent="0.25">
      <c r="A5753" t="s">
        <v>7824</v>
      </c>
      <c r="B5753" t="s">
        <v>915</v>
      </c>
      <c r="C5753" s="8">
        <v>46255</v>
      </c>
      <c r="D5753" t="s">
        <v>2058</v>
      </c>
      <c r="E5753" t="s">
        <v>2076</v>
      </c>
      <c r="F5753" t="s">
        <v>45</v>
      </c>
      <c r="G5753">
        <v>722.18</v>
      </c>
      <c r="H5753" t="s">
        <v>2060</v>
      </c>
      <c r="I5753" t="str">
        <f>VLOOKUP(B5753,Customers!A:G,7,FALSE)</f>
        <v>Corporate</v>
      </c>
      <c r="Q5753" t="str">
        <f>IF(COUNTIF(Customers!$A$2:$A$1001,B5753)&gt;0,"Valid","Invalid")</f>
        <v>Valid</v>
      </c>
      <c r="R5753" t="str">
        <f>IF(COUNTIF(Branches!$A$2:$A$11,F5753)&gt;0,"Valid","Invalid")</f>
        <v>Valid</v>
      </c>
    </row>
    <row r="5754" spans="1:18" x14ac:dyDescent="0.25">
      <c r="A5754" t="s">
        <v>7825</v>
      </c>
      <c r="B5754" t="s">
        <v>1015</v>
      </c>
      <c r="C5754" s="8">
        <v>46054</v>
      </c>
      <c r="D5754" t="s">
        <v>2070</v>
      </c>
      <c r="E5754" t="s">
        <v>2063</v>
      </c>
      <c r="F5754" t="s">
        <v>29</v>
      </c>
      <c r="G5754">
        <v>779.89</v>
      </c>
      <c r="H5754" t="s">
        <v>2060</v>
      </c>
      <c r="I5754" t="str">
        <f>VLOOKUP(B5754,Customers!A:G,7,FALSE)</f>
        <v>SME</v>
      </c>
      <c r="Q5754" t="str">
        <f>IF(COUNTIF(Customers!$A$2:$A$1001,B5754)&gt;0,"Valid","Invalid")</f>
        <v>Valid</v>
      </c>
      <c r="R5754" t="str">
        <f>IF(COUNTIF(Branches!$A$2:$A$11,F5754)&gt;0,"Valid","Invalid")</f>
        <v>Valid</v>
      </c>
    </row>
    <row r="5755" spans="1:18" x14ac:dyDescent="0.25">
      <c r="A5755" t="s">
        <v>7826</v>
      </c>
      <c r="B5755" t="s">
        <v>621</v>
      </c>
      <c r="C5755" s="8">
        <v>46060</v>
      </c>
      <c r="D5755" t="s">
        <v>2058</v>
      </c>
      <c r="E5755" t="s">
        <v>2076</v>
      </c>
      <c r="F5755" t="s">
        <v>45</v>
      </c>
      <c r="G5755">
        <v>2633.53</v>
      </c>
      <c r="H5755" t="s">
        <v>2060</v>
      </c>
      <c r="I5755" t="str">
        <f>VLOOKUP(B5755,Customers!A:G,7,FALSE)</f>
        <v>Individual</v>
      </c>
      <c r="Q5755" t="str">
        <f>IF(COUNTIF(Customers!$A$2:$A$1001,B5755)&gt;0,"Valid","Invalid")</f>
        <v>Valid</v>
      </c>
      <c r="R5755" t="str">
        <f>IF(COUNTIF(Branches!$A$2:$A$11,F5755)&gt;0,"Valid","Invalid")</f>
        <v>Valid</v>
      </c>
    </row>
    <row r="5756" spans="1:18" x14ac:dyDescent="0.25">
      <c r="A5756" t="s">
        <v>7827</v>
      </c>
      <c r="B5756" t="s">
        <v>192</v>
      </c>
      <c r="C5756" s="8">
        <v>46114</v>
      </c>
      <c r="D5756" t="s">
        <v>2058</v>
      </c>
      <c r="E5756" t="s">
        <v>2063</v>
      </c>
      <c r="F5756" t="s">
        <v>47</v>
      </c>
      <c r="G5756">
        <v>3715.29</v>
      </c>
      <c r="H5756" t="s">
        <v>2060</v>
      </c>
      <c r="I5756" t="str">
        <f>VLOOKUP(B5756,Customers!A:G,7,FALSE)</f>
        <v>Individual</v>
      </c>
      <c r="Q5756" t="str">
        <f>IF(COUNTIF(Customers!$A$2:$A$1001,B5756)&gt;0,"Valid","Invalid")</f>
        <v>Valid</v>
      </c>
      <c r="R5756" t="str">
        <f>IF(COUNTIF(Branches!$A$2:$A$11,F5756)&gt;0,"Valid","Invalid")</f>
        <v>Valid</v>
      </c>
    </row>
    <row r="5757" spans="1:18" x14ac:dyDescent="0.25">
      <c r="A5757" t="s">
        <v>7828</v>
      </c>
      <c r="B5757" t="s">
        <v>652</v>
      </c>
      <c r="C5757" s="8">
        <v>46229</v>
      </c>
      <c r="D5757" t="s">
        <v>2067</v>
      </c>
      <c r="E5757" t="s">
        <v>2076</v>
      </c>
      <c r="F5757" t="s">
        <v>53</v>
      </c>
      <c r="G5757">
        <v>1557.31</v>
      </c>
      <c r="H5757" t="s">
        <v>2060</v>
      </c>
      <c r="I5757" t="str">
        <f>VLOOKUP(B5757,Customers!A:G,7,FALSE)</f>
        <v>Student</v>
      </c>
      <c r="Q5757" t="str">
        <f>IF(COUNTIF(Customers!$A$2:$A$1001,B5757)&gt;0,"Valid","Invalid")</f>
        <v>Valid</v>
      </c>
      <c r="R5757" t="str">
        <f>IF(COUNTIF(Branches!$A$2:$A$11,F5757)&gt;0,"Valid","Invalid")</f>
        <v>Valid</v>
      </c>
    </row>
    <row r="5758" spans="1:18" x14ac:dyDescent="0.25">
      <c r="A5758" t="s">
        <v>7829</v>
      </c>
      <c r="B5758" t="s">
        <v>42</v>
      </c>
      <c r="C5758" s="8">
        <v>46237</v>
      </c>
      <c r="D5758" t="s">
        <v>2067</v>
      </c>
      <c r="E5758" t="s">
        <v>2076</v>
      </c>
      <c r="F5758" t="s">
        <v>11</v>
      </c>
      <c r="G5758">
        <v>2897.36</v>
      </c>
      <c r="H5758" t="s">
        <v>2060</v>
      </c>
      <c r="I5758" t="str">
        <f>VLOOKUP(B5758,Customers!A:G,7,FALSE)</f>
        <v>Individual</v>
      </c>
      <c r="Q5758" t="str">
        <f>IF(COUNTIF(Customers!$A$2:$A$1001,B5758)&gt;0,"Valid","Invalid")</f>
        <v>Valid</v>
      </c>
      <c r="R5758" t="str">
        <f>IF(COUNTIF(Branches!$A$2:$A$11,F5758)&gt;0,"Valid","Invalid")</f>
        <v>Valid</v>
      </c>
    </row>
    <row r="5759" spans="1:18" x14ac:dyDescent="0.25">
      <c r="A5759" t="s">
        <v>7830</v>
      </c>
      <c r="B5759" t="s">
        <v>546</v>
      </c>
      <c r="C5759" s="8">
        <v>46110</v>
      </c>
      <c r="D5759" t="s">
        <v>2062</v>
      </c>
      <c r="E5759" t="s">
        <v>2073</v>
      </c>
      <c r="F5759" t="s">
        <v>27</v>
      </c>
      <c r="G5759">
        <v>1908.64</v>
      </c>
      <c r="H5759" t="s">
        <v>2060</v>
      </c>
      <c r="I5759" t="str">
        <f>VLOOKUP(B5759,Customers!A:G,7,FALSE)</f>
        <v>Individual</v>
      </c>
      <c r="Q5759" t="str">
        <f>IF(COUNTIF(Customers!$A$2:$A$1001,B5759)&gt;0,"Valid","Invalid")</f>
        <v>Valid</v>
      </c>
      <c r="R5759" t="str">
        <f>IF(COUNTIF(Branches!$A$2:$A$11,F5759)&gt;0,"Valid","Invalid")</f>
        <v>Valid</v>
      </c>
    </row>
    <row r="5760" spans="1:18" x14ac:dyDescent="0.25">
      <c r="A5760" t="s">
        <v>7831</v>
      </c>
      <c r="B5760" t="s">
        <v>503</v>
      </c>
      <c r="C5760" s="8">
        <v>46163</v>
      </c>
      <c r="D5760" t="s">
        <v>2070</v>
      </c>
      <c r="E5760" t="s">
        <v>2073</v>
      </c>
      <c r="F5760" t="s">
        <v>45</v>
      </c>
      <c r="G5760">
        <v>1332.24</v>
      </c>
      <c r="H5760" t="s">
        <v>2060</v>
      </c>
      <c r="I5760" t="str">
        <f>VLOOKUP(B5760,Customers!A:G,7,FALSE)</f>
        <v>SME</v>
      </c>
      <c r="Q5760" t="str">
        <f>IF(COUNTIF(Customers!$A$2:$A$1001,B5760)&gt;0,"Valid","Invalid")</f>
        <v>Valid</v>
      </c>
      <c r="R5760" t="str">
        <f>IF(COUNTIF(Branches!$A$2:$A$11,F5760)&gt;0,"Valid","Invalid")</f>
        <v>Valid</v>
      </c>
    </row>
    <row r="5761" spans="1:18" x14ac:dyDescent="0.25">
      <c r="A5761" t="s">
        <v>7832</v>
      </c>
      <c r="B5761" t="s">
        <v>821</v>
      </c>
      <c r="C5761" s="8">
        <v>46107</v>
      </c>
      <c r="D5761" t="s">
        <v>2058</v>
      </c>
      <c r="E5761" t="s">
        <v>2063</v>
      </c>
      <c r="F5761" t="s">
        <v>16</v>
      </c>
      <c r="G5761">
        <v>3481.24</v>
      </c>
      <c r="H5761" t="s">
        <v>2060</v>
      </c>
      <c r="I5761" t="str">
        <f>VLOOKUP(B5761,Customers!A:G,7,FALSE)</f>
        <v>SME</v>
      </c>
      <c r="Q5761" t="str">
        <f>IF(COUNTIF(Customers!$A$2:$A$1001,B5761)&gt;0,"Valid","Invalid")</f>
        <v>Valid</v>
      </c>
      <c r="R5761" t="str">
        <f>IF(COUNTIF(Branches!$A$2:$A$11,F5761)&gt;0,"Valid","Invalid")</f>
        <v>Valid</v>
      </c>
    </row>
    <row r="5762" spans="1:18" x14ac:dyDescent="0.25">
      <c r="A5762" t="s">
        <v>7833</v>
      </c>
      <c r="B5762" t="s">
        <v>842</v>
      </c>
      <c r="C5762" s="8">
        <v>46204</v>
      </c>
      <c r="D5762" t="s">
        <v>2067</v>
      </c>
      <c r="E5762" t="s">
        <v>2063</v>
      </c>
      <c r="F5762" t="s">
        <v>11</v>
      </c>
      <c r="G5762">
        <v>219.54</v>
      </c>
      <c r="H5762" t="s">
        <v>2060</v>
      </c>
      <c r="I5762" t="str">
        <f>VLOOKUP(B5762,Customers!A:G,7,FALSE)</f>
        <v>Individual</v>
      </c>
      <c r="Q5762" t="str">
        <f>IF(COUNTIF(Customers!$A$2:$A$1001,B5762)&gt;0,"Valid","Invalid")</f>
        <v>Valid</v>
      </c>
      <c r="R5762" t="str">
        <f>IF(COUNTIF(Branches!$A$2:$A$11,F5762)&gt;0,"Valid","Invalid")</f>
        <v>Valid</v>
      </c>
    </row>
    <row r="5763" spans="1:18" x14ac:dyDescent="0.25">
      <c r="A5763" t="s">
        <v>7834</v>
      </c>
      <c r="B5763" t="s">
        <v>257</v>
      </c>
      <c r="C5763" s="8">
        <v>46098</v>
      </c>
      <c r="D5763" t="s">
        <v>2062</v>
      </c>
      <c r="E5763" t="s">
        <v>2076</v>
      </c>
      <c r="F5763" t="s">
        <v>27</v>
      </c>
      <c r="G5763">
        <v>409.75</v>
      </c>
      <c r="H5763" t="s">
        <v>2060</v>
      </c>
      <c r="I5763" t="str">
        <f>VLOOKUP(B5763,Customers!A:G,7,FALSE)</f>
        <v>Corporate</v>
      </c>
      <c r="Q5763" t="str">
        <f>IF(COUNTIF(Customers!$A$2:$A$1001,B5763)&gt;0,"Valid","Invalid")</f>
        <v>Valid</v>
      </c>
      <c r="R5763" t="str">
        <f>IF(COUNTIF(Branches!$A$2:$A$11,F5763)&gt;0,"Valid","Invalid")</f>
        <v>Valid</v>
      </c>
    </row>
    <row r="5764" spans="1:18" x14ac:dyDescent="0.25">
      <c r="A5764" t="s">
        <v>7835</v>
      </c>
      <c r="B5764" t="s">
        <v>48</v>
      </c>
      <c r="C5764" s="8">
        <v>46150</v>
      </c>
      <c r="D5764" t="s">
        <v>2065</v>
      </c>
      <c r="E5764" t="s">
        <v>2076</v>
      </c>
      <c r="F5764" t="s">
        <v>53</v>
      </c>
      <c r="G5764">
        <v>357.49</v>
      </c>
      <c r="H5764" t="s">
        <v>2060</v>
      </c>
      <c r="I5764" t="str">
        <f>VLOOKUP(B5764,Customers!A:G,7,FALSE)</f>
        <v>Individual</v>
      </c>
      <c r="Q5764" t="str">
        <f>IF(COUNTIF(Customers!$A$2:$A$1001,B5764)&gt;0,"Valid","Invalid")</f>
        <v>Valid</v>
      </c>
      <c r="R5764" t="str">
        <f>IF(COUNTIF(Branches!$A$2:$A$11,F5764)&gt;0,"Valid","Invalid")</f>
        <v>Valid</v>
      </c>
    </row>
    <row r="5765" spans="1:18" x14ac:dyDescent="0.25">
      <c r="A5765" t="s">
        <v>7836</v>
      </c>
      <c r="B5765" t="s">
        <v>788</v>
      </c>
      <c r="C5765" s="8">
        <v>46035</v>
      </c>
      <c r="D5765" t="s">
        <v>2062</v>
      </c>
      <c r="E5765" t="s">
        <v>2063</v>
      </c>
      <c r="F5765" t="s">
        <v>16</v>
      </c>
      <c r="G5765">
        <v>601.01</v>
      </c>
      <c r="H5765" t="s">
        <v>2060</v>
      </c>
      <c r="I5765" t="str">
        <f>VLOOKUP(B5765,Customers!A:G,7,FALSE)</f>
        <v>Student</v>
      </c>
      <c r="Q5765" t="str">
        <f>IF(COUNTIF(Customers!$A$2:$A$1001,B5765)&gt;0,"Valid","Invalid")</f>
        <v>Valid</v>
      </c>
      <c r="R5765" t="str">
        <f>IF(COUNTIF(Branches!$A$2:$A$11,F5765)&gt;0,"Valid","Invalid")</f>
        <v>Valid</v>
      </c>
    </row>
    <row r="5766" spans="1:18" x14ac:dyDescent="0.25">
      <c r="A5766" t="s">
        <v>7837</v>
      </c>
      <c r="B5766" t="s">
        <v>153</v>
      </c>
      <c r="C5766" s="8">
        <v>46061</v>
      </c>
      <c r="D5766" t="s">
        <v>2062</v>
      </c>
      <c r="E5766" t="s">
        <v>2063</v>
      </c>
      <c r="F5766" t="s">
        <v>45</v>
      </c>
      <c r="G5766">
        <v>1613.08</v>
      </c>
      <c r="H5766" t="s">
        <v>2060</v>
      </c>
      <c r="I5766" t="str">
        <f>VLOOKUP(B5766,Customers!A:G,7,FALSE)</f>
        <v>Individual</v>
      </c>
      <c r="Q5766" t="str">
        <f>IF(COUNTIF(Customers!$A$2:$A$1001,B5766)&gt;0,"Valid","Invalid")</f>
        <v>Valid</v>
      </c>
      <c r="R5766" t="str">
        <f>IF(COUNTIF(Branches!$A$2:$A$11,F5766)&gt;0,"Valid","Invalid")</f>
        <v>Valid</v>
      </c>
    </row>
    <row r="5767" spans="1:18" x14ac:dyDescent="0.25">
      <c r="A5767" t="s">
        <v>7838</v>
      </c>
      <c r="B5767" t="s">
        <v>369</v>
      </c>
      <c r="C5767" s="8">
        <v>46045</v>
      </c>
      <c r="D5767" t="s">
        <v>2065</v>
      </c>
      <c r="E5767" t="s">
        <v>2059</v>
      </c>
      <c r="F5767" t="s">
        <v>11</v>
      </c>
      <c r="G5767">
        <v>266.37</v>
      </c>
      <c r="H5767" t="s">
        <v>2060</v>
      </c>
      <c r="I5767" t="str">
        <f>VLOOKUP(B5767,Customers!A:G,7,FALSE)</f>
        <v>SME</v>
      </c>
      <c r="Q5767" t="str">
        <f>IF(COUNTIF(Customers!$A$2:$A$1001,B5767)&gt;0,"Valid","Invalid")</f>
        <v>Valid</v>
      </c>
      <c r="R5767" t="str">
        <f>IF(COUNTIF(Branches!$A$2:$A$11,F5767)&gt;0,"Valid","Invalid")</f>
        <v>Valid</v>
      </c>
    </row>
    <row r="5768" spans="1:18" x14ac:dyDescent="0.25">
      <c r="A5768" t="s">
        <v>7839</v>
      </c>
      <c r="B5768" t="s">
        <v>92</v>
      </c>
      <c r="C5768" s="8">
        <v>46264</v>
      </c>
      <c r="D5768" t="s">
        <v>2070</v>
      </c>
      <c r="E5768" t="s">
        <v>2073</v>
      </c>
      <c r="F5768" t="s">
        <v>53</v>
      </c>
      <c r="G5768">
        <v>1343.19</v>
      </c>
      <c r="H5768" t="s">
        <v>2060</v>
      </c>
      <c r="I5768" t="str">
        <f>VLOOKUP(B5768,Customers!A:G,7,FALSE)</f>
        <v>Individual</v>
      </c>
      <c r="Q5768" t="str">
        <f>IF(COUNTIF(Customers!$A$2:$A$1001,B5768)&gt;0,"Valid","Invalid")</f>
        <v>Valid</v>
      </c>
      <c r="R5768" t="str">
        <f>IF(COUNTIF(Branches!$A$2:$A$11,F5768)&gt;0,"Valid","Invalid")</f>
        <v>Valid</v>
      </c>
    </row>
    <row r="5769" spans="1:18" x14ac:dyDescent="0.25">
      <c r="A5769" t="s">
        <v>7840</v>
      </c>
      <c r="B5769" t="s">
        <v>389</v>
      </c>
      <c r="C5769" s="8">
        <v>46132</v>
      </c>
      <c r="D5769" t="s">
        <v>2070</v>
      </c>
      <c r="E5769" t="s">
        <v>2073</v>
      </c>
      <c r="F5769" t="s">
        <v>47</v>
      </c>
      <c r="G5769">
        <v>451.66</v>
      </c>
      <c r="H5769" t="s">
        <v>2060</v>
      </c>
      <c r="I5769" t="str">
        <f>VLOOKUP(B5769,Customers!A:G,7,FALSE)</f>
        <v>Individual</v>
      </c>
      <c r="Q5769" t="str">
        <f>IF(COUNTIF(Customers!$A$2:$A$1001,B5769)&gt;0,"Valid","Invalid")</f>
        <v>Valid</v>
      </c>
      <c r="R5769" t="str">
        <f>IF(COUNTIF(Branches!$A$2:$A$11,F5769)&gt;0,"Valid","Invalid")</f>
        <v>Valid</v>
      </c>
    </row>
    <row r="5770" spans="1:18" x14ac:dyDescent="0.25">
      <c r="A5770" t="s">
        <v>7841</v>
      </c>
      <c r="B5770" t="s">
        <v>168</v>
      </c>
      <c r="C5770" s="8">
        <v>46129</v>
      </c>
      <c r="D5770" t="s">
        <v>2070</v>
      </c>
      <c r="E5770" t="s">
        <v>2063</v>
      </c>
      <c r="F5770" t="s">
        <v>21</v>
      </c>
      <c r="G5770">
        <v>574.17999999999995</v>
      </c>
      <c r="H5770" t="s">
        <v>2060</v>
      </c>
      <c r="I5770" t="str">
        <f>VLOOKUP(B5770,Customers!A:G,7,FALSE)</f>
        <v>SME</v>
      </c>
      <c r="Q5770" t="str">
        <f>IF(COUNTIF(Customers!$A$2:$A$1001,B5770)&gt;0,"Valid","Invalid")</f>
        <v>Valid</v>
      </c>
      <c r="R5770" t="str">
        <f>IF(COUNTIF(Branches!$A$2:$A$11,F5770)&gt;0,"Valid","Invalid")</f>
        <v>Valid</v>
      </c>
    </row>
    <row r="5771" spans="1:18" x14ac:dyDescent="0.25">
      <c r="A5771" t="s">
        <v>7842</v>
      </c>
      <c r="B5771" t="s">
        <v>1033</v>
      </c>
      <c r="C5771" s="8">
        <v>46114</v>
      </c>
      <c r="D5771" t="s">
        <v>2058</v>
      </c>
      <c r="E5771" t="s">
        <v>2059</v>
      </c>
      <c r="F5771" t="s">
        <v>45</v>
      </c>
      <c r="G5771">
        <v>992.69</v>
      </c>
      <c r="H5771" t="s">
        <v>2060</v>
      </c>
      <c r="I5771" t="str">
        <f>VLOOKUP(B5771,Customers!A:G,7,FALSE)</f>
        <v>Individual</v>
      </c>
      <c r="Q5771" t="str">
        <f>IF(COUNTIF(Customers!$A$2:$A$1001,B5771)&gt;0,"Valid","Invalid")</f>
        <v>Valid</v>
      </c>
      <c r="R5771" t="str">
        <f>IF(COUNTIF(Branches!$A$2:$A$11,F5771)&gt;0,"Valid","Invalid")</f>
        <v>Valid</v>
      </c>
    </row>
    <row r="5772" spans="1:18" x14ac:dyDescent="0.25">
      <c r="A5772" t="s">
        <v>7843</v>
      </c>
      <c r="B5772" t="s">
        <v>263</v>
      </c>
      <c r="C5772" s="8">
        <v>46164</v>
      </c>
      <c r="D5772" t="s">
        <v>2065</v>
      </c>
      <c r="E5772" t="s">
        <v>2063</v>
      </c>
      <c r="F5772" t="s">
        <v>16</v>
      </c>
      <c r="G5772">
        <v>4364.45</v>
      </c>
      <c r="H5772" t="s">
        <v>2060</v>
      </c>
      <c r="I5772" t="str">
        <f>VLOOKUP(B5772,Customers!A:G,7,FALSE)</f>
        <v>Individual</v>
      </c>
      <c r="Q5772" t="str">
        <f>IF(COUNTIF(Customers!$A$2:$A$1001,B5772)&gt;0,"Valid","Invalid")</f>
        <v>Valid</v>
      </c>
      <c r="R5772" t="str">
        <f>IF(COUNTIF(Branches!$A$2:$A$11,F5772)&gt;0,"Valid","Invalid")</f>
        <v>Valid</v>
      </c>
    </row>
    <row r="5773" spans="1:18" x14ac:dyDescent="0.25">
      <c r="A5773" t="s">
        <v>7844</v>
      </c>
      <c r="B5773" t="s">
        <v>346</v>
      </c>
      <c r="C5773" s="8">
        <v>46167</v>
      </c>
      <c r="D5773" t="s">
        <v>2058</v>
      </c>
      <c r="E5773" t="s">
        <v>2059</v>
      </c>
      <c r="F5773" t="s">
        <v>27</v>
      </c>
      <c r="G5773">
        <v>398.48</v>
      </c>
      <c r="H5773" t="s">
        <v>2060</v>
      </c>
      <c r="I5773" t="str">
        <f>VLOOKUP(B5773,Customers!A:G,7,FALSE)</f>
        <v>SME</v>
      </c>
      <c r="Q5773" t="str">
        <f>IF(COUNTIF(Customers!$A$2:$A$1001,B5773)&gt;0,"Valid","Invalid")</f>
        <v>Valid</v>
      </c>
      <c r="R5773" t="str">
        <f>IF(COUNTIF(Branches!$A$2:$A$11,F5773)&gt;0,"Valid","Invalid")</f>
        <v>Valid</v>
      </c>
    </row>
    <row r="5774" spans="1:18" x14ac:dyDescent="0.25">
      <c r="A5774" t="s">
        <v>7845</v>
      </c>
      <c r="B5774" t="s">
        <v>513</v>
      </c>
      <c r="C5774" s="8">
        <v>46046</v>
      </c>
      <c r="D5774" t="s">
        <v>2067</v>
      </c>
      <c r="E5774" t="s">
        <v>2068</v>
      </c>
      <c r="F5774" t="s">
        <v>39</v>
      </c>
      <c r="G5774">
        <v>749.88</v>
      </c>
      <c r="H5774" t="s">
        <v>2060</v>
      </c>
      <c r="I5774" t="str">
        <f>VLOOKUP(B5774,Customers!A:G,7,FALSE)</f>
        <v>Individual</v>
      </c>
      <c r="Q5774" t="str">
        <f>IF(COUNTIF(Customers!$A$2:$A$1001,B5774)&gt;0,"Valid","Invalid")</f>
        <v>Valid</v>
      </c>
      <c r="R5774" t="str">
        <f>IF(COUNTIF(Branches!$A$2:$A$11,F5774)&gt;0,"Valid","Invalid")</f>
        <v>Valid</v>
      </c>
    </row>
    <row r="5775" spans="1:18" x14ac:dyDescent="0.25">
      <c r="A5775" t="s">
        <v>7846</v>
      </c>
      <c r="B5775" t="s">
        <v>944</v>
      </c>
      <c r="C5775" s="8">
        <v>46208</v>
      </c>
      <c r="D5775" t="s">
        <v>2065</v>
      </c>
      <c r="E5775" t="s">
        <v>2068</v>
      </c>
      <c r="F5775" t="s">
        <v>53</v>
      </c>
      <c r="G5775">
        <v>276.38</v>
      </c>
      <c r="H5775" t="s">
        <v>2107</v>
      </c>
      <c r="I5775" t="str">
        <f>VLOOKUP(B5775,Customers!A:G,7,FALSE)</f>
        <v>Individual</v>
      </c>
      <c r="Q5775" t="str">
        <f>IF(COUNTIF(Customers!$A$2:$A$1001,B5775)&gt;0,"Valid","Invalid")</f>
        <v>Valid</v>
      </c>
      <c r="R5775" t="str">
        <f>IF(COUNTIF(Branches!$A$2:$A$11,F5775)&gt;0,"Valid","Invalid")</f>
        <v>Valid</v>
      </c>
    </row>
    <row r="5776" spans="1:18" x14ac:dyDescent="0.25">
      <c r="A5776" t="s">
        <v>7847</v>
      </c>
      <c r="B5776" t="s">
        <v>259</v>
      </c>
      <c r="C5776" s="8">
        <v>46213</v>
      </c>
      <c r="D5776" t="s">
        <v>2067</v>
      </c>
      <c r="E5776" t="s">
        <v>2059</v>
      </c>
      <c r="F5776" t="s">
        <v>27</v>
      </c>
      <c r="G5776">
        <v>394.67</v>
      </c>
      <c r="H5776" t="s">
        <v>2060</v>
      </c>
      <c r="I5776" t="str">
        <f>VLOOKUP(B5776,Customers!A:G,7,FALSE)</f>
        <v>Individual</v>
      </c>
      <c r="Q5776" t="str">
        <f>IF(COUNTIF(Customers!$A$2:$A$1001,B5776)&gt;0,"Valid","Invalid")</f>
        <v>Valid</v>
      </c>
      <c r="R5776" t="str">
        <f>IF(COUNTIF(Branches!$A$2:$A$11,F5776)&gt;0,"Valid","Invalid")</f>
        <v>Valid</v>
      </c>
    </row>
    <row r="5777" spans="1:18" x14ac:dyDescent="0.25">
      <c r="A5777" t="s">
        <v>7848</v>
      </c>
      <c r="B5777" t="s">
        <v>209</v>
      </c>
      <c r="C5777" s="8">
        <v>46056</v>
      </c>
      <c r="D5777" t="s">
        <v>2058</v>
      </c>
      <c r="E5777" t="s">
        <v>2063</v>
      </c>
      <c r="F5777" t="s">
        <v>11</v>
      </c>
      <c r="G5777">
        <v>273.87</v>
      </c>
      <c r="H5777" t="s">
        <v>2060</v>
      </c>
      <c r="I5777" t="str">
        <f>VLOOKUP(B5777,Customers!A:G,7,FALSE)</f>
        <v>Individual</v>
      </c>
      <c r="Q5777" t="str">
        <f>IF(COUNTIF(Customers!$A$2:$A$1001,B5777)&gt;0,"Valid","Invalid")</f>
        <v>Valid</v>
      </c>
      <c r="R5777" t="str">
        <f>IF(COUNTIF(Branches!$A$2:$A$11,F5777)&gt;0,"Valid","Invalid")</f>
        <v>Valid</v>
      </c>
    </row>
    <row r="5778" spans="1:18" x14ac:dyDescent="0.25">
      <c r="A5778" t="s">
        <v>7849</v>
      </c>
      <c r="B5778" t="s">
        <v>378</v>
      </c>
      <c r="C5778" s="8">
        <v>46201</v>
      </c>
      <c r="D5778" t="s">
        <v>2065</v>
      </c>
      <c r="E5778" t="s">
        <v>2059</v>
      </c>
      <c r="F5778" t="s">
        <v>21</v>
      </c>
      <c r="G5778">
        <v>1037.72</v>
      </c>
      <c r="H5778" t="s">
        <v>2060</v>
      </c>
      <c r="I5778" t="str">
        <f>VLOOKUP(B5778,Customers!A:G,7,FALSE)</f>
        <v>SME</v>
      </c>
      <c r="Q5778" t="str">
        <f>IF(COUNTIF(Customers!$A$2:$A$1001,B5778)&gt;0,"Valid","Invalid")</f>
        <v>Valid</v>
      </c>
      <c r="R5778" t="str">
        <f>IF(COUNTIF(Branches!$A$2:$A$11,F5778)&gt;0,"Valid","Invalid")</f>
        <v>Valid</v>
      </c>
    </row>
    <row r="5779" spans="1:18" x14ac:dyDescent="0.25">
      <c r="A5779" t="s">
        <v>7850</v>
      </c>
      <c r="B5779" t="s">
        <v>835</v>
      </c>
      <c r="C5779" s="8">
        <v>46134</v>
      </c>
      <c r="D5779" t="s">
        <v>2067</v>
      </c>
      <c r="E5779" t="s">
        <v>2073</v>
      </c>
      <c r="F5779" t="s">
        <v>29</v>
      </c>
      <c r="G5779">
        <v>1243.03</v>
      </c>
      <c r="H5779" t="s">
        <v>2060</v>
      </c>
      <c r="I5779" t="str">
        <f>VLOOKUP(B5779,Customers!A:G,7,FALSE)</f>
        <v>Individual</v>
      </c>
      <c r="Q5779" t="str">
        <f>IF(COUNTIF(Customers!$A$2:$A$1001,B5779)&gt;0,"Valid","Invalid")</f>
        <v>Valid</v>
      </c>
      <c r="R5779" t="str">
        <f>IF(COUNTIF(Branches!$A$2:$A$11,F5779)&gt;0,"Valid","Invalid")</f>
        <v>Valid</v>
      </c>
    </row>
    <row r="5780" spans="1:18" x14ac:dyDescent="0.25">
      <c r="A5780" t="s">
        <v>7851</v>
      </c>
      <c r="B5780" t="s">
        <v>544</v>
      </c>
      <c r="C5780" s="8">
        <v>46236</v>
      </c>
      <c r="D5780" t="s">
        <v>2065</v>
      </c>
      <c r="E5780" t="s">
        <v>2063</v>
      </c>
      <c r="F5780" t="s">
        <v>29</v>
      </c>
      <c r="G5780">
        <v>1614.93</v>
      </c>
      <c r="H5780" t="s">
        <v>2115</v>
      </c>
      <c r="I5780" t="str">
        <f>VLOOKUP(B5780,Customers!A:G,7,FALSE)</f>
        <v>Student</v>
      </c>
      <c r="Q5780" t="str">
        <f>IF(COUNTIF(Customers!$A$2:$A$1001,B5780)&gt;0,"Valid","Invalid")</f>
        <v>Valid</v>
      </c>
      <c r="R5780" t="str">
        <f>IF(COUNTIF(Branches!$A$2:$A$11,F5780)&gt;0,"Valid","Invalid")</f>
        <v>Valid</v>
      </c>
    </row>
    <row r="5781" spans="1:18" x14ac:dyDescent="0.25">
      <c r="A5781" t="s">
        <v>7852</v>
      </c>
      <c r="B5781" t="s">
        <v>859</v>
      </c>
      <c r="C5781" s="8">
        <v>46160</v>
      </c>
      <c r="D5781" t="s">
        <v>2062</v>
      </c>
      <c r="E5781" t="s">
        <v>2063</v>
      </c>
      <c r="F5781" t="s">
        <v>21</v>
      </c>
      <c r="G5781">
        <v>382.36</v>
      </c>
      <c r="H5781" t="s">
        <v>2060</v>
      </c>
      <c r="I5781" t="str">
        <f>VLOOKUP(B5781,Customers!A:G,7,FALSE)</f>
        <v>Individual</v>
      </c>
      <c r="Q5781" t="str">
        <f>IF(COUNTIF(Customers!$A$2:$A$1001,B5781)&gt;0,"Valid","Invalid")</f>
        <v>Valid</v>
      </c>
      <c r="R5781" t="str">
        <f>IF(COUNTIF(Branches!$A$2:$A$11,F5781)&gt;0,"Valid","Invalid")</f>
        <v>Valid</v>
      </c>
    </row>
    <row r="5782" spans="1:18" x14ac:dyDescent="0.25">
      <c r="A5782" t="s">
        <v>7853</v>
      </c>
      <c r="B5782" t="s">
        <v>193</v>
      </c>
      <c r="C5782" s="8">
        <v>46140</v>
      </c>
      <c r="D5782" t="s">
        <v>2058</v>
      </c>
      <c r="E5782" t="s">
        <v>2076</v>
      </c>
      <c r="F5782" t="s">
        <v>16</v>
      </c>
      <c r="G5782">
        <v>1350.11</v>
      </c>
      <c r="H5782" t="s">
        <v>2060</v>
      </c>
      <c r="I5782" t="str">
        <f>VLOOKUP(B5782,Customers!A:G,7,FALSE)</f>
        <v>Individual</v>
      </c>
      <c r="Q5782" t="str">
        <f>IF(COUNTIF(Customers!$A$2:$A$1001,B5782)&gt;0,"Valid","Invalid")</f>
        <v>Valid</v>
      </c>
      <c r="R5782" t="str">
        <f>IF(COUNTIF(Branches!$A$2:$A$11,F5782)&gt;0,"Valid","Invalid")</f>
        <v>Valid</v>
      </c>
    </row>
    <row r="5783" spans="1:18" x14ac:dyDescent="0.25">
      <c r="A5783" t="s">
        <v>7854</v>
      </c>
      <c r="B5783" t="s">
        <v>187</v>
      </c>
      <c r="C5783" s="8">
        <v>46222</v>
      </c>
      <c r="D5783" t="s">
        <v>2065</v>
      </c>
      <c r="E5783" t="s">
        <v>2076</v>
      </c>
      <c r="F5783" t="s">
        <v>39</v>
      </c>
      <c r="G5783">
        <v>909.69</v>
      </c>
      <c r="H5783" t="s">
        <v>2060</v>
      </c>
      <c r="I5783" t="str">
        <f>VLOOKUP(B5783,Customers!A:G,7,FALSE)</f>
        <v>Corporate</v>
      </c>
      <c r="Q5783" t="str">
        <f>IF(COUNTIF(Customers!$A$2:$A$1001,B5783)&gt;0,"Valid","Invalid")</f>
        <v>Valid</v>
      </c>
      <c r="R5783" t="str">
        <f>IF(COUNTIF(Branches!$A$2:$A$11,F5783)&gt;0,"Valid","Invalid")</f>
        <v>Valid</v>
      </c>
    </row>
    <row r="5784" spans="1:18" x14ac:dyDescent="0.25">
      <c r="A5784" t="s">
        <v>7855</v>
      </c>
      <c r="B5784" t="s">
        <v>735</v>
      </c>
      <c r="C5784" s="8">
        <v>46171</v>
      </c>
      <c r="D5784" t="s">
        <v>2070</v>
      </c>
      <c r="E5784" t="s">
        <v>2073</v>
      </c>
      <c r="F5784" t="s">
        <v>21</v>
      </c>
      <c r="G5784">
        <v>766.82</v>
      </c>
      <c r="H5784" t="s">
        <v>2060</v>
      </c>
      <c r="I5784" t="str">
        <f>VLOOKUP(B5784,Customers!A:G,7,FALSE)</f>
        <v>Individual</v>
      </c>
      <c r="Q5784" t="str">
        <f>IF(COUNTIF(Customers!$A$2:$A$1001,B5784)&gt;0,"Valid","Invalid")</f>
        <v>Valid</v>
      </c>
      <c r="R5784" t="str">
        <f>IF(COUNTIF(Branches!$A$2:$A$11,F5784)&gt;0,"Valid","Invalid")</f>
        <v>Valid</v>
      </c>
    </row>
    <row r="5785" spans="1:18" x14ac:dyDescent="0.25">
      <c r="A5785" t="s">
        <v>7856</v>
      </c>
      <c r="B5785" t="s">
        <v>214</v>
      </c>
      <c r="C5785" s="8">
        <v>46187</v>
      </c>
      <c r="D5785" t="s">
        <v>2065</v>
      </c>
      <c r="E5785" t="s">
        <v>2059</v>
      </c>
      <c r="F5785" t="s">
        <v>45</v>
      </c>
      <c r="G5785">
        <v>234.76</v>
      </c>
      <c r="H5785" t="s">
        <v>2060</v>
      </c>
      <c r="I5785" t="str">
        <f>VLOOKUP(B5785,Customers!A:G,7,FALSE)</f>
        <v>Student</v>
      </c>
      <c r="Q5785" t="str">
        <f>IF(COUNTIF(Customers!$A$2:$A$1001,B5785)&gt;0,"Valid","Invalid")</f>
        <v>Valid</v>
      </c>
      <c r="R5785" t="str">
        <f>IF(COUNTIF(Branches!$A$2:$A$11,F5785)&gt;0,"Valid","Invalid")</f>
        <v>Valid</v>
      </c>
    </row>
    <row r="5786" spans="1:18" x14ac:dyDescent="0.25">
      <c r="A5786" t="s">
        <v>7857</v>
      </c>
      <c r="B5786" t="s">
        <v>571</v>
      </c>
      <c r="C5786" s="8">
        <v>46029</v>
      </c>
      <c r="D5786" t="s">
        <v>2058</v>
      </c>
      <c r="E5786" t="s">
        <v>2059</v>
      </c>
      <c r="F5786" t="s">
        <v>11</v>
      </c>
      <c r="G5786">
        <v>946.96</v>
      </c>
      <c r="H5786" t="s">
        <v>2060</v>
      </c>
      <c r="I5786" t="str">
        <f>VLOOKUP(B5786,Customers!A:G,7,FALSE)</f>
        <v>Individual</v>
      </c>
      <c r="Q5786" t="str">
        <f>IF(COUNTIF(Customers!$A$2:$A$1001,B5786)&gt;0,"Valid","Invalid")</f>
        <v>Valid</v>
      </c>
      <c r="R5786" t="str">
        <f>IF(COUNTIF(Branches!$A$2:$A$11,F5786)&gt;0,"Valid","Invalid")</f>
        <v>Valid</v>
      </c>
    </row>
    <row r="5787" spans="1:18" x14ac:dyDescent="0.25">
      <c r="A5787" t="s">
        <v>7858</v>
      </c>
      <c r="B5787" t="s">
        <v>148</v>
      </c>
      <c r="C5787" s="8">
        <v>46112</v>
      </c>
      <c r="D5787" t="s">
        <v>2062</v>
      </c>
      <c r="E5787" t="s">
        <v>2059</v>
      </c>
      <c r="F5787" t="s">
        <v>29</v>
      </c>
      <c r="G5787">
        <v>977.46</v>
      </c>
      <c r="H5787" t="s">
        <v>2060</v>
      </c>
      <c r="I5787" t="str">
        <f>VLOOKUP(B5787,Customers!A:G,7,FALSE)</f>
        <v>Individual</v>
      </c>
      <c r="Q5787" t="str">
        <f>IF(COUNTIF(Customers!$A$2:$A$1001,B5787)&gt;0,"Valid","Invalid")</f>
        <v>Valid</v>
      </c>
      <c r="R5787" t="str">
        <f>IF(COUNTIF(Branches!$A$2:$A$11,F5787)&gt;0,"Valid","Invalid")</f>
        <v>Valid</v>
      </c>
    </row>
    <row r="5788" spans="1:18" x14ac:dyDescent="0.25">
      <c r="A5788" t="s">
        <v>7859</v>
      </c>
      <c r="B5788" t="s">
        <v>721</v>
      </c>
      <c r="C5788" s="8">
        <v>46035</v>
      </c>
      <c r="D5788" t="s">
        <v>2062</v>
      </c>
      <c r="E5788" t="s">
        <v>2073</v>
      </c>
      <c r="F5788" t="s">
        <v>16</v>
      </c>
      <c r="G5788">
        <v>899.4</v>
      </c>
      <c r="H5788" t="s">
        <v>2060</v>
      </c>
      <c r="I5788" t="str">
        <f>VLOOKUP(B5788,Customers!A:G,7,FALSE)</f>
        <v>SME</v>
      </c>
      <c r="Q5788" t="str">
        <f>IF(COUNTIF(Customers!$A$2:$A$1001,B5788)&gt;0,"Valid","Invalid")</f>
        <v>Valid</v>
      </c>
      <c r="R5788" t="str">
        <f>IF(COUNTIF(Branches!$A$2:$A$11,F5788)&gt;0,"Valid","Invalid")</f>
        <v>Valid</v>
      </c>
    </row>
    <row r="5789" spans="1:18" x14ac:dyDescent="0.25">
      <c r="A5789" t="s">
        <v>7860</v>
      </c>
      <c r="B5789" t="s">
        <v>174</v>
      </c>
      <c r="C5789" s="8">
        <v>46102</v>
      </c>
      <c r="D5789" t="s">
        <v>2065</v>
      </c>
      <c r="E5789" t="s">
        <v>2068</v>
      </c>
      <c r="F5789" t="s">
        <v>16</v>
      </c>
      <c r="G5789">
        <v>1212.03</v>
      </c>
      <c r="H5789" t="s">
        <v>2060</v>
      </c>
      <c r="I5789" t="str">
        <f>VLOOKUP(B5789,Customers!A:G,7,FALSE)</f>
        <v>Corporate</v>
      </c>
      <c r="Q5789" t="str">
        <f>IF(COUNTIF(Customers!$A$2:$A$1001,B5789)&gt;0,"Valid","Invalid")</f>
        <v>Valid</v>
      </c>
      <c r="R5789" t="str">
        <f>IF(COUNTIF(Branches!$A$2:$A$11,F5789)&gt;0,"Valid","Invalid")</f>
        <v>Valid</v>
      </c>
    </row>
    <row r="5790" spans="1:18" x14ac:dyDescent="0.25">
      <c r="A5790" t="s">
        <v>7861</v>
      </c>
      <c r="B5790" t="s">
        <v>271</v>
      </c>
      <c r="C5790" s="8">
        <v>46052</v>
      </c>
      <c r="D5790" t="s">
        <v>2062</v>
      </c>
      <c r="E5790" t="s">
        <v>2068</v>
      </c>
      <c r="F5790" t="s">
        <v>53</v>
      </c>
      <c r="G5790">
        <v>1627.17</v>
      </c>
      <c r="H5790" t="s">
        <v>2060</v>
      </c>
      <c r="I5790" t="str">
        <f>VLOOKUP(B5790,Customers!A:G,7,FALSE)</f>
        <v>Student</v>
      </c>
      <c r="Q5790" t="str">
        <f>IF(COUNTIF(Customers!$A$2:$A$1001,B5790)&gt;0,"Valid","Invalid")</f>
        <v>Valid</v>
      </c>
      <c r="R5790" t="str">
        <f>IF(COUNTIF(Branches!$A$2:$A$11,F5790)&gt;0,"Valid","Invalid")</f>
        <v>Valid</v>
      </c>
    </row>
    <row r="5791" spans="1:18" x14ac:dyDescent="0.25">
      <c r="A5791" t="s">
        <v>7862</v>
      </c>
      <c r="B5791" t="s">
        <v>370</v>
      </c>
      <c r="C5791" s="8">
        <v>46181</v>
      </c>
      <c r="D5791" t="s">
        <v>2062</v>
      </c>
      <c r="E5791" t="s">
        <v>2063</v>
      </c>
      <c r="F5791" t="s">
        <v>47</v>
      </c>
      <c r="G5791">
        <v>270.95999999999998</v>
      </c>
      <c r="H5791" t="s">
        <v>2060</v>
      </c>
      <c r="I5791" t="str">
        <f>VLOOKUP(B5791,Customers!A:G,7,FALSE)</f>
        <v>SME</v>
      </c>
      <c r="Q5791" t="str">
        <f>IF(COUNTIF(Customers!$A$2:$A$1001,B5791)&gt;0,"Valid","Invalid")</f>
        <v>Valid</v>
      </c>
      <c r="R5791" t="str">
        <f>IF(COUNTIF(Branches!$A$2:$A$11,F5791)&gt;0,"Valid","Invalid")</f>
        <v>Valid</v>
      </c>
    </row>
    <row r="5792" spans="1:18" x14ac:dyDescent="0.25">
      <c r="A5792" t="s">
        <v>7863</v>
      </c>
      <c r="B5792" t="s">
        <v>580</v>
      </c>
      <c r="C5792" s="8">
        <v>46155</v>
      </c>
      <c r="D5792" t="s">
        <v>2058</v>
      </c>
      <c r="E5792" t="s">
        <v>2068</v>
      </c>
      <c r="F5792" t="s">
        <v>35</v>
      </c>
      <c r="G5792">
        <v>654.13</v>
      </c>
      <c r="H5792" t="s">
        <v>2060</v>
      </c>
      <c r="I5792" t="str">
        <f>VLOOKUP(B5792,Customers!A:G,7,FALSE)</f>
        <v>Individual</v>
      </c>
      <c r="Q5792" t="str">
        <f>IF(COUNTIF(Customers!$A$2:$A$1001,B5792)&gt;0,"Valid","Invalid")</f>
        <v>Valid</v>
      </c>
      <c r="R5792" t="str">
        <f>IF(COUNTIF(Branches!$A$2:$A$11,F5792)&gt;0,"Valid","Invalid")</f>
        <v>Valid</v>
      </c>
    </row>
    <row r="5793" spans="1:18" x14ac:dyDescent="0.25">
      <c r="A5793" t="s">
        <v>7864</v>
      </c>
      <c r="B5793" t="s">
        <v>931</v>
      </c>
      <c r="C5793" s="8">
        <v>46182</v>
      </c>
      <c r="D5793" t="s">
        <v>2058</v>
      </c>
      <c r="E5793" t="s">
        <v>2059</v>
      </c>
      <c r="F5793" t="s">
        <v>39</v>
      </c>
      <c r="G5793">
        <v>1360.72</v>
      </c>
      <c r="H5793" t="s">
        <v>2060</v>
      </c>
      <c r="I5793" t="str">
        <f>VLOOKUP(B5793,Customers!A:G,7,FALSE)</f>
        <v>SME</v>
      </c>
      <c r="Q5793" t="str">
        <f>IF(COUNTIF(Customers!$A$2:$A$1001,B5793)&gt;0,"Valid","Invalid")</f>
        <v>Valid</v>
      </c>
      <c r="R5793" t="str">
        <f>IF(COUNTIF(Branches!$A$2:$A$11,F5793)&gt;0,"Valid","Invalid")</f>
        <v>Valid</v>
      </c>
    </row>
    <row r="5794" spans="1:18" x14ac:dyDescent="0.25">
      <c r="A5794" t="s">
        <v>7865</v>
      </c>
      <c r="B5794" t="s">
        <v>345</v>
      </c>
      <c r="C5794" s="8">
        <v>46038</v>
      </c>
      <c r="D5794" t="s">
        <v>2065</v>
      </c>
      <c r="E5794" t="s">
        <v>2063</v>
      </c>
      <c r="F5794" t="s">
        <v>29</v>
      </c>
      <c r="G5794">
        <v>621.16999999999996</v>
      </c>
      <c r="H5794" t="s">
        <v>2060</v>
      </c>
      <c r="I5794" t="str">
        <f>VLOOKUP(B5794,Customers!A:G,7,FALSE)</f>
        <v>Individual</v>
      </c>
      <c r="Q5794" t="str">
        <f>IF(COUNTIF(Customers!$A$2:$A$1001,B5794)&gt;0,"Valid","Invalid")</f>
        <v>Valid</v>
      </c>
      <c r="R5794" t="str">
        <f>IF(COUNTIF(Branches!$A$2:$A$11,F5794)&gt;0,"Valid","Invalid")</f>
        <v>Valid</v>
      </c>
    </row>
    <row r="5795" spans="1:18" x14ac:dyDescent="0.25">
      <c r="A5795" t="s">
        <v>7866</v>
      </c>
      <c r="B5795" t="s">
        <v>197</v>
      </c>
      <c r="C5795" s="8">
        <v>46261</v>
      </c>
      <c r="D5795" t="s">
        <v>2058</v>
      </c>
      <c r="E5795" t="s">
        <v>2063</v>
      </c>
      <c r="F5795" t="s">
        <v>29</v>
      </c>
      <c r="G5795">
        <v>2120.5300000000002</v>
      </c>
      <c r="H5795" t="s">
        <v>2060</v>
      </c>
      <c r="I5795" t="str">
        <f>VLOOKUP(B5795,Customers!A:G,7,FALSE)</f>
        <v>Individual</v>
      </c>
      <c r="Q5795" t="str">
        <f>IF(COUNTIF(Customers!$A$2:$A$1001,B5795)&gt;0,"Valid","Invalid")</f>
        <v>Valid</v>
      </c>
      <c r="R5795" t="str">
        <f>IF(COUNTIF(Branches!$A$2:$A$11,F5795)&gt;0,"Valid","Invalid")</f>
        <v>Valid</v>
      </c>
    </row>
    <row r="5796" spans="1:18" x14ac:dyDescent="0.25">
      <c r="A5796" t="s">
        <v>7867</v>
      </c>
      <c r="B5796" t="s">
        <v>440</v>
      </c>
      <c r="C5796" s="8">
        <v>46223</v>
      </c>
      <c r="D5796" t="s">
        <v>2067</v>
      </c>
      <c r="E5796" t="s">
        <v>2076</v>
      </c>
      <c r="F5796" t="s">
        <v>16</v>
      </c>
      <c r="G5796">
        <v>889.07</v>
      </c>
      <c r="H5796" t="s">
        <v>2060</v>
      </c>
      <c r="I5796" t="str">
        <f>VLOOKUP(B5796,Customers!A:G,7,FALSE)</f>
        <v>Individual</v>
      </c>
      <c r="Q5796" t="str">
        <f>IF(COUNTIF(Customers!$A$2:$A$1001,B5796)&gt;0,"Valid","Invalid")</f>
        <v>Valid</v>
      </c>
      <c r="R5796" t="str">
        <f>IF(COUNTIF(Branches!$A$2:$A$11,F5796)&gt;0,"Valid","Invalid")</f>
        <v>Valid</v>
      </c>
    </row>
    <row r="5797" spans="1:18" x14ac:dyDescent="0.25">
      <c r="A5797" t="s">
        <v>7868</v>
      </c>
      <c r="B5797" t="s">
        <v>628</v>
      </c>
      <c r="C5797" s="8">
        <v>46172</v>
      </c>
      <c r="D5797" t="s">
        <v>2062</v>
      </c>
      <c r="E5797" t="s">
        <v>2059</v>
      </c>
      <c r="F5797" t="s">
        <v>29</v>
      </c>
      <c r="G5797">
        <v>115.02</v>
      </c>
      <c r="H5797" t="s">
        <v>2107</v>
      </c>
      <c r="I5797" t="str">
        <f>VLOOKUP(B5797,Customers!A:G,7,FALSE)</f>
        <v>Individual</v>
      </c>
      <c r="Q5797" t="str">
        <f>IF(COUNTIF(Customers!$A$2:$A$1001,B5797)&gt;0,"Valid","Invalid")</f>
        <v>Valid</v>
      </c>
      <c r="R5797" t="str">
        <f>IF(COUNTIF(Branches!$A$2:$A$11,F5797)&gt;0,"Valid","Invalid")</f>
        <v>Valid</v>
      </c>
    </row>
    <row r="5798" spans="1:18" x14ac:dyDescent="0.25">
      <c r="A5798" t="s">
        <v>7869</v>
      </c>
      <c r="B5798" t="s">
        <v>316</v>
      </c>
      <c r="C5798" s="8">
        <v>46214</v>
      </c>
      <c r="D5798" t="s">
        <v>2067</v>
      </c>
      <c r="E5798" t="s">
        <v>2068</v>
      </c>
      <c r="F5798" t="s">
        <v>11</v>
      </c>
      <c r="G5798">
        <v>1880.76</v>
      </c>
      <c r="H5798" t="s">
        <v>2060</v>
      </c>
      <c r="I5798" t="str">
        <f>VLOOKUP(B5798,Customers!A:G,7,FALSE)</f>
        <v>Individual</v>
      </c>
      <c r="Q5798" t="str">
        <f>IF(COUNTIF(Customers!$A$2:$A$1001,B5798)&gt;0,"Valid","Invalid")</f>
        <v>Valid</v>
      </c>
      <c r="R5798" t="str">
        <f>IF(COUNTIF(Branches!$A$2:$A$11,F5798)&gt;0,"Valid","Invalid")</f>
        <v>Valid</v>
      </c>
    </row>
    <row r="5799" spans="1:18" x14ac:dyDescent="0.25">
      <c r="A5799" t="s">
        <v>7870</v>
      </c>
      <c r="B5799" t="s">
        <v>358</v>
      </c>
      <c r="C5799" s="8">
        <v>46194</v>
      </c>
      <c r="D5799" t="s">
        <v>2058</v>
      </c>
      <c r="E5799" t="s">
        <v>2076</v>
      </c>
      <c r="F5799" t="s">
        <v>27</v>
      </c>
      <c r="G5799">
        <v>722.63</v>
      </c>
      <c r="H5799" t="s">
        <v>2060</v>
      </c>
      <c r="I5799" t="str">
        <f>VLOOKUP(B5799,Customers!A:G,7,FALSE)</f>
        <v>Individual</v>
      </c>
      <c r="Q5799" t="str">
        <f>IF(COUNTIF(Customers!$A$2:$A$1001,B5799)&gt;0,"Valid","Invalid")</f>
        <v>Valid</v>
      </c>
      <c r="R5799" t="str">
        <f>IF(COUNTIF(Branches!$A$2:$A$11,F5799)&gt;0,"Valid","Invalid")</f>
        <v>Valid</v>
      </c>
    </row>
    <row r="5800" spans="1:18" x14ac:dyDescent="0.25">
      <c r="A5800" t="s">
        <v>7871</v>
      </c>
      <c r="B5800" t="s">
        <v>571</v>
      </c>
      <c r="C5800" s="8">
        <v>46062</v>
      </c>
      <c r="D5800" t="s">
        <v>2065</v>
      </c>
      <c r="E5800" t="s">
        <v>2063</v>
      </c>
      <c r="F5800" t="s">
        <v>47</v>
      </c>
      <c r="G5800">
        <v>138.41999999999999</v>
      </c>
      <c r="H5800" t="s">
        <v>2060</v>
      </c>
      <c r="I5800" t="str">
        <f>VLOOKUP(B5800,Customers!A:G,7,FALSE)</f>
        <v>Individual</v>
      </c>
      <c r="Q5800" t="str">
        <f>IF(COUNTIF(Customers!$A$2:$A$1001,B5800)&gt;0,"Valid","Invalid")</f>
        <v>Valid</v>
      </c>
      <c r="R5800" t="str">
        <f>IF(COUNTIF(Branches!$A$2:$A$11,F5800)&gt;0,"Valid","Invalid")</f>
        <v>Valid</v>
      </c>
    </row>
    <row r="5801" spans="1:18" x14ac:dyDescent="0.25">
      <c r="A5801" t="s">
        <v>7872</v>
      </c>
      <c r="B5801" t="s">
        <v>935</v>
      </c>
      <c r="C5801" s="8">
        <v>46259</v>
      </c>
      <c r="D5801" t="s">
        <v>2065</v>
      </c>
      <c r="E5801" t="s">
        <v>2076</v>
      </c>
      <c r="F5801" t="s">
        <v>47</v>
      </c>
      <c r="G5801">
        <v>631.26</v>
      </c>
      <c r="H5801" t="s">
        <v>2060</v>
      </c>
      <c r="I5801" t="str">
        <f>VLOOKUP(B5801,Customers!A:G,7,FALSE)</f>
        <v>Individual</v>
      </c>
      <c r="Q5801" t="str">
        <f>IF(COUNTIF(Customers!$A$2:$A$1001,B5801)&gt;0,"Valid","Invalid")</f>
        <v>Valid</v>
      </c>
      <c r="R5801" t="str">
        <f>IF(COUNTIF(Branches!$A$2:$A$11,F5801)&gt;0,"Valid","Invalid")</f>
        <v>Valid</v>
      </c>
    </row>
    <row r="5802" spans="1:18" x14ac:dyDescent="0.25">
      <c r="A5802" t="s">
        <v>7873</v>
      </c>
      <c r="B5802" t="s">
        <v>535</v>
      </c>
      <c r="C5802" s="8">
        <v>46059</v>
      </c>
      <c r="D5802" t="s">
        <v>2065</v>
      </c>
      <c r="E5802" t="s">
        <v>2063</v>
      </c>
      <c r="F5802" t="s">
        <v>11</v>
      </c>
      <c r="G5802">
        <v>228.52</v>
      </c>
      <c r="H5802" t="s">
        <v>2060</v>
      </c>
      <c r="I5802" t="str">
        <f>VLOOKUP(B5802,Customers!A:G,7,FALSE)</f>
        <v>SME</v>
      </c>
      <c r="Q5802" t="str">
        <f>IF(COUNTIF(Customers!$A$2:$A$1001,B5802)&gt;0,"Valid","Invalid")</f>
        <v>Valid</v>
      </c>
      <c r="R5802" t="str">
        <f>IF(COUNTIF(Branches!$A$2:$A$11,F5802)&gt;0,"Valid","Invalid")</f>
        <v>Valid</v>
      </c>
    </row>
    <row r="5803" spans="1:18" x14ac:dyDescent="0.25">
      <c r="A5803" t="s">
        <v>7874</v>
      </c>
      <c r="B5803" t="s">
        <v>401</v>
      </c>
      <c r="C5803" s="8">
        <v>46100</v>
      </c>
      <c r="D5803" t="s">
        <v>2065</v>
      </c>
      <c r="E5803" t="s">
        <v>2059</v>
      </c>
      <c r="F5803" t="s">
        <v>47</v>
      </c>
      <c r="G5803">
        <v>1725.26</v>
      </c>
      <c r="H5803" t="s">
        <v>2107</v>
      </c>
      <c r="I5803" t="str">
        <f>VLOOKUP(B5803,Customers!A:G,7,FALSE)</f>
        <v>Individual</v>
      </c>
      <c r="Q5803" t="str">
        <f>IF(COUNTIF(Customers!$A$2:$A$1001,B5803)&gt;0,"Valid","Invalid")</f>
        <v>Valid</v>
      </c>
      <c r="R5803" t="str">
        <f>IF(COUNTIF(Branches!$A$2:$A$11,F5803)&gt;0,"Valid","Invalid")</f>
        <v>Valid</v>
      </c>
    </row>
    <row r="5804" spans="1:18" x14ac:dyDescent="0.25">
      <c r="A5804" t="s">
        <v>7875</v>
      </c>
      <c r="B5804" t="s">
        <v>410</v>
      </c>
      <c r="C5804" s="8">
        <v>46038</v>
      </c>
      <c r="D5804" t="s">
        <v>2058</v>
      </c>
      <c r="E5804" t="s">
        <v>2076</v>
      </c>
      <c r="F5804" t="s">
        <v>45</v>
      </c>
      <c r="G5804">
        <v>783.8</v>
      </c>
      <c r="H5804" t="s">
        <v>2115</v>
      </c>
      <c r="I5804" t="str">
        <f>VLOOKUP(B5804,Customers!A:G,7,FALSE)</f>
        <v>Individual</v>
      </c>
      <c r="Q5804" t="str">
        <f>IF(COUNTIF(Customers!$A$2:$A$1001,B5804)&gt;0,"Valid","Invalid")</f>
        <v>Valid</v>
      </c>
      <c r="R5804" t="str">
        <f>IF(COUNTIF(Branches!$A$2:$A$11,F5804)&gt;0,"Valid","Invalid")</f>
        <v>Valid</v>
      </c>
    </row>
    <row r="5805" spans="1:18" x14ac:dyDescent="0.25">
      <c r="A5805" t="s">
        <v>7876</v>
      </c>
      <c r="B5805" t="s">
        <v>930</v>
      </c>
      <c r="C5805" s="8">
        <v>46065</v>
      </c>
      <c r="D5805" t="s">
        <v>2062</v>
      </c>
      <c r="E5805" t="s">
        <v>2068</v>
      </c>
      <c r="F5805" t="s">
        <v>27</v>
      </c>
      <c r="G5805">
        <v>322.55</v>
      </c>
      <c r="H5805" t="s">
        <v>2060</v>
      </c>
      <c r="I5805" t="str">
        <f>VLOOKUP(B5805,Customers!A:G,7,FALSE)</f>
        <v>Individual</v>
      </c>
      <c r="Q5805" t="str">
        <f>IF(COUNTIF(Customers!$A$2:$A$1001,B5805)&gt;0,"Valid","Invalid")</f>
        <v>Valid</v>
      </c>
      <c r="R5805" t="str">
        <f>IF(COUNTIF(Branches!$A$2:$A$11,F5805)&gt;0,"Valid","Invalid")</f>
        <v>Valid</v>
      </c>
    </row>
    <row r="5806" spans="1:18" x14ac:dyDescent="0.25">
      <c r="A5806" t="s">
        <v>7877</v>
      </c>
      <c r="B5806" t="s">
        <v>693</v>
      </c>
      <c r="C5806" s="8">
        <v>46234</v>
      </c>
      <c r="D5806" t="s">
        <v>2058</v>
      </c>
      <c r="E5806" t="s">
        <v>2059</v>
      </c>
      <c r="F5806" t="s">
        <v>47</v>
      </c>
      <c r="G5806">
        <v>1827.76</v>
      </c>
      <c r="H5806" t="s">
        <v>2115</v>
      </c>
      <c r="I5806" t="str">
        <f>VLOOKUP(B5806,Customers!A:G,7,FALSE)</f>
        <v>Individual</v>
      </c>
      <c r="Q5806" t="str">
        <f>IF(COUNTIF(Customers!$A$2:$A$1001,B5806)&gt;0,"Valid","Invalid")</f>
        <v>Valid</v>
      </c>
      <c r="R5806" t="str">
        <f>IF(COUNTIF(Branches!$A$2:$A$11,F5806)&gt;0,"Valid","Invalid")</f>
        <v>Valid</v>
      </c>
    </row>
    <row r="5807" spans="1:18" x14ac:dyDescent="0.25">
      <c r="A5807" t="s">
        <v>7878</v>
      </c>
      <c r="B5807" t="s">
        <v>70</v>
      </c>
      <c r="C5807" s="8">
        <v>46085</v>
      </c>
      <c r="D5807" t="s">
        <v>2058</v>
      </c>
      <c r="E5807" t="s">
        <v>2068</v>
      </c>
      <c r="F5807" t="s">
        <v>11</v>
      </c>
      <c r="G5807">
        <v>1285.01</v>
      </c>
      <c r="H5807" t="s">
        <v>2060</v>
      </c>
      <c r="I5807" t="str">
        <f>VLOOKUP(B5807,Customers!A:G,7,FALSE)</f>
        <v>Individual</v>
      </c>
      <c r="Q5807" t="str">
        <f>IF(COUNTIF(Customers!$A$2:$A$1001,B5807)&gt;0,"Valid","Invalid")</f>
        <v>Valid</v>
      </c>
      <c r="R5807" t="str">
        <f>IF(COUNTIF(Branches!$A$2:$A$11,F5807)&gt;0,"Valid","Invalid")</f>
        <v>Valid</v>
      </c>
    </row>
    <row r="5808" spans="1:18" x14ac:dyDescent="0.25">
      <c r="A5808" t="s">
        <v>7879</v>
      </c>
      <c r="B5808" t="s">
        <v>341</v>
      </c>
      <c r="C5808" s="8">
        <v>46258</v>
      </c>
      <c r="D5808" t="s">
        <v>2058</v>
      </c>
      <c r="E5808" t="s">
        <v>2068</v>
      </c>
      <c r="F5808" t="s">
        <v>29</v>
      </c>
      <c r="G5808">
        <v>641.77</v>
      </c>
      <c r="H5808" t="s">
        <v>2060</v>
      </c>
      <c r="I5808" t="str">
        <f>VLOOKUP(B5808,Customers!A:G,7,FALSE)</f>
        <v>SME</v>
      </c>
      <c r="Q5808" t="str">
        <f>IF(COUNTIF(Customers!$A$2:$A$1001,B5808)&gt;0,"Valid","Invalid")</f>
        <v>Valid</v>
      </c>
      <c r="R5808" t="str">
        <f>IF(COUNTIF(Branches!$A$2:$A$11,F5808)&gt;0,"Valid","Invalid")</f>
        <v>Valid</v>
      </c>
    </row>
    <row r="5809" spans="1:18" x14ac:dyDescent="0.25">
      <c r="A5809" t="s">
        <v>7880</v>
      </c>
      <c r="B5809" t="s">
        <v>476</v>
      </c>
      <c r="C5809" s="8">
        <v>46037</v>
      </c>
      <c r="D5809" t="s">
        <v>2067</v>
      </c>
      <c r="E5809" t="s">
        <v>2059</v>
      </c>
      <c r="F5809" t="s">
        <v>29</v>
      </c>
      <c r="G5809">
        <v>233.79</v>
      </c>
      <c r="H5809" t="s">
        <v>2060</v>
      </c>
      <c r="I5809" t="str">
        <f>VLOOKUP(B5809,Customers!A:G,7,FALSE)</f>
        <v>Individual</v>
      </c>
      <c r="Q5809" t="str">
        <f>IF(COUNTIF(Customers!$A$2:$A$1001,B5809)&gt;0,"Valid","Invalid")</f>
        <v>Valid</v>
      </c>
      <c r="R5809" t="str">
        <f>IF(COUNTIF(Branches!$A$2:$A$11,F5809)&gt;0,"Valid","Invalid")</f>
        <v>Valid</v>
      </c>
    </row>
    <row r="5810" spans="1:18" x14ac:dyDescent="0.25">
      <c r="A5810" t="s">
        <v>7881</v>
      </c>
      <c r="B5810" t="s">
        <v>764</v>
      </c>
      <c r="C5810" s="8">
        <v>46194</v>
      </c>
      <c r="D5810" t="s">
        <v>2067</v>
      </c>
      <c r="E5810" t="s">
        <v>2059</v>
      </c>
      <c r="F5810" t="s">
        <v>21</v>
      </c>
      <c r="G5810">
        <v>349.86</v>
      </c>
      <c r="H5810" t="s">
        <v>2060</v>
      </c>
      <c r="I5810" t="str">
        <f>VLOOKUP(B5810,Customers!A:G,7,FALSE)</f>
        <v>Individual</v>
      </c>
      <c r="Q5810" t="str">
        <f>IF(COUNTIF(Customers!$A$2:$A$1001,B5810)&gt;0,"Valid","Invalid")</f>
        <v>Valid</v>
      </c>
      <c r="R5810" t="str">
        <f>IF(COUNTIF(Branches!$A$2:$A$11,F5810)&gt;0,"Valid","Invalid")</f>
        <v>Valid</v>
      </c>
    </row>
    <row r="5811" spans="1:18" x14ac:dyDescent="0.25">
      <c r="A5811" t="s">
        <v>7882</v>
      </c>
      <c r="B5811" t="s">
        <v>66</v>
      </c>
      <c r="C5811" s="8">
        <v>46240</v>
      </c>
      <c r="D5811" t="s">
        <v>2067</v>
      </c>
      <c r="E5811" t="s">
        <v>2076</v>
      </c>
      <c r="F5811" t="s">
        <v>29</v>
      </c>
      <c r="G5811">
        <v>344.65</v>
      </c>
      <c r="H5811" t="s">
        <v>2115</v>
      </c>
      <c r="I5811" t="str">
        <f>VLOOKUP(B5811,Customers!A:G,7,FALSE)</f>
        <v>Individual</v>
      </c>
      <c r="Q5811" t="str">
        <f>IF(COUNTIF(Customers!$A$2:$A$1001,B5811)&gt;0,"Valid","Invalid")</f>
        <v>Valid</v>
      </c>
      <c r="R5811" t="str">
        <f>IF(COUNTIF(Branches!$A$2:$A$11,F5811)&gt;0,"Valid","Invalid")</f>
        <v>Valid</v>
      </c>
    </row>
    <row r="5812" spans="1:18" x14ac:dyDescent="0.25">
      <c r="A5812" t="s">
        <v>7883</v>
      </c>
      <c r="B5812" t="s">
        <v>223</v>
      </c>
      <c r="C5812" s="8">
        <v>46159</v>
      </c>
      <c r="D5812" t="s">
        <v>2062</v>
      </c>
      <c r="E5812" t="s">
        <v>2063</v>
      </c>
      <c r="F5812" t="s">
        <v>53</v>
      </c>
      <c r="G5812">
        <v>1713.85</v>
      </c>
      <c r="H5812" t="s">
        <v>2060</v>
      </c>
      <c r="I5812" t="str">
        <f>VLOOKUP(B5812,Customers!A:G,7,FALSE)</f>
        <v>Student</v>
      </c>
      <c r="Q5812" t="str">
        <f>IF(COUNTIF(Customers!$A$2:$A$1001,B5812)&gt;0,"Valid","Invalid")</f>
        <v>Valid</v>
      </c>
      <c r="R5812" t="str">
        <f>IF(COUNTIF(Branches!$A$2:$A$11,F5812)&gt;0,"Valid","Invalid")</f>
        <v>Valid</v>
      </c>
    </row>
    <row r="5813" spans="1:18" x14ac:dyDescent="0.25">
      <c r="A5813" t="s">
        <v>7884</v>
      </c>
      <c r="B5813" t="s">
        <v>210</v>
      </c>
      <c r="C5813" s="8">
        <v>46087</v>
      </c>
      <c r="D5813" t="s">
        <v>2065</v>
      </c>
      <c r="E5813" t="s">
        <v>2068</v>
      </c>
      <c r="F5813" t="s">
        <v>45</v>
      </c>
      <c r="G5813">
        <v>151.28</v>
      </c>
      <c r="H5813" t="s">
        <v>2060</v>
      </c>
      <c r="I5813" t="str">
        <f>VLOOKUP(B5813,Customers!A:G,7,FALSE)</f>
        <v>SME</v>
      </c>
      <c r="Q5813" t="str">
        <f>IF(COUNTIF(Customers!$A$2:$A$1001,B5813)&gt;0,"Valid","Invalid")</f>
        <v>Valid</v>
      </c>
      <c r="R5813" t="str">
        <f>IF(COUNTIF(Branches!$A$2:$A$11,F5813)&gt;0,"Valid","Invalid")</f>
        <v>Valid</v>
      </c>
    </row>
    <row r="5814" spans="1:18" x14ac:dyDescent="0.25">
      <c r="A5814" t="s">
        <v>7885</v>
      </c>
      <c r="B5814" t="s">
        <v>604</v>
      </c>
      <c r="C5814" s="8">
        <v>46249</v>
      </c>
      <c r="D5814" t="s">
        <v>2065</v>
      </c>
      <c r="E5814" t="s">
        <v>2068</v>
      </c>
      <c r="F5814" t="s">
        <v>11</v>
      </c>
      <c r="G5814">
        <v>774.92</v>
      </c>
      <c r="H5814" t="s">
        <v>2060</v>
      </c>
      <c r="I5814" t="str">
        <f>VLOOKUP(B5814,Customers!A:G,7,FALSE)</f>
        <v>Student</v>
      </c>
      <c r="Q5814" t="str">
        <f>IF(COUNTIF(Customers!$A$2:$A$1001,B5814)&gt;0,"Valid","Invalid")</f>
        <v>Valid</v>
      </c>
      <c r="R5814" t="str">
        <f>IF(COUNTIF(Branches!$A$2:$A$11,F5814)&gt;0,"Valid","Invalid")</f>
        <v>Valid</v>
      </c>
    </row>
    <row r="5815" spans="1:18" x14ac:dyDescent="0.25">
      <c r="A5815" t="s">
        <v>7886</v>
      </c>
      <c r="B5815" t="s">
        <v>711</v>
      </c>
      <c r="C5815" s="8">
        <v>46066</v>
      </c>
      <c r="D5815" t="s">
        <v>2058</v>
      </c>
      <c r="E5815" t="s">
        <v>2063</v>
      </c>
      <c r="F5815" t="s">
        <v>11</v>
      </c>
      <c r="G5815">
        <v>632.52</v>
      </c>
      <c r="H5815" t="s">
        <v>2060</v>
      </c>
      <c r="I5815" t="str">
        <f>VLOOKUP(B5815,Customers!A:G,7,FALSE)</f>
        <v>SME</v>
      </c>
      <c r="Q5815" t="str">
        <f>IF(COUNTIF(Customers!$A$2:$A$1001,B5815)&gt;0,"Valid","Invalid")</f>
        <v>Valid</v>
      </c>
      <c r="R5815" t="str">
        <f>IF(COUNTIF(Branches!$A$2:$A$11,F5815)&gt;0,"Valid","Invalid")</f>
        <v>Valid</v>
      </c>
    </row>
    <row r="5816" spans="1:18" x14ac:dyDescent="0.25">
      <c r="A5816" t="s">
        <v>7887</v>
      </c>
      <c r="B5816" t="s">
        <v>288</v>
      </c>
      <c r="C5816" s="8">
        <v>46042</v>
      </c>
      <c r="D5816" t="s">
        <v>2070</v>
      </c>
      <c r="E5816" t="s">
        <v>2073</v>
      </c>
      <c r="F5816" t="s">
        <v>35</v>
      </c>
      <c r="G5816">
        <v>2288.2399999999998</v>
      </c>
      <c r="H5816" t="s">
        <v>2060</v>
      </c>
      <c r="I5816" t="str">
        <f>VLOOKUP(B5816,Customers!A:G,7,FALSE)</f>
        <v>SME</v>
      </c>
      <c r="Q5816" t="str">
        <f>IF(COUNTIF(Customers!$A$2:$A$1001,B5816)&gt;0,"Valid","Invalid")</f>
        <v>Valid</v>
      </c>
      <c r="R5816" t="str">
        <f>IF(COUNTIF(Branches!$A$2:$A$11,F5816)&gt;0,"Valid","Invalid")</f>
        <v>Valid</v>
      </c>
    </row>
    <row r="5817" spans="1:18" x14ac:dyDescent="0.25">
      <c r="A5817" t="s">
        <v>7888</v>
      </c>
      <c r="B5817" t="s">
        <v>801</v>
      </c>
      <c r="C5817" s="8">
        <v>46259</v>
      </c>
      <c r="D5817" t="s">
        <v>2058</v>
      </c>
      <c r="E5817" t="s">
        <v>2063</v>
      </c>
      <c r="F5817" t="s">
        <v>35</v>
      </c>
      <c r="G5817">
        <v>1025.3</v>
      </c>
      <c r="H5817" t="s">
        <v>2060</v>
      </c>
      <c r="I5817" t="str">
        <f>VLOOKUP(B5817,Customers!A:G,7,FALSE)</f>
        <v>SME</v>
      </c>
      <c r="Q5817" t="str">
        <f>IF(COUNTIF(Customers!$A$2:$A$1001,B5817)&gt;0,"Valid","Invalid")</f>
        <v>Valid</v>
      </c>
      <c r="R5817" t="str">
        <f>IF(COUNTIF(Branches!$A$2:$A$11,F5817)&gt;0,"Valid","Invalid")</f>
        <v>Valid</v>
      </c>
    </row>
    <row r="5818" spans="1:18" x14ac:dyDescent="0.25">
      <c r="A5818" t="s">
        <v>7889</v>
      </c>
      <c r="B5818" t="s">
        <v>973</v>
      </c>
      <c r="C5818" s="8">
        <v>46141</v>
      </c>
      <c r="D5818" t="s">
        <v>2062</v>
      </c>
      <c r="E5818" t="s">
        <v>2073</v>
      </c>
      <c r="F5818" t="s">
        <v>35</v>
      </c>
      <c r="G5818">
        <v>1387.43</v>
      </c>
      <c r="H5818" t="s">
        <v>2060</v>
      </c>
      <c r="I5818" t="str">
        <f>VLOOKUP(B5818,Customers!A:G,7,FALSE)</f>
        <v>Individual</v>
      </c>
      <c r="Q5818" t="str">
        <f>IF(COUNTIF(Customers!$A$2:$A$1001,B5818)&gt;0,"Valid","Invalid")</f>
        <v>Valid</v>
      </c>
      <c r="R5818" t="str">
        <f>IF(COUNTIF(Branches!$A$2:$A$11,F5818)&gt;0,"Valid","Invalid")</f>
        <v>Valid</v>
      </c>
    </row>
    <row r="5819" spans="1:18" x14ac:dyDescent="0.25">
      <c r="A5819" t="s">
        <v>7890</v>
      </c>
      <c r="B5819" t="s">
        <v>317</v>
      </c>
      <c r="C5819" s="8">
        <v>46220</v>
      </c>
      <c r="D5819" t="s">
        <v>2058</v>
      </c>
      <c r="E5819" t="s">
        <v>2063</v>
      </c>
      <c r="F5819" t="s">
        <v>27</v>
      </c>
      <c r="G5819">
        <v>480.41</v>
      </c>
      <c r="H5819" t="s">
        <v>2060</v>
      </c>
      <c r="I5819" t="str">
        <f>VLOOKUP(B5819,Customers!A:G,7,FALSE)</f>
        <v>Individual</v>
      </c>
      <c r="Q5819" t="str">
        <f>IF(COUNTIF(Customers!$A$2:$A$1001,B5819)&gt;0,"Valid","Invalid")</f>
        <v>Valid</v>
      </c>
      <c r="R5819" t="str">
        <f>IF(COUNTIF(Branches!$A$2:$A$11,F5819)&gt;0,"Valid","Invalid")</f>
        <v>Valid</v>
      </c>
    </row>
    <row r="5820" spans="1:18" x14ac:dyDescent="0.25">
      <c r="A5820" t="s">
        <v>7891</v>
      </c>
      <c r="B5820" t="s">
        <v>721</v>
      </c>
      <c r="C5820" s="8">
        <v>46256</v>
      </c>
      <c r="D5820" t="s">
        <v>2058</v>
      </c>
      <c r="E5820" t="s">
        <v>2068</v>
      </c>
      <c r="F5820" t="s">
        <v>16</v>
      </c>
      <c r="G5820">
        <v>237.22</v>
      </c>
      <c r="H5820" t="s">
        <v>2060</v>
      </c>
      <c r="I5820" t="str">
        <f>VLOOKUP(B5820,Customers!A:G,7,FALSE)</f>
        <v>SME</v>
      </c>
      <c r="Q5820" t="str">
        <f>IF(COUNTIF(Customers!$A$2:$A$1001,B5820)&gt;0,"Valid","Invalid")</f>
        <v>Valid</v>
      </c>
      <c r="R5820" t="str">
        <f>IF(COUNTIF(Branches!$A$2:$A$11,F5820)&gt;0,"Valid","Invalid")</f>
        <v>Valid</v>
      </c>
    </row>
    <row r="5821" spans="1:18" x14ac:dyDescent="0.25">
      <c r="A5821" t="s">
        <v>7892</v>
      </c>
      <c r="B5821" t="s">
        <v>733</v>
      </c>
      <c r="C5821" s="8">
        <v>46224</v>
      </c>
      <c r="D5821" t="s">
        <v>2062</v>
      </c>
      <c r="E5821" t="s">
        <v>2059</v>
      </c>
      <c r="F5821" t="s">
        <v>45</v>
      </c>
      <c r="G5821">
        <v>586.71</v>
      </c>
      <c r="H5821" t="s">
        <v>2060</v>
      </c>
      <c r="I5821" t="str">
        <f>VLOOKUP(B5821,Customers!A:G,7,FALSE)</f>
        <v>Individual</v>
      </c>
      <c r="Q5821" t="str">
        <f>IF(COUNTIF(Customers!$A$2:$A$1001,B5821)&gt;0,"Valid","Invalid")</f>
        <v>Valid</v>
      </c>
      <c r="R5821" t="str">
        <f>IF(COUNTIF(Branches!$A$2:$A$11,F5821)&gt;0,"Valid","Invalid")</f>
        <v>Valid</v>
      </c>
    </row>
    <row r="5822" spans="1:18" x14ac:dyDescent="0.25">
      <c r="A5822" t="s">
        <v>7893</v>
      </c>
      <c r="B5822" t="s">
        <v>13</v>
      </c>
      <c r="C5822" s="8">
        <v>46134</v>
      </c>
      <c r="D5822" t="s">
        <v>2062</v>
      </c>
      <c r="E5822" t="s">
        <v>2076</v>
      </c>
      <c r="F5822" t="s">
        <v>53</v>
      </c>
      <c r="G5822">
        <v>1767.22</v>
      </c>
      <c r="H5822" t="s">
        <v>2060</v>
      </c>
      <c r="I5822" t="str">
        <f>VLOOKUP(B5822,Customers!A:G,7,FALSE)</f>
        <v>Student</v>
      </c>
      <c r="Q5822" t="str">
        <f>IF(COUNTIF(Customers!$A$2:$A$1001,B5822)&gt;0,"Valid","Invalid")</f>
        <v>Valid</v>
      </c>
      <c r="R5822" t="str">
        <f>IF(COUNTIF(Branches!$A$2:$A$11,F5822)&gt;0,"Valid","Invalid")</f>
        <v>Valid</v>
      </c>
    </row>
    <row r="5823" spans="1:18" x14ac:dyDescent="0.25">
      <c r="A5823" t="s">
        <v>7894</v>
      </c>
      <c r="B5823" t="s">
        <v>231</v>
      </c>
      <c r="C5823" s="8">
        <v>46145</v>
      </c>
      <c r="D5823" t="s">
        <v>2065</v>
      </c>
      <c r="E5823" t="s">
        <v>2063</v>
      </c>
      <c r="F5823" t="s">
        <v>39</v>
      </c>
      <c r="G5823">
        <v>1763.21</v>
      </c>
      <c r="H5823" t="s">
        <v>2060</v>
      </c>
      <c r="I5823" t="str">
        <f>VLOOKUP(B5823,Customers!A:G,7,FALSE)</f>
        <v>Individual</v>
      </c>
      <c r="Q5823" t="str">
        <f>IF(COUNTIF(Customers!$A$2:$A$1001,B5823)&gt;0,"Valid","Invalid")</f>
        <v>Valid</v>
      </c>
      <c r="R5823" t="str">
        <f>IF(COUNTIF(Branches!$A$2:$A$11,F5823)&gt;0,"Valid","Invalid")</f>
        <v>Valid</v>
      </c>
    </row>
    <row r="5824" spans="1:18" x14ac:dyDescent="0.25">
      <c r="A5824" t="s">
        <v>7895</v>
      </c>
      <c r="B5824" t="s">
        <v>202</v>
      </c>
      <c r="C5824" s="8">
        <v>46183</v>
      </c>
      <c r="D5824" t="s">
        <v>2067</v>
      </c>
      <c r="E5824" t="s">
        <v>2063</v>
      </c>
      <c r="F5824" t="s">
        <v>29</v>
      </c>
      <c r="G5824">
        <v>528.16999999999996</v>
      </c>
      <c r="H5824" t="s">
        <v>2060</v>
      </c>
      <c r="I5824" t="str">
        <f>VLOOKUP(B5824,Customers!A:G,7,FALSE)</f>
        <v>Student</v>
      </c>
      <c r="Q5824" t="str">
        <f>IF(COUNTIF(Customers!$A$2:$A$1001,B5824)&gt;0,"Valid","Invalid")</f>
        <v>Valid</v>
      </c>
      <c r="R5824" t="str">
        <f>IF(COUNTIF(Branches!$A$2:$A$11,F5824)&gt;0,"Valid","Invalid")</f>
        <v>Valid</v>
      </c>
    </row>
    <row r="5825" spans="1:18" x14ac:dyDescent="0.25">
      <c r="A5825" t="s">
        <v>7896</v>
      </c>
      <c r="B5825" t="s">
        <v>797</v>
      </c>
      <c r="C5825" s="8">
        <v>46102</v>
      </c>
      <c r="D5825" t="s">
        <v>2065</v>
      </c>
      <c r="E5825" t="s">
        <v>2063</v>
      </c>
      <c r="F5825" t="s">
        <v>27</v>
      </c>
      <c r="G5825">
        <v>343.52</v>
      </c>
      <c r="H5825" t="s">
        <v>2060</v>
      </c>
      <c r="I5825" t="str">
        <f>VLOOKUP(B5825,Customers!A:G,7,FALSE)</f>
        <v>Individual</v>
      </c>
      <c r="Q5825" t="str">
        <f>IF(COUNTIF(Customers!$A$2:$A$1001,B5825)&gt;0,"Valid","Invalid")</f>
        <v>Valid</v>
      </c>
      <c r="R5825" t="str">
        <f>IF(COUNTIF(Branches!$A$2:$A$11,F5825)&gt;0,"Valid","Invalid")</f>
        <v>Valid</v>
      </c>
    </row>
    <row r="5826" spans="1:18" x14ac:dyDescent="0.25">
      <c r="A5826" t="s">
        <v>7897</v>
      </c>
      <c r="B5826" t="s">
        <v>963</v>
      </c>
      <c r="C5826" s="8">
        <v>46122</v>
      </c>
      <c r="D5826" t="s">
        <v>2067</v>
      </c>
      <c r="E5826" t="s">
        <v>2068</v>
      </c>
      <c r="F5826" t="s">
        <v>47</v>
      </c>
      <c r="G5826">
        <v>282.39999999999998</v>
      </c>
      <c r="H5826" t="s">
        <v>2060</v>
      </c>
      <c r="I5826" t="str">
        <f>VLOOKUP(B5826,Customers!A:G,7,FALSE)</f>
        <v>Individual</v>
      </c>
      <c r="Q5826" t="str">
        <f>IF(COUNTIF(Customers!$A$2:$A$1001,B5826)&gt;0,"Valid","Invalid")</f>
        <v>Valid</v>
      </c>
      <c r="R5826" t="str">
        <f>IF(COUNTIF(Branches!$A$2:$A$11,F5826)&gt;0,"Valid","Invalid")</f>
        <v>Valid</v>
      </c>
    </row>
    <row r="5827" spans="1:18" x14ac:dyDescent="0.25">
      <c r="A5827" t="s">
        <v>7898</v>
      </c>
      <c r="B5827" t="s">
        <v>794</v>
      </c>
      <c r="C5827" s="8">
        <v>46028</v>
      </c>
      <c r="D5827" t="s">
        <v>2062</v>
      </c>
      <c r="E5827" t="s">
        <v>2063</v>
      </c>
      <c r="F5827" t="s">
        <v>11</v>
      </c>
      <c r="G5827">
        <v>708.66</v>
      </c>
      <c r="H5827" t="s">
        <v>2060</v>
      </c>
      <c r="I5827" t="str">
        <f>VLOOKUP(B5827,Customers!A:G,7,FALSE)</f>
        <v>Corporate</v>
      </c>
      <c r="Q5827" t="str">
        <f>IF(COUNTIF(Customers!$A$2:$A$1001,B5827)&gt;0,"Valid","Invalid")</f>
        <v>Valid</v>
      </c>
      <c r="R5827" t="str">
        <f>IF(COUNTIF(Branches!$A$2:$A$11,F5827)&gt;0,"Valid","Invalid")</f>
        <v>Valid</v>
      </c>
    </row>
    <row r="5828" spans="1:18" x14ac:dyDescent="0.25">
      <c r="A5828" t="s">
        <v>7899</v>
      </c>
      <c r="B5828" t="s">
        <v>146</v>
      </c>
      <c r="C5828" s="8">
        <v>46105</v>
      </c>
      <c r="D5828" t="s">
        <v>2067</v>
      </c>
      <c r="E5828" t="s">
        <v>2076</v>
      </c>
      <c r="F5828" t="s">
        <v>29</v>
      </c>
      <c r="G5828">
        <v>931.27</v>
      </c>
      <c r="H5828" t="s">
        <v>2060</v>
      </c>
      <c r="I5828" t="str">
        <f>VLOOKUP(B5828,Customers!A:G,7,FALSE)</f>
        <v>Student</v>
      </c>
      <c r="Q5828" t="str">
        <f>IF(COUNTIF(Customers!$A$2:$A$1001,B5828)&gt;0,"Valid","Invalid")</f>
        <v>Valid</v>
      </c>
      <c r="R5828" t="str">
        <f>IF(COUNTIF(Branches!$A$2:$A$11,F5828)&gt;0,"Valid","Invalid")</f>
        <v>Valid</v>
      </c>
    </row>
    <row r="5829" spans="1:18" x14ac:dyDescent="0.25">
      <c r="A5829" t="s">
        <v>7900</v>
      </c>
      <c r="B5829" t="s">
        <v>418</v>
      </c>
      <c r="C5829" s="8">
        <v>46053</v>
      </c>
      <c r="D5829" t="s">
        <v>2067</v>
      </c>
      <c r="E5829" t="s">
        <v>2068</v>
      </c>
      <c r="F5829" t="s">
        <v>11</v>
      </c>
      <c r="G5829">
        <v>3544.64</v>
      </c>
      <c r="H5829" t="s">
        <v>2060</v>
      </c>
      <c r="I5829" t="str">
        <f>VLOOKUP(B5829,Customers!A:G,7,FALSE)</f>
        <v>Individual</v>
      </c>
      <c r="Q5829" t="str">
        <f>IF(COUNTIF(Customers!$A$2:$A$1001,B5829)&gt;0,"Valid","Invalid")</f>
        <v>Valid</v>
      </c>
      <c r="R5829" t="str">
        <f>IF(COUNTIF(Branches!$A$2:$A$11,F5829)&gt;0,"Valid","Invalid")</f>
        <v>Valid</v>
      </c>
    </row>
    <row r="5830" spans="1:18" x14ac:dyDescent="0.25">
      <c r="A5830" t="s">
        <v>7901</v>
      </c>
      <c r="B5830" t="s">
        <v>873</v>
      </c>
      <c r="C5830" s="8">
        <v>46088</v>
      </c>
      <c r="D5830" t="s">
        <v>2062</v>
      </c>
      <c r="E5830" t="s">
        <v>2073</v>
      </c>
      <c r="F5830" t="s">
        <v>53</v>
      </c>
      <c r="G5830">
        <v>919.04</v>
      </c>
      <c r="H5830" t="s">
        <v>2060</v>
      </c>
      <c r="I5830" t="str">
        <f>VLOOKUP(B5830,Customers!A:G,7,FALSE)</f>
        <v>Individual</v>
      </c>
      <c r="Q5830" t="str">
        <f>IF(COUNTIF(Customers!$A$2:$A$1001,B5830)&gt;0,"Valid","Invalid")</f>
        <v>Valid</v>
      </c>
      <c r="R5830" t="str">
        <f>IF(COUNTIF(Branches!$A$2:$A$11,F5830)&gt;0,"Valid","Invalid")</f>
        <v>Valid</v>
      </c>
    </row>
    <row r="5831" spans="1:18" x14ac:dyDescent="0.25">
      <c r="A5831" t="s">
        <v>7902</v>
      </c>
      <c r="B5831" t="s">
        <v>1037</v>
      </c>
      <c r="C5831" s="8">
        <v>46040</v>
      </c>
      <c r="D5831" t="s">
        <v>2058</v>
      </c>
      <c r="E5831" t="s">
        <v>2063</v>
      </c>
      <c r="F5831" t="s">
        <v>27</v>
      </c>
      <c r="G5831">
        <v>1500.82</v>
      </c>
      <c r="H5831" t="s">
        <v>2060</v>
      </c>
      <c r="I5831" t="str">
        <f>VLOOKUP(B5831,Customers!A:G,7,FALSE)</f>
        <v>SME</v>
      </c>
      <c r="Q5831" t="str">
        <f>IF(COUNTIF(Customers!$A$2:$A$1001,B5831)&gt;0,"Valid","Invalid")</f>
        <v>Valid</v>
      </c>
      <c r="R5831" t="str">
        <f>IF(COUNTIF(Branches!$A$2:$A$11,F5831)&gt;0,"Valid","Invalid")</f>
        <v>Valid</v>
      </c>
    </row>
    <row r="5832" spans="1:18" x14ac:dyDescent="0.25">
      <c r="A5832" t="s">
        <v>7903</v>
      </c>
      <c r="B5832" t="s">
        <v>621</v>
      </c>
      <c r="C5832" s="8">
        <v>46256</v>
      </c>
      <c r="D5832" t="s">
        <v>2058</v>
      </c>
      <c r="E5832" t="s">
        <v>2068</v>
      </c>
      <c r="F5832" t="s">
        <v>11</v>
      </c>
      <c r="G5832">
        <v>372.24</v>
      </c>
      <c r="H5832" t="s">
        <v>2060</v>
      </c>
      <c r="I5832" t="str">
        <f>VLOOKUP(B5832,Customers!A:G,7,FALSE)</f>
        <v>Individual</v>
      </c>
      <c r="Q5832" t="str">
        <f>IF(COUNTIF(Customers!$A$2:$A$1001,B5832)&gt;0,"Valid","Invalid")</f>
        <v>Valid</v>
      </c>
      <c r="R5832" t="str">
        <f>IF(COUNTIF(Branches!$A$2:$A$11,F5832)&gt;0,"Valid","Invalid")</f>
        <v>Valid</v>
      </c>
    </row>
    <row r="5833" spans="1:18" x14ac:dyDescent="0.25">
      <c r="A5833" t="s">
        <v>7904</v>
      </c>
      <c r="B5833" t="s">
        <v>714</v>
      </c>
      <c r="C5833" s="8">
        <v>46050</v>
      </c>
      <c r="D5833" t="s">
        <v>2062</v>
      </c>
      <c r="E5833" t="s">
        <v>2063</v>
      </c>
      <c r="F5833" t="s">
        <v>45</v>
      </c>
      <c r="G5833">
        <v>847</v>
      </c>
      <c r="H5833" t="s">
        <v>2060</v>
      </c>
      <c r="I5833" t="str">
        <f>VLOOKUP(B5833,Customers!A:G,7,FALSE)</f>
        <v>Individual</v>
      </c>
      <c r="Q5833" t="str">
        <f>IF(COUNTIF(Customers!$A$2:$A$1001,B5833)&gt;0,"Valid","Invalid")</f>
        <v>Valid</v>
      </c>
      <c r="R5833" t="str">
        <f>IF(COUNTIF(Branches!$A$2:$A$11,F5833)&gt;0,"Valid","Invalid")</f>
        <v>Valid</v>
      </c>
    </row>
    <row r="5834" spans="1:18" x14ac:dyDescent="0.25">
      <c r="A5834" t="s">
        <v>7905</v>
      </c>
      <c r="B5834" t="s">
        <v>323</v>
      </c>
      <c r="C5834" s="8">
        <v>46090</v>
      </c>
      <c r="D5834" t="s">
        <v>2058</v>
      </c>
      <c r="E5834" t="s">
        <v>2076</v>
      </c>
      <c r="F5834" t="s">
        <v>27</v>
      </c>
      <c r="G5834">
        <v>934.56</v>
      </c>
      <c r="H5834" t="s">
        <v>2115</v>
      </c>
      <c r="I5834" t="str">
        <f>VLOOKUP(B5834,Customers!A:G,7,FALSE)</f>
        <v>SME</v>
      </c>
      <c r="Q5834" t="str">
        <f>IF(COUNTIF(Customers!$A$2:$A$1001,B5834)&gt;0,"Valid","Invalid")</f>
        <v>Valid</v>
      </c>
      <c r="R5834" t="str">
        <f>IF(COUNTIF(Branches!$A$2:$A$11,F5834)&gt;0,"Valid","Invalid")</f>
        <v>Valid</v>
      </c>
    </row>
    <row r="5835" spans="1:18" x14ac:dyDescent="0.25">
      <c r="A5835" t="s">
        <v>7906</v>
      </c>
      <c r="B5835" t="s">
        <v>925</v>
      </c>
      <c r="C5835" s="8">
        <v>46215</v>
      </c>
      <c r="D5835" t="s">
        <v>2058</v>
      </c>
      <c r="E5835" t="s">
        <v>2076</v>
      </c>
      <c r="F5835" t="s">
        <v>39</v>
      </c>
      <c r="G5835">
        <v>705.9</v>
      </c>
      <c r="H5835" t="s">
        <v>2060</v>
      </c>
      <c r="I5835" t="str">
        <f>VLOOKUP(B5835,Customers!A:G,7,FALSE)</f>
        <v>Individual</v>
      </c>
      <c r="Q5835" t="str">
        <f>IF(COUNTIF(Customers!$A$2:$A$1001,B5835)&gt;0,"Valid","Invalid")</f>
        <v>Valid</v>
      </c>
      <c r="R5835" t="str">
        <f>IF(COUNTIF(Branches!$A$2:$A$11,F5835)&gt;0,"Valid","Invalid")</f>
        <v>Valid</v>
      </c>
    </row>
    <row r="5836" spans="1:18" x14ac:dyDescent="0.25">
      <c r="A5836" t="s">
        <v>7907</v>
      </c>
      <c r="B5836" t="s">
        <v>459</v>
      </c>
      <c r="C5836" s="8">
        <v>46261</v>
      </c>
      <c r="D5836" t="s">
        <v>2065</v>
      </c>
      <c r="E5836" t="s">
        <v>2063</v>
      </c>
      <c r="F5836" t="s">
        <v>47</v>
      </c>
      <c r="G5836">
        <v>794.87</v>
      </c>
      <c r="H5836" t="s">
        <v>2060</v>
      </c>
      <c r="I5836" t="str">
        <f>VLOOKUP(B5836,Customers!A:G,7,FALSE)</f>
        <v>Individual</v>
      </c>
      <c r="Q5836" t="str">
        <f>IF(COUNTIF(Customers!$A$2:$A$1001,B5836)&gt;0,"Valid","Invalid")</f>
        <v>Valid</v>
      </c>
      <c r="R5836" t="str">
        <f>IF(COUNTIF(Branches!$A$2:$A$11,F5836)&gt;0,"Valid","Invalid")</f>
        <v>Valid</v>
      </c>
    </row>
    <row r="5837" spans="1:18" x14ac:dyDescent="0.25">
      <c r="A5837" t="s">
        <v>7908</v>
      </c>
      <c r="B5837" t="s">
        <v>149</v>
      </c>
      <c r="C5837" s="8">
        <v>46256</v>
      </c>
      <c r="D5837" t="s">
        <v>2065</v>
      </c>
      <c r="E5837" t="s">
        <v>2063</v>
      </c>
      <c r="F5837" t="s">
        <v>45</v>
      </c>
      <c r="G5837">
        <v>921.7</v>
      </c>
      <c r="H5837" t="s">
        <v>2060</v>
      </c>
      <c r="I5837" t="str">
        <f>VLOOKUP(B5837,Customers!A:G,7,FALSE)</f>
        <v>Individual</v>
      </c>
      <c r="Q5837" t="str">
        <f>IF(COUNTIF(Customers!$A$2:$A$1001,B5837)&gt;0,"Valid","Invalid")</f>
        <v>Valid</v>
      </c>
      <c r="R5837" t="str">
        <f>IF(COUNTIF(Branches!$A$2:$A$11,F5837)&gt;0,"Valid","Invalid")</f>
        <v>Valid</v>
      </c>
    </row>
    <row r="5838" spans="1:18" x14ac:dyDescent="0.25">
      <c r="A5838" t="s">
        <v>7909</v>
      </c>
      <c r="B5838" t="s">
        <v>265</v>
      </c>
      <c r="C5838" s="8">
        <v>46136</v>
      </c>
      <c r="D5838" t="s">
        <v>2067</v>
      </c>
      <c r="E5838" t="s">
        <v>2059</v>
      </c>
      <c r="F5838" t="s">
        <v>39</v>
      </c>
      <c r="G5838">
        <v>1314.27</v>
      </c>
      <c r="H5838" t="s">
        <v>2115</v>
      </c>
      <c r="I5838" t="str">
        <f>VLOOKUP(B5838,Customers!A:G,7,FALSE)</f>
        <v>Individual</v>
      </c>
      <c r="Q5838" t="str">
        <f>IF(COUNTIF(Customers!$A$2:$A$1001,B5838)&gt;0,"Valid","Invalid")</f>
        <v>Valid</v>
      </c>
      <c r="R5838" t="str">
        <f>IF(COUNTIF(Branches!$A$2:$A$11,F5838)&gt;0,"Valid","Invalid")</f>
        <v>Valid</v>
      </c>
    </row>
    <row r="5839" spans="1:18" x14ac:dyDescent="0.25">
      <c r="A5839" t="s">
        <v>7910</v>
      </c>
      <c r="B5839" t="s">
        <v>509</v>
      </c>
      <c r="C5839" s="8">
        <v>46230</v>
      </c>
      <c r="D5839" t="s">
        <v>2058</v>
      </c>
      <c r="E5839" t="s">
        <v>2059</v>
      </c>
      <c r="F5839" t="s">
        <v>35</v>
      </c>
      <c r="G5839">
        <v>2615.2600000000002</v>
      </c>
      <c r="H5839" t="s">
        <v>2060</v>
      </c>
      <c r="I5839" t="str">
        <f>VLOOKUP(B5839,Customers!A:G,7,FALSE)</f>
        <v>Student</v>
      </c>
      <c r="Q5839" t="str">
        <f>IF(COUNTIF(Customers!$A$2:$A$1001,B5839)&gt;0,"Valid","Invalid")</f>
        <v>Valid</v>
      </c>
      <c r="R5839" t="str">
        <f>IF(COUNTIF(Branches!$A$2:$A$11,F5839)&gt;0,"Valid","Invalid")</f>
        <v>Valid</v>
      </c>
    </row>
    <row r="5840" spans="1:18" x14ac:dyDescent="0.25">
      <c r="A5840" t="s">
        <v>7911</v>
      </c>
      <c r="B5840" t="s">
        <v>851</v>
      </c>
      <c r="C5840" s="8">
        <v>46195</v>
      </c>
      <c r="D5840" t="s">
        <v>2070</v>
      </c>
      <c r="E5840" t="s">
        <v>2073</v>
      </c>
      <c r="F5840" t="s">
        <v>29</v>
      </c>
      <c r="G5840">
        <v>84.31</v>
      </c>
      <c r="H5840" t="s">
        <v>2060</v>
      </c>
      <c r="I5840" t="str">
        <f>VLOOKUP(B5840,Customers!A:G,7,FALSE)</f>
        <v>Individual</v>
      </c>
      <c r="Q5840" t="str">
        <f>IF(COUNTIF(Customers!$A$2:$A$1001,B5840)&gt;0,"Valid","Invalid")</f>
        <v>Valid</v>
      </c>
      <c r="R5840" t="str">
        <f>IF(COUNTIF(Branches!$A$2:$A$11,F5840)&gt;0,"Valid","Invalid")</f>
        <v>Valid</v>
      </c>
    </row>
    <row r="5841" spans="1:18" x14ac:dyDescent="0.25">
      <c r="A5841" t="s">
        <v>7912</v>
      </c>
      <c r="B5841" t="s">
        <v>566</v>
      </c>
      <c r="C5841" s="8">
        <v>46080</v>
      </c>
      <c r="D5841" t="s">
        <v>2070</v>
      </c>
      <c r="E5841" t="s">
        <v>2059</v>
      </c>
      <c r="F5841" t="s">
        <v>11</v>
      </c>
      <c r="G5841">
        <v>2474.36</v>
      </c>
      <c r="H5841" t="s">
        <v>2060</v>
      </c>
      <c r="I5841" t="str">
        <f>VLOOKUP(B5841,Customers!A:G,7,FALSE)</f>
        <v>Individual</v>
      </c>
      <c r="Q5841" t="str">
        <f>IF(COUNTIF(Customers!$A$2:$A$1001,B5841)&gt;0,"Valid","Invalid")</f>
        <v>Valid</v>
      </c>
      <c r="R5841" t="str">
        <f>IF(COUNTIF(Branches!$A$2:$A$11,F5841)&gt;0,"Valid","Invalid")</f>
        <v>Valid</v>
      </c>
    </row>
    <row r="5842" spans="1:18" x14ac:dyDescent="0.25">
      <c r="A5842" t="s">
        <v>7913</v>
      </c>
      <c r="B5842" t="s">
        <v>534</v>
      </c>
      <c r="C5842" s="8">
        <v>46197</v>
      </c>
      <c r="D5842" t="s">
        <v>2062</v>
      </c>
      <c r="E5842" t="s">
        <v>2073</v>
      </c>
      <c r="F5842" t="s">
        <v>29</v>
      </c>
      <c r="G5842">
        <v>146.82</v>
      </c>
      <c r="H5842" t="s">
        <v>2060</v>
      </c>
      <c r="I5842" t="str">
        <f>VLOOKUP(B5842,Customers!A:G,7,FALSE)</f>
        <v>Individual</v>
      </c>
      <c r="Q5842" t="str">
        <f>IF(COUNTIF(Customers!$A$2:$A$1001,B5842)&gt;0,"Valid","Invalid")</f>
        <v>Valid</v>
      </c>
      <c r="R5842" t="str">
        <f>IF(COUNTIF(Branches!$A$2:$A$11,F5842)&gt;0,"Valid","Invalid")</f>
        <v>Valid</v>
      </c>
    </row>
    <row r="5843" spans="1:18" x14ac:dyDescent="0.25">
      <c r="A5843" t="s">
        <v>7914</v>
      </c>
      <c r="B5843" t="s">
        <v>65</v>
      </c>
      <c r="C5843" s="8">
        <v>46216</v>
      </c>
      <c r="D5843" t="s">
        <v>2067</v>
      </c>
      <c r="E5843" t="s">
        <v>2059</v>
      </c>
      <c r="F5843" t="s">
        <v>47</v>
      </c>
      <c r="G5843">
        <v>1106.28</v>
      </c>
      <c r="H5843" t="s">
        <v>2060</v>
      </c>
      <c r="I5843" t="str">
        <f>VLOOKUP(B5843,Customers!A:G,7,FALSE)</f>
        <v>Student</v>
      </c>
      <c r="Q5843" t="str">
        <f>IF(COUNTIF(Customers!$A$2:$A$1001,B5843)&gt;0,"Valid","Invalid")</f>
        <v>Valid</v>
      </c>
      <c r="R5843" t="str">
        <f>IF(COUNTIF(Branches!$A$2:$A$11,F5843)&gt;0,"Valid","Invalid")</f>
        <v>Valid</v>
      </c>
    </row>
    <row r="5844" spans="1:18" x14ac:dyDescent="0.25">
      <c r="A5844" t="s">
        <v>7915</v>
      </c>
      <c r="B5844" t="s">
        <v>198</v>
      </c>
      <c r="C5844" s="8">
        <v>46202</v>
      </c>
      <c r="D5844" t="s">
        <v>2070</v>
      </c>
      <c r="E5844" t="s">
        <v>2073</v>
      </c>
      <c r="F5844" t="s">
        <v>11</v>
      </c>
      <c r="G5844">
        <v>8566.6200000000008</v>
      </c>
      <c r="H5844" t="s">
        <v>2060</v>
      </c>
      <c r="I5844" t="str">
        <f>VLOOKUP(B5844,Customers!A:G,7,FALSE)</f>
        <v>Individual</v>
      </c>
      <c r="Q5844" t="str">
        <f>IF(COUNTIF(Customers!$A$2:$A$1001,B5844)&gt;0,"Valid","Invalid")</f>
        <v>Valid</v>
      </c>
      <c r="R5844" t="str">
        <f>IF(COUNTIF(Branches!$A$2:$A$11,F5844)&gt;0,"Valid","Invalid")</f>
        <v>Valid</v>
      </c>
    </row>
    <row r="5845" spans="1:18" x14ac:dyDescent="0.25">
      <c r="A5845" t="s">
        <v>7916</v>
      </c>
      <c r="B5845" t="s">
        <v>856</v>
      </c>
      <c r="C5845" s="8">
        <v>46186</v>
      </c>
      <c r="D5845" t="s">
        <v>2058</v>
      </c>
      <c r="E5845" t="s">
        <v>2076</v>
      </c>
      <c r="F5845" t="s">
        <v>35</v>
      </c>
      <c r="G5845">
        <v>778.57</v>
      </c>
      <c r="H5845" t="s">
        <v>2060</v>
      </c>
      <c r="I5845" t="str">
        <f>VLOOKUP(B5845,Customers!A:G,7,FALSE)</f>
        <v>Individual</v>
      </c>
      <c r="Q5845" t="str">
        <f>IF(COUNTIF(Customers!$A$2:$A$1001,B5845)&gt;0,"Valid","Invalid")</f>
        <v>Valid</v>
      </c>
      <c r="R5845" t="str">
        <f>IF(COUNTIF(Branches!$A$2:$A$11,F5845)&gt;0,"Valid","Invalid")</f>
        <v>Valid</v>
      </c>
    </row>
    <row r="5846" spans="1:18" x14ac:dyDescent="0.25">
      <c r="A5846" t="s">
        <v>7917</v>
      </c>
      <c r="B5846" t="s">
        <v>743</v>
      </c>
      <c r="C5846" s="8">
        <v>46151</v>
      </c>
      <c r="D5846" t="s">
        <v>2067</v>
      </c>
      <c r="E5846" t="s">
        <v>2068</v>
      </c>
      <c r="F5846" t="s">
        <v>27</v>
      </c>
      <c r="G5846">
        <v>972.64</v>
      </c>
      <c r="H5846" t="s">
        <v>2060</v>
      </c>
      <c r="I5846" t="str">
        <f>VLOOKUP(B5846,Customers!A:G,7,FALSE)</f>
        <v>Individual</v>
      </c>
      <c r="Q5846" t="str">
        <f>IF(COUNTIF(Customers!$A$2:$A$1001,B5846)&gt;0,"Valid","Invalid")</f>
        <v>Valid</v>
      </c>
      <c r="R5846" t="str">
        <f>IF(COUNTIF(Branches!$A$2:$A$11,F5846)&gt;0,"Valid","Invalid")</f>
        <v>Valid</v>
      </c>
    </row>
    <row r="5847" spans="1:18" x14ac:dyDescent="0.25">
      <c r="A5847" t="s">
        <v>7918</v>
      </c>
      <c r="B5847" t="s">
        <v>760</v>
      </c>
      <c r="C5847" s="8">
        <v>46061</v>
      </c>
      <c r="D5847" t="s">
        <v>2062</v>
      </c>
      <c r="E5847" t="s">
        <v>2063</v>
      </c>
      <c r="F5847" t="s">
        <v>11</v>
      </c>
      <c r="G5847">
        <v>595.70000000000005</v>
      </c>
      <c r="H5847" t="s">
        <v>2060</v>
      </c>
      <c r="I5847" t="str">
        <f>VLOOKUP(B5847,Customers!A:G,7,FALSE)</f>
        <v>Individual</v>
      </c>
      <c r="Q5847" t="str">
        <f>IF(COUNTIF(Customers!$A$2:$A$1001,B5847)&gt;0,"Valid","Invalid")</f>
        <v>Valid</v>
      </c>
      <c r="R5847" t="str">
        <f>IF(COUNTIF(Branches!$A$2:$A$11,F5847)&gt;0,"Valid","Invalid")</f>
        <v>Valid</v>
      </c>
    </row>
    <row r="5848" spans="1:18" x14ac:dyDescent="0.25">
      <c r="A5848" t="s">
        <v>7919</v>
      </c>
      <c r="B5848" t="s">
        <v>416</v>
      </c>
      <c r="C5848" s="8">
        <v>46237</v>
      </c>
      <c r="D5848" t="s">
        <v>2065</v>
      </c>
      <c r="E5848" t="s">
        <v>2059</v>
      </c>
      <c r="F5848" t="s">
        <v>21</v>
      </c>
      <c r="G5848">
        <v>1583.29</v>
      </c>
      <c r="H5848" t="s">
        <v>2060</v>
      </c>
      <c r="I5848" t="str">
        <f>VLOOKUP(B5848,Customers!A:G,7,FALSE)</f>
        <v>Individual</v>
      </c>
      <c r="Q5848" t="str">
        <f>IF(COUNTIF(Customers!$A$2:$A$1001,B5848)&gt;0,"Valid","Invalid")</f>
        <v>Valid</v>
      </c>
      <c r="R5848" t="str">
        <f>IF(COUNTIF(Branches!$A$2:$A$11,F5848)&gt;0,"Valid","Invalid")</f>
        <v>Valid</v>
      </c>
    </row>
    <row r="5849" spans="1:18" x14ac:dyDescent="0.25">
      <c r="A5849" t="s">
        <v>7920</v>
      </c>
      <c r="B5849" t="s">
        <v>484</v>
      </c>
      <c r="C5849" s="8">
        <v>46240</v>
      </c>
      <c r="D5849" t="s">
        <v>2065</v>
      </c>
      <c r="E5849" t="s">
        <v>2063</v>
      </c>
      <c r="F5849" t="s">
        <v>29</v>
      </c>
      <c r="G5849">
        <v>1167.02</v>
      </c>
      <c r="H5849" t="s">
        <v>2060</v>
      </c>
      <c r="I5849" t="str">
        <f>VLOOKUP(B5849,Customers!A:G,7,FALSE)</f>
        <v>Student</v>
      </c>
      <c r="Q5849" t="str">
        <f>IF(COUNTIF(Customers!$A$2:$A$1001,B5849)&gt;0,"Valid","Invalid")</f>
        <v>Valid</v>
      </c>
      <c r="R5849" t="str">
        <f>IF(COUNTIF(Branches!$A$2:$A$11,F5849)&gt;0,"Valid","Invalid")</f>
        <v>Valid</v>
      </c>
    </row>
    <row r="5850" spans="1:18" x14ac:dyDescent="0.25">
      <c r="A5850" t="s">
        <v>7921</v>
      </c>
      <c r="B5850" t="s">
        <v>782</v>
      </c>
      <c r="C5850" s="8">
        <v>46225</v>
      </c>
      <c r="D5850" t="s">
        <v>2062</v>
      </c>
      <c r="E5850" t="s">
        <v>2063</v>
      </c>
      <c r="F5850" t="s">
        <v>11</v>
      </c>
      <c r="G5850">
        <v>413.21</v>
      </c>
      <c r="H5850" t="s">
        <v>2060</v>
      </c>
      <c r="I5850" t="str">
        <f>VLOOKUP(B5850,Customers!A:G,7,FALSE)</f>
        <v>Corporate</v>
      </c>
      <c r="Q5850" t="str">
        <f>IF(COUNTIF(Customers!$A$2:$A$1001,B5850)&gt;0,"Valid","Invalid")</f>
        <v>Valid</v>
      </c>
      <c r="R5850" t="str">
        <f>IF(COUNTIF(Branches!$A$2:$A$11,F5850)&gt;0,"Valid","Invalid")</f>
        <v>Valid</v>
      </c>
    </row>
    <row r="5851" spans="1:18" x14ac:dyDescent="0.25">
      <c r="A5851" t="s">
        <v>7922</v>
      </c>
      <c r="B5851" t="s">
        <v>465</v>
      </c>
      <c r="C5851" s="8">
        <v>46128</v>
      </c>
      <c r="D5851" t="s">
        <v>2058</v>
      </c>
      <c r="E5851" t="s">
        <v>2076</v>
      </c>
      <c r="F5851" t="s">
        <v>27</v>
      </c>
      <c r="G5851">
        <v>724.62</v>
      </c>
      <c r="H5851" t="s">
        <v>2115</v>
      </c>
      <c r="I5851" t="str">
        <f>VLOOKUP(B5851,Customers!A:G,7,FALSE)</f>
        <v>Individual</v>
      </c>
      <c r="Q5851" t="str">
        <f>IF(COUNTIF(Customers!$A$2:$A$1001,B5851)&gt;0,"Valid","Invalid")</f>
        <v>Valid</v>
      </c>
      <c r="R5851" t="str">
        <f>IF(COUNTIF(Branches!$A$2:$A$11,F5851)&gt;0,"Valid","Invalid")</f>
        <v>Valid</v>
      </c>
    </row>
    <row r="5852" spans="1:18" x14ac:dyDescent="0.25">
      <c r="A5852" t="s">
        <v>7923</v>
      </c>
      <c r="B5852" t="s">
        <v>734</v>
      </c>
      <c r="C5852" s="8">
        <v>46023</v>
      </c>
      <c r="D5852" t="s">
        <v>2067</v>
      </c>
      <c r="E5852" t="s">
        <v>2076</v>
      </c>
      <c r="F5852" t="s">
        <v>27</v>
      </c>
      <c r="G5852">
        <v>265.49</v>
      </c>
      <c r="H5852" t="s">
        <v>2060</v>
      </c>
      <c r="I5852" t="str">
        <f>VLOOKUP(B5852,Customers!A:G,7,FALSE)</f>
        <v>Individual</v>
      </c>
      <c r="Q5852" t="str">
        <f>IF(COUNTIF(Customers!$A$2:$A$1001,B5852)&gt;0,"Valid","Invalid")</f>
        <v>Valid</v>
      </c>
      <c r="R5852" t="str">
        <f>IF(COUNTIF(Branches!$A$2:$A$11,F5852)&gt;0,"Valid","Invalid")</f>
        <v>Valid</v>
      </c>
    </row>
    <row r="5853" spans="1:18" x14ac:dyDescent="0.25">
      <c r="A5853" t="s">
        <v>7924</v>
      </c>
      <c r="B5853" t="s">
        <v>542</v>
      </c>
      <c r="C5853" s="8">
        <v>46097</v>
      </c>
      <c r="D5853" t="s">
        <v>2058</v>
      </c>
      <c r="E5853" t="s">
        <v>2063</v>
      </c>
      <c r="F5853" t="s">
        <v>27</v>
      </c>
      <c r="G5853">
        <v>721.3</v>
      </c>
      <c r="H5853" t="s">
        <v>2060</v>
      </c>
      <c r="I5853" t="str">
        <f>VLOOKUP(B5853,Customers!A:G,7,FALSE)</f>
        <v>Individual</v>
      </c>
      <c r="Q5853" t="str">
        <f>IF(COUNTIF(Customers!$A$2:$A$1001,B5853)&gt;0,"Valid","Invalid")</f>
        <v>Valid</v>
      </c>
      <c r="R5853" t="str">
        <f>IF(COUNTIF(Branches!$A$2:$A$11,F5853)&gt;0,"Valid","Invalid")</f>
        <v>Valid</v>
      </c>
    </row>
    <row r="5854" spans="1:18" x14ac:dyDescent="0.25">
      <c r="A5854" t="s">
        <v>7925</v>
      </c>
      <c r="B5854" t="s">
        <v>565</v>
      </c>
      <c r="C5854" s="8">
        <v>46110</v>
      </c>
      <c r="D5854" t="s">
        <v>2062</v>
      </c>
      <c r="E5854" t="s">
        <v>2059</v>
      </c>
      <c r="F5854" t="s">
        <v>47</v>
      </c>
      <c r="G5854">
        <v>534.12</v>
      </c>
      <c r="H5854" t="s">
        <v>2060</v>
      </c>
      <c r="I5854" t="str">
        <f>VLOOKUP(B5854,Customers!A:G,7,FALSE)</f>
        <v>SME</v>
      </c>
      <c r="Q5854" t="str">
        <f>IF(COUNTIF(Customers!$A$2:$A$1001,B5854)&gt;0,"Valid","Invalid")</f>
        <v>Valid</v>
      </c>
      <c r="R5854" t="str">
        <f>IF(COUNTIF(Branches!$A$2:$A$11,F5854)&gt;0,"Valid","Invalid")</f>
        <v>Valid</v>
      </c>
    </row>
    <row r="5855" spans="1:18" x14ac:dyDescent="0.25">
      <c r="A5855" t="s">
        <v>7926</v>
      </c>
      <c r="B5855" t="s">
        <v>982</v>
      </c>
      <c r="C5855" s="8">
        <v>46224</v>
      </c>
      <c r="D5855" t="s">
        <v>2058</v>
      </c>
      <c r="E5855" t="s">
        <v>2059</v>
      </c>
      <c r="F5855" t="s">
        <v>11</v>
      </c>
      <c r="G5855">
        <v>931.26</v>
      </c>
      <c r="H5855" t="s">
        <v>2060</v>
      </c>
      <c r="I5855" t="str">
        <f>VLOOKUP(B5855,Customers!A:G,7,FALSE)</f>
        <v>Individual</v>
      </c>
      <c r="Q5855" t="str">
        <f>IF(COUNTIF(Customers!$A$2:$A$1001,B5855)&gt;0,"Valid","Invalid")</f>
        <v>Valid</v>
      </c>
      <c r="R5855" t="str">
        <f>IF(COUNTIF(Branches!$A$2:$A$11,F5855)&gt;0,"Valid","Invalid")</f>
        <v>Valid</v>
      </c>
    </row>
    <row r="5856" spans="1:18" x14ac:dyDescent="0.25">
      <c r="A5856" t="s">
        <v>7927</v>
      </c>
      <c r="B5856" t="s">
        <v>855</v>
      </c>
      <c r="C5856" s="8">
        <v>46164</v>
      </c>
      <c r="D5856" t="s">
        <v>2067</v>
      </c>
      <c r="E5856" t="s">
        <v>2063</v>
      </c>
      <c r="F5856" t="s">
        <v>16</v>
      </c>
      <c r="G5856">
        <v>399.45</v>
      </c>
      <c r="H5856" t="s">
        <v>2060</v>
      </c>
      <c r="I5856" t="str">
        <f>VLOOKUP(B5856,Customers!A:G,7,FALSE)</f>
        <v>SME</v>
      </c>
      <c r="Q5856" t="str">
        <f>IF(COUNTIF(Customers!$A$2:$A$1001,B5856)&gt;0,"Valid","Invalid")</f>
        <v>Valid</v>
      </c>
      <c r="R5856" t="str">
        <f>IF(COUNTIF(Branches!$A$2:$A$11,F5856)&gt;0,"Valid","Invalid")</f>
        <v>Valid</v>
      </c>
    </row>
    <row r="5857" spans="1:18" x14ac:dyDescent="0.25">
      <c r="A5857" t="s">
        <v>7928</v>
      </c>
      <c r="B5857" t="s">
        <v>759</v>
      </c>
      <c r="C5857" s="8">
        <v>46228</v>
      </c>
      <c r="D5857" t="s">
        <v>2065</v>
      </c>
      <c r="E5857" t="s">
        <v>2059</v>
      </c>
      <c r="F5857" t="s">
        <v>16</v>
      </c>
      <c r="G5857">
        <v>655.61</v>
      </c>
      <c r="H5857" t="s">
        <v>2060</v>
      </c>
      <c r="I5857" t="str">
        <f>VLOOKUP(B5857,Customers!A:G,7,FALSE)</f>
        <v>Individual</v>
      </c>
      <c r="Q5857" t="str">
        <f>IF(COUNTIF(Customers!$A$2:$A$1001,B5857)&gt;0,"Valid","Invalid")</f>
        <v>Valid</v>
      </c>
      <c r="R5857" t="str">
        <f>IF(COUNTIF(Branches!$A$2:$A$11,F5857)&gt;0,"Valid","Invalid")</f>
        <v>Valid</v>
      </c>
    </row>
    <row r="5858" spans="1:18" x14ac:dyDescent="0.25">
      <c r="A5858" t="s">
        <v>7929</v>
      </c>
      <c r="B5858" t="s">
        <v>722</v>
      </c>
      <c r="C5858" s="8">
        <v>46221</v>
      </c>
      <c r="D5858" t="s">
        <v>2067</v>
      </c>
      <c r="E5858" t="s">
        <v>2076</v>
      </c>
      <c r="F5858" t="s">
        <v>11</v>
      </c>
      <c r="G5858">
        <v>819.56</v>
      </c>
      <c r="H5858" t="s">
        <v>2060</v>
      </c>
      <c r="I5858" t="str">
        <f>VLOOKUP(B5858,Customers!A:G,7,FALSE)</f>
        <v>SME</v>
      </c>
      <c r="Q5858" t="str">
        <f>IF(COUNTIF(Customers!$A$2:$A$1001,B5858)&gt;0,"Valid","Invalid")</f>
        <v>Valid</v>
      </c>
      <c r="R5858" t="str">
        <f>IF(COUNTIF(Branches!$A$2:$A$11,F5858)&gt;0,"Valid","Invalid")</f>
        <v>Valid</v>
      </c>
    </row>
    <row r="5859" spans="1:18" x14ac:dyDescent="0.25">
      <c r="A5859" t="s">
        <v>7930</v>
      </c>
      <c r="B5859" t="s">
        <v>816</v>
      </c>
      <c r="C5859" s="8">
        <v>46173</v>
      </c>
      <c r="D5859" t="s">
        <v>2070</v>
      </c>
      <c r="E5859" t="s">
        <v>2063</v>
      </c>
      <c r="F5859" t="s">
        <v>39</v>
      </c>
      <c r="G5859">
        <v>878.68</v>
      </c>
      <c r="H5859" t="s">
        <v>2060</v>
      </c>
      <c r="I5859" t="str">
        <f>VLOOKUP(B5859,Customers!A:G,7,FALSE)</f>
        <v>Individual</v>
      </c>
      <c r="Q5859" t="str">
        <f>IF(COUNTIF(Customers!$A$2:$A$1001,B5859)&gt;0,"Valid","Invalid")</f>
        <v>Valid</v>
      </c>
      <c r="R5859" t="str">
        <f>IF(COUNTIF(Branches!$A$2:$A$11,F5859)&gt;0,"Valid","Invalid")</f>
        <v>Valid</v>
      </c>
    </row>
    <row r="5860" spans="1:18" x14ac:dyDescent="0.25">
      <c r="A5860" t="s">
        <v>7931</v>
      </c>
      <c r="B5860" t="s">
        <v>570</v>
      </c>
      <c r="C5860" s="8">
        <v>46193</v>
      </c>
      <c r="D5860" t="s">
        <v>2067</v>
      </c>
      <c r="E5860" t="s">
        <v>2068</v>
      </c>
      <c r="F5860" t="s">
        <v>47</v>
      </c>
      <c r="G5860">
        <v>1068.79</v>
      </c>
      <c r="H5860" t="s">
        <v>2060</v>
      </c>
      <c r="I5860" t="str">
        <f>VLOOKUP(B5860,Customers!A:G,7,FALSE)</f>
        <v>Individual</v>
      </c>
      <c r="Q5860" t="str">
        <f>IF(COUNTIF(Customers!$A$2:$A$1001,B5860)&gt;0,"Valid","Invalid")</f>
        <v>Valid</v>
      </c>
      <c r="R5860" t="str">
        <f>IF(COUNTIF(Branches!$A$2:$A$11,F5860)&gt;0,"Valid","Invalid")</f>
        <v>Valid</v>
      </c>
    </row>
    <row r="5861" spans="1:18" x14ac:dyDescent="0.25">
      <c r="A5861" t="s">
        <v>7932</v>
      </c>
      <c r="B5861" t="s">
        <v>620</v>
      </c>
      <c r="C5861" s="8">
        <v>46172</v>
      </c>
      <c r="D5861" t="s">
        <v>2067</v>
      </c>
      <c r="E5861" t="s">
        <v>2059</v>
      </c>
      <c r="F5861" t="s">
        <v>11</v>
      </c>
      <c r="G5861">
        <v>682.55</v>
      </c>
      <c r="H5861" t="s">
        <v>2060</v>
      </c>
      <c r="I5861" t="str">
        <f>VLOOKUP(B5861,Customers!A:G,7,FALSE)</f>
        <v>Student</v>
      </c>
      <c r="Q5861" t="str">
        <f>IF(COUNTIF(Customers!$A$2:$A$1001,B5861)&gt;0,"Valid","Invalid")</f>
        <v>Valid</v>
      </c>
      <c r="R5861" t="str">
        <f>IF(COUNTIF(Branches!$A$2:$A$11,F5861)&gt;0,"Valid","Invalid")</f>
        <v>Valid</v>
      </c>
    </row>
    <row r="5862" spans="1:18" x14ac:dyDescent="0.25">
      <c r="A5862" t="s">
        <v>7933</v>
      </c>
      <c r="B5862" t="s">
        <v>558</v>
      </c>
      <c r="C5862" s="8">
        <v>46082</v>
      </c>
      <c r="D5862" t="s">
        <v>2058</v>
      </c>
      <c r="E5862" t="s">
        <v>2068</v>
      </c>
      <c r="F5862" t="s">
        <v>45</v>
      </c>
      <c r="G5862">
        <v>369.93</v>
      </c>
      <c r="H5862" t="s">
        <v>2060</v>
      </c>
      <c r="I5862" t="str">
        <f>VLOOKUP(B5862,Customers!A:G,7,FALSE)</f>
        <v>Individual</v>
      </c>
      <c r="Q5862" t="str">
        <f>IF(COUNTIF(Customers!$A$2:$A$1001,B5862)&gt;0,"Valid","Invalid")</f>
        <v>Valid</v>
      </c>
      <c r="R5862" t="str">
        <f>IF(COUNTIF(Branches!$A$2:$A$11,F5862)&gt;0,"Valid","Invalid")</f>
        <v>Valid</v>
      </c>
    </row>
    <row r="5863" spans="1:18" x14ac:dyDescent="0.25">
      <c r="A5863" t="s">
        <v>7934</v>
      </c>
      <c r="B5863" t="s">
        <v>979</v>
      </c>
      <c r="C5863" s="8">
        <v>46250</v>
      </c>
      <c r="D5863" t="s">
        <v>2062</v>
      </c>
      <c r="E5863" t="s">
        <v>2063</v>
      </c>
      <c r="F5863" t="s">
        <v>27</v>
      </c>
      <c r="G5863">
        <v>881.9</v>
      </c>
      <c r="H5863" t="s">
        <v>2060</v>
      </c>
      <c r="I5863" t="str">
        <f>VLOOKUP(B5863,Customers!A:G,7,FALSE)</f>
        <v>Individual</v>
      </c>
      <c r="Q5863" t="str">
        <f>IF(COUNTIF(Customers!$A$2:$A$1001,B5863)&gt;0,"Valid","Invalid")</f>
        <v>Valid</v>
      </c>
      <c r="R5863" t="str">
        <f>IF(COUNTIF(Branches!$A$2:$A$11,F5863)&gt;0,"Valid","Invalid")</f>
        <v>Valid</v>
      </c>
    </row>
    <row r="5864" spans="1:18" x14ac:dyDescent="0.25">
      <c r="A5864" t="s">
        <v>7935</v>
      </c>
      <c r="B5864" t="s">
        <v>68</v>
      </c>
      <c r="C5864" s="8">
        <v>46177</v>
      </c>
      <c r="D5864" t="s">
        <v>2058</v>
      </c>
      <c r="E5864" t="s">
        <v>2068</v>
      </c>
      <c r="F5864" t="s">
        <v>45</v>
      </c>
      <c r="G5864">
        <v>679.35</v>
      </c>
      <c r="H5864" t="s">
        <v>2060</v>
      </c>
      <c r="I5864" t="str">
        <f>VLOOKUP(B5864,Customers!A:G,7,FALSE)</f>
        <v>Student</v>
      </c>
      <c r="Q5864" t="str">
        <f>IF(COUNTIF(Customers!$A$2:$A$1001,B5864)&gt;0,"Valid","Invalid")</f>
        <v>Valid</v>
      </c>
      <c r="R5864" t="str">
        <f>IF(COUNTIF(Branches!$A$2:$A$11,F5864)&gt;0,"Valid","Invalid")</f>
        <v>Valid</v>
      </c>
    </row>
    <row r="5865" spans="1:18" x14ac:dyDescent="0.25">
      <c r="A5865" t="s">
        <v>7936</v>
      </c>
      <c r="B5865" t="s">
        <v>774</v>
      </c>
      <c r="C5865" s="8">
        <v>46206</v>
      </c>
      <c r="D5865" t="s">
        <v>2058</v>
      </c>
      <c r="E5865" t="s">
        <v>2063</v>
      </c>
      <c r="F5865" t="s">
        <v>39</v>
      </c>
      <c r="G5865">
        <v>2263.4499999999998</v>
      </c>
      <c r="H5865" t="s">
        <v>2060</v>
      </c>
      <c r="I5865" t="str">
        <f>VLOOKUP(B5865,Customers!A:G,7,FALSE)</f>
        <v>Individual</v>
      </c>
      <c r="Q5865" t="str">
        <f>IF(COUNTIF(Customers!$A$2:$A$1001,B5865)&gt;0,"Valid","Invalid")</f>
        <v>Valid</v>
      </c>
      <c r="R5865" t="str">
        <f>IF(COUNTIF(Branches!$A$2:$A$11,F5865)&gt;0,"Valid","Invalid")</f>
        <v>Valid</v>
      </c>
    </row>
    <row r="5866" spans="1:18" x14ac:dyDescent="0.25">
      <c r="A5866" t="s">
        <v>7937</v>
      </c>
      <c r="B5866" t="s">
        <v>729</v>
      </c>
      <c r="C5866" s="8">
        <v>46152</v>
      </c>
      <c r="D5866" t="s">
        <v>2067</v>
      </c>
      <c r="E5866" t="s">
        <v>2059</v>
      </c>
      <c r="F5866" t="s">
        <v>39</v>
      </c>
      <c r="G5866">
        <v>2567.64</v>
      </c>
      <c r="H5866" t="s">
        <v>2060</v>
      </c>
      <c r="I5866" t="str">
        <f>VLOOKUP(B5866,Customers!A:G,7,FALSE)</f>
        <v>Individual</v>
      </c>
      <c r="Q5866" t="str">
        <f>IF(COUNTIF(Customers!$A$2:$A$1001,B5866)&gt;0,"Valid","Invalid")</f>
        <v>Valid</v>
      </c>
      <c r="R5866" t="str">
        <f>IF(COUNTIF(Branches!$A$2:$A$11,F5866)&gt;0,"Valid","Invalid")</f>
        <v>Valid</v>
      </c>
    </row>
    <row r="5867" spans="1:18" x14ac:dyDescent="0.25">
      <c r="A5867" t="s">
        <v>7938</v>
      </c>
      <c r="B5867" t="s">
        <v>796</v>
      </c>
      <c r="C5867" s="8">
        <v>46189</v>
      </c>
      <c r="D5867" t="s">
        <v>2065</v>
      </c>
      <c r="E5867" t="s">
        <v>2063</v>
      </c>
      <c r="F5867" t="s">
        <v>29</v>
      </c>
      <c r="G5867">
        <v>206.01</v>
      </c>
      <c r="H5867" t="s">
        <v>2060</v>
      </c>
      <c r="I5867" t="str">
        <f>VLOOKUP(B5867,Customers!A:G,7,FALSE)</f>
        <v>Student</v>
      </c>
      <c r="Q5867" t="str">
        <f>IF(COUNTIF(Customers!$A$2:$A$1001,B5867)&gt;0,"Valid","Invalid")</f>
        <v>Valid</v>
      </c>
      <c r="R5867" t="str">
        <f>IF(COUNTIF(Branches!$A$2:$A$11,F5867)&gt;0,"Valid","Invalid")</f>
        <v>Valid</v>
      </c>
    </row>
    <row r="5868" spans="1:18" x14ac:dyDescent="0.25">
      <c r="A5868" t="s">
        <v>7939</v>
      </c>
      <c r="B5868" t="s">
        <v>528</v>
      </c>
      <c r="C5868" s="8">
        <v>46201</v>
      </c>
      <c r="D5868" t="s">
        <v>2070</v>
      </c>
      <c r="E5868" t="s">
        <v>2068</v>
      </c>
      <c r="F5868" t="s">
        <v>21</v>
      </c>
      <c r="G5868">
        <v>1505.91</v>
      </c>
      <c r="H5868" t="s">
        <v>2060</v>
      </c>
      <c r="I5868" t="str">
        <f>VLOOKUP(B5868,Customers!A:G,7,FALSE)</f>
        <v>SME</v>
      </c>
      <c r="Q5868" t="str">
        <f>IF(COUNTIF(Customers!$A$2:$A$1001,B5868)&gt;0,"Valid","Invalid")</f>
        <v>Valid</v>
      </c>
      <c r="R5868" t="str">
        <f>IF(COUNTIF(Branches!$A$2:$A$11,F5868)&gt;0,"Valid","Invalid")</f>
        <v>Valid</v>
      </c>
    </row>
    <row r="5869" spans="1:18" x14ac:dyDescent="0.25">
      <c r="A5869" t="s">
        <v>7940</v>
      </c>
      <c r="B5869" t="s">
        <v>810</v>
      </c>
      <c r="C5869" s="8">
        <v>46132</v>
      </c>
      <c r="D5869" t="s">
        <v>2070</v>
      </c>
      <c r="E5869" t="s">
        <v>2076</v>
      </c>
      <c r="F5869" t="s">
        <v>16</v>
      </c>
      <c r="G5869">
        <v>1840.41</v>
      </c>
      <c r="H5869" t="s">
        <v>2060</v>
      </c>
      <c r="I5869" t="str">
        <f>VLOOKUP(B5869,Customers!A:G,7,FALSE)</f>
        <v>Student</v>
      </c>
      <c r="Q5869" t="str">
        <f>IF(COUNTIF(Customers!$A$2:$A$1001,B5869)&gt;0,"Valid","Invalid")</f>
        <v>Valid</v>
      </c>
      <c r="R5869" t="str">
        <f>IF(COUNTIF(Branches!$A$2:$A$11,F5869)&gt;0,"Valid","Invalid")</f>
        <v>Valid</v>
      </c>
    </row>
    <row r="5870" spans="1:18" x14ac:dyDescent="0.25">
      <c r="A5870" t="s">
        <v>7941</v>
      </c>
      <c r="B5870" t="s">
        <v>658</v>
      </c>
      <c r="C5870" s="8">
        <v>46041</v>
      </c>
      <c r="D5870" t="s">
        <v>2070</v>
      </c>
      <c r="E5870" t="s">
        <v>2063</v>
      </c>
      <c r="F5870" t="s">
        <v>53</v>
      </c>
      <c r="G5870">
        <v>211.49</v>
      </c>
      <c r="H5870" t="s">
        <v>2060</v>
      </c>
      <c r="I5870" t="str">
        <f>VLOOKUP(B5870,Customers!A:G,7,FALSE)</f>
        <v>Student</v>
      </c>
      <c r="Q5870" t="str">
        <f>IF(COUNTIF(Customers!$A$2:$A$1001,B5870)&gt;0,"Valid","Invalid")</f>
        <v>Valid</v>
      </c>
      <c r="R5870" t="str">
        <f>IF(COUNTIF(Branches!$A$2:$A$11,F5870)&gt;0,"Valid","Invalid")</f>
        <v>Valid</v>
      </c>
    </row>
    <row r="5871" spans="1:18" x14ac:dyDescent="0.25">
      <c r="A5871" t="s">
        <v>7942</v>
      </c>
      <c r="B5871" t="s">
        <v>792</v>
      </c>
      <c r="C5871" s="8">
        <v>46084</v>
      </c>
      <c r="D5871" t="s">
        <v>2070</v>
      </c>
      <c r="E5871" t="s">
        <v>2063</v>
      </c>
      <c r="F5871" t="s">
        <v>29</v>
      </c>
      <c r="G5871">
        <v>1450.22</v>
      </c>
      <c r="H5871" t="s">
        <v>2060</v>
      </c>
      <c r="I5871" t="str">
        <f>VLOOKUP(B5871,Customers!A:G,7,FALSE)</f>
        <v>SME</v>
      </c>
      <c r="Q5871" t="str">
        <f>IF(COUNTIF(Customers!$A$2:$A$1001,B5871)&gt;0,"Valid","Invalid")</f>
        <v>Valid</v>
      </c>
      <c r="R5871" t="str">
        <f>IF(COUNTIF(Branches!$A$2:$A$11,F5871)&gt;0,"Valid","Invalid")</f>
        <v>Valid</v>
      </c>
    </row>
    <row r="5872" spans="1:18" x14ac:dyDescent="0.25">
      <c r="A5872" t="s">
        <v>7943</v>
      </c>
      <c r="B5872" t="s">
        <v>461</v>
      </c>
      <c r="C5872" s="8">
        <v>46093</v>
      </c>
      <c r="D5872" t="s">
        <v>2062</v>
      </c>
      <c r="E5872" t="s">
        <v>2063</v>
      </c>
      <c r="F5872" t="s">
        <v>16</v>
      </c>
      <c r="G5872">
        <v>1990.13</v>
      </c>
      <c r="H5872" t="s">
        <v>2060</v>
      </c>
      <c r="I5872" t="str">
        <f>VLOOKUP(B5872,Customers!A:G,7,FALSE)</f>
        <v>Individual</v>
      </c>
      <c r="Q5872" t="str">
        <f>IF(COUNTIF(Customers!$A$2:$A$1001,B5872)&gt;0,"Valid","Invalid")</f>
        <v>Valid</v>
      </c>
      <c r="R5872" t="str">
        <f>IF(COUNTIF(Branches!$A$2:$A$11,F5872)&gt;0,"Valid","Invalid")</f>
        <v>Valid</v>
      </c>
    </row>
    <row r="5873" spans="1:18" x14ac:dyDescent="0.25">
      <c r="A5873" t="s">
        <v>7944</v>
      </c>
      <c r="B5873" t="s">
        <v>506</v>
      </c>
      <c r="C5873" s="8">
        <v>46226</v>
      </c>
      <c r="D5873" t="s">
        <v>2058</v>
      </c>
      <c r="E5873" t="s">
        <v>2063</v>
      </c>
      <c r="F5873" t="s">
        <v>11</v>
      </c>
      <c r="G5873">
        <v>314.3</v>
      </c>
      <c r="H5873" t="s">
        <v>2060</v>
      </c>
      <c r="I5873" t="str">
        <f>VLOOKUP(B5873,Customers!A:G,7,FALSE)</f>
        <v>Individual</v>
      </c>
      <c r="Q5873" t="str">
        <f>IF(COUNTIF(Customers!$A$2:$A$1001,B5873)&gt;0,"Valid","Invalid")</f>
        <v>Valid</v>
      </c>
      <c r="R5873" t="str">
        <f>IF(COUNTIF(Branches!$A$2:$A$11,F5873)&gt;0,"Valid","Invalid")</f>
        <v>Valid</v>
      </c>
    </row>
    <row r="5874" spans="1:18" x14ac:dyDescent="0.25">
      <c r="A5874" t="s">
        <v>7945</v>
      </c>
      <c r="B5874" t="s">
        <v>58</v>
      </c>
      <c r="C5874" s="8">
        <v>46217</v>
      </c>
      <c r="D5874" t="s">
        <v>2062</v>
      </c>
      <c r="E5874" t="s">
        <v>2076</v>
      </c>
      <c r="F5874" t="s">
        <v>11</v>
      </c>
      <c r="G5874">
        <v>641.4</v>
      </c>
      <c r="H5874" t="s">
        <v>2060</v>
      </c>
      <c r="I5874" t="str">
        <f>VLOOKUP(B5874,Customers!A:G,7,FALSE)</f>
        <v>Individual</v>
      </c>
      <c r="Q5874" t="str">
        <f>IF(COUNTIF(Customers!$A$2:$A$1001,B5874)&gt;0,"Valid","Invalid")</f>
        <v>Valid</v>
      </c>
      <c r="R5874" t="str">
        <f>IF(COUNTIF(Branches!$A$2:$A$11,F5874)&gt;0,"Valid","Invalid")</f>
        <v>Valid</v>
      </c>
    </row>
    <row r="5875" spans="1:18" x14ac:dyDescent="0.25">
      <c r="A5875" t="s">
        <v>7946</v>
      </c>
      <c r="B5875" t="s">
        <v>253</v>
      </c>
      <c r="C5875" s="8">
        <v>46213</v>
      </c>
      <c r="D5875" t="s">
        <v>2058</v>
      </c>
      <c r="E5875" t="s">
        <v>2076</v>
      </c>
      <c r="F5875" t="s">
        <v>29</v>
      </c>
      <c r="G5875">
        <v>978.79</v>
      </c>
      <c r="H5875" t="s">
        <v>2060</v>
      </c>
      <c r="I5875" t="str">
        <f>VLOOKUP(B5875,Customers!A:G,7,FALSE)</f>
        <v>SME</v>
      </c>
      <c r="Q5875" t="str">
        <f>IF(COUNTIF(Customers!$A$2:$A$1001,B5875)&gt;0,"Valid","Invalid")</f>
        <v>Valid</v>
      </c>
      <c r="R5875" t="str">
        <f>IF(COUNTIF(Branches!$A$2:$A$11,F5875)&gt;0,"Valid","Invalid")</f>
        <v>Valid</v>
      </c>
    </row>
    <row r="5876" spans="1:18" x14ac:dyDescent="0.25">
      <c r="A5876" t="s">
        <v>7947</v>
      </c>
      <c r="B5876" t="s">
        <v>91</v>
      </c>
      <c r="C5876" s="8">
        <v>46133</v>
      </c>
      <c r="D5876" t="s">
        <v>2065</v>
      </c>
      <c r="E5876" t="s">
        <v>2073</v>
      </c>
      <c r="F5876" t="s">
        <v>29</v>
      </c>
      <c r="G5876">
        <v>1437.21</v>
      </c>
      <c r="H5876" t="s">
        <v>2060</v>
      </c>
      <c r="I5876" t="str">
        <f>VLOOKUP(B5876,Customers!A:G,7,FALSE)</f>
        <v>Individual</v>
      </c>
      <c r="Q5876" t="str">
        <f>IF(COUNTIF(Customers!$A$2:$A$1001,B5876)&gt;0,"Valid","Invalid")</f>
        <v>Valid</v>
      </c>
      <c r="R5876" t="str">
        <f>IF(COUNTIF(Branches!$A$2:$A$11,F5876)&gt;0,"Valid","Invalid")</f>
        <v>Valid</v>
      </c>
    </row>
    <row r="5877" spans="1:18" x14ac:dyDescent="0.25">
      <c r="A5877" t="s">
        <v>7948</v>
      </c>
      <c r="B5877" t="s">
        <v>60</v>
      </c>
      <c r="C5877" s="8">
        <v>46155</v>
      </c>
      <c r="D5877" t="s">
        <v>2067</v>
      </c>
      <c r="E5877" t="s">
        <v>2073</v>
      </c>
      <c r="F5877" t="s">
        <v>47</v>
      </c>
      <c r="G5877">
        <v>302.33999999999997</v>
      </c>
      <c r="H5877" t="s">
        <v>2060</v>
      </c>
      <c r="I5877" t="str">
        <f>VLOOKUP(B5877,Customers!A:G,7,FALSE)</f>
        <v>Student</v>
      </c>
      <c r="Q5877" t="str">
        <f>IF(COUNTIF(Customers!$A$2:$A$1001,B5877)&gt;0,"Valid","Invalid")</f>
        <v>Valid</v>
      </c>
      <c r="R5877" t="str">
        <f>IF(COUNTIF(Branches!$A$2:$A$11,F5877)&gt;0,"Valid","Invalid")</f>
        <v>Valid</v>
      </c>
    </row>
    <row r="5878" spans="1:18" x14ac:dyDescent="0.25">
      <c r="A5878" t="s">
        <v>7949</v>
      </c>
      <c r="B5878" t="s">
        <v>319</v>
      </c>
      <c r="C5878" s="8">
        <v>46094</v>
      </c>
      <c r="D5878" t="s">
        <v>2070</v>
      </c>
      <c r="E5878" t="s">
        <v>2076</v>
      </c>
      <c r="F5878" t="s">
        <v>27</v>
      </c>
      <c r="G5878">
        <v>2583.77</v>
      </c>
      <c r="H5878" t="s">
        <v>2060</v>
      </c>
      <c r="I5878" t="str">
        <f>VLOOKUP(B5878,Customers!A:G,7,FALSE)</f>
        <v>Student</v>
      </c>
      <c r="Q5878" t="str">
        <f>IF(COUNTIF(Customers!$A$2:$A$1001,B5878)&gt;0,"Valid","Invalid")</f>
        <v>Valid</v>
      </c>
      <c r="R5878" t="str">
        <f>IF(COUNTIF(Branches!$A$2:$A$11,F5878)&gt;0,"Valid","Invalid")</f>
        <v>Valid</v>
      </c>
    </row>
    <row r="5879" spans="1:18" x14ac:dyDescent="0.25">
      <c r="A5879" t="s">
        <v>7950</v>
      </c>
      <c r="B5879" t="s">
        <v>842</v>
      </c>
      <c r="C5879" s="8">
        <v>46100</v>
      </c>
      <c r="D5879" t="s">
        <v>2067</v>
      </c>
      <c r="E5879" t="s">
        <v>2063</v>
      </c>
      <c r="F5879" t="s">
        <v>27</v>
      </c>
      <c r="G5879">
        <v>106.77</v>
      </c>
      <c r="H5879" t="s">
        <v>2060</v>
      </c>
      <c r="I5879" t="str">
        <f>VLOOKUP(B5879,Customers!A:G,7,FALSE)</f>
        <v>Individual</v>
      </c>
      <c r="Q5879" t="str">
        <f>IF(COUNTIF(Customers!$A$2:$A$1001,B5879)&gt;0,"Valid","Invalid")</f>
        <v>Valid</v>
      </c>
      <c r="R5879" t="str">
        <f>IF(COUNTIF(Branches!$A$2:$A$11,F5879)&gt;0,"Valid","Invalid")</f>
        <v>Valid</v>
      </c>
    </row>
    <row r="5880" spans="1:18" x14ac:dyDescent="0.25">
      <c r="A5880" t="s">
        <v>7951</v>
      </c>
      <c r="B5880" t="s">
        <v>365</v>
      </c>
      <c r="C5880" s="8">
        <v>46211</v>
      </c>
      <c r="D5880" t="s">
        <v>2062</v>
      </c>
      <c r="E5880" t="s">
        <v>2059</v>
      </c>
      <c r="F5880" t="s">
        <v>27</v>
      </c>
      <c r="G5880">
        <v>3052.59</v>
      </c>
      <c r="H5880" t="s">
        <v>2060</v>
      </c>
      <c r="I5880" t="str">
        <f>VLOOKUP(B5880,Customers!A:G,7,FALSE)</f>
        <v>SME</v>
      </c>
      <c r="Q5880" t="str">
        <f>IF(COUNTIF(Customers!$A$2:$A$1001,B5880)&gt;0,"Valid","Invalid")</f>
        <v>Valid</v>
      </c>
      <c r="R5880" t="str">
        <f>IF(COUNTIF(Branches!$A$2:$A$11,F5880)&gt;0,"Valid","Invalid")</f>
        <v>Valid</v>
      </c>
    </row>
    <row r="5881" spans="1:18" x14ac:dyDescent="0.25">
      <c r="A5881" t="s">
        <v>7952</v>
      </c>
      <c r="B5881" t="s">
        <v>1008</v>
      </c>
      <c r="C5881" s="8">
        <v>46122</v>
      </c>
      <c r="D5881" t="s">
        <v>2065</v>
      </c>
      <c r="E5881" t="s">
        <v>2059</v>
      </c>
      <c r="F5881" t="s">
        <v>27</v>
      </c>
      <c r="G5881">
        <v>1408.48</v>
      </c>
      <c r="H5881" t="s">
        <v>2060</v>
      </c>
      <c r="I5881" t="str">
        <f>VLOOKUP(B5881,Customers!A:G,7,FALSE)</f>
        <v>Individual</v>
      </c>
      <c r="Q5881" t="str">
        <f>IF(COUNTIF(Customers!$A$2:$A$1001,B5881)&gt;0,"Valid","Invalid")</f>
        <v>Valid</v>
      </c>
      <c r="R5881" t="str">
        <f>IF(COUNTIF(Branches!$A$2:$A$11,F5881)&gt;0,"Valid","Invalid")</f>
        <v>Valid</v>
      </c>
    </row>
    <row r="5882" spans="1:18" x14ac:dyDescent="0.25">
      <c r="A5882" t="s">
        <v>7953</v>
      </c>
      <c r="B5882" t="s">
        <v>223</v>
      </c>
      <c r="C5882" s="8">
        <v>46093</v>
      </c>
      <c r="D5882" t="s">
        <v>2067</v>
      </c>
      <c r="E5882" t="s">
        <v>2059</v>
      </c>
      <c r="F5882" t="s">
        <v>53</v>
      </c>
      <c r="G5882">
        <v>436.26</v>
      </c>
      <c r="H5882" t="s">
        <v>2060</v>
      </c>
      <c r="I5882" t="str">
        <f>VLOOKUP(B5882,Customers!A:G,7,FALSE)</f>
        <v>Student</v>
      </c>
      <c r="Q5882" t="str">
        <f>IF(COUNTIF(Customers!$A$2:$A$1001,B5882)&gt;0,"Valid","Invalid")</f>
        <v>Valid</v>
      </c>
      <c r="R5882" t="str">
        <f>IF(COUNTIF(Branches!$A$2:$A$11,F5882)&gt;0,"Valid","Invalid")</f>
        <v>Valid</v>
      </c>
    </row>
    <row r="5883" spans="1:18" x14ac:dyDescent="0.25">
      <c r="A5883" t="s">
        <v>7954</v>
      </c>
      <c r="B5883" t="s">
        <v>533</v>
      </c>
      <c r="C5883" s="8">
        <v>46029</v>
      </c>
      <c r="D5883" t="s">
        <v>2067</v>
      </c>
      <c r="E5883" t="s">
        <v>2076</v>
      </c>
      <c r="F5883" t="s">
        <v>45</v>
      </c>
      <c r="G5883">
        <v>1928.32</v>
      </c>
      <c r="H5883" t="s">
        <v>2060</v>
      </c>
      <c r="I5883" t="str">
        <f>VLOOKUP(B5883,Customers!A:G,7,FALSE)</f>
        <v>SME</v>
      </c>
      <c r="Q5883" t="str">
        <f>IF(COUNTIF(Customers!$A$2:$A$1001,B5883)&gt;0,"Valid","Invalid")</f>
        <v>Valid</v>
      </c>
      <c r="R5883" t="str">
        <f>IF(COUNTIF(Branches!$A$2:$A$11,F5883)&gt;0,"Valid","Invalid")</f>
        <v>Valid</v>
      </c>
    </row>
    <row r="5884" spans="1:18" x14ac:dyDescent="0.25">
      <c r="A5884" t="s">
        <v>7955</v>
      </c>
      <c r="B5884" t="s">
        <v>41</v>
      </c>
      <c r="C5884" s="8">
        <v>46072</v>
      </c>
      <c r="D5884" t="s">
        <v>2065</v>
      </c>
      <c r="E5884" t="s">
        <v>2073</v>
      </c>
      <c r="F5884" t="s">
        <v>16</v>
      </c>
      <c r="G5884">
        <v>284.92</v>
      </c>
      <c r="H5884" t="s">
        <v>2060</v>
      </c>
      <c r="I5884" t="str">
        <f>VLOOKUP(B5884,Customers!A:G,7,FALSE)</f>
        <v>Individual</v>
      </c>
      <c r="Q5884" t="str">
        <f>IF(COUNTIF(Customers!$A$2:$A$1001,B5884)&gt;0,"Valid","Invalid")</f>
        <v>Valid</v>
      </c>
      <c r="R5884" t="str">
        <f>IF(COUNTIF(Branches!$A$2:$A$11,F5884)&gt;0,"Valid","Invalid")</f>
        <v>Valid</v>
      </c>
    </row>
    <row r="5885" spans="1:18" x14ac:dyDescent="0.25">
      <c r="A5885" t="s">
        <v>7956</v>
      </c>
      <c r="B5885" t="s">
        <v>679</v>
      </c>
      <c r="C5885" s="8">
        <v>46068</v>
      </c>
      <c r="D5885" t="s">
        <v>2065</v>
      </c>
      <c r="E5885" t="s">
        <v>2068</v>
      </c>
      <c r="F5885" t="s">
        <v>47</v>
      </c>
      <c r="G5885">
        <v>911.36</v>
      </c>
      <c r="H5885" t="s">
        <v>2060</v>
      </c>
      <c r="I5885" t="str">
        <f>VLOOKUP(B5885,Customers!A:G,7,FALSE)</f>
        <v>Individual</v>
      </c>
      <c r="Q5885" t="str">
        <f>IF(COUNTIF(Customers!$A$2:$A$1001,B5885)&gt;0,"Valid","Invalid")</f>
        <v>Valid</v>
      </c>
      <c r="R5885" t="str">
        <f>IF(COUNTIF(Branches!$A$2:$A$11,F5885)&gt;0,"Valid","Invalid")</f>
        <v>Valid</v>
      </c>
    </row>
    <row r="5886" spans="1:18" x14ac:dyDescent="0.25">
      <c r="A5886" t="s">
        <v>7957</v>
      </c>
      <c r="B5886" t="s">
        <v>922</v>
      </c>
      <c r="C5886" s="8">
        <v>46246</v>
      </c>
      <c r="D5886" t="s">
        <v>2065</v>
      </c>
      <c r="E5886" t="s">
        <v>2063</v>
      </c>
      <c r="F5886" t="s">
        <v>29</v>
      </c>
      <c r="G5886">
        <v>1031.23</v>
      </c>
      <c r="H5886" t="s">
        <v>2060</v>
      </c>
      <c r="I5886" t="str">
        <f>VLOOKUP(B5886,Customers!A:G,7,FALSE)</f>
        <v>Individual</v>
      </c>
      <c r="Q5886" t="str">
        <f>IF(COUNTIF(Customers!$A$2:$A$1001,B5886)&gt;0,"Valid","Invalid")</f>
        <v>Valid</v>
      </c>
      <c r="R5886" t="str">
        <f>IF(COUNTIF(Branches!$A$2:$A$11,F5886)&gt;0,"Valid","Invalid")</f>
        <v>Valid</v>
      </c>
    </row>
    <row r="5887" spans="1:18" x14ac:dyDescent="0.25">
      <c r="A5887" t="s">
        <v>7958</v>
      </c>
      <c r="B5887" t="s">
        <v>472</v>
      </c>
      <c r="C5887" s="8">
        <v>46094</v>
      </c>
      <c r="D5887" t="s">
        <v>2062</v>
      </c>
      <c r="E5887" t="s">
        <v>2063</v>
      </c>
      <c r="F5887" t="s">
        <v>53</v>
      </c>
      <c r="G5887">
        <v>1028.79</v>
      </c>
      <c r="H5887" t="s">
        <v>2060</v>
      </c>
      <c r="I5887" t="str">
        <f>VLOOKUP(B5887,Customers!A:G,7,FALSE)</f>
        <v>Individual</v>
      </c>
      <c r="Q5887" t="str">
        <f>IF(COUNTIF(Customers!$A$2:$A$1001,B5887)&gt;0,"Valid","Invalid")</f>
        <v>Valid</v>
      </c>
      <c r="R5887" t="str">
        <f>IF(COUNTIF(Branches!$A$2:$A$11,F5887)&gt;0,"Valid","Invalid")</f>
        <v>Valid</v>
      </c>
    </row>
    <row r="5888" spans="1:18" x14ac:dyDescent="0.25">
      <c r="A5888" t="s">
        <v>7959</v>
      </c>
      <c r="B5888" t="s">
        <v>959</v>
      </c>
      <c r="C5888" s="8">
        <v>46098</v>
      </c>
      <c r="D5888" t="s">
        <v>2065</v>
      </c>
      <c r="E5888" t="s">
        <v>2068</v>
      </c>
      <c r="F5888" t="s">
        <v>29</v>
      </c>
      <c r="G5888">
        <v>350.82</v>
      </c>
      <c r="H5888" t="s">
        <v>2060</v>
      </c>
      <c r="I5888" t="str">
        <f>VLOOKUP(B5888,Customers!A:G,7,FALSE)</f>
        <v>SME</v>
      </c>
      <c r="Q5888" t="str">
        <f>IF(COUNTIF(Customers!$A$2:$A$1001,B5888)&gt;0,"Valid","Invalid")</f>
        <v>Valid</v>
      </c>
      <c r="R5888" t="str">
        <f>IF(COUNTIF(Branches!$A$2:$A$11,F5888)&gt;0,"Valid","Invalid")</f>
        <v>Valid</v>
      </c>
    </row>
    <row r="5889" spans="1:18" x14ac:dyDescent="0.25">
      <c r="A5889" t="s">
        <v>7960</v>
      </c>
      <c r="B5889" t="s">
        <v>245</v>
      </c>
      <c r="C5889" s="8">
        <v>46096</v>
      </c>
      <c r="D5889" t="s">
        <v>2067</v>
      </c>
      <c r="E5889" t="s">
        <v>2068</v>
      </c>
      <c r="F5889" t="s">
        <v>35</v>
      </c>
      <c r="G5889">
        <v>494.69</v>
      </c>
      <c r="H5889" t="s">
        <v>2060</v>
      </c>
      <c r="I5889" t="str">
        <f>VLOOKUP(B5889,Customers!A:G,7,FALSE)</f>
        <v>Individual</v>
      </c>
      <c r="Q5889" t="str">
        <f>IF(COUNTIF(Customers!$A$2:$A$1001,B5889)&gt;0,"Valid","Invalid")</f>
        <v>Valid</v>
      </c>
      <c r="R5889" t="str">
        <f>IF(COUNTIF(Branches!$A$2:$A$11,F5889)&gt;0,"Valid","Invalid")</f>
        <v>Valid</v>
      </c>
    </row>
    <row r="5890" spans="1:18" x14ac:dyDescent="0.25">
      <c r="A5890" t="s">
        <v>7961</v>
      </c>
      <c r="B5890" t="s">
        <v>169</v>
      </c>
      <c r="C5890" s="8">
        <v>46164</v>
      </c>
      <c r="D5890" t="s">
        <v>2065</v>
      </c>
      <c r="E5890" t="s">
        <v>2063</v>
      </c>
      <c r="F5890" t="s">
        <v>47</v>
      </c>
      <c r="G5890">
        <v>922.18</v>
      </c>
      <c r="H5890" t="s">
        <v>2060</v>
      </c>
      <c r="I5890" t="str">
        <f>VLOOKUP(B5890,Customers!A:G,7,FALSE)</f>
        <v>SME</v>
      </c>
      <c r="Q5890" t="str">
        <f>IF(COUNTIF(Customers!$A$2:$A$1001,B5890)&gt;0,"Valid","Invalid")</f>
        <v>Valid</v>
      </c>
      <c r="R5890" t="str">
        <f>IF(COUNTIF(Branches!$A$2:$A$11,F5890)&gt;0,"Valid","Invalid")</f>
        <v>Valid</v>
      </c>
    </row>
    <row r="5891" spans="1:18" x14ac:dyDescent="0.25">
      <c r="A5891" t="s">
        <v>7962</v>
      </c>
      <c r="B5891" t="s">
        <v>377</v>
      </c>
      <c r="C5891" s="8">
        <v>46095</v>
      </c>
      <c r="D5891" t="s">
        <v>2058</v>
      </c>
      <c r="E5891" t="s">
        <v>2076</v>
      </c>
      <c r="F5891" t="s">
        <v>27</v>
      </c>
      <c r="G5891">
        <v>392.78</v>
      </c>
      <c r="H5891" t="s">
        <v>2060</v>
      </c>
      <c r="I5891" t="str">
        <f>VLOOKUP(B5891,Customers!A:G,7,FALSE)</f>
        <v>Individual</v>
      </c>
      <c r="Q5891" t="str">
        <f>IF(COUNTIF(Customers!$A$2:$A$1001,B5891)&gt;0,"Valid","Invalid")</f>
        <v>Valid</v>
      </c>
      <c r="R5891" t="str">
        <f>IF(COUNTIF(Branches!$A$2:$A$11,F5891)&gt;0,"Valid","Invalid")</f>
        <v>Valid</v>
      </c>
    </row>
    <row r="5892" spans="1:18" x14ac:dyDescent="0.25">
      <c r="A5892" t="s">
        <v>7963</v>
      </c>
      <c r="B5892" t="s">
        <v>233</v>
      </c>
      <c r="C5892" s="8">
        <v>46124</v>
      </c>
      <c r="D5892" t="s">
        <v>2058</v>
      </c>
      <c r="E5892" t="s">
        <v>2076</v>
      </c>
      <c r="F5892" t="s">
        <v>29</v>
      </c>
      <c r="G5892">
        <v>1065.77</v>
      </c>
      <c r="H5892" t="s">
        <v>2060</v>
      </c>
      <c r="I5892" t="str">
        <f>VLOOKUP(B5892,Customers!A:G,7,FALSE)</f>
        <v>Individual</v>
      </c>
      <c r="Q5892" t="str">
        <f>IF(COUNTIF(Customers!$A$2:$A$1001,B5892)&gt;0,"Valid","Invalid")</f>
        <v>Valid</v>
      </c>
      <c r="R5892" t="str">
        <f>IF(COUNTIF(Branches!$A$2:$A$11,F5892)&gt;0,"Valid","Invalid")</f>
        <v>Valid</v>
      </c>
    </row>
    <row r="5893" spans="1:18" x14ac:dyDescent="0.25">
      <c r="A5893" t="s">
        <v>7964</v>
      </c>
      <c r="B5893" t="s">
        <v>300</v>
      </c>
      <c r="C5893" s="8">
        <v>46116</v>
      </c>
      <c r="D5893" t="s">
        <v>2058</v>
      </c>
      <c r="E5893" t="s">
        <v>2059</v>
      </c>
      <c r="F5893" t="s">
        <v>27</v>
      </c>
      <c r="G5893">
        <v>439.6</v>
      </c>
      <c r="H5893" t="s">
        <v>2060</v>
      </c>
      <c r="I5893" t="str">
        <f>VLOOKUP(B5893,Customers!A:G,7,FALSE)</f>
        <v>Corporate</v>
      </c>
      <c r="Q5893" t="str">
        <f>IF(COUNTIF(Customers!$A$2:$A$1001,B5893)&gt;0,"Valid","Invalid")</f>
        <v>Valid</v>
      </c>
      <c r="R5893" t="str">
        <f>IF(COUNTIF(Branches!$A$2:$A$11,F5893)&gt;0,"Valid","Invalid")</f>
        <v>Valid</v>
      </c>
    </row>
    <row r="5894" spans="1:18" x14ac:dyDescent="0.25">
      <c r="A5894" t="s">
        <v>7965</v>
      </c>
      <c r="B5894" t="s">
        <v>320</v>
      </c>
      <c r="C5894" s="8">
        <v>46091</v>
      </c>
      <c r="D5894" t="s">
        <v>2067</v>
      </c>
      <c r="E5894" t="s">
        <v>2063</v>
      </c>
      <c r="F5894" t="s">
        <v>29</v>
      </c>
      <c r="G5894">
        <v>2208.35</v>
      </c>
      <c r="H5894" t="s">
        <v>2060</v>
      </c>
      <c r="I5894" t="str">
        <f>VLOOKUP(B5894,Customers!A:G,7,FALSE)</f>
        <v>Individual</v>
      </c>
      <c r="Q5894" t="str">
        <f>IF(COUNTIF(Customers!$A$2:$A$1001,B5894)&gt;0,"Valid","Invalid")</f>
        <v>Valid</v>
      </c>
      <c r="R5894" t="str">
        <f>IF(COUNTIF(Branches!$A$2:$A$11,F5894)&gt;0,"Valid","Invalid")</f>
        <v>Valid</v>
      </c>
    </row>
    <row r="5895" spans="1:18" x14ac:dyDescent="0.25">
      <c r="A5895" t="s">
        <v>7966</v>
      </c>
      <c r="B5895" t="s">
        <v>407</v>
      </c>
      <c r="C5895" s="8">
        <v>46087</v>
      </c>
      <c r="D5895" t="s">
        <v>2065</v>
      </c>
      <c r="E5895" t="s">
        <v>2068</v>
      </c>
      <c r="F5895" t="s">
        <v>21</v>
      </c>
      <c r="G5895">
        <v>3876.49</v>
      </c>
      <c r="H5895" t="s">
        <v>2060</v>
      </c>
      <c r="I5895" t="str">
        <f>VLOOKUP(B5895,Customers!A:G,7,FALSE)</f>
        <v>Individual</v>
      </c>
      <c r="Q5895" t="str">
        <f>IF(COUNTIF(Customers!$A$2:$A$1001,B5895)&gt;0,"Valid","Invalid")</f>
        <v>Valid</v>
      </c>
      <c r="R5895" t="str">
        <f>IF(COUNTIF(Branches!$A$2:$A$11,F5895)&gt;0,"Valid","Invalid")</f>
        <v>Valid</v>
      </c>
    </row>
    <row r="5896" spans="1:18" x14ac:dyDescent="0.25">
      <c r="A5896" t="s">
        <v>7967</v>
      </c>
      <c r="B5896" t="s">
        <v>139</v>
      </c>
      <c r="C5896" s="8">
        <v>46215</v>
      </c>
      <c r="D5896" t="s">
        <v>2062</v>
      </c>
      <c r="E5896" t="s">
        <v>2076</v>
      </c>
      <c r="F5896" t="s">
        <v>16</v>
      </c>
      <c r="G5896">
        <v>603.37</v>
      </c>
      <c r="H5896" t="s">
        <v>2060</v>
      </c>
      <c r="I5896" t="str">
        <f>VLOOKUP(B5896,Customers!A:G,7,FALSE)</f>
        <v>SME</v>
      </c>
      <c r="Q5896" t="str">
        <f>IF(COUNTIF(Customers!$A$2:$A$1001,B5896)&gt;0,"Valid","Invalid")</f>
        <v>Valid</v>
      </c>
      <c r="R5896" t="str">
        <f>IF(COUNTIF(Branches!$A$2:$A$11,F5896)&gt;0,"Valid","Invalid")</f>
        <v>Valid</v>
      </c>
    </row>
    <row r="5897" spans="1:18" x14ac:dyDescent="0.25">
      <c r="A5897" t="s">
        <v>7968</v>
      </c>
      <c r="B5897" t="s">
        <v>670</v>
      </c>
      <c r="C5897" s="8">
        <v>46207</v>
      </c>
      <c r="D5897" t="s">
        <v>2062</v>
      </c>
      <c r="E5897" t="s">
        <v>2063</v>
      </c>
      <c r="F5897" t="s">
        <v>11</v>
      </c>
      <c r="G5897">
        <v>2039.09</v>
      </c>
      <c r="H5897" t="s">
        <v>2107</v>
      </c>
      <c r="I5897" t="str">
        <f>VLOOKUP(B5897,Customers!A:G,7,FALSE)</f>
        <v>SME</v>
      </c>
      <c r="Q5897" t="str">
        <f>IF(COUNTIF(Customers!$A$2:$A$1001,B5897)&gt;0,"Valid","Invalid")</f>
        <v>Valid</v>
      </c>
      <c r="R5897" t="str">
        <f>IF(COUNTIF(Branches!$A$2:$A$11,F5897)&gt;0,"Valid","Invalid")</f>
        <v>Valid</v>
      </c>
    </row>
    <row r="5898" spans="1:18" x14ac:dyDescent="0.25">
      <c r="A5898" t="s">
        <v>7969</v>
      </c>
      <c r="B5898" t="s">
        <v>220</v>
      </c>
      <c r="C5898" s="8">
        <v>46084</v>
      </c>
      <c r="D5898" t="s">
        <v>2065</v>
      </c>
      <c r="E5898" t="s">
        <v>2076</v>
      </c>
      <c r="F5898" t="s">
        <v>47</v>
      </c>
      <c r="G5898">
        <v>657.01</v>
      </c>
      <c r="H5898" t="s">
        <v>2060</v>
      </c>
      <c r="I5898" t="str">
        <f>VLOOKUP(B5898,Customers!A:G,7,FALSE)</f>
        <v>Individual</v>
      </c>
      <c r="Q5898" t="str">
        <f>IF(COUNTIF(Customers!$A$2:$A$1001,B5898)&gt;0,"Valid","Invalid")</f>
        <v>Valid</v>
      </c>
      <c r="R5898" t="str">
        <f>IF(COUNTIF(Branches!$A$2:$A$11,F5898)&gt;0,"Valid","Invalid")</f>
        <v>Valid</v>
      </c>
    </row>
    <row r="5899" spans="1:18" x14ac:dyDescent="0.25">
      <c r="A5899" t="s">
        <v>7970</v>
      </c>
      <c r="B5899" t="s">
        <v>461</v>
      </c>
      <c r="C5899" s="8">
        <v>46042</v>
      </c>
      <c r="D5899" t="s">
        <v>2058</v>
      </c>
      <c r="E5899" t="s">
        <v>2076</v>
      </c>
      <c r="F5899" t="s">
        <v>53</v>
      </c>
      <c r="G5899">
        <v>318.48</v>
      </c>
      <c r="H5899" t="s">
        <v>2060</v>
      </c>
      <c r="I5899" t="str">
        <f>VLOOKUP(B5899,Customers!A:G,7,FALSE)</f>
        <v>Individual</v>
      </c>
      <c r="Q5899" t="str">
        <f>IF(COUNTIF(Customers!$A$2:$A$1001,B5899)&gt;0,"Valid","Invalid")</f>
        <v>Valid</v>
      </c>
      <c r="R5899" t="str">
        <f>IF(COUNTIF(Branches!$A$2:$A$11,F5899)&gt;0,"Valid","Invalid")</f>
        <v>Valid</v>
      </c>
    </row>
    <row r="5900" spans="1:18" x14ac:dyDescent="0.25">
      <c r="A5900" t="s">
        <v>7971</v>
      </c>
      <c r="B5900" t="s">
        <v>36</v>
      </c>
      <c r="C5900" s="8">
        <v>46263</v>
      </c>
      <c r="D5900" t="s">
        <v>2065</v>
      </c>
      <c r="E5900" t="s">
        <v>2068</v>
      </c>
      <c r="F5900" t="s">
        <v>39</v>
      </c>
      <c r="G5900">
        <v>530.75</v>
      </c>
      <c r="H5900" t="s">
        <v>2060</v>
      </c>
      <c r="I5900" t="str">
        <f>VLOOKUP(B5900,Customers!A:G,7,FALSE)</f>
        <v>Individual</v>
      </c>
      <c r="Q5900" t="str">
        <f>IF(COUNTIF(Customers!$A$2:$A$1001,B5900)&gt;0,"Valid","Invalid")</f>
        <v>Valid</v>
      </c>
      <c r="R5900" t="str">
        <f>IF(COUNTIF(Branches!$A$2:$A$11,F5900)&gt;0,"Valid","Invalid")</f>
        <v>Valid</v>
      </c>
    </row>
    <row r="5901" spans="1:18" x14ac:dyDescent="0.25">
      <c r="A5901" t="s">
        <v>7972</v>
      </c>
      <c r="B5901" t="s">
        <v>595</v>
      </c>
      <c r="C5901" s="8">
        <v>46225</v>
      </c>
      <c r="D5901" t="s">
        <v>2065</v>
      </c>
      <c r="E5901" t="s">
        <v>2063</v>
      </c>
      <c r="F5901" t="s">
        <v>47</v>
      </c>
      <c r="G5901">
        <v>884.98</v>
      </c>
      <c r="H5901" t="s">
        <v>2060</v>
      </c>
      <c r="I5901" t="str">
        <f>VLOOKUP(B5901,Customers!A:G,7,FALSE)</f>
        <v>Individual</v>
      </c>
      <c r="Q5901" t="str">
        <f>IF(COUNTIF(Customers!$A$2:$A$1001,B5901)&gt;0,"Valid","Invalid")</f>
        <v>Valid</v>
      </c>
      <c r="R5901" t="str">
        <f>IF(COUNTIF(Branches!$A$2:$A$11,F5901)&gt;0,"Valid","Invalid")</f>
        <v>Valid</v>
      </c>
    </row>
    <row r="5902" spans="1:18" x14ac:dyDescent="0.25">
      <c r="A5902" t="s">
        <v>7973</v>
      </c>
      <c r="B5902" t="s">
        <v>282</v>
      </c>
      <c r="C5902" s="8">
        <v>46176</v>
      </c>
      <c r="D5902" t="s">
        <v>2062</v>
      </c>
      <c r="E5902" t="s">
        <v>2073</v>
      </c>
      <c r="F5902" t="s">
        <v>45</v>
      </c>
      <c r="G5902">
        <v>136.05000000000001</v>
      </c>
      <c r="H5902" t="s">
        <v>2060</v>
      </c>
      <c r="I5902" t="str">
        <f>VLOOKUP(B5902,Customers!A:G,7,FALSE)</f>
        <v>SME</v>
      </c>
      <c r="Q5902" t="str">
        <f>IF(COUNTIF(Customers!$A$2:$A$1001,B5902)&gt;0,"Valid","Invalid")</f>
        <v>Valid</v>
      </c>
      <c r="R5902" t="str">
        <f>IF(COUNTIF(Branches!$A$2:$A$11,F5902)&gt;0,"Valid","Invalid")</f>
        <v>Valid</v>
      </c>
    </row>
    <row r="5903" spans="1:18" x14ac:dyDescent="0.25">
      <c r="A5903" t="s">
        <v>7974</v>
      </c>
      <c r="B5903" t="s">
        <v>820</v>
      </c>
      <c r="C5903" s="8">
        <v>46066</v>
      </c>
      <c r="D5903" t="s">
        <v>2058</v>
      </c>
      <c r="E5903" t="s">
        <v>2063</v>
      </c>
      <c r="F5903" t="s">
        <v>47</v>
      </c>
      <c r="G5903">
        <v>1518.77</v>
      </c>
      <c r="H5903" t="s">
        <v>2060</v>
      </c>
      <c r="I5903" t="str">
        <f>VLOOKUP(B5903,Customers!A:G,7,FALSE)</f>
        <v>Individual</v>
      </c>
      <c r="Q5903" t="str">
        <f>IF(COUNTIF(Customers!$A$2:$A$1001,B5903)&gt;0,"Valid","Invalid")</f>
        <v>Valid</v>
      </c>
      <c r="R5903" t="str">
        <f>IF(COUNTIF(Branches!$A$2:$A$11,F5903)&gt;0,"Valid","Invalid")</f>
        <v>Valid</v>
      </c>
    </row>
    <row r="5904" spans="1:18" x14ac:dyDescent="0.25">
      <c r="A5904" t="s">
        <v>7975</v>
      </c>
      <c r="B5904" t="s">
        <v>662</v>
      </c>
      <c r="C5904" s="8">
        <v>46217</v>
      </c>
      <c r="D5904" t="s">
        <v>2065</v>
      </c>
      <c r="E5904" t="s">
        <v>2076</v>
      </c>
      <c r="F5904" t="s">
        <v>29</v>
      </c>
      <c r="G5904">
        <v>885.38</v>
      </c>
      <c r="H5904" t="s">
        <v>2060</v>
      </c>
      <c r="I5904" t="str">
        <f>VLOOKUP(B5904,Customers!A:G,7,FALSE)</f>
        <v>SME</v>
      </c>
      <c r="Q5904" t="str">
        <f>IF(COUNTIF(Customers!$A$2:$A$1001,B5904)&gt;0,"Valid","Invalid")</f>
        <v>Valid</v>
      </c>
      <c r="R5904" t="str">
        <f>IF(COUNTIF(Branches!$A$2:$A$11,F5904)&gt;0,"Valid","Invalid")</f>
        <v>Valid</v>
      </c>
    </row>
    <row r="5905" spans="1:18" x14ac:dyDescent="0.25">
      <c r="A5905" t="s">
        <v>7976</v>
      </c>
      <c r="B5905" t="s">
        <v>605</v>
      </c>
      <c r="C5905" s="8">
        <v>46220</v>
      </c>
      <c r="D5905" t="s">
        <v>2067</v>
      </c>
      <c r="E5905" t="s">
        <v>2076</v>
      </c>
      <c r="F5905" t="s">
        <v>27</v>
      </c>
      <c r="G5905">
        <v>2209.5500000000002</v>
      </c>
      <c r="H5905" t="s">
        <v>2060</v>
      </c>
      <c r="I5905" t="str">
        <f>VLOOKUP(B5905,Customers!A:G,7,FALSE)</f>
        <v>SME</v>
      </c>
      <c r="Q5905" t="str">
        <f>IF(COUNTIF(Customers!$A$2:$A$1001,B5905)&gt;0,"Valid","Invalid")</f>
        <v>Valid</v>
      </c>
      <c r="R5905" t="str">
        <f>IF(COUNTIF(Branches!$A$2:$A$11,F5905)&gt;0,"Valid","Invalid")</f>
        <v>Valid</v>
      </c>
    </row>
    <row r="5906" spans="1:18" x14ac:dyDescent="0.25">
      <c r="A5906" t="s">
        <v>7977</v>
      </c>
      <c r="B5906" t="s">
        <v>431</v>
      </c>
      <c r="C5906" s="8">
        <v>46084</v>
      </c>
      <c r="D5906" t="s">
        <v>2070</v>
      </c>
      <c r="E5906" t="s">
        <v>2059</v>
      </c>
      <c r="F5906" t="s">
        <v>29</v>
      </c>
      <c r="G5906">
        <v>1492.4</v>
      </c>
      <c r="H5906" t="s">
        <v>2060</v>
      </c>
      <c r="I5906" t="str">
        <f>VLOOKUP(B5906,Customers!A:G,7,FALSE)</f>
        <v>SME</v>
      </c>
      <c r="Q5906" t="str">
        <f>IF(COUNTIF(Customers!$A$2:$A$1001,B5906)&gt;0,"Valid","Invalid")</f>
        <v>Valid</v>
      </c>
      <c r="R5906" t="str">
        <f>IF(COUNTIF(Branches!$A$2:$A$11,F5906)&gt;0,"Valid","Invalid")</f>
        <v>Valid</v>
      </c>
    </row>
    <row r="5907" spans="1:18" x14ac:dyDescent="0.25">
      <c r="A5907" t="s">
        <v>7978</v>
      </c>
      <c r="B5907" t="s">
        <v>565</v>
      </c>
      <c r="C5907" s="8">
        <v>46129</v>
      </c>
      <c r="D5907" t="s">
        <v>2062</v>
      </c>
      <c r="E5907" t="s">
        <v>2059</v>
      </c>
      <c r="F5907" t="s">
        <v>39</v>
      </c>
      <c r="G5907">
        <v>915.94</v>
      </c>
      <c r="H5907" t="s">
        <v>2060</v>
      </c>
      <c r="I5907" t="str">
        <f>VLOOKUP(B5907,Customers!A:G,7,FALSE)</f>
        <v>SME</v>
      </c>
      <c r="Q5907" t="str">
        <f>IF(COUNTIF(Customers!$A$2:$A$1001,B5907)&gt;0,"Valid","Invalid")</f>
        <v>Valid</v>
      </c>
      <c r="R5907" t="str">
        <f>IF(COUNTIF(Branches!$A$2:$A$11,F5907)&gt;0,"Valid","Invalid")</f>
        <v>Valid</v>
      </c>
    </row>
    <row r="5908" spans="1:18" x14ac:dyDescent="0.25">
      <c r="A5908" t="s">
        <v>7979</v>
      </c>
      <c r="B5908" t="s">
        <v>71</v>
      </c>
      <c r="C5908" s="8">
        <v>46147</v>
      </c>
      <c r="D5908" t="s">
        <v>2062</v>
      </c>
      <c r="E5908" t="s">
        <v>2068</v>
      </c>
      <c r="F5908" t="s">
        <v>47</v>
      </c>
      <c r="G5908">
        <v>569.16</v>
      </c>
      <c r="H5908" t="s">
        <v>2060</v>
      </c>
      <c r="I5908" t="str">
        <f>VLOOKUP(B5908,Customers!A:G,7,FALSE)</f>
        <v>Individual</v>
      </c>
      <c r="Q5908" t="str">
        <f>IF(COUNTIF(Customers!$A$2:$A$1001,B5908)&gt;0,"Valid","Invalid")</f>
        <v>Valid</v>
      </c>
      <c r="R5908" t="str">
        <f>IF(COUNTIF(Branches!$A$2:$A$11,F5908)&gt;0,"Valid","Invalid")</f>
        <v>Valid</v>
      </c>
    </row>
    <row r="5909" spans="1:18" x14ac:dyDescent="0.25">
      <c r="A5909" t="s">
        <v>7980</v>
      </c>
      <c r="B5909" t="s">
        <v>214</v>
      </c>
      <c r="C5909" s="8">
        <v>46067</v>
      </c>
      <c r="D5909" t="s">
        <v>2067</v>
      </c>
      <c r="E5909" t="s">
        <v>2076</v>
      </c>
      <c r="F5909" t="s">
        <v>45</v>
      </c>
      <c r="G5909">
        <v>3725.15</v>
      </c>
      <c r="H5909" t="s">
        <v>2060</v>
      </c>
      <c r="I5909" t="str">
        <f>VLOOKUP(B5909,Customers!A:G,7,FALSE)</f>
        <v>Student</v>
      </c>
      <c r="Q5909" t="str">
        <f>IF(COUNTIF(Customers!$A$2:$A$1001,B5909)&gt;0,"Valid","Invalid")</f>
        <v>Valid</v>
      </c>
      <c r="R5909" t="str">
        <f>IF(COUNTIF(Branches!$A$2:$A$11,F5909)&gt;0,"Valid","Invalid")</f>
        <v>Valid</v>
      </c>
    </row>
    <row r="5910" spans="1:18" x14ac:dyDescent="0.25">
      <c r="A5910" t="s">
        <v>7981</v>
      </c>
      <c r="B5910" t="s">
        <v>677</v>
      </c>
      <c r="C5910" s="8">
        <v>46033</v>
      </c>
      <c r="D5910" t="s">
        <v>2058</v>
      </c>
      <c r="E5910" t="s">
        <v>2059</v>
      </c>
      <c r="F5910" t="s">
        <v>53</v>
      </c>
      <c r="G5910">
        <v>7114.38</v>
      </c>
      <c r="H5910" t="s">
        <v>2060</v>
      </c>
      <c r="I5910" t="str">
        <f>VLOOKUP(B5910,Customers!A:G,7,FALSE)</f>
        <v>Student</v>
      </c>
      <c r="Q5910" t="str">
        <f>IF(COUNTIF(Customers!$A$2:$A$1001,B5910)&gt;0,"Valid","Invalid")</f>
        <v>Valid</v>
      </c>
      <c r="R5910" t="str">
        <f>IF(COUNTIF(Branches!$A$2:$A$11,F5910)&gt;0,"Valid","Invalid")</f>
        <v>Valid</v>
      </c>
    </row>
    <row r="5911" spans="1:18" x14ac:dyDescent="0.25">
      <c r="A5911" t="s">
        <v>7982</v>
      </c>
      <c r="B5911" t="s">
        <v>667</v>
      </c>
      <c r="C5911" s="8">
        <v>46222</v>
      </c>
      <c r="D5911" t="s">
        <v>2067</v>
      </c>
      <c r="E5911" t="s">
        <v>2063</v>
      </c>
      <c r="F5911" t="s">
        <v>27</v>
      </c>
      <c r="G5911">
        <v>578.74</v>
      </c>
      <c r="H5911" t="s">
        <v>2060</v>
      </c>
      <c r="I5911" t="str">
        <f>VLOOKUP(B5911,Customers!A:G,7,FALSE)</f>
        <v>Individual</v>
      </c>
      <c r="Q5911" t="str">
        <f>IF(COUNTIF(Customers!$A$2:$A$1001,B5911)&gt;0,"Valid","Invalid")</f>
        <v>Valid</v>
      </c>
      <c r="R5911" t="str">
        <f>IF(COUNTIF(Branches!$A$2:$A$11,F5911)&gt;0,"Valid","Invalid")</f>
        <v>Valid</v>
      </c>
    </row>
    <row r="5912" spans="1:18" x14ac:dyDescent="0.25">
      <c r="A5912" t="s">
        <v>7983</v>
      </c>
      <c r="B5912" t="s">
        <v>890</v>
      </c>
      <c r="C5912" s="8">
        <v>46243</v>
      </c>
      <c r="D5912" t="s">
        <v>2065</v>
      </c>
      <c r="E5912" t="s">
        <v>2063</v>
      </c>
      <c r="F5912" t="s">
        <v>47</v>
      </c>
      <c r="G5912">
        <v>2303.75</v>
      </c>
      <c r="H5912" t="s">
        <v>2060</v>
      </c>
      <c r="I5912" t="str">
        <f>VLOOKUP(B5912,Customers!A:G,7,FALSE)</f>
        <v>Student</v>
      </c>
      <c r="Q5912" t="str">
        <f>IF(COUNTIF(Customers!$A$2:$A$1001,B5912)&gt;0,"Valid","Invalid")</f>
        <v>Valid</v>
      </c>
      <c r="R5912" t="str">
        <f>IF(COUNTIF(Branches!$A$2:$A$11,F5912)&gt;0,"Valid","Invalid")</f>
        <v>Valid</v>
      </c>
    </row>
    <row r="5913" spans="1:18" x14ac:dyDescent="0.25">
      <c r="A5913" t="s">
        <v>7984</v>
      </c>
      <c r="B5913" t="s">
        <v>108</v>
      </c>
      <c r="C5913" s="8">
        <v>46224</v>
      </c>
      <c r="D5913" t="s">
        <v>2067</v>
      </c>
      <c r="E5913" t="s">
        <v>2063</v>
      </c>
      <c r="F5913" t="s">
        <v>29</v>
      </c>
      <c r="G5913">
        <v>400.71</v>
      </c>
      <c r="H5913" t="s">
        <v>2060</v>
      </c>
      <c r="I5913" t="str">
        <f>VLOOKUP(B5913,Customers!A:G,7,FALSE)</f>
        <v>Individual</v>
      </c>
      <c r="Q5913" t="str">
        <f>IF(COUNTIF(Customers!$A$2:$A$1001,B5913)&gt;0,"Valid","Invalid")</f>
        <v>Valid</v>
      </c>
      <c r="R5913" t="str">
        <f>IF(COUNTIF(Branches!$A$2:$A$11,F5913)&gt;0,"Valid","Invalid")</f>
        <v>Valid</v>
      </c>
    </row>
    <row r="5914" spans="1:18" x14ac:dyDescent="0.25">
      <c r="A5914" t="s">
        <v>7985</v>
      </c>
      <c r="B5914" t="s">
        <v>390</v>
      </c>
      <c r="C5914" s="8">
        <v>46184</v>
      </c>
      <c r="D5914" t="s">
        <v>2058</v>
      </c>
      <c r="E5914" t="s">
        <v>2073</v>
      </c>
      <c r="F5914" t="s">
        <v>39</v>
      </c>
      <c r="G5914">
        <v>451.38</v>
      </c>
      <c r="H5914" t="s">
        <v>2060</v>
      </c>
      <c r="I5914" t="str">
        <f>VLOOKUP(B5914,Customers!A:G,7,FALSE)</f>
        <v>Individual</v>
      </c>
      <c r="Q5914" t="str">
        <f>IF(COUNTIF(Customers!$A$2:$A$1001,B5914)&gt;0,"Valid","Invalid")</f>
        <v>Valid</v>
      </c>
      <c r="R5914" t="str">
        <f>IF(COUNTIF(Branches!$A$2:$A$11,F5914)&gt;0,"Valid","Invalid")</f>
        <v>Valid</v>
      </c>
    </row>
    <row r="5915" spans="1:18" x14ac:dyDescent="0.25">
      <c r="A5915" t="s">
        <v>7986</v>
      </c>
      <c r="B5915" t="s">
        <v>661</v>
      </c>
      <c r="C5915" s="8">
        <v>46110</v>
      </c>
      <c r="D5915" t="s">
        <v>2067</v>
      </c>
      <c r="E5915" t="s">
        <v>2068</v>
      </c>
      <c r="F5915" t="s">
        <v>47</v>
      </c>
      <c r="G5915">
        <v>552.11</v>
      </c>
      <c r="H5915" t="s">
        <v>2060</v>
      </c>
      <c r="I5915" t="str">
        <f>VLOOKUP(B5915,Customers!A:G,7,FALSE)</f>
        <v>SME</v>
      </c>
      <c r="Q5915" t="str">
        <f>IF(COUNTIF(Customers!$A$2:$A$1001,B5915)&gt;0,"Valid","Invalid")</f>
        <v>Valid</v>
      </c>
      <c r="R5915" t="str">
        <f>IF(COUNTIF(Branches!$A$2:$A$11,F5915)&gt;0,"Valid","Invalid")</f>
        <v>Valid</v>
      </c>
    </row>
    <row r="5916" spans="1:18" x14ac:dyDescent="0.25">
      <c r="A5916" t="s">
        <v>7987</v>
      </c>
      <c r="B5916" t="s">
        <v>185</v>
      </c>
      <c r="C5916" s="8">
        <v>46068</v>
      </c>
      <c r="D5916" t="s">
        <v>2062</v>
      </c>
      <c r="E5916" t="s">
        <v>2073</v>
      </c>
      <c r="F5916" t="s">
        <v>11</v>
      </c>
      <c r="G5916">
        <v>1611.12</v>
      </c>
      <c r="H5916" t="s">
        <v>2060</v>
      </c>
      <c r="I5916" t="str">
        <f>VLOOKUP(B5916,Customers!A:G,7,FALSE)</f>
        <v>SME</v>
      </c>
      <c r="Q5916" t="str">
        <f>IF(COUNTIF(Customers!$A$2:$A$1001,B5916)&gt;0,"Valid","Invalid")</f>
        <v>Valid</v>
      </c>
      <c r="R5916" t="str">
        <f>IF(COUNTIF(Branches!$A$2:$A$11,F5916)&gt;0,"Valid","Invalid")</f>
        <v>Valid</v>
      </c>
    </row>
    <row r="5917" spans="1:18" x14ac:dyDescent="0.25">
      <c r="A5917" t="s">
        <v>7988</v>
      </c>
      <c r="B5917" t="s">
        <v>735</v>
      </c>
      <c r="C5917" s="8">
        <v>46134</v>
      </c>
      <c r="D5917" t="s">
        <v>2065</v>
      </c>
      <c r="E5917" t="s">
        <v>2063</v>
      </c>
      <c r="F5917" t="s">
        <v>53</v>
      </c>
      <c r="G5917">
        <v>277.3</v>
      </c>
      <c r="H5917" t="s">
        <v>2060</v>
      </c>
      <c r="I5917" t="str">
        <f>VLOOKUP(B5917,Customers!A:G,7,FALSE)</f>
        <v>Individual</v>
      </c>
      <c r="Q5917" t="str">
        <f>IF(COUNTIF(Customers!$A$2:$A$1001,B5917)&gt;0,"Valid","Invalid")</f>
        <v>Valid</v>
      </c>
      <c r="R5917" t="str">
        <f>IF(COUNTIF(Branches!$A$2:$A$11,F5917)&gt;0,"Valid","Invalid")</f>
        <v>Valid</v>
      </c>
    </row>
    <row r="5918" spans="1:18" x14ac:dyDescent="0.25">
      <c r="A5918" t="s">
        <v>7989</v>
      </c>
      <c r="B5918" t="s">
        <v>141</v>
      </c>
      <c r="C5918" s="8">
        <v>46103</v>
      </c>
      <c r="D5918" t="s">
        <v>2067</v>
      </c>
      <c r="E5918" t="s">
        <v>2076</v>
      </c>
      <c r="F5918" t="s">
        <v>47</v>
      </c>
      <c r="G5918">
        <v>3827.49</v>
      </c>
      <c r="H5918" t="s">
        <v>2060</v>
      </c>
      <c r="I5918" t="str">
        <f>VLOOKUP(B5918,Customers!A:G,7,FALSE)</f>
        <v>Individual</v>
      </c>
      <c r="Q5918" t="str">
        <f>IF(COUNTIF(Customers!$A$2:$A$1001,B5918)&gt;0,"Valid","Invalid")</f>
        <v>Valid</v>
      </c>
      <c r="R5918" t="str">
        <f>IF(COUNTIF(Branches!$A$2:$A$11,F5918)&gt;0,"Valid","Invalid")</f>
        <v>Valid</v>
      </c>
    </row>
    <row r="5919" spans="1:18" x14ac:dyDescent="0.25">
      <c r="A5919" t="s">
        <v>7990</v>
      </c>
      <c r="B5919" t="s">
        <v>697</v>
      </c>
      <c r="C5919" s="8">
        <v>46054</v>
      </c>
      <c r="D5919" t="s">
        <v>2065</v>
      </c>
      <c r="E5919" t="s">
        <v>2063</v>
      </c>
      <c r="F5919" t="s">
        <v>45</v>
      </c>
      <c r="G5919">
        <v>2075.3200000000002</v>
      </c>
      <c r="H5919" t="s">
        <v>2060</v>
      </c>
      <c r="I5919" t="str">
        <f>VLOOKUP(B5919,Customers!A:G,7,FALSE)</f>
        <v>SME</v>
      </c>
      <c r="Q5919" t="str">
        <f>IF(COUNTIF(Customers!$A$2:$A$1001,B5919)&gt;0,"Valid","Invalid")</f>
        <v>Valid</v>
      </c>
      <c r="R5919" t="str">
        <f>IF(COUNTIF(Branches!$A$2:$A$11,F5919)&gt;0,"Valid","Invalid")</f>
        <v>Valid</v>
      </c>
    </row>
    <row r="5920" spans="1:18" x14ac:dyDescent="0.25">
      <c r="A5920" t="s">
        <v>7991</v>
      </c>
      <c r="B5920" t="s">
        <v>258</v>
      </c>
      <c r="C5920" s="8">
        <v>46225</v>
      </c>
      <c r="D5920" t="s">
        <v>2067</v>
      </c>
      <c r="E5920" t="s">
        <v>2068</v>
      </c>
      <c r="F5920" t="s">
        <v>16</v>
      </c>
      <c r="G5920">
        <v>1574.22</v>
      </c>
      <c r="H5920" t="s">
        <v>2060</v>
      </c>
      <c r="I5920" t="str">
        <f>VLOOKUP(B5920,Customers!A:G,7,FALSE)</f>
        <v>SME</v>
      </c>
      <c r="Q5920" t="str">
        <f>IF(COUNTIF(Customers!$A$2:$A$1001,B5920)&gt;0,"Valid","Invalid")</f>
        <v>Valid</v>
      </c>
      <c r="R5920" t="str">
        <f>IF(COUNTIF(Branches!$A$2:$A$11,F5920)&gt;0,"Valid","Invalid")</f>
        <v>Valid</v>
      </c>
    </row>
    <row r="5921" spans="1:18" x14ac:dyDescent="0.25">
      <c r="A5921" t="s">
        <v>7992</v>
      </c>
      <c r="B5921" t="s">
        <v>864</v>
      </c>
      <c r="C5921" s="8">
        <v>46120</v>
      </c>
      <c r="D5921" t="s">
        <v>2065</v>
      </c>
      <c r="E5921" t="s">
        <v>2059</v>
      </c>
      <c r="F5921" t="s">
        <v>53</v>
      </c>
      <c r="G5921">
        <v>605.58000000000004</v>
      </c>
      <c r="H5921" t="s">
        <v>2060</v>
      </c>
      <c r="I5921" t="str">
        <f>VLOOKUP(B5921,Customers!A:G,7,FALSE)</f>
        <v>Individual</v>
      </c>
      <c r="Q5921" t="str">
        <f>IF(COUNTIF(Customers!$A$2:$A$1001,B5921)&gt;0,"Valid","Invalid")</f>
        <v>Valid</v>
      </c>
      <c r="R5921" t="str">
        <f>IF(COUNTIF(Branches!$A$2:$A$11,F5921)&gt;0,"Valid","Invalid")</f>
        <v>Valid</v>
      </c>
    </row>
    <row r="5922" spans="1:18" x14ac:dyDescent="0.25">
      <c r="A5922" t="s">
        <v>7993</v>
      </c>
      <c r="B5922" t="s">
        <v>901</v>
      </c>
      <c r="C5922" s="8">
        <v>46238</v>
      </c>
      <c r="D5922" t="s">
        <v>2065</v>
      </c>
      <c r="E5922" t="s">
        <v>2063</v>
      </c>
      <c r="F5922" t="s">
        <v>35</v>
      </c>
      <c r="G5922">
        <v>1862.15</v>
      </c>
      <c r="H5922" t="s">
        <v>2060</v>
      </c>
      <c r="I5922" t="str">
        <f>VLOOKUP(B5922,Customers!A:G,7,FALSE)</f>
        <v>SME</v>
      </c>
      <c r="Q5922" t="str">
        <f>IF(COUNTIF(Customers!$A$2:$A$1001,B5922)&gt;0,"Valid","Invalid")</f>
        <v>Valid</v>
      </c>
      <c r="R5922" t="str">
        <f>IF(COUNTIF(Branches!$A$2:$A$11,F5922)&gt;0,"Valid","Invalid")</f>
        <v>Valid</v>
      </c>
    </row>
    <row r="5923" spans="1:18" x14ac:dyDescent="0.25">
      <c r="A5923" t="s">
        <v>7994</v>
      </c>
      <c r="B5923" t="s">
        <v>412</v>
      </c>
      <c r="C5923" s="8">
        <v>46027</v>
      </c>
      <c r="D5923" t="s">
        <v>2067</v>
      </c>
      <c r="E5923" t="s">
        <v>2059</v>
      </c>
      <c r="F5923" t="s">
        <v>35</v>
      </c>
      <c r="G5923">
        <v>43.93</v>
      </c>
      <c r="H5923" t="s">
        <v>2060</v>
      </c>
      <c r="I5923" t="str">
        <f>VLOOKUP(B5923,Customers!A:G,7,FALSE)</f>
        <v>Individual</v>
      </c>
      <c r="Q5923" t="str">
        <f>IF(COUNTIF(Customers!$A$2:$A$1001,B5923)&gt;0,"Valid","Invalid")</f>
        <v>Valid</v>
      </c>
      <c r="R5923" t="str">
        <f>IF(COUNTIF(Branches!$A$2:$A$11,F5923)&gt;0,"Valid","Invalid")</f>
        <v>Valid</v>
      </c>
    </row>
    <row r="5924" spans="1:18" x14ac:dyDescent="0.25">
      <c r="A5924" t="s">
        <v>7995</v>
      </c>
      <c r="B5924" t="s">
        <v>556</v>
      </c>
      <c r="C5924" s="8">
        <v>46213</v>
      </c>
      <c r="D5924" t="s">
        <v>2067</v>
      </c>
      <c r="E5924" t="s">
        <v>2063</v>
      </c>
      <c r="F5924" t="s">
        <v>47</v>
      </c>
      <c r="G5924">
        <v>1262.57</v>
      </c>
      <c r="H5924" t="s">
        <v>2060</v>
      </c>
      <c r="I5924" t="str">
        <f>VLOOKUP(B5924,Customers!A:G,7,FALSE)</f>
        <v>Individual</v>
      </c>
      <c r="Q5924" t="str">
        <f>IF(COUNTIF(Customers!$A$2:$A$1001,B5924)&gt;0,"Valid","Invalid")</f>
        <v>Valid</v>
      </c>
      <c r="R5924" t="str">
        <f>IF(COUNTIF(Branches!$A$2:$A$11,F5924)&gt;0,"Valid","Invalid")</f>
        <v>Valid</v>
      </c>
    </row>
    <row r="5925" spans="1:18" x14ac:dyDescent="0.25">
      <c r="A5925" t="s">
        <v>7996</v>
      </c>
      <c r="B5925" t="s">
        <v>298</v>
      </c>
      <c r="C5925" s="8">
        <v>46051</v>
      </c>
      <c r="D5925" t="s">
        <v>2058</v>
      </c>
      <c r="E5925" t="s">
        <v>2076</v>
      </c>
      <c r="F5925" t="s">
        <v>47</v>
      </c>
      <c r="G5925">
        <v>953.48</v>
      </c>
      <c r="H5925" t="s">
        <v>2060</v>
      </c>
      <c r="I5925" t="str">
        <f>VLOOKUP(B5925,Customers!A:G,7,FALSE)</f>
        <v>Student</v>
      </c>
      <c r="Q5925" t="str">
        <f>IF(COUNTIF(Customers!$A$2:$A$1001,B5925)&gt;0,"Valid","Invalid")</f>
        <v>Valid</v>
      </c>
      <c r="R5925" t="str">
        <f>IF(COUNTIF(Branches!$A$2:$A$11,F5925)&gt;0,"Valid","Invalid")</f>
        <v>Valid</v>
      </c>
    </row>
    <row r="5926" spans="1:18" x14ac:dyDescent="0.25">
      <c r="A5926" t="s">
        <v>7997</v>
      </c>
      <c r="B5926" t="s">
        <v>337</v>
      </c>
      <c r="C5926" s="8">
        <v>46070</v>
      </c>
      <c r="D5926" t="s">
        <v>2065</v>
      </c>
      <c r="E5926" t="s">
        <v>2076</v>
      </c>
      <c r="F5926" t="s">
        <v>53</v>
      </c>
      <c r="G5926">
        <v>123.2</v>
      </c>
      <c r="H5926" t="s">
        <v>2060</v>
      </c>
      <c r="I5926" t="str">
        <f>VLOOKUP(B5926,Customers!A:G,7,FALSE)</f>
        <v>SME</v>
      </c>
      <c r="Q5926" t="str">
        <f>IF(COUNTIF(Customers!$A$2:$A$1001,B5926)&gt;0,"Valid","Invalid")</f>
        <v>Valid</v>
      </c>
      <c r="R5926" t="str">
        <f>IF(COUNTIF(Branches!$A$2:$A$11,F5926)&gt;0,"Valid","Invalid")</f>
        <v>Valid</v>
      </c>
    </row>
    <row r="5927" spans="1:18" x14ac:dyDescent="0.25">
      <c r="A5927" t="s">
        <v>7998</v>
      </c>
      <c r="B5927" t="s">
        <v>899</v>
      </c>
      <c r="C5927" s="8">
        <v>46262</v>
      </c>
      <c r="D5927" t="s">
        <v>2058</v>
      </c>
      <c r="E5927" t="s">
        <v>2076</v>
      </c>
      <c r="F5927" t="s">
        <v>27</v>
      </c>
      <c r="G5927">
        <v>1219.57</v>
      </c>
      <c r="H5927" t="s">
        <v>2060</v>
      </c>
      <c r="I5927" t="str">
        <f>VLOOKUP(B5927,Customers!A:G,7,FALSE)</f>
        <v>Corporate</v>
      </c>
      <c r="Q5927" t="str">
        <f>IF(COUNTIF(Customers!$A$2:$A$1001,B5927)&gt;0,"Valid","Invalid")</f>
        <v>Valid</v>
      </c>
      <c r="R5927" t="str">
        <f>IF(COUNTIF(Branches!$A$2:$A$11,F5927)&gt;0,"Valid","Invalid")</f>
        <v>Valid</v>
      </c>
    </row>
    <row r="5928" spans="1:18" x14ac:dyDescent="0.25">
      <c r="A5928" t="s">
        <v>7999</v>
      </c>
      <c r="B5928" t="s">
        <v>76</v>
      </c>
      <c r="C5928" s="8">
        <v>46248</v>
      </c>
      <c r="D5928" t="s">
        <v>2058</v>
      </c>
      <c r="E5928" t="s">
        <v>2073</v>
      </c>
      <c r="F5928" t="s">
        <v>11</v>
      </c>
      <c r="G5928">
        <v>1466.88</v>
      </c>
      <c r="H5928" t="s">
        <v>2060</v>
      </c>
      <c r="I5928" t="str">
        <f>VLOOKUP(B5928,Customers!A:G,7,FALSE)</f>
        <v>Individual</v>
      </c>
      <c r="Q5928" t="str">
        <f>IF(COUNTIF(Customers!$A$2:$A$1001,B5928)&gt;0,"Valid","Invalid")</f>
        <v>Valid</v>
      </c>
      <c r="R5928" t="str">
        <f>IF(COUNTIF(Branches!$A$2:$A$11,F5928)&gt;0,"Valid","Invalid")</f>
        <v>Valid</v>
      </c>
    </row>
    <row r="5929" spans="1:18" x14ac:dyDescent="0.25">
      <c r="A5929" t="s">
        <v>8000</v>
      </c>
      <c r="B5929" t="s">
        <v>809</v>
      </c>
      <c r="C5929" s="8">
        <v>46038</v>
      </c>
      <c r="D5929" t="s">
        <v>2067</v>
      </c>
      <c r="E5929" t="s">
        <v>2059</v>
      </c>
      <c r="F5929" t="s">
        <v>11</v>
      </c>
      <c r="G5929">
        <v>127.26</v>
      </c>
      <c r="H5929" t="s">
        <v>2060</v>
      </c>
      <c r="I5929" t="str">
        <f>VLOOKUP(B5929,Customers!A:G,7,FALSE)</f>
        <v>SME</v>
      </c>
      <c r="Q5929" t="str">
        <f>IF(COUNTIF(Customers!$A$2:$A$1001,B5929)&gt;0,"Valid","Invalid")</f>
        <v>Valid</v>
      </c>
      <c r="R5929" t="str">
        <f>IF(COUNTIF(Branches!$A$2:$A$11,F5929)&gt;0,"Valid","Invalid")</f>
        <v>Valid</v>
      </c>
    </row>
    <row r="5930" spans="1:18" x14ac:dyDescent="0.25">
      <c r="A5930" t="s">
        <v>8001</v>
      </c>
      <c r="B5930" t="s">
        <v>935</v>
      </c>
      <c r="C5930" s="8">
        <v>46175</v>
      </c>
      <c r="D5930" t="s">
        <v>2062</v>
      </c>
      <c r="E5930" t="s">
        <v>2059</v>
      </c>
      <c r="F5930" t="s">
        <v>53</v>
      </c>
      <c r="G5930">
        <v>247.95</v>
      </c>
      <c r="H5930" t="s">
        <v>2060</v>
      </c>
      <c r="I5930" t="str">
        <f>VLOOKUP(B5930,Customers!A:G,7,FALSE)</f>
        <v>Individual</v>
      </c>
      <c r="Q5930" t="str">
        <f>IF(COUNTIF(Customers!$A$2:$A$1001,B5930)&gt;0,"Valid","Invalid")</f>
        <v>Valid</v>
      </c>
      <c r="R5930" t="str">
        <f>IF(COUNTIF(Branches!$A$2:$A$11,F5930)&gt;0,"Valid","Invalid")</f>
        <v>Valid</v>
      </c>
    </row>
    <row r="5931" spans="1:18" x14ac:dyDescent="0.25">
      <c r="A5931" t="s">
        <v>8002</v>
      </c>
      <c r="B5931" t="s">
        <v>530</v>
      </c>
      <c r="C5931" s="8">
        <v>46251</v>
      </c>
      <c r="D5931" t="s">
        <v>2058</v>
      </c>
      <c r="E5931" t="s">
        <v>2068</v>
      </c>
      <c r="F5931" t="s">
        <v>39</v>
      </c>
      <c r="G5931">
        <v>6402.15</v>
      </c>
      <c r="H5931" t="s">
        <v>2060</v>
      </c>
      <c r="I5931" t="str">
        <f>VLOOKUP(B5931,Customers!A:G,7,FALSE)</f>
        <v>Individual</v>
      </c>
      <c r="Q5931" t="str">
        <f>IF(COUNTIF(Customers!$A$2:$A$1001,B5931)&gt;0,"Valid","Invalid")</f>
        <v>Valid</v>
      </c>
      <c r="R5931" t="str">
        <f>IF(COUNTIF(Branches!$A$2:$A$11,F5931)&gt;0,"Valid","Invalid")</f>
        <v>Valid</v>
      </c>
    </row>
    <row r="5932" spans="1:18" x14ac:dyDescent="0.25">
      <c r="A5932" t="s">
        <v>8003</v>
      </c>
      <c r="B5932" t="s">
        <v>477</v>
      </c>
      <c r="C5932" s="8">
        <v>46094</v>
      </c>
      <c r="D5932" t="s">
        <v>2067</v>
      </c>
      <c r="E5932" t="s">
        <v>2059</v>
      </c>
      <c r="F5932" t="s">
        <v>29</v>
      </c>
      <c r="G5932">
        <v>674.28</v>
      </c>
      <c r="H5932" t="s">
        <v>2060</v>
      </c>
      <c r="I5932" t="str">
        <f>VLOOKUP(B5932,Customers!A:G,7,FALSE)</f>
        <v>Individual</v>
      </c>
      <c r="Q5932" t="str">
        <f>IF(COUNTIF(Customers!$A$2:$A$1001,B5932)&gt;0,"Valid","Invalid")</f>
        <v>Valid</v>
      </c>
      <c r="R5932" t="str">
        <f>IF(COUNTIF(Branches!$A$2:$A$11,F5932)&gt;0,"Valid","Invalid")</f>
        <v>Valid</v>
      </c>
    </row>
    <row r="5933" spans="1:18" x14ac:dyDescent="0.25">
      <c r="A5933" t="s">
        <v>8004</v>
      </c>
      <c r="B5933" t="s">
        <v>821</v>
      </c>
      <c r="C5933" s="8">
        <v>46051</v>
      </c>
      <c r="D5933" t="s">
        <v>2070</v>
      </c>
      <c r="E5933" t="s">
        <v>2063</v>
      </c>
      <c r="F5933" t="s">
        <v>21</v>
      </c>
      <c r="G5933">
        <v>2155.17</v>
      </c>
      <c r="H5933" t="s">
        <v>2060</v>
      </c>
      <c r="I5933" t="str">
        <f>VLOOKUP(B5933,Customers!A:G,7,FALSE)</f>
        <v>SME</v>
      </c>
      <c r="Q5933" t="str">
        <f>IF(COUNTIF(Customers!$A$2:$A$1001,B5933)&gt;0,"Valid","Invalid")</f>
        <v>Valid</v>
      </c>
      <c r="R5933" t="str">
        <f>IF(COUNTIF(Branches!$A$2:$A$11,F5933)&gt;0,"Valid","Invalid")</f>
        <v>Valid</v>
      </c>
    </row>
    <row r="5934" spans="1:18" x14ac:dyDescent="0.25">
      <c r="A5934" t="s">
        <v>8005</v>
      </c>
      <c r="B5934" t="s">
        <v>83</v>
      </c>
      <c r="C5934" s="8">
        <v>46202</v>
      </c>
      <c r="D5934" t="s">
        <v>2062</v>
      </c>
      <c r="E5934" t="s">
        <v>2068</v>
      </c>
      <c r="F5934" t="s">
        <v>35</v>
      </c>
      <c r="G5934">
        <v>2506.9</v>
      </c>
      <c r="H5934" t="s">
        <v>2107</v>
      </c>
      <c r="I5934" t="str">
        <f>VLOOKUP(B5934,Customers!A:G,7,FALSE)</f>
        <v>SME</v>
      </c>
      <c r="Q5934" t="str">
        <f>IF(COUNTIF(Customers!$A$2:$A$1001,B5934)&gt;0,"Valid","Invalid")</f>
        <v>Valid</v>
      </c>
      <c r="R5934" t="str">
        <f>IF(COUNTIF(Branches!$A$2:$A$11,F5934)&gt;0,"Valid","Invalid")</f>
        <v>Valid</v>
      </c>
    </row>
    <row r="5935" spans="1:18" x14ac:dyDescent="0.25">
      <c r="A5935" t="s">
        <v>8006</v>
      </c>
      <c r="B5935" t="s">
        <v>121</v>
      </c>
      <c r="C5935" s="8">
        <v>46068</v>
      </c>
      <c r="D5935" t="s">
        <v>2070</v>
      </c>
      <c r="E5935" t="s">
        <v>2063</v>
      </c>
      <c r="F5935" t="s">
        <v>21</v>
      </c>
      <c r="G5935">
        <v>1204.6400000000001</v>
      </c>
      <c r="H5935" t="s">
        <v>2060</v>
      </c>
      <c r="I5935" t="str">
        <f>VLOOKUP(B5935,Customers!A:G,7,FALSE)</f>
        <v>Corporate</v>
      </c>
      <c r="Q5935" t="str">
        <f>IF(COUNTIF(Customers!$A$2:$A$1001,B5935)&gt;0,"Valid","Invalid")</f>
        <v>Valid</v>
      </c>
      <c r="R5935" t="str">
        <f>IF(COUNTIF(Branches!$A$2:$A$11,F5935)&gt;0,"Valid","Invalid")</f>
        <v>Valid</v>
      </c>
    </row>
    <row r="5936" spans="1:18" x14ac:dyDescent="0.25">
      <c r="A5936" t="s">
        <v>8007</v>
      </c>
      <c r="B5936" t="s">
        <v>724</v>
      </c>
      <c r="C5936" s="8">
        <v>46175</v>
      </c>
      <c r="D5936" t="s">
        <v>2058</v>
      </c>
      <c r="E5936" t="s">
        <v>2063</v>
      </c>
      <c r="F5936" t="s">
        <v>47</v>
      </c>
      <c r="G5936">
        <v>2246.75</v>
      </c>
      <c r="H5936" t="s">
        <v>2060</v>
      </c>
      <c r="I5936" t="str">
        <f>VLOOKUP(B5936,Customers!A:G,7,FALSE)</f>
        <v>SME</v>
      </c>
      <c r="Q5936" t="str">
        <f>IF(COUNTIF(Customers!$A$2:$A$1001,B5936)&gt;0,"Valid","Invalid")</f>
        <v>Valid</v>
      </c>
      <c r="R5936" t="str">
        <f>IF(COUNTIF(Branches!$A$2:$A$11,F5936)&gt;0,"Valid","Invalid")</f>
        <v>Valid</v>
      </c>
    </row>
    <row r="5937" spans="1:18" x14ac:dyDescent="0.25">
      <c r="A5937" t="s">
        <v>8008</v>
      </c>
      <c r="B5937" t="s">
        <v>94</v>
      </c>
      <c r="C5937" s="8">
        <v>46256</v>
      </c>
      <c r="D5937" t="s">
        <v>2067</v>
      </c>
      <c r="E5937" t="s">
        <v>2063</v>
      </c>
      <c r="F5937" t="s">
        <v>29</v>
      </c>
      <c r="G5937">
        <v>98.21</v>
      </c>
      <c r="H5937" t="s">
        <v>2060</v>
      </c>
      <c r="I5937" t="str">
        <f>VLOOKUP(B5937,Customers!A:G,7,FALSE)</f>
        <v>Individual</v>
      </c>
      <c r="Q5937" t="str">
        <f>IF(COUNTIF(Customers!$A$2:$A$1001,B5937)&gt;0,"Valid","Invalid")</f>
        <v>Valid</v>
      </c>
      <c r="R5937" t="str">
        <f>IF(COUNTIF(Branches!$A$2:$A$11,F5937)&gt;0,"Valid","Invalid")</f>
        <v>Valid</v>
      </c>
    </row>
    <row r="5938" spans="1:18" x14ac:dyDescent="0.25">
      <c r="A5938" t="s">
        <v>8009</v>
      </c>
      <c r="B5938" t="s">
        <v>1029</v>
      </c>
      <c r="C5938" s="8">
        <v>46045</v>
      </c>
      <c r="D5938" t="s">
        <v>2067</v>
      </c>
      <c r="E5938" t="s">
        <v>2063</v>
      </c>
      <c r="F5938" t="s">
        <v>53</v>
      </c>
      <c r="G5938">
        <v>645.14</v>
      </c>
      <c r="H5938" t="s">
        <v>2060</v>
      </c>
      <c r="I5938" t="str">
        <f>VLOOKUP(B5938,Customers!A:G,7,FALSE)</f>
        <v>Individual</v>
      </c>
      <c r="Q5938" t="str">
        <f>IF(COUNTIF(Customers!$A$2:$A$1001,B5938)&gt;0,"Valid","Invalid")</f>
        <v>Valid</v>
      </c>
      <c r="R5938" t="str">
        <f>IF(COUNTIF(Branches!$A$2:$A$11,F5938)&gt;0,"Valid","Invalid")</f>
        <v>Valid</v>
      </c>
    </row>
    <row r="5939" spans="1:18" x14ac:dyDescent="0.25">
      <c r="A5939" t="s">
        <v>8010</v>
      </c>
      <c r="B5939" t="s">
        <v>749</v>
      </c>
      <c r="C5939" s="8">
        <v>46184</v>
      </c>
      <c r="D5939" t="s">
        <v>2058</v>
      </c>
      <c r="E5939" t="s">
        <v>2063</v>
      </c>
      <c r="F5939" t="s">
        <v>16</v>
      </c>
      <c r="G5939">
        <v>37.32</v>
      </c>
      <c r="H5939" t="s">
        <v>2060</v>
      </c>
      <c r="I5939" t="str">
        <f>VLOOKUP(B5939,Customers!A:G,7,FALSE)</f>
        <v>Individual</v>
      </c>
      <c r="Q5939" t="str">
        <f>IF(COUNTIF(Customers!$A$2:$A$1001,B5939)&gt;0,"Valid","Invalid")</f>
        <v>Valid</v>
      </c>
      <c r="R5939" t="str">
        <f>IF(COUNTIF(Branches!$A$2:$A$11,F5939)&gt;0,"Valid","Invalid")</f>
        <v>Valid</v>
      </c>
    </row>
    <row r="5940" spans="1:18" x14ac:dyDescent="0.25">
      <c r="A5940" t="s">
        <v>8011</v>
      </c>
      <c r="B5940" t="s">
        <v>246</v>
      </c>
      <c r="C5940" s="8">
        <v>46217</v>
      </c>
      <c r="D5940" t="s">
        <v>2070</v>
      </c>
      <c r="E5940" t="s">
        <v>2063</v>
      </c>
      <c r="F5940" t="s">
        <v>45</v>
      </c>
      <c r="G5940">
        <v>141.72999999999999</v>
      </c>
      <c r="H5940" t="s">
        <v>2060</v>
      </c>
      <c r="I5940" t="str">
        <f>VLOOKUP(B5940,Customers!A:G,7,FALSE)</f>
        <v>SME</v>
      </c>
      <c r="Q5940" t="str">
        <f>IF(COUNTIF(Customers!$A$2:$A$1001,B5940)&gt;0,"Valid","Invalid")</f>
        <v>Valid</v>
      </c>
      <c r="R5940" t="str">
        <f>IF(COUNTIF(Branches!$A$2:$A$11,F5940)&gt;0,"Valid","Invalid")</f>
        <v>Valid</v>
      </c>
    </row>
    <row r="5941" spans="1:18" x14ac:dyDescent="0.25">
      <c r="A5941" t="s">
        <v>8012</v>
      </c>
      <c r="B5941" t="s">
        <v>286</v>
      </c>
      <c r="C5941" s="8">
        <v>46116</v>
      </c>
      <c r="D5941" t="s">
        <v>2058</v>
      </c>
      <c r="E5941" t="s">
        <v>2059</v>
      </c>
      <c r="F5941" t="s">
        <v>27</v>
      </c>
      <c r="G5941">
        <v>470.59</v>
      </c>
      <c r="H5941" t="s">
        <v>2060</v>
      </c>
      <c r="I5941" t="str">
        <f>VLOOKUP(B5941,Customers!A:G,7,FALSE)</f>
        <v>Student</v>
      </c>
      <c r="Q5941" t="str">
        <f>IF(COUNTIF(Customers!$A$2:$A$1001,B5941)&gt;0,"Valid","Invalid")</f>
        <v>Valid</v>
      </c>
      <c r="R5941" t="str">
        <f>IF(COUNTIF(Branches!$A$2:$A$11,F5941)&gt;0,"Valid","Invalid")</f>
        <v>Valid</v>
      </c>
    </row>
    <row r="5942" spans="1:18" x14ac:dyDescent="0.25">
      <c r="A5942" t="s">
        <v>8013</v>
      </c>
      <c r="B5942" t="s">
        <v>248</v>
      </c>
      <c r="C5942" s="8">
        <v>46136</v>
      </c>
      <c r="D5942" t="s">
        <v>2062</v>
      </c>
      <c r="E5942" t="s">
        <v>2063</v>
      </c>
      <c r="F5942" t="s">
        <v>29</v>
      </c>
      <c r="G5942">
        <v>417.64</v>
      </c>
      <c r="H5942" t="s">
        <v>2060</v>
      </c>
      <c r="I5942" t="str">
        <f>VLOOKUP(B5942,Customers!A:G,7,FALSE)</f>
        <v>Corporate</v>
      </c>
      <c r="Q5942" t="str">
        <f>IF(COUNTIF(Customers!$A$2:$A$1001,B5942)&gt;0,"Valid","Invalid")</f>
        <v>Valid</v>
      </c>
      <c r="R5942" t="str">
        <f>IF(COUNTIF(Branches!$A$2:$A$11,F5942)&gt;0,"Valid","Invalid")</f>
        <v>Valid</v>
      </c>
    </row>
    <row r="5943" spans="1:18" x14ac:dyDescent="0.25">
      <c r="A5943" t="s">
        <v>8014</v>
      </c>
      <c r="B5943" t="s">
        <v>73</v>
      </c>
      <c r="C5943" s="8">
        <v>46056</v>
      </c>
      <c r="D5943" t="s">
        <v>2067</v>
      </c>
      <c r="E5943" t="s">
        <v>2063</v>
      </c>
      <c r="F5943" t="s">
        <v>21</v>
      </c>
      <c r="G5943">
        <v>846.75</v>
      </c>
      <c r="H5943" t="s">
        <v>2060</v>
      </c>
      <c r="I5943" t="str">
        <f>VLOOKUP(B5943,Customers!A:G,7,FALSE)</f>
        <v>Individual</v>
      </c>
      <c r="Q5943" t="str">
        <f>IF(COUNTIF(Customers!$A$2:$A$1001,B5943)&gt;0,"Valid","Invalid")</f>
        <v>Valid</v>
      </c>
      <c r="R5943" t="str">
        <f>IF(COUNTIF(Branches!$A$2:$A$11,F5943)&gt;0,"Valid","Invalid")</f>
        <v>Valid</v>
      </c>
    </row>
    <row r="5944" spans="1:18" x14ac:dyDescent="0.25">
      <c r="A5944" t="s">
        <v>8015</v>
      </c>
      <c r="B5944" t="s">
        <v>290</v>
      </c>
      <c r="C5944" s="8">
        <v>46182</v>
      </c>
      <c r="D5944" t="s">
        <v>2067</v>
      </c>
      <c r="E5944" t="s">
        <v>2076</v>
      </c>
      <c r="F5944" t="s">
        <v>45</v>
      </c>
      <c r="G5944">
        <v>795.8</v>
      </c>
      <c r="H5944" t="s">
        <v>2060</v>
      </c>
      <c r="I5944" t="str">
        <f>VLOOKUP(B5944,Customers!A:G,7,FALSE)</f>
        <v>Individual</v>
      </c>
      <c r="Q5944" t="str">
        <f>IF(COUNTIF(Customers!$A$2:$A$1001,B5944)&gt;0,"Valid","Invalid")</f>
        <v>Valid</v>
      </c>
      <c r="R5944" t="str">
        <f>IF(COUNTIF(Branches!$A$2:$A$11,F5944)&gt;0,"Valid","Invalid")</f>
        <v>Valid</v>
      </c>
    </row>
    <row r="5945" spans="1:18" x14ac:dyDescent="0.25">
      <c r="A5945" t="s">
        <v>8016</v>
      </c>
      <c r="B5945" t="s">
        <v>681</v>
      </c>
      <c r="C5945" s="8">
        <v>46139</v>
      </c>
      <c r="D5945" t="s">
        <v>2062</v>
      </c>
      <c r="E5945" t="s">
        <v>2063</v>
      </c>
      <c r="F5945" t="s">
        <v>16</v>
      </c>
      <c r="G5945">
        <v>928.66</v>
      </c>
      <c r="H5945" t="s">
        <v>2060</v>
      </c>
      <c r="I5945" t="str">
        <f>VLOOKUP(B5945,Customers!A:G,7,FALSE)</f>
        <v>Corporate</v>
      </c>
      <c r="Q5945" t="str">
        <f>IF(COUNTIF(Customers!$A$2:$A$1001,B5945)&gt;0,"Valid","Invalid")</f>
        <v>Valid</v>
      </c>
      <c r="R5945" t="str">
        <f>IF(COUNTIF(Branches!$A$2:$A$11,F5945)&gt;0,"Valid","Invalid")</f>
        <v>Valid</v>
      </c>
    </row>
    <row r="5946" spans="1:18" x14ac:dyDescent="0.25">
      <c r="A5946" t="s">
        <v>8017</v>
      </c>
      <c r="B5946" t="s">
        <v>964</v>
      </c>
      <c r="C5946" s="8">
        <v>46051</v>
      </c>
      <c r="D5946" t="s">
        <v>2062</v>
      </c>
      <c r="E5946" t="s">
        <v>2063</v>
      </c>
      <c r="F5946" t="s">
        <v>39</v>
      </c>
      <c r="G5946">
        <v>967.49</v>
      </c>
      <c r="H5946" t="s">
        <v>2060</v>
      </c>
      <c r="I5946" t="str">
        <f>VLOOKUP(B5946,Customers!A:G,7,FALSE)</f>
        <v>Individual</v>
      </c>
      <c r="Q5946" t="str">
        <f>IF(COUNTIF(Customers!$A$2:$A$1001,B5946)&gt;0,"Valid","Invalid")</f>
        <v>Valid</v>
      </c>
      <c r="R5946" t="str">
        <f>IF(COUNTIF(Branches!$A$2:$A$11,F5946)&gt;0,"Valid","Invalid")</f>
        <v>Valid</v>
      </c>
    </row>
    <row r="5947" spans="1:18" x14ac:dyDescent="0.25">
      <c r="A5947" t="s">
        <v>8018</v>
      </c>
      <c r="B5947" t="s">
        <v>841</v>
      </c>
      <c r="C5947" s="8">
        <v>46031</v>
      </c>
      <c r="D5947" t="s">
        <v>2070</v>
      </c>
      <c r="E5947" t="s">
        <v>2059</v>
      </c>
      <c r="F5947" t="s">
        <v>27</v>
      </c>
      <c r="G5947">
        <v>1133.3399999999999</v>
      </c>
      <c r="H5947" t="s">
        <v>2060</v>
      </c>
      <c r="I5947" t="str">
        <f>VLOOKUP(B5947,Customers!A:G,7,FALSE)</f>
        <v>Corporate</v>
      </c>
      <c r="Q5947" t="str">
        <f>IF(COUNTIF(Customers!$A$2:$A$1001,B5947)&gt;0,"Valid","Invalid")</f>
        <v>Valid</v>
      </c>
      <c r="R5947" t="str">
        <f>IF(COUNTIF(Branches!$A$2:$A$11,F5947)&gt;0,"Valid","Invalid")</f>
        <v>Valid</v>
      </c>
    </row>
    <row r="5948" spans="1:18" x14ac:dyDescent="0.25">
      <c r="A5948" t="s">
        <v>8019</v>
      </c>
      <c r="B5948" t="s">
        <v>800</v>
      </c>
      <c r="C5948" s="8">
        <v>46216</v>
      </c>
      <c r="D5948" t="s">
        <v>2062</v>
      </c>
      <c r="E5948" t="s">
        <v>2063</v>
      </c>
      <c r="F5948" t="s">
        <v>39</v>
      </c>
      <c r="G5948">
        <v>311.36</v>
      </c>
      <c r="H5948" t="s">
        <v>2115</v>
      </c>
      <c r="I5948" t="str">
        <f>VLOOKUP(B5948,Customers!A:G,7,FALSE)</f>
        <v>Individual</v>
      </c>
      <c r="Q5948" t="str">
        <f>IF(COUNTIF(Customers!$A$2:$A$1001,B5948)&gt;0,"Valid","Invalid")</f>
        <v>Valid</v>
      </c>
      <c r="R5948" t="str">
        <f>IF(COUNTIF(Branches!$A$2:$A$11,F5948)&gt;0,"Valid","Invalid")</f>
        <v>Valid</v>
      </c>
    </row>
    <row r="5949" spans="1:18" x14ac:dyDescent="0.25">
      <c r="A5949" t="s">
        <v>8020</v>
      </c>
      <c r="B5949" t="s">
        <v>991</v>
      </c>
      <c r="C5949" s="8">
        <v>46207</v>
      </c>
      <c r="D5949" t="s">
        <v>2067</v>
      </c>
      <c r="E5949" t="s">
        <v>2063</v>
      </c>
      <c r="F5949" t="s">
        <v>16</v>
      </c>
      <c r="G5949">
        <v>393.55</v>
      </c>
      <c r="H5949" t="s">
        <v>2060</v>
      </c>
      <c r="I5949" t="str">
        <f>VLOOKUP(B5949,Customers!A:G,7,FALSE)</f>
        <v>Individual</v>
      </c>
      <c r="Q5949" t="str">
        <f>IF(COUNTIF(Customers!$A$2:$A$1001,B5949)&gt;0,"Valid","Invalid")</f>
        <v>Valid</v>
      </c>
      <c r="R5949" t="str">
        <f>IF(COUNTIF(Branches!$A$2:$A$11,F5949)&gt;0,"Valid","Invalid")</f>
        <v>Valid</v>
      </c>
    </row>
    <row r="5950" spans="1:18" x14ac:dyDescent="0.25">
      <c r="A5950" t="s">
        <v>8021</v>
      </c>
      <c r="B5950" t="s">
        <v>451</v>
      </c>
      <c r="C5950" s="8">
        <v>46061</v>
      </c>
      <c r="D5950" t="s">
        <v>2058</v>
      </c>
      <c r="E5950" t="s">
        <v>2059</v>
      </c>
      <c r="F5950" t="s">
        <v>39</v>
      </c>
      <c r="G5950">
        <v>782.99</v>
      </c>
      <c r="H5950" t="s">
        <v>2060</v>
      </c>
      <c r="I5950" t="str">
        <f>VLOOKUP(B5950,Customers!A:G,7,FALSE)</f>
        <v>Individual</v>
      </c>
      <c r="Q5950" t="str">
        <f>IF(COUNTIF(Customers!$A$2:$A$1001,B5950)&gt;0,"Valid","Invalid")</f>
        <v>Valid</v>
      </c>
      <c r="R5950" t="str">
        <f>IF(COUNTIF(Branches!$A$2:$A$11,F5950)&gt;0,"Valid","Invalid")</f>
        <v>Valid</v>
      </c>
    </row>
    <row r="5951" spans="1:18" x14ac:dyDescent="0.25">
      <c r="A5951" t="s">
        <v>8022</v>
      </c>
      <c r="B5951" t="s">
        <v>984</v>
      </c>
      <c r="C5951" s="8">
        <v>46157</v>
      </c>
      <c r="D5951" t="s">
        <v>2062</v>
      </c>
      <c r="E5951" t="s">
        <v>2076</v>
      </c>
      <c r="F5951" t="s">
        <v>47</v>
      </c>
      <c r="G5951">
        <v>795.25</v>
      </c>
      <c r="H5951" t="s">
        <v>2060</v>
      </c>
      <c r="I5951" t="str">
        <f>VLOOKUP(B5951,Customers!A:G,7,FALSE)</f>
        <v>Individual</v>
      </c>
      <c r="Q5951" t="str">
        <f>IF(COUNTIF(Customers!$A$2:$A$1001,B5951)&gt;0,"Valid","Invalid")</f>
        <v>Valid</v>
      </c>
      <c r="R5951" t="str">
        <f>IF(COUNTIF(Branches!$A$2:$A$11,F5951)&gt;0,"Valid","Invalid")</f>
        <v>Valid</v>
      </c>
    </row>
    <row r="5952" spans="1:18" x14ac:dyDescent="0.25">
      <c r="A5952" t="s">
        <v>8023</v>
      </c>
      <c r="B5952" t="s">
        <v>484</v>
      </c>
      <c r="C5952" s="8">
        <v>46132</v>
      </c>
      <c r="D5952" t="s">
        <v>2058</v>
      </c>
      <c r="E5952" t="s">
        <v>2076</v>
      </c>
      <c r="F5952" t="s">
        <v>39</v>
      </c>
      <c r="G5952">
        <v>275.36</v>
      </c>
      <c r="H5952" t="s">
        <v>2060</v>
      </c>
      <c r="I5952" t="str">
        <f>VLOOKUP(B5952,Customers!A:G,7,FALSE)</f>
        <v>Student</v>
      </c>
      <c r="Q5952" t="str">
        <f>IF(COUNTIF(Customers!$A$2:$A$1001,B5952)&gt;0,"Valid","Invalid")</f>
        <v>Valid</v>
      </c>
      <c r="R5952" t="str">
        <f>IF(COUNTIF(Branches!$A$2:$A$11,F5952)&gt;0,"Valid","Invalid")</f>
        <v>Valid</v>
      </c>
    </row>
    <row r="5953" spans="1:18" x14ac:dyDescent="0.25">
      <c r="A5953" t="s">
        <v>8024</v>
      </c>
      <c r="B5953" t="s">
        <v>88</v>
      </c>
      <c r="C5953" s="8">
        <v>46091</v>
      </c>
      <c r="D5953" t="s">
        <v>2065</v>
      </c>
      <c r="E5953" t="s">
        <v>2073</v>
      </c>
      <c r="F5953" t="s">
        <v>35</v>
      </c>
      <c r="G5953">
        <v>2396.0100000000002</v>
      </c>
      <c r="H5953" t="s">
        <v>2060</v>
      </c>
      <c r="I5953" t="str">
        <f>VLOOKUP(B5953,Customers!A:G,7,FALSE)</f>
        <v>Student</v>
      </c>
      <c r="Q5953" t="str">
        <f>IF(COUNTIF(Customers!$A$2:$A$1001,B5953)&gt;0,"Valid","Invalid")</f>
        <v>Valid</v>
      </c>
      <c r="R5953" t="str">
        <f>IF(COUNTIF(Branches!$A$2:$A$11,F5953)&gt;0,"Valid","Invalid")</f>
        <v>Valid</v>
      </c>
    </row>
    <row r="5954" spans="1:18" x14ac:dyDescent="0.25">
      <c r="A5954" t="s">
        <v>8025</v>
      </c>
      <c r="B5954" t="s">
        <v>412</v>
      </c>
      <c r="C5954" s="8">
        <v>46158</v>
      </c>
      <c r="D5954" t="s">
        <v>2067</v>
      </c>
      <c r="E5954" t="s">
        <v>2059</v>
      </c>
      <c r="F5954" t="s">
        <v>27</v>
      </c>
      <c r="G5954">
        <v>1677.07</v>
      </c>
      <c r="H5954" t="s">
        <v>2060</v>
      </c>
      <c r="I5954" t="str">
        <f>VLOOKUP(B5954,Customers!A:G,7,FALSE)</f>
        <v>Individual</v>
      </c>
      <c r="Q5954" t="str">
        <f>IF(COUNTIF(Customers!$A$2:$A$1001,B5954)&gt;0,"Valid","Invalid")</f>
        <v>Valid</v>
      </c>
      <c r="R5954" t="str">
        <f>IF(COUNTIF(Branches!$A$2:$A$11,F5954)&gt;0,"Valid","Invalid")</f>
        <v>Valid</v>
      </c>
    </row>
    <row r="5955" spans="1:18" x14ac:dyDescent="0.25">
      <c r="A5955" t="s">
        <v>8026</v>
      </c>
      <c r="B5955" t="s">
        <v>564</v>
      </c>
      <c r="C5955" s="8">
        <v>46118</v>
      </c>
      <c r="D5955" t="s">
        <v>2058</v>
      </c>
      <c r="E5955" t="s">
        <v>2059</v>
      </c>
      <c r="F5955" t="s">
        <v>27</v>
      </c>
      <c r="G5955">
        <v>343.88</v>
      </c>
      <c r="H5955" t="s">
        <v>2060</v>
      </c>
      <c r="I5955" t="str">
        <f>VLOOKUP(B5955,Customers!A:G,7,FALSE)</f>
        <v>SME</v>
      </c>
      <c r="Q5955" t="str">
        <f>IF(COUNTIF(Customers!$A$2:$A$1001,B5955)&gt;0,"Valid","Invalid")</f>
        <v>Valid</v>
      </c>
      <c r="R5955" t="str">
        <f>IF(COUNTIF(Branches!$A$2:$A$11,F5955)&gt;0,"Valid","Invalid")</f>
        <v>Valid</v>
      </c>
    </row>
    <row r="5956" spans="1:18" x14ac:dyDescent="0.25">
      <c r="A5956" t="s">
        <v>8027</v>
      </c>
      <c r="B5956" t="s">
        <v>969</v>
      </c>
      <c r="C5956" s="8">
        <v>46141</v>
      </c>
      <c r="D5956" t="s">
        <v>2065</v>
      </c>
      <c r="E5956" t="s">
        <v>2063</v>
      </c>
      <c r="F5956" t="s">
        <v>21</v>
      </c>
      <c r="G5956">
        <v>659.6</v>
      </c>
      <c r="H5956" t="s">
        <v>2060</v>
      </c>
      <c r="I5956" t="str">
        <f>VLOOKUP(B5956,Customers!A:G,7,FALSE)</f>
        <v>Individual</v>
      </c>
      <c r="Q5956" t="str">
        <f>IF(COUNTIF(Customers!$A$2:$A$1001,B5956)&gt;0,"Valid","Invalid")</f>
        <v>Valid</v>
      </c>
      <c r="R5956" t="str">
        <f>IF(COUNTIF(Branches!$A$2:$A$11,F5956)&gt;0,"Valid","Invalid")</f>
        <v>Valid</v>
      </c>
    </row>
    <row r="5957" spans="1:18" x14ac:dyDescent="0.25">
      <c r="A5957" t="s">
        <v>8028</v>
      </c>
      <c r="B5957" t="s">
        <v>192</v>
      </c>
      <c r="C5957" s="8">
        <v>46140</v>
      </c>
      <c r="D5957" t="s">
        <v>2062</v>
      </c>
      <c r="E5957" t="s">
        <v>2068</v>
      </c>
      <c r="F5957" t="s">
        <v>39</v>
      </c>
      <c r="G5957">
        <v>6060.45</v>
      </c>
      <c r="H5957" t="s">
        <v>2060</v>
      </c>
      <c r="I5957" t="str">
        <f>VLOOKUP(B5957,Customers!A:G,7,FALSE)</f>
        <v>Individual</v>
      </c>
      <c r="Q5957" t="str">
        <f>IF(COUNTIF(Customers!$A$2:$A$1001,B5957)&gt;0,"Valid","Invalid")</f>
        <v>Valid</v>
      </c>
      <c r="R5957" t="str">
        <f>IF(COUNTIF(Branches!$A$2:$A$11,F5957)&gt;0,"Valid","Invalid")</f>
        <v>Valid</v>
      </c>
    </row>
    <row r="5958" spans="1:18" x14ac:dyDescent="0.25">
      <c r="A5958" t="s">
        <v>8029</v>
      </c>
      <c r="B5958" t="s">
        <v>992</v>
      </c>
      <c r="C5958" s="8">
        <v>46040</v>
      </c>
      <c r="D5958" t="s">
        <v>2065</v>
      </c>
      <c r="E5958" t="s">
        <v>2063</v>
      </c>
      <c r="F5958" t="s">
        <v>29</v>
      </c>
      <c r="G5958">
        <v>953.92</v>
      </c>
      <c r="H5958" t="s">
        <v>2060</v>
      </c>
      <c r="I5958" t="str">
        <f>VLOOKUP(B5958,Customers!A:G,7,FALSE)</f>
        <v>Individual</v>
      </c>
      <c r="Q5958" t="str">
        <f>IF(COUNTIF(Customers!$A$2:$A$1001,B5958)&gt;0,"Valid","Invalid")</f>
        <v>Valid</v>
      </c>
      <c r="R5958" t="str">
        <f>IF(COUNTIF(Branches!$A$2:$A$11,F5958)&gt;0,"Valid","Invalid")</f>
        <v>Valid</v>
      </c>
    </row>
    <row r="5959" spans="1:18" x14ac:dyDescent="0.25">
      <c r="A5959" t="s">
        <v>8030</v>
      </c>
      <c r="B5959" t="s">
        <v>580</v>
      </c>
      <c r="C5959" s="8">
        <v>46124</v>
      </c>
      <c r="D5959" t="s">
        <v>2067</v>
      </c>
      <c r="E5959" t="s">
        <v>2059</v>
      </c>
      <c r="F5959" t="s">
        <v>21</v>
      </c>
      <c r="G5959">
        <v>1206.75</v>
      </c>
      <c r="H5959" t="s">
        <v>2060</v>
      </c>
      <c r="I5959" t="str">
        <f>VLOOKUP(B5959,Customers!A:G,7,FALSE)</f>
        <v>Individual</v>
      </c>
      <c r="Q5959" t="str">
        <f>IF(COUNTIF(Customers!$A$2:$A$1001,B5959)&gt;0,"Valid","Invalid")</f>
        <v>Valid</v>
      </c>
      <c r="R5959" t="str">
        <f>IF(COUNTIF(Branches!$A$2:$A$11,F5959)&gt;0,"Valid","Invalid")</f>
        <v>Valid</v>
      </c>
    </row>
    <row r="5960" spans="1:18" x14ac:dyDescent="0.25">
      <c r="A5960" t="s">
        <v>8031</v>
      </c>
      <c r="B5960" t="s">
        <v>126</v>
      </c>
      <c r="C5960" s="8">
        <v>46132</v>
      </c>
      <c r="D5960" t="s">
        <v>2062</v>
      </c>
      <c r="E5960" t="s">
        <v>2059</v>
      </c>
      <c r="F5960" t="s">
        <v>11</v>
      </c>
      <c r="G5960">
        <v>441.89</v>
      </c>
      <c r="H5960" t="s">
        <v>2060</v>
      </c>
      <c r="I5960" t="str">
        <f>VLOOKUP(B5960,Customers!A:G,7,FALSE)</f>
        <v>Individual</v>
      </c>
      <c r="Q5960" t="str">
        <f>IF(COUNTIF(Customers!$A$2:$A$1001,B5960)&gt;0,"Valid","Invalid")</f>
        <v>Valid</v>
      </c>
      <c r="R5960" t="str">
        <f>IF(COUNTIF(Branches!$A$2:$A$11,F5960)&gt;0,"Valid","Invalid")</f>
        <v>Valid</v>
      </c>
    </row>
    <row r="5961" spans="1:18" x14ac:dyDescent="0.25">
      <c r="A5961" t="s">
        <v>8032</v>
      </c>
      <c r="B5961" t="s">
        <v>941</v>
      </c>
      <c r="C5961" s="8">
        <v>46104</v>
      </c>
      <c r="D5961" t="s">
        <v>2067</v>
      </c>
      <c r="E5961" t="s">
        <v>2076</v>
      </c>
      <c r="F5961" t="s">
        <v>16</v>
      </c>
      <c r="G5961">
        <v>594.01</v>
      </c>
      <c r="H5961" t="s">
        <v>2060</v>
      </c>
      <c r="I5961" t="str">
        <f>VLOOKUP(B5961,Customers!A:G,7,FALSE)</f>
        <v>Individual</v>
      </c>
      <c r="Q5961" t="str">
        <f>IF(COUNTIF(Customers!$A$2:$A$1001,B5961)&gt;0,"Valid","Invalid")</f>
        <v>Valid</v>
      </c>
      <c r="R5961" t="str">
        <f>IF(COUNTIF(Branches!$A$2:$A$11,F5961)&gt;0,"Valid","Invalid")</f>
        <v>Valid</v>
      </c>
    </row>
    <row r="5962" spans="1:18" x14ac:dyDescent="0.25">
      <c r="A5962" t="s">
        <v>8033</v>
      </c>
      <c r="B5962" t="s">
        <v>717</v>
      </c>
      <c r="C5962" s="8">
        <v>46199</v>
      </c>
      <c r="D5962" t="s">
        <v>2062</v>
      </c>
      <c r="E5962" t="s">
        <v>2073</v>
      </c>
      <c r="F5962" t="s">
        <v>16</v>
      </c>
      <c r="G5962">
        <v>3682.42</v>
      </c>
      <c r="H5962" t="s">
        <v>2060</v>
      </c>
      <c r="I5962" t="str">
        <f>VLOOKUP(B5962,Customers!A:G,7,FALSE)</f>
        <v>Individual</v>
      </c>
      <c r="Q5962" t="str">
        <f>IF(COUNTIF(Customers!$A$2:$A$1001,B5962)&gt;0,"Valid","Invalid")</f>
        <v>Valid</v>
      </c>
      <c r="R5962" t="str">
        <f>IF(COUNTIF(Branches!$A$2:$A$11,F5962)&gt;0,"Valid","Invalid")</f>
        <v>Valid</v>
      </c>
    </row>
    <row r="5963" spans="1:18" x14ac:dyDescent="0.25">
      <c r="A5963" t="s">
        <v>8034</v>
      </c>
      <c r="B5963" t="s">
        <v>389</v>
      </c>
      <c r="C5963" s="8">
        <v>46127</v>
      </c>
      <c r="D5963" t="s">
        <v>2067</v>
      </c>
      <c r="E5963" t="s">
        <v>2073</v>
      </c>
      <c r="F5963" t="s">
        <v>53</v>
      </c>
      <c r="G5963">
        <v>909.86</v>
      </c>
      <c r="H5963" t="s">
        <v>2060</v>
      </c>
      <c r="I5963" t="str">
        <f>VLOOKUP(B5963,Customers!A:G,7,FALSE)</f>
        <v>Individual</v>
      </c>
      <c r="Q5963" t="str">
        <f>IF(COUNTIF(Customers!$A$2:$A$1001,B5963)&gt;0,"Valid","Invalid")</f>
        <v>Valid</v>
      </c>
      <c r="R5963" t="str">
        <f>IF(COUNTIF(Branches!$A$2:$A$11,F5963)&gt;0,"Valid","Invalid")</f>
        <v>Valid</v>
      </c>
    </row>
    <row r="5964" spans="1:18" x14ac:dyDescent="0.25">
      <c r="A5964" t="s">
        <v>8035</v>
      </c>
      <c r="B5964" t="s">
        <v>105</v>
      </c>
      <c r="C5964" s="8">
        <v>46259</v>
      </c>
      <c r="D5964" t="s">
        <v>2070</v>
      </c>
      <c r="E5964" t="s">
        <v>2063</v>
      </c>
      <c r="F5964" t="s">
        <v>16</v>
      </c>
      <c r="G5964">
        <v>756.78</v>
      </c>
      <c r="H5964" t="s">
        <v>2060</v>
      </c>
      <c r="I5964" t="str">
        <f>VLOOKUP(B5964,Customers!A:G,7,FALSE)</f>
        <v>SME</v>
      </c>
      <c r="Q5964" t="str">
        <f>IF(COUNTIF(Customers!$A$2:$A$1001,B5964)&gt;0,"Valid","Invalid")</f>
        <v>Valid</v>
      </c>
      <c r="R5964" t="str">
        <f>IF(COUNTIF(Branches!$A$2:$A$11,F5964)&gt;0,"Valid","Invalid")</f>
        <v>Valid</v>
      </c>
    </row>
    <row r="5965" spans="1:18" x14ac:dyDescent="0.25">
      <c r="A5965" t="s">
        <v>8036</v>
      </c>
      <c r="B5965" t="s">
        <v>199</v>
      </c>
      <c r="C5965" s="8">
        <v>46038</v>
      </c>
      <c r="D5965" t="s">
        <v>2065</v>
      </c>
      <c r="E5965" t="s">
        <v>2063</v>
      </c>
      <c r="F5965" t="s">
        <v>11</v>
      </c>
      <c r="G5965">
        <v>818.64</v>
      </c>
      <c r="H5965" t="s">
        <v>2060</v>
      </c>
      <c r="I5965" t="str">
        <f>VLOOKUP(B5965,Customers!A:G,7,FALSE)</f>
        <v>Individual</v>
      </c>
      <c r="Q5965" t="str">
        <f>IF(COUNTIF(Customers!$A$2:$A$1001,B5965)&gt;0,"Valid","Invalid")</f>
        <v>Valid</v>
      </c>
      <c r="R5965" t="str">
        <f>IF(COUNTIF(Branches!$A$2:$A$11,F5965)&gt;0,"Valid","Invalid")</f>
        <v>Valid</v>
      </c>
    </row>
    <row r="5966" spans="1:18" x14ac:dyDescent="0.25">
      <c r="A5966" t="s">
        <v>8037</v>
      </c>
      <c r="B5966" t="s">
        <v>280</v>
      </c>
      <c r="C5966" s="8">
        <v>46043</v>
      </c>
      <c r="D5966" t="s">
        <v>2065</v>
      </c>
      <c r="E5966" t="s">
        <v>2068</v>
      </c>
      <c r="F5966" t="s">
        <v>39</v>
      </c>
      <c r="G5966">
        <v>10356.64</v>
      </c>
      <c r="H5966" t="s">
        <v>2060</v>
      </c>
      <c r="I5966" t="str">
        <f>VLOOKUP(B5966,Customers!A:G,7,FALSE)</f>
        <v>Individual</v>
      </c>
      <c r="Q5966" t="str">
        <f>IF(COUNTIF(Customers!$A$2:$A$1001,B5966)&gt;0,"Valid","Invalid")</f>
        <v>Valid</v>
      </c>
      <c r="R5966" t="str">
        <f>IF(COUNTIF(Branches!$A$2:$A$11,F5966)&gt;0,"Valid","Invalid")</f>
        <v>Valid</v>
      </c>
    </row>
    <row r="5967" spans="1:18" x14ac:dyDescent="0.25">
      <c r="A5967" t="s">
        <v>8038</v>
      </c>
      <c r="B5967" t="s">
        <v>533</v>
      </c>
      <c r="C5967" s="8">
        <v>46160</v>
      </c>
      <c r="D5967" t="s">
        <v>2062</v>
      </c>
      <c r="E5967" t="s">
        <v>2059</v>
      </c>
      <c r="F5967" t="s">
        <v>29</v>
      </c>
      <c r="G5967">
        <v>845.4</v>
      </c>
      <c r="H5967" t="s">
        <v>2060</v>
      </c>
      <c r="I5967" t="str">
        <f>VLOOKUP(B5967,Customers!A:G,7,FALSE)</f>
        <v>SME</v>
      </c>
      <c r="Q5967" t="str">
        <f>IF(COUNTIF(Customers!$A$2:$A$1001,B5967)&gt;0,"Valid","Invalid")</f>
        <v>Valid</v>
      </c>
      <c r="R5967" t="str">
        <f>IF(COUNTIF(Branches!$A$2:$A$11,F5967)&gt;0,"Valid","Invalid")</f>
        <v>Valid</v>
      </c>
    </row>
    <row r="5968" spans="1:18" x14ac:dyDescent="0.25">
      <c r="A5968" t="s">
        <v>8039</v>
      </c>
      <c r="B5968" t="s">
        <v>421</v>
      </c>
      <c r="C5968" s="8">
        <v>46128</v>
      </c>
      <c r="D5968" t="s">
        <v>2062</v>
      </c>
      <c r="E5968" t="s">
        <v>2059</v>
      </c>
      <c r="F5968" t="s">
        <v>29</v>
      </c>
      <c r="G5968">
        <v>354.22</v>
      </c>
      <c r="H5968" t="s">
        <v>2060</v>
      </c>
      <c r="I5968" t="str">
        <f>VLOOKUP(B5968,Customers!A:G,7,FALSE)</f>
        <v>Individual</v>
      </c>
      <c r="Q5968" t="str">
        <f>IF(COUNTIF(Customers!$A$2:$A$1001,B5968)&gt;0,"Valid","Invalid")</f>
        <v>Valid</v>
      </c>
      <c r="R5968" t="str">
        <f>IF(COUNTIF(Branches!$A$2:$A$11,F5968)&gt;0,"Valid","Invalid")</f>
        <v>Valid</v>
      </c>
    </row>
    <row r="5969" spans="1:18" x14ac:dyDescent="0.25">
      <c r="A5969" t="s">
        <v>8040</v>
      </c>
      <c r="B5969" t="s">
        <v>88</v>
      </c>
      <c r="C5969" s="8">
        <v>46154</v>
      </c>
      <c r="D5969" t="s">
        <v>2065</v>
      </c>
      <c r="E5969" t="s">
        <v>2076</v>
      </c>
      <c r="F5969" t="s">
        <v>35</v>
      </c>
      <c r="G5969">
        <v>421.85</v>
      </c>
      <c r="H5969" t="s">
        <v>2060</v>
      </c>
      <c r="I5969" t="str">
        <f>VLOOKUP(B5969,Customers!A:G,7,FALSE)</f>
        <v>Student</v>
      </c>
      <c r="Q5969" t="str">
        <f>IF(COUNTIF(Customers!$A$2:$A$1001,B5969)&gt;0,"Valid","Invalid")</f>
        <v>Valid</v>
      </c>
      <c r="R5969" t="str">
        <f>IF(COUNTIF(Branches!$A$2:$A$11,F5969)&gt;0,"Valid","Invalid")</f>
        <v>Valid</v>
      </c>
    </row>
    <row r="5970" spans="1:18" x14ac:dyDescent="0.25">
      <c r="A5970" t="s">
        <v>8041</v>
      </c>
      <c r="B5970" t="s">
        <v>692</v>
      </c>
      <c r="C5970" s="8">
        <v>46066</v>
      </c>
      <c r="D5970" t="s">
        <v>2070</v>
      </c>
      <c r="E5970" t="s">
        <v>2076</v>
      </c>
      <c r="F5970" t="s">
        <v>35</v>
      </c>
      <c r="G5970">
        <v>1773.58</v>
      </c>
      <c r="H5970" t="s">
        <v>2060</v>
      </c>
      <c r="I5970" t="str">
        <f>VLOOKUP(B5970,Customers!A:G,7,FALSE)</f>
        <v>Individual</v>
      </c>
      <c r="Q5970" t="str">
        <f>IF(COUNTIF(Customers!$A$2:$A$1001,B5970)&gt;0,"Valid","Invalid")</f>
        <v>Valid</v>
      </c>
      <c r="R5970" t="str">
        <f>IF(COUNTIF(Branches!$A$2:$A$11,F5970)&gt;0,"Valid","Invalid")</f>
        <v>Valid</v>
      </c>
    </row>
    <row r="5971" spans="1:18" x14ac:dyDescent="0.25">
      <c r="A5971" t="s">
        <v>8042</v>
      </c>
      <c r="B5971" t="s">
        <v>99</v>
      </c>
      <c r="C5971" s="8">
        <v>46145</v>
      </c>
      <c r="D5971" t="s">
        <v>2058</v>
      </c>
      <c r="E5971" t="s">
        <v>2073</v>
      </c>
      <c r="F5971" t="s">
        <v>27</v>
      </c>
      <c r="G5971">
        <v>194.71</v>
      </c>
      <c r="H5971" t="s">
        <v>2060</v>
      </c>
      <c r="I5971" t="str">
        <f>VLOOKUP(B5971,Customers!A:G,7,FALSE)</f>
        <v>Student</v>
      </c>
      <c r="Q5971" t="str">
        <f>IF(COUNTIF(Customers!$A$2:$A$1001,B5971)&gt;0,"Valid","Invalid")</f>
        <v>Valid</v>
      </c>
      <c r="R5971" t="str">
        <f>IF(COUNTIF(Branches!$A$2:$A$11,F5971)&gt;0,"Valid","Invalid")</f>
        <v>Valid</v>
      </c>
    </row>
    <row r="5972" spans="1:18" x14ac:dyDescent="0.25">
      <c r="A5972" t="s">
        <v>8043</v>
      </c>
      <c r="B5972" t="s">
        <v>547</v>
      </c>
      <c r="C5972" s="8">
        <v>46158</v>
      </c>
      <c r="D5972" t="s">
        <v>2070</v>
      </c>
      <c r="E5972" t="s">
        <v>2059</v>
      </c>
      <c r="F5972" t="s">
        <v>11</v>
      </c>
      <c r="G5972">
        <v>1274.8499999999999</v>
      </c>
      <c r="H5972" t="s">
        <v>2060</v>
      </c>
      <c r="I5972" t="str">
        <f>VLOOKUP(B5972,Customers!A:G,7,FALSE)</f>
        <v>Individual</v>
      </c>
      <c r="Q5972" t="str">
        <f>IF(COUNTIF(Customers!$A$2:$A$1001,B5972)&gt;0,"Valid","Invalid")</f>
        <v>Valid</v>
      </c>
      <c r="R5972" t="str">
        <f>IF(COUNTIF(Branches!$A$2:$A$11,F5972)&gt;0,"Valid","Invalid")</f>
        <v>Valid</v>
      </c>
    </row>
    <row r="5973" spans="1:18" x14ac:dyDescent="0.25">
      <c r="A5973" t="s">
        <v>8044</v>
      </c>
      <c r="B5973" t="s">
        <v>330</v>
      </c>
      <c r="C5973" s="8">
        <v>46133</v>
      </c>
      <c r="D5973" t="s">
        <v>2058</v>
      </c>
      <c r="E5973" t="s">
        <v>2059</v>
      </c>
      <c r="F5973" t="s">
        <v>53</v>
      </c>
      <c r="G5973">
        <v>393.93</v>
      </c>
      <c r="H5973" t="s">
        <v>2060</v>
      </c>
      <c r="I5973" t="str">
        <f>VLOOKUP(B5973,Customers!A:G,7,FALSE)</f>
        <v>SME</v>
      </c>
      <c r="Q5973" t="str">
        <f>IF(COUNTIF(Customers!$A$2:$A$1001,B5973)&gt;0,"Valid","Invalid")</f>
        <v>Valid</v>
      </c>
      <c r="R5973" t="str">
        <f>IF(COUNTIF(Branches!$A$2:$A$11,F5973)&gt;0,"Valid","Invalid")</f>
        <v>Valid</v>
      </c>
    </row>
    <row r="5974" spans="1:18" x14ac:dyDescent="0.25">
      <c r="A5974" t="s">
        <v>8045</v>
      </c>
      <c r="B5974" t="s">
        <v>127</v>
      </c>
      <c r="C5974" s="8">
        <v>46139</v>
      </c>
      <c r="D5974" t="s">
        <v>2067</v>
      </c>
      <c r="E5974" t="s">
        <v>2059</v>
      </c>
      <c r="F5974" t="s">
        <v>35</v>
      </c>
      <c r="G5974">
        <v>126.63</v>
      </c>
      <c r="H5974" t="s">
        <v>2060</v>
      </c>
      <c r="I5974" t="str">
        <f>VLOOKUP(B5974,Customers!A:G,7,FALSE)</f>
        <v>Individual</v>
      </c>
      <c r="Q5974" t="str">
        <f>IF(COUNTIF(Customers!$A$2:$A$1001,B5974)&gt;0,"Valid","Invalid")</f>
        <v>Valid</v>
      </c>
      <c r="R5974" t="str">
        <f>IF(COUNTIF(Branches!$A$2:$A$11,F5974)&gt;0,"Valid","Invalid")</f>
        <v>Valid</v>
      </c>
    </row>
    <row r="5975" spans="1:18" x14ac:dyDescent="0.25">
      <c r="A5975" t="s">
        <v>8046</v>
      </c>
      <c r="B5975" t="s">
        <v>702</v>
      </c>
      <c r="C5975" s="8">
        <v>46148</v>
      </c>
      <c r="D5975" t="s">
        <v>2067</v>
      </c>
      <c r="E5975" t="s">
        <v>2068</v>
      </c>
      <c r="F5975" t="s">
        <v>47</v>
      </c>
      <c r="G5975">
        <v>304.88</v>
      </c>
      <c r="H5975" t="s">
        <v>2060</v>
      </c>
      <c r="I5975" t="str">
        <f>VLOOKUP(B5975,Customers!A:G,7,FALSE)</f>
        <v>Individual</v>
      </c>
      <c r="Q5975" t="str">
        <f>IF(COUNTIF(Customers!$A$2:$A$1001,B5975)&gt;0,"Valid","Invalid")</f>
        <v>Valid</v>
      </c>
      <c r="R5975" t="str">
        <f>IF(COUNTIF(Branches!$A$2:$A$11,F5975)&gt;0,"Valid","Invalid")</f>
        <v>Valid</v>
      </c>
    </row>
    <row r="5976" spans="1:18" x14ac:dyDescent="0.25">
      <c r="A5976" t="s">
        <v>8047</v>
      </c>
      <c r="B5976" t="s">
        <v>462</v>
      </c>
      <c r="C5976" s="8">
        <v>46205</v>
      </c>
      <c r="D5976" t="s">
        <v>2067</v>
      </c>
      <c r="E5976" t="s">
        <v>2076</v>
      </c>
      <c r="F5976" t="s">
        <v>11</v>
      </c>
      <c r="G5976">
        <v>835.09</v>
      </c>
      <c r="H5976" t="s">
        <v>2060</v>
      </c>
      <c r="I5976" t="str">
        <f>VLOOKUP(B5976,Customers!A:G,7,FALSE)</f>
        <v>SME</v>
      </c>
      <c r="Q5976" t="str">
        <f>IF(COUNTIF(Customers!$A$2:$A$1001,B5976)&gt;0,"Valid","Invalid")</f>
        <v>Valid</v>
      </c>
      <c r="R5976" t="str">
        <f>IF(COUNTIF(Branches!$A$2:$A$11,F5976)&gt;0,"Valid","Invalid")</f>
        <v>Valid</v>
      </c>
    </row>
    <row r="5977" spans="1:18" x14ac:dyDescent="0.25">
      <c r="A5977" t="s">
        <v>8048</v>
      </c>
      <c r="B5977" t="s">
        <v>707</v>
      </c>
      <c r="C5977" s="8">
        <v>46041</v>
      </c>
      <c r="D5977" t="s">
        <v>2058</v>
      </c>
      <c r="E5977" t="s">
        <v>2076</v>
      </c>
      <c r="F5977" t="s">
        <v>45</v>
      </c>
      <c r="G5977">
        <v>3278.59</v>
      </c>
      <c r="H5977" t="s">
        <v>2060</v>
      </c>
      <c r="I5977" t="str">
        <f>VLOOKUP(B5977,Customers!A:G,7,FALSE)</f>
        <v>Individual</v>
      </c>
      <c r="Q5977" t="str">
        <f>IF(COUNTIF(Customers!$A$2:$A$1001,B5977)&gt;0,"Valid","Invalid")</f>
        <v>Valid</v>
      </c>
      <c r="R5977" t="str">
        <f>IF(COUNTIF(Branches!$A$2:$A$11,F5977)&gt;0,"Valid","Invalid")</f>
        <v>Valid</v>
      </c>
    </row>
    <row r="5978" spans="1:18" x14ac:dyDescent="0.25">
      <c r="A5978" t="s">
        <v>8049</v>
      </c>
      <c r="B5978" t="s">
        <v>859</v>
      </c>
      <c r="C5978" s="8">
        <v>46261</v>
      </c>
      <c r="D5978" t="s">
        <v>2067</v>
      </c>
      <c r="E5978" t="s">
        <v>2073</v>
      </c>
      <c r="F5978" t="s">
        <v>16</v>
      </c>
      <c r="G5978">
        <v>2025.01</v>
      </c>
      <c r="H5978" t="s">
        <v>2060</v>
      </c>
      <c r="I5978" t="str">
        <f>VLOOKUP(B5978,Customers!A:G,7,FALSE)</f>
        <v>Individual</v>
      </c>
      <c r="Q5978" t="str">
        <f>IF(COUNTIF(Customers!$A$2:$A$1001,B5978)&gt;0,"Valid","Invalid")</f>
        <v>Valid</v>
      </c>
      <c r="R5978" t="str">
        <f>IF(COUNTIF(Branches!$A$2:$A$11,F5978)&gt;0,"Valid","Invalid")</f>
        <v>Valid</v>
      </c>
    </row>
    <row r="5979" spans="1:18" x14ac:dyDescent="0.25">
      <c r="A5979" t="s">
        <v>8050</v>
      </c>
      <c r="B5979" t="s">
        <v>403</v>
      </c>
      <c r="C5979" s="8">
        <v>46086</v>
      </c>
      <c r="D5979" t="s">
        <v>2065</v>
      </c>
      <c r="E5979" t="s">
        <v>2076</v>
      </c>
      <c r="F5979" t="s">
        <v>29</v>
      </c>
      <c r="G5979">
        <v>605.65</v>
      </c>
      <c r="H5979" t="s">
        <v>2060</v>
      </c>
      <c r="I5979" t="str">
        <f>VLOOKUP(B5979,Customers!A:G,7,FALSE)</f>
        <v>SME</v>
      </c>
      <c r="Q5979" t="str">
        <f>IF(COUNTIF(Customers!$A$2:$A$1001,B5979)&gt;0,"Valid","Invalid")</f>
        <v>Valid</v>
      </c>
      <c r="R5979" t="str">
        <f>IF(COUNTIF(Branches!$A$2:$A$11,F5979)&gt;0,"Valid","Invalid")</f>
        <v>Valid</v>
      </c>
    </row>
    <row r="5980" spans="1:18" x14ac:dyDescent="0.25">
      <c r="A5980" t="s">
        <v>8051</v>
      </c>
      <c r="B5980" t="s">
        <v>186</v>
      </c>
      <c r="C5980" s="8">
        <v>46062</v>
      </c>
      <c r="D5980" t="s">
        <v>2065</v>
      </c>
      <c r="E5980" t="s">
        <v>2059</v>
      </c>
      <c r="F5980" t="s">
        <v>45</v>
      </c>
      <c r="G5980">
        <v>2147.77</v>
      </c>
      <c r="H5980" t="s">
        <v>2060</v>
      </c>
      <c r="I5980" t="str">
        <f>VLOOKUP(B5980,Customers!A:G,7,FALSE)</f>
        <v>SME</v>
      </c>
      <c r="Q5980" t="str">
        <f>IF(COUNTIF(Customers!$A$2:$A$1001,B5980)&gt;0,"Valid","Invalid")</f>
        <v>Valid</v>
      </c>
      <c r="R5980" t="str">
        <f>IF(COUNTIF(Branches!$A$2:$A$11,F5980)&gt;0,"Valid","Invalid")</f>
        <v>Valid</v>
      </c>
    </row>
    <row r="5981" spans="1:18" x14ac:dyDescent="0.25">
      <c r="A5981" t="s">
        <v>8052</v>
      </c>
      <c r="B5981" t="s">
        <v>878</v>
      </c>
      <c r="C5981" s="8">
        <v>46254</v>
      </c>
      <c r="D5981" t="s">
        <v>2065</v>
      </c>
      <c r="E5981" t="s">
        <v>2076</v>
      </c>
      <c r="F5981" t="s">
        <v>39</v>
      </c>
      <c r="G5981">
        <v>568.62</v>
      </c>
      <c r="H5981" t="s">
        <v>2060</v>
      </c>
      <c r="I5981" t="str">
        <f>VLOOKUP(B5981,Customers!A:G,7,FALSE)</f>
        <v>Individual</v>
      </c>
      <c r="Q5981" t="str">
        <f>IF(COUNTIF(Customers!$A$2:$A$1001,B5981)&gt;0,"Valid","Invalid")</f>
        <v>Valid</v>
      </c>
      <c r="R5981" t="str">
        <f>IF(COUNTIF(Branches!$A$2:$A$11,F5981)&gt;0,"Valid","Invalid")</f>
        <v>Valid</v>
      </c>
    </row>
    <row r="5982" spans="1:18" x14ac:dyDescent="0.25">
      <c r="A5982" t="s">
        <v>8053</v>
      </c>
      <c r="B5982" t="s">
        <v>309</v>
      </c>
      <c r="C5982" s="8">
        <v>46073</v>
      </c>
      <c r="D5982" t="s">
        <v>2062</v>
      </c>
      <c r="E5982" t="s">
        <v>2076</v>
      </c>
      <c r="F5982" t="s">
        <v>47</v>
      </c>
      <c r="G5982">
        <v>187.45</v>
      </c>
      <c r="H5982" t="s">
        <v>2060</v>
      </c>
      <c r="I5982" t="str">
        <f>VLOOKUP(B5982,Customers!A:G,7,FALSE)</f>
        <v>SME</v>
      </c>
      <c r="Q5982" t="str">
        <f>IF(COUNTIF(Customers!$A$2:$A$1001,B5982)&gt;0,"Valid","Invalid")</f>
        <v>Valid</v>
      </c>
      <c r="R5982" t="str">
        <f>IF(COUNTIF(Branches!$A$2:$A$11,F5982)&gt;0,"Valid","Invalid")</f>
        <v>Valid</v>
      </c>
    </row>
    <row r="5983" spans="1:18" x14ac:dyDescent="0.25">
      <c r="A5983" t="s">
        <v>8054</v>
      </c>
      <c r="B5983" t="s">
        <v>919</v>
      </c>
      <c r="C5983" s="8">
        <v>46159</v>
      </c>
      <c r="D5983" t="s">
        <v>2058</v>
      </c>
      <c r="E5983" t="s">
        <v>2063</v>
      </c>
      <c r="F5983" t="s">
        <v>21</v>
      </c>
      <c r="G5983">
        <v>829.72</v>
      </c>
      <c r="H5983" t="s">
        <v>2060</v>
      </c>
      <c r="I5983" t="str">
        <f>VLOOKUP(B5983,Customers!A:G,7,FALSE)</f>
        <v>Individual</v>
      </c>
      <c r="Q5983" t="str">
        <f>IF(COUNTIF(Customers!$A$2:$A$1001,B5983)&gt;0,"Valid","Invalid")</f>
        <v>Valid</v>
      </c>
      <c r="R5983" t="str">
        <f>IF(COUNTIF(Branches!$A$2:$A$11,F5983)&gt;0,"Valid","Invalid")</f>
        <v>Valid</v>
      </c>
    </row>
    <row r="5984" spans="1:18" x14ac:dyDescent="0.25">
      <c r="A5984" t="s">
        <v>8055</v>
      </c>
      <c r="B5984" t="s">
        <v>619</v>
      </c>
      <c r="C5984" s="8">
        <v>46180</v>
      </c>
      <c r="D5984" t="s">
        <v>2062</v>
      </c>
      <c r="E5984" t="s">
        <v>2059</v>
      </c>
      <c r="F5984" t="s">
        <v>21</v>
      </c>
      <c r="G5984">
        <v>180.2</v>
      </c>
      <c r="H5984" t="s">
        <v>2060</v>
      </c>
      <c r="I5984" t="str">
        <f>VLOOKUP(B5984,Customers!A:G,7,FALSE)</f>
        <v>Individual</v>
      </c>
      <c r="Q5984" t="str">
        <f>IF(COUNTIF(Customers!$A$2:$A$1001,B5984)&gt;0,"Valid","Invalid")</f>
        <v>Valid</v>
      </c>
      <c r="R5984" t="str">
        <f>IF(COUNTIF(Branches!$A$2:$A$11,F5984)&gt;0,"Valid","Invalid")</f>
        <v>Valid</v>
      </c>
    </row>
    <row r="5985" spans="1:18" x14ac:dyDescent="0.25">
      <c r="A5985" t="s">
        <v>8056</v>
      </c>
      <c r="B5985" t="s">
        <v>152</v>
      </c>
      <c r="C5985" s="8">
        <v>46078</v>
      </c>
      <c r="D5985" t="s">
        <v>2070</v>
      </c>
      <c r="E5985" t="s">
        <v>2076</v>
      </c>
      <c r="F5985" t="s">
        <v>29</v>
      </c>
      <c r="G5985">
        <v>1792.57</v>
      </c>
      <c r="H5985" t="s">
        <v>2060</v>
      </c>
      <c r="I5985" t="str">
        <f>VLOOKUP(B5985,Customers!A:G,7,FALSE)</f>
        <v>Individual</v>
      </c>
      <c r="Q5985" t="str">
        <f>IF(COUNTIF(Customers!$A$2:$A$1001,B5985)&gt;0,"Valid","Invalid")</f>
        <v>Valid</v>
      </c>
      <c r="R5985" t="str">
        <f>IF(COUNTIF(Branches!$A$2:$A$11,F5985)&gt;0,"Valid","Invalid")</f>
        <v>Valid</v>
      </c>
    </row>
    <row r="5986" spans="1:18" x14ac:dyDescent="0.25">
      <c r="A5986" t="s">
        <v>8057</v>
      </c>
      <c r="B5986" t="s">
        <v>742</v>
      </c>
      <c r="C5986" s="8">
        <v>46103</v>
      </c>
      <c r="D5986" t="s">
        <v>2058</v>
      </c>
      <c r="E5986" t="s">
        <v>2059</v>
      </c>
      <c r="F5986" t="s">
        <v>27</v>
      </c>
      <c r="G5986">
        <v>1818.71</v>
      </c>
      <c r="H5986" t="s">
        <v>2060</v>
      </c>
      <c r="I5986" t="str">
        <f>VLOOKUP(B5986,Customers!A:G,7,FALSE)</f>
        <v>Student</v>
      </c>
      <c r="Q5986" t="str">
        <f>IF(COUNTIF(Customers!$A$2:$A$1001,B5986)&gt;0,"Valid","Invalid")</f>
        <v>Valid</v>
      </c>
      <c r="R5986" t="str">
        <f>IF(COUNTIF(Branches!$A$2:$A$11,F5986)&gt;0,"Valid","Invalid")</f>
        <v>Valid</v>
      </c>
    </row>
    <row r="5987" spans="1:18" x14ac:dyDescent="0.25">
      <c r="A5987" t="s">
        <v>8058</v>
      </c>
      <c r="B5987" t="s">
        <v>554</v>
      </c>
      <c r="C5987" s="8">
        <v>46254</v>
      </c>
      <c r="D5987" t="s">
        <v>2070</v>
      </c>
      <c r="E5987" t="s">
        <v>2068</v>
      </c>
      <c r="F5987" t="s">
        <v>21</v>
      </c>
      <c r="G5987">
        <v>336.98</v>
      </c>
      <c r="H5987" t="s">
        <v>2060</v>
      </c>
      <c r="I5987" t="str">
        <f>VLOOKUP(B5987,Customers!A:G,7,FALSE)</f>
        <v>Student</v>
      </c>
      <c r="Q5987" t="str">
        <f>IF(COUNTIF(Customers!$A$2:$A$1001,B5987)&gt;0,"Valid","Invalid")</f>
        <v>Valid</v>
      </c>
      <c r="R5987" t="str">
        <f>IF(COUNTIF(Branches!$A$2:$A$11,F5987)&gt;0,"Valid","Invalid")</f>
        <v>Valid</v>
      </c>
    </row>
    <row r="5988" spans="1:18" x14ac:dyDescent="0.25">
      <c r="A5988" t="s">
        <v>8059</v>
      </c>
      <c r="B5988" t="s">
        <v>625</v>
      </c>
      <c r="C5988" s="8">
        <v>46194</v>
      </c>
      <c r="D5988" t="s">
        <v>2067</v>
      </c>
      <c r="E5988" t="s">
        <v>2059</v>
      </c>
      <c r="F5988" t="s">
        <v>47</v>
      </c>
      <c r="G5988">
        <v>939.73</v>
      </c>
      <c r="H5988" t="s">
        <v>2060</v>
      </c>
      <c r="I5988" t="str">
        <f>VLOOKUP(B5988,Customers!A:G,7,FALSE)</f>
        <v>Individual</v>
      </c>
      <c r="Q5988" t="str">
        <f>IF(COUNTIF(Customers!$A$2:$A$1001,B5988)&gt;0,"Valid","Invalid")</f>
        <v>Valid</v>
      </c>
      <c r="R5988" t="str">
        <f>IF(COUNTIF(Branches!$A$2:$A$11,F5988)&gt;0,"Valid","Invalid")</f>
        <v>Valid</v>
      </c>
    </row>
    <row r="5989" spans="1:18" x14ac:dyDescent="0.25">
      <c r="A5989" t="s">
        <v>8060</v>
      </c>
      <c r="B5989" t="s">
        <v>952</v>
      </c>
      <c r="C5989" s="8">
        <v>46209</v>
      </c>
      <c r="D5989" t="s">
        <v>2065</v>
      </c>
      <c r="E5989" t="s">
        <v>2073</v>
      </c>
      <c r="F5989" t="s">
        <v>53</v>
      </c>
      <c r="G5989">
        <v>930.8</v>
      </c>
      <c r="H5989" t="s">
        <v>2115</v>
      </c>
      <c r="I5989" t="str">
        <f>VLOOKUP(B5989,Customers!A:G,7,FALSE)</f>
        <v>SME</v>
      </c>
      <c r="Q5989" t="str">
        <f>IF(COUNTIF(Customers!$A$2:$A$1001,B5989)&gt;0,"Valid","Invalid")</f>
        <v>Valid</v>
      </c>
      <c r="R5989" t="str">
        <f>IF(COUNTIF(Branches!$A$2:$A$11,F5989)&gt;0,"Valid","Invalid")</f>
        <v>Valid</v>
      </c>
    </row>
    <row r="5990" spans="1:18" x14ac:dyDescent="0.25">
      <c r="A5990" t="s">
        <v>8061</v>
      </c>
      <c r="B5990" t="s">
        <v>848</v>
      </c>
      <c r="C5990" s="8">
        <v>46165</v>
      </c>
      <c r="D5990" t="s">
        <v>2067</v>
      </c>
      <c r="E5990" t="s">
        <v>2063</v>
      </c>
      <c r="F5990" t="s">
        <v>29</v>
      </c>
      <c r="G5990">
        <v>1942.95</v>
      </c>
      <c r="H5990" t="s">
        <v>2060</v>
      </c>
      <c r="I5990" t="str">
        <f>VLOOKUP(B5990,Customers!A:G,7,FALSE)</f>
        <v>Individual</v>
      </c>
      <c r="Q5990" t="str">
        <f>IF(COUNTIF(Customers!$A$2:$A$1001,B5990)&gt;0,"Valid","Invalid")</f>
        <v>Valid</v>
      </c>
      <c r="R5990" t="str">
        <f>IF(COUNTIF(Branches!$A$2:$A$11,F5990)&gt;0,"Valid","Invalid")</f>
        <v>Valid</v>
      </c>
    </row>
    <row r="5991" spans="1:18" x14ac:dyDescent="0.25">
      <c r="A5991" t="s">
        <v>8062</v>
      </c>
      <c r="B5991" t="s">
        <v>279</v>
      </c>
      <c r="C5991" s="8">
        <v>46218</v>
      </c>
      <c r="D5991" t="s">
        <v>2067</v>
      </c>
      <c r="E5991" t="s">
        <v>2063</v>
      </c>
      <c r="F5991" t="s">
        <v>11</v>
      </c>
      <c r="G5991">
        <v>233.91</v>
      </c>
      <c r="H5991" t="s">
        <v>2060</v>
      </c>
      <c r="I5991" t="str">
        <f>VLOOKUP(B5991,Customers!A:G,7,FALSE)</f>
        <v>SME</v>
      </c>
      <c r="Q5991" t="str">
        <f>IF(COUNTIF(Customers!$A$2:$A$1001,B5991)&gt;0,"Valid","Invalid")</f>
        <v>Valid</v>
      </c>
      <c r="R5991" t="str">
        <f>IF(COUNTIF(Branches!$A$2:$A$11,F5991)&gt;0,"Valid","Invalid")</f>
        <v>Valid</v>
      </c>
    </row>
    <row r="5992" spans="1:18" x14ac:dyDescent="0.25">
      <c r="A5992" t="s">
        <v>8063</v>
      </c>
      <c r="B5992" t="s">
        <v>64</v>
      </c>
      <c r="C5992" s="8">
        <v>46092</v>
      </c>
      <c r="D5992" t="s">
        <v>2062</v>
      </c>
      <c r="E5992" t="s">
        <v>2059</v>
      </c>
      <c r="F5992" t="s">
        <v>47</v>
      </c>
      <c r="G5992">
        <v>1479.54</v>
      </c>
      <c r="H5992" t="s">
        <v>2060</v>
      </c>
      <c r="I5992" t="str">
        <f>VLOOKUP(B5992,Customers!A:G,7,FALSE)</f>
        <v>SME</v>
      </c>
      <c r="Q5992" t="str">
        <f>IF(COUNTIF(Customers!$A$2:$A$1001,B5992)&gt;0,"Valid","Invalid")</f>
        <v>Valid</v>
      </c>
      <c r="R5992" t="str">
        <f>IF(COUNTIF(Branches!$A$2:$A$11,F5992)&gt;0,"Valid","Invalid")</f>
        <v>Valid</v>
      </c>
    </row>
    <row r="5993" spans="1:18" x14ac:dyDescent="0.25">
      <c r="A5993" t="s">
        <v>8064</v>
      </c>
      <c r="B5993" t="s">
        <v>179</v>
      </c>
      <c r="C5993" s="8">
        <v>46150</v>
      </c>
      <c r="D5993" t="s">
        <v>2058</v>
      </c>
      <c r="E5993" t="s">
        <v>2059</v>
      </c>
      <c r="F5993" t="s">
        <v>27</v>
      </c>
      <c r="G5993">
        <v>217.72</v>
      </c>
      <c r="H5993" t="s">
        <v>2060</v>
      </c>
      <c r="I5993" t="str">
        <f>VLOOKUP(B5993,Customers!A:G,7,FALSE)</f>
        <v>Individual</v>
      </c>
      <c r="Q5993" t="str">
        <f>IF(COUNTIF(Customers!$A$2:$A$1001,B5993)&gt;0,"Valid","Invalid")</f>
        <v>Valid</v>
      </c>
      <c r="R5993" t="str">
        <f>IF(COUNTIF(Branches!$A$2:$A$11,F5993)&gt;0,"Valid","Invalid")</f>
        <v>Valid</v>
      </c>
    </row>
    <row r="5994" spans="1:18" x14ac:dyDescent="0.25">
      <c r="A5994" t="s">
        <v>8065</v>
      </c>
      <c r="B5994" t="s">
        <v>364</v>
      </c>
      <c r="C5994" s="8">
        <v>46148</v>
      </c>
      <c r="D5994" t="s">
        <v>2067</v>
      </c>
      <c r="E5994" t="s">
        <v>2059</v>
      </c>
      <c r="F5994" t="s">
        <v>29</v>
      </c>
      <c r="G5994">
        <v>1767.27</v>
      </c>
      <c r="H5994" t="s">
        <v>2060</v>
      </c>
      <c r="I5994" t="str">
        <f>VLOOKUP(B5994,Customers!A:G,7,FALSE)</f>
        <v>Student</v>
      </c>
      <c r="Q5994" t="str">
        <f>IF(COUNTIF(Customers!$A$2:$A$1001,B5994)&gt;0,"Valid","Invalid")</f>
        <v>Valid</v>
      </c>
      <c r="R5994" t="str">
        <f>IF(COUNTIF(Branches!$A$2:$A$11,F5994)&gt;0,"Valid","Invalid")</f>
        <v>Valid</v>
      </c>
    </row>
    <row r="5995" spans="1:18" x14ac:dyDescent="0.25">
      <c r="A5995" t="s">
        <v>8066</v>
      </c>
      <c r="B5995" t="s">
        <v>733</v>
      </c>
      <c r="C5995" s="8">
        <v>46083</v>
      </c>
      <c r="D5995" t="s">
        <v>2062</v>
      </c>
      <c r="E5995" t="s">
        <v>2063</v>
      </c>
      <c r="F5995" t="s">
        <v>11</v>
      </c>
      <c r="G5995">
        <v>2351.2399999999998</v>
      </c>
      <c r="H5995" t="s">
        <v>2060</v>
      </c>
      <c r="I5995" t="str">
        <f>VLOOKUP(B5995,Customers!A:G,7,FALSE)</f>
        <v>Individual</v>
      </c>
      <c r="Q5995" t="str">
        <f>IF(COUNTIF(Customers!$A$2:$A$1001,B5995)&gt;0,"Valid","Invalid")</f>
        <v>Valid</v>
      </c>
      <c r="R5995" t="str">
        <f>IF(COUNTIF(Branches!$A$2:$A$11,F5995)&gt;0,"Valid","Invalid")</f>
        <v>Valid</v>
      </c>
    </row>
    <row r="5996" spans="1:18" x14ac:dyDescent="0.25">
      <c r="A5996" t="s">
        <v>8067</v>
      </c>
      <c r="B5996" t="s">
        <v>987</v>
      </c>
      <c r="C5996" s="8">
        <v>46102</v>
      </c>
      <c r="D5996" t="s">
        <v>2058</v>
      </c>
      <c r="E5996" t="s">
        <v>2076</v>
      </c>
      <c r="F5996" t="s">
        <v>47</v>
      </c>
      <c r="G5996">
        <v>415.88</v>
      </c>
      <c r="H5996" t="s">
        <v>2060</v>
      </c>
      <c r="I5996" t="str">
        <f>VLOOKUP(B5996,Customers!A:G,7,FALSE)</f>
        <v>Individual</v>
      </c>
      <c r="Q5996" t="str">
        <f>IF(COUNTIF(Customers!$A$2:$A$1001,B5996)&gt;0,"Valid","Invalid")</f>
        <v>Valid</v>
      </c>
      <c r="R5996" t="str">
        <f>IF(COUNTIF(Branches!$A$2:$A$11,F5996)&gt;0,"Valid","Invalid")</f>
        <v>Valid</v>
      </c>
    </row>
    <row r="5997" spans="1:18" x14ac:dyDescent="0.25">
      <c r="A5997" t="s">
        <v>8068</v>
      </c>
      <c r="B5997" t="s">
        <v>49</v>
      </c>
      <c r="C5997" s="8">
        <v>46240</v>
      </c>
      <c r="D5997" t="s">
        <v>2065</v>
      </c>
      <c r="E5997" t="s">
        <v>2059</v>
      </c>
      <c r="F5997" t="s">
        <v>21</v>
      </c>
      <c r="G5997">
        <v>2749.37</v>
      </c>
      <c r="H5997" t="s">
        <v>2060</v>
      </c>
      <c r="I5997" t="str">
        <f>VLOOKUP(B5997,Customers!A:G,7,FALSE)</f>
        <v>Individual</v>
      </c>
      <c r="Q5997" t="str">
        <f>IF(COUNTIF(Customers!$A$2:$A$1001,B5997)&gt;0,"Valid","Invalid")</f>
        <v>Valid</v>
      </c>
      <c r="R5997" t="str">
        <f>IF(COUNTIF(Branches!$A$2:$A$11,F5997)&gt;0,"Valid","Invalid")</f>
        <v>Valid</v>
      </c>
    </row>
    <row r="5998" spans="1:18" x14ac:dyDescent="0.25">
      <c r="A5998" t="s">
        <v>8069</v>
      </c>
      <c r="B5998" t="s">
        <v>147</v>
      </c>
      <c r="C5998" s="8">
        <v>46143</v>
      </c>
      <c r="D5998" t="s">
        <v>2058</v>
      </c>
      <c r="E5998" t="s">
        <v>2076</v>
      </c>
      <c r="F5998" t="s">
        <v>39</v>
      </c>
      <c r="G5998">
        <v>168.34</v>
      </c>
      <c r="H5998" t="s">
        <v>2060</v>
      </c>
      <c r="I5998" t="str">
        <f>VLOOKUP(B5998,Customers!A:G,7,FALSE)</f>
        <v>Individual</v>
      </c>
      <c r="Q5998" t="str">
        <f>IF(COUNTIF(Customers!$A$2:$A$1001,B5998)&gt;0,"Valid","Invalid")</f>
        <v>Valid</v>
      </c>
      <c r="R5998" t="str">
        <f>IF(COUNTIF(Branches!$A$2:$A$11,F5998)&gt;0,"Valid","Invalid")</f>
        <v>Valid</v>
      </c>
    </row>
    <row r="5999" spans="1:18" x14ac:dyDescent="0.25">
      <c r="A5999" t="s">
        <v>8070</v>
      </c>
      <c r="B5999" t="s">
        <v>910</v>
      </c>
      <c r="C5999" s="8">
        <v>46123</v>
      </c>
      <c r="D5999" t="s">
        <v>2062</v>
      </c>
      <c r="E5999" t="s">
        <v>2068</v>
      </c>
      <c r="F5999" t="s">
        <v>29</v>
      </c>
      <c r="G5999">
        <v>2439.59</v>
      </c>
      <c r="H5999" t="s">
        <v>2060</v>
      </c>
      <c r="I5999" t="str">
        <f>VLOOKUP(B5999,Customers!A:G,7,FALSE)</f>
        <v>Student</v>
      </c>
      <c r="Q5999" t="str">
        <f>IF(COUNTIF(Customers!$A$2:$A$1001,B5999)&gt;0,"Valid","Invalid")</f>
        <v>Valid</v>
      </c>
      <c r="R5999" t="str">
        <f>IF(COUNTIF(Branches!$A$2:$A$11,F5999)&gt;0,"Valid","Invalid")</f>
        <v>Valid</v>
      </c>
    </row>
    <row r="6000" spans="1:18" x14ac:dyDescent="0.25">
      <c r="A6000" t="s">
        <v>8071</v>
      </c>
      <c r="B6000" t="s">
        <v>751</v>
      </c>
      <c r="C6000" s="8">
        <v>46173</v>
      </c>
      <c r="D6000" t="s">
        <v>2062</v>
      </c>
      <c r="E6000" t="s">
        <v>2068</v>
      </c>
      <c r="F6000" t="s">
        <v>16</v>
      </c>
      <c r="G6000">
        <v>3423.63</v>
      </c>
      <c r="H6000" t="s">
        <v>2060</v>
      </c>
      <c r="I6000" t="str">
        <f>VLOOKUP(B6000,Customers!A:G,7,FALSE)</f>
        <v>SME</v>
      </c>
      <c r="Q6000" t="str">
        <f>IF(COUNTIF(Customers!$A$2:$A$1001,B6000)&gt;0,"Valid","Invalid")</f>
        <v>Valid</v>
      </c>
      <c r="R6000" t="str">
        <f>IF(COUNTIF(Branches!$A$2:$A$11,F6000)&gt;0,"Valid","Invalid")</f>
        <v>Valid</v>
      </c>
    </row>
    <row r="6001" spans="1:18" x14ac:dyDescent="0.25">
      <c r="A6001" t="s">
        <v>8072</v>
      </c>
      <c r="B6001" t="s">
        <v>143</v>
      </c>
      <c r="C6001" s="8">
        <v>46099</v>
      </c>
      <c r="D6001" t="s">
        <v>2058</v>
      </c>
      <c r="E6001" t="s">
        <v>2059</v>
      </c>
      <c r="F6001" t="s">
        <v>21</v>
      </c>
      <c r="G6001">
        <v>1148.04</v>
      </c>
      <c r="H6001" t="s">
        <v>2060</v>
      </c>
      <c r="I6001" t="str">
        <f>VLOOKUP(B6001,Customers!A:G,7,FALSE)</f>
        <v>SME</v>
      </c>
      <c r="Q6001" t="str">
        <f>IF(COUNTIF(Customers!$A$2:$A$1001,B6001)&gt;0,"Valid","Invalid")</f>
        <v>Valid</v>
      </c>
      <c r="R6001" t="str">
        <f>IF(COUNTIF(Branches!$A$2:$A$11,F6001)&gt;0,"Valid","Invalid")</f>
        <v>Valid</v>
      </c>
    </row>
    <row r="6002" spans="1:18" x14ac:dyDescent="0.25">
      <c r="B6002" t="s">
        <v>94</v>
      </c>
      <c r="C6002" s="8">
        <v>46026</v>
      </c>
      <c r="D6002" t="s">
        <v>2058</v>
      </c>
      <c r="E6002" t="s">
        <v>2063</v>
      </c>
      <c r="F6002" t="s">
        <v>45</v>
      </c>
      <c r="G6002">
        <v>1069.9100000000001</v>
      </c>
      <c r="H6002" t="s">
        <v>2060</v>
      </c>
      <c r="I6002" t="str">
        <f>VLOOKUP(B6002,Customers!A:G,7,FALSE)</f>
        <v>Individual</v>
      </c>
      <c r="Q6002" t="str">
        <f>IF(COUNTIF(Customers!$A$2:$A$1001,B6002)&gt;0,"Valid","Invalid")</f>
        <v>Valid</v>
      </c>
      <c r="R6002" t="str">
        <f>IF(COUNTIF(Branches!$A$2:$A$11,F6002)&gt;0,"Valid","Invalid")</f>
        <v>Valid</v>
      </c>
    </row>
    <row r="6003" spans="1:18" x14ac:dyDescent="0.25">
      <c r="B6003" t="s">
        <v>792</v>
      </c>
      <c r="C6003" s="8">
        <v>46121</v>
      </c>
      <c r="D6003" t="s">
        <v>2065</v>
      </c>
      <c r="E6003" t="s">
        <v>2073</v>
      </c>
      <c r="F6003" t="s">
        <v>11</v>
      </c>
      <c r="G6003">
        <v>583.57000000000005</v>
      </c>
      <c r="H6003" t="s">
        <v>2060</v>
      </c>
      <c r="I6003" t="str">
        <f>VLOOKUP(B6003,Customers!A:G,7,FALSE)</f>
        <v>SME</v>
      </c>
      <c r="Q6003" t="str">
        <f>IF(COUNTIF(Customers!$A$2:$A$1001,B6003)&gt;0,"Valid","Invalid")</f>
        <v>Valid</v>
      </c>
      <c r="R6003" t="str">
        <f>IF(COUNTIF(Branches!$A$2:$A$11,F6003)&gt;0,"Valid","Invalid")</f>
        <v>Valid</v>
      </c>
    </row>
    <row r="6004" spans="1:18" x14ac:dyDescent="0.25">
      <c r="B6004" t="s">
        <v>132</v>
      </c>
      <c r="C6004" s="8">
        <v>46094</v>
      </c>
      <c r="D6004" t="s">
        <v>2067</v>
      </c>
      <c r="E6004" t="s">
        <v>2068</v>
      </c>
      <c r="F6004" t="s">
        <v>45</v>
      </c>
      <c r="G6004">
        <v>416.11</v>
      </c>
      <c r="H6004" t="s">
        <v>2060</v>
      </c>
      <c r="I6004" t="str">
        <f>VLOOKUP(B6004,Customers!A:G,7,FALSE)</f>
        <v>Individual</v>
      </c>
      <c r="Q6004" t="str">
        <f>IF(COUNTIF(Customers!$A$2:$A$1001,B6004)&gt;0,"Valid","Invalid")</f>
        <v>Valid</v>
      </c>
      <c r="R6004" t="str">
        <f>IF(COUNTIF(Branches!$A$2:$A$11,F6004)&gt;0,"Valid","Invalid")</f>
        <v>Valid</v>
      </c>
    </row>
  </sheetData>
  <autoFilter ref="I1:I6004"/>
  <pageMargins left="0.75" right="0.75" top="1" bottom="1" header="0.5" footer="0.5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E14" sqref="E14"/>
    </sheetView>
  </sheetViews>
  <sheetFormatPr defaultRowHeight="15" x14ac:dyDescent="0.25"/>
  <cols>
    <col min="1" max="1" width="21.85546875" customWidth="1"/>
    <col min="2" max="2" width="19.5703125" customWidth="1"/>
    <col min="3" max="3" width="16.140625" customWidth="1"/>
    <col min="8" max="8" width="20.140625" customWidth="1"/>
    <col min="9" max="9" width="18.28515625" customWidth="1"/>
    <col min="10" max="10" width="18.42578125" customWidth="1"/>
    <col min="11" max="11" width="14.140625" customWidth="1"/>
  </cols>
  <sheetData>
    <row r="1" spans="1:11" x14ac:dyDescent="0.25">
      <c r="A1" s="18" t="s">
        <v>8621</v>
      </c>
      <c r="B1" s="18" t="s">
        <v>8622</v>
      </c>
      <c r="C1" s="18" t="s">
        <v>8623</v>
      </c>
      <c r="D1" s="18" t="s">
        <v>8624</v>
      </c>
      <c r="H1" s="18" t="s">
        <v>8621</v>
      </c>
      <c r="I1" s="18" t="s">
        <v>8622</v>
      </c>
      <c r="J1" s="18" t="s">
        <v>8623</v>
      </c>
      <c r="K1" s="18" t="s">
        <v>8624</v>
      </c>
    </row>
    <row r="2" spans="1:11" x14ac:dyDescent="0.25">
      <c r="A2" t="s">
        <v>8625</v>
      </c>
      <c r="B2" t="s">
        <v>8626</v>
      </c>
      <c r="C2" t="s">
        <v>8588</v>
      </c>
      <c r="D2" t="s">
        <v>8627</v>
      </c>
      <c r="H2" t="s">
        <v>8637</v>
      </c>
      <c r="I2" t="s">
        <v>8638</v>
      </c>
      <c r="J2">
        <v>0</v>
      </c>
      <c r="K2" t="s">
        <v>8627</v>
      </c>
    </row>
    <row r="3" spans="1:11" x14ac:dyDescent="0.25">
      <c r="A3" t="s">
        <v>8628</v>
      </c>
      <c r="B3" t="s">
        <v>8629</v>
      </c>
      <c r="C3" t="s">
        <v>8629</v>
      </c>
      <c r="D3" t="s">
        <v>8627</v>
      </c>
      <c r="H3" t="s">
        <v>8639</v>
      </c>
      <c r="I3" t="s">
        <v>8631</v>
      </c>
      <c r="J3">
        <v>0</v>
      </c>
      <c r="K3" t="s">
        <v>8627</v>
      </c>
    </row>
    <row r="4" spans="1:11" x14ac:dyDescent="0.25">
      <c r="A4" t="s">
        <v>8630</v>
      </c>
      <c r="B4" t="s">
        <v>8631</v>
      </c>
      <c r="C4" t="s">
        <v>8632</v>
      </c>
      <c r="D4" t="s">
        <v>8633</v>
      </c>
      <c r="H4" t="s">
        <v>8642</v>
      </c>
      <c r="I4" t="s">
        <v>8643</v>
      </c>
    </row>
    <row r="5" spans="1:11" x14ac:dyDescent="0.25">
      <c r="A5" t="s">
        <v>8634</v>
      </c>
      <c r="B5" t="s">
        <v>8629</v>
      </c>
      <c r="C5" t="s">
        <v>8629</v>
      </c>
      <c r="D5" t="s">
        <v>8627</v>
      </c>
      <c r="H5" t="s">
        <v>8644</v>
      </c>
      <c r="I5" t="s">
        <v>8646</v>
      </c>
      <c r="J5" t="s">
        <v>8645</v>
      </c>
      <c r="K5" t="s">
        <v>8627</v>
      </c>
    </row>
    <row r="6" spans="1:11" x14ac:dyDescent="0.25">
      <c r="A6" t="s">
        <v>8635</v>
      </c>
      <c r="B6" t="s">
        <v>8629</v>
      </c>
      <c r="C6" t="s">
        <v>8629</v>
      </c>
      <c r="D6" t="s">
        <v>8627</v>
      </c>
      <c r="H6" t="s">
        <v>8647</v>
      </c>
      <c r="I6" t="s">
        <v>8648</v>
      </c>
      <c r="J6" t="s">
        <v>8650</v>
      </c>
      <c r="K6" t="s">
        <v>8627</v>
      </c>
    </row>
    <row r="7" spans="1:11" x14ac:dyDescent="0.25">
      <c r="A7" t="s">
        <v>8636</v>
      </c>
      <c r="B7" t="s">
        <v>8629</v>
      </c>
      <c r="C7" t="s">
        <v>8629</v>
      </c>
      <c r="D7" t="s">
        <v>8627</v>
      </c>
      <c r="H7" t="s">
        <v>8651</v>
      </c>
      <c r="I7" t="s">
        <v>8652</v>
      </c>
      <c r="J7" t="s">
        <v>8650</v>
      </c>
      <c r="K7" t="s">
        <v>8627</v>
      </c>
    </row>
    <row r="8" spans="1:11" x14ac:dyDescent="0.25">
      <c r="H8" t="s">
        <v>8653</v>
      </c>
      <c r="I8" t="s">
        <v>8654</v>
      </c>
      <c r="J8" t="s">
        <v>8649</v>
      </c>
      <c r="K8" t="s">
        <v>8627</v>
      </c>
    </row>
    <row r="9" spans="1:11" x14ac:dyDescent="0.25">
      <c r="H9" t="s">
        <v>8653</v>
      </c>
      <c r="I9" t="s">
        <v>8655</v>
      </c>
      <c r="J9" t="s">
        <v>8649</v>
      </c>
      <c r="K9" t="s">
        <v>8627</v>
      </c>
    </row>
    <row r="10" spans="1:11" x14ac:dyDescent="0.25">
      <c r="H10" t="s">
        <v>8656</v>
      </c>
      <c r="I10" t="s">
        <v>8655</v>
      </c>
      <c r="J10" t="s">
        <v>8649</v>
      </c>
      <c r="K10" t="s">
        <v>8627</v>
      </c>
    </row>
    <row r="11" spans="1:11" x14ac:dyDescent="0.25">
      <c r="H11" t="s">
        <v>8657</v>
      </c>
      <c r="I11" t="s">
        <v>8658</v>
      </c>
      <c r="J11" t="s">
        <v>8649</v>
      </c>
      <c r="K11" t="s">
        <v>8627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1"/>
  <sheetViews>
    <sheetView workbookViewId="0">
      <selection activeCell="H1" sqref="H1"/>
    </sheetView>
  </sheetViews>
  <sheetFormatPr defaultRowHeight="15" x14ac:dyDescent="0.25"/>
  <cols>
    <col min="1" max="1" width="12.5703125" customWidth="1"/>
    <col min="3" max="3" width="12.85546875" customWidth="1"/>
    <col min="4" max="4" width="14.140625" customWidth="1"/>
    <col min="5" max="5" width="12" customWidth="1"/>
    <col min="6" max="6" width="18" style="8" customWidth="1"/>
    <col min="7" max="7" width="15" customWidth="1"/>
    <col min="8" max="8" width="13.85546875" customWidth="1"/>
    <col min="12" max="12" width="17.7109375" customWidth="1"/>
    <col min="13" max="13" width="19.85546875" bestFit="1" customWidth="1"/>
  </cols>
  <sheetData>
    <row r="1" spans="1:13" x14ac:dyDescent="0.25">
      <c r="A1" s="1" t="s">
        <v>8073</v>
      </c>
      <c r="B1" s="1" t="s">
        <v>0</v>
      </c>
      <c r="C1" s="1" t="s">
        <v>8074</v>
      </c>
      <c r="D1" s="1" t="s">
        <v>8075</v>
      </c>
      <c r="E1" s="1" t="s">
        <v>8076</v>
      </c>
      <c r="F1" s="7" t="s">
        <v>8077</v>
      </c>
      <c r="G1" s="1" t="s">
        <v>8078</v>
      </c>
      <c r="H1" s="44" t="s">
        <v>8079</v>
      </c>
    </row>
    <row r="2" spans="1:13" x14ac:dyDescent="0.25">
      <c r="A2" t="s">
        <v>8080</v>
      </c>
      <c r="B2" t="s">
        <v>1012</v>
      </c>
      <c r="C2" t="s">
        <v>8081</v>
      </c>
      <c r="D2">
        <v>3502.93</v>
      </c>
      <c r="E2" t="s">
        <v>1050</v>
      </c>
      <c r="F2" s="8">
        <v>45905</v>
      </c>
      <c r="G2">
        <v>31.22</v>
      </c>
      <c r="H2">
        <v>24</v>
      </c>
      <c r="L2" s="4" t="s">
        <v>8561</v>
      </c>
      <c r="M2" t="s">
        <v>8567</v>
      </c>
    </row>
    <row r="3" spans="1:13" x14ac:dyDescent="0.25">
      <c r="A3" t="s">
        <v>8082</v>
      </c>
      <c r="B3" t="s">
        <v>552</v>
      </c>
      <c r="C3" t="s">
        <v>8081</v>
      </c>
      <c r="D3">
        <v>17350.650000000001</v>
      </c>
      <c r="E3" t="s">
        <v>1050</v>
      </c>
      <c r="F3" s="8">
        <v>46162</v>
      </c>
      <c r="G3">
        <v>17.43</v>
      </c>
      <c r="H3">
        <v>12</v>
      </c>
      <c r="L3" s="5" t="s">
        <v>8124</v>
      </c>
      <c r="M3" s="6">
        <v>48</v>
      </c>
    </row>
    <row r="4" spans="1:13" x14ac:dyDescent="0.25">
      <c r="A4" t="s">
        <v>8083</v>
      </c>
      <c r="B4" t="s">
        <v>491</v>
      </c>
      <c r="C4" t="s">
        <v>8084</v>
      </c>
      <c r="D4">
        <v>9657.24</v>
      </c>
      <c r="E4" t="s">
        <v>1050</v>
      </c>
      <c r="F4" s="8">
        <v>46010</v>
      </c>
      <c r="G4">
        <v>21.29</v>
      </c>
      <c r="H4">
        <v>24</v>
      </c>
      <c r="L4" s="5" t="s">
        <v>8084</v>
      </c>
      <c r="M4" s="6">
        <v>207</v>
      </c>
    </row>
    <row r="5" spans="1:13" x14ac:dyDescent="0.25">
      <c r="A5" t="s">
        <v>8085</v>
      </c>
      <c r="B5" t="s">
        <v>168</v>
      </c>
      <c r="C5" t="s">
        <v>8081</v>
      </c>
      <c r="D5">
        <v>8862.2800000000007</v>
      </c>
      <c r="E5" t="s">
        <v>1050</v>
      </c>
      <c r="F5" s="8">
        <v>45801</v>
      </c>
      <c r="G5">
        <v>25.84</v>
      </c>
      <c r="H5">
        <v>12</v>
      </c>
      <c r="L5" s="5" t="s">
        <v>8081</v>
      </c>
      <c r="M5" s="6">
        <v>97</v>
      </c>
    </row>
    <row r="6" spans="1:13" x14ac:dyDescent="0.25">
      <c r="A6" t="s">
        <v>8086</v>
      </c>
      <c r="B6" t="s">
        <v>754</v>
      </c>
      <c r="C6" t="s">
        <v>8084</v>
      </c>
      <c r="D6">
        <v>26228.41</v>
      </c>
      <c r="E6" t="s">
        <v>8087</v>
      </c>
      <c r="F6" s="8">
        <v>46007</v>
      </c>
      <c r="G6">
        <v>16.47</v>
      </c>
      <c r="H6">
        <v>6</v>
      </c>
      <c r="L6" s="5" t="s">
        <v>22</v>
      </c>
      <c r="M6" s="6">
        <v>98</v>
      </c>
    </row>
    <row r="7" spans="1:13" x14ac:dyDescent="0.25">
      <c r="A7" t="s">
        <v>8088</v>
      </c>
      <c r="B7" t="s">
        <v>729</v>
      </c>
      <c r="C7" t="s">
        <v>8084</v>
      </c>
      <c r="D7">
        <v>22925.68</v>
      </c>
      <c r="E7" t="s">
        <v>1050</v>
      </c>
      <c r="F7" s="8">
        <v>46172</v>
      </c>
      <c r="G7">
        <v>26.43</v>
      </c>
      <c r="H7">
        <v>36</v>
      </c>
      <c r="L7" s="5" t="s">
        <v>8563</v>
      </c>
      <c r="M7" s="6">
        <v>450</v>
      </c>
    </row>
    <row r="8" spans="1:13" x14ac:dyDescent="0.25">
      <c r="A8" t="s">
        <v>8089</v>
      </c>
      <c r="B8" t="s">
        <v>74</v>
      </c>
      <c r="C8" t="s">
        <v>8081</v>
      </c>
      <c r="D8">
        <v>35970.61</v>
      </c>
      <c r="E8" t="s">
        <v>8087</v>
      </c>
      <c r="F8" s="8">
        <v>45974</v>
      </c>
      <c r="G8">
        <v>17.22</v>
      </c>
      <c r="H8">
        <v>12</v>
      </c>
    </row>
    <row r="9" spans="1:13" x14ac:dyDescent="0.25">
      <c r="A9" t="s">
        <v>8090</v>
      </c>
      <c r="B9" t="s">
        <v>627</v>
      </c>
      <c r="C9" t="s">
        <v>8084</v>
      </c>
      <c r="D9">
        <v>24585.37</v>
      </c>
      <c r="E9" t="s">
        <v>1050</v>
      </c>
      <c r="F9" s="8">
        <v>45683</v>
      </c>
      <c r="G9">
        <v>22.11</v>
      </c>
      <c r="H9">
        <v>6</v>
      </c>
    </row>
    <row r="10" spans="1:13" x14ac:dyDescent="0.25">
      <c r="A10" t="s">
        <v>8091</v>
      </c>
      <c r="B10" t="s">
        <v>745</v>
      </c>
      <c r="C10" t="s">
        <v>8081</v>
      </c>
      <c r="D10">
        <v>20822.63</v>
      </c>
      <c r="E10" t="s">
        <v>1050</v>
      </c>
      <c r="F10" s="8">
        <v>46187</v>
      </c>
      <c r="G10">
        <v>10.58</v>
      </c>
      <c r="H10">
        <v>36</v>
      </c>
      <c r="L10" s="4" t="s">
        <v>8561</v>
      </c>
      <c r="M10" t="s">
        <v>8568</v>
      </c>
    </row>
    <row r="11" spans="1:13" x14ac:dyDescent="0.25">
      <c r="A11" t="s">
        <v>8092</v>
      </c>
      <c r="B11" t="s">
        <v>194</v>
      </c>
      <c r="C11" t="s">
        <v>8084</v>
      </c>
      <c r="D11">
        <v>11534.99</v>
      </c>
      <c r="E11" t="s">
        <v>8087</v>
      </c>
      <c r="F11" s="8">
        <v>45979</v>
      </c>
      <c r="G11">
        <v>11.95</v>
      </c>
      <c r="H11">
        <v>36</v>
      </c>
      <c r="L11" s="5" t="s">
        <v>1050</v>
      </c>
      <c r="M11" s="6">
        <v>256</v>
      </c>
    </row>
    <row r="12" spans="1:13" x14ac:dyDescent="0.25">
      <c r="A12" t="s">
        <v>8093</v>
      </c>
      <c r="B12" t="s">
        <v>209</v>
      </c>
      <c r="C12" t="s">
        <v>8084</v>
      </c>
      <c r="D12">
        <v>8591.2199999999993</v>
      </c>
      <c r="E12" t="s">
        <v>1050</v>
      </c>
      <c r="F12" s="8">
        <v>45953</v>
      </c>
      <c r="G12">
        <v>15.68</v>
      </c>
      <c r="H12">
        <v>24</v>
      </c>
      <c r="L12" s="5" t="s">
        <v>8105</v>
      </c>
      <c r="M12" s="6">
        <v>24</v>
      </c>
    </row>
    <row r="13" spans="1:13" x14ac:dyDescent="0.25">
      <c r="A13" t="s">
        <v>8094</v>
      </c>
      <c r="B13" t="s">
        <v>625</v>
      </c>
      <c r="C13" t="s">
        <v>22</v>
      </c>
      <c r="D13">
        <v>29123.23</v>
      </c>
      <c r="E13" t="s">
        <v>1050</v>
      </c>
      <c r="F13" s="8">
        <v>45788</v>
      </c>
      <c r="G13">
        <v>30.16</v>
      </c>
      <c r="H13">
        <v>48</v>
      </c>
      <c r="L13" s="5" t="s">
        <v>8087</v>
      </c>
      <c r="M13" s="6">
        <v>135</v>
      </c>
    </row>
    <row r="14" spans="1:13" x14ac:dyDescent="0.25">
      <c r="A14" t="s">
        <v>8095</v>
      </c>
      <c r="B14" t="s">
        <v>727</v>
      </c>
      <c r="C14" t="s">
        <v>8084</v>
      </c>
      <c r="D14">
        <v>14696.04</v>
      </c>
      <c r="E14" t="s">
        <v>1050</v>
      </c>
      <c r="F14" s="8">
        <v>45674</v>
      </c>
      <c r="G14">
        <v>26.51</v>
      </c>
      <c r="H14">
        <v>36</v>
      </c>
      <c r="L14" s="5" t="s">
        <v>8101</v>
      </c>
      <c r="M14" s="6">
        <v>35</v>
      </c>
    </row>
    <row r="15" spans="1:13" x14ac:dyDescent="0.25">
      <c r="A15" t="s">
        <v>8096</v>
      </c>
      <c r="B15" t="s">
        <v>670</v>
      </c>
      <c r="C15" t="s">
        <v>8084</v>
      </c>
      <c r="D15">
        <v>24819.21</v>
      </c>
      <c r="E15" t="s">
        <v>1050</v>
      </c>
      <c r="F15" s="8">
        <v>46239</v>
      </c>
      <c r="G15">
        <v>32.340000000000003</v>
      </c>
      <c r="H15">
        <v>36</v>
      </c>
      <c r="L15" s="5" t="s">
        <v>8563</v>
      </c>
      <c r="M15" s="6">
        <v>450</v>
      </c>
    </row>
    <row r="16" spans="1:13" x14ac:dyDescent="0.25">
      <c r="A16" t="s">
        <v>8097</v>
      </c>
      <c r="B16" t="s">
        <v>655</v>
      </c>
      <c r="C16" t="s">
        <v>22</v>
      </c>
      <c r="D16">
        <v>17968.759999999998</v>
      </c>
      <c r="E16" t="s">
        <v>1050</v>
      </c>
      <c r="F16" s="8">
        <v>45842</v>
      </c>
      <c r="G16">
        <v>32.619999999999997</v>
      </c>
      <c r="H16">
        <v>6</v>
      </c>
    </row>
    <row r="17" spans="1:13" x14ac:dyDescent="0.25">
      <c r="A17" t="s">
        <v>8098</v>
      </c>
      <c r="B17" t="s">
        <v>895</v>
      </c>
      <c r="C17" t="s">
        <v>8084</v>
      </c>
      <c r="D17">
        <v>3516.14</v>
      </c>
      <c r="E17" t="s">
        <v>8087</v>
      </c>
      <c r="F17" s="8">
        <v>45706</v>
      </c>
      <c r="G17">
        <v>19.37</v>
      </c>
      <c r="H17">
        <v>12</v>
      </c>
    </row>
    <row r="18" spans="1:13" x14ac:dyDescent="0.25">
      <c r="A18" t="s">
        <v>8099</v>
      </c>
      <c r="B18" t="s">
        <v>1014</v>
      </c>
      <c r="C18" t="s">
        <v>8081</v>
      </c>
      <c r="D18">
        <v>26550.41</v>
      </c>
      <c r="E18" t="s">
        <v>1050</v>
      </c>
      <c r="F18" s="8">
        <v>45733</v>
      </c>
      <c r="G18">
        <v>19.190000000000001</v>
      </c>
      <c r="H18">
        <v>12</v>
      </c>
      <c r="L18" s="5" t="s">
        <v>8641</v>
      </c>
      <c r="M18" s="19">
        <f>MIN(G2:G451)</f>
        <v>10.01</v>
      </c>
    </row>
    <row r="19" spans="1:13" x14ac:dyDescent="0.25">
      <c r="A19" t="s">
        <v>8100</v>
      </c>
      <c r="B19" t="s">
        <v>395</v>
      </c>
      <c r="C19" t="s">
        <v>8081</v>
      </c>
      <c r="D19">
        <v>10930.36</v>
      </c>
      <c r="E19" t="s">
        <v>8101</v>
      </c>
      <c r="F19" s="8">
        <v>46185</v>
      </c>
      <c r="G19">
        <v>30.89</v>
      </c>
      <c r="H19">
        <v>36</v>
      </c>
      <c r="L19" s="5" t="s">
        <v>8640</v>
      </c>
      <c r="M19" s="19">
        <f>MAX(G3:G452)</f>
        <v>34.97</v>
      </c>
    </row>
    <row r="20" spans="1:13" x14ac:dyDescent="0.25">
      <c r="A20" t="s">
        <v>8102</v>
      </c>
      <c r="B20" t="s">
        <v>122</v>
      </c>
      <c r="C20" t="s">
        <v>22</v>
      </c>
      <c r="D20">
        <v>36003.040000000001</v>
      </c>
      <c r="E20" t="s">
        <v>1050</v>
      </c>
      <c r="F20" s="8">
        <v>45663</v>
      </c>
      <c r="G20">
        <v>20.66</v>
      </c>
      <c r="H20">
        <v>36</v>
      </c>
    </row>
    <row r="21" spans="1:13" x14ac:dyDescent="0.25">
      <c r="A21" t="s">
        <v>8103</v>
      </c>
      <c r="B21" t="s">
        <v>969</v>
      </c>
      <c r="C21" t="s">
        <v>8084</v>
      </c>
      <c r="D21">
        <v>4076.13</v>
      </c>
      <c r="E21" t="s">
        <v>1050</v>
      </c>
      <c r="F21" s="8">
        <v>45691</v>
      </c>
      <c r="G21">
        <v>31.43</v>
      </c>
      <c r="H21">
        <v>24</v>
      </c>
    </row>
    <row r="22" spans="1:13" x14ac:dyDescent="0.25">
      <c r="A22" t="s">
        <v>8104</v>
      </c>
      <c r="B22" t="s">
        <v>587</v>
      </c>
      <c r="C22" t="s">
        <v>22</v>
      </c>
      <c r="D22">
        <v>82392.41</v>
      </c>
      <c r="E22" t="s">
        <v>8105</v>
      </c>
      <c r="F22" s="8">
        <v>45716</v>
      </c>
      <c r="G22">
        <v>22.65</v>
      </c>
      <c r="H22">
        <v>12</v>
      </c>
    </row>
    <row r="23" spans="1:13" x14ac:dyDescent="0.25">
      <c r="A23" t="s">
        <v>8106</v>
      </c>
      <c r="B23" t="s">
        <v>805</v>
      </c>
      <c r="C23" t="s">
        <v>8081</v>
      </c>
      <c r="D23">
        <v>11194.83</v>
      </c>
      <c r="E23" t="s">
        <v>1050</v>
      </c>
      <c r="F23" s="8">
        <v>45724</v>
      </c>
      <c r="G23">
        <v>20.62</v>
      </c>
      <c r="H23">
        <v>6</v>
      </c>
    </row>
    <row r="24" spans="1:13" x14ac:dyDescent="0.25">
      <c r="A24" t="s">
        <v>8107</v>
      </c>
      <c r="B24" t="s">
        <v>408</v>
      </c>
      <c r="C24" t="s">
        <v>8084</v>
      </c>
      <c r="D24">
        <v>26290.3</v>
      </c>
      <c r="E24" t="s">
        <v>8101</v>
      </c>
      <c r="F24" s="8">
        <v>45912</v>
      </c>
      <c r="G24">
        <v>16.98</v>
      </c>
      <c r="H24">
        <v>3</v>
      </c>
    </row>
    <row r="25" spans="1:13" x14ac:dyDescent="0.25">
      <c r="A25" t="s">
        <v>8108</v>
      </c>
      <c r="B25" t="s">
        <v>861</v>
      </c>
      <c r="C25" t="s">
        <v>8084</v>
      </c>
      <c r="D25">
        <v>10197.91</v>
      </c>
      <c r="E25" t="s">
        <v>1050</v>
      </c>
      <c r="F25" s="8">
        <v>46060</v>
      </c>
      <c r="G25">
        <v>13.16</v>
      </c>
      <c r="H25">
        <v>24</v>
      </c>
    </row>
    <row r="26" spans="1:13" x14ac:dyDescent="0.25">
      <c r="A26" t="s">
        <v>8109</v>
      </c>
      <c r="B26" t="s">
        <v>401</v>
      </c>
      <c r="C26" t="s">
        <v>8081</v>
      </c>
      <c r="D26">
        <v>11369.29</v>
      </c>
      <c r="E26" t="s">
        <v>1050</v>
      </c>
      <c r="F26" s="8">
        <v>45814</v>
      </c>
      <c r="G26">
        <v>23.15</v>
      </c>
      <c r="H26">
        <v>48</v>
      </c>
    </row>
    <row r="27" spans="1:13" x14ac:dyDescent="0.25">
      <c r="A27" t="s">
        <v>8110</v>
      </c>
      <c r="B27" t="s">
        <v>291</v>
      </c>
      <c r="C27" t="s">
        <v>8084</v>
      </c>
      <c r="D27">
        <v>31202.01</v>
      </c>
      <c r="E27" t="s">
        <v>1050</v>
      </c>
      <c r="F27" s="8">
        <v>45689</v>
      </c>
      <c r="G27">
        <v>18.13</v>
      </c>
      <c r="H27">
        <v>12</v>
      </c>
    </row>
    <row r="28" spans="1:13" x14ac:dyDescent="0.25">
      <c r="A28" t="s">
        <v>8111</v>
      </c>
      <c r="B28" t="s">
        <v>138</v>
      </c>
      <c r="C28" t="s">
        <v>22</v>
      </c>
      <c r="D28">
        <v>15342.55</v>
      </c>
      <c r="E28" t="s">
        <v>1050</v>
      </c>
      <c r="F28" s="8">
        <v>45667</v>
      </c>
      <c r="G28">
        <v>16.239999999999998</v>
      </c>
      <c r="H28">
        <v>24</v>
      </c>
    </row>
    <row r="29" spans="1:13" x14ac:dyDescent="0.25">
      <c r="A29" t="s">
        <v>8112</v>
      </c>
      <c r="B29" t="s">
        <v>602</v>
      </c>
      <c r="C29" t="s">
        <v>8084</v>
      </c>
      <c r="D29">
        <v>16219.08</v>
      </c>
      <c r="E29" t="s">
        <v>8087</v>
      </c>
      <c r="F29" s="8">
        <v>46032</v>
      </c>
      <c r="G29">
        <v>14.24</v>
      </c>
      <c r="H29">
        <v>36</v>
      </c>
    </row>
    <row r="30" spans="1:13" x14ac:dyDescent="0.25">
      <c r="A30" t="s">
        <v>8113</v>
      </c>
      <c r="B30" t="s">
        <v>240</v>
      </c>
      <c r="C30" t="s">
        <v>8081</v>
      </c>
      <c r="D30">
        <v>35581.1</v>
      </c>
      <c r="E30" t="s">
        <v>1050</v>
      </c>
      <c r="F30" s="8">
        <v>46006</v>
      </c>
      <c r="G30">
        <v>19.72</v>
      </c>
      <c r="H30">
        <v>6</v>
      </c>
    </row>
    <row r="31" spans="1:13" x14ac:dyDescent="0.25">
      <c r="A31" t="s">
        <v>8114</v>
      </c>
      <c r="B31" t="s">
        <v>129</v>
      </c>
      <c r="C31" t="s">
        <v>8084</v>
      </c>
      <c r="D31">
        <v>20976.25</v>
      </c>
      <c r="E31" t="s">
        <v>1050</v>
      </c>
      <c r="F31" s="8">
        <v>46246</v>
      </c>
      <c r="G31">
        <v>23.9</v>
      </c>
      <c r="H31">
        <v>36</v>
      </c>
    </row>
    <row r="32" spans="1:13" x14ac:dyDescent="0.25">
      <c r="A32" t="s">
        <v>8115</v>
      </c>
      <c r="B32" t="s">
        <v>901</v>
      </c>
      <c r="C32" t="s">
        <v>8081</v>
      </c>
      <c r="D32">
        <v>25812.32</v>
      </c>
      <c r="E32" t="s">
        <v>1050</v>
      </c>
      <c r="F32" s="8">
        <v>46189</v>
      </c>
      <c r="G32">
        <v>30.93</v>
      </c>
      <c r="H32">
        <v>24</v>
      </c>
    </row>
    <row r="33" spans="1:8" x14ac:dyDescent="0.25">
      <c r="A33" t="s">
        <v>8116</v>
      </c>
      <c r="B33" t="s">
        <v>388</v>
      </c>
      <c r="C33" t="s">
        <v>8084</v>
      </c>
      <c r="D33">
        <v>10940.51</v>
      </c>
      <c r="E33" t="s">
        <v>1050</v>
      </c>
      <c r="F33" s="8">
        <v>45813</v>
      </c>
      <c r="G33">
        <v>30.5</v>
      </c>
      <c r="H33">
        <v>24</v>
      </c>
    </row>
    <row r="34" spans="1:8" x14ac:dyDescent="0.25">
      <c r="A34" t="s">
        <v>8117</v>
      </c>
      <c r="B34" t="s">
        <v>88</v>
      </c>
      <c r="C34" t="s">
        <v>8081</v>
      </c>
      <c r="D34">
        <v>30737.56</v>
      </c>
      <c r="E34" t="s">
        <v>8101</v>
      </c>
      <c r="F34" s="8">
        <v>45684</v>
      </c>
      <c r="G34">
        <v>31.38</v>
      </c>
      <c r="H34">
        <v>24</v>
      </c>
    </row>
    <row r="35" spans="1:8" x14ac:dyDescent="0.25">
      <c r="A35" t="s">
        <v>8118</v>
      </c>
      <c r="B35" t="s">
        <v>521</v>
      </c>
      <c r="C35" t="s">
        <v>8084</v>
      </c>
      <c r="D35">
        <v>19717.93</v>
      </c>
      <c r="E35" t="s">
        <v>1050</v>
      </c>
      <c r="F35" s="8">
        <v>45810</v>
      </c>
      <c r="G35">
        <v>24.41</v>
      </c>
      <c r="H35">
        <v>12</v>
      </c>
    </row>
    <row r="36" spans="1:8" x14ac:dyDescent="0.25">
      <c r="A36" t="s">
        <v>8119</v>
      </c>
      <c r="B36" t="s">
        <v>195</v>
      </c>
      <c r="C36" t="s">
        <v>22</v>
      </c>
      <c r="D36">
        <v>25446.15</v>
      </c>
      <c r="E36" t="s">
        <v>8087</v>
      </c>
      <c r="F36" s="8">
        <v>45942</v>
      </c>
      <c r="G36">
        <v>23.99</v>
      </c>
      <c r="H36">
        <v>24</v>
      </c>
    </row>
    <row r="37" spans="1:8" x14ac:dyDescent="0.25">
      <c r="A37" t="s">
        <v>8120</v>
      </c>
      <c r="B37" t="s">
        <v>233</v>
      </c>
      <c r="C37" t="s">
        <v>8081</v>
      </c>
      <c r="D37">
        <v>24125.27</v>
      </c>
      <c r="E37" t="s">
        <v>1050</v>
      </c>
      <c r="F37" s="8">
        <v>45907</v>
      </c>
      <c r="G37">
        <v>32.630000000000003</v>
      </c>
      <c r="H37">
        <v>12</v>
      </c>
    </row>
    <row r="38" spans="1:8" x14ac:dyDescent="0.25">
      <c r="A38" t="s">
        <v>8121</v>
      </c>
      <c r="B38" t="s">
        <v>966</v>
      </c>
      <c r="C38" t="s">
        <v>8084</v>
      </c>
      <c r="D38">
        <v>44517.75</v>
      </c>
      <c r="E38" t="s">
        <v>1050</v>
      </c>
      <c r="F38" s="8">
        <v>46086</v>
      </c>
      <c r="G38">
        <v>17.21</v>
      </c>
      <c r="H38">
        <v>6</v>
      </c>
    </row>
    <row r="39" spans="1:8" x14ac:dyDescent="0.25">
      <c r="A39" t="s">
        <v>8122</v>
      </c>
      <c r="B39" t="s">
        <v>380</v>
      </c>
      <c r="C39" t="s">
        <v>8084</v>
      </c>
      <c r="D39">
        <v>27007.119999999999</v>
      </c>
      <c r="E39" t="s">
        <v>8087</v>
      </c>
      <c r="F39" s="8">
        <v>46214</v>
      </c>
      <c r="G39">
        <v>13.64</v>
      </c>
      <c r="H39">
        <v>24</v>
      </c>
    </row>
    <row r="40" spans="1:8" x14ac:dyDescent="0.25">
      <c r="A40" t="s">
        <v>8123</v>
      </c>
      <c r="B40" t="s">
        <v>907</v>
      </c>
      <c r="C40" t="s">
        <v>8124</v>
      </c>
      <c r="D40">
        <v>7129.73</v>
      </c>
      <c r="E40" t="s">
        <v>8087</v>
      </c>
      <c r="F40" s="8">
        <v>45943</v>
      </c>
      <c r="G40">
        <v>12.07</v>
      </c>
      <c r="H40">
        <v>12</v>
      </c>
    </row>
    <row r="41" spans="1:8" x14ac:dyDescent="0.25">
      <c r="A41" t="s">
        <v>8125</v>
      </c>
      <c r="B41" t="s">
        <v>687</v>
      </c>
      <c r="C41" t="s">
        <v>8084</v>
      </c>
      <c r="D41">
        <v>11208.28</v>
      </c>
      <c r="E41" t="s">
        <v>8105</v>
      </c>
      <c r="F41" s="8">
        <v>46163</v>
      </c>
      <c r="G41">
        <v>32.03</v>
      </c>
      <c r="H41">
        <v>24</v>
      </c>
    </row>
    <row r="42" spans="1:8" x14ac:dyDescent="0.25">
      <c r="A42" t="s">
        <v>8126</v>
      </c>
      <c r="B42" t="s">
        <v>453</v>
      </c>
      <c r="C42" t="s">
        <v>8081</v>
      </c>
      <c r="D42">
        <v>21613.18</v>
      </c>
      <c r="E42" t="s">
        <v>8087</v>
      </c>
      <c r="F42" s="8">
        <v>45951</v>
      </c>
      <c r="G42">
        <v>19.29</v>
      </c>
      <c r="H42">
        <v>12</v>
      </c>
    </row>
    <row r="43" spans="1:8" x14ac:dyDescent="0.25">
      <c r="A43" t="s">
        <v>8127</v>
      </c>
      <c r="B43" t="s">
        <v>474</v>
      </c>
      <c r="C43" t="s">
        <v>8084</v>
      </c>
      <c r="D43">
        <v>24803.29</v>
      </c>
      <c r="E43" t="s">
        <v>1050</v>
      </c>
      <c r="F43" s="8">
        <v>46101</v>
      </c>
      <c r="G43">
        <v>22.47</v>
      </c>
      <c r="H43">
        <v>24</v>
      </c>
    </row>
    <row r="44" spans="1:8" x14ac:dyDescent="0.25">
      <c r="A44" t="s">
        <v>8128</v>
      </c>
      <c r="B44" t="s">
        <v>262</v>
      </c>
      <c r="C44" t="s">
        <v>22</v>
      </c>
      <c r="D44">
        <v>6248.45</v>
      </c>
      <c r="E44" t="s">
        <v>1050</v>
      </c>
      <c r="F44" s="8">
        <v>45945</v>
      </c>
      <c r="G44">
        <v>30.08</v>
      </c>
      <c r="H44">
        <v>36</v>
      </c>
    </row>
    <row r="45" spans="1:8" x14ac:dyDescent="0.25">
      <c r="A45" t="s">
        <v>8129</v>
      </c>
      <c r="B45" t="s">
        <v>794</v>
      </c>
      <c r="C45" t="s">
        <v>8084</v>
      </c>
      <c r="D45">
        <v>8152.62</v>
      </c>
      <c r="E45" t="s">
        <v>8087</v>
      </c>
      <c r="F45" s="8">
        <v>45963</v>
      </c>
      <c r="G45">
        <v>19.329999999999998</v>
      </c>
      <c r="H45">
        <v>6</v>
      </c>
    </row>
    <row r="46" spans="1:8" x14ac:dyDescent="0.25">
      <c r="A46" t="s">
        <v>8130</v>
      </c>
      <c r="B46" t="s">
        <v>182</v>
      </c>
      <c r="C46" t="s">
        <v>8081</v>
      </c>
      <c r="D46">
        <v>43254.34</v>
      </c>
      <c r="E46" t="s">
        <v>1050</v>
      </c>
      <c r="F46" s="8">
        <v>45728</v>
      </c>
      <c r="G46">
        <v>31.7</v>
      </c>
      <c r="H46">
        <v>3</v>
      </c>
    </row>
    <row r="47" spans="1:8" x14ac:dyDescent="0.25">
      <c r="A47" t="s">
        <v>8131</v>
      </c>
      <c r="B47" t="s">
        <v>470</v>
      </c>
      <c r="C47" t="s">
        <v>8084</v>
      </c>
      <c r="D47">
        <v>86911.35</v>
      </c>
      <c r="E47" t="s">
        <v>8087</v>
      </c>
      <c r="F47" s="8">
        <v>45820</v>
      </c>
      <c r="G47">
        <v>18.04</v>
      </c>
      <c r="H47">
        <v>12</v>
      </c>
    </row>
    <row r="48" spans="1:8" x14ac:dyDescent="0.25">
      <c r="A48" t="s">
        <v>8132</v>
      </c>
      <c r="B48" t="s">
        <v>821</v>
      </c>
      <c r="C48" t="s">
        <v>22</v>
      </c>
      <c r="D48">
        <v>4801.03</v>
      </c>
      <c r="E48" t="s">
        <v>8087</v>
      </c>
      <c r="F48" s="8">
        <v>46138</v>
      </c>
      <c r="G48">
        <v>28.31</v>
      </c>
      <c r="H48">
        <v>24</v>
      </c>
    </row>
    <row r="49" spans="1:8" x14ac:dyDescent="0.25">
      <c r="A49" t="s">
        <v>8133</v>
      </c>
      <c r="B49" t="s">
        <v>85</v>
      </c>
      <c r="C49" t="s">
        <v>8084</v>
      </c>
      <c r="D49">
        <v>22171.16</v>
      </c>
      <c r="E49" t="s">
        <v>8105</v>
      </c>
      <c r="F49" s="8">
        <v>46245</v>
      </c>
      <c r="G49">
        <v>26.68</v>
      </c>
      <c r="H49">
        <v>36</v>
      </c>
    </row>
    <row r="50" spans="1:8" x14ac:dyDescent="0.25">
      <c r="A50" t="s">
        <v>8134</v>
      </c>
      <c r="B50" t="s">
        <v>701</v>
      </c>
      <c r="C50" t="s">
        <v>22</v>
      </c>
      <c r="D50">
        <v>18737.93</v>
      </c>
      <c r="E50" t="s">
        <v>8087</v>
      </c>
      <c r="F50" s="8">
        <v>46000</v>
      </c>
      <c r="G50">
        <v>15.03</v>
      </c>
      <c r="H50">
        <v>3</v>
      </c>
    </row>
    <row r="51" spans="1:8" x14ac:dyDescent="0.25">
      <c r="A51" t="s">
        <v>8135</v>
      </c>
      <c r="B51" t="s">
        <v>435</v>
      </c>
      <c r="C51" t="s">
        <v>8084</v>
      </c>
      <c r="D51">
        <v>40502.800000000003</v>
      </c>
      <c r="E51" t="s">
        <v>8087</v>
      </c>
      <c r="F51" s="8">
        <v>46174</v>
      </c>
      <c r="G51">
        <v>13.11</v>
      </c>
      <c r="H51">
        <v>36</v>
      </c>
    </row>
    <row r="52" spans="1:8" x14ac:dyDescent="0.25">
      <c r="A52" t="s">
        <v>8136</v>
      </c>
      <c r="B52" t="s">
        <v>277</v>
      </c>
      <c r="C52" t="s">
        <v>8084</v>
      </c>
      <c r="D52">
        <v>26825.17</v>
      </c>
      <c r="E52" t="s">
        <v>1050</v>
      </c>
      <c r="F52" s="8">
        <v>45764</v>
      </c>
      <c r="G52">
        <v>12.79</v>
      </c>
      <c r="H52">
        <v>3</v>
      </c>
    </row>
    <row r="53" spans="1:8" x14ac:dyDescent="0.25">
      <c r="A53" t="s">
        <v>8137</v>
      </c>
      <c r="B53" t="s">
        <v>466</v>
      </c>
      <c r="C53" t="s">
        <v>22</v>
      </c>
      <c r="D53">
        <v>35006.17</v>
      </c>
      <c r="E53" t="s">
        <v>8087</v>
      </c>
      <c r="F53" s="8">
        <v>46155</v>
      </c>
      <c r="G53">
        <v>26.27</v>
      </c>
      <c r="H53">
        <v>24</v>
      </c>
    </row>
    <row r="54" spans="1:8" x14ac:dyDescent="0.25">
      <c r="A54" t="s">
        <v>8138</v>
      </c>
      <c r="B54" t="s">
        <v>367</v>
      </c>
      <c r="C54" t="s">
        <v>8084</v>
      </c>
      <c r="D54">
        <v>2908.33</v>
      </c>
      <c r="E54" t="s">
        <v>1050</v>
      </c>
      <c r="F54" s="8">
        <v>45658</v>
      </c>
      <c r="G54">
        <v>10.32</v>
      </c>
      <c r="H54">
        <v>12</v>
      </c>
    </row>
    <row r="55" spans="1:8" x14ac:dyDescent="0.25">
      <c r="A55" t="s">
        <v>8139</v>
      </c>
      <c r="B55" t="s">
        <v>902</v>
      </c>
      <c r="C55" t="s">
        <v>8081</v>
      </c>
      <c r="D55">
        <v>17931.099999999999</v>
      </c>
      <c r="E55" t="s">
        <v>8087</v>
      </c>
      <c r="F55" s="8">
        <v>46255</v>
      </c>
      <c r="G55">
        <v>26.52</v>
      </c>
      <c r="H55">
        <v>3</v>
      </c>
    </row>
    <row r="56" spans="1:8" x14ac:dyDescent="0.25">
      <c r="A56" t="s">
        <v>8140</v>
      </c>
      <c r="B56" t="s">
        <v>343</v>
      </c>
      <c r="C56" t="s">
        <v>8081</v>
      </c>
      <c r="D56">
        <v>8734.7099999999991</v>
      </c>
      <c r="E56" t="s">
        <v>8087</v>
      </c>
      <c r="F56" s="8">
        <v>46133</v>
      </c>
      <c r="G56">
        <v>29.55</v>
      </c>
      <c r="H56">
        <v>6</v>
      </c>
    </row>
    <row r="57" spans="1:8" x14ac:dyDescent="0.25">
      <c r="A57" t="s">
        <v>8141</v>
      </c>
      <c r="B57" t="s">
        <v>414</v>
      </c>
      <c r="C57" t="s">
        <v>22</v>
      </c>
      <c r="D57">
        <v>8915.43</v>
      </c>
      <c r="E57" t="s">
        <v>8087</v>
      </c>
      <c r="F57" s="8">
        <v>46110</v>
      </c>
      <c r="G57">
        <v>17.559999999999999</v>
      </c>
      <c r="H57">
        <v>12</v>
      </c>
    </row>
    <row r="58" spans="1:8" x14ac:dyDescent="0.25">
      <c r="A58" t="s">
        <v>8142</v>
      </c>
      <c r="B58" t="s">
        <v>66</v>
      </c>
      <c r="C58" t="s">
        <v>8084</v>
      </c>
      <c r="D58">
        <v>6762.6</v>
      </c>
      <c r="E58" t="s">
        <v>8087</v>
      </c>
      <c r="F58" s="8">
        <v>45722</v>
      </c>
      <c r="G58">
        <v>28.64</v>
      </c>
      <c r="H58">
        <v>48</v>
      </c>
    </row>
    <row r="59" spans="1:8" x14ac:dyDescent="0.25">
      <c r="A59" t="s">
        <v>8143</v>
      </c>
      <c r="B59" t="s">
        <v>578</v>
      </c>
      <c r="C59" t="s">
        <v>22</v>
      </c>
      <c r="D59">
        <v>21648.75</v>
      </c>
      <c r="E59" t="s">
        <v>8087</v>
      </c>
      <c r="F59" s="8">
        <v>46142</v>
      </c>
      <c r="G59">
        <v>14.13</v>
      </c>
      <c r="H59">
        <v>6</v>
      </c>
    </row>
    <row r="60" spans="1:8" x14ac:dyDescent="0.25">
      <c r="A60" t="s">
        <v>8144</v>
      </c>
      <c r="B60" t="s">
        <v>826</v>
      </c>
      <c r="C60" t="s">
        <v>8084</v>
      </c>
      <c r="D60">
        <v>23546.84</v>
      </c>
      <c r="E60" t="s">
        <v>1050</v>
      </c>
      <c r="F60" s="8">
        <v>46079</v>
      </c>
      <c r="G60">
        <v>34.01</v>
      </c>
      <c r="H60">
        <v>12</v>
      </c>
    </row>
    <row r="61" spans="1:8" x14ac:dyDescent="0.25">
      <c r="A61" t="s">
        <v>8145</v>
      </c>
      <c r="B61" t="s">
        <v>663</v>
      </c>
      <c r="C61" t="s">
        <v>8081</v>
      </c>
      <c r="D61">
        <v>29874.34</v>
      </c>
      <c r="E61" t="s">
        <v>8105</v>
      </c>
      <c r="F61" s="8">
        <v>46193</v>
      </c>
      <c r="G61">
        <v>15.8</v>
      </c>
      <c r="H61">
        <v>48</v>
      </c>
    </row>
    <row r="62" spans="1:8" x14ac:dyDescent="0.25">
      <c r="A62" t="s">
        <v>8146</v>
      </c>
      <c r="B62" t="s">
        <v>645</v>
      </c>
      <c r="C62" t="s">
        <v>8084</v>
      </c>
      <c r="D62">
        <v>13063.03</v>
      </c>
      <c r="E62" t="s">
        <v>1050</v>
      </c>
      <c r="F62" s="8">
        <v>45808</v>
      </c>
      <c r="G62">
        <v>22.21</v>
      </c>
      <c r="H62">
        <v>12</v>
      </c>
    </row>
    <row r="63" spans="1:8" x14ac:dyDescent="0.25">
      <c r="A63" t="s">
        <v>8147</v>
      </c>
      <c r="B63" t="s">
        <v>778</v>
      </c>
      <c r="C63" t="s">
        <v>8084</v>
      </c>
      <c r="D63">
        <v>54574</v>
      </c>
      <c r="E63" t="s">
        <v>8087</v>
      </c>
      <c r="F63" s="8">
        <v>46048</v>
      </c>
      <c r="G63">
        <v>34.51</v>
      </c>
      <c r="H63">
        <v>12</v>
      </c>
    </row>
    <row r="64" spans="1:8" x14ac:dyDescent="0.25">
      <c r="A64" t="s">
        <v>8148</v>
      </c>
      <c r="B64" t="s">
        <v>333</v>
      </c>
      <c r="C64" t="s">
        <v>8084</v>
      </c>
      <c r="D64">
        <v>8555.76</v>
      </c>
      <c r="E64" t="s">
        <v>1050</v>
      </c>
      <c r="F64" s="8">
        <v>46072</v>
      </c>
      <c r="G64">
        <v>32.68</v>
      </c>
      <c r="H64">
        <v>24</v>
      </c>
    </row>
    <row r="65" spans="1:8" x14ac:dyDescent="0.25">
      <c r="A65" t="s">
        <v>8149</v>
      </c>
      <c r="B65" t="s">
        <v>1023</v>
      </c>
      <c r="C65" t="s">
        <v>8124</v>
      </c>
      <c r="D65">
        <v>5732.69</v>
      </c>
      <c r="E65" t="s">
        <v>8087</v>
      </c>
      <c r="F65" s="8">
        <v>45664</v>
      </c>
      <c r="G65">
        <v>26.49</v>
      </c>
      <c r="H65">
        <v>12</v>
      </c>
    </row>
    <row r="66" spans="1:8" x14ac:dyDescent="0.25">
      <c r="A66" t="s">
        <v>8150</v>
      </c>
      <c r="B66" t="s">
        <v>892</v>
      </c>
      <c r="C66" t="s">
        <v>8081</v>
      </c>
      <c r="D66">
        <v>21483.42</v>
      </c>
      <c r="E66" t="s">
        <v>1050</v>
      </c>
      <c r="F66" s="8">
        <v>46173</v>
      </c>
      <c r="G66">
        <v>19.23</v>
      </c>
      <c r="H66">
        <v>36</v>
      </c>
    </row>
    <row r="67" spans="1:8" x14ac:dyDescent="0.25">
      <c r="A67" t="s">
        <v>8151</v>
      </c>
      <c r="B67" t="s">
        <v>1007</v>
      </c>
      <c r="C67" t="s">
        <v>8084</v>
      </c>
      <c r="D67">
        <v>10429.540000000001</v>
      </c>
      <c r="E67" t="s">
        <v>8087</v>
      </c>
      <c r="F67" s="8">
        <v>46123</v>
      </c>
      <c r="G67">
        <v>27.5</v>
      </c>
      <c r="H67">
        <v>3</v>
      </c>
    </row>
    <row r="68" spans="1:8" x14ac:dyDescent="0.25">
      <c r="A68" t="s">
        <v>8152</v>
      </c>
      <c r="B68" t="s">
        <v>179</v>
      </c>
      <c r="C68" t="s">
        <v>8124</v>
      </c>
      <c r="D68">
        <v>27596.34</v>
      </c>
      <c r="E68" t="s">
        <v>1050</v>
      </c>
      <c r="F68" s="8">
        <v>45761</v>
      </c>
      <c r="G68">
        <v>21.51</v>
      </c>
      <c r="H68">
        <v>48</v>
      </c>
    </row>
    <row r="69" spans="1:8" x14ac:dyDescent="0.25">
      <c r="A69" t="s">
        <v>8153</v>
      </c>
      <c r="B69" t="s">
        <v>914</v>
      </c>
      <c r="C69" t="s">
        <v>8084</v>
      </c>
      <c r="D69">
        <v>10655.23</v>
      </c>
      <c r="E69" t="s">
        <v>8087</v>
      </c>
      <c r="F69" s="8">
        <v>46121</v>
      </c>
      <c r="G69">
        <v>12.72</v>
      </c>
      <c r="H69">
        <v>3</v>
      </c>
    </row>
    <row r="70" spans="1:8" x14ac:dyDescent="0.25">
      <c r="A70" t="s">
        <v>8154</v>
      </c>
      <c r="B70" t="s">
        <v>419</v>
      </c>
      <c r="C70" t="s">
        <v>8081</v>
      </c>
      <c r="D70">
        <v>11348.72</v>
      </c>
      <c r="E70" t="s">
        <v>1050</v>
      </c>
      <c r="F70" s="8">
        <v>46221</v>
      </c>
      <c r="G70">
        <v>29.9</v>
      </c>
      <c r="H70">
        <v>24</v>
      </c>
    </row>
    <row r="71" spans="1:8" x14ac:dyDescent="0.25">
      <c r="A71" t="s">
        <v>8155</v>
      </c>
      <c r="B71" t="s">
        <v>55</v>
      </c>
      <c r="C71" t="s">
        <v>22</v>
      </c>
      <c r="D71">
        <v>10634.68</v>
      </c>
      <c r="E71" t="s">
        <v>8087</v>
      </c>
      <c r="F71" s="8">
        <v>46251</v>
      </c>
      <c r="G71">
        <v>31.79</v>
      </c>
      <c r="H71">
        <v>24</v>
      </c>
    </row>
    <row r="72" spans="1:8" x14ac:dyDescent="0.25">
      <c r="A72" t="s">
        <v>8156</v>
      </c>
      <c r="B72" t="s">
        <v>351</v>
      </c>
      <c r="C72" t="s">
        <v>8081</v>
      </c>
      <c r="D72">
        <v>10040.74</v>
      </c>
      <c r="E72" t="s">
        <v>1050</v>
      </c>
      <c r="F72" s="8">
        <v>46217</v>
      </c>
      <c r="G72">
        <v>20.190000000000001</v>
      </c>
      <c r="H72">
        <v>24</v>
      </c>
    </row>
    <row r="73" spans="1:8" x14ac:dyDescent="0.25">
      <c r="A73" t="s">
        <v>8157</v>
      </c>
      <c r="B73" t="s">
        <v>56</v>
      </c>
      <c r="C73" t="s">
        <v>8084</v>
      </c>
      <c r="D73">
        <v>18005.82</v>
      </c>
      <c r="E73" t="s">
        <v>8087</v>
      </c>
      <c r="F73" s="8">
        <v>46008</v>
      </c>
      <c r="G73">
        <v>26.64</v>
      </c>
      <c r="H73">
        <v>12</v>
      </c>
    </row>
    <row r="74" spans="1:8" x14ac:dyDescent="0.25">
      <c r="A74" t="s">
        <v>8158</v>
      </c>
      <c r="B74" t="s">
        <v>535</v>
      </c>
      <c r="C74" t="s">
        <v>8084</v>
      </c>
      <c r="D74">
        <v>21836.49</v>
      </c>
      <c r="E74" t="s">
        <v>1050</v>
      </c>
      <c r="F74" s="8">
        <v>46023</v>
      </c>
      <c r="G74">
        <v>10.76</v>
      </c>
      <c r="H74">
        <v>36</v>
      </c>
    </row>
    <row r="75" spans="1:8" x14ac:dyDescent="0.25">
      <c r="A75" t="s">
        <v>8159</v>
      </c>
      <c r="B75" t="s">
        <v>540</v>
      </c>
      <c r="C75" t="s">
        <v>22</v>
      </c>
      <c r="D75">
        <v>10025.969999999999</v>
      </c>
      <c r="E75" t="s">
        <v>1050</v>
      </c>
      <c r="F75" s="8">
        <v>45839</v>
      </c>
      <c r="G75">
        <v>14.93</v>
      </c>
      <c r="H75">
        <v>12</v>
      </c>
    </row>
    <row r="76" spans="1:8" x14ac:dyDescent="0.25">
      <c r="A76" t="s">
        <v>8160</v>
      </c>
      <c r="B76" t="s">
        <v>257</v>
      </c>
      <c r="C76" t="s">
        <v>8084</v>
      </c>
      <c r="D76">
        <v>7069.06</v>
      </c>
      <c r="E76" t="s">
        <v>8087</v>
      </c>
      <c r="F76" s="8">
        <v>45900</v>
      </c>
      <c r="G76">
        <v>24.26</v>
      </c>
      <c r="H76">
        <v>12</v>
      </c>
    </row>
    <row r="77" spans="1:8" x14ac:dyDescent="0.25">
      <c r="A77" t="s">
        <v>8161</v>
      </c>
      <c r="B77" t="s">
        <v>366</v>
      </c>
      <c r="C77" t="s">
        <v>8084</v>
      </c>
      <c r="D77">
        <v>26874.83</v>
      </c>
      <c r="E77" t="s">
        <v>8087</v>
      </c>
      <c r="F77" s="8">
        <v>45877</v>
      </c>
      <c r="G77">
        <v>16.850000000000001</v>
      </c>
      <c r="H77">
        <v>24</v>
      </c>
    </row>
    <row r="78" spans="1:8" x14ac:dyDescent="0.25">
      <c r="A78" t="s">
        <v>8162</v>
      </c>
      <c r="B78" t="s">
        <v>221</v>
      </c>
      <c r="C78" t="s">
        <v>8081</v>
      </c>
      <c r="D78">
        <v>24595.63</v>
      </c>
      <c r="E78" t="s">
        <v>8087</v>
      </c>
      <c r="F78" s="8">
        <v>45865</v>
      </c>
      <c r="G78">
        <v>33.61</v>
      </c>
      <c r="H78">
        <v>6</v>
      </c>
    </row>
    <row r="79" spans="1:8" x14ac:dyDescent="0.25">
      <c r="A79" t="s">
        <v>8163</v>
      </c>
      <c r="B79" t="s">
        <v>831</v>
      </c>
      <c r="C79" t="s">
        <v>22</v>
      </c>
      <c r="D79">
        <v>31942.93</v>
      </c>
      <c r="E79" t="s">
        <v>8101</v>
      </c>
      <c r="F79" s="8">
        <v>45839</v>
      </c>
      <c r="G79">
        <v>30.93</v>
      </c>
      <c r="H79">
        <v>6</v>
      </c>
    </row>
    <row r="80" spans="1:8" x14ac:dyDescent="0.25">
      <c r="A80" t="s">
        <v>8164</v>
      </c>
      <c r="B80" t="s">
        <v>761</v>
      </c>
      <c r="C80" t="s">
        <v>8084</v>
      </c>
      <c r="D80">
        <v>7826.84</v>
      </c>
      <c r="E80" t="s">
        <v>1050</v>
      </c>
      <c r="F80" s="8">
        <v>46086</v>
      </c>
      <c r="G80">
        <v>26.38</v>
      </c>
      <c r="H80">
        <v>12</v>
      </c>
    </row>
    <row r="81" spans="1:8" x14ac:dyDescent="0.25">
      <c r="A81" t="s">
        <v>8165</v>
      </c>
      <c r="B81" t="s">
        <v>184</v>
      </c>
      <c r="C81" t="s">
        <v>8084</v>
      </c>
      <c r="D81">
        <v>9307.34</v>
      </c>
      <c r="E81" t="s">
        <v>1050</v>
      </c>
      <c r="F81" s="8">
        <v>45692</v>
      </c>
      <c r="G81">
        <v>34.97</v>
      </c>
      <c r="H81">
        <v>12</v>
      </c>
    </row>
    <row r="82" spans="1:8" x14ac:dyDescent="0.25">
      <c r="A82" t="s">
        <v>8166</v>
      </c>
      <c r="B82" t="s">
        <v>917</v>
      </c>
      <c r="C82" t="s">
        <v>8084</v>
      </c>
      <c r="D82">
        <v>34842.49</v>
      </c>
      <c r="E82" t="s">
        <v>1050</v>
      </c>
      <c r="F82" s="8">
        <v>46078</v>
      </c>
      <c r="G82">
        <v>16.079999999999998</v>
      </c>
      <c r="H82">
        <v>3</v>
      </c>
    </row>
    <row r="83" spans="1:8" x14ac:dyDescent="0.25">
      <c r="A83" t="s">
        <v>8167</v>
      </c>
      <c r="B83" t="s">
        <v>740</v>
      </c>
      <c r="C83" t="s">
        <v>8081</v>
      </c>
      <c r="D83">
        <v>36932.15</v>
      </c>
      <c r="E83" t="s">
        <v>1050</v>
      </c>
      <c r="F83" s="8">
        <v>45860</v>
      </c>
      <c r="G83">
        <v>32.979999999999997</v>
      </c>
      <c r="H83">
        <v>48</v>
      </c>
    </row>
    <row r="84" spans="1:8" x14ac:dyDescent="0.25">
      <c r="A84" t="s">
        <v>8168</v>
      </c>
      <c r="B84" t="s">
        <v>143</v>
      </c>
      <c r="C84" t="s">
        <v>8081</v>
      </c>
      <c r="D84">
        <v>13000.12</v>
      </c>
      <c r="E84" t="s">
        <v>1050</v>
      </c>
      <c r="F84" s="8">
        <v>45819</v>
      </c>
      <c r="G84">
        <v>17.61</v>
      </c>
      <c r="H84">
        <v>24</v>
      </c>
    </row>
    <row r="85" spans="1:8" x14ac:dyDescent="0.25">
      <c r="A85" t="s">
        <v>8169</v>
      </c>
      <c r="B85" t="s">
        <v>486</v>
      </c>
      <c r="C85" t="s">
        <v>8081</v>
      </c>
      <c r="D85">
        <v>8416.16</v>
      </c>
      <c r="E85" t="s">
        <v>8087</v>
      </c>
      <c r="F85" s="8">
        <v>46065</v>
      </c>
      <c r="G85">
        <v>24.91</v>
      </c>
      <c r="H85">
        <v>48</v>
      </c>
    </row>
    <row r="86" spans="1:8" x14ac:dyDescent="0.25">
      <c r="A86" t="s">
        <v>8170</v>
      </c>
      <c r="B86" t="s">
        <v>513</v>
      </c>
      <c r="C86" t="s">
        <v>8081</v>
      </c>
      <c r="D86">
        <v>10288.66</v>
      </c>
      <c r="E86" t="s">
        <v>1050</v>
      </c>
      <c r="F86" s="8">
        <v>46006</v>
      </c>
      <c r="G86">
        <v>20.86</v>
      </c>
      <c r="H86">
        <v>36</v>
      </c>
    </row>
    <row r="87" spans="1:8" x14ac:dyDescent="0.25">
      <c r="A87" t="s">
        <v>8171</v>
      </c>
      <c r="B87" t="s">
        <v>132</v>
      </c>
      <c r="C87" t="s">
        <v>8081</v>
      </c>
      <c r="D87">
        <v>8329.91</v>
      </c>
      <c r="E87" t="s">
        <v>1050</v>
      </c>
      <c r="F87" s="8">
        <v>45661</v>
      </c>
      <c r="G87">
        <v>21.08</v>
      </c>
      <c r="H87">
        <v>6</v>
      </c>
    </row>
    <row r="88" spans="1:8" x14ac:dyDescent="0.25">
      <c r="A88" t="s">
        <v>8172</v>
      </c>
      <c r="B88" t="s">
        <v>666</v>
      </c>
      <c r="C88" t="s">
        <v>8084</v>
      </c>
      <c r="D88">
        <v>34143.86</v>
      </c>
      <c r="E88" t="s">
        <v>8087</v>
      </c>
      <c r="F88" s="8">
        <v>46018</v>
      </c>
      <c r="G88">
        <v>29.06</v>
      </c>
      <c r="H88">
        <v>6</v>
      </c>
    </row>
    <row r="89" spans="1:8" x14ac:dyDescent="0.25">
      <c r="A89" t="s">
        <v>8173</v>
      </c>
      <c r="B89" t="s">
        <v>738</v>
      </c>
      <c r="C89" t="s">
        <v>8084</v>
      </c>
      <c r="D89">
        <v>31898.7</v>
      </c>
      <c r="E89" t="s">
        <v>1050</v>
      </c>
      <c r="F89" s="8">
        <v>46247</v>
      </c>
      <c r="G89">
        <v>18.690000000000001</v>
      </c>
      <c r="H89">
        <v>3</v>
      </c>
    </row>
    <row r="90" spans="1:8" x14ac:dyDescent="0.25">
      <c r="A90" t="s">
        <v>8174</v>
      </c>
      <c r="B90" t="s">
        <v>76</v>
      </c>
      <c r="C90" t="s">
        <v>8081</v>
      </c>
      <c r="D90">
        <v>19245.72</v>
      </c>
      <c r="E90" t="s">
        <v>1050</v>
      </c>
      <c r="F90" s="8">
        <v>46015</v>
      </c>
      <c r="G90">
        <v>22.69</v>
      </c>
      <c r="H90">
        <v>36</v>
      </c>
    </row>
    <row r="91" spans="1:8" x14ac:dyDescent="0.25">
      <c r="A91" t="s">
        <v>8175</v>
      </c>
      <c r="B91" t="s">
        <v>524</v>
      </c>
      <c r="C91" t="s">
        <v>8084</v>
      </c>
      <c r="D91">
        <v>10485.5</v>
      </c>
      <c r="E91" t="s">
        <v>1050</v>
      </c>
      <c r="F91" s="8">
        <v>45693</v>
      </c>
      <c r="G91">
        <v>15.29</v>
      </c>
      <c r="H91">
        <v>24</v>
      </c>
    </row>
    <row r="92" spans="1:8" x14ac:dyDescent="0.25">
      <c r="A92" t="s">
        <v>8176</v>
      </c>
      <c r="B92" t="s">
        <v>379</v>
      </c>
      <c r="C92" t="s">
        <v>8124</v>
      </c>
      <c r="D92">
        <v>8911.31</v>
      </c>
      <c r="E92" t="s">
        <v>8101</v>
      </c>
      <c r="F92" s="8">
        <v>45992</v>
      </c>
      <c r="G92">
        <v>29.09</v>
      </c>
      <c r="H92">
        <v>6</v>
      </c>
    </row>
    <row r="93" spans="1:8" x14ac:dyDescent="0.25">
      <c r="A93" t="s">
        <v>8177</v>
      </c>
      <c r="B93" t="s">
        <v>752</v>
      </c>
      <c r="C93" t="s">
        <v>8081</v>
      </c>
      <c r="D93">
        <v>11020.38</v>
      </c>
      <c r="E93" t="s">
        <v>1050</v>
      </c>
      <c r="F93" s="8">
        <v>45948</v>
      </c>
      <c r="G93">
        <v>23.8</v>
      </c>
      <c r="H93">
        <v>48</v>
      </c>
    </row>
    <row r="94" spans="1:8" x14ac:dyDescent="0.25">
      <c r="A94" t="s">
        <v>8178</v>
      </c>
      <c r="B94" t="s">
        <v>36</v>
      </c>
      <c r="C94" t="s">
        <v>22</v>
      </c>
      <c r="D94">
        <v>8858.32</v>
      </c>
      <c r="E94" t="s">
        <v>8105</v>
      </c>
      <c r="F94" s="8">
        <v>45942</v>
      </c>
      <c r="G94">
        <v>16.38</v>
      </c>
      <c r="H94">
        <v>24</v>
      </c>
    </row>
    <row r="95" spans="1:8" x14ac:dyDescent="0.25">
      <c r="A95" t="s">
        <v>8179</v>
      </c>
      <c r="B95" t="s">
        <v>991</v>
      </c>
      <c r="C95" t="s">
        <v>8084</v>
      </c>
      <c r="D95">
        <v>21618.18</v>
      </c>
      <c r="E95" t="s">
        <v>8087</v>
      </c>
      <c r="F95" s="8">
        <v>45693</v>
      </c>
      <c r="G95">
        <v>16.649999999999999</v>
      </c>
      <c r="H95">
        <v>24</v>
      </c>
    </row>
    <row r="96" spans="1:8" x14ac:dyDescent="0.25">
      <c r="A96" t="s">
        <v>8180</v>
      </c>
      <c r="B96" t="s">
        <v>919</v>
      </c>
      <c r="C96" t="s">
        <v>22</v>
      </c>
      <c r="D96">
        <v>33186.43</v>
      </c>
      <c r="E96" t="s">
        <v>1050</v>
      </c>
      <c r="F96" s="8">
        <v>45981</v>
      </c>
      <c r="G96">
        <v>17.34</v>
      </c>
      <c r="H96">
        <v>12</v>
      </c>
    </row>
    <row r="97" spans="1:8" x14ac:dyDescent="0.25">
      <c r="A97" t="s">
        <v>8181</v>
      </c>
      <c r="B97" t="s">
        <v>576</v>
      </c>
      <c r="C97" t="s">
        <v>8081</v>
      </c>
      <c r="D97">
        <v>34034.01</v>
      </c>
      <c r="E97" t="s">
        <v>1050</v>
      </c>
      <c r="F97" s="8">
        <v>46120</v>
      </c>
      <c r="G97">
        <v>27.48</v>
      </c>
      <c r="H97">
        <v>12</v>
      </c>
    </row>
    <row r="98" spans="1:8" x14ac:dyDescent="0.25">
      <c r="A98" t="s">
        <v>8182</v>
      </c>
      <c r="B98" t="s">
        <v>355</v>
      </c>
      <c r="C98" t="s">
        <v>8081</v>
      </c>
      <c r="D98">
        <v>8888.67</v>
      </c>
      <c r="E98" t="s">
        <v>8087</v>
      </c>
      <c r="F98" s="8">
        <v>46052</v>
      </c>
      <c r="G98">
        <v>24.88</v>
      </c>
      <c r="H98">
        <v>24</v>
      </c>
    </row>
    <row r="99" spans="1:8" x14ac:dyDescent="0.25">
      <c r="A99" t="s">
        <v>8183</v>
      </c>
      <c r="B99" t="s">
        <v>255</v>
      </c>
      <c r="C99" t="s">
        <v>8084</v>
      </c>
      <c r="D99">
        <v>11179.24</v>
      </c>
      <c r="E99" t="s">
        <v>8101</v>
      </c>
      <c r="F99" s="8">
        <v>46224</v>
      </c>
      <c r="G99">
        <v>30.56</v>
      </c>
      <c r="H99">
        <v>24</v>
      </c>
    </row>
    <row r="100" spans="1:8" x14ac:dyDescent="0.25">
      <c r="A100" t="s">
        <v>8184</v>
      </c>
      <c r="B100" t="s">
        <v>921</v>
      </c>
      <c r="C100" t="s">
        <v>8081</v>
      </c>
      <c r="D100">
        <v>11584.77</v>
      </c>
      <c r="E100" t="s">
        <v>1050</v>
      </c>
      <c r="F100" s="8">
        <v>45706</v>
      </c>
      <c r="G100">
        <v>24.29</v>
      </c>
      <c r="H100">
        <v>24</v>
      </c>
    </row>
    <row r="101" spans="1:8" x14ac:dyDescent="0.25">
      <c r="A101" t="s">
        <v>8185</v>
      </c>
      <c r="B101" t="s">
        <v>674</v>
      </c>
      <c r="C101" t="s">
        <v>22</v>
      </c>
      <c r="D101">
        <v>40753.14</v>
      </c>
      <c r="E101" t="s">
        <v>1050</v>
      </c>
      <c r="F101" s="8">
        <v>46120</v>
      </c>
      <c r="G101">
        <v>17.670000000000002</v>
      </c>
      <c r="H101">
        <v>36</v>
      </c>
    </row>
    <row r="102" spans="1:8" x14ac:dyDescent="0.25">
      <c r="A102" t="s">
        <v>8186</v>
      </c>
      <c r="B102" t="s">
        <v>665</v>
      </c>
      <c r="C102" t="s">
        <v>8084</v>
      </c>
      <c r="D102">
        <v>6202.11</v>
      </c>
      <c r="E102" t="s">
        <v>1050</v>
      </c>
      <c r="F102" s="8">
        <v>45970</v>
      </c>
      <c r="G102">
        <v>34.07</v>
      </c>
      <c r="H102">
        <v>6</v>
      </c>
    </row>
    <row r="103" spans="1:8" x14ac:dyDescent="0.25">
      <c r="A103" t="s">
        <v>8187</v>
      </c>
      <c r="B103" t="s">
        <v>1015</v>
      </c>
      <c r="C103" t="s">
        <v>8084</v>
      </c>
      <c r="D103">
        <v>17991.080000000002</v>
      </c>
      <c r="E103" t="s">
        <v>1050</v>
      </c>
      <c r="F103" s="8">
        <v>46012</v>
      </c>
      <c r="G103">
        <v>32.15</v>
      </c>
      <c r="H103">
        <v>6</v>
      </c>
    </row>
    <row r="104" spans="1:8" x14ac:dyDescent="0.25">
      <c r="A104" t="s">
        <v>8188</v>
      </c>
      <c r="B104" t="s">
        <v>201</v>
      </c>
      <c r="C104" t="s">
        <v>22</v>
      </c>
      <c r="D104">
        <v>8956.2000000000007</v>
      </c>
      <c r="E104" t="s">
        <v>8087</v>
      </c>
      <c r="F104" s="8">
        <v>46000</v>
      </c>
      <c r="G104">
        <v>16.97</v>
      </c>
      <c r="H104">
        <v>24</v>
      </c>
    </row>
    <row r="105" spans="1:8" x14ac:dyDescent="0.25">
      <c r="A105" t="s">
        <v>8189</v>
      </c>
      <c r="B105" t="s">
        <v>390</v>
      </c>
      <c r="C105" t="s">
        <v>8084</v>
      </c>
      <c r="D105">
        <v>15472.16</v>
      </c>
      <c r="E105" t="s">
        <v>1050</v>
      </c>
      <c r="F105" s="8">
        <v>45712</v>
      </c>
      <c r="G105">
        <v>32.82</v>
      </c>
      <c r="H105">
        <v>12</v>
      </c>
    </row>
    <row r="106" spans="1:8" x14ac:dyDescent="0.25">
      <c r="A106" t="s">
        <v>8190</v>
      </c>
      <c r="B106" t="s">
        <v>994</v>
      </c>
      <c r="C106" t="s">
        <v>8084</v>
      </c>
      <c r="D106">
        <v>31416.22</v>
      </c>
      <c r="E106" t="s">
        <v>1050</v>
      </c>
      <c r="F106" s="8">
        <v>45969</v>
      </c>
      <c r="G106">
        <v>28</v>
      </c>
      <c r="H106">
        <v>12</v>
      </c>
    </row>
    <row r="107" spans="1:8" x14ac:dyDescent="0.25">
      <c r="A107" t="s">
        <v>8191</v>
      </c>
      <c r="B107" t="s">
        <v>536</v>
      </c>
      <c r="C107" t="s">
        <v>8084</v>
      </c>
      <c r="D107">
        <v>13925.77</v>
      </c>
      <c r="E107" t="s">
        <v>8101</v>
      </c>
      <c r="F107" s="8">
        <v>45917</v>
      </c>
      <c r="G107">
        <v>20.37</v>
      </c>
      <c r="H107">
        <v>36</v>
      </c>
    </row>
    <row r="108" spans="1:8" x14ac:dyDescent="0.25">
      <c r="A108" t="s">
        <v>8192</v>
      </c>
      <c r="B108" t="s">
        <v>813</v>
      </c>
      <c r="C108" t="s">
        <v>8124</v>
      </c>
      <c r="D108">
        <v>9870.69</v>
      </c>
      <c r="E108" t="s">
        <v>1050</v>
      </c>
      <c r="F108" s="8">
        <v>45745</v>
      </c>
      <c r="G108">
        <v>21.67</v>
      </c>
      <c r="H108">
        <v>24</v>
      </c>
    </row>
    <row r="109" spans="1:8" x14ac:dyDescent="0.25">
      <c r="A109" t="s">
        <v>8193</v>
      </c>
      <c r="B109" t="s">
        <v>457</v>
      </c>
      <c r="C109" t="s">
        <v>8084</v>
      </c>
      <c r="D109">
        <v>32797.64</v>
      </c>
      <c r="E109" t="s">
        <v>8087</v>
      </c>
      <c r="F109" s="8">
        <v>45977</v>
      </c>
      <c r="G109">
        <v>21.16</v>
      </c>
      <c r="H109">
        <v>24</v>
      </c>
    </row>
    <row r="110" spans="1:8" x14ac:dyDescent="0.25">
      <c r="A110" t="s">
        <v>8194</v>
      </c>
      <c r="B110" t="s">
        <v>932</v>
      </c>
      <c r="C110" t="s">
        <v>8084</v>
      </c>
      <c r="D110">
        <v>20008.91</v>
      </c>
      <c r="E110" t="s">
        <v>8087</v>
      </c>
      <c r="F110" s="8">
        <v>46047</v>
      </c>
      <c r="G110">
        <v>29.92</v>
      </c>
      <c r="H110">
        <v>12</v>
      </c>
    </row>
    <row r="111" spans="1:8" x14ac:dyDescent="0.25">
      <c r="A111" t="s">
        <v>8195</v>
      </c>
      <c r="B111" t="s">
        <v>235</v>
      </c>
      <c r="C111" t="s">
        <v>8084</v>
      </c>
      <c r="D111">
        <v>26524.65</v>
      </c>
      <c r="E111" t="s">
        <v>1050</v>
      </c>
      <c r="F111" s="8">
        <v>45927</v>
      </c>
      <c r="G111">
        <v>14.39</v>
      </c>
      <c r="H111">
        <v>12</v>
      </c>
    </row>
    <row r="112" spans="1:8" x14ac:dyDescent="0.25">
      <c r="A112" t="s">
        <v>8196</v>
      </c>
      <c r="B112" t="s">
        <v>1013</v>
      </c>
      <c r="C112" t="s">
        <v>8081</v>
      </c>
      <c r="D112">
        <v>22286.39</v>
      </c>
      <c r="E112" t="s">
        <v>1050</v>
      </c>
      <c r="F112" s="8">
        <v>46117</v>
      </c>
      <c r="G112">
        <v>11.47</v>
      </c>
      <c r="H112">
        <v>48</v>
      </c>
    </row>
    <row r="113" spans="1:8" x14ac:dyDescent="0.25">
      <c r="A113" t="s">
        <v>8197</v>
      </c>
      <c r="B113" t="s">
        <v>428</v>
      </c>
      <c r="C113" t="s">
        <v>8081</v>
      </c>
      <c r="D113">
        <v>6823.83</v>
      </c>
      <c r="E113" t="s">
        <v>1050</v>
      </c>
      <c r="F113" s="8">
        <v>46018</v>
      </c>
      <c r="G113">
        <v>22.46</v>
      </c>
      <c r="H113">
        <v>24</v>
      </c>
    </row>
    <row r="114" spans="1:8" x14ac:dyDescent="0.25">
      <c r="A114" t="s">
        <v>8198</v>
      </c>
      <c r="B114" t="s">
        <v>920</v>
      </c>
      <c r="C114" t="s">
        <v>8081</v>
      </c>
      <c r="D114">
        <v>51232.4</v>
      </c>
      <c r="E114" t="s">
        <v>8101</v>
      </c>
      <c r="F114" s="8">
        <v>45783</v>
      </c>
      <c r="G114">
        <v>17.260000000000002</v>
      </c>
      <c r="H114">
        <v>36</v>
      </c>
    </row>
    <row r="115" spans="1:8" x14ac:dyDescent="0.25">
      <c r="A115" t="s">
        <v>8199</v>
      </c>
      <c r="B115" t="s">
        <v>441</v>
      </c>
      <c r="C115" t="s">
        <v>22</v>
      </c>
      <c r="D115">
        <v>15380.73</v>
      </c>
      <c r="E115" t="s">
        <v>8087</v>
      </c>
      <c r="F115" s="8">
        <v>45842</v>
      </c>
      <c r="G115">
        <v>24.1</v>
      </c>
      <c r="H115">
        <v>12</v>
      </c>
    </row>
    <row r="116" spans="1:8" x14ac:dyDescent="0.25">
      <c r="A116" t="s">
        <v>8200</v>
      </c>
      <c r="B116" t="s">
        <v>675</v>
      </c>
      <c r="C116" t="s">
        <v>22</v>
      </c>
      <c r="D116">
        <v>35382.050000000003</v>
      </c>
      <c r="E116" t="s">
        <v>1050</v>
      </c>
      <c r="F116" s="8">
        <v>46022</v>
      </c>
      <c r="G116">
        <v>34.450000000000003</v>
      </c>
      <c r="H116">
        <v>6</v>
      </c>
    </row>
    <row r="117" spans="1:8" x14ac:dyDescent="0.25">
      <c r="A117" t="s">
        <v>8201</v>
      </c>
      <c r="B117" t="s">
        <v>906</v>
      </c>
      <c r="C117" t="s">
        <v>8084</v>
      </c>
      <c r="D117">
        <v>13628.3</v>
      </c>
      <c r="E117" t="s">
        <v>8087</v>
      </c>
      <c r="F117" s="8">
        <v>46199</v>
      </c>
      <c r="G117">
        <v>26.79</v>
      </c>
      <c r="H117">
        <v>12</v>
      </c>
    </row>
    <row r="118" spans="1:8" x14ac:dyDescent="0.25">
      <c r="A118" t="s">
        <v>8202</v>
      </c>
      <c r="B118" t="s">
        <v>189</v>
      </c>
      <c r="C118" t="s">
        <v>22</v>
      </c>
      <c r="D118">
        <v>28355.79</v>
      </c>
      <c r="E118" t="s">
        <v>8087</v>
      </c>
      <c r="F118" s="8">
        <v>45665</v>
      </c>
      <c r="G118">
        <v>33.979999999999997</v>
      </c>
      <c r="H118">
        <v>12</v>
      </c>
    </row>
    <row r="119" spans="1:8" x14ac:dyDescent="0.25">
      <c r="A119" t="s">
        <v>8203</v>
      </c>
      <c r="B119" t="s">
        <v>325</v>
      </c>
      <c r="C119" t="s">
        <v>8084</v>
      </c>
      <c r="D119">
        <v>40483.620000000003</v>
      </c>
      <c r="E119" t="s">
        <v>1050</v>
      </c>
      <c r="F119" s="8">
        <v>46071</v>
      </c>
      <c r="G119">
        <v>28.3</v>
      </c>
      <c r="H119">
        <v>24</v>
      </c>
    </row>
    <row r="120" spans="1:8" x14ac:dyDescent="0.25">
      <c r="A120" t="s">
        <v>8204</v>
      </c>
      <c r="B120" t="s">
        <v>998</v>
      </c>
      <c r="C120" t="s">
        <v>22</v>
      </c>
      <c r="D120">
        <v>36532.339999999997</v>
      </c>
      <c r="E120" t="s">
        <v>1050</v>
      </c>
      <c r="F120" s="8">
        <v>45789</v>
      </c>
      <c r="G120">
        <v>11.9</v>
      </c>
      <c r="H120">
        <v>6</v>
      </c>
    </row>
    <row r="121" spans="1:8" x14ac:dyDescent="0.25">
      <c r="A121" t="s">
        <v>8205</v>
      </c>
      <c r="B121" t="s">
        <v>438</v>
      </c>
      <c r="C121" t="s">
        <v>8084</v>
      </c>
      <c r="D121">
        <v>19620.05</v>
      </c>
      <c r="E121" t="s">
        <v>8087</v>
      </c>
      <c r="F121" s="8">
        <v>46013</v>
      </c>
      <c r="G121">
        <v>32.229999999999997</v>
      </c>
      <c r="H121">
        <v>12</v>
      </c>
    </row>
    <row r="122" spans="1:8" x14ac:dyDescent="0.25">
      <c r="A122" t="s">
        <v>8206</v>
      </c>
      <c r="B122" t="s">
        <v>598</v>
      </c>
      <c r="C122" t="s">
        <v>8081</v>
      </c>
      <c r="D122">
        <v>13744.39</v>
      </c>
      <c r="E122" t="s">
        <v>1050</v>
      </c>
      <c r="F122" s="8">
        <v>45980</v>
      </c>
      <c r="G122">
        <v>14.97</v>
      </c>
      <c r="H122">
        <v>6</v>
      </c>
    </row>
    <row r="123" spans="1:8" x14ac:dyDescent="0.25">
      <c r="A123" t="s">
        <v>8207</v>
      </c>
      <c r="B123" t="s">
        <v>397</v>
      </c>
      <c r="C123" t="s">
        <v>22</v>
      </c>
      <c r="D123">
        <v>5844.93</v>
      </c>
      <c r="E123" t="s">
        <v>8105</v>
      </c>
      <c r="F123" s="8">
        <v>45759</v>
      </c>
      <c r="G123">
        <v>31.62</v>
      </c>
      <c r="H123">
        <v>12</v>
      </c>
    </row>
    <row r="124" spans="1:8" x14ac:dyDescent="0.25">
      <c r="A124" t="s">
        <v>8208</v>
      </c>
      <c r="B124" t="s">
        <v>163</v>
      </c>
      <c r="C124" t="s">
        <v>22</v>
      </c>
      <c r="D124">
        <v>6699.34</v>
      </c>
      <c r="E124" t="s">
        <v>8087</v>
      </c>
      <c r="F124" s="8">
        <v>46123</v>
      </c>
      <c r="G124">
        <v>28.73</v>
      </c>
      <c r="H124">
        <v>48</v>
      </c>
    </row>
    <row r="125" spans="1:8" x14ac:dyDescent="0.25">
      <c r="A125" t="s">
        <v>8209</v>
      </c>
      <c r="B125" t="s">
        <v>161</v>
      </c>
      <c r="C125" t="s">
        <v>22</v>
      </c>
      <c r="D125">
        <v>44052.61</v>
      </c>
      <c r="E125" t="s">
        <v>1050</v>
      </c>
      <c r="F125" s="8">
        <v>46086</v>
      </c>
      <c r="G125">
        <v>30.97</v>
      </c>
      <c r="H125">
        <v>12</v>
      </c>
    </row>
    <row r="126" spans="1:8" x14ac:dyDescent="0.25">
      <c r="A126" t="s">
        <v>8210</v>
      </c>
      <c r="B126" t="s">
        <v>854</v>
      </c>
      <c r="C126" t="s">
        <v>8081</v>
      </c>
      <c r="D126">
        <v>9329.91</v>
      </c>
      <c r="E126" t="s">
        <v>8105</v>
      </c>
      <c r="F126" s="8">
        <v>45732</v>
      </c>
      <c r="G126">
        <v>16.34</v>
      </c>
      <c r="H126">
        <v>3</v>
      </c>
    </row>
    <row r="127" spans="1:8" x14ac:dyDescent="0.25">
      <c r="A127" t="s">
        <v>8211</v>
      </c>
      <c r="B127" t="s">
        <v>621</v>
      </c>
      <c r="C127" t="s">
        <v>22</v>
      </c>
      <c r="D127">
        <v>34316.36</v>
      </c>
      <c r="E127" t="s">
        <v>1050</v>
      </c>
      <c r="F127" s="8">
        <v>45757</v>
      </c>
      <c r="G127">
        <v>30.18</v>
      </c>
      <c r="H127">
        <v>24</v>
      </c>
    </row>
    <row r="128" spans="1:8" x14ac:dyDescent="0.25">
      <c r="A128" t="s">
        <v>8212</v>
      </c>
      <c r="B128" t="s">
        <v>62</v>
      </c>
      <c r="C128" t="s">
        <v>8084</v>
      </c>
      <c r="D128">
        <v>37477.49</v>
      </c>
      <c r="E128" t="s">
        <v>8105</v>
      </c>
      <c r="F128" s="8">
        <v>45893</v>
      </c>
      <c r="G128">
        <v>25.26</v>
      </c>
      <c r="H128">
        <v>24</v>
      </c>
    </row>
    <row r="129" spans="1:8" x14ac:dyDescent="0.25">
      <c r="A129" t="s">
        <v>8213</v>
      </c>
      <c r="B129" t="s">
        <v>1009</v>
      </c>
      <c r="C129" t="s">
        <v>8084</v>
      </c>
      <c r="D129">
        <v>25958.720000000001</v>
      </c>
      <c r="E129" t="s">
        <v>1050</v>
      </c>
      <c r="F129" s="8">
        <v>45926</v>
      </c>
      <c r="G129">
        <v>12.05</v>
      </c>
      <c r="H129">
        <v>12</v>
      </c>
    </row>
    <row r="130" spans="1:8" x14ac:dyDescent="0.25">
      <c r="A130" t="s">
        <v>8214</v>
      </c>
      <c r="B130" t="s">
        <v>186</v>
      </c>
      <c r="C130" t="s">
        <v>8084</v>
      </c>
      <c r="D130">
        <v>24661.02</v>
      </c>
      <c r="E130" t="s">
        <v>8087</v>
      </c>
      <c r="F130" s="8">
        <v>46224</v>
      </c>
      <c r="G130">
        <v>32.229999999999997</v>
      </c>
      <c r="H130">
        <v>12</v>
      </c>
    </row>
    <row r="131" spans="1:8" x14ac:dyDescent="0.25">
      <c r="A131" t="s">
        <v>8215</v>
      </c>
      <c r="B131" t="s">
        <v>1004</v>
      </c>
      <c r="C131" t="s">
        <v>8084</v>
      </c>
      <c r="D131">
        <v>7098.19</v>
      </c>
      <c r="E131" t="s">
        <v>8087</v>
      </c>
      <c r="F131" s="8">
        <v>45911</v>
      </c>
      <c r="G131">
        <v>31.92</v>
      </c>
      <c r="H131">
        <v>36</v>
      </c>
    </row>
    <row r="132" spans="1:8" x14ac:dyDescent="0.25">
      <c r="A132" t="s">
        <v>8216</v>
      </c>
      <c r="B132" t="s">
        <v>175</v>
      </c>
      <c r="C132" t="s">
        <v>8084</v>
      </c>
      <c r="D132">
        <v>6127.16</v>
      </c>
      <c r="E132" t="s">
        <v>1050</v>
      </c>
      <c r="F132" s="8">
        <v>45986</v>
      </c>
      <c r="G132">
        <v>24.3</v>
      </c>
      <c r="H132">
        <v>48</v>
      </c>
    </row>
    <row r="133" spans="1:8" x14ac:dyDescent="0.25">
      <c r="A133" t="s">
        <v>8217</v>
      </c>
      <c r="B133" t="s">
        <v>682</v>
      </c>
      <c r="C133" t="s">
        <v>8081</v>
      </c>
      <c r="D133">
        <v>10646.93</v>
      </c>
      <c r="E133" t="s">
        <v>1050</v>
      </c>
      <c r="F133" s="8">
        <v>45956</v>
      </c>
      <c r="G133">
        <v>21.32</v>
      </c>
      <c r="H133">
        <v>24</v>
      </c>
    </row>
    <row r="134" spans="1:8" x14ac:dyDescent="0.25">
      <c r="A134" t="s">
        <v>8218</v>
      </c>
      <c r="B134" t="s">
        <v>676</v>
      </c>
      <c r="C134" t="s">
        <v>8081</v>
      </c>
      <c r="D134">
        <v>67660.289999999994</v>
      </c>
      <c r="E134" t="s">
        <v>8087</v>
      </c>
      <c r="F134" s="8">
        <v>46027</v>
      </c>
      <c r="G134">
        <v>20.010000000000002</v>
      </c>
      <c r="H134">
        <v>12</v>
      </c>
    </row>
    <row r="135" spans="1:8" x14ac:dyDescent="0.25">
      <c r="A135" t="s">
        <v>8219</v>
      </c>
      <c r="B135" t="s">
        <v>150</v>
      </c>
      <c r="C135" t="s">
        <v>8084</v>
      </c>
      <c r="D135">
        <v>54166.3</v>
      </c>
      <c r="E135" t="s">
        <v>8087</v>
      </c>
      <c r="F135" s="8">
        <v>45916</v>
      </c>
      <c r="G135">
        <v>25.07</v>
      </c>
      <c r="H135">
        <v>3</v>
      </c>
    </row>
    <row r="136" spans="1:8" x14ac:dyDescent="0.25">
      <c r="A136" t="s">
        <v>8220</v>
      </c>
      <c r="B136" t="s">
        <v>421</v>
      </c>
      <c r="C136" t="s">
        <v>8084</v>
      </c>
      <c r="D136">
        <v>18578.25</v>
      </c>
      <c r="E136" t="s">
        <v>1050</v>
      </c>
      <c r="F136" s="8">
        <v>45885</v>
      </c>
      <c r="G136">
        <v>31.04</v>
      </c>
      <c r="H136">
        <v>12</v>
      </c>
    </row>
    <row r="137" spans="1:8" x14ac:dyDescent="0.25">
      <c r="A137" t="s">
        <v>8221</v>
      </c>
      <c r="B137" t="s">
        <v>57</v>
      </c>
      <c r="C137" t="s">
        <v>22</v>
      </c>
      <c r="D137">
        <v>50792.27</v>
      </c>
      <c r="E137" t="s">
        <v>8101</v>
      </c>
      <c r="F137" s="8">
        <v>46034</v>
      </c>
      <c r="G137">
        <v>24.15</v>
      </c>
      <c r="H137">
        <v>12</v>
      </c>
    </row>
    <row r="138" spans="1:8" x14ac:dyDescent="0.25">
      <c r="A138" t="s">
        <v>8222</v>
      </c>
      <c r="B138" t="s">
        <v>557</v>
      </c>
      <c r="C138" t="s">
        <v>8084</v>
      </c>
      <c r="D138">
        <v>8535.82</v>
      </c>
      <c r="E138" t="s">
        <v>8087</v>
      </c>
      <c r="F138" s="8">
        <v>45802</v>
      </c>
      <c r="G138">
        <v>13.24</v>
      </c>
      <c r="H138">
        <v>3</v>
      </c>
    </row>
    <row r="139" spans="1:8" x14ac:dyDescent="0.25">
      <c r="A139" t="s">
        <v>8223</v>
      </c>
      <c r="B139" t="s">
        <v>170</v>
      </c>
      <c r="C139" t="s">
        <v>8081</v>
      </c>
      <c r="D139">
        <v>13419.44</v>
      </c>
      <c r="E139" t="s">
        <v>1050</v>
      </c>
      <c r="F139" s="8">
        <v>45737</v>
      </c>
      <c r="G139">
        <v>17.649999999999999</v>
      </c>
      <c r="H139">
        <v>36</v>
      </c>
    </row>
    <row r="140" spans="1:8" x14ac:dyDescent="0.25">
      <c r="A140" t="s">
        <v>8224</v>
      </c>
      <c r="B140" t="s">
        <v>768</v>
      </c>
      <c r="C140" t="s">
        <v>8084</v>
      </c>
      <c r="D140">
        <v>64202.53</v>
      </c>
      <c r="E140" t="s">
        <v>8087</v>
      </c>
      <c r="F140" s="8">
        <v>45696</v>
      </c>
      <c r="G140">
        <v>26.71</v>
      </c>
      <c r="H140">
        <v>36</v>
      </c>
    </row>
    <row r="141" spans="1:8" x14ac:dyDescent="0.25">
      <c r="A141" t="s">
        <v>8225</v>
      </c>
      <c r="B141" t="s">
        <v>879</v>
      </c>
      <c r="C141" t="s">
        <v>8081</v>
      </c>
      <c r="D141">
        <v>96929.84</v>
      </c>
      <c r="E141" t="s">
        <v>1050</v>
      </c>
      <c r="F141" s="8">
        <v>45754</v>
      </c>
      <c r="G141">
        <v>26.17</v>
      </c>
      <c r="H141">
        <v>36</v>
      </c>
    </row>
    <row r="142" spans="1:8" x14ac:dyDescent="0.25">
      <c r="A142" t="s">
        <v>8226</v>
      </c>
      <c r="B142" t="s">
        <v>264</v>
      </c>
      <c r="C142" t="s">
        <v>8084</v>
      </c>
      <c r="D142">
        <v>33432.86</v>
      </c>
      <c r="E142" t="s">
        <v>8105</v>
      </c>
      <c r="F142" s="8">
        <v>45903</v>
      </c>
      <c r="G142">
        <v>22.97</v>
      </c>
      <c r="H142">
        <v>24</v>
      </c>
    </row>
    <row r="143" spans="1:8" x14ac:dyDescent="0.25">
      <c r="A143" t="s">
        <v>8227</v>
      </c>
      <c r="B143" t="s">
        <v>639</v>
      </c>
      <c r="C143" t="s">
        <v>8084</v>
      </c>
      <c r="D143">
        <v>5056.6400000000003</v>
      </c>
      <c r="E143" t="s">
        <v>1050</v>
      </c>
      <c r="F143" s="8">
        <v>45990</v>
      </c>
      <c r="G143">
        <v>16.010000000000002</v>
      </c>
      <c r="H143">
        <v>24</v>
      </c>
    </row>
    <row r="144" spans="1:8" x14ac:dyDescent="0.25">
      <c r="A144" t="s">
        <v>8228</v>
      </c>
      <c r="B144" t="s">
        <v>112</v>
      </c>
      <c r="C144" t="s">
        <v>8124</v>
      </c>
      <c r="D144">
        <v>53084.03</v>
      </c>
      <c r="E144" t="s">
        <v>1050</v>
      </c>
      <c r="F144" s="8">
        <v>46245</v>
      </c>
      <c r="G144">
        <v>16.760000000000002</v>
      </c>
      <c r="H144">
        <v>12</v>
      </c>
    </row>
    <row r="145" spans="1:8" x14ac:dyDescent="0.25">
      <c r="A145" t="s">
        <v>8229</v>
      </c>
      <c r="B145" t="s">
        <v>741</v>
      </c>
      <c r="C145" t="s">
        <v>8084</v>
      </c>
      <c r="D145">
        <v>14555.8</v>
      </c>
      <c r="E145" t="s">
        <v>1050</v>
      </c>
      <c r="F145" s="8">
        <v>46060</v>
      </c>
      <c r="G145">
        <v>22.11</v>
      </c>
      <c r="H145">
        <v>36</v>
      </c>
    </row>
    <row r="146" spans="1:8" x14ac:dyDescent="0.25">
      <c r="A146" t="s">
        <v>8230</v>
      </c>
      <c r="B146" t="s">
        <v>857</v>
      </c>
      <c r="C146" t="s">
        <v>8084</v>
      </c>
      <c r="D146">
        <v>32146.53</v>
      </c>
      <c r="E146" t="s">
        <v>8101</v>
      </c>
      <c r="F146" s="8">
        <v>45935</v>
      </c>
      <c r="G146">
        <v>19.86</v>
      </c>
      <c r="H146">
        <v>12</v>
      </c>
    </row>
    <row r="147" spans="1:8" x14ac:dyDescent="0.25">
      <c r="A147" t="s">
        <v>8231</v>
      </c>
      <c r="B147" t="s">
        <v>80</v>
      </c>
      <c r="C147" t="s">
        <v>8084</v>
      </c>
      <c r="D147">
        <v>19521.87</v>
      </c>
      <c r="E147" t="s">
        <v>1050</v>
      </c>
      <c r="F147" s="8">
        <v>45665</v>
      </c>
      <c r="G147">
        <v>17.899999999999999</v>
      </c>
      <c r="H147">
        <v>3</v>
      </c>
    </row>
    <row r="148" spans="1:8" x14ac:dyDescent="0.25">
      <c r="A148" t="s">
        <v>8232</v>
      </c>
      <c r="B148" t="s">
        <v>937</v>
      </c>
      <c r="C148" t="s">
        <v>22</v>
      </c>
      <c r="D148">
        <v>40345.53</v>
      </c>
      <c r="E148" t="s">
        <v>1050</v>
      </c>
      <c r="F148" s="8">
        <v>46021</v>
      </c>
      <c r="G148">
        <v>30.74</v>
      </c>
      <c r="H148">
        <v>24</v>
      </c>
    </row>
    <row r="149" spans="1:8" x14ac:dyDescent="0.25">
      <c r="A149" t="s">
        <v>8233</v>
      </c>
      <c r="B149" t="s">
        <v>275</v>
      </c>
      <c r="C149" t="s">
        <v>8084</v>
      </c>
      <c r="D149">
        <v>18720.41</v>
      </c>
      <c r="E149" t="s">
        <v>1050</v>
      </c>
      <c r="F149" s="8">
        <v>46109</v>
      </c>
      <c r="G149">
        <v>22.6</v>
      </c>
      <c r="H149">
        <v>12</v>
      </c>
    </row>
    <row r="150" spans="1:8" x14ac:dyDescent="0.25">
      <c r="A150" t="s">
        <v>8234</v>
      </c>
      <c r="B150" t="s">
        <v>925</v>
      </c>
      <c r="C150" t="s">
        <v>8081</v>
      </c>
      <c r="D150">
        <v>160034.31</v>
      </c>
      <c r="E150" t="s">
        <v>1050</v>
      </c>
      <c r="F150" s="8">
        <v>45909</v>
      </c>
      <c r="G150">
        <v>22.58</v>
      </c>
      <c r="H150">
        <v>12</v>
      </c>
    </row>
    <row r="151" spans="1:8" x14ac:dyDescent="0.25">
      <c r="A151" t="s">
        <v>8235</v>
      </c>
      <c r="B151" t="s">
        <v>146</v>
      </c>
      <c r="C151" t="s">
        <v>8124</v>
      </c>
      <c r="D151">
        <v>39030.99</v>
      </c>
      <c r="E151" t="s">
        <v>1050</v>
      </c>
      <c r="F151" s="8">
        <v>45675</v>
      </c>
      <c r="G151">
        <v>20.7</v>
      </c>
      <c r="H151">
        <v>12</v>
      </c>
    </row>
    <row r="152" spans="1:8" x14ac:dyDescent="0.25">
      <c r="A152" t="s">
        <v>8236</v>
      </c>
      <c r="B152" t="s">
        <v>726</v>
      </c>
      <c r="C152" t="s">
        <v>8081</v>
      </c>
      <c r="D152">
        <v>6591.9</v>
      </c>
      <c r="E152" t="s">
        <v>8087</v>
      </c>
      <c r="F152" s="8">
        <v>46047</v>
      </c>
      <c r="G152">
        <v>27.02</v>
      </c>
      <c r="H152">
        <v>12</v>
      </c>
    </row>
    <row r="153" spans="1:8" x14ac:dyDescent="0.25">
      <c r="A153" t="s">
        <v>8237</v>
      </c>
      <c r="B153" t="s">
        <v>32</v>
      </c>
      <c r="C153" t="s">
        <v>8084</v>
      </c>
      <c r="D153">
        <v>4709.2299999999996</v>
      </c>
      <c r="E153" t="s">
        <v>1050</v>
      </c>
      <c r="F153" s="8">
        <v>45899</v>
      </c>
      <c r="G153">
        <v>14.39</v>
      </c>
      <c r="H153">
        <v>6</v>
      </c>
    </row>
    <row r="154" spans="1:8" x14ac:dyDescent="0.25">
      <c r="A154" t="s">
        <v>8238</v>
      </c>
      <c r="B154" t="s">
        <v>285</v>
      </c>
      <c r="C154" t="s">
        <v>8124</v>
      </c>
      <c r="D154">
        <v>4756.5200000000004</v>
      </c>
      <c r="E154" t="s">
        <v>8087</v>
      </c>
      <c r="F154" s="8">
        <v>45910</v>
      </c>
      <c r="G154">
        <v>33.590000000000003</v>
      </c>
      <c r="H154">
        <v>3</v>
      </c>
    </row>
    <row r="155" spans="1:8" x14ac:dyDescent="0.25">
      <c r="A155" t="s">
        <v>8239</v>
      </c>
      <c r="B155" t="s">
        <v>685</v>
      </c>
      <c r="C155" t="s">
        <v>8081</v>
      </c>
      <c r="D155">
        <v>29026.62</v>
      </c>
      <c r="E155" t="s">
        <v>1050</v>
      </c>
      <c r="F155" s="8">
        <v>45661</v>
      </c>
      <c r="G155">
        <v>12.62</v>
      </c>
      <c r="H155">
        <v>12</v>
      </c>
    </row>
    <row r="156" spans="1:8" x14ac:dyDescent="0.25">
      <c r="A156" t="s">
        <v>8240</v>
      </c>
      <c r="B156" t="s">
        <v>880</v>
      </c>
      <c r="C156" t="s">
        <v>8084</v>
      </c>
      <c r="D156">
        <v>38944.639999999999</v>
      </c>
      <c r="E156" t="s">
        <v>8087</v>
      </c>
      <c r="F156" s="8">
        <v>46030</v>
      </c>
      <c r="G156">
        <v>27.76</v>
      </c>
      <c r="H156">
        <v>12</v>
      </c>
    </row>
    <row r="157" spans="1:8" x14ac:dyDescent="0.25">
      <c r="A157" t="s">
        <v>8241</v>
      </c>
      <c r="B157" t="s">
        <v>46</v>
      </c>
      <c r="C157" t="s">
        <v>8084</v>
      </c>
      <c r="D157">
        <v>2231.1799999999998</v>
      </c>
      <c r="E157" t="s">
        <v>1050</v>
      </c>
      <c r="F157" s="8">
        <v>46082</v>
      </c>
      <c r="G157">
        <v>27.61</v>
      </c>
      <c r="H157">
        <v>12</v>
      </c>
    </row>
    <row r="158" spans="1:8" x14ac:dyDescent="0.25">
      <c r="A158" t="s">
        <v>8242</v>
      </c>
      <c r="B158" t="s">
        <v>225</v>
      </c>
      <c r="C158" t="s">
        <v>22</v>
      </c>
      <c r="D158">
        <v>47898</v>
      </c>
      <c r="E158" t="s">
        <v>8087</v>
      </c>
      <c r="F158" s="8">
        <v>45836</v>
      </c>
      <c r="G158">
        <v>12.85</v>
      </c>
      <c r="H158">
        <v>48</v>
      </c>
    </row>
    <row r="159" spans="1:8" x14ac:dyDescent="0.25">
      <c r="A159" t="s">
        <v>8243</v>
      </c>
      <c r="B159" t="s">
        <v>723</v>
      </c>
      <c r="C159" t="s">
        <v>8081</v>
      </c>
      <c r="D159">
        <v>23869.24</v>
      </c>
      <c r="E159" t="s">
        <v>1050</v>
      </c>
      <c r="F159" s="8">
        <v>45669</v>
      </c>
      <c r="G159">
        <v>34.83</v>
      </c>
      <c r="H159">
        <v>36</v>
      </c>
    </row>
    <row r="160" spans="1:8" x14ac:dyDescent="0.25">
      <c r="A160" t="s">
        <v>8244</v>
      </c>
      <c r="B160" t="s">
        <v>282</v>
      </c>
      <c r="C160" t="s">
        <v>8084</v>
      </c>
      <c r="D160">
        <v>65763.210000000006</v>
      </c>
      <c r="E160" t="s">
        <v>1050</v>
      </c>
      <c r="F160" s="8">
        <v>45950</v>
      </c>
      <c r="G160">
        <v>10.86</v>
      </c>
      <c r="H160">
        <v>3</v>
      </c>
    </row>
    <row r="161" spans="1:8" x14ac:dyDescent="0.25">
      <c r="A161" t="s">
        <v>8245</v>
      </c>
      <c r="B161" t="s">
        <v>372</v>
      </c>
      <c r="C161" t="s">
        <v>22</v>
      </c>
      <c r="D161">
        <v>8312.98</v>
      </c>
      <c r="E161" t="s">
        <v>1050</v>
      </c>
      <c r="F161" s="8">
        <v>45916</v>
      </c>
      <c r="G161">
        <v>19.12</v>
      </c>
      <c r="H161">
        <v>3</v>
      </c>
    </row>
    <row r="162" spans="1:8" x14ac:dyDescent="0.25">
      <c r="A162" t="s">
        <v>8246</v>
      </c>
      <c r="B162" t="s">
        <v>183</v>
      </c>
      <c r="C162" t="s">
        <v>8124</v>
      </c>
      <c r="D162">
        <v>22754.73</v>
      </c>
      <c r="E162" t="s">
        <v>1050</v>
      </c>
      <c r="F162" s="8">
        <v>46086</v>
      </c>
      <c r="G162">
        <v>20.62</v>
      </c>
      <c r="H162">
        <v>24</v>
      </c>
    </row>
    <row r="163" spans="1:8" x14ac:dyDescent="0.25">
      <c r="A163" t="s">
        <v>8247</v>
      </c>
      <c r="B163" t="s">
        <v>886</v>
      </c>
      <c r="C163" t="s">
        <v>8084</v>
      </c>
      <c r="D163">
        <v>22616.53</v>
      </c>
      <c r="E163" t="s">
        <v>1050</v>
      </c>
      <c r="F163" s="8">
        <v>46254</v>
      </c>
      <c r="G163">
        <v>30.07</v>
      </c>
      <c r="H163">
        <v>48</v>
      </c>
    </row>
    <row r="164" spans="1:8" x14ac:dyDescent="0.25">
      <c r="A164" t="s">
        <v>8248</v>
      </c>
      <c r="B164" t="s">
        <v>115</v>
      </c>
      <c r="C164" t="s">
        <v>8084</v>
      </c>
      <c r="D164">
        <v>9711.42</v>
      </c>
      <c r="E164" t="s">
        <v>8087</v>
      </c>
      <c r="F164" s="8">
        <v>45952</v>
      </c>
      <c r="G164">
        <v>10.75</v>
      </c>
      <c r="H164">
        <v>12</v>
      </c>
    </row>
    <row r="165" spans="1:8" x14ac:dyDescent="0.25">
      <c r="A165" t="s">
        <v>8249</v>
      </c>
      <c r="B165" t="s">
        <v>750</v>
      </c>
      <c r="C165" t="s">
        <v>8124</v>
      </c>
      <c r="D165">
        <v>6534.01</v>
      </c>
      <c r="E165" t="s">
        <v>8087</v>
      </c>
      <c r="F165" s="8">
        <v>45990</v>
      </c>
      <c r="G165">
        <v>23.93</v>
      </c>
      <c r="H165">
        <v>12</v>
      </c>
    </row>
    <row r="166" spans="1:8" x14ac:dyDescent="0.25">
      <c r="A166" t="s">
        <v>8250</v>
      </c>
      <c r="B166" t="s">
        <v>214</v>
      </c>
      <c r="C166" t="s">
        <v>8084</v>
      </c>
      <c r="D166">
        <v>37990.14</v>
      </c>
      <c r="E166" t="s">
        <v>1050</v>
      </c>
      <c r="F166" s="8">
        <v>45769</v>
      </c>
      <c r="G166">
        <v>15.1</v>
      </c>
      <c r="H166">
        <v>12</v>
      </c>
    </row>
    <row r="167" spans="1:8" x14ac:dyDescent="0.25">
      <c r="A167" t="s">
        <v>8251</v>
      </c>
      <c r="B167" t="s">
        <v>686</v>
      </c>
      <c r="C167" t="s">
        <v>8124</v>
      </c>
      <c r="D167">
        <v>21661.72</v>
      </c>
      <c r="E167" t="s">
        <v>1050</v>
      </c>
      <c r="F167" s="8">
        <v>45863</v>
      </c>
      <c r="G167">
        <v>24.31</v>
      </c>
      <c r="H167">
        <v>24</v>
      </c>
    </row>
    <row r="168" spans="1:8" x14ac:dyDescent="0.25">
      <c r="A168" t="s">
        <v>8252</v>
      </c>
      <c r="B168" t="s">
        <v>747</v>
      </c>
      <c r="C168" t="s">
        <v>8081</v>
      </c>
      <c r="D168">
        <v>24714.73</v>
      </c>
      <c r="E168" t="s">
        <v>8087</v>
      </c>
      <c r="F168" s="8">
        <v>45879</v>
      </c>
      <c r="G168">
        <v>26.16</v>
      </c>
      <c r="H168">
        <v>12</v>
      </c>
    </row>
    <row r="169" spans="1:8" x14ac:dyDescent="0.25">
      <c r="A169" t="s">
        <v>8253</v>
      </c>
      <c r="B169" t="s">
        <v>411</v>
      </c>
      <c r="C169" t="s">
        <v>8084</v>
      </c>
      <c r="D169">
        <v>53647.43</v>
      </c>
      <c r="E169" t="s">
        <v>8101</v>
      </c>
      <c r="F169" s="8">
        <v>46187</v>
      </c>
      <c r="G169">
        <v>10.85</v>
      </c>
      <c r="H169">
        <v>6</v>
      </c>
    </row>
    <row r="170" spans="1:8" x14ac:dyDescent="0.25">
      <c r="A170" t="s">
        <v>8254</v>
      </c>
      <c r="B170" t="s">
        <v>136</v>
      </c>
      <c r="C170" t="s">
        <v>8084</v>
      </c>
      <c r="D170">
        <v>17469.77</v>
      </c>
      <c r="E170" t="s">
        <v>1050</v>
      </c>
      <c r="F170" s="8">
        <v>45670</v>
      </c>
      <c r="G170">
        <v>11.69</v>
      </c>
      <c r="H170">
        <v>12</v>
      </c>
    </row>
    <row r="171" spans="1:8" x14ac:dyDescent="0.25">
      <c r="A171" t="s">
        <v>8255</v>
      </c>
      <c r="B171" t="s">
        <v>173</v>
      </c>
      <c r="C171" t="s">
        <v>8084</v>
      </c>
      <c r="D171">
        <v>23199.96</v>
      </c>
      <c r="E171" t="s">
        <v>1050</v>
      </c>
      <c r="F171" s="8">
        <v>45927</v>
      </c>
      <c r="G171">
        <v>12.13</v>
      </c>
      <c r="H171">
        <v>12</v>
      </c>
    </row>
    <row r="172" spans="1:8" x14ac:dyDescent="0.25">
      <c r="A172" t="s">
        <v>8256</v>
      </c>
      <c r="B172" t="s">
        <v>159</v>
      </c>
      <c r="C172" t="s">
        <v>8084</v>
      </c>
      <c r="D172">
        <v>23907.19</v>
      </c>
      <c r="E172" t="s">
        <v>1050</v>
      </c>
      <c r="F172" s="8">
        <v>46210</v>
      </c>
      <c r="G172">
        <v>31.31</v>
      </c>
      <c r="H172">
        <v>36</v>
      </c>
    </row>
    <row r="173" spans="1:8" x14ac:dyDescent="0.25">
      <c r="A173" t="s">
        <v>8257</v>
      </c>
      <c r="B173" t="s">
        <v>698</v>
      </c>
      <c r="C173" t="s">
        <v>8081</v>
      </c>
      <c r="D173">
        <v>24421.3</v>
      </c>
      <c r="E173" t="s">
        <v>1050</v>
      </c>
      <c r="F173" s="8">
        <v>45697</v>
      </c>
      <c r="G173">
        <v>33.17</v>
      </c>
      <c r="H173">
        <v>24</v>
      </c>
    </row>
    <row r="174" spans="1:8" x14ac:dyDescent="0.25">
      <c r="A174" t="s">
        <v>8258</v>
      </c>
      <c r="B174" t="s">
        <v>193</v>
      </c>
      <c r="C174" t="s">
        <v>22</v>
      </c>
      <c r="D174">
        <v>5842.87</v>
      </c>
      <c r="E174" t="s">
        <v>1050</v>
      </c>
      <c r="F174" s="8">
        <v>46162</v>
      </c>
      <c r="G174">
        <v>20.94</v>
      </c>
      <c r="H174">
        <v>24</v>
      </c>
    </row>
    <row r="175" spans="1:8" x14ac:dyDescent="0.25">
      <c r="A175" t="s">
        <v>8259</v>
      </c>
      <c r="B175" t="s">
        <v>913</v>
      </c>
      <c r="C175" t="s">
        <v>8081</v>
      </c>
      <c r="D175">
        <v>17748.669999999998</v>
      </c>
      <c r="E175" t="s">
        <v>8087</v>
      </c>
      <c r="F175" s="8">
        <v>46258</v>
      </c>
      <c r="G175">
        <v>31.87</v>
      </c>
      <c r="H175">
        <v>12</v>
      </c>
    </row>
    <row r="176" spans="1:8" x14ac:dyDescent="0.25">
      <c r="A176" t="s">
        <v>8260</v>
      </c>
      <c r="B176" t="s">
        <v>840</v>
      </c>
      <c r="C176" t="s">
        <v>22</v>
      </c>
      <c r="D176">
        <v>45556.97</v>
      </c>
      <c r="E176" t="s">
        <v>1050</v>
      </c>
      <c r="F176" s="8">
        <v>45872</v>
      </c>
      <c r="G176">
        <v>21.91</v>
      </c>
      <c r="H176">
        <v>6</v>
      </c>
    </row>
    <row r="177" spans="1:8" x14ac:dyDescent="0.25">
      <c r="A177" t="s">
        <v>8261</v>
      </c>
      <c r="B177" t="s">
        <v>58</v>
      </c>
      <c r="C177" t="s">
        <v>22</v>
      </c>
      <c r="D177">
        <v>16278.44</v>
      </c>
      <c r="E177" t="s">
        <v>1050</v>
      </c>
      <c r="F177" s="8">
        <v>45961</v>
      </c>
      <c r="G177">
        <v>20.03</v>
      </c>
      <c r="H177">
        <v>36</v>
      </c>
    </row>
    <row r="178" spans="1:8" x14ac:dyDescent="0.25">
      <c r="A178" t="s">
        <v>8262</v>
      </c>
      <c r="B178" t="s">
        <v>199</v>
      </c>
      <c r="C178" t="s">
        <v>8124</v>
      </c>
      <c r="D178">
        <v>12355.62</v>
      </c>
      <c r="E178" t="s">
        <v>8101</v>
      </c>
      <c r="F178" s="8">
        <v>46179</v>
      </c>
      <c r="G178">
        <v>23.28</v>
      </c>
      <c r="H178">
        <v>12</v>
      </c>
    </row>
    <row r="179" spans="1:8" x14ac:dyDescent="0.25">
      <c r="A179" t="s">
        <v>8263</v>
      </c>
      <c r="B179" t="s">
        <v>935</v>
      </c>
      <c r="C179" t="s">
        <v>8081</v>
      </c>
      <c r="D179">
        <v>39136.699999999997</v>
      </c>
      <c r="E179" t="s">
        <v>1050</v>
      </c>
      <c r="F179" s="8">
        <v>45778</v>
      </c>
      <c r="G179">
        <v>29.75</v>
      </c>
      <c r="H179">
        <v>24</v>
      </c>
    </row>
    <row r="180" spans="1:8" x14ac:dyDescent="0.25">
      <c r="A180" t="s">
        <v>8264</v>
      </c>
      <c r="B180" t="s">
        <v>386</v>
      </c>
      <c r="C180" t="s">
        <v>8124</v>
      </c>
      <c r="D180">
        <v>18232.32</v>
      </c>
      <c r="E180" t="s">
        <v>1050</v>
      </c>
      <c r="F180" s="8">
        <v>45967</v>
      </c>
      <c r="G180">
        <v>15.59</v>
      </c>
      <c r="H180">
        <v>24</v>
      </c>
    </row>
    <row r="181" spans="1:8" x14ac:dyDescent="0.25">
      <c r="A181" t="s">
        <v>8265</v>
      </c>
      <c r="B181" t="s">
        <v>273</v>
      </c>
      <c r="C181" t="s">
        <v>8084</v>
      </c>
      <c r="D181">
        <v>10897.53</v>
      </c>
      <c r="E181" t="s">
        <v>1050</v>
      </c>
      <c r="F181" s="8">
        <v>45962</v>
      </c>
      <c r="G181">
        <v>17.54</v>
      </c>
      <c r="H181">
        <v>36</v>
      </c>
    </row>
    <row r="182" spans="1:8" x14ac:dyDescent="0.25">
      <c r="A182" t="s">
        <v>8266</v>
      </c>
      <c r="B182" t="s">
        <v>347</v>
      </c>
      <c r="C182" t="s">
        <v>8081</v>
      </c>
      <c r="D182">
        <v>9053.36</v>
      </c>
      <c r="E182" t="s">
        <v>1050</v>
      </c>
      <c r="F182" s="8">
        <v>46083</v>
      </c>
      <c r="G182">
        <v>31.22</v>
      </c>
      <c r="H182">
        <v>6</v>
      </c>
    </row>
    <row r="183" spans="1:8" x14ac:dyDescent="0.25">
      <c r="A183" t="s">
        <v>8267</v>
      </c>
      <c r="B183" t="s">
        <v>779</v>
      </c>
      <c r="C183" t="s">
        <v>22</v>
      </c>
      <c r="D183">
        <v>17273.27</v>
      </c>
      <c r="E183" t="s">
        <v>8087</v>
      </c>
      <c r="F183" s="8">
        <v>46116</v>
      </c>
      <c r="G183">
        <v>32.9</v>
      </c>
      <c r="H183">
        <v>24</v>
      </c>
    </row>
    <row r="184" spans="1:8" x14ac:dyDescent="0.25">
      <c r="A184" t="s">
        <v>8268</v>
      </c>
      <c r="B184" t="s">
        <v>622</v>
      </c>
      <c r="C184" t="s">
        <v>8124</v>
      </c>
      <c r="D184">
        <v>10622.7</v>
      </c>
      <c r="E184" t="s">
        <v>1050</v>
      </c>
      <c r="F184" s="8">
        <v>46253</v>
      </c>
      <c r="G184">
        <v>13.08</v>
      </c>
      <c r="H184">
        <v>12</v>
      </c>
    </row>
    <row r="185" spans="1:8" x14ac:dyDescent="0.25">
      <c r="A185" t="s">
        <v>8269</v>
      </c>
      <c r="B185" t="s">
        <v>894</v>
      </c>
      <c r="C185" t="s">
        <v>22</v>
      </c>
      <c r="D185">
        <v>37092.959999999999</v>
      </c>
      <c r="E185" t="s">
        <v>8087</v>
      </c>
      <c r="F185" s="8">
        <v>45859</v>
      </c>
      <c r="G185">
        <v>27.62</v>
      </c>
      <c r="H185">
        <v>6</v>
      </c>
    </row>
    <row r="186" spans="1:8" x14ac:dyDescent="0.25">
      <c r="A186" t="s">
        <v>8270</v>
      </c>
      <c r="B186" t="s">
        <v>957</v>
      </c>
      <c r="C186" t="s">
        <v>8084</v>
      </c>
      <c r="D186">
        <v>9811.31</v>
      </c>
      <c r="E186" t="s">
        <v>8087</v>
      </c>
      <c r="F186" s="8">
        <v>46219</v>
      </c>
      <c r="G186">
        <v>10.24</v>
      </c>
      <c r="H186">
        <v>36</v>
      </c>
    </row>
    <row r="187" spans="1:8" x14ac:dyDescent="0.25">
      <c r="A187" t="s">
        <v>8271</v>
      </c>
      <c r="B187" t="s">
        <v>898</v>
      </c>
      <c r="C187" t="s">
        <v>8084</v>
      </c>
      <c r="D187">
        <v>22530.6</v>
      </c>
      <c r="E187" t="s">
        <v>1050</v>
      </c>
      <c r="F187" s="8">
        <v>46069</v>
      </c>
      <c r="G187">
        <v>16.149999999999999</v>
      </c>
      <c r="H187">
        <v>36</v>
      </c>
    </row>
    <row r="188" spans="1:8" x14ac:dyDescent="0.25">
      <c r="A188" t="s">
        <v>8272</v>
      </c>
      <c r="B188" t="s">
        <v>815</v>
      </c>
      <c r="C188" t="s">
        <v>8084</v>
      </c>
      <c r="D188">
        <v>25232.36</v>
      </c>
      <c r="E188" t="s">
        <v>8087</v>
      </c>
      <c r="F188" s="8">
        <v>45877</v>
      </c>
      <c r="G188">
        <v>11.72</v>
      </c>
      <c r="H188">
        <v>3</v>
      </c>
    </row>
    <row r="189" spans="1:8" x14ac:dyDescent="0.25">
      <c r="A189" t="s">
        <v>8273</v>
      </c>
      <c r="B189" t="s">
        <v>566</v>
      </c>
      <c r="C189" t="s">
        <v>8084</v>
      </c>
      <c r="D189">
        <v>29921.67</v>
      </c>
      <c r="E189" t="s">
        <v>8087</v>
      </c>
      <c r="F189" s="8">
        <v>45812</v>
      </c>
      <c r="G189">
        <v>22.88</v>
      </c>
      <c r="H189">
        <v>24</v>
      </c>
    </row>
    <row r="190" spans="1:8" x14ac:dyDescent="0.25">
      <c r="A190" t="s">
        <v>8274</v>
      </c>
      <c r="B190" t="s">
        <v>709</v>
      </c>
      <c r="C190" t="s">
        <v>22</v>
      </c>
      <c r="D190">
        <v>63307.79</v>
      </c>
      <c r="E190" t="s">
        <v>8105</v>
      </c>
      <c r="F190" s="8">
        <v>45981</v>
      </c>
      <c r="G190">
        <v>18.579999999999998</v>
      </c>
      <c r="H190">
        <v>6</v>
      </c>
    </row>
    <row r="191" spans="1:8" x14ac:dyDescent="0.25">
      <c r="A191" t="s">
        <v>8275</v>
      </c>
      <c r="B191" t="s">
        <v>934</v>
      </c>
      <c r="C191" t="s">
        <v>8081</v>
      </c>
      <c r="D191">
        <v>6111.58</v>
      </c>
      <c r="E191" t="s">
        <v>1050</v>
      </c>
      <c r="F191" s="8">
        <v>45997</v>
      </c>
      <c r="G191">
        <v>13.44</v>
      </c>
      <c r="H191">
        <v>24</v>
      </c>
    </row>
    <row r="192" spans="1:8" x14ac:dyDescent="0.25">
      <c r="A192" t="s">
        <v>8276</v>
      </c>
      <c r="B192" t="s">
        <v>730</v>
      </c>
      <c r="C192" t="s">
        <v>8084</v>
      </c>
      <c r="D192">
        <v>29328.68</v>
      </c>
      <c r="E192" t="s">
        <v>1050</v>
      </c>
      <c r="F192" s="8">
        <v>46047</v>
      </c>
      <c r="G192">
        <v>10.01</v>
      </c>
      <c r="H192">
        <v>24</v>
      </c>
    </row>
    <row r="193" spans="1:8" x14ac:dyDescent="0.25">
      <c r="A193" t="s">
        <v>8277</v>
      </c>
      <c r="B193" t="s">
        <v>766</v>
      </c>
      <c r="C193" t="s">
        <v>8084</v>
      </c>
      <c r="D193">
        <v>29684.66</v>
      </c>
      <c r="E193" t="s">
        <v>8105</v>
      </c>
      <c r="F193" s="8">
        <v>45843</v>
      </c>
      <c r="G193">
        <v>19.71</v>
      </c>
      <c r="H193">
        <v>24</v>
      </c>
    </row>
    <row r="194" spans="1:8" x14ac:dyDescent="0.25">
      <c r="A194" t="s">
        <v>8278</v>
      </c>
      <c r="B194" t="s">
        <v>715</v>
      </c>
      <c r="C194" t="s">
        <v>8081</v>
      </c>
      <c r="D194">
        <v>7561.98</v>
      </c>
      <c r="E194" t="s">
        <v>1050</v>
      </c>
      <c r="F194" s="8">
        <v>45791</v>
      </c>
      <c r="G194">
        <v>17.36</v>
      </c>
      <c r="H194">
        <v>6</v>
      </c>
    </row>
    <row r="195" spans="1:8" x14ac:dyDescent="0.25">
      <c r="A195" t="s">
        <v>8279</v>
      </c>
      <c r="B195" t="s">
        <v>718</v>
      </c>
      <c r="C195" t="s">
        <v>8084</v>
      </c>
      <c r="D195">
        <v>22214.27</v>
      </c>
      <c r="E195" t="s">
        <v>1050</v>
      </c>
      <c r="F195" s="8">
        <v>45804</v>
      </c>
      <c r="G195">
        <v>11.17</v>
      </c>
      <c r="H195">
        <v>24</v>
      </c>
    </row>
    <row r="196" spans="1:8" x14ac:dyDescent="0.25">
      <c r="A196" t="s">
        <v>8280</v>
      </c>
      <c r="B196" t="s">
        <v>899</v>
      </c>
      <c r="C196" t="s">
        <v>8124</v>
      </c>
      <c r="D196">
        <v>12891.88</v>
      </c>
      <c r="E196" t="s">
        <v>8087</v>
      </c>
      <c r="F196" s="8">
        <v>45770</v>
      </c>
      <c r="G196">
        <v>31.29</v>
      </c>
      <c r="H196">
        <v>6</v>
      </c>
    </row>
    <row r="197" spans="1:8" x14ac:dyDescent="0.25">
      <c r="A197" t="s">
        <v>8281</v>
      </c>
      <c r="B197" t="s">
        <v>300</v>
      </c>
      <c r="C197" t="s">
        <v>8084</v>
      </c>
      <c r="D197">
        <v>55357.82</v>
      </c>
      <c r="E197" t="s">
        <v>1050</v>
      </c>
      <c r="F197" s="8">
        <v>46186</v>
      </c>
      <c r="G197">
        <v>20.27</v>
      </c>
      <c r="H197">
        <v>24</v>
      </c>
    </row>
    <row r="198" spans="1:8" x14ac:dyDescent="0.25">
      <c r="A198" t="s">
        <v>8282</v>
      </c>
      <c r="B198" t="s">
        <v>941</v>
      </c>
      <c r="C198" t="s">
        <v>8084</v>
      </c>
      <c r="D198">
        <v>11443.76</v>
      </c>
      <c r="E198" t="s">
        <v>1050</v>
      </c>
      <c r="F198" s="8">
        <v>46090</v>
      </c>
      <c r="G198">
        <v>29.37</v>
      </c>
      <c r="H198">
        <v>3</v>
      </c>
    </row>
    <row r="199" spans="1:8" x14ac:dyDescent="0.25">
      <c r="A199" t="s">
        <v>8283</v>
      </c>
      <c r="B199" t="s">
        <v>669</v>
      </c>
      <c r="C199" t="s">
        <v>8084</v>
      </c>
      <c r="D199">
        <v>15181.37</v>
      </c>
      <c r="E199" t="s">
        <v>8087</v>
      </c>
      <c r="F199" s="8">
        <v>46044</v>
      </c>
      <c r="G199">
        <v>20.55</v>
      </c>
      <c r="H199">
        <v>24</v>
      </c>
    </row>
    <row r="200" spans="1:8" x14ac:dyDescent="0.25">
      <c r="A200" t="s">
        <v>8284</v>
      </c>
      <c r="B200" t="s">
        <v>981</v>
      </c>
      <c r="C200" t="s">
        <v>8124</v>
      </c>
      <c r="D200">
        <v>13302.45</v>
      </c>
      <c r="E200" t="s">
        <v>8087</v>
      </c>
      <c r="F200" s="8">
        <v>46023</v>
      </c>
      <c r="G200">
        <v>11.69</v>
      </c>
      <c r="H200">
        <v>36</v>
      </c>
    </row>
    <row r="201" spans="1:8" x14ac:dyDescent="0.25">
      <c r="A201" t="s">
        <v>8285</v>
      </c>
      <c r="B201" t="s">
        <v>156</v>
      </c>
      <c r="C201" t="s">
        <v>8081</v>
      </c>
      <c r="D201">
        <v>9223.2000000000007</v>
      </c>
      <c r="E201" t="s">
        <v>8087</v>
      </c>
      <c r="F201" s="8">
        <v>45691</v>
      </c>
      <c r="G201">
        <v>19.86</v>
      </c>
      <c r="H201">
        <v>12</v>
      </c>
    </row>
    <row r="202" spans="1:8" x14ac:dyDescent="0.25">
      <c r="A202" t="s">
        <v>8286</v>
      </c>
      <c r="B202" t="s">
        <v>607</v>
      </c>
      <c r="C202" t="s">
        <v>8081</v>
      </c>
      <c r="D202">
        <v>5221.1400000000003</v>
      </c>
      <c r="E202" t="s">
        <v>1050</v>
      </c>
      <c r="F202" s="8">
        <v>45719</v>
      </c>
      <c r="G202">
        <v>32.15</v>
      </c>
      <c r="H202">
        <v>24</v>
      </c>
    </row>
    <row r="203" spans="1:8" x14ac:dyDescent="0.25">
      <c r="A203" t="s">
        <v>8287</v>
      </c>
      <c r="B203" t="s">
        <v>787</v>
      </c>
      <c r="C203" t="s">
        <v>8084</v>
      </c>
      <c r="D203">
        <v>9263.11</v>
      </c>
      <c r="E203" t="s">
        <v>8087</v>
      </c>
      <c r="F203" s="8">
        <v>46101</v>
      </c>
      <c r="G203">
        <v>10.19</v>
      </c>
      <c r="H203">
        <v>12</v>
      </c>
    </row>
    <row r="204" spans="1:8" x14ac:dyDescent="0.25">
      <c r="A204" t="s">
        <v>8288</v>
      </c>
      <c r="B204" t="s">
        <v>117</v>
      </c>
      <c r="C204" t="s">
        <v>8124</v>
      </c>
      <c r="D204">
        <v>20233.41</v>
      </c>
      <c r="E204" t="s">
        <v>8087</v>
      </c>
      <c r="F204" s="8">
        <v>45853</v>
      </c>
      <c r="G204">
        <v>32.380000000000003</v>
      </c>
      <c r="H204">
        <v>36</v>
      </c>
    </row>
    <row r="205" spans="1:8" x14ac:dyDescent="0.25">
      <c r="A205" t="s">
        <v>8289</v>
      </c>
      <c r="B205" t="s">
        <v>512</v>
      </c>
      <c r="C205" t="s">
        <v>8124</v>
      </c>
      <c r="D205">
        <v>22604.63</v>
      </c>
      <c r="E205" t="s">
        <v>1050</v>
      </c>
      <c r="F205" s="8">
        <v>45744</v>
      </c>
      <c r="G205">
        <v>26.42</v>
      </c>
      <c r="H205">
        <v>24</v>
      </c>
    </row>
    <row r="206" spans="1:8" x14ac:dyDescent="0.25">
      <c r="A206" t="s">
        <v>8290</v>
      </c>
      <c r="B206" t="s">
        <v>693</v>
      </c>
      <c r="C206" t="s">
        <v>8084</v>
      </c>
      <c r="D206">
        <v>34540.800000000003</v>
      </c>
      <c r="E206" t="s">
        <v>1050</v>
      </c>
      <c r="F206" s="8">
        <v>45911</v>
      </c>
      <c r="G206">
        <v>34.89</v>
      </c>
      <c r="H206">
        <v>12</v>
      </c>
    </row>
    <row r="207" spans="1:8" x14ac:dyDescent="0.25">
      <c r="A207" t="s">
        <v>8291</v>
      </c>
      <c r="B207" t="s">
        <v>853</v>
      </c>
      <c r="C207" t="s">
        <v>22</v>
      </c>
      <c r="D207">
        <v>41767.1</v>
      </c>
      <c r="E207" t="s">
        <v>8087</v>
      </c>
      <c r="F207" s="8">
        <v>45784</v>
      </c>
      <c r="G207">
        <v>32.9</v>
      </c>
      <c r="H207">
        <v>6</v>
      </c>
    </row>
    <row r="208" spans="1:8" x14ac:dyDescent="0.25">
      <c r="A208" t="s">
        <v>8292</v>
      </c>
      <c r="B208" t="s">
        <v>918</v>
      </c>
      <c r="C208" t="s">
        <v>8124</v>
      </c>
      <c r="D208">
        <v>24847.62</v>
      </c>
      <c r="E208" t="s">
        <v>1050</v>
      </c>
      <c r="F208" s="8">
        <v>45819</v>
      </c>
      <c r="G208">
        <v>31.72</v>
      </c>
      <c r="H208">
        <v>36</v>
      </c>
    </row>
    <row r="209" spans="1:8" x14ac:dyDescent="0.25">
      <c r="A209" t="s">
        <v>8293</v>
      </c>
      <c r="B209" t="s">
        <v>178</v>
      </c>
      <c r="C209" t="s">
        <v>8084</v>
      </c>
      <c r="D209">
        <v>34108.94</v>
      </c>
      <c r="E209" t="s">
        <v>1050</v>
      </c>
      <c r="F209" s="8">
        <v>45973</v>
      </c>
      <c r="G209">
        <v>10.94</v>
      </c>
      <c r="H209">
        <v>36</v>
      </c>
    </row>
    <row r="210" spans="1:8" x14ac:dyDescent="0.25">
      <c r="A210" t="s">
        <v>8294</v>
      </c>
      <c r="B210" t="s">
        <v>304</v>
      </c>
      <c r="C210" t="s">
        <v>8084</v>
      </c>
      <c r="D210">
        <v>27425.85</v>
      </c>
      <c r="E210" t="s">
        <v>1050</v>
      </c>
      <c r="F210" s="8">
        <v>45829</v>
      </c>
      <c r="G210">
        <v>17.010000000000002</v>
      </c>
      <c r="H210">
        <v>24</v>
      </c>
    </row>
    <row r="211" spans="1:8" x14ac:dyDescent="0.25">
      <c r="A211" t="s">
        <v>8295</v>
      </c>
      <c r="B211" t="s">
        <v>776</v>
      </c>
      <c r="C211" t="s">
        <v>8081</v>
      </c>
      <c r="D211">
        <v>7472.51</v>
      </c>
      <c r="E211" t="s">
        <v>1050</v>
      </c>
      <c r="F211" s="8">
        <v>46056</v>
      </c>
      <c r="G211">
        <v>19.37</v>
      </c>
      <c r="H211">
        <v>12</v>
      </c>
    </row>
    <row r="212" spans="1:8" x14ac:dyDescent="0.25">
      <c r="A212" t="s">
        <v>8296</v>
      </c>
      <c r="B212" t="s">
        <v>516</v>
      </c>
      <c r="C212" t="s">
        <v>22</v>
      </c>
      <c r="D212">
        <v>24467.599999999999</v>
      </c>
      <c r="E212" t="s">
        <v>1050</v>
      </c>
      <c r="F212" s="8">
        <v>45988</v>
      </c>
      <c r="G212">
        <v>27.5</v>
      </c>
      <c r="H212">
        <v>12</v>
      </c>
    </row>
    <row r="213" spans="1:8" x14ac:dyDescent="0.25">
      <c r="A213" t="s">
        <v>8297</v>
      </c>
      <c r="B213" t="s">
        <v>948</v>
      </c>
      <c r="C213" t="s">
        <v>8124</v>
      </c>
      <c r="D213">
        <v>18205.849999999999</v>
      </c>
      <c r="E213" t="s">
        <v>8087</v>
      </c>
      <c r="F213" s="8">
        <v>46016</v>
      </c>
      <c r="G213">
        <v>26.22</v>
      </c>
      <c r="H213">
        <v>24</v>
      </c>
    </row>
    <row r="214" spans="1:8" x14ac:dyDescent="0.25">
      <c r="A214" t="s">
        <v>8298</v>
      </c>
      <c r="B214" t="s">
        <v>409</v>
      </c>
      <c r="C214" t="s">
        <v>22</v>
      </c>
      <c r="D214">
        <v>11477.41</v>
      </c>
      <c r="E214" t="s">
        <v>1050</v>
      </c>
      <c r="F214" s="8">
        <v>45909</v>
      </c>
      <c r="G214">
        <v>14.29</v>
      </c>
      <c r="H214">
        <v>6</v>
      </c>
    </row>
    <row r="215" spans="1:8" x14ac:dyDescent="0.25">
      <c r="A215" t="s">
        <v>8299</v>
      </c>
      <c r="B215" t="s">
        <v>561</v>
      </c>
      <c r="C215" t="s">
        <v>8084</v>
      </c>
      <c r="D215">
        <v>18210.55</v>
      </c>
      <c r="E215" t="s">
        <v>1050</v>
      </c>
      <c r="F215" s="8">
        <v>45666</v>
      </c>
      <c r="G215">
        <v>28.42</v>
      </c>
      <c r="H215">
        <v>48</v>
      </c>
    </row>
    <row r="216" spans="1:8" x14ac:dyDescent="0.25">
      <c r="A216" t="s">
        <v>8300</v>
      </c>
      <c r="B216" t="s">
        <v>127</v>
      </c>
      <c r="C216" t="s">
        <v>22</v>
      </c>
      <c r="D216">
        <v>24000.07</v>
      </c>
      <c r="E216" t="s">
        <v>1050</v>
      </c>
      <c r="F216" s="8">
        <v>45896</v>
      </c>
      <c r="G216">
        <v>13.89</v>
      </c>
      <c r="H216">
        <v>6</v>
      </c>
    </row>
    <row r="217" spans="1:8" x14ac:dyDescent="0.25">
      <c r="A217" t="s">
        <v>8301</v>
      </c>
      <c r="B217" t="s">
        <v>461</v>
      </c>
      <c r="C217" t="s">
        <v>8081</v>
      </c>
      <c r="D217">
        <v>15344.67</v>
      </c>
      <c r="E217" t="s">
        <v>1050</v>
      </c>
      <c r="F217" s="8">
        <v>45692</v>
      </c>
      <c r="G217">
        <v>21.41</v>
      </c>
      <c r="H217">
        <v>24</v>
      </c>
    </row>
    <row r="218" spans="1:8" x14ac:dyDescent="0.25">
      <c r="A218" t="s">
        <v>8302</v>
      </c>
      <c r="B218" t="s">
        <v>341</v>
      </c>
      <c r="C218" t="s">
        <v>8084</v>
      </c>
      <c r="D218">
        <v>39872.199999999997</v>
      </c>
      <c r="E218" t="s">
        <v>1050</v>
      </c>
      <c r="F218" s="8">
        <v>46040</v>
      </c>
      <c r="G218">
        <v>24.47</v>
      </c>
      <c r="H218">
        <v>12</v>
      </c>
    </row>
    <row r="219" spans="1:8" x14ac:dyDescent="0.25">
      <c r="A219" t="s">
        <v>8303</v>
      </c>
      <c r="B219" t="s">
        <v>816</v>
      </c>
      <c r="C219" t="s">
        <v>8084</v>
      </c>
      <c r="D219">
        <v>23693.29</v>
      </c>
      <c r="E219" t="s">
        <v>1050</v>
      </c>
      <c r="F219" s="8">
        <v>45858</v>
      </c>
      <c r="G219">
        <v>31.77</v>
      </c>
      <c r="H219">
        <v>24</v>
      </c>
    </row>
    <row r="220" spans="1:8" x14ac:dyDescent="0.25">
      <c r="A220" t="s">
        <v>8304</v>
      </c>
      <c r="B220" t="s">
        <v>92</v>
      </c>
      <c r="C220" t="s">
        <v>8084</v>
      </c>
      <c r="D220">
        <v>36291.980000000003</v>
      </c>
      <c r="E220" t="s">
        <v>1050</v>
      </c>
      <c r="F220" s="8">
        <v>45890</v>
      </c>
      <c r="G220">
        <v>25.78</v>
      </c>
      <c r="H220">
        <v>12</v>
      </c>
    </row>
    <row r="221" spans="1:8" x14ac:dyDescent="0.25">
      <c r="A221" t="s">
        <v>8305</v>
      </c>
      <c r="B221" t="s">
        <v>870</v>
      </c>
      <c r="C221" t="s">
        <v>22</v>
      </c>
      <c r="D221">
        <v>49275.89</v>
      </c>
      <c r="E221" t="s">
        <v>1050</v>
      </c>
      <c r="F221" s="8">
        <v>46153</v>
      </c>
      <c r="G221">
        <v>33.869999999999997</v>
      </c>
      <c r="H221">
        <v>12</v>
      </c>
    </row>
    <row r="222" spans="1:8" x14ac:dyDescent="0.25">
      <c r="A222" t="s">
        <v>8306</v>
      </c>
      <c r="B222" t="s">
        <v>244</v>
      </c>
      <c r="C222" t="s">
        <v>8124</v>
      </c>
      <c r="D222">
        <v>13139.53</v>
      </c>
      <c r="E222" t="s">
        <v>1050</v>
      </c>
      <c r="F222" s="8">
        <v>45734</v>
      </c>
      <c r="G222">
        <v>34.86</v>
      </c>
      <c r="H222">
        <v>12</v>
      </c>
    </row>
    <row r="223" spans="1:8" x14ac:dyDescent="0.25">
      <c r="A223" t="s">
        <v>8307</v>
      </c>
      <c r="B223" t="s">
        <v>839</v>
      </c>
      <c r="C223" t="s">
        <v>22</v>
      </c>
      <c r="D223">
        <v>12635.07</v>
      </c>
      <c r="E223" t="s">
        <v>8101</v>
      </c>
      <c r="F223" s="8">
        <v>45875</v>
      </c>
      <c r="G223">
        <v>22.72</v>
      </c>
      <c r="H223">
        <v>6</v>
      </c>
    </row>
    <row r="224" spans="1:8" x14ac:dyDescent="0.25">
      <c r="A224" t="s">
        <v>8308</v>
      </c>
      <c r="B224" t="s">
        <v>860</v>
      </c>
      <c r="C224" t="s">
        <v>22</v>
      </c>
      <c r="D224">
        <v>45497.65</v>
      </c>
      <c r="E224" t="s">
        <v>1050</v>
      </c>
      <c r="F224" s="8">
        <v>46031</v>
      </c>
      <c r="G224">
        <v>11.29</v>
      </c>
      <c r="H224">
        <v>36</v>
      </c>
    </row>
    <row r="225" spans="1:8" x14ac:dyDescent="0.25">
      <c r="A225" t="s">
        <v>8309</v>
      </c>
      <c r="B225" t="s">
        <v>975</v>
      </c>
      <c r="C225" t="s">
        <v>8084</v>
      </c>
      <c r="D225">
        <v>9743.4599999999991</v>
      </c>
      <c r="E225" t="s">
        <v>8087</v>
      </c>
      <c r="F225" s="8">
        <v>45710</v>
      </c>
      <c r="G225">
        <v>10.71</v>
      </c>
      <c r="H225">
        <v>48</v>
      </c>
    </row>
    <row r="226" spans="1:8" x14ac:dyDescent="0.25">
      <c r="A226" t="s">
        <v>8310</v>
      </c>
      <c r="B226" t="s">
        <v>63</v>
      </c>
      <c r="C226" t="s">
        <v>22</v>
      </c>
      <c r="D226">
        <v>16669.86</v>
      </c>
      <c r="E226" t="s">
        <v>1050</v>
      </c>
      <c r="F226" s="8">
        <v>46253</v>
      </c>
      <c r="G226">
        <v>31.39</v>
      </c>
      <c r="H226">
        <v>12</v>
      </c>
    </row>
    <row r="227" spans="1:8" x14ac:dyDescent="0.25">
      <c r="A227" t="s">
        <v>8311</v>
      </c>
      <c r="B227" t="s">
        <v>530</v>
      </c>
      <c r="C227" t="s">
        <v>22</v>
      </c>
      <c r="D227">
        <v>12210.96</v>
      </c>
      <c r="E227" t="s">
        <v>1050</v>
      </c>
      <c r="F227" s="8">
        <v>45915</v>
      </c>
      <c r="G227">
        <v>22.5</v>
      </c>
      <c r="H227">
        <v>12</v>
      </c>
    </row>
    <row r="228" spans="1:8" x14ac:dyDescent="0.25">
      <c r="A228" t="s">
        <v>8312</v>
      </c>
      <c r="B228" t="s">
        <v>1010</v>
      </c>
      <c r="C228" t="s">
        <v>8081</v>
      </c>
      <c r="D228">
        <v>8163.32</v>
      </c>
      <c r="E228" t="s">
        <v>8087</v>
      </c>
      <c r="F228" s="8">
        <v>45789</v>
      </c>
      <c r="G228">
        <v>19.170000000000002</v>
      </c>
      <c r="H228">
        <v>24</v>
      </c>
    </row>
    <row r="229" spans="1:8" x14ac:dyDescent="0.25">
      <c r="A229" t="s">
        <v>8313</v>
      </c>
      <c r="B229" t="s">
        <v>338</v>
      </c>
      <c r="C229" t="s">
        <v>8081</v>
      </c>
      <c r="D229">
        <v>26858.68</v>
      </c>
      <c r="E229" t="s">
        <v>1050</v>
      </c>
      <c r="F229" s="8">
        <v>46052</v>
      </c>
      <c r="G229">
        <v>17.11</v>
      </c>
      <c r="H229">
        <v>24</v>
      </c>
    </row>
    <row r="230" spans="1:8" x14ac:dyDescent="0.25">
      <c r="A230" t="s">
        <v>8314</v>
      </c>
      <c r="B230" t="s">
        <v>444</v>
      </c>
      <c r="C230" t="s">
        <v>22</v>
      </c>
      <c r="D230">
        <v>14558.99</v>
      </c>
      <c r="E230" t="s">
        <v>1050</v>
      </c>
      <c r="F230" s="8">
        <v>46252</v>
      </c>
      <c r="G230">
        <v>17.04</v>
      </c>
      <c r="H230">
        <v>36</v>
      </c>
    </row>
    <row r="231" spans="1:8" x14ac:dyDescent="0.25">
      <c r="A231" t="s">
        <v>8315</v>
      </c>
      <c r="B231" t="s">
        <v>943</v>
      </c>
      <c r="C231" t="s">
        <v>8124</v>
      </c>
      <c r="D231">
        <v>8587.2900000000009</v>
      </c>
      <c r="E231" t="s">
        <v>1050</v>
      </c>
      <c r="F231" s="8">
        <v>45906</v>
      </c>
      <c r="G231">
        <v>11.82</v>
      </c>
      <c r="H231">
        <v>12</v>
      </c>
    </row>
    <row r="232" spans="1:8" x14ac:dyDescent="0.25">
      <c r="A232" t="s">
        <v>8316</v>
      </c>
      <c r="B232" t="s">
        <v>971</v>
      </c>
      <c r="C232" t="s">
        <v>8081</v>
      </c>
      <c r="D232">
        <v>37803.25</v>
      </c>
      <c r="E232" t="s">
        <v>1050</v>
      </c>
      <c r="F232" s="8">
        <v>46055</v>
      </c>
      <c r="G232">
        <v>17.57</v>
      </c>
      <c r="H232">
        <v>24</v>
      </c>
    </row>
    <row r="233" spans="1:8" x14ac:dyDescent="0.25">
      <c r="A233" t="s">
        <v>8317</v>
      </c>
      <c r="B233" t="s">
        <v>852</v>
      </c>
      <c r="C233" t="s">
        <v>8084</v>
      </c>
      <c r="D233">
        <v>6250.54</v>
      </c>
      <c r="E233" t="s">
        <v>8087</v>
      </c>
      <c r="F233" s="8">
        <v>45726</v>
      </c>
      <c r="G233">
        <v>26.12</v>
      </c>
      <c r="H233">
        <v>12</v>
      </c>
    </row>
    <row r="234" spans="1:8" x14ac:dyDescent="0.25">
      <c r="A234" t="s">
        <v>8318</v>
      </c>
      <c r="B234" t="s">
        <v>702</v>
      </c>
      <c r="C234" t="s">
        <v>22</v>
      </c>
      <c r="D234">
        <v>16023.26</v>
      </c>
      <c r="E234" t="s">
        <v>8087</v>
      </c>
      <c r="F234" s="8">
        <v>46080</v>
      </c>
      <c r="G234">
        <v>19.63</v>
      </c>
      <c r="H234">
        <v>24</v>
      </c>
    </row>
    <row r="235" spans="1:8" x14ac:dyDescent="0.25">
      <c r="A235" t="s">
        <v>8319</v>
      </c>
      <c r="B235" t="s">
        <v>154</v>
      </c>
      <c r="C235" t="s">
        <v>8124</v>
      </c>
      <c r="D235">
        <v>36763.449999999997</v>
      </c>
      <c r="E235" t="s">
        <v>1050</v>
      </c>
      <c r="F235" s="8">
        <v>45997</v>
      </c>
      <c r="G235">
        <v>33.700000000000003</v>
      </c>
      <c r="H235">
        <v>12</v>
      </c>
    </row>
    <row r="236" spans="1:8" x14ac:dyDescent="0.25">
      <c r="A236" t="s">
        <v>8320</v>
      </c>
      <c r="B236" t="s">
        <v>148</v>
      </c>
      <c r="C236" t="s">
        <v>8124</v>
      </c>
      <c r="D236">
        <v>37497.51</v>
      </c>
      <c r="E236" t="s">
        <v>1050</v>
      </c>
      <c r="F236" s="8">
        <v>46031</v>
      </c>
      <c r="G236">
        <v>26.7</v>
      </c>
      <c r="H236">
        <v>24</v>
      </c>
    </row>
    <row r="237" spans="1:8" x14ac:dyDescent="0.25">
      <c r="A237" t="s">
        <v>8321</v>
      </c>
      <c r="B237" t="s">
        <v>903</v>
      </c>
      <c r="C237" t="s">
        <v>8084</v>
      </c>
      <c r="D237">
        <v>25387.72</v>
      </c>
      <c r="E237" t="s">
        <v>8087</v>
      </c>
      <c r="F237" s="8">
        <v>45931</v>
      </c>
      <c r="G237">
        <v>31.6</v>
      </c>
      <c r="H237">
        <v>12</v>
      </c>
    </row>
    <row r="238" spans="1:8" x14ac:dyDescent="0.25">
      <c r="A238" t="s">
        <v>8322</v>
      </c>
      <c r="B238" t="s">
        <v>228</v>
      </c>
      <c r="C238" t="s">
        <v>8081</v>
      </c>
      <c r="D238">
        <v>8918.99</v>
      </c>
      <c r="E238" t="s">
        <v>1050</v>
      </c>
      <c r="F238" s="8">
        <v>45914</v>
      </c>
      <c r="G238">
        <v>12.85</v>
      </c>
      <c r="H238">
        <v>12</v>
      </c>
    </row>
    <row r="239" spans="1:8" x14ac:dyDescent="0.25">
      <c r="A239" t="s">
        <v>8323</v>
      </c>
      <c r="B239" t="s">
        <v>418</v>
      </c>
      <c r="C239" t="s">
        <v>8084</v>
      </c>
      <c r="D239">
        <v>20505.240000000002</v>
      </c>
      <c r="E239" t="s">
        <v>8087</v>
      </c>
      <c r="F239" s="8">
        <v>46173</v>
      </c>
      <c r="G239">
        <v>21.26</v>
      </c>
      <c r="H239">
        <v>12</v>
      </c>
    </row>
    <row r="240" spans="1:8" x14ac:dyDescent="0.25">
      <c r="A240" t="s">
        <v>8324</v>
      </c>
      <c r="B240" t="s">
        <v>721</v>
      </c>
      <c r="C240" t="s">
        <v>8084</v>
      </c>
      <c r="D240">
        <v>23968.78</v>
      </c>
      <c r="E240" t="s">
        <v>8101</v>
      </c>
      <c r="F240" s="8">
        <v>45925</v>
      </c>
      <c r="G240">
        <v>11.04</v>
      </c>
      <c r="H240">
        <v>36</v>
      </c>
    </row>
    <row r="241" spans="1:8" x14ac:dyDescent="0.25">
      <c r="A241" t="s">
        <v>8325</v>
      </c>
      <c r="B241" t="s">
        <v>222</v>
      </c>
      <c r="C241" t="s">
        <v>8081</v>
      </c>
      <c r="D241">
        <v>12664.08</v>
      </c>
      <c r="E241" t="s">
        <v>1050</v>
      </c>
      <c r="F241" s="8">
        <v>46014</v>
      </c>
      <c r="G241">
        <v>32.380000000000003</v>
      </c>
      <c r="H241">
        <v>24</v>
      </c>
    </row>
    <row r="242" spans="1:8" x14ac:dyDescent="0.25">
      <c r="A242" t="s">
        <v>8326</v>
      </c>
      <c r="B242" t="s">
        <v>203</v>
      </c>
      <c r="C242" t="s">
        <v>8124</v>
      </c>
      <c r="D242">
        <v>24374.080000000002</v>
      </c>
      <c r="E242" t="s">
        <v>1050</v>
      </c>
      <c r="F242" s="8">
        <v>45965</v>
      </c>
      <c r="G242">
        <v>13.67</v>
      </c>
      <c r="H242">
        <v>24</v>
      </c>
    </row>
    <row r="243" spans="1:8" x14ac:dyDescent="0.25">
      <c r="A243" t="s">
        <v>8327</v>
      </c>
      <c r="B243" t="s">
        <v>495</v>
      </c>
      <c r="C243" t="s">
        <v>22</v>
      </c>
      <c r="D243">
        <v>5529.22</v>
      </c>
      <c r="E243" t="s">
        <v>8101</v>
      </c>
      <c r="F243" s="8">
        <v>46259</v>
      </c>
      <c r="G243">
        <v>30.14</v>
      </c>
      <c r="H243">
        <v>24</v>
      </c>
    </row>
    <row r="244" spans="1:8" x14ac:dyDescent="0.25">
      <c r="A244" t="s">
        <v>8328</v>
      </c>
      <c r="B244" t="s">
        <v>610</v>
      </c>
      <c r="C244" t="s">
        <v>8084</v>
      </c>
      <c r="D244">
        <v>4434.97</v>
      </c>
      <c r="E244" t="s">
        <v>1050</v>
      </c>
      <c r="F244" s="8">
        <v>46184</v>
      </c>
      <c r="G244">
        <v>33.1</v>
      </c>
      <c r="H244">
        <v>24</v>
      </c>
    </row>
    <row r="245" spans="1:8" x14ac:dyDescent="0.25">
      <c r="A245" t="s">
        <v>8329</v>
      </c>
      <c r="B245" t="s">
        <v>827</v>
      </c>
      <c r="C245" t="s">
        <v>8081</v>
      </c>
      <c r="D245">
        <v>10788.51</v>
      </c>
      <c r="E245" t="s">
        <v>1050</v>
      </c>
      <c r="F245" s="8">
        <v>46148</v>
      </c>
      <c r="G245">
        <v>21.05</v>
      </c>
      <c r="H245">
        <v>12</v>
      </c>
    </row>
    <row r="246" spans="1:8" x14ac:dyDescent="0.25">
      <c r="A246" t="s">
        <v>8330</v>
      </c>
      <c r="B246" t="s">
        <v>151</v>
      </c>
      <c r="C246" t="s">
        <v>22</v>
      </c>
      <c r="D246">
        <v>31397.53</v>
      </c>
      <c r="E246" t="s">
        <v>1050</v>
      </c>
      <c r="F246" s="8">
        <v>45855</v>
      </c>
      <c r="G246">
        <v>19.73</v>
      </c>
      <c r="H246">
        <v>12</v>
      </c>
    </row>
    <row r="247" spans="1:8" x14ac:dyDescent="0.25">
      <c r="A247" t="s">
        <v>8331</v>
      </c>
      <c r="B247" t="s">
        <v>116</v>
      </c>
      <c r="C247" t="s">
        <v>8084</v>
      </c>
      <c r="D247">
        <v>35888.839999999997</v>
      </c>
      <c r="E247" t="s">
        <v>1050</v>
      </c>
      <c r="F247" s="8">
        <v>46008</v>
      </c>
      <c r="G247">
        <v>25</v>
      </c>
      <c r="H247">
        <v>12</v>
      </c>
    </row>
    <row r="248" spans="1:8" x14ac:dyDescent="0.25">
      <c r="A248" t="s">
        <v>8332</v>
      </c>
      <c r="B248" t="s">
        <v>403</v>
      </c>
      <c r="C248" t="s">
        <v>8084</v>
      </c>
      <c r="D248">
        <v>6481.05</v>
      </c>
      <c r="E248" t="s">
        <v>8101</v>
      </c>
      <c r="F248" s="8">
        <v>45875</v>
      </c>
      <c r="G248">
        <v>28.51</v>
      </c>
      <c r="H248">
        <v>6</v>
      </c>
    </row>
    <row r="249" spans="1:8" x14ac:dyDescent="0.25">
      <c r="A249" t="s">
        <v>8333</v>
      </c>
      <c r="B249" t="s">
        <v>527</v>
      </c>
      <c r="C249" t="s">
        <v>8084</v>
      </c>
      <c r="D249">
        <v>58355.09</v>
      </c>
      <c r="E249" t="s">
        <v>1050</v>
      </c>
      <c r="F249" s="8">
        <v>45665</v>
      </c>
      <c r="G249">
        <v>26.14</v>
      </c>
      <c r="H249">
        <v>12</v>
      </c>
    </row>
    <row r="250" spans="1:8" x14ac:dyDescent="0.25">
      <c r="A250" t="s">
        <v>8334</v>
      </c>
      <c r="B250" t="s">
        <v>64</v>
      </c>
      <c r="C250" t="s">
        <v>22</v>
      </c>
      <c r="D250">
        <v>19379.84</v>
      </c>
      <c r="E250" t="s">
        <v>1050</v>
      </c>
      <c r="F250" s="8">
        <v>45888</v>
      </c>
      <c r="G250">
        <v>10.029999999999999</v>
      </c>
      <c r="H250">
        <v>24</v>
      </c>
    </row>
    <row r="251" spans="1:8" x14ac:dyDescent="0.25">
      <c r="A251" t="s">
        <v>8335</v>
      </c>
      <c r="B251" t="s">
        <v>550</v>
      </c>
      <c r="C251" t="s">
        <v>8084</v>
      </c>
      <c r="D251">
        <v>5224.8100000000004</v>
      </c>
      <c r="E251" t="s">
        <v>8087</v>
      </c>
      <c r="F251" s="8">
        <v>45750</v>
      </c>
      <c r="G251">
        <v>29.65</v>
      </c>
      <c r="H251">
        <v>3</v>
      </c>
    </row>
    <row r="252" spans="1:8" x14ac:dyDescent="0.25">
      <c r="A252" t="s">
        <v>8336</v>
      </c>
      <c r="B252" t="s">
        <v>110</v>
      </c>
      <c r="C252" t="s">
        <v>8084</v>
      </c>
      <c r="D252">
        <v>22991.01</v>
      </c>
      <c r="E252" t="s">
        <v>1050</v>
      </c>
      <c r="F252" s="8">
        <v>45673</v>
      </c>
      <c r="G252">
        <v>13.68</v>
      </c>
      <c r="H252">
        <v>6</v>
      </c>
    </row>
    <row r="253" spans="1:8" x14ac:dyDescent="0.25">
      <c r="A253" t="s">
        <v>8337</v>
      </c>
      <c r="B253" t="s">
        <v>759</v>
      </c>
      <c r="C253" t="s">
        <v>8124</v>
      </c>
      <c r="D253">
        <v>49900.98</v>
      </c>
      <c r="E253" t="s">
        <v>8087</v>
      </c>
      <c r="F253" s="8">
        <v>45853</v>
      </c>
      <c r="G253">
        <v>21.24</v>
      </c>
      <c r="H253">
        <v>48</v>
      </c>
    </row>
    <row r="254" spans="1:8" x14ac:dyDescent="0.25">
      <c r="A254" t="s">
        <v>8338</v>
      </c>
      <c r="B254" t="s">
        <v>1019</v>
      </c>
      <c r="C254" t="s">
        <v>8124</v>
      </c>
      <c r="D254">
        <v>12236.71</v>
      </c>
      <c r="E254" t="s">
        <v>8101</v>
      </c>
      <c r="F254" s="8">
        <v>46121</v>
      </c>
      <c r="G254">
        <v>17.059999999999999</v>
      </c>
      <c r="H254">
        <v>36</v>
      </c>
    </row>
    <row r="255" spans="1:8" x14ac:dyDescent="0.25">
      <c r="A255" t="s">
        <v>8339</v>
      </c>
      <c r="B255" t="s">
        <v>496</v>
      </c>
      <c r="C255" t="s">
        <v>8084</v>
      </c>
      <c r="D255">
        <v>39405.75</v>
      </c>
      <c r="E255" t="s">
        <v>8105</v>
      </c>
      <c r="F255" s="8">
        <v>45862</v>
      </c>
      <c r="G255">
        <v>33.200000000000003</v>
      </c>
      <c r="H255">
        <v>12</v>
      </c>
    </row>
    <row r="256" spans="1:8" x14ac:dyDescent="0.25">
      <c r="A256" t="s">
        <v>8340</v>
      </c>
      <c r="B256" t="s">
        <v>606</v>
      </c>
      <c r="C256" t="s">
        <v>8084</v>
      </c>
      <c r="D256">
        <v>57176.36</v>
      </c>
      <c r="E256" t="s">
        <v>1050</v>
      </c>
      <c r="F256" s="8">
        <v>46237</v>
      </c>
      <c r="G256">
        <v>22.55</v>
      </c>
      <c r="H256">
        <v>24</v>
      </c>
    </row>
    <row r="257" spans="1:8" x14ac:dyDescent="0.25">
      <c r="A257" t="s">
        <v>8341</v>
      </c>
      <c r="B257" t="s">
        <v>724</v>
      </c>
      <c r="C257" t="s">
        <v>22</v>
      </c>
      <c r="D257">
        <v>18627.77</v>
      </c>
      <c r="E257" t="s">
        <v>8087</v>
      </c>
      <c r="F257" s="8">
        <v>45784</v>
      </c>
      <c r="G257">
        <v>23.05</v>
      </c>
      <c r="H257">
        <v>6</v>
      </c>
    </row>
    <row r="258" spans="1:8" x14ac:dyDescent="0.25">
      <c r="A258" t="s">
        <v>8342</v>
      </c>
      <c r="B258" t="s">
        <v>756</v>
      </c>
      <c r="C258" t="s">
        <v>8084</v>
      </c>
      <c r="D258">
        <v>9935.18</v>
      </c>
      <c r="E258" t="s">
        <v>1050</v>
      </c>
      <c r="F258" s="8">
        <v>45817</v>
      </c>
      <c r="G258">
        <v>11.9</v>
      </c>
      <c r="H258">
        <v>12</v>
      </c>
    </row>
    <row r="259" spans="1:8" x14ac:dyDescent="0.25">
      <c r="A259" t="s">
        <v>8343</v>
      </c>
      <c r="B259" t="s">
        <v>546</v>
      </c>
      <c r="C259" t="s">
        <v>8084</v>
      </c>
      <c r="D259">
        <v>45994.400000000001</v>
      </c>
      <c r="E259" t="s">
        <v>1050</v>
      </c>
      <c r="F259" s="8">
        <v>46158</v>
      </c>
      <c r="G259">
        <v>32.43</v>
      </c>
      <c r="H259">
        <v>36</v>
      </c>
    </row>
    <row r="260" spans="1:8" x14ac:dyDescent="0.25">
      <c r="A260" t="s">
        <v>8344</v>
      </c>
      <c r="B260" t="s">
        <v>597</v>
      </c>
      <c r="C260" t="s">
        <v>8084</v>
      </c>
      <c r="D260">
        <v>45864.28</v>
      </c>
      <c r="E260" t="s">
        <v>1050</v>
      </c>
      <c r="F260" s="8">
        <v>46123</v>
      </c>
      <c r="G260">
        <v>15.98</v>
      </c>
      <c r="H260">
        <v>36</v>
      </c>
    </row>
    <row r="261" spans="1:8" x14ac:dyDescent="0.25">
      <c r="A261" t="s">
        <v>8345</v>
      </c>
      <c r="B261" t="s">
        <v>733</v>
      </c>
      <c r="C261" t="s">
        <v>8124</v>
      </c>
      <c r="D261">
        <v>6589.91</v>
      </c>
      <c r="E261" t="s">
        <v>8087</v>
      </c>
      <c r="F261" s="8">
        <v>46155</v>
      </c>
      <c r="G261">
        <v>20.350000000000001</v>
      </c>
      <c r="H261">
        <v>12</v>
      </c>
    </row>
    <row r="262" spans="1:8" x14ac:dyDescent="0.25">
      <c r="A262" t="s">
        <v>8346</v>
      </c>
      <c r="B262" t="s">
        <v>344</v>
      </c>
      <c r="C262" t="s">
        <v>8124</v>
      </c>
      <c r="D262">
        <v>16623.97</v>
      </c>
      <c r="E262" t="s">
        <v>1050</v>
      </c>
      <c r="F262" s="8">
        <v>46105</v>
      </c>
      <c r="G262">
        <v>34.630000000000003</v>
      </c>
      <c r="H262">
        <v>12</v>
      </c>
    </row>
    <row r="263" spans="1:8" x14ac:dyDescent="0.25">
      <c r="A263" t="s">
        <v>8347</v>
      </c>
      <c r="B263" t="s">
        <v>114</v>
      </c>
      <c r="C263" t="s">
        <v>8081</v>
      </c>
      <c r="D263">
        <v>32101.5</v>
      </c>
      <c r="E263" t="s">
        <v>8087</v>
      </c>
      <c r="F263" s="8">
        <v>46121</v>
      </c>
      <c r="G263">
        <v>12.85</v>
      </c>
      <c r="H263">
        <v>24</v>
      </c>
    </row>
    <row r="264" spans="1:8" x14ac:dyDescent="0.25">
      <c r="A264" t="s">
        <v>8348</v>
      </c>
      <c r="B264" t="s">
        <v>887</v>
      </c>
      <c r="C264" t="s">
        <v>22</v>
      </c>
      <c r="D264">
        <v>33554.65</v>
      </c>
      <c r="E264" t="s">
        <v>1050</v>
      </c>
      <c r="F264" s="8">
        <v>45999</v>
      </c>
      <c r="G264">
        <v>27.96</v>
      </c>
      <c r="H264">
        <v>24</v>
      </c>
    </row>
    <row r="265" spans="1:8" x14ac:dyDescent="0.25">
      <c r="A265" t="s">
        <v>8349</v>
      </c>
      <c r="B265" t="s">
        <v>123</v>
      </c>
      <c r="C265" t="s">
        <v>8081</v>
      </c>
      <c r="D265">
        <v>14309.01</v>
      </c>
      <c r="E265" t="s">
        <v>8101</v>
      </c>
      <c r="F265" s="8">
        <v>46165</v>
      </c>
      <c r="G265">
        <v>16.5</v>
      </c>
      <c r="H265">
        <v>48</v>
      </c>
    </row>
    <row r="266" spans="1:8" x14ac:dyDescent="0.25">
      <c r="A266" t="s">
        <v>8350</v>
      </c>
      <c r="B266" t="s">
        <v>624</v>
      </c>
      <c r="C266" t="s">
        <v>22</v>
      </c>
      <c r="D266">
        <v>8375.77</v>
      </c>
      <c r="E266" t="s">
        <v>1050</v>
      </c>
      <c r="F266" s="8">
        <v>45941</v>
      </c>
      <c r="G266">
        <v>20.49</v>
      </c>
      <c r="H266">
        <v>24</v>
      </c>
    </row>
    <row r="267" spans="1:8" x14ac:dyDescent="0.25">
      <c r="A267" t="s">
        <v>8351</v>
      </c>
      <c r="B267" t="s">
        <v>166</v>
      </c>
      <c r="C267" t="s">
        <v>22</v>
      </c>
      <c r="D267">
        <v>63357.13</v>
      </c>
      <c r="E267" t="s">
        <v>8087</v>
      </c>
      <c r="F267" s="8">
        <v>45808</v>
      </c>
      <c r="G267">
        <v>20.45</v>
      </c>
      <c r="H267">
        <v>12</v>
      </c>
    </row>
    <row r="268" spans="1:8" x14ac:dyDescent="0.25">
      <c r="A268" t="s">
        <v>8352</v>
      </c>
      <c r="B268" t="s">
        <v>94</v>
      </c>
      <c r="C268" t="s">
        <v>22</v>
      </c>
      <c r="D268">
        <v>19370.34</v>
      </c>
      <c r="E268" t="s">
        <v>8087</v>
      </c>
      <c r="F268" s="8">
        <v>46232</v>
      </c>
      <c r="G268">
        <v>33.31</v>
      </c>
      <c r="H268">
        <v>3</v>
      </c>
    </row>
    <row r="269" spans="1:8" x14ac:dyDescent="0.25">
      <c r="A269" t="s">
        <v>8353</v>
      </c>
      <c r="B269" t="s">
        <v>953</v>
      </c>
      <c r="C269" t="s">
        <v>8081</v>
      </c>
      <c r="D269">
        <v>15632.16</v>
      </c>
      <c r="E269" t="s">
        <v>8101</v>
      </c>
      <c r="F269" s="8">
        <v>45870</v>
      </c>
      <c r="G269">
        <v>10.26</v>
      </c>
      <c r="H269">
        <v>12</v>
      </c>
    </row>
    <row r="270" spans="1:8" x14ac:dyDescent="0.25">
      <c r="A270" t="s">
        <v>8354</v>
      </c>
      <c r="B270" t="s">
        <v>488</v>
      </c>
      <c r="C270" t="s">
        <v>8084</v>
      </c>
      <c r="D270">
        <v>11264.51</v>
      </c>
      <c r="E270" t="s">
        <v>8087</v>
      </c>
      <c r="F270" s="8">
        <v>46242</v>
      </c>
      <c r="G270">
        <v>19.18</v>
      </c>
      <c r="H270">
        <v>6</v>
      </c>
    </row>
    <row r="271" spans="1:8" x14ac:dyDescent="0.25">
      <c r="A271" t="s">
        <v>8355</v>
      </c>
      <c r="B271" t="s">
        <v>420</v>
      </c>
      <c r="C271" t="s">
        <v>8084</v>
      </c>
      <c r="D271">
        <v>15348.73</v>
      </c>
      <c r="E271" t="s">
        <v>8087</v>
      </c>
      <c r="F271" s="8">
        <v>45979</v>
      </c>
      <c r="G271">
        <v>31.31</v>
      </c>
      <c r="H271">
        <v>6</v>
      </c>
    </row>
    <row r="272" spans="1:8" x14ac:dyDescent="0.25">
      <c r="A272" t="s">
        <v>8356</v>
      </c>
      <c r="B272" t="s">
        <v>528</v>
      </c>
      <c r="C272" t="s">
        <v>8124</v>
      </c>
      <c r="D272">
        <v>5116.82</v>
      </c>
      <c r="E272" t="s">
        <v>1050</v>
      </c>
      <c r="F272" s="8">
        <v>45845</v>
      </c>
      <c r="G272">
        <v>32.76</v>
      </c>
      <c r="H272">
        <v>12</v>
      </c>
    </row>
    <row r="273" spans="1:8" x14ac:dyDescent="0.25">
      <c r="A273" t="s">
        <v>8357</v>
      </c>
      <c r="B273" t="s">
        <v>310</v>
      </c>
      <c r="C273" t="s">
        <v>8084</v>
      </c>
      <c r="D273">
        <v>40102.53</v>
      </c>
      <c r="E273" t="s">
        <v>8087</v>
      </c>
      <c r="F273" s="8">
        <v>46229</v>
      </c>
      <c r="G273">
        <v>17.78</v>
      </c>
      <c r="H273">
        <v>12</v>
      </c>
    </row>
    <row r="274" spans="1:8" x14ac:dyDescent="0.25">
      <c r="A274" t="s">
        <v>8358</v>
      </c>
      <c r="B274" t="s">
        <v>374</v>
      </c>
      <c r="C274" t="s">
        <v>8084</v>
      </c>
      <c r="D274">
        <v>14520.3</v>
      </c>
      <c r="E274" t="s">
        <v>1050</v>
      </c>
      <c r="F274" s="8">
        <v>45840</v>
      </c>
      <c r="G274">
        <v>16.05</v>
      </c>
      <c r="H274">
        <v>36</v>
      </c>
    </row>
    <row r="275" spans="1:8" x14ac:dyDescent="0.25">
      <c r="A275" t="s">
        <v>8359</v>
      </c>
      <c r="B275" t="s">
        <v>626</v>
      </c>
      <c r="C275" t="s">
        <v>8084</v>
      </c>
      <c r="D275">
        <v>3359.11</v>
      </c>
      <c r="E275" t="s">
        <v>1050</v>
      </c>
      <c r="F275" s="8">
        <v>46041</v>
      </c>
      <c r="G275">
        <v>21.53</v>
      </c>
      <c r="H275">
        <v>12</v>
      </c>
    </row>
    <row r="276" spans="1:8" x14ac:dyDescent="0.25">
      <c r="A276" t="s">
        <v>8360</v>
      </c>
      <c r="B276" t="s">
        <v>811</v>
      </c>
      <c r="C276" t="s">
        <v>8084</v>
      </c>
      <c r="D276">
        <v>8201.9500000000007</v>
      </c>
      <c r="E276" t="s">
        <v>8087</v>
      </c>
      <c r="F276" s="8">
        <v>45682</v>
      </c>
      <c r="G276">
        <v>28.65</v>
      </c>
      <c r="H276">
        <v>36</v>
      </c>
    </row>
    <row r="277" spans="1:8" x14ac:dyDescent="0.25">
      <c r="A277" t="s">
        <v>8361</v>
      </c>
      <c r="B277" t="s">
        <v>267</v>
      </c>
      <c r="C277" t="s">
        <v>8084</v>
      </c>
      <c r="D277">
        <v>38795.22</v>
      </c>
      <c r="E277" t="s">
        <v>1050</v>
      </c>
      <c r="F277" s="8">
        <v>46194</v>
      </c>
      <c r="G277">
        <v>13.85</v>
      </c>
      <c r="H277">
        <v>12</v>
      </c>
    </row>
    <row r="278" spans="1:8" x14ac:dyDescent="0.25">
      <c r="A278" t="s">
        <v>8362</v>
      </c>
      <c r="B278" t="s">
        <v>643</v>
      </c>
      <c r="C278" t="s">
        <v>8084</v>
      </c>
      <c r="D278">
        <v>16093.93</v>
      </c>
      <c r="E278" t="s">
        <v>1050</v>
      </c>
      <c r="F278" s="8">
        <v>45971</v>
      </c>
      <c r="G278">
        <v>29.61</v>
      </c>
      <c r="H278">
        <v>36</v>
      </c>
    </row>
    <row r="279" spans="1:8" x14ac:dyDescent="0.25">
      <c r="A279" t="s">
        <v>8363</v>
      </c>
      <c r="B279" t="s">
        <v>562</v>
      </c>
      <c r="C279" t="s">
        <v>22</v>
      </c>
      <c r="D279">
        <v>9594.75</v>
      </c>
      <c r="E279" t="s">
        <v>1050</v>
      </c>
      <c r="F279" s="8">
        <v>45695</v>
      </c>
      <c r="G279">
        <v>22.82</v>
      </c>
      <c r="H279">
        <v>12</v>
      </c>
    </row>
    <row r="280" spans="1:8" x14ac:dyDescent="0.25">
      <c r="A280" t="s">
        <v>8364</v>
      </c>
      <c r="B280" t="s">
        <v>959</v>
      </c>
      <c r="C280" t="s">
        <v>8084</v>
      </c>
      <c r="D280">
        <v>20048.57</v>
      </c>
      <c r="E280" t="s">
        <v>1050</v>
      </c>
      <c r="F280" s="8">
        <v>45959</v>
      </c>
      <c r="G280">
        <v>13.52</v>
      </c>
      <c r="H280">
        <v>3</v>
      </c>
    </row>
    <row r="281" spans="1:8" x14ac:dyDescent="0.25">
      <c r="A281" t="s">
        <v>8365</v>
      </c>
      <c r="B281" t="s">
        <v>482</v>
      </c>
      <c r="C281" t="s">
        <v>22</v>
      </c>
      <c r="D281">
        <v>14200.61</v>
      </c>
      <c r="E281" t="s">
        <v>1050</v>
      </c>
      <c r="F281" s="8">
        <v>46026</v>
      </c>
      <c r="G281">
        <v>26.79</v>
      </c>
      <c r="H281">
        <v>12</v>
      </c>
    </row>
    <row r="282" spans="1:8" x14ac:dyDescent="0.25">
      <c r="A282" t="s">
        <v>8366</v>
      </c>
      <c r="B282" t="s">
        <v>684</v>
      </c>
      <c r="C282" t="s">
        <v>8084</v>
      </c>
      <c r="D282">
        <v>19700.150000000001</v>
      </c>
      <c r="E282" t="s">
        <v>1050</v>
      </c>
      <c r="F282" s="8">
        <v>45757</v>
      </c>
      <c r="G282">
        <v>25.71</v>
      </c>
      <c r="H282">
        <v>6</v>
      </c>
    </row>
    <row r="283" spans="1:8" x14ac:dyDescent="0.25">
      <c r="A283" t="s">
        <v>8367</v>
      </c>
      <c r="B283" t="s">
        <v>588</v>
      </c>
      <c r="C283" t="s">
        <v>8084</v>
      </c>
      <c r="D283">
        <v>23287.279999999999</v>
      </c>
      <c r="E283" t="s">
        <v>1050</v>
      </c>
      <c r="F283" s="8">
        <v>46045</v>
      </c>
      <c r="G283">
        <v>25.56</v>
      </c>
      <c r="H283">
        <v>12</v>
      </c>
    </row>
    <row r="284" spans="1:8" x14ac:dyDescent="0.25">
      <c r="A284" t="s">
        <v>8368</v>
      </c>
      <c r="B284" t="s">
        <v>52</v>
      </c>
      <c r="C284" t="s">
        <v>8081</v>
      </c>
      <c r="D284">
        <v>9385.4699999999993</v>
      </c>
      <c r="E284" t="s">
        <v>8087</v>
      </c>
      <c r="F284" s="8">
        <v>46103</v>
      </c>
      <c r="G284">
        <v>28.87</v>
      </c>
      <c r="H284">
        <v>24</v>
      </c>
    </row>
    <row r="285" spans="1:8" x14ac:dyDescent="0.25">
      <c r="A285" t="s">
        <v>8369</v>
      </c>
      <c r="B285" t="s">
        <v>1018</v>
      </c>
      <c r="C285" t="s">
        <v>8081</v>
      </c>
      <c r="D285">
        <v>11374.7</v>
      </c>
      <c r="E285" t="s">
        <v>1050</v>
      </c>
      <c r="F285" s="8">
        <v>46127</v>
      </c>
      <c r="G285">
        <v>14.53</v>
      </c>
      <c r="H285">
        <v>12</v>
      </c>
    </row>
    <row r="286" spans="1:8" x14ac:dyDescent="0.25">
      <c r="A286" t="s">
        <v>8370</v>
      </c>
      <c r="B286" t="s">
        <v>616</v>
      </c>
      <c r="C286" t="s">
        <v>22</v>
      </c>
      <c r="D286">
        <v>10021.32</v>
      </c>
      <c r="E286" t="s">
        <v>8101</v>
      </c>
      <c r="F286" s="8">
        <v>45712</v>
      </c>
      <c r="G286">
        <v>27.44</v>
      </c>
      <c r="H286">
        <v>36</v>
      </c>
    </row>
    <row r="287" spans="1:8" x14ac:dyDescent="0.25">
      <c r="A287" t="s">
        <v>8371</v>
      </c>
      <c r="B287" t="s">
        <v>134</v>
      </c>
      <c r="C287" t="s">
        <v>8084</v>
      </c>
      <c r="D287">
        <v>10260.44</v>
      </c>
      <c r="E287" t="s">
        <v>8101</v>
      </c>
      <c r="F287" s="8">
        <v>46153</v>
      </c>
      <c r="G287">
        <v>32.18</v>
      </c>
      <c r="H287">
        <v>48</v>
      </c>
    </row>
    <row r="288" spans="1:8" x14ac:dyDescent="0.25">
      <c r="A288" t="s">
        <v>8372</v>
      </c>
      <c r="B288" t="s">
        <v>412</v>
      </c>
      <c r="C288" t="s">
        <v>8084</v>
      </c>
      <c r="D288">
        <v>10911.99</v>
      </c>
      <c r="E288" t="s">
        <v>1050</v>
      </c>
      <c r="F288" s="8">
        <v>46241</v>
      </c>
      <c r="G288">
        <v>23.26</v>
      </c>
      <c r="H288">
        <v>24</v>
      </c>
    </row>
    <row r="289" spans="1:8" x14ac:dyDescent="0.25">
      <c r="A289" t="s">
        <v>8373</v>
      </c>
      <c r="B289" t="s">
        <v>268</v>
      </c>
      <c r="C289" t="s">
        <v>8081</v>
      </c>
      <c r="D289">
        <v>14295.78</v>
      </c>
      <c r="E289" t="s">
        <v>1050</v>
      </c>
      <c r="F289" s="8">
        <v>45784</v>
      </c>
      <c r="G289">
        <v>22.15</v>
      </c>
      <c r="H289">
        <v>36</v>
      </c>
    </row>
    <row r="290" spans="1:8" x14ac:dyDescent="0.25">
      <c r="A290" t="s">
        <v>8374</v>
      </c>
      <c r="B290" t="s">
        <v>288</v>
      </c>
      <c r="C290" t="s">
        <v>8084</v>
      </c>
      <c r="D290">
        <v>11089.32</v>
      </c>
      <c r="E290" t="s">
        <v>1050</v>
      </c>
      <c r="F290" s="8">
        <v>45978</v>
      </c>
      <c r="G290">
        <v>29.94</v>
      </c>
      <c r="H290">
        <v>6</v>
      </c>
    </row>
    <row r="291" spans="1:8" x14ac:dyDescent="0.25">
      <c r="A291" t="s">
        <v>8375</v>
      </c>
      <c r="B291" t="s">
        <v>711</v>
      </c>
      <c r="C291" t="s">
        <v>8081</v>
      </c>
      <c r="D291">
        <v>20494.47</v>
      </c>
      <c r="E291" t="s">
        <v>8105</v>
      </c>
      <c r="F291" s="8">
        <v>45725</v>
      </c>
      <c r="G291">
        <v>13.66</v>
      </c>
      <c r="H291">
        <v>3</v>
      </c>
    </row>
    <row r="292" spans="1:8" x14ac:dyDescent="0.25">
      <c r="A292" t="s">
        <v>8376</v>
      </c>
      <c r="B292" t="s">
        <v>744</v>
      </c>
      <c r="C292" t="s">
        <v>22</v>
      </c>
      <c r="D292">
        <v>14031.92</v>
      </c>
      <c r="E292" t="s">
        <v>8087</v>
      </c>
      <c r="F292" s="8">
        <v>46053</v>
      </c>
      <c r="G292">
        <v>18.52</v>
      </c>
      <c r="H292">
        <v>12</v>
      </c>
    </row>
    <row r="293" spans="1:8" x14ac:dyDescent="0.25">
      <c r="A293" t="s">
        <v>8377</v>
      </c>
      <c r="B293" t="s">
        <v>965</v>
      </c>
      <c r="C293" t="s">
        <v>8081</v>
      </c>
      <c r="D293">
        <v>10247.01</v>
      </c>
      <c r="E293" t="s">
        <v>8087</v>
      </c>
      <c r="F293" s="8">
        <v>45810</v>
      </c>
      <c r="G293">
        <v>31.34</v>
      </c>
      <c r="H293">
        <v>12</v>
      </c>
    </row>
    <row r="294" spans="1:8" x14ac:dyDescent="0.25">
      <c r="A294" t="s">
        <v>8378</v>
      </c>
      <c r="B294" t="s">
        <v>283</v>
      </c>
      <c r="C294" t="s">
        <v>22</v>
      </c>
      <c r="D294">
        <v>3864.46</v>
      </c>
      <c r="E294" t="s">
        <v>8105</v>
      </c>
      <c r="F294" s="8">
        <v>45806</v>
      </c>
      <c r="G294">
        <v>22.49</v>
      </c>
      <c r="H294">
        <v>24</v>
      </c>
    </row>
    <row r="295" spans="1:8" x14ac:dyDescent="0.25">
      <c r="A295" t="s">
        <v>8379</v>
      </c>
      <c r="B295" t="s">
        <v>529</v>
      </c>
      <c r="C295" t="s">
        <v>8084</v>
      </c>
      <c r="D295">
        <v>8756.08</v>
      </c>
      <c r="E295" t="s">
        <v>8105</v>
      </c>
      <c r="F295" s="8">
        <v>46060</v>
      </c>
      <c r="G295">
        <v>31.01</v>
      </c>
      <c r="H295">
        <v>36</v>
      </c>
    </row>
    <row r="296" spans="1:8" x14ac:dyDescent="0.25">
      <c r="A296" t="s">
        <v>8380</v>
      </c>
      <c r="B296" t="s">
        <v>570</v>
      </c>
      <c r="C296" t="s">
        <v>8084</v>
      </c>
      <c r="D296">
        <v>13472.12</v>
      </c>
      <c r="E296" t="s">
        <v>8087</v>
      </c>
      <c r="F296" s="8">
        <v>45883</v>
      </c>
      <c r="G296">
        <v>16.3</v>
      </c>
      <c r="H296">
        <v>12</v>
      </c>
    </row>
    <row r="297" spans="1:8" x14ac:dyDescent="0.25">
      <c r="A297" t="s">
        <v>8381</v>
      </c>
      <c r="B297" t="s">
        <v>658</v>
      </c>
      <c r="C297" t="s">
        <v>22</v>
      </c>
      <c r="D297">
        <v>38796.11</v>
      </c>
      <c r="E297" t="s">
        <v>8087</v>
      </c>
      <c r="F297" s="8">
        <v>45967</v>
      </c>
      <c r="G297">
        <v>19.739999999999998</v>
      </c>
      <c r="H297">
        <v>12</v>
      </c>
    </row>
    <row r="298" spans="1:8" x14ac:dyDescent="0.25">
      <c r="A298" t="s">
        <v>8382</v>
      </c>
      <c r="B298" t="s">
        <v>707</v>
      </c>
      <c r="C298" t="s">
        <v>8081</v>
      </c>
      <c r="D298">
        <v>17052.18</v>
      </c>
      <c r="E298" t="s">
        <v>8105</v>
      </c>
      <c r="F298" s="8">
        <v>46076</v>
      </c>
      <c r="G298">
        <v>30.59</v>
      </c>
      <c r="H298">
        <v>6</v>
      </c>
    </row>
    <row r="299" spans="1:8" x14ac:dyDescent="0.25">
      <c r="A299" t="s">
        <v>8383</v>
      </c>
      <c r="B299" t="s">
        <v>323</v>
      </c>
      <c r="C299" t="s">
        <v>8084</v>
      </c>
      <c r="D299">
        <v>5374.07</v>
      </c>
      <c r="E299" t="s">
        <v>8105</v>
      </c>
      <c r="F299" s="8">
        <v>46172</v>
      </c>
      <c r="G299">
        <v>14.09</v>
      </c>
      <c r="H299">
        <v>12</v>
      </c>
    </row>
    <row r="300" spans="1:8" x14ac:dyDescent="0.25">
      <c r="A300" t="s">
        <v>8384</v>
      </c>
      <c r="B300" t="s">
        <v>391</v>
      </c>
      <c r="C300" t="s">
        <v>8084</v>
      </c>
      <c r="D300">
        <v>19504.099999999999</v>
      </c>
      <c r="E300" t="s">
        <v>1050</v>
      </c>
      <c r="F300" s="8">
        <v>45946</v>
      </c>
      <c r="G300">
        <v>32.369999999999997</v>
      </c>
      <c r="H300">
        <v>6</v>
      </c>
    </row>
    <row r="301" spans="1:8" x14ac:dyDescent="0.25">
      <c r="A301" t="s">
        <v>8385</v>
      </c>
      <c r="B301" t="s">
        <v>417</v>
      </c>
      <c r="C301" t="s">
        <v>8084</v>
      </c>
      <c r="D301">
        <v>12556.32</v>
      </c>
      <c r="E301" t="s">
        <v>8101</v>
      </c>
      <c r="F301" s="8">
        <v>45858</v>
      </c>
      <c r="G301">
        <v>17.75</v>
      </c>
      <c r="H301">
        <v>12</v>
      </c>
    </row>
    <row r="302" spans="1:8" x14ac:dyDescent="0.25">
      <c r="A302" t="s">
        <v>8386</v>
      </c>
      <c r="B302" t="s">
        <v>452</v>
      </c>
      <c r="C302" t="s">
        <v>22</v>
      </c>
      <c r="D302">
        <v>28474.97</v>
      </c>
      <c r="E302" t="s">
        <v>8087</v>
      </c>
      <c r="F302" s="8">
        <v>46176</v>
      </c>
      <c r="G302">
        <v>34.32</v>
      </c>
      <c r="H302">
        <v>12</v>
      </c>
    </row>
    <row r="303" spans="1:8" x14ac:dyDescent="0.25">
      <c r="A303" t="s">
        <v>8387</v>
      </c>
      <c r="B303" t="s">
        <v>551</v>
      </c>
      <c r="C303" t="s">
        <v>8084</v>
      </c>
      <c r="D303">
        <v>5597.35</v>
      </c>
      <c r="E303" t="s">
        <v>1050</v>
      </c>
      <c r="F303" s="8">
        <v>45825</v>
      </c>
      <c r="G303">
        <v>30.69</v>
      </c>
      <c r="H303">
        <v>36</v>
      </c>
    </row>
    <row r="304" spans="1:8" x14ac:dyDescent="0.25">
      <c r="A304" t="s">
        <v>8388</v>
      </c>
      <c r="B304" t="s">
        <v>1028</v>
      </c>
      <c r="C304" t="s">
        <v>8124</v>
      </c>
      <c r="D304">
        <v>47521.69</v>
      </c>
      <c r="E304" t="s">
        <v>1050</v>
      </c>
      <c r="F304" s="8">
        <v>45994</v>
      </c>
      <c r="G304">
        <v>21.39</v>
      </c>
      <c r="H304">
        <v>3</v>
      </c>
    </row>
    <row r="305" spans="1:8" x14ac:dyDescent="0.25">
      <c r="A305" t="s">
        <v>8389</v>
      </c>
      <c r="B305" t="s">
        <v>708</v>
      </c>
      <c r="C305" t="s">
        <v>22</v>
      </c>
      <c r="D305">
        <v>25786.51</v>
      </c>
      <c r="E305" t="s">
        <v>8087</v>
      </c>
      <c r="F305" s="8">
        <v>45952</v>
      </c>
      <c r="G305">
        <v>28.56</v>
      </c>
      <c r="H305">
        <v>12</v>
      </c>
    </row>
    <row r="306" spans="1:8" x14ac:dyDescent="0.25">
      <c r="A306" t="s">
        <v>8390</v>
      </c>
      <c r="B306" t="s">
        <v>360</v>
      </c>
      <c r="C306" t="s">
        <v>8124</v>
      </c>
      <c r="D306">
        <v>15259.13</v>
      </c>
      <c r="E306" t="s">
        <v>1050</v>
      </c>
      <c r="F306" s="8">
        <v>46037</v>
      </c>
      <c r="G306">
        <v>23.88</v>
      </c>
      <c r="H306">
        <v>48</v>
      </c>
    </row>
    <row r="307" spans="1:8" x14ac:dyDescent="0.25">
      <c r="A307" t="s">
        <v>8391</v>
      </c>
      <c r="B307" t="s">
        <v>532</v>
      </c>
      <c r="C307" t="s">
        <v>8081</v>
      </c>
      <c r="D307">
        <v>5244.44</v>
      </c>
      <c r="E307" t="s">
        <v>8087</v>
      </c>
      <c r="F307" s="8">
        <v>45668</v>
      </c>
      <c r="G307">
        <v>31.33</v>
      </c>
      <c r="H307">
        <v>24</v>
      </c>
    </row>
    <row r="308" spans="1:8" x14ac:dyDescent="0.25">
      <c r="A308" t="s">
        <v>8392</v>
      </c>
      <c r="B308" t="s">
        <v>475</v>
      </c>
      <c r="C308" t="s">
        <v>8084</v>
      </c>
      <c r="D308">
        <v>5604.08</v>
      </c>
      <c r="E308" t="s">
        <v>1050</v>
      </c>
      <c r="F308" s="8">
        <v>46014</v>
      </c>
      <c r="G308">
        <v>22.95</v>
      </c>
      <c r="H308">
        <v>24</v>
      </c>
    </row>
    <row r="309" spans="1:8" x14ac:dyDescent="0.25">
      <c r="A309" t="s">
        <v>8393</v>
      </c>
      <c r="B309" t="s">
        <v>1008</v>
      </c>
      <c r="C309" t="s">
        <v>8084</v>
      </c>
      <c r="D309">
        <v>31204</v>
      </c>
      <c r="E309" t="s">
        <v>8105</v>
      </c>
      <c r="F309" s="8">
        <v>45788</v>
      </c>
      <c r="G309">
        <v>34.700000000000003</v>
      </c>
      <c r="H309">
        <v>36</v>
      </c>
    </row>
    <row r="310" spans="1:8" x14ac:dyDescent="0.25">
      <c r="A310" t="s">
        <v>8394</v>
      </c>
      <c r="B310" t="s">
        <v>101</v>
      </c>
      <c r="C310" t="s">
        <v>8081</v>
      </c>
      <c r="D310">
        <v>34288.1</v>
      </c>
      <c r="E310" t="s">
        <v>1050</v>
      </c>
      <c r="F310" s="8">
        <v>45862</v>
      </c>
      <c r="G310">
        <v>13.34</v>
      </c>
      <c r="H310">
        <v>12</v>
      </c>
    </row>
    <row r="311" spans="1:8" x14ac:dyDescent="0.25">
      <c r="A311" t="s">
        <v>8395</v>
      </c>
      <c r="B311" t="s">
        <v>618</v>
      </c>
      <c r="C311" t="s">
        <v>22</v>
      </c>
      <c r="D311">
        <v>41492.730000000003</v>
      </c>
      <c r="E311" t="s">
        <v>1050</v>
      </c>
      <c r="F311" s="8">
        <v>46093</v>
      </c>
      <c r="G311">
        <v>26.91</v>
      </c>
      <c r="H311">
        <v>3</v>
      </c>
    </row>
    <row r="312" spans="1:8" x14ac:dyDescent="0.25">
      <c r="A312" t="s">
        <v>8396</v>
      </c>
      <c r="B312" t="s">
        <v>836</v>
      </c>
      <c r="C312" t="s">
        <v>8084</v>
      </c>
      <c r="D312">
        <v>68447.08</v>
      </c>
      <c r="E312" t="s">
        <v>8105</v>
      </c>
      <c r="F312" s="8">
        <v>45973</v>
      </c>
      <c r="G312">
        <v>16.14</v>
      </c>
      <c r="H312">
        <v>12</v>
      </c>
    </row>
    <row r="313" spans="1:8" x14ac:dyDescent="0.25">
      <c r="A313" t="s">
        <v>8397</v>
      </c>
      <c r="B313" t="s">
        <v>49</v>
      </c>
      <c r="C313" t="s">
        <v>8124</v>
      </c>
      <c r="D313">
        <v>32837.300000000003</v>
      </c>
      <c r="E313" t="s">
        <v>1050</v>
      </c>
      <c r="F313" s="8">
        <v>46261</v>
      </c>
      <c r="G313">
        <v>14.78</v>
      </c>
      <c r="H313">
        <v>24</v>
      </c>
    </row>
    <row r="314" spans="1:8" x14ac:dyDescent="0.25">
      <c r="A314" t="s">
        <v>8398</v>
      </c>
      <c r="B314" t="s">
        <v>1036</v>
      </c>
      <c r="C314" t="s">
        <v>22</v>
      </c>
      <c r="D314">
        <v>24984.15</v>
      </c>
      <c r="E314" t="s">
        <v>8087</v>
      </c>
      <c r="F314" s="8">
        <v>45971</v>
      </c>
      <c r="G314">
        <v>20.21</v>
      </c>
      <c r="H314">
        <v>12</v>
      </c>
    </row>
    <row r="315" spans="1:8" x14ac:dyDescent="0.25">
      <c r="A315" t="s">
        <v>8399</v>
      </c>
      <c r="B315" t="s">
        <v>83</v>
      </c>
      <c r="C315" t="s">
        <v>8084</v>
      </c>
      <c r="D315">
        <v>121877</v>
      </c>
      <c r="E315" t="s">
        <v>1050</v>
      </c>
      <c r="F315" s="8">
        <v>46143</v>
      </c>
      <c r="G315">
        <v>19.190000000000001</v>
      </c>
      <c r="H315">
        <v>12</v>
      </c>
    </row>
    <row r="316" spans="1:8" x14ac:dyDescent="0.25">
      <c r="A316" t="s">
        <v>8400</v>
      </c>
      <c r="B316" t="s">
        <v>652</v>
      </c>
      <c r="C316" t="s">
        <v>22</v>
      </c>
      <c r="D316">
        <v>11656.65</v>
      </c>
      <c r="E316" t="s">
        <v>8101</v>
      </c>
      <c r="F316" s="8">
        <v>45768</v>
      </c>
      <c r="G316">
        <v>11.16</v>
      </c>
      <c r="H316">
        <v>36</v>
      </c>
    </row>
    <row r="317" spans="1:8" x14ac:dyDescent="0.25">
      <c r="A317" t="s">
        <v>8401</v>
      </c>
      <c r="B317" t="s">
        <v>534</v>
      </c>
      <c r="C317" t="s">
        <v>8081</v>
      </c>
      <c r="D317">
        <v>16638.07</v>
      </c>
      <c r="E317" t="s">
        <v>1050</v>
      </c>
      <c r="F317" s="8">
        <v>45947</v>
      </c>
      <c r="G317">
        <v>20.69</v>
      </c>
      <c r="H317">
        <v>3</v>
      </c>
    </row>
    <row r="318" spans="1:8" x14ac:dyDescent="0.25">
      <c r="A318" t="s">
        <v>8402</v>
      </c>
      <c r="B318" t="s">
        <v>595</v>
      </c>
      <c r="C318" t="s">
        <v>8084</v>
      </c>
      <c r="D318">
        <v>5255.27</v>
      </c>
      <c r="E318" t="s">
        <v>1050</v>
      </c>
      <c r="F318" s="8">
        <v>45904</v>
      </c>
      <c r="G318">
        <v>33.799999999999997</v>
      </c>
      <c r="H318">
        <v>12</v>
      </c>
    </row>
    <row r="319" spans="1:8" x14ac:dyDescent="0.25">
      <c r="A319" t="s">
        <v>8403</v>
      </c>
      <c r="B319" t="s">
        <v>505</v>
      </c>
      <c r="C319" t="s">
        <v>8084</v>
      </c>
      <c r="D319">
        <v>29720.29</v>
      </c>
      <c r="E319" t="s">
        <v>8101</v>
      </c>
      <c r="F319" s="8">
        <v>46069</v>
      </c>
      <c r="G319">
        <v>21.67</v>
      </c>
      <c r="H319">
        <v>12</v>
      </c>
    </row>
    <row r="320" spans="1:8" x14ac:dyDescent="0.25">
      <c r="A320" t="s">
        <v>8404</v>
      </c>
      <c r="B320" t="s">
        <v>423</v>
      </c>
      <c r="C320" t="s">
        <v>8084</v>
      </c>
      <c r="D320">
        <v>15324.96</v>
      </c>
      <c r="E320" t="s">
        <v>1050</v>
      </c>
      <c r="F320" s="8">
        <v>46230</v>
      </c>
      <c r="G320">
        <v>17.55</v>
      </c>
      <c r="H320">
        <v>12</v>
      </c>
    </row>
    <row r="321" spans="1:8" x14ac:dyDescent="0.25">
      <c r="A321" t="s">
        <v>8405</v>
      </c>
      <c r="B321" t="s">
        <v>30</v>
      </c>
      <c r="C321" t="s">
        <v>8081</v>
      </c>
      <c r="D321">
        <v>10980.45</v>
      </c>
      <c r="E321" t="s">
        <v>8101</v>
      </c>
      <c r="F321" s="8">
        <v>46107</v>
      </c>
      <c r="G321">
        <v>33.729999999999997</v>
      </c>
      <c r="H321">
        <v>12</v>
      </c>
    </row>
    <row r="322" spans="1:8" x14ac:dyDescent="0.25">
      <c r="A322" t="s">
        <v>8406</v>
      </c>
      <c r="B322" t="s">
        <v>825</v>
      </c>
      <c r="C322" t="s">
        <v>8081</v>
      </c>
      <c r="D322">
        <v>11164.33</v>
      </c>
      <c r="E322" t="s">
        <v>8087</v>
      </c>
      <c r="F322" s="8">
        <v>46078</v>
      </c>
      <c r="G322">
        <v>22.64</v>
      </c>
      <c r="H322">
        <v>12</v>
      </c>
    </row>
    <row r="323" spans="1:8" x14ac:dyDescent="0.25">
      <c r="A323" t="s">
        <v>8407</v>
      </c>
      <c r="B323" t="s">
        <v>717</v>
      </c>
      <c r="C323" t="s">
        <v>8084</v>
      </c>
      <c r="D323">
        <v>9547.27</v>
      </c>
      <c r="E323" t="s">
        <v>1050</v>
      </c>
      <c r="F323" s="8">
        <v>46057</v>
      </c>
      <c r="G323">
        <v>17.18</v>
      </c>
      <c r="H323">
        <v>36</v>
      </c>
    </row>
    <row r="324" spans="1:8" x14ac:dyDescent="0.25">
      <c r="A324" t="s">
        <v>8408</v>
      </c>
      <c r="B324" t="s">
        <v>350</v>
      </c>
      <c r="C324" t="s">
        <v>22</v>
      </c>
      <c r="D324">
        <v>15754.05</v>
      </c>
      <c r="E324" t="s">
        <v>1050</v>
      </c>
      <c r="F324" s="8">
        <v>46113</v>
      </c>
      <c r="G324">
        <v>29.57</v>
      </c>
      <c r="H324">
        <v>12</v>
      </c>
    </row>
    <row r="325" spans="1:8" x14ac:dyDescent="0.25">
      <c r="A325" t="s">
        <v>8409</v>
      </c>
      <c r="B325" t="s">
        <v>18</v>
      </c>
      <c r="C325" t="s">
        <v>8084</v>
      </c>
      <c r="D325">
        <v>5690.4</v>
      </c>
      <c r="E325" t="s">
        <v>1050</v>
      </c>
      <c r="F325" s="8">
        <v>45782</v>
      </c>
      <c r="G325">
        <v>15.59</v>
      </c>
      <c r="H325">
        <v>12</v>
      </c>
    </row>
    <row r="326" spans="1:8" x14ac:dyDescent="0.25">
      <c r="A326" t="s">
        <v>8410</v>
      </c>
      <c r="B326" t="s">
        <v>951</v>
      </c>
      <c r="C326" t="s">
        <v>22</v>
      </c>
      <c r="D326">
        <v>6115.58</v>
      </c>
      <c r="E326" t="s">
        <v>1050</v>
      </c>
      <c r="F326" s="8">
        <v>45917</v>
      </c>
      <c r="G326">
        <v>16.190000000000001</v>
      </c>
      <c r="H326">
        <v>12</v>
      </c>
    </row>
    <row r="327" spans="1:8" x14ac:dyDescent="0.25">
      <c r="A327" t="s">
        <v>8411</v>
      </c>
      <c r="B327" t="s">
        <v>416</v>
      </c>
      <c r="C327" t="s">
        <v>8124</v>
      </c>
      <c r="D327">
        <v>7437.38</v>
      </c>
      <c r="E327" t="s">
        <v>1050</v>
      </c>
      <c r="F327" s="8">
        <v>46192</v>
      </c>
      <c r="G327">
        <v>18.11</v>
      </c>
      <c r="H327">
        <v>3</v>
      </c>
    </row>
    <row r="328" spans="1:8" x14ac:dyDescent="0.25">
      <c r="A328" t="s">
        <v>8412</v>
      </c>
      <c r="B328" t="s">
        <v>977</v>
      </c>
      <c r="C328" t="s">
        <v>22</v>
      </c>
      <c r="D328">
        <v>10980.92</v>
      </c>
      <c r="E328" t="s">
        <v>8087</v>
      </c>
      <c r="F328" s="8">
        <v>45737</v>
      </c>
      <c r="G328">
        <v>19.87</v>
      </c>
      <c r="H328">
        <v>12</v>
      </c>
    </row>
    <row r="329" spans="1:8" x14ac:dyDescent="0.25">
      <c r="A329" t="s">
        <v>8413</v>
      </c>
      <c r="B329" t="s">
        <v>938</v>
      </c>
      <c r="C329" t="s">
        <v>8124</v>
      </c>
      <c r="D329">
        <v>12441.91</v>
      </c>
      <c r="E329" t="s">
        <v>8101</v>
      </c>
      <c r="F329" s="8">
        <v>45929</v>
      </c>
      <c r="G329">
        <v>24.57</v>
      </c>
      <c r="H329">
        <v>3</v>
      </c>
    </row>
    <row r="330" spans="1:8" x14ac:dyDescent="0.25">
      <c r="A330" t="s">
        <v>8414</v>
      </c>
      <c r="B330" t="s">
        <v>511</v>
      </c>
      <c r="C330" t="s">
        <v>8081</v>
      </c>
      <c r="D330">
        <v>3501.36</v>
      </c>
      <c r="E330" t="s">
        <v>1050</v>
      </c>
      <c r="F330" s="8">
        <v>46222</v>
      </c>
      <c r="G330">
        <v>22.88</v>
      </c>
      <c r="H330">
        <v>36</v>
      </c>
    </row>
    <row r="331" spans="1:8" x14ac:dyDescent="0.25">
      <c r="A331" t="s">
        <v>8415</v>
      </c>
      <c r="B331" t="s">
        <v>337</v>
      </c>
      <c r="C331" t="s">
        <v>8084</v>
      </c>
      <c r="D331">
        <v>11942.68</v>
      </c>
      <c r="E331" t="s">
        <v>1050</v>
      </c>
      <c r="F331" s="8">
        <v>46075</v>
      </c>
      <c r="G331">
        <v>28.59</v>
      </c>
      <c r="H331">
        <v>6</v>
      </c>
    </row>
    <row r="332" spans="1:8" x14ac:dyDescent="0.25">
      <c r="A332" t="s">
        <v>8416</v>
      </c>
      <c r="B332" t="s">
        <v>234</v>
      </c>
      <c r="C332" t="s">
        <v>8081</v>
      </c>
      <c r="D332">
        <v>9200.32</v>
      </c>
      <c r="E332" t="s">
        <v>8087</v>
      </c>
      <c r="F332" s="8">
        <v>46059</v>
      </c>
      <c r="G332">
        <v>27.93</v>
      </c>
      <c r="H332">
        <v>36</v>
      </c>
    </row>
    <row r="333" spans="1:8" x14ac:dyDescent="0.25">
      <c r="A333" t="s">
        <v>8417</v>
      </c>
      <c r="B333" t="s">
        <v>79</v>
      </c>
      <c r="C333" t="s">
        <v>8084</v>
      </c>
      <c r="D333">
        <v>33732.32</v>
      </c>
      <c r="E333" t="s">
        <v>1050</v>
      </c>
      <c r="F333" s="8">
        <v>45710</v>
      </c>
      <c r="G333">
        <v>11.14</v>
      </c>
      <c r="H333">
        <v>36</v>
      </c>
    </row>
    <row r="334" spans="1:8" x14ac:dyDescent="0.25">
      <c r="A334" t="s">
        <v>8418</v>
      </c>
      <c r="B334" t="s">
        <v>631</v>
      </c>
      <c r="C334" t="s">
        <v>22</v>
      </c>
      <c r="D334">
        <v>8778.07</v>
      </c>
      <c r="E334" t="s">
        <v>8087</v>
      </c>
      <c r="F334" s="8">
        <v>45929</v>
      </c>
      <c r="G334">
        <v>13.35</v>
      </c>
      <c r="H334">
        <v>24</v>
      </c>
    </row>
    <row r="335" spans="1:8" x14ac:dyDescent="0.25">
      <c r="A335" t="s">
        <v>8419</v>
      </c>
      <c r="B335" t="s">
        <v>608</v>
      </c>
      <c r="C335" t="s">
        <v>22</v>
      </c>
      <c r="D335">
        <v>40262.67</v>
      </c>
      <c r="E335" t="s">
        <v>1050</v>
      </c>
      <c r="F335" s="8">
        <v>45885</v>
      </c>
      <c r="G335">
        <v>15.38</v>
      </c>
      <c r="H335">
        <v>36</v>
      </c>
    </row>
    <row r="336" spans="1:8" x14ac:dyDescent="0.25">
      <c r="A336" t="s">
        <v>8420</v>
      </c>
      <c r="B336" t="s">
        <v>73</v>
      </c>
      <c r="C336" t="s">
        <v>8081</v>
      </c>
      <c r="D336">
        <v>72657.100000000006</v>
      </c>
      <c r="E336" t="s">
        <v>8101</v>
      </c>
      <c r="F336" s="8">
        <v>46028</v>
      </c>
      <c r="G336">
        <v>24.94</v>
      </c>
      <c r="H336">
        <v>36</v>
      </c>
    </row>
    <row r="337" spans="1:8" x14ac:dyDescent="0.25">
      <c r="A337" t="s">
        <v>8421</v>
      </c>
      <c r="B337" t="s">
        <v>37</v>
      </c>
      <c r="C337" t="s">
        <v>8084</v>
      </c>
      <c r="D337">
        <v>45864.85</v>
      </c>
      <c r="E337" t="s">
        <v>8087</v>
      </c>
      <c r="F337" s="8">
        <v>45849</v>
      </c>
      <c r="G337">
        <v>32.380000000000003</v>
      </c>
      <c r="H337">
        <v>24</v>
      </c>
    </row>
    <row r="338" spans="1:8" x14ac:dyDescent="0.25">
      <c r="A338" t="s">
        <v>8422</v>
      </c>
      <c r="B338" t="s">
        <v>703</v>
      </c>
      <c r="C338" t="s">
        <v>8081</v>
      </c>
      <c r="D338">
        <v>8222.2900000000009</v>
      </c>
      <c r="E338" t="s">
        <v>1050</v>
      </c>
      <c r="F338" s="8">
        <v>45680</v>
      </c>
      <c r="G338">
        <v>18.12</v>
      </c>
      <c r="H338">
        <v>12</v>
      </c>
    </row>
    <row r="339" spans="1:8" x14ac:dyDescent="0.25">
      <c r="A339" t="s">
        <v>8423</v>
      </c>
      <c r="B339" t="s">
        <v>281</v>
      </c>
      <c r="C339" t="s">
        <v>8124</v>
      </c>
      <c r="D339">
        <v>27325.1</v>
      </c>
      <c r="E339" t="s">
        <v>8087</v>
      </c>
      <c r="F339" s="8">
        <v>46209</v>
      </c>
      <c r="G339">
        <v>34.090000000000003</v>
      </c>
      <c r="H339">
        <v>48</v>
      </c>
    </row>
    <row r="340" spans="1:8" x14ac:dyDescent="0.25">
      <c r="A340" t="s">
        <v>8424</v>
      </c>
      <c r="B340" t="s">
        <v>713</v>
      </c>
      <c r="C340" t="s">
        <v>8084</v>
      </c>
      <c r="D340">
        <v>8336.25</v>
      </c>
      <c r="E340" t="s">
        <v>8087</v>
      </c>
      <c r="F340" s="8">
        <v>45993</v>
      </c>
      <c r="G340">
        <v>14.32</v>
      </c>
      <c r="H340">
        <v>36</v>
      </c>
    </row>
    <row r="341" spans="1:8" x14ac:dyDescent="0.25">
      <c r="A341" t="s">
        <v>8425</v>
      </c>
      <c r="B341" t="s">
        <v>1032</v>
      </c>
      <c r="C341" t="s">
        <v>8081</v>
      </c>
      <c r="D341">
        <v>9316.98</v>
      </c>
      <c r="E341" t="s">
        <v>8087</v>
      </c>
      <c r="F341" s="8">
        <v>45887</v>
      </c>
      <c r="G341">
        <v>33.119999999999997</v>
      </c>
      <c r="H341">
        <v>6</v>
      </c>
    </row>
    <row r="342" spans="1:8" x14ac:dyDescent="0.25">
      <c r="A342" t="s">
        <v>8426</v>
      </c>
      <c r="B342" t="s">
        <v>302</v>
      </c>
      <c r="C342" t="s">
        <v>8084</v>
      </c>
      <c r="D342">
        <v>9831.02</v>
      </c>
      <c r="E342" t="s">
        <v>1050</v>
      </c>
      <c r="F342" s="8">
        <v>46187</v>
      </c>
      <c r="G342">
        <v>30.03</v>
      </c>
      <c r="H342">
        <v>12</v>
      </c>
    </row>
    <row r="343" spans="1:8" x14ac:dyDescent="0.25">
      <c r="A343" t="s">
        <v>8427</v>
      </c>
      <c r="B343" t="s">
        <v>508</v>
      </c>
      <c r="C343" t="s">
        <v>8084</v>
      </c>
      <c r="D343">
        <v>20108.8</v>
      </c>
      <c r="E343" t="s">
        <v>1050</v>
      </c>
      <c r="F343" s="8">
        <v>46145</v>
      </c>
      <c r="G343">
        <v>19.73</v>
      </c>
      <c r="H343">
        <v>24</v>
      </c>
    </row>
    <row r="344" spans="1:8" x14ac:dyDescent="0.25">
      <c r="A344" t="s">
        <v>8428</v>
      </c>
      <c r="B344" t="s">
        <v>237</v>
      </c>
      <c r="C344" t="s">
        <v>8124</v>
      </c>
      <c r="D344">
        <v>8962.94</v>
      </c>
      <c r="E344" t="s">
        <v>1050</v>
      </c>
      <c r="F344" s="8">
        <v>45821</v>
      </c>
      <c r="G344">
        <v>15.16</v>
      </c>
      <c r="H344">
        <v>12</v>
      </c>
    </row>
    <row r="345" spans="1:8" x14ac:dyDescent="0.25">
      <c r="A345" t="s">
        <v>8429</v>
      </c>
      <c r="B345" t="s">
        <v>306</v>
      </c>
      <c r="C345" t="s">
        <v>8084</v>
      </c>
      <c r="D345">
        <v>18600.439999999999</v>
      </c>
      <c r="E345" t="s">
        <v>1050</v>
      </c>
      <c r="F345" s="8">
        <v>46080</v>
      </c>
      <c r="G345">
        <v>19.78</v>
      </c>
      <c r="H345">
        <v>12</v>
      </c>
    </row>
    <row r="346" spans="1:8" x14ac:dyDescent="0.25">
      <c r="A346" t="s">
        <v>8430</v>
      </c>
      <c r="B346" t="s">
        <v>322</v>
      </c>
      <c r="C346" t="s">
        <v>22</v>
      </c>
      <c r="D346">
        <v>49512.24</v>
      </c>
      <c r="E346" t="s">
        <v>1050</v>
      </c>
      <c r="F346" s="8">
        <v>46017</v>
      </c>
      <c r="G346">
        <v>15.34</v>
      </c>
      <c r="H346">
        <v>24</v>
      </c>
    </row>
    <row r="347" spans="1:8" x14ac:dyDescent="0.25">
      <c r="A347" t="s">
        <v>8431</v>
      </c>
      <c r="B347" t="s">
        <v>1030</v>
      </c>
      <c r="C347" t="s">
        <v>22</v>
      </c>
      <c r="D347">
        <v>7469.36</v>
      </c>
      <c r="E347" t="s">
        <v>8087</v>
      </c>
      <c r="F347" s="8">
        <v>45826</v>
      </c>
      <c r="G347">
        <v>24.03</v>
      </c>
      <c r="H347">
        <v>6</v>
      </c>
    </row>
    <row r="348" spans="1:8" x14ac:dyDescent="0.25">
      <c r="A348" t="s">
        <v>8432</v>
      </c>
      <c r="B348" t="s">
        <v>782</v>
      </c>
      <c r="C348" t="s">
        <v>8084</v>
      </c>
      <c r="D348">
        <v>4981.3999999999996</v>
      </c>
      <c r="E348" t="s">
        <v>1050</v>
      </c>
      <c r="F348" s="8">
        <v>46170</v>
      </c>
      <c r="G348">
        <v>24.37</v>
      </c>
      <c r="H348">
        <v>24</v>
      </c>
    </row>
    <row r="349" spans="1:8" x14ac:dyDescent="0.25">
      <c r="A349" t="s">
        <v>8433</v>
      </c>
      <c r="B349" t="s">
        <v>396</v>
      </c>
      <c r="C349" t="s">
        <v>22</v>
      </c>
      <c r="D349">
        <v>10806.35</v>
      </c>
      <c r="E349" t="s">
        <v>1050</v>
      </c>
      <c r="F349" s="8">
        <v>46005</v>
      </c>
      <c r="G349">
        <v>29.2</v>
      </c>
      <c r="H349">
        <v>12</v>
      </c>
    </row>
    <row r="350" spans="1:8" x14ac:dyDescent="0.25">
      <c r="A350" t="s">
        <v>8434</v>
      </c>
      <c r="B350" t="s">
        <v>28</v>
      </c>
      <c r="C350" t="s">
        <v>8084</v>
      </c>
      <c r="D350">
        <v>56522.29</v>
      </c>
      <c r="E350" t="s">
        <v>1050</v>
      </c>
      <c r="F350" s="8">
        <v>45856</v>
      </c>
      <c r="G350">
        <v>23.2</v>
      </c>
      <c r="H350">
        <v>36</v>
      </c>
    </row>
    <row r="351" spans="1:8" x14ac:dyDescent="0.25">
      <c r="A351" t="s">
        <v>8435</v>
      </c>
      <c r="B351" t="s">
        <v>873</v>
      </c>
      <c r="C351" t="s">
        <v>8084</v>
      </c>
      <c r="D351">
        <v>31283.87</v>
      </c>
      <c r="E351" t="s">
        <v>1050</v>
      </c>
      <c r="F351" s="8">
        <v>45869</v>
      </c>
      <c r="G351">
        <v>18.63</v>
      </c>
      <c r="H351">
        <v>24</v>
      </c>
    </row>
    <row r="352" spans="1:8" x14ac:dyDescent="0.25">
      <c r="A352" t="s">
        <v>8436</v>
      </c>
      <c r="B352" t="s">
        <v>65</v>
      </c>
      <c r="C352" t="s">
        <v>8124</v>
      </c>
      <c r="D352">
        <v>9103.0400000000009</v>
      </c>
      <c r="E352" t="s">
        <v>1050</v>
      </c>
      <c r="F352" s="8">
        <v>45809</v>
      </c>
      <c r="G352">
        <v>32.79</v>
      </c>
      <c r="H352">
        <v>6</v>
      </c>
    </row>
    <row r="353" spans="1:8" x14ac:dyDescent="0.25">
      <c r="A353" t="s">
        <v>8437</v>
      </c>
      <c r="B353" t="s">
        <v>858</v>
      </c>
      <c r="C353" t="s">
        <v>8124</v>
      </c>
      <c r="D353">
        <v>7813.72</v>
      </c>
      <c r="E353" t="s">
        <v>8087</v>
      </c>
      <c r="F353" s="8">
        <v>46234</v>
      </c>
      <c r="G353">
        <v>11.95</v>
      </c>
      <c r="H353">
        <v>12</v>
      </c>
    </row>
    <row r="354" spans="1:8" x14ac:dyDescent="0.25">
      <c r="A354" t="s">
        <v>8438</v>
      </c>
      <c r="B354" t="s">
        <v>893</v>
      </c>
      <c r="C354" t="s">
        <v>22</v>
      </c>
      <c r="D354">
        <v>23363.48</v>
      </c>
      <c r="E354" t="s">
        <v>8101</v>
      </c>
      <c r="F354" s="8">
        <v>46187</v>
      </c>
      <c r="G354">
        <v>30.22</v>
      </c>
      <c r="H354">
        <v>24</v>
      </c>
    </row>
    <row r="355" spans="1:8" x14ac:dyDescent="0.25">
      <c r="A355" t="s">
        <v>8439</v>
      </c>
      <c r="B355" t="s">
        <v>239</v>
      </c>
      <c r="C355" t="s">
        <v>8084</v>
      </c>
      <c r="D355">
        <v>19498.32</v>
      </c>
      <c r="E355" t="s">
        <v>8087</v>
      </c>
      <c r="F355" s="8">
        <v>45747</v>
      </c>
      <c r="G355">
        <v>20.239999999999998</v>
      </c>
      <c r="H355">
        <v>12</v>
      </c>
    </row>
    <row r="356" spans="1:8" x14ac:dyDescent="0.25">
      <c r="A356" t="s">
        <v>8440</v>
      </c>
      <c r="B356" t="s">
        <v>647</v>
      </c>
      <c r="C356" t="s">
        <v>8084</v>
      </c>
      <c r="D356">
        <v>29679.73</v>
      </c>
      <c r="E356" t="s">
        <v>1050</v>
      </c>
      <c r="F356" s="8">
        <v>45671</v>
      </c>
      <c r="G356">
        <v>14.53</v>
      </c>
      <c r="H356">
        <v>24</v>
      </c>
    </row>
    <row r="357" spans="1:8" x14ac:dyDescent="0.25">
      <c r="A357" t="s">
        <v>8441</v>
      </c>
      <c r="B357" t="s">
        <v>446</v>
      </c>
      <c r="C357" t="s">
        <v>8081</v>
      </c>
      <c r="D357">
        <v>7156.71</v>
      </c>
      <c r="E357" t="s">
        <v>8087</v>
      </c>
      <c r="F357" s="8">
        <v>45676</v>
      </c>
      <c r="G357">
        <v>13.01</v>
      </c>
      <c r="H357">
        <v>48</v>
      </c>
    </row>
    <row r="358" spans="1:8" x14ac:dyDescent="0.25">
      <c r="A358" t="s">
        <v>8442</v>
      </c>
      <c r="B358" t="s">
        <v>67</v>
      </c>
      <c r="C358" t="s">
        <v>8084</v>
      </c>
      <c r="D358">
        <v>16864.25</v>
      </c>
      <c r="E358" t="s">
        <v>1050</v>
      </c>
      <c r="F358" s="8">
        <v>45739</v>
      </c>
      <c r="G358">
        <v>15.52</v>
      </c>
      <c r="H358">
        <v>3</v>
      </c>
    </row>
    <row r="359" spans="1:8" x14ac:dyDescent="0.25">
      <c r="A359" t="s">
        <v>8443</v>
      </c>
      <c r="B359" t="s">
        <v>1002</v>
      </c>
      <c r="C359" t="s">
        <v>8084</v>
      </c>
      <c r="D359">
        <v>36929.910000000003</v>
      </c>
      <c r="E359" t="s">
        <v>1050</v>
      </c>
      <c r="F359" s="8">
        <v>46176</v>
      </c>
      <c r="G359">
        <v>13.05</v>
      </c>
      <c r="H359">
        <v>6</v>
      </c>
    </row>
    <row r="360" spans="1:8" x14ac:dyDescent="0.25">
      <c r="A360" t="s">
        <v>8444</v>
      </c>
      <c r="B360" t="s">
        <v>691</v>
      </c>
      <c r="C360" t="s">
        <v>8081</v>
      </c>
      <c r="D360">
        <v>44484.87</v>
      </c>
      <c r="E360" t="s">
        <v>1050</v>
      </c>
      <c r="F360" s="8">
        <v>45659</v>
      </c>
      <c r="G360">
        <v>21.47</v>
      </c>
      <c r="H360">
        <v>12</v>
      </c>
    </row>
    <row r="361" spans="1:8" x14ac:dyDescent="0.25">
      <c r="A361" t="s">
        <v>8445</v>
      </c>
      <c r="B361" t="s">
        <v>346</v>
      </c>
      <c r="C361" t="s">
        <v>8084</v>
      </c>
      <c r="D361">
        <v>6694.1</v>
      </c>
      <c r="E361" t="s">
        <v>1050</v>
      </c>
      <c r="F361" s="8">
        <v>45920</v>
      </c>
      <c r="G361">
        <v>18.739999999999998</v>
      </c>
      <c r="H361">
        <v>24</v>
      </c>
    </row>
    <row r="362" spans="1:8" x14ac:dyDescent="0.25">
      <c r="A362" t="s">
        <v>8446</v>
      </c>
      <c r="B362" t="s">
        <v>681</v>
      </c>
      <c r="C362" t="s">
        <v>8084</v>
      </c>
      <c r="D362">
        <v>16843.560000000001</v>
      </c>
      <c r="E362" t="s">
        <v>8087</v>
      </c>
      <c r="F362" s="8">
        <v>46197</v>
      </c>
      <c r="G362">
        <v>18.91</v>
      </c>
      <c r="H362">
        <v>12</v>
      </c>
    </row>
    <row r="363" spans="1:8" x14ac:dyDescent="0.25">
      <c r="A363" t="s">
        <v>8447</v>
      </c>
      <c r="B363" t="s">
        <v>758</v>
      </c>
      <c r="C363" t="s">
        <v>8084</v>
      </c>
      <c r="D363">
        <v>14345.94</v>
      </c>
      <c r="E363" t="s">
        <v>8101</v>
      </c>
      <c r="F363" s="8">
        <v>46147</v>
      </c>
      <c r="G363">
        <v>13.92</v>
      </c>
      <c r="H363">
        <v>6</v>
      </c>
    </row>
    <row r="364" spans="1:8" x14ac:dyDescent="0.25">
      <c r="A364" t="s">
        <v>8448</v>
      </c>
      <c r="B364" t="s">
        <v>694</v>
      </c>
      <c r="C364" t="s">
        <v>8081</v>
      </c>
      <c r="D364">
        <v>9233.16</v>
      </c>
      <c r="E364" t="s">
        <v>8087</v>
      </c>
      <c r="F364" s="8">
        <v>45994</v>
      </c>
      <c r="G364">
        <v>26.49</v>
      </c>
      <c r="H364">
        <v>12</v>
      </c>
    </row>
    <row r="365" spans="1:8" x14ac:dyDescent="0.25">
      <c r="A365" t="s">
        <v>8449</v>
      </c>
      <c r="B365" t="s">
        <v>120</v>
      </c>
      <c r="C365" t="s">
        <v>22</v>
      </c>
      <c r="D365">
        <v>10012.959999999999</v>
      </c>
      <c r="E365" t="s">
        <v>1050</v>
      </c>
      <c r="F365" s="8">
        <v>45943</v>
      </c>
      <c r="G365">
        <v>25.19</v>
      </c>
      <c r="H365">
        <v>24</v>
      </c>
    </row>
    <row r="366" spans="1:8" x14ac:dyDescent="0.25">
      <c r="A366" t="s">
        <v>8450</v>
      </c>
      <c r="B366" t="s">
        <v>107</v>
      </c>
      <c r="C366" t="s">
        <v>8084</v>
      </c>
      <c r="D366">
        <v>28385.01</v>
      </c>
      <c r="E366" t="s">
        <v>1050</v>
      </c>
      <c r="F366" s="8">
        <v>45911</v>
      </c>
      <c r="G366">
        <v>34.56</v>
      </c>
      <c r="H366">
        <v>36</v>
      </c>
    </row>
    <row r="367" spans="1:8" x14ac:dyDescent="0.25">
      <c r="A367" t="s">
        <v>8451</v>
      </c>
      <c r="B367" t="s">
        <v>987</v>
      </c>
      <c r="C367" t="s">
        <v>8081</v>
      </c>
      <c r="D367">
        <v>9771.5</v>
      </c>
      <c r="E367" t="s">
        <v>1050</v>
      </c>
      <c r="F367" s="8">
        <v>46254</v>
      </c>
      <c r="G367">
        <v>14.19</v>
      </c>
      <c r="H367">
        <v>48</v>
      </c>
    </row>
    <row r="368" spans="1:8" x14ac:dyDescent="0.25">
      <c r="A368" t="s">
        <v>8452</v>
      </c>
      <c r="B368" t="s">
        <v>213</v>
      </c>
      <c r="C368" t="s">
        <v>8081</v>
      </c>
      <c r="D368">
        <v>16340.63</v>
      </c>
      <c r="E368" t="s">
        <v>8101</v>
      </c>
      <c r="F368" s="8">
        <v>46142</v>
      </c>
      <c r="G368">
        <v>30.85</v>
      </c>
      <c r="H368">
        <v>24</v>
      </c>
    </row>
    <row r="369" spans="1:8" x14ac:dyDescent="0.25">
      <c r="A369" t="s">
        <v>8453</v>
      </c>
      <c r="B369" t="s">
        <v>319</v>
      </c>
      <c r="C369" t="s">
        <v>8084</v>
      </c>
      <c r="D369">
        <v>26619.05</v>
      </c>
      <c r="E369" t="s">
        <v>1050</v>
      </c>
      <c r="F369" s="8">
        <v>45858</v>
      </c>
      <c r="G369">
        <v>10.85</v>
      </c>
      <c r="H369">
        <v>12</v>
      </c>
    </row>
    <row r="370" spans="1:8" x14ac:dyDescent="0.25">
      <c r="A370" t="s">
        <v>8454</v>
      </c>
      <c r="B370" t="s">
        <v>851</v>
      </c>
      <c r="C370" t="s">
        <v>22</v>
      </c>
      <c r="D370">
        <v>73273.460000000006</v>
      </c>
      <c r="E370" t="s">
        <v>1050</v>
      </c>
      <c r="F370" s="8">
        <v>45949</v>
      </c>
      <c r="G370">
        <v>11.83</v>
      </c>
      <c r="H370">
        <v>12</v>
      </c>
    </row>
    <row r="371" spans="1:8" x14ac:dyDescent="0.25">
      <c r="A371" t="s">
        <v>8455</v>
      </c>
      <c r="B371" t="s">
        <v>191</v>
      </c>
      <c r="C371" t="s">
        <v>8084</v>
      </c>
      <c r="D371">
        <v>22913.7</v>
      </c>
      <c r="E371" t="s">
        <v>1050</v>
      </c>
      <c r="F371" s="8">
        <v>45935</v>
      </c>
      <c r="G371">
        <v>26.2</v>
      </c>
      <c r="H371">
        <v>36</v>
      </c>
    </row>
    <row r="372" spans="1:8" x14ac:dyDescent="0.25">
      <c r="A372" t="s">
        <v>8456</v>
      </c>
      <c r="B372" t="s">
        <v>680</v>
      </c>
      <c r="C372" t="s">
        <v>22</v>
      </c>
      <c r="D372">
        <v>32100.99</v>
      </c>
      <c r="E372" t="s">
        <v>8087</v>
      </c>
      <c r="F372" s="8">
        <v>45992</v>
      </c>
      <c r="G372">
        <v>20.16</v>
      </c>
      <c r="H372">
        <v>24</v>
      </c>
    </row>
    <row r="373" spans="1:8" x14ac:dyDescent="0.25">
      <c r="A373" t="s">
        <v>8457</v>
      </c>
      <c r="B373" t="s">
        <v>774</v>
      </c>
      <c r="C373" t="s">
        <v>8084</v>
      </c>
      <c r="D373">
        <v>22255.86</v>
      </c>
      <c r="E373" t="s">
        <v>8087</v>
      </c>
      <c r="F373" s="8">
        <v>46247</v>
      </c>
      <c r="G373">
        <v>15.76</v>
      </c>
      <c r="H373">
        <v>24</v>
      </c>
    </row>
    <row r="374" spans="1:8" x14ac:dyDescent="0.25">
      <c r="A374" t="s">
        <v>8458</v>
      </c>
      <c r="B374" t="s">
        <v>339</v>
      </c>
      <c r="C374" t="s">
        <v>8084</v>
      </c>
      <c r="D374">
        <v>15298.72</v>
      </c>
      <c r="E374" t="s">
        <v>1050</v>
      </c>
      <c r="F374" s="8">
        <v>46068</v>
      </c>
      <c r="G374">
        <v>10.07</v>
      </c>
      <c r="H374">
        <v>12</v>
      </c>
    </row>
    <row r="375" spans="1:8" x14ac:dyDescent="0.25">
      <c r="A375" t="s">
        <v>8459</v>
      </c>
      <c r="B375" t="s">
        <v>479</v>
      </c>
      <c r="C375" t="s">
        <v>22</v>
      </c>
      <c r="D375">
        <v>15081.83</v>
      </c>
      <c r="E375" t="s">
        <v>8087</v>
      </c>
      <c r="F375" s="8">
        <v>45867</v>
      </c>
      <c r="G375">
        <v>26.58</v>
      </c>
      <c r="H375">
        <v>12</v>
      </c>
    </row>
    <row r="376" spans="1:8" x14ac:dyDescent="0.25">
      <c r="A376" t="s">
        <v>8460</v>
      </c>
      <c r="B376" t="s">
        <v>533</v>
      </c>
      <c r="C376" t="s">
        <v>22</v>
      </c>
      <c r="D376">
        <v>16431.68</v>
      </c>
      <c r="E376" t="s">
        <v>8087</v>
      </c>
      <c r="F376" s="8">
        <v>45667</v>
      </c>
      <c r="G376">
        <v>21.02</v>
      </c>
      <c r="H376">
        <v>24</v>
      </c>
    </row>
    <row r="377" spans="1:8" x14ac:dyDescent="0.25">
      <c r="A377" t="s">
        <v>8461</v>
      </c>
      <c r="B377" t="s">
        <v>637</v>
      </c>
      <c r="C377" t="s">
        <v>8084</v>
      </c>
      <c r="D377">
        <v>3256.3</v>
      </c>
      <c r="E377" t="s">
        <v>8087</v>
      </c>
      <c r="F377" s="8">
        <v>45897</v>
      </c>
      <c r="G377">
        <v>14.27</v>
      </c>
      <c r="H377">
        <v>36</v>
      </c>
    </row>
    <row r="378" spans="1:8" x14ac:dyDescent="0.25">
      <c r="A378" t="s">
        <v>8462</v>
      </c>
      <c r="B378" t="s">
        <v>276</v>
      </c>
      <c r="C378" t="s">
        <v>8084</v>
      </c>
      <c r="D378">
        <v>13882.41</v>
      </c>
      <c r="E378" t="s">
        <v>8105</v>
      </c>
      <c r="F378" s="8">
        <v>45827</v>
      </c>
      <c r="G378">
        <v>34.31</v>
      </c>
      <c r="H378">
        <v>12</v>
      </c>
    </row>
    <row r="379" spans="1:8" x14ac:dyDescent="0.25">
      <c r="A379" t="s">
        <v>8463</v>
      </c>
      <c r="B379" t="s">
        <v>649</v>
      </c>
      <c r="C379" t="s">
        <v>8124</v>
      </c>
      <c r="D379">
        <v>25607.19</v>
      </c>
      <c r="E379" t="s">
        <v>8105</v>
      </c>
      <c r="F379" s="8">
        <v>46130</v>
      </c>
      <c r="G379">
        <v>18.77</v>
      </c>
      <c r="H379">
        <v>24</v>
      </c>
    </row>
    <row r="380" spans="1:8" x14ac:dyDescent="0.25">
      <c r="A380" t="s">
        <v>8464</v>
      </c>
      <c r="B380" t="s">
        <v>800</v>
      </c>
      <c r="C380" t="s">
        <v>8084</v>
      </c>
      <c r="D380">
        <v>10000.85</v>
      </c>
      <c r="E380" t="s">
        <v>1050</v>
      </c>
      <c r="F380" s="8">
        <v>46129</v>
      </c>
      <c r="G380">
        <v>17.579999999999998</v>
      </c>
      <c r="H380">
        <v>3</v>
      </c>
    </row>
    <row r="381" spans="1:8" x14ac:dyDescent="0.25">
      <c r="A381" t="s">
        <v>8465</v>
      </c>
      <c r="B381" t="s">
        <v>133</v>
      </c>
      <c r="C381" t="s">
        <v>22</v>
      </c>
      <c r="D381">
        <v>57655.85</v>
      </c>
      <c r="E381" t="s">
        <v>8087</v>
      </c>
      <c r="F381" s="8">
        <v>45886</v>
      </c>
      <c r="G381">
        <v>22.76</v>
      </c>
      <c r="H381">
        <v>48</v>
      </c>
    </row>
    <row r="382" spans="1:8" x14ac:dyDescent="0.25">
      <c r="A382" t="s">
        <v>8466</v>
      </c>
      <c r="B382" t="s">
        <v>217</v>
      </c>
      <c r="C382" t="s">
        <v>8084</v>
      </c>
      <c r="D382">
        <v>19933.490000000002</v>
      </c>
      <c r="E382" t="s">
        <v>8087</v>
      </c>
      <c r="F382" s="8">
        <v>46065</v>
      </c>
      <c r="G382">
        <v>16.93</v>
      </c>
      <c r="H382">
        <v>48</v>
      </c>
    </row>
    <row r="383" spans="1:8" x14ac:dyDescent="0.25">
      <c r="A383" t="s">
        <v>8467</v>
      </c>
      <c r="B383" t="s">
        <v>565</v>
      </c>
      <c r="C383" t="s">
        <v>22</v>
      </c>
      <c r="D383">
        <v>16237.18</v>
      </c>
      <c r="E383" t="s">
        <v>1050</v>
      </c>
      <c r="F383" s="8">
        <v>46056</v>
      </c>
      <c r="G383">
        <v>16.82</v>
      </c>
      <c r="H383">
        <v>12</v>
      </c>
    </row>
    <row r="384" spans="1:8" x14ac:dyDescent="0.25">
      <c r="A384" t="s">
        <v>8468</v>
      </c>
      <c r="B384" t="s">
        <v>843</v>
      </c>
      <c r="C384" t="s">
        <v>8084</v>
      </c>
      <c r="D384">
        <v>35196.120000000003</v>
      </c>
      <c r="E384" t="s">
        <v>8087</v>
      </c>
      <c r="F384" s="8">
        <v>45860</v>
      </c>
      <c r="G384">
        <v>34.159999999999997</v>
      </c>
      <c r="H384">
        <v>12</v>
      </c>
    </row>
    <row r="385" spans="1:8" x14ac:dyDescent="0.25">
      <c r="A385" t="s">
        <v>8469</v>
      </c>
      <c r="B385" t="s">
        <v>220</v>
      </c>
      <c r="C385" t="s">
        <v>8084</v>
      </c>
      <c r="D385">
        <v>28318.15</v>
      </c>
      <c r="E385" t="s">
        <v>1050</v>
      </c>
      <c r="F385" s="8">
        <v>46250</v>
      </c>
      <c r="G385">
        <v>16.53</v>
      </c>
      <c r="H385">
        <v>6</v>
      </c>
    </row>
    <row r="386" spans="1:8" x14ac:dyDescent="0.25">
      <c r="A386" t="s">
        <v>8470</v>
      </c>
      <c r="B386" t="s">
        <v>340</v>
      </c>
      <c r="C386" t="s">
        <v>22</v>
      </c>
      <c r="D386">
        <v>44634.21</v>
      </c>
      <c r="E386" t="s">
        <v>8087</v>
      </c>
      <c r="F386" s="8">
        <v>45706</v>
      </c>
      <c r="G386">
        <v>25.14</v>
      </c>
      <c r="H386">
        <v>6</v>
      </c>
    </row>
    <row r="387" spans="1:8" x14ac:dyDescent="0.25">
      <c r="A387" t="s">
        <v>8471</v>
      </c>
      <c r="B387" t="s">
        <v>830</v>
      </c>
      <c r="C387" t="s">
        <v>8084</v>
      </c>
      <c r="D387">
        <v>52160.4</v>
      </c>
      <c r="E387" t="s">
        <v>1050</v>
      </c>
      <c r="F387" s="8">
        <v>45752</v>
      </c>
      <c r="G387">
        <v>10.94</v>
      </c>
      <c r="H387">
        <v>24</v>
      </c>
    </row>
    <row r="388" spans="1:8" x14ac:dyDescent="0.25">
      <c r="A388" t="s">
        <v>8472</v>
      </c>
      <c r="B388" t="s">
        <v>392</v>
      </c>
      <c r="C388" t="s">
        <v>22</v>
      </c>
      <c r="D388">
        <v>58235.17</v>
      </c>
      <c r="E388" t="s">
        <v>8087</v>
      </c>
      <c r="F388" s="8">
        <v>45775</v>
      </c>
      <c r="G388">
        <v>13.86</v>
      </c>
      <c r="H388">
        <v>24</v>
      </c>
    </row>
    <row r="389" spans="1:8" x14ac:dyDescent="0.25">
      <c r="A389" t="s">
        <v>8473</v>
      </c>
      <c r="B389" t="s">
        <v>1026</v>
      </c>
      <c r="C389" t="s">
        <v>8084</v>
      </c>
      <c r="D389">
        <v>25990.48</v>
      </c>
      <c r="E389" t="s">
        <v>1050</v>
      </c>
      <c r="F389" s="8">
        <v>45731</v>
      </c>
      <c r="G389">
        <v>10.55</v>
      </c>
      <c r="H389">
        <v>12</v>
      </c>
    </row>
    <row r="390" spans="1:8" x14ac:dyDescent="0.25">
      <c r="A390" t="s">
        <v>8474</v>
      </c>
      <c r="B390" t="s">
        <v>584</v>
      </c>
      <c r="C390" t="s">
        <v>8084</v>
      </c>
      <c r="D390">
        <v>7867.02</v>
      </c>
      <c r="E390" t="s">
        <v>1050</v>
      </c>
      <c r="F390" s="8">
        <v>45694</v>
      </c>
      <c r="G390">
        <v>23.36</v>
      </c>
      <c r="H390">
        <v>12</v>
      </c>
    </row>
    <row r="391" spans="1:8" x14ac:dyDescent="0.25">
      <c r="A391" t="s">
        <v>8475</v>
      </c>
      <c r="B391" t="s">
        <v>251</v>
      </c>
      <c r="C391" t="s">
        <v>8081</v>
      </c>
      <c r="D391">
        <v>14903.24</v>
      </c>
      <c r="E391" t="s">
        <v>1050</v>
      </c>
      <c r="F391" s="8">
        <v>45987</v>
      </c>
      <c r="G391">
        <v>22.29</v>
      </c>
      <c r="H391">
        <v>12</v>
      </c>
    </row>
    <row r="392" spans="1:8" x14ac:dyDescent="0.25">
      <c r="A392" t="s">
        <v>8476</v>
      </c>
      <c r="B392" t="s">
        <v>633</v>
      </c>
      <c r="C392" t="s">
        <v>8084</v>
      </c>
      <c r="D392">
        <v>66916.33</v>
      </c>
      <c r="E392" t="s">
        <v>1050</v>
      </c>
      <c r="F392" s="8">
        <v>46083</v>
      </c>
      <c r="G392">
        <v>18.27</v>
      </c>
      <c r="H392">
        <v>48</v>
      </c>
    </row>
    <row r="393" spans="1:8" x14ac:dyDescent="0.25">
      <c r="A393" t="s">
        <v>8477</v>
      </c>
      <c r="B393" t="s">
        <v>1005</v>
      </c>
      <c r="C393" t="s">
        <v>8084</v>
      </c>
      <c r="D393">
        <v>22192.54</v>
      </c>
      <c r="E393" t="s">
        <v>8101</v>
      </c>
      <c r="F393" s="8">
        <v>45844</v>
      </c>
      <c r="G393">
        <v>27.51</v>
      </c>
      <c r="H393">
        <v>6</v>
      </c>
    </row>
    <row r="394" spans="1:8" x14ac:dyDescent="0.25">
      <c r="A394" t="s">
        <v>8478</v>
      </c>
      <c r="B394" t="s">
        <v>373</v>
      </c>
      <c r="C394" t="s">
        <v>8084</v>
      </c>
      <c r="D394">
        <v>12741.97</v>
      </c>
      <c r="E394" t="s">
        <v>1050</v>
      </c>
      <c r="F394" s="8">
        <v>46041</v>
      </c>
      <c r="G394">
        <v>25.64</v>
      </c>
      <c r="H394">
        <v>24</v>
      </c>
    </row>
    <row r="395" spans="1:8" x14ac:dyDescent="0.25">
      <c r="A395" t="s">
        <v>8479</v>
      </c>
      <c r="B395" t="s">
        <v>454</v>
      </c>
      <c r="C395" t="s">
        <v>8084</v>
      </c>
      <c r="D395">
        <v>11661.94</v>
      </c>
      <c r="E395" t="s">
        <v>1050</v>
      </c>
      <c r="F395" s="8">
        <v>46116</v>
      </c>
      <c r="G395">
        <v>25.01</v>
      </c>
      <c r="H395">
        <v>3</v>
      </c>
    </row>
    <row r="396" spans="1:8" x14ac:dyDescent="0.25">
      <c r="A396" t="s">
        <v>8480</v>
      </c>
      <c r="B396" t="s">
        <v>573</v>
      </c>
      <c r="C396" t="s">
        <v>8084</v>
      </c>
      <c r="D396">
        <v>7616.25</v>
      </c>
      <c r="E396" t="s">
        <v>8087</v>
      </c>
      <c r="F396" s="8">
        <v>45966</v>
      </c>
      <c r="G396">
        <v>18.41</v>
      </c>
      <c r="H396">
        <v>12</v>
      </c>
    </row>
    <row r="397" spans="1:8" x14ac:dyDescent="0.25">
      <c r="A397" t="s">
        <v>8481</v>
      </c>
      <c r="B397" t="s">
        <v>577</v>
      </c>
      <c r="C397" t="s">
        <v>8084</v>
      </c>
      <c r="D397">
        <v>37626.67</v>
      </c>
      <c r="E397" t="s">
        <v>1050</v>
      </c>
      <c r="F397" s="8">
        <v>46083</v>
      </c>
      <c r="G397">
        <v>18.18</v>
      </c>
      <c r="H397">
        <v>12</v>
      </c>
    </row>
    <row r="398" spans="1:8" x14ac:dyDescent="0.25">
      <c r="A398" t="s">
        <v>8482</v>
      </c>
      <c r="B398" t="s">
        <v>849</v>
      </c>
      <c r="C398" t="s">
        <v>8084</v>
      </c>
      <c r="D398">
        <v>12564.69</v>
      </c>
      <c r="E398" t="s">
        <v>1050</v>
      </c>
      <c r="F398" s="8">
        <v>46049</v>
      </c>
      <c r="G398">
        <v>31.84</v>
      </c>
      <c r="H398">
        <v>6</v>
      </c>
    </row>
    <row r="399" spans="1:8" x14ac:dyDescent="0.25">
      <c r="A399" t="s">
        <v>8483</v>
      </c>
      <c r="B399" t="s">
        <v>742</v>
      </c>
      <c r="C399" t="s">
        <v>8081</v>
      </c>
      <c r="D399">
        <v>8215.34</v>
      </c>
      <c r="E399" t="s">
        <v>1050</v>
      </c>
      <c r="F399" s="8">
        <v>45988</v>
      </c>
      <c r="G399">
        <v>23.6</v>
      </c>
      <c r="H399">
        <v>6</v>
      </c>
    </row>
    <row r="400" spans="1:8" x14ac:dyDescent="0.25">
      <c r="A400" t="s">
        <v>8484</v>
      </c>
      <c r="B400" t="s">
        <v>93</v>
      </c>
      <c r="C400" t="s">
        <v>8084</v>
      </c>
      <c r="D400">
        <v>8992.0400000000009</v>
      </c>
      <c r="E400" t="s">
        <v>8087</v>
      </c>
      <c r="F400" s="8">
        <v>46065</v>
      </c>
      <c r="G400">
        <v>16.809999999999999</v>
      </c>
      <c r="H400">
        <v>12</v>
      </c>
    </row>
    <row r="401" spans="1:8" x14ac:dyDescent="0.25">
      <c r="A401" t="s">
        <v>8485</v>
      </c>
      <c r="B401" t="s">
        <v>874</v>
      </c>
      <c r="C401" t="s">
        <v>8081</v>
      </c>
      <c r="D401">
        <v>2236.3200000000002</v>
      </c>
      <c r="E401" t="s">
        <v>8105</v>
      </c>
      <c r="F401" s="8">
        <v>45964</v>
      </c>
      <c r="G401">
        <v>23.58</v>
      </c>
      <c r="H401">
        <v>6</v>
      </c>
    </row>
    <row r="402" spans="1:8" x14ac:dyDescent="0.25">
      <c r="A402" t="s">
        <v>8486</v>
      </c>
      <c r="B402" t="s">
        <v>503</v>
      </c>
      <c r="C402" t="s">
        <v>8081</v>
      </c>
      <c r="D402">
        <v>31726.11</v>
      </c>
      <c r="E402" t="s">
        <v>8087</v>
      </c>
      <c r="F402" s="8">
        <v>45728</v>
      </c>
      <c r="G402">
        <v>16.670000000000002</v>
      </c>
      <c r="H402">
        <v>12</v>
      </c>
    </row>
    <row r="403" spans="1:8" x14ac:dyDescent="0.25">
      <c r="A403" t="s">
        <v>8487</v>
      </c>
      <c r="B403" t="s">
        <v>749</v>
      </c>
      <c r="C403" t="s">
        <v>8084</v>
      </c>
      <c r="D403">
        <v>14914.51</v>
      </c>
      <c r="E403" t="s">
        <v>8101</v>
      </c>
      <c r="F403" s="8">
        <v>46101</v>
      </c>
      <c r="G403">
        <v>14.63</v>
      </c>
      <c r="H403">
        <v>3</v>
      </c>
    </row>
    <row r="404" spans="1:8" x14ac:dyDescent="0.25">
      <c r="A404" t="s">
        <v>8488</v>
      </c>
      <c r="B404" t="s">
        <v>95</v>
      </c>
      <c r="C404" t="s">
        <v>8084</v>
      </c>
      <c r="D404">
        <v>6748.28</v>
      </c>
      <c r="E404" t="s">
        <v>8087</v>
      </c>
      <c r="F404" s="8">
        <v>45806</v>
      </c>
      <c r="G404">
        <v>17.05</v>
      </c>
      <c r="H404">
        <v>12</v>
      </c>
    </row>
    <row r="405" spans="1:8" x14ac:dyDescent="0.25">
      <c r="A405" t="s">
        <v>8489</v>
      </c>
      <c r="B405" t="s">
        <v>888</v>
      </c>
      <c r="C405" t="s">
        <v>8084</v>
      </c>
      <c r="D405">
        <v>54705.57</v>
      </c>
      <c r="E405" t="s">
        <v>8101</v>
      </c>
      <c r="F405" s="8">
        <v>46094</v>
      </c>
      <c r="G405">
        <v>25.72</v>
      </c>
      <c r="H405">
        <v>24</v>
      </c>
    </row>
    <row r="406" spans="1:8" x14ac:dyDescent="0.25">
      <c r="A406" t="s">
        <v>8490</v>
      </c>
      <c r="B406" t="s">
        <v>539</v>
      </c>
      <c r="C406" t="s">
        <v>22</v>
      </c>
      <c r="D406">
        <v>18717.439999999999</v>
      </c>
      <c r="E406" t="s">
        <v>1050</v>
      </c>
      <c r="F406" s="8">
        <v>45919</v>
      </c>
      <c r="G406">
        <v>22.9</v>
      </c>
      <c r="H406">
        <v>24</v>
      </c>
    </row>
    <row r="407" spans="1:8" x14ac:dyDescent="0.25">
      <c r="A407" t="s">
        <v>8491</v>
      </c>
      <c r="B407" t="s">
        <v>835</v>
      </c>
      <c r="C407" t="s">
        <v>22</v>
      </c>
      <c r="D407">
        <v>3001.36</v>
      </c>
      <c r="E407" t="s">
        <v>1050</v>
      </c>
      <c r="F407" s="8">
        <v>46014</v>
      </c>
      <c r="G407">
        <v>14.11</v>
      </c>
      <c r="H407">
        <v>36</v>
      </c>
    </row>
    <row r="408" spans="1:8" x14ac:dyDescent="0.25">
      <c r="A408" t="s">
        <v>8492</v>
      </c>
      <c r="B408" t="s">
        <v>847</v>
      </c>
      <c r="C408" t="s">
        <v>22</v>
      </c>
      <c r="D408">
        <v>32126.880000000001</v>
      </c>
      <c r="E408" t="s">
        <v>1050</v>
      </c>
      <c r="F408" s="8">
        <v>45962</v>
      </c>
      <c r="G408">
        <v>32.700000000000003</v>
      </c>
      <c r="H408">
        <v>12</v>
      </c>
    </row>
    <row r="409" spans="1:8" x14ac:dyDescent="0.25">
      <c r="A409" t="s">
        <v>8493</v>
      </c>
      <c r="B409" t="s">
        <v>89</v>
      </c>
      <c r="C409" t="s">
        <v>22</v>
      </c>
      <c r="D409">
        <v>8033.65</v>
      </c>
      <c r="E409" t="s">
        <v>1050</v>
      </c>
      <c r="F409" s="8">
        <v>46200</v>
      </c>
      <c r="G409">
        <v>22.46</v>
      </c>
      <c r="H409">
        <v>48</v>
      </c>
    </row>
    <row r="410" spans="1:8" x14ac:dyDescent="0.25">
      <c r="A410" t="s">
        <v>8494</v>
      </c>
      <c r="B410" t="s">
        <v>1025</v>
      </c>
      <c r="C410" t="s">
        <v>8084</v>
      </c>
      <c r="D410">
        <v>29037.69</v>
      </c>
      <c r="E410" t="s">
        <v>8087</v>
      </c>
      <c r="F410" s="8">
        <v>45812</v>
      </c>
      <c r="G410">
        <v>29.84</v>
      </c>
      <c r="H410">
        <v>12</v>
      </c>
    </row>
    <row r="411" spans="1:8" x14ac:dyDescent="0.25">
      <c r="A411" t="s">
        <v>8495</v>
      </c>
      <c r="B411" t="s">
        <v>84</v>
      </c>
      <c r="C411" t="s">
        <v>8081</v>
      </c>
      <c r="D411">
        <v>27013.53</v>
      </c>
      <c r="E411" t="s">
        <v>1050</v>
      </c>
      <c r="F411" s="8">
        <v>45773</v>
      </c>
      <c r="G411">
        <v>18.27</v>
      </c>
      <c r="H411">
        <v>6</v>
      </c>
    </row>
    <row r="412" spans="1:8" x14ac:dyDescent="0.25">
      <c r="A412" t="s">
        <v>8496</v>
      </c>
      <c r="B412" t="s">
        <v>927</v>
      </c>
      <c r="C412" t="s">
        <v>8084</v>
      </c>
      <c r="D412">
        <v>20128.5</v>
      </c>
      <c r="E412" t="s">
        <v>8087</v>
      </c>
      <c r="F412" s="8">
        <v>45708</v>
      </c>
      <c r="G412">
        <v>33.94</v>
      </c>
      <c r="H412">
        <v>36</v>
      </c>
    </row>
    <row r="413" spans="1:8" x14ac:dyDescent="0.25">
      <c r="A413" t="s">
        <v>8497</v>
      </c>
      <c r="B413" t="s">
        <v>689</v>
      </c>
      <c r="C413" t="s">
        <v>8124</v>
      </c>
      <c r="D413">
        <v>6625.18</v>
      </c>
      <c r="E413" t="s">
        <v>1050</v>
      </c>
      <c r="F413" s="8">
        <v>45729</v>
      </c>
      <c r="G413">
        <v>28.8</v>
      </c>
      <c r="H413">
        <v>24</v>
      </c>
    </row>
    <row r="414" spans="1:8" x14ac:dyDescent="0.25">
      <c r="A414" t="s">
        <v>8498</v>
      </c>
      <c r="B414" t="s">
        <v>679</v>
      </c>
      <c r="C414" t="s">
        <v>8084</v>
      </c>
      <c r="D414">
        <v>6727.08</v>
      </c>
      <c r="E414" t="s">
        <v>1050</v>
      </c>
      <c r="F414" s="8">
        <v>45800</v>
      </c>
      <c r="G414">
        <v>21.36</v>
      </c>
      <c r="H414">
        <v>12</v>
      </c>
    </row>
    <row r="415" spans="1:8" x14ac:dyDescent="0.25">
      <c r="A415" t="s">
        <v>8499</v>
      </c>
      <c r="B415" t="s">
        <v>771</v>
      </c>
      <c r="C415" t="s">
        <v>8084</v>
      </c>
      <c r="D415">
        <v>17341.87</v>
      </c>
      <c r="E415" t="s">
        <v>1050</v>
      </c>
      <c r="F415" s="8">
        <v>45824</v>
      </c>
      <c r="G415">
        <v>32.56</v>
      </c>
      <c r="H415">
        <v>36</v>
      </c>
    </row>
    <row r="416" spans="1:8" x14ac:dyDescent="0.25">
      <c r="A416" t="s">
        <v>8500</v>
      </c>
      <c r="B416" t="s">
        <v>312</v>
      </c>
      <c r="C416" t="s">
        <v>8081</v>
      </c>
      <c r="D416">
        <v>8492.17</v>
      </c>
      <c r="E416" t="s">
        <v>1050</v>
      </c>
      <c r="F416" s="8">
        <v>45727</v>
      </c>
      <c r="G416">
        <v>27.94</v>
      </c>
      <c r="H416">
        <v>24</v>
      </c>
    </row>
    <row r="417" spans="1:8" x14ac:dyDescent="0.25">
      <c r="A417" t="s">
        <v>8501</v>
      </c>
      <c r="B417" t="s">
        <v>956</v>
      </c>
      <c r="C417" t="s">
        <v>22</v>
      </c>
      <c r="D417">
        <v>47832.52</v>
      </c>
      <c r="E417" t="s">
        <v>8101</v>
      </c>
      <c r="F417" s="8">
        <v>46153</v>
      </c>
      <c r="G417">
        <v>20.76</v>
      </c>
      <c r="H417">
        <v>36</v>
      </c>
    </row>
    <row r="418" spans="1:8" x14ac:dyDescent="0.25">
      <c r="A418" t="s">
        <v>8502</v>
      </c>
      <c r="B418" t="s">
        <v>822</v>
      </c>
      <c r="C418" t="s">
        <v>8081</v>
      </c>
      <c r="D418">
        <v>16627.7</v>
      </c>
      <c r="E418" t="s">
        <v>8087</v>
      </c>
      <c r="F418" s="8">
        <v>46177</v>
      </c>
      <c r="G418">
        <v>34.35</v>
      </c>
      <c r="H418">
        <v>12</v>
      </c>
    </row>
    <row r="419" spans="1:8" x14ac:dyDescent="0.25">
      <c r="A419" t="s">
        <v>8503</v>
      </c>
      <c r="B419" t="s">
        <v>725</v>
      </c>
      <c r="C419" t="s">
        <v>8084</v>
      </c>
      <c r="D419">
        <v>8071.62</v>
      </c>
      <c r="E419" t="s">
        <v>8087</v>
      </c>
      <c r="F419" s="8">
        <v>45820</v>
      </c>
      <c r="G419">
        <v>17.46</v>
      </c>
      <c r="H419">
        <v>36</v>
      </c>
    </row>
    <row r="420" spans="1:8" x14ac:dyDescent="0.25">
      <c r="A420" t="s">
        <v>8504</v>
      </c>
      <c r="B420" t="s">
        <v>931</v>
      </c>
      <c r="C420" t="s">
        <v>8081</v>
      </c>
      <c r="D420">
        <v>40088.54</v>
      </c>
      <c r="E420" t="s">
        <v>1050</v>
      </c>
      <c r="F420" s="8">
        <v>46232</v>
      </c>
      <c r="G420">
        <v>16.41</v>
      </c>
      <c r="H420">
        <v>24</v>
      </c>
    </row>
    <row r="421" spans="1:8" x14ac:dyDescent="0.25">
      <c r="A421" t="s">
        <v>8505</v>
      </c>
      <c r="B421" t="s">
        <v>767</v>
      </c>
      <c r="C421" t="s">
        <v>8124</v>
      </c>
      <c r="D421">
        <v>3910.47</v>
      </c>
      <c r="E421" t="s">
        <v>1050</v>
      </c>
      <c r="F421" s="8">
        <v>45944</v>
      </c>
      <c r="G421">
        <v>32.369999999999997</v>
      </c>
      <c r="H421">
        <v>24</v>
      </c>
    </row>
    <row r="422" spans="1:8" x14ac:dyDescent="0.25">
      <c r="A422" t="s">
        <v>8506</v>
      </c>
      <c r="B422" t="s">
        <v>90</v>
      </c>
      <c r="C422" t="s">
        <v>8084</v>
      </c>
      <c r="D422">
        <v>16228.64</v>
      </c>
      <c r="E422" t="s">
        <v>1050</v>
      </c>
      <c r="F422" s="8">
        <v>45891</v>
      </c>
      <c r="G422">
        <v>27.68</v>
      </c>
      <c r="H422">
        <v>12</v>
      </c>
    </row>
    <row r="423" spans="1:8" x14ac:dyDescent="0.25">
      <c r="A423" t="s">
        <v>8507</v>
      </c>
      <c r="B423" t="s">
        <v>832</v>
      </c>
      <c r="C423" t="s">
        <v>8084</v>
      </c>
      <c r="D423">
        <v>28139.71</v>
      </c>
      <c r="E423" t="s">
        <v>8087</v>
      </c>
      <c r="F423" s="8">
        <v>46001</v>
      </c>
      <c r="G423">
        <v>18.64</v>
      </c>
      <c r="H423">
        <v>12</v>
      </c>
    </row>
    <row r="424" spans="1:8" x14ac:dyDescent="0.25">
      <c r="A424" t="s">
        <v>8508</v>
      </c>
      <c r="B424" t="s">
        <v>296</v>
      </c>
      <c r="C424" t="s">
        <v>22</v>
      </c>
      <c r="D424">
        <v>7917.41</v>
      </c>
      <c r="E424" t="s">
        <v>1050</v>
      </c>
      <c r="F424" s="8">
        <v>45910</v>
      </c>
      <c r="G424">
        <v>15.8</v>
      </c>
      <c r="H424">
        <v>12</v>
      </c>
    </row>
    <row r="425" spans="1:8" x14ac:dyDescent="0.25">
      <c r="A425" t="s">
        <v>8509</v>
      </c>
      <c r="B425" t="s">
        <v>628</v>
      </c>
      <c r="C425" t="s">
        <v>8124</v>
      </c>
      <c r="D425">
        <v>12759.87</v>
      </c>
      <c r="E425" t="s">
        <v>8087</v>
      </c>
      <c r="F425" s="8">
        <v>45914</v>
      </c>
      <c r="G425">
        <v>14.45</v>
      </c>
      <c r="H425">
        <v>24</v>
      </c>
    </row>
    <row r="426" spans="1:8" x14ac:dyDescent="0.25">
      <c r="A426" t="s">
        <v>8510</v>
      </c>
      <c r="B426" t="s">
        <v>654</v>
      </c>
      <c r="C426" t="s">
        <v>22</v>
      </c>
      <c r="D426">
        <v>10514.2</v>
      </c>
      <c r="E426" t="s">
        <v>8087</v>
      </c>
      <c r="F426" s="8">
        <v>46163</v>
      </c>
      <c r="G426">
        <v>17.84</v>
      </c>
      <c r="H426">
        <v>24</v>
      </c>
    </row>
    <row r="427" spans="1:8" x14ac:dyDescent="0.25">
      <c r="A427" t="s">
        <v>8511</v>
      </c>
      <c r="B427" t="s">
        <v>13</v>
      </c>
      <c r="C427" t="s">
        <v>8124</v>
      </c>
      <c r="D427">
        <v>7335.19</v>
      </c>
      <c r="E427" t="s">
        <v>1050</v>
      </c>
      <c r="F427" s="8">
        <v>46128</v>
      </c>
      <c r="G427">
        <v>13.14</v>
      </c>
      <c r="H427">
        <v>12</v>
      </c>
    </row>
    <row r="428" spans="1:8" x14ac:dyDescent="0.25">
      <c r="A428" t="s">
        <v>8512</v>
      </c>
      <c r="B428" t="s">
        <v>855</v>
      </c>
      <c r="C428" t="s">
        <v>8084</v>
      </c>
      <c r="D428">
        <v>19171.330000000002</v>
      </c>
      <c r="E428" t="s">
        <v>8087</v>
      </c>
      <c r="F428" s="8">
        <v>45946</v>
      </c>
      <c r="G428">
        <v>13.63</v>
      </c>
      <c r="H428">
        <v>24</v>
      </c>
    </row>
    <row r="429" spans="1:8" x14ac:dyDescent="0.25">
      <c r="A429" t="s">
        <v>8513</v>
      </c>
      <c r="B429" t="s">
        <v>171</v>
      </c>
      <c r="C429" t="s">
        <v>8124</v>
      </c>
      <c r="D429">
        <v>35625.57</v>
      </c>
      <c r="E429" t="s">
        <v>8087</v>
      </c>
      <c r="F429" s="8">
        <v>46206</v>
      </c>
      <c r="G429">
        <v>29.42</v>
      </c>
      <c r="H429">
        <v>24</v>
      </c>
    </row>
    <row r="430" spans="1:8" x14ac:dyDescent="0.25">
      <c r="A430" t="s">
        <v>8514</v>
      </c>
      <c r="B430" t="s">
        <v>226</v>
      </c>
      <c r="C430" t="s">
        <v>8084</v>
      </c>
      <c r="D430">
        <v>89589.66</v>
      </c>
      <c r="E430" t="s">
        <v>1050</v>
      </c>
      <c r="F430" s="8">
        <v>46162</v>
      </c>
      <c r="G430">
        <v>11.59</v>
      </c>
      <c r="H430">
        <v>24</v>
      </c>
    </row>
    <row r="431" spans="1:8" x14ac:dyDescent="0.25">
      <c r="A431" t="s">
        <v>8515</v>
      </c>
      <c r="B431" t="s">
        <v>498</v>
      </c>
      <c r="C431" t="s">
        <v>8084</v>
      </c>
      <c r="D431">
        <v>33175.410000000003</v>
      </c>
      <c r="E431" t="s">
        <v>8087</v>
      </c>
      <c r="F431" s="8">
        <v>46180</v>
      </c>
      <c r="G431">
        <v>20.98</v>
      </c>
      <c r="H431">
        <v>12</v>
      </c>
    </row>
    <row r="432" spans="1:8" x14ac:dyDescent="0.25">
      <c r="A432" t="s">
        <v>8516</v>
      </c>
      <c r="B432" t="s">
        <v>450</v>
      </c>
      <c r="C432" t="s">
        <v>22</v>
      </c>
      <c r="D432">
        <v>14538.08</v>
      </c>
      <c r="E432" t="s">
        <v>8087</v>
      </c>
      <c r="F432" s="8">
        <v>45741</v>
      </c>
      <c r="G432">
        <v>20.12</v>
      </c>
      <c r="H432">
        <v>12</v>
      </c>
    </row>
    <row r="433" spans="1:8" x14ac:dyDescent="0.25">
      <c r="A433" t="s">
        <v>8517</v>
      </c>
      <c r="B433" t="s">
        <v>349</v>
      </c>
      <c r="C433" t="s">
        <v>22</v>
      </c>
      <c r="D433">
        <v>43990.12</v>
      </c>
      <c r="E433" t="s">
        <v>1050</v>
      </c>
      <c r="F433" s="8">
        <v>46216</v>
      </c>
      <c r="G433">
        <v>34</v>
      </c>
      <c r="H433">
        <v>24</v>
      </c>
    </row>
    <row r="434" spans="1:8" x14ac:dyDescent="0.25">
      <c r="A434" t="s">
        <v>8518</v>
      </c>
      <c r="B434" t="s">
        <v>526</v>
      </c>
      <c r="C434" t="s">
        <v>8084</v>
      </c>
      <c r="D434">
        <v>7307.79</v>
      </c>
      <c r="E434" t="s">
        <v>1050</v>
      </c>
      <c r="F434" s="8">
        <v>46002</v>
      </c>
      <c r="G434">
        <v>21.64</v>
      </c>
      <c r="H434">
        <v>36</v>
      </c>
    </row>
    <row r="435" spans="1:8" x14ac:dyDescent="0.25">
      <c r="A435" t="s">
        <v>8519</v>
      </c>
      <c r="B435" t="s">
        <v>884</v>
      </c>
      <c r="C435" t="s">
        <v>8124</v>
      </c>
      <c r="D435">
        <v>11742.48</v>
      </c>
      <c r="E435" t="s">
        <v>1050</v>
      </c>
      <c r="F435" s="8">
        <v>46036</v>
      </c>
      <c r="G435">
        <v>14.02</v>
      </c>
      <c r="H435">
        <v>12</v>
      </c>
    </row>
    <row r="436" spans="1:8" x14ac:dyDescent="0.25">
      <c r="A436" t="s">
        <v>8520</v>
      </c>
      <c r="B436" t="s">
        <v>1027</v>
      </c>
      <c r="C436" t="s">
        <v>8124</v>
      </c>
      <c r="D436">
        <v>38642.32</v>
      </c>
      <c r="E436" t="s">
        <v>8101</v>
      </c>
      <c r="F436" s="8">
        <v>45789</v>
      </c>
      <c r="G436">
        <v>12.21</v>
      </c>
      <c r="H436">
        <v>48</v>
      </c>
    </row>
    <row r="437" spans="1:8" x14ac:dyDescent="0.25">
      <c r="A437" t="s">
        <v>8521</v>
      </c>
      <c r="B437" t="s">
        <v>997</v>
      </c>
      <c r="C437" t="s">
        <v>8081</v>
      </c>
      <c r="D437">
        <v>10652.59</v>
      </c>
      <c r="E437" t="s">
        <v>1050</v>
      </c>
      <c r="F437" s="8">
        <v>45868</v>
      </c>
      <c r="G437">
        <v>28.31</v>
      </c>
      <c r="H437">
        <v>6</v>
      </c>
    </row>
    <row r="438" spans="1:8" x14ac:dyDescent="0.25">
      <c r="A438" t="s">
        <v>8522</v>
      </c>
      <c r="B438" t="s">
        <v>109</v>
      </c>
      <c r="C438" t="s">
        <v>8084</v>
      </c>
      <c r="D438">
        <v>18886.71</v>
      </c>
      <c r="E438" t="s">
        <v>1050</v>
      </c>
      <c r="F438" s="8">
        <v>46252</v>
      </c>
      <c r="G438">
        <v>13.69</v>
      </c>
      <c r="H438">
        <v>6</v>
      </c>
    </row>
    <row r="439" spans="1:8" x14ac:dyDescent="0.25">
      <c r="A439" t="s">
        <v>8523</v>
      </c>
      <c r="B439" t="s">
        <v>270</v>
      </c>
      <c r="C439" t="s">
        <v>8084</v>
      </c>
      <c r="D439">
        <v>10291.74</v>
      </c>
      <c r="E439" t="s">
        <v>1050</v>
      </c>
      <c r="F439" s="8">
        <v>45734</v>
      </c>
      <c r="G439">
        <v>33.450000000000003</v>
      </c>
      <c r="H439">
        <v>12</v>
      </c>
    </row>
    <row r="440" spans="1:8" x14ac:dyDescent="0.25">
      <c r="A440" t="s">
        <v>8524</v>
      </c>
      <c r="B440" t="s">
        <v>922</v>
      </c>
      <c r="C440" t="s">
        <v>22</v>
      </c>
      <c r="D440">
        <v>15176.3</v>
      </c>
      <c r="E440" t="s">
        <v>1050</v>
      </c>
      <c r="F440" s="8">
        <v>45797</v>
      </c>
      <c r="G440">
        <v>23.98</v>
      </c>
      <c r="H440">
        <v>12</v>
      </c>
    </row>
    <row r="441" spans="1:8" x14ac:dyDescent="0.25">
      <c r="A441" t="s">
        <v>8525</v>
      </c>
      <c r="B441" t="s">
        <v>68</v>
      </c>
      <c r="C441" t="s">
        <v>8081</v>
      </c>
      <c r="D441">
        <v>17062.07</v>
      </c>
      <c r="E441" t="s">
        <v>1050</v>
      </c>
      <c r="F441" s="8">
        <v>45785</v>
      </c>
      <c r="G441">
        <v>20.04</v>
      </c>
      <c r="H441">
        <v>12</v>
      </c>
    </row>
    <row r="442" spans="1:8" x14ac:dyDescent="0.25">
      <c r="A442" t="s">
        <v>8526</v>
      </c>
      <c r="B442" t="s">
        <v>964</v>
      </c>
      <c r="C442" t="s">
        <v>8084</v>
      </c>
      <c r="D442">
        <v>26293.29</v>
      </c>
      <c r="E442" t="s">
        <v>1050</v>
      </c>
      <c r="F442" s="8">
        <v>45723</v>
      </c>
      <c r="G442">
        <v>27.11</v>
      </c>
      <c r="H442">
        <v>12</v>
      </c>
    </row>
    <row r="443" spans="1:8" x14ac:dyDescent="0.25">
      <c r="A443" t="s">
        <v>8527</v>
      </c>
      <c r="B443" t="s">
        <v>210</v>
      </c>
      <c r="C443" t="s">
        <v>22</v>
      </c>
      <c r="D443">
        <v>20590.05</v>
      </c>
      <c r="E443" t="s">
        <v>1050</v>
      </c>
      <c r="F443" s="8">
        <v>46224</v>
      </c>
      <c r="G443">
        <v>14.97</v>
      </c>
      <c r="H443">
        <v>12</v>
      </c>
    </row>
    <row r="444" spans="1:8" x14ac:dyDescent="0.25">
      <c r="A444" t="s">
        <v>8528</v>
      </c>
      <c r="B444" t="s">
        <v>1016</v>
      </c>
      <c r="C444" t="s">
        <v>22</v>
      </c>
      <c r="D444">
        <v>31952.11</v>
      </c>
      <c r="E444" t="s">
        <v>8087</v>
      </c>
      <c r="F444" s="8">
        <v>45804</v>
      </c>
      <c r="G444">
        <v>19.559999999999999</v>
      </c>
      <c r="H444">
        <v>12</v>
      </c>
    </row>
    <row r="445" spans="1:8" x14ac:dyDescent="0.25">
      <c r="A445" t="s">
        <v>8529</v>
      </c>
      <c r="B445" t="s">
        <v>746</v>
      </c>
      <c r="C445" t="s">
        <v>8081</v>
      </c>
      <c r="D445">
        <v>24678.73</v>
      </c>
      <c r="E445" t="s">
        <v>8105</v>
      </c>
      <c r="F445" s="8">
        <v>45724</v>
      </c>
      <c r="G445">
        <v>10.84</v>
      </c>
      <c r="H445">
        <v>6</v>
      </c>
    </row>
    <row r="446" spans="1:8" x14ac:dyDescent="0.25">
      <c r="A446" t="s">
        <v>8530</v>
      </c>
      <c r="B446" t="s">
        <v>810</v>
      </c>
      <c r="C446" t="s">
        <v>8084</v>
      </c>
      <c r="D446">
        <v>15369.06</v>
      </c>
      <c r="E446" t="s">
        <v>1050</v>
      </c>
      <c r="F446" s="8">
        <v>46129</v>
      </c>
      <c r="G446">
        <v>31.94</v>
      </c>
      <c r="H446">
        <v>48</v>
      </c>
    </row>
    <row r="447" spans="1:8" x14ac:dyDescent="0.25">
      <c r="A447" t="s">
        <v>8531</v>
      </c>
      <c r="B447" t="s">
        <v>514</v>
      </c>
      <c r="C447" t="s">
        <v>22</v>
      </c>
      <c r="D447">
        <v>11076.38</v>
      </c>
      <c r="E447" t="s">
        <v>8105</v>
      </c>
      <c r="F447" s="8">
        <v>45808</v>
      </c>
      <c r="G447">
        <v>20.63</v>
      </c>
      <c r="H447">
        <v>36</v>
      </c>
    </row>
    <row r="448" spans="1:8" x14ac:dyDescent="0.25">
      <c r="A448" t="s">
        <v>8532</v>
      </c>
      <c r="B448" t="s">
        <v>567</v>
      </c>
      <c r="C448" t="s">
        <v>8084</v>
      </c>
      <c r="D448">
        <v>8676.1299999999992</v>
      </c>
      <c r="E448" t="s">
        <v>1050</v>
      </c>
      <c r="F448" s="8">
        <v>45661</v>
      </c>
      <c r="G448">
        <v>28.97</v>
      </c>
      <c r="H448">
        <v>36</v>
      </c>
    </row>
    <row r="449" spans="1:8" x14ac:dyDescent="0.25">
      <c r="A449" t="s">
        <v>8533</v>
      </c>
      <c r="B449" t="s">
        <v>413</v>
      </c>
      <c r="C449" t="s">
        <v>8084</v>
      </c>
      <c r="D449">
        <v>2034.3</v>
      </c>
      <c r="E449" t="s">
        <v>8087</v>
      </c>
      <c r="F449" s="8">
        <v>45675</v>
      </c>
      <c r="G449">
        <v>32.92</v>
      </c>
      <c r="H449">
        <v>12</v>
      </c>
    </row>
    <row r="450" spans="1:8" x14ac:dyDescent="0.25">
      <c r="A450" t="s">
        <v>8534</v>
      </c>
      <c r="B450" t="s">
        <v>165</v>
      </c>
      <c r="C450" t="s">
        <v>8124</v>
      </c>
      <c r="D450">
        <v>16447.52</v>
      </c>
      <c r="E450" t="s">
        <v>1050</v>
      </c>
      <c r="F450" s="8">
        <v>46181</v>
      </c>
      <c r="G450">
        <v>26.32</v>
      </c>
      <c r="H450">
        <v>12</v>
      </c>
    </row>
    <row r="451" spans="1:8" x14ac:dyDescent="0.25">
      <c r="A451" t="s">
        <v>8535</v>
      </c>
      <c r="B451" t="s">
        <v>113</v>
      </c>
      <c r="C451" t="s">
        <v>8084</v>
      </c>
      <c r="D451">
        <v>7226.86</v>
      </c>
      <c r="E451" t="s">
        <v>1050</v>
      </c>
      <c r="F451" s="8">
        <v>45913</v>
      </c>
      <c r="G451">
        <v>19.39</v>
      </c>
      <c r="H451">
        <v>48</v>
      </c>
    </row>
  </sheetData>
  <autoFilter ref="A1:H451"/>
  <pageMargins left="0.75" right="0.75" top="1" bottom="1" header="0.5" footer="0.5"/>
  <ignoredErrors>
    <ignoredError sqref="M19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2" sqref="B2:B11"/>
    </sheetView>
  </sheetViews>
  <sheetFormatPr defaultRowHeight="15" x14ac:dyDescent="0.25"/>
  <cols>
    <col min="1" max="1" width="10.85546875" customWidth="1"/>
    <col min="2" max="2" width="12.7109375" customWidth="1"/>
  </cols>
  <sheetData>
    <row r="1" spans="1:4" x14ac:dyDescent="0.25">
      <c r="A1" s="1" t="s">
        <v>5</v>
      </c>
      <c r="B1" s="1" t="s">
        <v>8536</v>
      </c>
      <c r="C1" s="1" t="s">
        <v>3</v>
      </c>
      <c r="D1" s="1" t="s">
        <v>4</v>
      </c>
    </row>
    <row r="2" spans="1:4" x14ac:dyDescent="0.25">
      <c r="A2" t="s">
        <v>29</v>
      </c>
      <c r="B2" t="s">
        <v>8537</v>
      </c>
      <c r="C2" t="s">
        <v>10</v>
      </c>
      <c r="D2" t="s">
        <v>10</v>
      </c>
    </row>
    <row r="3" spans="1:4" x14ac:dyDescent="0.25">
      <c r="A3" t="s">
        <v>47</v>
      </c>
      <c r="B3" t="s">
        <v>8538</v>
      </c>
      <c r="C3" t="s">
        <v>10</v>
      </c>
      <c r="D3" t="s">
        <v>10</v>
      </c>
    </row>
    <row r="4" spans="1:4" x14ac:dyDescent="0.25">
      <c r="A4" t="s">
        <v>11</v>
      </c>
      <c r="B4" t="s">
        <v>8539</v>
      </c>
      <c r="C4" t="s">
        <v>10</v>
      </c>
      <c r="D4" t="s">
        <v>10</v>
      </c>
    </row>
    <row r="5" spans="1:4" x14ac:dyDescent="0.25">
      <c r="A5" t="s">
        <v>53</v>
      </c>
      <c r="B5" t="s">
        <v>8540</v>
      </c>
      <c r="C5" t="s">
        <v>10</v>
      </c>
      <c r="D5" t="s">
        <v>10</v>
      </c>
    </row>
    <row r="6" spans="1:4" x14ac:dyDescent="0.25">
      <c r="A6" t="s">
        <v>27</v>
      </c>
      <c r="B6" t="s">
        <v>26</v>
      </c>
      <c r="C6" t="s">
        <v>25</v>
      </c>
      <c r="D6" t="s">
        <v>26</v>
      </c>
    </row>
    <row r="7" spans="1:4" x14ac:dyDescent="0.25">
      <c r="A7" t="s">
        <v>39</v>
      </c>
      <c r="B7" t="s">
        <v>38</v>
      </c>
      <c r="C7" t="s">
        <v>25</v>
      </c>
      <c r="D7" t="s">
        <v>38</v>
      </c>
    </row>
    <row r="8" spans="1:4" x14ac:dyDescent="0.25">
      <c r="A8" t="s">
        <v>21</v>
      </c>
      <c r="B8" t="s">
        <v>20</v>
      </c>
      <c r="C8" t="s">
        <v>19</v>
      </c>
      <c r="D8" t="s">
        <v>20</v>
      </c>
    </row>
    <row r="9" spans="1:4" x14ac:dyDescent="0.25">
      <c r="A9" t="s">
        <v>45</v>
      </c>
      <c r="B9" t="s">
        <v>44</v>
      </c>
      <c r="C9" t="s">
        <v>43</v>
      </c>
      <c r="D9" t="s">
        <v>44</v>
      </c>
    </row>
    <row r="10" spans="1:4" x14ac:dyDescent="0.25">
      <c r="A10" t="s">
        <v>35</v>
      </c>
      <c r="B10" t="s">
        <v>34</v>
      </c>
      <c r="C10" t="s">
        <v>33</v>
      </c>
      <c r="D10" t="s">
        <v>34</v>
      </c>
    </row>
    <row r="11" spans="1:4" x14ac:dyDescent="0.25">
      <c r="A11" t="s">
        <v>16</v>
      </c>
      <c r="B11" t="s">
        <v>15</v>
      </c>
      <c r="C11" t="s">
        <v>14</v>
      </c>
      <c r="D11" t="s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selection activeCell="H28" sqref="H28"/>
    </sheetView>
  </sheetViews>
  <sheetFormatPr defaultRowHeight="15" x14ac:dyDescent="0.25"/>
  <cols>
    <col min="1" max="1" width="21.85546875" customWidth="1"/>
    <col min="2" max="2" width="15" customWidth="1"/>
    <col min="3" max="3" width="20.28515625" customWidth="1"/>
    <col min="4" max="4" width="19.85546875" customWidth="1"/>
  </cols>
  <sheetData>
    <row r="1" spans="1:5" x14ac:dyDescent="0.25">
      <c r="A1" s="9" t="s">
        <v>8569</v>
      </c>
      <c r="B1" s="9" t="s">
        <v>8570</v>
      </c>
      <c r="C1" s="9" t="s">
        <v>8571</v>
      </c>
      <c r="D1" s="9" t="s">
        <v>8572</v>
      </c>
      <c r="E1" s="9" t="s">
        <v>8573</v>
      </c>
    </row>
    <row r="2" spans="1:5" x14ac:dyDescent="0.25">
      <c r="A2" s="11" t="s">
        <v>8545</v>
      </c>
      <c r="B2" s="10" t="s">
        <v>0</v>
      </c>
      <c r="C2" s="10" t="s">
        <v>8574</v>
      </c>
      <c r="D2" s="10" t="s">
        <v>8588</v>
      </c>
      <c r="E2" s="10" t="s">
        <v>8587</v>
      </c>
    </row>
    <row r="3" spans="1:5" x14ac:dyDescent="0.25">
      <c r="A3" s="11" t="s">
        <v>8545</v>
      </c>
      <c r="B3" s="10" t="s">
        <v>2</v>
      </c>
      <c r="C3" s="10" t="s">
        <v>8575</v>
      </c>
      <c r="D3" s="10" t="s">
        <v>8589</v>
      </c>
      <c r="E3" s="10" t="s">
        <v>8590</v>
      </c>
    </row>
    <row r="4" spans="1:5" ht="46.5" x14ac:dyDescent="0.25">
      <c r="A4" s="11" t="s">
        <v>8545</v>
      </c>
      <c r="B4" s="10" t="s">
        <v>3</v>
      </c>
      <c r="C4" s="10" t="s">
        <v>8576</v>
      </c>
      <c r="D4" s="12" t="s">
        <v>8591</v>
      </c>
      <c r="E4" s="10" t="s">
        <v>8590</v>
      </c>
    </row>
    <row r="5" spans="1:5" x14ac:dyDescent="0.25">
      <c r="A5" s="11" t="s">
        <v>8545</v>
      </c>
      <c r="B5" s="10" t="s">
        <v>1</v>
      </c>
      <c r="C5" s="10" t="s">
        <v>8577</v>
      </c>
      <c r="D5" s="10" t="s">
        <v>8592</v>
      </c>
      <c r="E5" s="10" t="s">
        <v>8587</v>
      </c>
    </row>
    <row r="6" spans="1:5" x14ac:dyDescent="0.25">
      <c r="A6" s="11" t="s">
        <v>8545</v>
      </c>
      <c r="B6" s="10" t="s">
        <v>4</v>
      </c>
      <c r="C6" s="10" t="s">
        <v>8576</v>
      </c>
      <c r="D6" s="10" t="s">
        <v>8593</v>
      </c>
      <c r="E6" s="10" t="s">
        <v>8587</v>
      </c>
    </row>
    <row r="7" spans="1:5" ht="30" x14ac:dyDescent="0.25">
      <c r="A7" s="11" t="s">
        <v>8545</v>
      </c>
      <c r="B7" s="10" t="s">
        <v>5</v>
      </c>
      <c r="C7" s="10" t="s">
        <v>8594</v>
      </c>
      <c r="D7" s="10" t="s">
        <v>8595</v>
      </c>
      <c r="E7" s="10" t="s">
        <v>8587</v>
      </c>
    </row>
    <row r="8" spans="1:5" ht="30" x14ac:dyDescent="0.25">
      <c r="A8" s="11" t="s">
        <v>8545</v>
      </c>
      <c r="B8" s="10" t="s">
        <v>6</v>
      </c>
      <c r="C8" s="10" t="s">
        <v>8576</v>
      </c>
      <c r="D8" s="10" t="s">
        <v>8593</v>
      </c>
      <c r="E8" s="10" t="s">
        <v>8587</v>
      </c>
    </row>
    <row r="9" spans="1:5" x14ac:dyDescent="0.25">
      <c r="A9" s="11" t="s">
        <v>8545</v>
      </c>
      <c r="B9" s="10" t="s">
        <v>7</v>
      </c>
      <c r="C9" s="10" t="s">
        <v>8596</v>
      </c>
      <c r="D9" s="10" t="s">
        <v>8593</v>
      </c>
      <c r="E9" s="10" t="s">
        <v>8587</v>
      </c>
    </row>
    <row r="10" spans="1:5" x14ac:dyDescent="0.25">
      <c r="A10" s="11" t="s">
        <v>8597</v>
      </c>
      <c r="B10" s="10" t="s">
        <v>1039</v>
      </c>
      <c r="C10" s="10" t="s">
        <v>8574</v>
      </c>
      <c r="D10" s="10" t="s">
        <v>8588</v>
      </c>
      <c r="E10" s="10" t="s">
        <v>8587</v>
      </c>
    </row>
    <row r="11" spans="1:5" x14ac:dyDescent="0.25">
      <c r="A11" s="11" t="s">
        <v>8597</v>
      </c>
      <c r="B11" s="10" t="s">
        <v>0</v>
      </c>
      <c r="C11" s="10" t="s">
        <v>8583</v>
      </c>
      <c r="D11" s="10" t="s">
        <v>8593</v>
      </c>
      <c r="E11" s="10" t="s">
        <v>8587</v>
      </c>
    </row>
    <row r="12" spans="1:5" x14ac:dyDescent="0.25">
      <c r="A12" s="11" t="s">
        <v>8597</v>
      </c>
      <c r="B12" s="10" t="s">
        <v>1040</v>
      </c>
      <c r="C12" s="10" t="s">
        <v>8576</v>
      </c>
      <c r="D12" s="10" t="s">
        <v>8593</v>
      </c>
      <c r="E12" s="10" t="s">
        <v>8587</v>
      </c>
    </row>
    <row r="13" spans="1:5" x14ac:dyDescent="0.25">
      <c r="A13" s="11" t="s">
        <v>8597</v>
      </c>
      <c r="B13" s="10" t="s">
        <v>1041</v>
      </c>
      <c r="C13" s="10" t="s">
        <v>8576</v>
      </c>
      <c r="D13" s="10" t="s">
        <v>8593</v>
      </c>
      <c r="E13" s="10" t="s">
        <v>8587</v>
      </c>
    </row>
    <row r="14" spans="1:5" ht="30" x14ac:dyDescent="0.25">
      <c r="A14" s="11" t="s">
        <v>8597</v>
      </c>
      <c r="B14" s="10" t="s">
        <v>1042</v>
      </c>
      <c r="C14" s="10" t="s">
        <v>8581</v>
      </c>
      <c r="D14" s="10" t="s">
        <v>8593</v>
      </c>
      <c r="E14" s="10" t="s">
        <v>8587</v>
      </c>
    </row>
    <row r="15" spans="1:5" ht="30" x14ac:dyDescent="0.25">
      <c r="A15" s="11" t="s">
        <v>8597</v>
      </c>
      <c r="B15" s="10" t="s">
        <v>1043</v>
      </c>
      <c r="C15" s="10" t="s">
        <v>8596</v>
      </c>
      <c r="D15" s="10" t="s">
        <v>8593</v>
      </c>
      <c r="E15" s="10" t="s">
        <v>8587</v>
      </c>
    </row>
    <row r="16" spans="1:5" x14ac:dyDescent="0.25">
      <c r="A16" s="11" t="s">
        <v>8547</v>
      </c>
      <c r="B16" s="10" t="s">
        <v>2051</v>
      </c>
      <c r="C16" s="10" t="s">
        <v>8574</v>
      </c>
      <c r="D16" s="10" t="s">
        <v>8598</v>
      </c>
      <c r="E16" s="10" t="s">
        <v>8599</v>
      </c>
    </row>
    <row r="17" spans="1:5" ht="30" x14ac:dyDescent="0.25">
      <c r="A17" s="11" t="s">
        <v>8547</v>
      </c>
      <c r="B17" s="10" t="s">
        <v>0</v>
      </c>
      <c r="C17" s="10" t="s">
        <v>8594</v>
      </c>
      <c r="D17" s="10" t="s">
        <v>8595</v>
      </c>
      <c r="E17" s="10" t="s">
        <v>8587</v>
      </c>
    </row>
    <row r="18" spans="1:5" ht="30" x14ac:dyDescent="0.25">
      <c r="A18" s="11" t="s">
        <v>8547</v>
      </c>
      <c r="B18" s="10" t="s">
        <v>2052</v>
      </c>
      <c r="C18" s="10" t="s">
        <v>8579</v>
      </c>
      <c r="D18" s="10" t="s">
        <v>8600</v>
      </c>
      <c r="E18" s="10" t="s">
        <v>8587</v>
      </c>
    </row>
    <row r="19" spans="1:5" ht="30" x14ac:dyDescent="0.25">
      <c r="A19" s="11" t="s">
        <v>8547</v>
      </c>
      <c r="B19" s="10" t="s">
        <v>2053</v>
      </c>
      <c r="C19" s="10" t="s">
        <v>8576</v>
      </c>
      <c r="D19" s="10" t="s">
        <v>8593</v>
      </c>
      <c r="E19" s="10" t="s">
        <v>8587</v>
      </c>
    </row>
    <row r="20" spans="1:5" ht="45" x14ac:dyDescent="0.25">
      <c r="A20" s="11" t="s">
        <v>8547</v>
      </c>
      <c r="B20" s="10" t="s">
        <v>2054</v>
      </c>
      <c r="C20" s="10" t="s">
        <v>8576</v>
      </c>
      <c r="D20" s="10" t="s">
        <v>8601</v>
      </c>
      <c r="E20" s="10" t="s">
        <v>8590</v>
      </c>
    </row>
    <row r="21" spans="1:5" x14ac:dyDescent="0.25">
      <c r="A21" s="11" t="s">
        <v>8547</v>
      </c>
      <c r="B21" s="10" t="s">
        <v>5</v>
      </c>
      <c r="C21" s="10" t="s">
        <v>8583</v>
      </c>
      <c r="D21" s="10" t="s">
        <v>8593</v>
      </c>
      <c r="E21" s="10" t="s">
        <v>8587</v>
      </c>
    </row>
    <row r="22" spans="1:5" x14ac:dyDescent="0.25">
      <c r="A22" s="11" t="s">
        <v>8547</v>
      </c>
      <c r="B22" s="10" t="s">
        <v>2055</v>
      </c>
      <c r="C22" s="10" t="s">
        <v>8575</v>
      </c>
      <c r="D22" s="10" t="s">
        <v>8589</v>
      </c>
      <c r="E22" s="10" t="s">
        <v>8590</v>
      </c>
    </row>
    <row r="23" spans="1:5" ht="45" x14ac:dyDescent="0.25">
      <c r="A23" s="11" t="s">
        <v>8547</v>
      </c>
      <c r="B23" s="10" t="s">
        <v>2055</v>
      </c>
      <c r="C23" s="10" t="s">
        <v>8578</v>
      </c>
      <c r="D23" s="10" t="s">
        <v>8602</v>
      </c>
      <c r="E23" s="10" t="s">
        <v>8599</v>
      </c>
    </row>
    <row r="24" spans="1:5" ht="30" x14ac:dyDescent="0.25">
      <c r="A24" s="11" t="s">
        <v>8547</v>
      </c>
      <c r="B24" s="10" t="s">
        <v>2056</v>
      </c>
      <c r="C24" s="10" t="s">
        <v>8576</v>
      </c>
      <c r="D24" s="10" t="s">
        <v>8593</v>
      </c>
      <c r="E24" s="10" t="s">
        <v>8587</v>
      </c>
    </row>
    <row r="25" spans="1:5" x14ac:dyDescent="0.25">
      <c r="A25" s="11" t="s">
        <v>8580</v>
      </c>
      <c r="B25" s="10" t="s">
        <v>8073</v>
      </c>
      <c r="C25" s="10" t="s">
        <v>8574</v>
      </c>
      <c r="D25" s="10" t="s">
        <v>8588</v>
      </c>
      <c r="E25" s="10" t="s">
        <v>8587</v>
      </c>
    </row>
    <row r="26" spans="1:5" x14ac:dyDescent="0.25">
      <c r="A26" s="11" t="s">
        <v>8580</v>
      </c>
      <c r="B26" s="10" t="s">
        <v>0</v>
      </c>
      <c r="C26" s="10" t="s">
        <v>8583</v>
      </c>
      <c r="D26" s="10" t="s">
        <v>8593</v>
      </c>
      <c r="E26" s="10" t="s">
        <v>8587</v>
      </c>
    </row>
    <row r="27" spans="1:5" x14ac:dyDescent="0.25">
      <c r="A27" s="11" t="s">
        <v>8580</v>
      </c>
      <c r="B27" s="10" t="s">
        <v>8074</v>
      </c>
      <c r="C27" s="10" t="s">
        <v>8576</v>
      </c>
      <c r="D27" s="10" t="s">
        <v>8593</v>
      </c>
      <c r="E27" s="10" t="s">
        <v>8587</v>
      </c>
    </row>
    <row r="28" spans="1:5" ht="30" x14ac:dyDescent="0.25">
      <c r="A28" s="11" t="s">
        <v>8580</v>
      </c>
      <c r="B28" s="10" t="s">
        <v>8075</v>
      </c>
      <c r="C28" s="10" t="s">
        <v>8581</v>
      </c>
      <c r="D28" s="10" t="s">
        <v>8593</v>
      </c>
      <c r="E28" s="10" t="s">
        <v>8587</v>
      </c>
    </row>
    <row r="29" spans="1:5" x14ac:dyDescent="0.25">
      <c r="A29" s="11" t="s">
        <v>8580</v>
      </c>
      <c r="B29" s="10" t="s">
        <v>8076</v>
      </c>
      <c r="C29" s="10" t="s">
        <v>8576</v>
      </c>
      <c r="D29" s="10" t="s">
        <v>8593</v>
      </c>
      <c r="E29" s="10" t="s">
        <v>8587</v>
      </c>
    </row>
    <row r="30" spans="1:5" ht="30" x14ac:dyDescent="0.25">
      <c r="A30" s="11" t="s">
        <v>8580</v>
      </c>
      <c r="B30" s="10" t="s">
        <v>8077</v>
      </c>
      <c r="C30" s="10" t="s">
        <v>8596</v>
      </c>
      <c r="D30" s="10" t="s">
        <v>8593</v>
      </c>
      <c r="E30" s="10" t="s">
        <v>8587</v>
      </c>
    </row>
    <row r="31" spans="1:5" x14ac:dyDescent="0.25">
      <c r="A31" s="11" t="s">
        <v>8580</v>
      </c>
      <c r="B31" s="10" t="s">
        <v>8078</v>
      </c>
      <c r="C31" s="10" t="s">
        <v>8577</v>
      </c>
      <c r="D31" s="10" t="s">
        <v>8593</v>
      </c>
      <c r="E31" s="10" t="s">
        <v>8587</v>
      </c>
    </row>
    <row r="32" spans="1:5" ht="30" x14ac:dyDescent="0.25">
      <c r="A32" s="11" t="s">
        <v>8580</v>
      </c>
      <c r="B32" s="10" t="s">
        <v>8079</v>
      </c>
      <c r="C32" s="10" t="s">
        <v>8576</v>
      </c>
      <c r="D32" s="10" t="s">
        <v>8593</v>
      </c>
      <c r="E32" s="10" t="s">
        <v>8587</v>
      </c>
    </row>
    <row r="33" spans="1:5" x14ac:dyDescent="0.25">
      <c r="A33" s="11" t="s">
        <v>8582</v>
      </c>
      <c r="B33" s="10" t="s">
        <v>5</v>
      </c>
      <c r="C33" s="10" t="s">
        <v>8574</v>
      </c>
      <c r="D33" s="10" t="s">
        <v>8588</v>
      </c>
      <c r="E33" s="10" t="s">
        <v>8587</v>
      </c>
    </row>
    <row r="34" spans="1:5" x14ac:dyDescent="0.25">
      <c r="A34" s="11" t="s">
        <v>8582</v>
      </c>
      <c r="B34" s="10" t="s">
        <v>8536</v>
      </c>
      <c r="C34" s="10" t="s">
        <v>8576</v>
      </c>
      <c r="D34" s="10" t="s">
        <v>8593</v>
      </c>
      <c r="E34" s="10" t="s">
        <v>8587</v>
      </c>
    </row>
    <row r="35" spans="1:5" x14ac:dyDescent="0.25">
      <c r="A35" s="11" t="s">
        <v>8582</v>
      </c>
      <c r="B35" s="10" t="s">
        <v>3</v>
      </c>
      <c r="C35" s="10" t="s">
        <v>8576</v>
      </c>
      <c r="D35" s="10" t="s">
        <v>8593</v>
      </c>
      <c r="E35" s="10" t="s">
        <v>8587</v>
      </c>
    </row>
    <row r="36" spans="1:5" x14ac:dyDescent="0.25">
      <c r="A36" s="11" t="s">
        <v>8582</v>
      </c>
      <c r="B36" s="10" t="s">
        <v>4</v>
      </c>
      <c r="C36" s="10" t="s">
        <v>8576</v>
      </c>
      <c r="D36" s="10" t="s">
        <v>8593</v>
      </c>
      <c r="E36" s="10" t="s">
        <v>8587</v>
      </c>
    </row>
    <row r="37" spans="1:5" ht="30" x14ac:dyDescent="0.25">
      <c r="A37" s="10" t="s">
        <v>8603</v>
      </c>
      <c r="B37" s="10" t="s">
        <v>8547</v>
      </c>
      <c r="C37" s="10" t="s">
        <v>8604</v>
      </c>
      <c r="D37" s="10" t="s">
        <v>8599</v>
      </c>
    </row>
    <row r="38" spans="1:5" ht="30" x14ac:dyDescent="0.25">
      <c r="A38" s="10" t="s">
        <v>8605</v>
      </c>
      <c r="B38" s="10" t="s">
        <v>8547</v>
      </c>
      <c r="C38" s="10" t="s">
        <v>8606</v>
      </c>
      <c r="D38" s="10" t="s">
        <v>8599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E19" sqref="E19"/>
    </sheetView>
  </sheetViews>
  <sheetFormatPr defaultRowHeight="15" x14ac:dyDescent="0.25"/>
  <cols>
    <col min="1" max="1" width="14.42578125" customWidth="1"/>
    <col min="2" max="2" width="21.140625" customWidth="1"/>
  </cols>
  <sheetData>
    <row r="1" spans="1:3" x14ac:dyDescent="0.25">
      <c r="A1" s="1" t="s">
        <v>8541</v>
      </c>
      <c r="B1" s="1" t="s">
        <v>8542</v>
      </c>
      <c r="C1" s="1" t="s">
        <v>8543</v>
      </c>
    </row>
    <row r="2" spans="1:3" x14ac:dyDescent="0.25">
      <c r="A2" t="s">
        <v>8544</v>
      </c>
      <c r="B2" t="s">
        <v>8545</v>
      </c>
      <c r="C2" t="s">
        <v>8546</v>
      </c>
    </row>
    <row r="3" spans="1:3" x14ac:dyDescent="0.25">
      <c r="A3" t="s">
        <v>8544</v>
      </c>
      <c r="B3" t="s">
        <v>8547</v>
      </c>
      <c r="C3" t="s">
        <v>8548</v>
      </c>
    </row>
    <row r="4" spans="1:3" x14ac:dyDescent="0.25">
      <c r="A4" t="s">
        <v>8549</v>
      </c>
      <c r="B4" t="s">
        <v>8547</v>
      </c>
      <c r="C4" t="s">
        <v>8550</v>
      </c>
    </row>
    <row r="5" spans="1:3" x14ac:dyDescent="0.25">
      <c r="A5" t="s">
        <v>8549</v>
      </c>
      <c r="B5" t="s">
        <v>8545</v>
      </c>
      <c r="C5" t="s">
        <v>8551</v>
      </c>
    </row>
    <row r="6" spans="1:3" x14ac:dyDescent="0.25">
      <c r="A6" t="s">
        <v>8552</v>
      </c>
      <c r="B6" t="s">
        <v>8547</v>
      </c>
      <c r="C6" t="s">
        <v>8553</v>
      </c>
    </row>
    <row r="7" spans="1:3" x14ac:dyDescent="0.25">
      <c r="A7" t="s">
        <v>8554</v>
      </c>
      <c r="B7" t="s">
        <v>8547</v>
      </c>
      <c r="C7" t="s">
        <v>8555</v>
      </c>
    </row>
    <row r="8" spans="1:3" x14ac:dyDescent="0.25">
      <c r="A8" t="s">
        <v>8556</v>
      </c>
      <c r="B8" t="s">
        <v>8557</v>
      </c>
      <c r="C8" t="s">
        <v>8558</v>
      </c>
    </row>
    <row r="9" spans="1:3" x14ac:dyDescent="0.25">
      <c r="A9" t="s">
        <v>8559</v>
      </c>
      <c r="B9" t="s">
        <v>8545</v>
      </c>
      <c r="C9" t="s">
        <v>8560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10" sqref="B10"/>
    </sheetView>
  </sheetViews>
  <sheetFormatPr defaultRowHeight="15" x14ac:dyDescent="0.25"/>
  <cols>
    <col min="1" max="1" width="14" customWidth="1"/>
    <col min="2" max="2" width="21" customWidth="1"/>
    <col min="3" max="3" width="24" customWidth="1"/>
    <col min="4" max="4" width="15.42578125" customWidth="1"/>
  </cols>
  <sheetData>
    <row r="1" spans="1:4" x14ac:dyDescent="0.25">
      <c r="A1" s="9" t="s">
        <v>8607</v>
      </c>
      <c r="B1" s="9" t="s">
        <v>8569</v>
      </c>
      <c r="C1" s="9" t="s">
        <v>8608</v>
      </c>
      <c r="D1" s="9" t="s">
        <v>8609</v>
      </c>
    </row>
    <row r="2" spans="1:4" ht="45" x14ac:dyDescent="0.25">
      <c r="A2" s="10" t="s">
        <v>8603</v>
      </c>
      <c r="B2" s="10" t="s">
        <v>8547</v>
      </c>
      <c r="C2" s="10" t="s">
        <v>8610</v>
      </c>
      <c r="D2" s="10" t="s">
        <v>8611</v>
      </c>
    </row>
    <row r="3" spans="1:4" ht="45" x14ac:dyDescent="0.25">
      <c r="A3" s="10" t="s">
        <v>8605</v>
      </c>
      <c r="B3" s="10" t="s">
        <v>8547</v>
      </c>
      <c r="C3" s="10" t="s">
        <v>8612</v>
      </c>
      <c r="D3" s="10" t="s">
        <v>8611</v>
      </c>
    </row>
    <row r="4" spans="1:4" x14ac:dyDescent="0.25">
      <c r="A4" t="s">
        <v>8613</v>
      </c>
      <c r="B4" t="s">
        <v>8545</v>
      </c>
      <c r="C4" t="s">
        <v>8614</v>
      </c>
      <c r="D4" t="s">
        <v>2060</v>
      </c>
    </row>
    <row r="5" spans="1:4" ht="45" x14ac:dyDescent="0.25">
      <c r="A5" s="10" t="s">
        <v>8617</v>
      </c>
      <c r="B5" s="10" t="s">
        <v>8547</v>
      </c>
      <c r="C5" s="10" t="s">
        <v>8618</v>
      </c>
      <c r="D5" s="10" t="s">
        <v>8619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Customers</vt:lpstr>
      <vt:lpstr>Accounts</vt:lpstr>
      <vt:lpstr>EDA_CUSTOMERS</vt:lpstr>
      <vt:lpstr>Transactions</vt:lpstr>
      <vt:lpstr>VALIDATION_RESULTS</vt:lpstr>
      <vt:lpstr>Loans</vt:lpstr>
      <vt:lpstr>Branches</vt:lpstr>
      <vt:lpstr>DATA_PROFILE</vt:lpstr>
      <vt:lpstr>DATA_QUALITY_NOTES</vt:lpstr>
      <vt:lpstr>CLEANING LOG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NABOTH A MULENGA</cp:lastModifiedBy>
  <dcterms:created xsi:type="dcterms:W3CDTF">2026-09-26T10:35:58Z</dcterms:created>
  <dcterms:modified xsi:type="dcterms:W3CDTF">2026-09-29T16:43:34Z</dcterms:modified>
</cp:coreProperties>
</file>